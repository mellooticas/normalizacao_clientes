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12" documentId="13_ncr:1_{B73767B4-9385-4068-9AAA-F582CCF35760}" xr6:coauthVersionLast="47" xr6:coauthVersionMax="47" xr10:uidLastSave="{33493DAE-2C3C-4E77-A043-C19D58A8C517}"/>
  <bookViews>
    <workbookView xWindow="-108" yWindow="-108" windowWidth="23256" windowHeight="12456" tabRatio="895" firstSheet="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201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1" l="1"/>
  <c r="R20" i="201"/>
  <c r="R19" i="201"/>
  <c r="C19" i="201"/>
  <c r="R18" i="201"/>
  <c r="C18" i="201"/>
  <c r="B18" i="201"/>
  <c r="R17" i="201"/>
  <c r="R16" i="201"/>
  <c r="R15" i="201"/>
  <c r="R14" i="201"/>
  <c r="C14" i="201"/>
  <c r="R13" i="201"/>
  <c r="C13" i="201"/>
  <c r="R12" i="201"/>
  <c r="C12" i="201"/>
  <c r="R11" i="201"/>
  <c r="C11" i="201"/>
  <c r="C15" i="201" s="1"/>
  <c r="O11" i="201" s="1"/>
  <c r="R10" i="201"/>
  <c r="R9" i="201"/>
  <c r="R8" i="201"/>
  <c r="R7" i="201"/>
  <c r="C7" i="201"/>
  <c r="R6" i="201"/>
  <c r="R40" i="201" s="1"/>
  <c r="C6" i="201"/>
  <c r="C8" i="201" s="1"/>
  <c r="C5" i="201"/>
  <c r="C21" i="201" s="1"/>
  <c r="B5" i="200"/>
  <c r="C14" i="195"/>
  <c r="C13" i="195"/>
  <c r="C12" i="195"/>
  <c r="C11" i="195"/>
  <c r="C12" i="188"/>
  <c r="C13" i="188"/>
  <c r="C14" i="188"/>
  <c r="C11" i="188"/>
  <c r="C12" i="178"/>
  <c r="C13" i="178"/>
  <c r="C14" i="178"/>
  <c r="C11" i="178"/>
  <c r="R20" i="175" l="1"/>
  <c r="R19" i="175"/>
  <c r="C18" i="175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6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21" i="192" s="1"/>
  <c r="C5" i="199"/>
  <c r="C21" i="199" s="1"/>
  <c r="C6" i="174"/>
  <c r="C8" i="174" s="1"/>
  <c r="C6" i="173"/>
  <c r="C6" i="172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6" i="184"/>
  <c r="C6" i="185"/>
  <c r="C6" i="186"/>
  <c r="C6" i="187"/>
  <c r="C8" i="187" s="1"/>
  <c r="C6" i="189"/>
  <c r="C6" i="190"/>
  <c r="C6" i="191"/>
  <c r="C6" i="188"/>
  <c r="C6" i="193"/>
  <c r="C6" i="195"/>
  <c r="C6" i="194"/>
  <c r="C8" i="194" s="1"/>
  <c r="C6" i="197"/>
  <c r="C8" i="197" s="1"/>
  <c r="C6" i="196"/>
  <c r="C6" i="192"/>
  <c r="C6" i="199"/>
  <c r="C8" i="199" s="1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 s="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21" i="175" l="1"/>
  <c r="B3" i="200"/>
  <c r="B9" i="200"/>
  <c r="B10" i="200"/>
  <c r="B11" i="200"/>
  <c r="B12" i="200"/>
  <c r="C19" i="175"/>
  <c r="B16" i="200"/>
  <c r="C8" i="179"/>
  <c r="C8" i="190"/>
  <c r="C8" i="196"/>
  <c r="C8" i="189"/>
  <c r="C8" i="172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B17" i="200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 s="1"/>
  <c r="R40" i="171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85"/>
  <c r="C8" i="181"/>
  <c r="C8" i="170"/>
  <c r="C8" i="177"/>
  <c r="C8" i="182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13" i="200" l="1"/>
  <c r="B4" i="200" s="1"/>
  <c r="B6" i="200" s="1"/>
  <c r="C15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</calcChain>
</file>

<file path=xl/sharedStrings.xml><?xml version="1.0" encoding="utf-8"?>
<sst xmlns="http://schemas.openxmlformats.org/spreadsheetml/2006/main" count="1576" uniqueCount="146">
  <si>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</si>
  <si>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</si>
  <si>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</si>
  <si>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</si>
  <si>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</si>
  <si>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</si>
  <si>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</si>
  <si>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</si>
  <si>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</si>
  <si>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</si>
  <si>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</si>
  <si>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</si>
  <si>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</si>
  <si>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</si>
  <si>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</si>
  <si>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</si>
  <si>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</si>
  <si>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</si>
  <si>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</si>
  <si>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</si>
  <si>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</si>
  <si>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</si>
  <si>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</si>
  <si>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</si>
  <si>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</si>
  <si>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</si>
  <si>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</si>
  <si>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</si>
  <si>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</si>
  <si>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</si>
  <si>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</si>
  <si>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</si>
  <si>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</si>
  <si>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</si>
  <si>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</si>
  <si>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</si>
  <si>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</si>
  <si>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</si>
  <si>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</si>
  <si>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</si>
  <si>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</si>
  <si>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</si>
  <si>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</si>
  <si>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</si>
  <si>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</si>
  <si>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</si>
  <si>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</si>
  <si>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</si>
  <si>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</si>
  <si>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</si>
  <si>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</si>
  <si>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</si>
  <si>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</si>
  <si>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</si>
  <si>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</si>
  <si>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</si>
  <si>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</si>
  <si>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</si>
  <si>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</si>
  <si>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</si>
  <si>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</si>
  <si>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</si>
  <si>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</si>
  <si>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</si>
  <si>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</si>
  <si>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</si>
  <si>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</si>
  <si>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</si>
  <si>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</si>
  <si>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</si>
  <si>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</si>
  <si>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</si>
  <si>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</si>
  <si>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</si>
  <si>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</si>
  <si>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</si>
  <si>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</si>
  <si>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</si>
  <si>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</si>
  <si>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</si>
  <si>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</si>
  <si>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</si>
  <si>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</si>
  <si>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</si>
  <si>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</si>
  <si>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</si>
  <si>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</si>
  <si>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</si>
  <si>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</si>
  <si>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</si>
  <si>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</si>
  <si>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</si>
  <si>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</si>
  <si>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</si>
  <si>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</si>
  <si>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</si>
  <si>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</si>
  <si>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</si>
  <si>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</si>
  <si>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</si>
  <si>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</si>
  <si>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</si>
  <si>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</si>
  <si>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</si>
  <si>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</si>
  <si>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</si>
  <si>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</si>
  <si>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</si>
  <si>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</si>
  <si>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</si>
  <si>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</si>
  <si>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</si>
  <si>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</si>
  <si>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</si>
  <si>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</si>
  <si>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</si>
  <si>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</si>
  <si>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</si>
  <si>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</si>
  <si>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</si>
  <si>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</si>
  <si>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</si>
  <si>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</si>
  <si>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</si>
  <si>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Coluna1</t>
  </si>
  <si>
    <t>Coluna2</t>
  </si>
  <si>
    <t>Coluna3</t>
  </si>
  <si>
    <t>Coluna4</t>
  </si>
  <si>
    <t>Coluna5</t>
  </si>
  <si>
    <t>LOURIVAL VITORINO</t>
  </si>
  <si>
    <t>ELITA PEREIRA DA SILVA</t>
  </si>
  <si>
    <t>WEVILLY</t>
  </si>
  <si>
    <t>Não</t>
  </si>
  <si>
    <t>SEBASTIANA DOS SANTOS</t>
  </si>
  <si>
    <t>JOSINEIDE PAULINO</t>
  </si>
  <si>
    <t>ROGERIO</t>
  </si>
  <si>
    <t>ROSANA DA MOTA</t>
  </si>
  <si>
    <t>MARTA HELENA</t>
  </si>
  <si>
    <t>Sim</t>
  </si>
  <si>
    <t>SILVANA TOBIAS VIEIRA</t>
  </si>
  <si>
    <t>ELIZABETE TIEMI</t>
  </si>
  <si>
    <t>wevilly</t>
  </si>
  <si>
    <t xml:space="preserve">henrique fernando </t>
  </si>
  <si>
    <t>rosângela da silva</t>
  </si>
  <si>
    <t xml:space="preserve">leonor de lima </t>
  </si>
  <si>
    <t>ELITA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</si>
</sst>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43" fillId="0" borderId="17" xfId="0" applyFont="1" applyBorder="1" applyAlignment="1">
      <alignment horizontal="center"/>
    </xf>
    <xf numFmtId="165" fontId="43" fillId="0" borderId="17" xfId="0" applyNumberFormat="1" applyFont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44" fontId="43" fillId="0" borderId="17" xfId="39" applyFont="1" applyFill="1" applyBorder="1" applyAlignment="1">
      <alignment horizontal="center"/>
    </xf>
    <xf numFmtId="165" fontId="43" fillId="0" borderId="17" xfId="4" applyNumberFormat="1" applyFont="1" applyFill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0" xfId="0" applyFont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" fontId="43" fillId="0" borderId="3" xfId="0" applyNumberFormat="1" applyFont="1" applyBorder="1" applyAlignment="1">
      <alignment horizontal="center"/>
    </xf>
    <xf numFmtId="165" fontId="43" fillId="0" borderId="5" xfId="0" applyNumberFormat="1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165" fontId="43" fillId="0" borderId="3" xfId="4" applyNumberFormat="1" applyFont="1" applyFill="1" applyBorder="1" applyAlignment="1">
      <alignment horizontal="center"/>
    </xf>
    <xf numFmtId="165" fontId="43" fillId="0" borderId="13" xfId="4" applyNumberFormat="1" applyFont="1" applyFill="1" applyBorder="1" applyAlignment="1">
      <alignment horizontal="center"/>
    </xf>
    <xf numFmtId="164" fontId="0" fillId="0" borderId="13" xfId="2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1" fontId="0" fillId="0" borderId="13" xfId="2" applyNumberFormat="1" applyFont="1" applyFill="1" applyBorder="1" applyAlignment="1">
      <alignment horizontal="center"/>
    </xf>
    <xf numFmtId="1" fontId="0" fillId="0" borderId="17" xfId="2" applyNumberFormat="1" applyFont="1" applyFill="1" applyBorder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1" fillId="0" borderId="17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Coluna1" dataDxfId="1126"/>
    <tableColumn id="2" xr3:uid="{A8D4686B-F05E-4D96-BDB9-FD354C9E28B8}" name="Coluna2" dataDxfId="1125"/>
    <tableColumn id="3" xr3:uid="{0FB871EC-4505-4E7C-A162-0EFDB16AB8E5}" name="Coluna3" dataDxfId="1124" dataCellStyle="Moeda"/>
    <tableColumn id="4" xr3:uid="{41436228-3E61-4F7F-80EF-627B1794150B}" name="Coluna4" dataDxfId="1123" dataCellStyle="Porcentagem"/>
    <tableColumn id="5" xr3:uid="{9C580DC7-08E3-4AD7-B73C-C1AA4298633B}" name="Coluna5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7F4CB11-051B-4E31-9EDC-CE2991DAA01F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7F12E22-EE2D-4DCB-89D8-212E4C06B970}" name="Nº Venda" dataDxfId="49" dataCellStyle="Moeda"/>
    <tableColumn id="5" xr3:uid="{B3D94BBE-E28A-4C3C-BBB0-D320FF61B3EB}" name="Cliente" dataDxfId="48" dataCellStyle="Moeda"/>
    <tableColumn id="2" xr3:uid="{07BB5BC4-7423-43CC-A2EB-039381499191}" name="Forma de Pgto" dataDxfId="47" dataCellStyle="Moeda"/>
    <tableColumn id="3" xr3:uid="{294AAEF2-C83C-4A3D-AA87-9B650B8FEC11}" name="Valor Venda" dataDxfId="46" dataCellStyle="Porcentagem"/>
    <tableColumn id="4" xr3:uid="{46B88EF6-E89A-40E4-94D6-071DB846B9E6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FE8121C-86FF-4E77-9343-3BA888E16CBD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A06DC5F1-1E0E-484A-AB09-A74F95D7721C}" name="Descrição" dataDxfId="39"/>
    <tableColumn id="2" xr3:uid="{8B6679B6-24A9-4571-A46A-EE4155AC29DC}" name="Tipo de Pagto" dataDxfId="38"/>
    <tableColumn id="3" xr3:uid="{6D1B9DD9-A08B-487F-B3F9-701B9BEC173C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FE52098-C8F6-4ABD-8A7F-73E5CEAC0D88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6F05D94F-DD56-4834-9E86-B93B93CEC457}" name="Nº Venda" dataDxfId="31"/>
    <tableColumn id="2" xr3:uid="{111F9514-236E-4E2D-992C-FCAAC1834981}" name="Cliente" dataDxfId="30"/>
    <tableColumn id="3" xr3:uid="{7009AA8F-EABB-4FF0-98EE-14B9A741855A}" name="Forma de Pgto" dataDxfId="29" dataCellStyle="Moeda"/>
    <tableColumn id="4" xr3:uid="{8D96FBD7-F435-4B79-B524-0E3258CB125E}" name="Valor Venda" dataDxfId="28" dataCellStyle="Porcentagem"/>
    <tableColumn id="5" xr3:uid="{676D4FD4-D5B9-464C-B4E3-7044A4B4EC37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3FA2B21-92A2-4779-9C70-5A60FE9C1333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62CC1ABF-B96E-4E91-80CA-05FB80B9659E}" name="OS" dataDxfId="21"/>
    <tableColumn id="2" xr3:uid="{197484EE-CA1D-4C49-9011-E540C672E148}" name="Vendedor" dataDxfId="20"/>
    <tableColumn id="3" xr3:uid="{511669A9-7A2C-465B-BAD4-2DE61DBEA9C1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CF033DE-B84D-44FF-AA17-915C5F1732FC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F167FEB-CB3C-4FCE-A2E9-0C81299F3175}" name="OS" dataDxfId="13"/>
    <tableColumn id="2" xr3:uid="{06023216-7F0C-412B-8B31-EF047EF2AB1D}" name="Cliente" dataDxfId="12"/>
    <tableColumn id="3" xr3:uid="{F2357C49-D566-41DF-8533-85518F7425E7}" name="Forma de Pgto" dataDxfId="11" dataCellStyle="Moeda"/>
    <tableColumn id="4" xr3:uid="{033B9878-9331-43B5-9E64-2037A4D85770}" name="Valor Parcela" dataDxfId="10" dataCellStyle="Porcentagem"/>
    <tableColumn id="5" xr3:uid="{BC990951-E407-431E-B780-E1470E0CB06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69E6C1E-3BE9-420A-96FA-8FF8ACE8B519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F8C994E8-F5F5-4196-A818-33842D3C6A87}" name="OS" dataDxfId="4"/>
    <tableColumn id="2" xr3:uid="{56684EE1-C4D2-413C-978C-065CCD2F2DA5}" name="Parcelas" dataDxfId="3"/>
    <tableColumn id="3" xr3:uid="{D2FA4DE2-4FAE-429B-A988-C730AB07F281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7"/>
  <sheetViews>
    <sheetView workbookViewId="0">
      <selection activeCell="G13" sqref="G13"/>
    </sheetView>
  </sheetViews>
  <sheetFormatPr defaultColWidth="21.33203125" defaultRowHeight="13.2" x14ac:dyDescent="0.25"/>
  <cols>
    <col min="2" max="2" width="22.6640625" customWidth="1"/>
  </cols>
  <sheetData>
    <row r="2" spans="1:2" ht="14.4" x14ac:dyDescent="0.25">
      <c r="A2" s="19" t="s">
        <v>0</v>
      </c>
      <c r="B2" s="75">
        <v>0</v>
      </c>
    </row>
    <row r="3" spans="1:2" ht="14.4" x14ac:dyDescent="0.3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SUM('01'!C5,'02'!C5,'03'!C5,'04'!C5,'05'!C5,'06'!C5,'07'!C5,'08'!C5,'09'!C5,'10'!C5,'11'!C5,'12'!C5,'13'!C5,'14'!C5,'15'!C5,'16'!C5,'17'!C5,'18'!C5,'19'!C5,'20'!C5,'21'!C5,'22'!C5,'23'!C5,'24'!C5,'25'!C5,'26'!C5,'27'!C5,'28'!C5,'29'!C5,'30'!C5)</f>
        <v>4219.8900000000003</v>
      </c>
    </row>
    <row r="4" spans="1:2" ht="14.4" x14ac:dyDescent="0.3">
      <c r="A4" s="23" t="s">
        <v>2</v>
      </c>
      <c r="B4" s="24">
        <f>B13</f>
        <v>2544.38</v>
      </c>
    </row>
    <row r="5" spans="1:2" ht="14.4" x14ac:dyDescent="0.3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SUM('01'!C7,'02'!C7,'03'!C7,'04'!C7,'05'!C7,'06'!C7,'07'!C7,'08'!C7,'09'!C7,'10'!C7,'11'!C7,'12'!C7,'13'!C7,'14'!C7,'15'!C7,'16'!C7,'17'!C7,'18'!C7,'19'!C7,'20'!C7,'21'!C7,'22'!C7,'23'!C7,'24'!C7,'25'!C7,'26'!C7,'27'!C7,'28'!C7,'29'!C7,'30'!C7,)</f>
        <v>0</v>
      </c>
    </row>
    <row r="6" spans="1:2" ht="15.6" x14ac:dyDescent="0.3">
      <c r="A6" s="28" t="s">
        <v>4</v>
      </c>
      <c r="B6" s="29">
        <f>SUM(B4:B5)</f>
        <v>2544.38</v>
      </c>
    </row>
    <row r="7" spans="1:2" ht="14.4" x14ac:dyDescent="0.3">
      <c r="A7" s="2"/>
      <c r="B7" s="2"/>
    </row>
    <row r="8" spans="1:2" ht="14.4" x14ac:dyDescent="0.25">
      <c r="A8" s="125" t="s">
        <v>5</v>
      </c>
      <c r="B8" s="125"/>
    </row>
    <row r="9" spans="1:2" ht="14.4" x14ac:dyDescent="0.3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SUM('01'!C11,'02'!C11,'03'!C11,'04'!C11,'05'!C11,'06'!C11,'07'!C11,'08'!C11,'09'!C11,'10'!C11,'11'!C11,'12'!C11,'13'!C11,'14'!C11,'15'!C11,'16'!C11,'17'!C11,'18'!C11,'19'!C11,'20'!C11,'21'!C11,'22'!C11,'23'!C11,'24'!C11,'25'!C11,'26'!C11,'27'!C11,'28'!C11,'29'!C11,'30'!C11,)</f>
        <v>155</v>
      </c>
    </row>
    <row r="10" spans="1:2" ht="14.4" x14ac:dyDescent="0.3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SUM('01'!C12,'02'!C12,'03'!C12,'04'!C12,'05'!C12,'06'!C12,'07'!C12,'08'!C12,'09'!C12,'10'!C12,'11'!C12,'12'!C12,'13'!C12,'14'!C12,'15'!C12,'16'!C12,'17'!C12,'18'!C12,'19'!C12,'20'!C12,'21'!C12,'22'!C12,'23'!C12,'24'!C12,'25'!C12,'26'!C12,'27'!C12,'28'!C12,'29'!C12,'30'!C12,)</f>
        <v>339.49</v>
      </c>
    </row>
    <row r="11" spans="1:2" ht="14.4" x14ac:dyDescent="0.3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SUM('01'!C13,'02'!C13,'03'!C13,'04'!C13,'05'!C13,'06'!C13,'07'!C13,'08'!C13,'09'!C13,'10'!C13,'11'!C13,'12'!C13,'13'!C13,'14'!C13,'15'!C13,'16'!C13,'17'!C13,'18'!C13,'19'!C13,'20'!C13,'21'!C13,'22'!C13,'23'!C13,'24'!C13,'25'!C13,'26'!C13,'27'!C13,'28'!C13,'29'!C13,'30'!C13,)</f>
        <v>1989.89</v>
      </c>
    </row>
    <row r="12" spans="1:2" ht="14.4" x14ac:dyDescent="0.3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SUM('01'!C14,'02'!C14,'03'!C14,'04'!C14,'05'!C14,'06'!C14,'07'!C14,'08'!C14,'09'!C14,'10'!C14,'11'!C14,'12'!C14,'13'!C14,'14'!C14,'15'!C14,'16'!C14,'17'!C14,'18'!C14,'19'!C14,'20'!C14,'21'!C14,'22'!C14,'23'!C14,'24'!C14,'25'!C14,'26'!C14,'27'!C14,'28'!C14,'29'!C14,'30'!C14,)</f>
        <v>60</v>
      </c>
    </row>
    <row r="13" spans="1:2" ht="15.6" x14ac:dyDescent="0.3">
      <c r="A13" s="28" t="s">
        <v>10</v>
      </c>
      <c r="B13" s="76">
        <f>SUM(B9:B12)</f>
        <v>2544.38</v>
      </c>
    </row>
    <row r="14" spans="1:2" ht="14.4" x14ac:dyDescent="0.3">
      <c r="A14" s="2"/>
      <c r="B14" s="2"/>
    </row>
    <row r="15" spans="1:2" ht="14.4" x14ac:dyDescent="0.25">
      <c r="A15" s="125" t="s">
        <v>11</v>
      </c>
      <c r="B15" s="125"/>
    </row>
    <row r="16" spans="1:2" ht="14.4" x14ac:dyDescent="0.3">
      <c r="A16" s="30">
        <f>COUNT(#REF!)</f>
        <v>0</v>
      </c>
      <c r="B16" s="24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SUM('01'!C18,'02'!C18,'03'!C18,'04'!C18,'05'!C18,'06'!C18,'07'!C18,'08'!C18,'09'!C18,'10'!C18,'11'!C18,'12'!C18,'13'!C18,'14'!C18,'15'!C18,'16'!C18,'17'!C18,'18'!C18,'19'!C18,'20'!C18,'21'!C18,'22'!C18,'23'!C18,'24'!C18,'25'!C18,'26'!C18,'27'!C18,'28'!C18,'29'!C18,'30'!C18,)</f>
        <v>1053.2</v>
      </c>
    </row>
    <row r="17" spans="1:2" ht="15.6" x14ac:dyDescent="0.3">
      <c r="A17" s="28" t="s">
        <v>10</v>
      </c>
      <c r="B17" s="76">
        <f>SUM(B16:B16)</f>
        <v>1053.2</v>
      </c>
    </row>
  </sheetData>
  <dataConsolidate/>
  <mergeCells count="2">
    <mergeCell ref="A8:B8"/>
    <mergeCell ref="A15:B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F19" sqref="F1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4.332031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v>45413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SUMIF(I8:I31,"&gt;0",H8:H31)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4.4" x14ac:dyDescent="0.3">
      <c r="B6" s="23" t="s">
        <v>2</v>
      </c>
      <c r="C6" s="24">
        <f>SUM(I8:I41)</f>
        <v>0</v>
      </c>
      <c r="D6" s="2"/>
      <c r="J6" s="2"/>
      <c r="K6" s="25"/>
      <c r="L6" s="9"/>
      <c r="M6" s="16"/>
      <c r="R6" s="1">
        <f>IF(vend1[[#This Row],[Nº Venda]]&gt;1,1,0)</f>
        <v>0</v>
      </c>
    </row>
    <row r="7" spans="2:18" ht="14.4" x14ac:dyDescent="0.3">
      <c r="B7" s="23" t="s">
        <v>3</v>
      </c>
      <c r="C7" s="24">
        <f>SUM(M6:M11)</f>
        <v>0</v>
      </c>
      <c r="D7" s="2"/>
      <c r="J7" s="2"/>
      <c r="K7" s="25"/>
      <c r="L7" s="9"/>
      <c r="M7" s="16"/>
      <c r="R7" s="1">
        <f>IF(vend1[[#This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IF(vend1[[#This Row],[Nº Venda]]&gt;1,1,0)</f>
        <v>0</v>
      </c>
    </row>
    <row r="12" spans="2:18" ht="15.6" x14ac:dyDescent="0.3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6" x14ac:dyDescent="0.3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IF(vend1[[#This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R15" s="1">
        <f>IF(vend1[[#This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6" x14ac:dyDescent="0.3">
      <c r="B18" s="30">
        <f>COUNT(entr_carn1[OS])</f>
        <v>0</v>
      </c>
      <c r="C18" s="31">
        <f>SUM(entr_carn1[Valor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L35:L41" xr:uid="{7C1BE99F-7376-46AC-BCA1-71DA569DC4C9}">
      <formula1>"1,2,3,4,5,6,7,8,9,10"</formula1>
    </dataValidation>
    <dataValidation type="list" allowBlank="1" showInputMessage="1" showErrorMessage="1" sqref="M16:M31" xr:uid="{9539A39A-7E11-4770-A03D-2CE6F0502CC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G8:G22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K15" sqref="K15"/>
    </sheetView>
  </sheetViews>
  <sheetFormatPr defaultColWidth="9.109375" defaultRowHeight="13.2" x14ac:dyDescent="0.25"/>
  <cols>
    <col min="1" max="1" width="3.6640625" style="1" customWidth="1"/>
    <col min="2" max="2" width="29.441406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3">
        <f>'01'!B1+1</f>
        <v>45414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969.99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4.4" x14ac:dyDescent="0.3">
      <c r="B6" s="23" t="s">
        <v>2</v>
      </c>
      <c r="C6" s="24">
        <f>SUM(I6:I41)</f>
        <v>969.99</v>
      </c>
      <c r="D6" s="2"/>
      <c r="E6" s="121">
        <v>1965</v>
      </c>
      <c r="F6" s="119" t="s">
        <v>129</v>
      </c>
      <c r="G6" s="119" t="s">
        <v>6</v>
      </c>
      <c r="H6" s="120">
        <v>70</v>
      </c>
      <c r="I6" s="120">
        <v>70</v>
      </c>
      <c r="J6" s="2"/>
      <c r="K6" s="25"/>
      <c r="L6" s="9"/>
      <c r="M6" s="16"/>
      <c r="R6" s="1">
        <f>IF(vend2[[#This Row],[Nº Venda]]&gt;1,1,0)</f>
        <v>1</v>
      </c>
    </row>
    <row r="7" spans="2:18" ht="14.4" x14ac:dyDescent="0.3">
      <c r="B7" s="23" t="s">
        <v>3</v>
      </c>
      <c r="C7" s="24">
        <f>SUM(M6:M11)</f>
        <v>0</v>
      </c>
      <c r="D7" s="2"/>
      <c r="E7" s="122">
        <v>1966</v>
      </c>
      <c r="F7" s="59" t="s">
        <v>130</v>
      </c>
      <c r="G7" s="59" t="s">
        <v>8</v>
      </c>
      <c r="H7" s="47">
        <v>899.99</v>
      </c>
      <c r="I7" s="47">
        <v>899.99</v>
      </c>
      <c r="J7" s="2"/>
      <c r="K7" s="25"/>
      <c r="L7" s="9"/>
      <c r="M7" s="16"/>
      <c r="R7" s="1">
        <f>IF(vend2[[#This Row],[Nº Venda]]&gt;1,1,0)</f>
        <v>1</v>
      </c>
    </row>
    <row r="8" spans="2:18" ht="15.6" x14ac:dyDescent="0.3">
      <c r="B8" s="28" t="s">
        <v>20</v>
      </c>
      <c r="C8" s="29">
        <f>SUM(C6:C7)</f>
        <v>969.99</v>
      </c>
      <c r="D8" s="2"/>
      <c r="E8" s="123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6" x14ac:dyDescent="0.3">
      <c r="B9" s="2"/>
      <c r="C9" s="2"/>
      <c r="D9" s="2"/>
      <c r="E9" s="123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6" x14ac:dyDescent="0.3">
      <c r="B10" s="125" t="s">
        <v>5</v>
      </c>
      <c r="C10" s="125"/>
      <c r="D10" s="2"/>
      <c r="E10" s="123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70</v>
      </c>
      <c r="D11" s="2"/>
      <c r="E11" s="123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23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6" x14ac:dyDescent="0.3">
      <c r="B13" s="30" t="s">
        <v>8</v>
      </c>
      <c r="C13" s="31">
        <f t="shared" si="0"/>
        <v>899.99</v>
      </c>
      <c r="D13" s="2"/>
      <c r="E13" s="124"/>
      <c r="F13" s="64"/>
      <c r="G13" s="86"/>
      <c r="H13" s="71"/>
      <c r="I13" s="71"/>
      <c r="J13" s="2"/>
      <c r="K13" s="127" t="s">
        <v>21</v>
      </c>
      <c r="L13" s="128"/>
      <c r="M13" s="129"/>
      <c r="R13" s="1">
        <f>IF(vend2[[#This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24"/>
      <c r="F14" s="64"/>
      <c r="G14" s="86"/>
      <c r="H14" s="71"/>
      <c r="I14" s="71"/>
      <c r="J14" s="2"/>
      <c r="K14" s="14" t="s">
        <v>22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6" x14ac:dyDescent="0.3">
      <c r="B15" s="28" t="s">
        <v>10</v>
      </c>
      <c r="C15" s="32">
        <f>SUM(C11:C14)</f>
        <v>969.99</v>
      </c>
      <c r="D15" s="2"/>
      <c r="E15" s="123"/>
      <c r="F15" s="25"/>
      <c r="G15" s="26"/>
      <c r="H15" s="8"/>
      <c r="I15" s="8"/>
      <c r="J15" s="2"/>
      <c r="K15" s="49">
        <v>1961</v>
      </c>
      <c r="L15" s="50" t="s">
        <v>131</v>
      </c>
      <c r="M15" s="51" t="s">
        <v>132</v>
      </c>
      <c r="R15" s="1">
        <f>IF(vend2[[#This Row],[Nº Venda]]&gt;1,1,0)</f>
        <v>0</v>
      </c>
    </row>
    <row r="16" spans="2:18" ht="15.6" x14ac:dyDescent="0.3">
      <c r="B16" s="2"/>
      <c r="C16" s="2"/>
      <c r="D16" s="2"/>
      <c r="E16" s="123"/>
      <c r="F16" s="25"/>
      <c r="G16" s="26"/>
      <c r="H16" s="8"/>
      <c r="I16" s="8"/>
      <c r="J16" s="2"/>
      <c r="K16" s="45"/>
      <c r="L16" s="9"/>
      <c r="M16" s="16"/>
      <c r="R16" s="1">
        <f>IF(vend2[[#This Row],[Nº Venda]]&gt;1,1,0)</f>
        <v>0</v>
      </c>
    </row>
    <row r="17" spans="2:18" ht="15.6" x14ac:dyDescent="0.3">
      <c r="B17" s="125" t="s">
        <v>11</v>
      </c>
      <c r="C17" s="125"/>
      <c r="D17" s="2"/>
      <c r="E17" s="123"/>
      <c r="F17" s="25"/>
      <c r="G17" s="26"/>
      <c r="H17" s="8"/>
      <c r="I17" s="8"/>
      <c r="J17" s="2"/>
      <c r="K17" s="45"/>
      <c r="L17" s="9"/>
      <c r="M17" s="16"/>
      <c r="R17" s="1">
        <f>IF(vend2[[#This Row],[Nº Venda]]&gt;1,1,0)</f>
        <v>0</v>
      </c>
    </row>
    <row r="18" spans="2:18" ht="15.6" x14ac:dyDescent="0.3">
      <c r="B18" s="30">
        <f>COUNT(entr_carn2[OS])</f>
        <v>0</v>
      </c>
      <c r="C18" s="31">
        <f>SUM(entr_carn2[Valor Total])</f>
        <v>0</v>
      </c>
      <c r="D18" s="2"/>
      <c r="E18" s="123"/>
      <c r="F18" s="25"/>
      <c r="G18" s="26"/>
      <c r="H18" s="8"/>
      <c r="I18" s="8"/>
      <c r="J18" s="2"/>
      <c r="K18" s="45"/>
      <c r="L18" s="9"/>
      <c r="M18" s="16"/>
      <c r="R18" s="1">
        <f>IF(vend2[[#This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23"/>
      <c r="F19" s="25"/>
      <c r="G19" s="26"/>
      <c r="H19" s="8"/>
      <c r="I19" s="8"/>
      <c r="J19" s="2"/>
      <c r="K19" s="45"/>
      <c r="L19" s="9"/>
      <c r="M19" s="16"/>
      <c r="R19" s="1">
        <f>IF(vend2[[#This Row],[Nº Venda]]&gt;1,1,0)</f>
        <v>0</v>
      </c>
    </row>
    <row r="20" spans="2:18" ht="15.6" x14ac:dyDescent="0.3">
      <c r="B20" s="2"/>
      <c r="C20" s="2"/>
      <c r="D20" s="2"/>
      <c r="E20" s="123"/>
      <c r="F20" s="26"/>
      <c r="G20" s="26"/>
      <c r="H20" s="8"/>
      <c r="I20" s="8"/>
      <c r="J20" s="2"/>
      <c r="K20" s="45"/>
      <c r="L20" s="9"/>
      <c r="M20" s="16"/>
      <c r="R20" s="1">
        <f>IF(vend2[[#This Row],[Nº Venda]]&gt;1,1,0)</f>
        <v>0</v>
      </c>
    </row>
    <row r="21" spans="2:18" ht="15.6" x14ac:dyDescent="0.3">
      <c r="B21" s="28" t="s">
        <v>25</v>
      </c>
      <c r="C21" s="32">
        <f>C5</f>
        <v>969.99</v>
      </c>
      <c r="D21" s="2"/>
      <c r="E21" s="123"/>
      <c r="F21" s="25"/>
      <c r="G21" s="26"/>
      <c r="H21" s="8"/>
      <c r="I21" s="8"/>
      <c r="J21" s="2"/>
      <c r="K21" s="45"/>
      <c r="L21" s="9"/>
      <c r="M21" s="16"/>
    </row>
    <row r="22" spans="2:18" ht="15.6" x14ac:dyDescent="0.3">
      <c r="B22" s="2"/>
      <c r="C22" s="2"/>
      <c r="D22" s="2"/>
      <c r="E22" s="123"/>
      <c r="F22" s="25"/>
      <c r="G22" s="26"/>
      <c r="H22" s="8"/>
      <c r="I22" s="8"/>
      <c r="J22" s="2"/>
      <c r="K22" s="4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4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4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4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2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'02'!B1+1</f>
        <v>45415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IF(vend3[[#This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6" x14ac:dyDescent="0.3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I35" sqref="I35"/>
    </sheetView>
  </sheetViews>
  <sheetFormatPr defaultColWidth="9.109375" defaultRowHeight="13.2" x14ac:dyDescent="0.25"/>
  <cols>
    <col min="1" max="1" width="3.6640625" style="1" customWidth="1"/>
    <col min="2" max="2" width="29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5.8867187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3">
        <f>'03'!B1+1</f>
        <v>45416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5.6" x14ac:dyDescent="0.3">
      <c r="B15" s="28" t="s">
        <v>10</v>
      </c>
      <c r="C15" s="32">
        <f>SUM(C11:C14)</f>
        <v>85</v>
      </c>
      <c r="D15" s="2"/>
      <c r="E15" s="18"/>
      <c r="F15" s="25"/>
      <c r="G15" s="26"/>
      <c r="H15" s="8"/>
      <c r="I15" s="8"/>
      <c r="J15" s="2"/>
      <c r="K15" s="94"/>
      <c r="L15" s="95"/>
      <c r="M15" s="96"/>
      <c r="R15" s="1">
        <f>IF(vend4[[#This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94"/>
      <c r="L16" s="94"/>
      <c r="M16" s="96"/>
      <c r="R16" s="1">
        <f>IF(vend4[[#This Row],[Nº Venda]]&gt;1,1,0)</f>
        <v>0</v>
      </c>
    </row>
    <row r="17" spans="2:18" ht="17.399999999999999" x14ac:dyDescent="0.45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6" x14ac:dyDescent="0.3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85"/>
      <c r="F26" s="64"/>
      <c r="G26" s="97"/>
      <c r="H26" s="71"/>
      <c r="I26" s="71"/>
      <c r="J26" s="2"/>
      <c r="K26" s="25"/>
      <c r="L26" s="9"/>
      <c r="M26" s="16"/>
    </row>
    <row r="27" spans="2:18" ht="15.6" x14ac:dyDescent="0.3">
      <c r="B27" s="2"/>
      <c r="C27" s="2"/>
      <c r="D27" s="2"/>
      <c r="E27" s="85"/>
      <c r="F27" s="64"/>
      <c r="G27" s="97"/>
      <c r="H27" s="71"/>
      <c r="I27" s="71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>
        <v>1544</v>
      </c>
      <c r="F35" s="25" t="s">
        <v>133</v>
      </c>
      <c r="G35" s="26" t="s">
        <v>6</v>
      </c>
      <c r="H35" s="8">
        <v>85</v>
      </c>
      <c r="I35" s="8" t="s">
        <v>89</v>
      </c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9.1093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2.10937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3">
        <f>'04'!B1+1</f>
        <v>45417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85"/>
      <c r="F6" s="64"/>
      <c r="G6" s="97"/>
      <c r="H6" s="71"/>
      <c r="I6" s="71"/>
      <c r="J6" s="2"/>
      <c r="K6" s="25"/>
      <c r="L6" s="9"/>
      <c r="M6" s="16"/>
      <c r="R6" s="1">
        <f>IF(vend5[[#This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6" x14ac:dyDescent="0.3">
      <c r="B11" s="99" t="s">
        <v>6</v>
      </c>
      <c r="C11" s="98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IF(vend5[[#This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IF(vend5[[#This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N15" s="16"/>
      <c r="R15" s="1">
        <f>IF(vend5[[#This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N16" s="16"/>
      <c r="R16" s="1">
        <f>IF(vend5[[#This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6" x14ac:dyDescent="0.3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85"/>
      <c r="F36" s="64"/>
      <c r="G36" s="86"/>
      <c r="H36" s="71"/>
      <c r="I36" s="71"/>
      <c r="K36" s="25"/>
      <c r="L36" s="41"/>
      <c r="M36" s="16"/>
    </row>
    <row r="37" spans="5:18" ht="15.6" x14ac:dyDescent="0.3">
      <c r="E37" s="85"/>
      <c r="F37" s="64"/>
      <c r="G37" s="86"/>
      <c r="H37" s="71"/>
      <c r="I37" s="71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B1" zoomScale="80" zoomScaleNormal="80" workbookViewId="0">
      <selection activeCell="F18" sqref="F18"/>
    </sheetView>
  </sheetViews>
  <sheetFormatPr defaultColWidth="9.109375" defaultRowHeight="13.2" x14ac:dyDescent="0.25"/>
  <cols>
    <col min="1" max="1" width="3.6640625" style="1" customWidth="1"/>
    <col min="2" max="2" width="29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4.332031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7.66406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3">
        <f>'05'!B1+1</f>
        <v>45418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85"/>
      <c r="F6" s="64"/>
      <c r="G6" s="86"/>
      <c r="H6" s="71"/>
      <c r="I6" s="71"/>
      <c r="J6" s="2"/>
      <c r="K6" s="25"/>
      <c r="L6" s="9"/>
      <c r="M6" s="16"/>
      <c r="R6" s="1">
        <f>IF(vend[[#This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6" x14ac:dyDescent="0.3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85"/>
      <c r="F26" s="64"/>
      <c r="G26" s="86"/>
      <c r="H26" s="71"/>
      <c r="I26" s="71"/>
      <c r="J26" s="2"/>
      <c r="K26" s="25"/>
      <c r="L26" s="9"/>
      <c r="M26" s="16"/>
    </row>
    <row r="27" spans="2:18" ht="15.6" x14ac:dyDescent="0.3">
      <c r="B27" s="2"/>
      <c r="C27" s="2"/>
      <c r="D27" s="2"/>
      <c r="E27" s="85"/>
      <c r="F27" s="64"/>
      <c r="G27" s="86"/>
      <c r="H27" s="71"/>
      <c r="I27" s="71"/>
      <c r="J27" s="2"/>
      <c r="K27" s="25"/>
      <c r="L27" s="9"/>
      <c r="M27" s="16"/>
    </row>
    <row r="28" spans="2:18" ht="15.6" x14ac:dyDescent="0.3">
      <c r="B28" s="2"/>
      <c r="C28" s="2"/>
      <c r="D28" s="2"/>
      <c r="E28" s="85"/>
      <c r="F28" s="64"/>
      <c r="G28" s="86"/>
      <c r="H28" s="71"/>
      <c r="I28" s="71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" zoomScale="80" zoomScaleNormal="80" workbookViewId="0">
      <selection activeCell="H15" sqref="H15"/>
    </sheetView>
  </sheetViews>
  <sheetFormatPr defaultColWidth="9.109375" defaultRowHeight="13.2" x14ac:dyDescent="0.25"/>
  <cols>
    <col min="1" max="1" width="3.6640625" style="1" customWidth="1"/>
    <col min="2" max="2" width="29.441406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21" ht="31.2" x14ac:dyDescent="0.6">
      <c r="B1" s="83">
        <f>'06'!B1+1</f>
        <v>45419</v>
      </c>
    </row>
    <row r="2" spans="2:21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21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  <c r="U4" s="1">
        <v>0</v>
      </c>
    </row>
    <row r="5" spans="2:21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6" x14ac:dyDescent="0.3">
      <c r="B6" s="23" t="s">
        <v>2</v>
      </c>
      <c r="C6" s="24">
        <f>SUM(I6:I41)</f>
        <v>0</v>
      </c>
      <c r="D6" s="2"/>
      <c r="E6" s="18"/>
      <c r="F6" s="81"/>
      <c r="G6" s="81"/>
      <c r="H6" s="82"/>
      <c r="I6" s="82"/>
      <c r="J6" s="2"/>
      <c r="K6" s="25"/>
      <c r="L6" s="9"/>
      <c r="M6" s="16"/>
      <c r="R6" s="1">
        <f>IF(vend7[[#This Row],[Nº Venda]]&gt;1,1,0)</f>
        <v>0</v>
      </c>
    </row>
    <row r="7" spans="2:21" ht="15.6" x14ac:dyDescent="0.3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IF(vend7[[#This Row],[Nº Venda]]&gt;1,1,0)</f>
        <v>0</v>
      </c>
    </row>
    <row r="12" spans="2:21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IF(vend7[[#This Row],[Nº Venda]]&gt;1,1,0)</f>
        <v>0</v>
      </c>
    </row>
    <row r="14" spans="2:21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6" x14ac:dyDescent="0.3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4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4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6" x14ac:dyDescent="0.3">
      <c r="B26" s="2"/>
      <c r="C26" s="2"/>
      <c r="D26" s="2"/>
      <c r="E26" s="72"/>
      <c r="F26" s="63"/>
      <c r="G26" s="73"/>
      <c r="H26" s="74"/>
      <c r="I26" s="74"/>
      <c r="J26" s="2"/>
      <c r="K26" s="4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disablePrompts="1"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I14" sqref="I14"/>
    </sheetView>
  </sheetViews>
  <sheetFormatPr defaultColWidth="9.109375" defaultRowHeight="13.2" x14ac:dyDescent="0.25"/>
  <cols>
    <col min="1" max="1" width="3.6640625" style="1" customWidth="1"/>
    <col min="2" max="2" width="29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0.66406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3">
        <f>'07'!B1+1</f>
        <v>45420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84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84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84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6" x14ac:dyDescent="0.3">
      <c r="B9" s="2"/>
      <c r="C9" s="2"/>
      <c r="D9" s="2"/>
      <c r="E9" s="84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6" x14ac:dyDescent="0.3">
      <c r="B11" s="30" t="s">
        <v>6</v>
      </c>
      <c r="C11" s="80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6" x14ac:dyDescent="0.3">
      <c r="B12" s="30" t="s">
        <v>7</v>
      </c>
      <c r="C12" s="80">
        <f>(SUMIF($G$2:$G$31,B12,$I$2:$I$31))+(SUMIF($G$35:$G$42,B12,$H$35:$H$42))</f>
        <v>137.5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6" x14ac:dyDescent="0.3">
      <c r="B13" s="30" t="s">
        <v>8</v>
      </c>
      <c r="C13" s="80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IF(vend8[[#This Row],[Nº Venda]]&gt;1,1,0)</f>
        <v>0</v>
      </c>
    </row>
    <row r="14" spans="2:18" ht="15.6" x14ac:dyDescent="0.3">
      <c r="B14" s="30" t="s">
        <v>9</v>
      </c>
      <c r="C14" s="80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6" x14ac:dyDescent="0.3">
      <c r="B15" s="28" t="s">
        <v>10</v>
      </c>
      <c r="C15" s="32">
        <f>SUM(C11:C14)</f>
        <v>137.5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64"/>
      <c r="L16" s="69"/>
      <c r="M16" s="70"/>
      <c r="R16" s="1">
        <f>IF(vend8[[#This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6" x14ac:dyDescent="0.3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72"/>
      <c r="F26" s="100"/>
      <c r="G26" s="101"/>
      <c r="H26" s="74"/>
      <c r="I26" s="74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>
        <v>1580</v>
      </c>
      <c r="F35" s="25" t="s">
        <v>134</v>
      </c>
      <c r="G35" s="26" t="s">
        <v>7</v>
      </c>
      <c r="H35" s="8">
        <v>137.5</v>
      </c>
      <c r="I35" s="8" t="s">
        <v>54</v>
      </c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93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35"/>
      <c r="F41" s="39"/>
      <c r="G41" s="26"/>
      <c r="H41" s="8"/>
      <c r="I41" s="8"/>
      <c r="K41" s="44"/>
      <c r="L41" s="41"/>
      <c r="M41" s="40"/>
    </row>
    <row r="42" spans="5:18" ht="15.6" x14ac:dyDescent="0.3">
      <c r="E42" s="35"/>
      <c r="F42" s="77"/>
      <c r="G42" s="78"/>
      <c r="H42" s="79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G13" sqref="G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5.33203125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22" ht="27.6" x14ac:dyDescent="0.65">
      <c r="B1" s="58">
        <f>'08'!B1+1</f>
        <v>45421</v>
      </c>
    </row>
    <row r="2" spans="2:22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22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22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6" x14ac:dyDescent="0.3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6" x14ac:dyDescent="0.3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IF(vend9[[#This Row],[Nº Venda]]&gt;1,1,0)</f>
        <v>0</v>
      </c>
    </row>
    <row r="12" spans="2:22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IF(vend9[[#This Row],[Nº Venda]]&gt;1,1,0)</f>
        <v>0</v>
      </c>
    </row>
    <row r="14" spans="2:22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6" x14ac:dyDescent="0.3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6" x14ac:dyDescent="0.3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I14" sqref="I14"/>
    </sheetView>
  </sheetViews>
  <sheetFormatPr defaultColWidth="9.109375" defaultRowHeight="13.2" x14ac:dyDescent="0.25"/>
  <cols>
    <col min="1" max="1" width="3.6640625" style="1" customWidth="1"/>
    <col min="2" max="2" width="28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2.10937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3">
        <f>'09'!B1+1</f>
        <v>45422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SUMIF(I6:I32,"&gt;0",H6:H32)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6" x14ac:dyDescent="0.3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IF(vend10[[#This Row],[Nº Venda]]&gt;1,1,0)</f>
        <v>0</v>
      </c>
    </row>
    <row r="12" spans="2:18" ht="15.6" x14ac:dyDescent="0.3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6" x14ac:dyDescent="0.3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IF(vend10[[#This Row],[Nº Venda]]&gt;1,1,0)</f>
        <v>0</v>
      </c>
    </row>
    <row r="14" spans="2:18" ht="15.6" x14ac:dyDescent="0.3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>
        <v>1964</v>
      </c>
      <c r="L15" s="9" t="s">
        <v>135</v>
      </c>
      <c r="M15" s="16" t="s">
        <v>132</v>
      </c>
      <c r="R15" s="1">
        <f>IF(vend10[[#This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R16" s="1">
        <f>IF(vend10[[#This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64"/>
      <c r="L17" s="69"/>
      <c r="M17" s="70"/>
      <c r="R17" s="1">
        <f>IF(vend10[[#This Row],[Nº Venda]]&gt;1,1,0)</f>
        <v>0</v>
      </c>
    </row>
    <row r="18" spans="2:18" ht="15.6" x14ac:dyDescent="0.3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6" x14ac:dyDescent="0.3">
      <c r="B32" s="2"/>
      <c r="C32" s="2"/>
      <c r="E32" s="18"/>
      <c r="F32" s="39"/>
      <c r="G32" s="26"/>
      <c r="H32" s="8"/>
      <c r="I32" s="8"/>
    </row>
    <row r="33" spans="5:18" ht="14.4" x14ac:dyDescent="0.3">
      <c r="E33" s="33"/>
      <c r="K33" s="127" t="s">
        <v>11</v>
      </c>
      <c r="L33" s="128"/>
      <c r="M33" s="129"/>
    </row>
    <row r="34" spans="5:18" ht="14.4" x14ac:dyDescent="0.3">
      <c r="E34" s="126" t="s">
        <v>27</v>
      </c>
      <c r="F34" s="126"/>
      <c r="G34" s="126"/>
      <c r="H34" s="126"/>
      <c r="I34" s="126"/>
      <c r="K34" s="14" t="s">
        <v>22</v>
      </c>
      <c r="L34" s="6" t="s">
        <v>30</v>
      </c>
      <c r="M34" s="15" t="s">
        <v>31</v>
      </c>
    </row>
    <row r="35" spans="5:18" ht="14.4" x14ac:dyDescent="0.3">
      <c r="E35" s="10" t="s">
        <v>124</v>
      </c>
      <c r="F35" s="10" t="s">
        <v>125</v>
      </c>
      <c r="G35" s="11" t="s">
        <v>126</v>
      </c>
      <c r="H35" s="12" t="s">
        <v>127</v>
      </c>
      <c r="I35" s="13" t="s">
        <v>128</v>
      </c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25"/>
      <c r="G39" s="26"/>
      <c r="H39" s="8"/>
      <c r="I39" s="8"/>
      <c r="K39" s="25"/>
      <c r="L39" s="41"/>
      <c r="M39" s="16"/>
    </row>
    <row r="40" spans="5:18" ht="15.6" x14ac:dyDescent="0.3">
      <c r="E40" s="18"/>
      <c r="F40" s="39"/>
      <c r="G40" s="26"/>
      <c r="H40" s="8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35"/>
      <c r="F41" s="36"/>
      <c r="G41" s="37"/>
      <c r="H41" s="17"/>
      <c r="I41" s="8"/>
      <c r="K41" s="44"/>
      <c r="L41" s="41"/>
      <c r="M41" s="40"/>
    </row>
    <row r="42" spans="5:18" ht="15.6" x14ac:dyDescent="0.3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7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3">
        <f>'10'!B1+1</f>
        <v>45423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IF(vend11[[#This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IF(vend11[[#This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6" x14ac:dyDescent="0.3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'11'!B1+1</f>
        <v>45424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4.4" x14ac:dyDescent="0.3">
      <c r="B6" s="23" t="s">
        <v>2</v>
      </c>
      <c r="C6" s="24">
        <f>SUM(I6:I41)</f>
        <v>0</v>
      </c>
      <c r="D6" s="2"/>
      <c r="E6" s="92"/>
      <c r="F6" s="52"/>
      <c r="G6" s="52"/>
      <c r="H6" s="53"/>
      <c r="I6" s="53"/>
      <c r="J6" s="2"/>
      <c r="K6" s="25"/>
      <c r="L6" s="9"/>
      <c r="M6" s="16"/>
      <c r="R6" s="1">
        <f>IF(vend12[[#This Row],[Nº Venda]]&gt;1,1,0)</f>
        <v>0</v>
      </c>
    </row>
    <row r="7" spans="2:18" ht="14.4" x14ac:dyDescent="0.3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IF(vend12[[#This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IF(vend12[[#This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6" x14ac:dyDescent="0.3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'12'!B1+1</f>
        <v>45425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6" x14ac:dyDescent="0.3">
      <c r="B10" s="125" t="s">
        <v>5</v>
      </c>
      <c r="C10" s="12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IF(vend13[[#This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7" t="s">
        <v>21</v>
      </c>
      <c r="L13" s="128"/>
      <c r="M13" s="129"/>
      <c r="R13" s="1">
        <f>IF(vend13[[#This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6" x14ac:dyDescent="0.3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6" x14ac:dyDescent="0.3">
      <c r="B17" s="125" t="s">
        <v>11</v>
      </c>
      <c r="C17" s="125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6" x14ac:dyDescent="0.3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6" x14ac:dyDescent="0.3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18"/>
      <c r="F35" s="25"/>
      <c r="G35" s="26"/>
      <c r="H35" s="8"/>
      <c r="I35" s="8"/>
      <c r="K35" s="25"/>
      <c r="L35" s="41"/>
      <c r="M35" s="16"/>
    </row>
    <row r="36" spans="5:18" ht="15.6" x14ac:dyDescent="0.3">
      <c r="E36" s="18"/>
      <c r="F36" s="25"/>
      <c r="G36" s="26"/>
      <c r="H36" s="8"/>
      <c r="I36" s="8"/>
      <c r="K36" s="25"/>
      <c r="L36" s="41"/>
      <c r="M36" s="16"/>
    </row>
    <row r="37" spans="5:18" ht="15.6" x14ac:dyDescent="0.3">
      <c r="E37" s="18"/>
      <c r="F37" s="25"/>
      <c r="G37" s="26"/>
      <c r="H37" s="8"/>
      <c r="I37" s="8"/>
      <c r="K37" s="25"/>
      <c r="L37" s="41"/>
      <c r="M37" s="16"/>
    </row>
    <row r="38" spans="5:18" ht="15.6" x14ac:dyDescent="0.3">
      <c r="E38" s="18"/>
      <c r="F38" s="25"/>
      <c r="G38" s="26"/>
      <c r="H38" s="8"/>
      <c r="I38" s="8"/>
      <c r="K38" s="25"/>
      <c r="L38" s="41"/>
      <c r="M38" s="16"/>
    </row>
    <row r="39" spans="5:18" ht="15.6" x14ac:dyDescent="0.3">
      <c r="E39" s="18"/>
      <c r="F39" s="39"/>
      <c r="G39" s="26"/>
      <c r="H39" s="8"/>
      <c r="I39" s="8"/>
      <c r="K39" s="25"/>
      <c r="L39" s="41"/>
      <c r="M39" s="16"/>
    </row>
    <row r="40" spans="5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9.441406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'13'!B1+1</f>
        <v>45426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2"/>
      <c r="H6" s="103"/>
      <c r="I6" s="103"/>
      <c r="J6" s="2"/>
      <c r="K6" s="105"/>
      <c r="L6" s="95"/>
      <c r="M6" s="96"/>
      <c r="R6" s="1">
        <f>IF(vend14[[#This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IF(vend14[[#This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IF(vend14[[#This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IF(vend14[[#This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IF(vend14[[#This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IF(vend14[[#This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IF(vend14[[#This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IF(vend14[[#This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IF(vend14[[#This Row],[Nº Venda]]&gt;1,1,0)</f>
        <v>0</v>
      </c>
    </row>
    <row r="18" spans="2:18" ht="15.6" x14ac:dyDescent="0.3">
      <c r="B18" s="30">
        <f>COUNT(entr_carn14[OS])</f>
        <v>0</v>
      </c>
      <c r="C18" s="31">
        <f>SUM(entr_carn14[Valor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IF(vend14[[#This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IF(vend14[[#This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IF(vend14[[#This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M35" sqref="M35"/>
    </sheetView>
  </sheetViews>
  <sheetFormatPr defaultColWidth="9.109375" defaultRowHeight="13.2" x14ac:dyDescent="0.25"/>
  <cols>
    <col min="1" max="1" width="3.6640625" style="1" customWidth="1"/>
    <col min="2" max="2" width="27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'14'!B1+1</f>
        <v>45427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900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960</v>
      </c>
      <c r="D6" s="2"/>
      <c r="E6" s="94">
        <v>1967</v>
      </c>
      <c r="F6" s="94" t="s">
        <v>136</v>
      </c>
      <c r="G6" s="102" t="s">
        <v>8</v>
      </c>
      <c r="H6" s="103">
        <v>900</v>
      </c>
      <c r="I6" s="103">
        <v>900</v>
      </c>
      <c r="J6" s="2"/>
      <c r="K6" s="105"/>
      <c r="L6" s="95"/>
      <c r="M6" s="96"/>
      <c r="R6" s="1">
        <f>IF(vend15[[#This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IF(vend15[[#This Row],[Nº Venda]]&gt;1,1,0)</f>
        <v>0</v>
      </c>
    </row>
    <row r="8" spans="2:18" ht="15.6" x14ac:dyDescent="0.3">
      <c r="B8" s="28" t="s">
        <v>20</v>
      </c>
      <c r="C8" s="29">
        <f>SUM(C6:C7)</f>
        <v>960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IF(vend15[[#This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IF(vend15[[#This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IF(vend15[[#This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IF(vend15[[#This Row],[Nº Venda]]&gt;1,1,0)</f>
        <v>0</v>
      </c>
    </row>
    <row r="13" spans="2:18" ht="15.6" x14ac:dyDescent="0.3">
      <c r="B13" s="30" t="s">
        <v>8</v>
      </c>
      <c r="C13" s="31">
        <f t="shared" si="0"/>
        <v>900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IF(vend15[[#This Row],[Nº Venda]]&gt;1,1,0)</f>
        <v>0</v>
      </c>
    </row>
    <row r="14" spans="2:18" ht="15.6" x14ac:dyDescent="0.3">
      <c r="B14" s="30" t="s">
        <v>9</v>
      </c>
      <c r="C14" s="31">
        <f t="shared" si="0"/>
        <v>60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6" x14ac:dyDescent="0.3">
      <c r="B15" s="28" t="s">
        <v>10</v>
      </c>
      <c r="C15" s="32">
        <f>SUM(C11:C14)</f>
        <v>960</v>
      </c>
      <c r="D15" s="2"/>
      <c r="E15" s="94"/>
      <c r="F15" s="94"/>
      <c r="G15" s="104"/>
      <c r="H15" s="103"/>
      <c r="I15" s="103"/>
      <c r="J15" s="2"/>
      <c r="K15" s="105">
        <v>1957</v>
      </c>
      <c r="L15" s="95" t="s">
        <v>131</v>
      </c>
      <c r="M15" s="96" t="s">
        <v>138</v>
      </c>
      <c r="R15" s="1">
        <f>IF(vend15[[#This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IF(vend15[[#This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IF(vend15[[#This Row],[Nº Venda]]&gt;1,1,0)</f>
        <v>0</v>
      </c>
    </row>
    <row r="18" spans="2:18" ht="15.6" x14ac:dyDescent="0.3">
      <c r="B18" s="30">
        <f>COUNT(entr_carn15[OS])</f>
        <v>1</v>
      </c>
      <c r="C18" s="31">
        <f>SUM(entr_carn15[Valor Total])</f>
        <v>1053.2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IF(vend15[[#This Row],[Nº Venda]]&gt;1,1,0)</f>
        <v>0</v>
      </c>
    </row>
    <row r="19" spans="2:18" ht="15.6" x14ac:dyDescent="0.3">
      <c r="B19" s="28" t="s">
        <v>10</v>
      </c>
      <c r="C19" s="32">
        <f>SUM(C18:C18)</f>
        <v>1053.2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IF(vend15[[#This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IF(vend15[[#This Row],[Nº Venda]]&gt;1,1,0)</f>
        <v>0</v>
      </c>
    </row>
    <row r="21" spans="2:18" ht="15.6" x14ac:dyDescent="0.3">
      <c r="B21" s="28" t="s">
        <v>25</v>
      </c>
      <c r="C21" s="32">
        <f>C5</f>
        <v>900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>
        <v>1957</v>
      </c>
      <c r="F26" s="94" t="s">
        <v>137</v>
      </c>
      <c r="G26" s="102" t="s">
        <v>9</v>
      </c>
      <c r="H26" s="103"/>
      <c r="I26" s="103">
        <v>60</v>
      </c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>
        <v>1957</v>
      </c>
      <c r="L35" s="108">
        <v>9</v>
      </c>
      <c r="M35" s="96">
        <v>1053.2</v>
      </c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70" zoomScaleNormal="7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7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'15'!B1+1</f>
        <v>45428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2"/>
      <c r="H6" s="103"/>
      <c r="I6" s="103"/>
      <c r="J6" s="2"/>
      <c r="K6" s="105"/>
      <c r="L6" s="95"/>
      <c r="M6" s="96"/>
      <c r="R6" s="1">
        <f>IF(vend16[[#This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IF(vend16[[#This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IF(vend16[[#This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IF(vend16[[#This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IF(vend16[[#This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IF(vend16[[#This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IF(vend16[[#This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IF(vend16[[#This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IF(vend16[[#This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IF(vend16[[#This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IF(vend16[[#This Row],[Nº Venda]]&gt;1,1,0)</f>
        <v>0</v>
      </c>
    </row>
    <row r="18" spans="2:18" ht="15.6" x14ac:dyDescent="0.3">
      <c r="B18" s="30">
        <f>COUNT(entr_carn16[OS])</f>
        <v>0</v>
      </c>
      <c r="C18" s="31">
        <f>SUM(entr_carn16[Valor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IF(vend16[[#This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IF(vend16[[#This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IF(vend16[[#This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2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'16'!B1+1</f>
        <v>45429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IF(vend17[[#This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IF(vend17[[#This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IF(vend17[[#This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IF(vend17[[#This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IF(vend17[[#This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IF(vend17[[#This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IF(vend17[[#This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IF(vend17[[#This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IF(vend17[[#This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IF(vend17[[#This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IF(vend17[[#This Row],[Nº Venda]]&gt;1,1,0)</f>
        <v>0</v>
      </c>
    </row>
    <row r="18" spans="2:18" ht="15.6" x14ac:dyDescent="0.3">
      <c r="B18" s="30">
        <f>COUNT(entr_carn17[OS])</f>
        <v>0</v>
      </c>
      <c r="C18" s="31">
        <f>SUM(entr_carn17[Valor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IF(vend17[[#This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IF(vend17[[#This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IF(vend17[[#This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10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K16" sqref="K16"/>
    </sheetView>
  </sheetViews>
  <sheetFormatPr defaultColWidth="9.109375" defaultRowHeight="13.2" x14ac:dyDescent="0.25"/>
  <cols>
    <col min="1" max="1" width="3.6640625" style="1" customWidth="1"/>
    <col min="2" max="2" width="27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'17'!B1+1</f>
        <v>45430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1649.9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189.9</v>
      </c>
      <c r="D6" s="2"/>
      <c r="E6" s="112">
        <v>1968</v>
      </c>
      <c r="F6" s="112" t="s">
        <v>139</v>
      </c>
      <c r="G6" s="113" t="s">
        <v>8</v>
      </c>
      <c r="H6" s="114">
        <v>1200</v>
      </c>
      <c r="I6" s="114">
        <v>100</v>
      </c>
      <c r="J6" s="2"/>
      <c r="K6" s="105"/>
      <c r="L6" s="107"/>
      <c r="M6" s="96"/>
      <c r="R6" s="1">
        <f>IF(vend18[[#This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94">
        <v>1969</v>
      </c>
      <c r="F7" s="94" t="s">
        <v>140</v>
      </c>
      <c r="G7" s="104" t="s">
        <v>8</v>
      </c>
      <c r="H7" s="103">
        <v>449.9</v>
      </c>
      <c r="I7" s="103">
        <v>89.9</v>
      </c>
      <c r="J7" s="2"/>
      <c r="K7" s="105"/>
      <c r="L7" s="95"/>
      <c r="M7" s="96"/>
      <c r="R7" s="1">
        <f>IF(vend18[[#This Row],[Nº Venda]]&gt;1,1,0)</f>
        <v>1</v>
      </c>
    </row>
    <row r="8" spans="2:18" ht="15.6" x14ac:dyDescent="0.3">
      <c r="B8" s="28" t="s">
        <v>20</v>
      </c>
      <c r="C8" s="29">
        <f>SUM(C6:C7)</f>
        <v>189.9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IF(vend18[[#This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IF(vend18[[#This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IF(vend18[[#This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IF(vend18[[#This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IF(vend18[[#This Row],[Nº Venda]]&gt;1,1,0)</f>
        <v>0</v>
      </c>
    </row>
    <row r="13" spans="2:18" ht="15.6" x14ac:dyDescent="0.3">
      <c r="B13" s="30" t="s">
        <v>8</v>
      </c>
      <c r="C13" s="31">
        <f t="shared" si="0"/>
        <v>189.9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IF(vend18[[#This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6" x14ac:dyDescent="0.3">
      <c r="B15" s="28" t="s">
        <v>10</v>
      </c>
      <c r="C15" s="32">
        <f>SUM(C11:C14)</f>
        <v>189.9</v>
      </c>
      <c r="D15" s="2"/>
      <c r="E15" s="94"/>
      <c r="F15" s="94"/>
      <c r="G15" s="104"/>
      <c r="H15" s="103"/>
      <c r="I15" s="103"/>
      <c r="J15" s="2"/>
      <c r="K15" s="105">
        <v>1966</v>
      </c>
      <c r="L15" s="95" t="s">
        <v>141</v>
      </c>
      <c r="M15" s="96" t="s">
        <v>132</v>
      </c>
      <c r="R15" s="1">
        <f>IF(vend18[[#This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IF(vend18[[#This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IF(vend18[[#This Row],[Nº Venda]]&gt;1,1,0)</f>
        <v>0</v>
      </c>
    </row>
    <row r="18" spans="2:18" ht="15.6" x14ac:dyDescent="0.3">
      <c r="B18" s="30">
        <f>COUNT(entr_carn18[OS])</f>
        <v>0</v>
      </c>
      <c r="C18" s="31">
        <f>SUM(entr_carn18[Valor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IF(vend18[[#This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IF(vend18[[#This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IF(vend18[[#This Row],[Nº Venda]]&gt;1,1,0)</f>
        <v>0</v>
      </c>
    </row>
    <row r="21" spans="2:18" ht="15.6" x14ac:dyDescent="0.3">
      <c r="B21" s="28" t="s">
        <v>25</v>
      </c>
      <c r="C21" s="32">
        <f>C5</f>
        <v>1649.9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67"/>
      <c r="F23" s="67"/>
      <c r="G23" s="67"/>
      <c r="H23" s="68"/>
      <c r="I23" s="68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B1" zoomScale="80" zoomScaleNormal="80" zoomScaleSheetLayoutView="7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7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'18'!B1+1</f>
        <v>45431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IF(vend19[[#This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IF(vend19[[#This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IF(vend19[[#This Row],[Nº Venda]]&gt;1,1,0)</f>
        <v>0</v>
      </c>
    </row>
    <row r="9" spans="2:18" ht="15.6" x14ac:dyDescent="0.3">
      <c r="B9" s="2"/>
      <c r="C9" s="2"/>
      <c r="D9" s="2"/>
      <c r="E9" s="112"/>
      <c r="F9" s="112"/>
      <c r="G9" s="113"/>
      <c r="H9" s="114"/>
      <c r="I9" s="114"/>
      <c r="J9" s="2"/>
      <c r="K9" s="105"/>
      <c r="L9" s="95"/>
      <c r="M9" s="96"/>
      <c r="R9" s="1">
        <f>IF(vend19[[#This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IF(vend19[[#This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IF(vend19[[#This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IF(vend19[[#This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IF(vend19[[#This Row],[Nº Venda]]&gt;1,1,0)</f>
        <v>0</v>
      </c>
    </row>
    <row r="17" spans="2:22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IF(vend19[[#This Row],[Nº Venda]]&gt;1,1,0)</f>
        <v>0</v>
      </c>
    </row>
    <row r="18" spans="2:22" ht="15.6" x14ac:dyDescent="0.3">
      <c r="B18" s="30">
        <f>COUNT(entr_carn19[OS])</f>
        <v>0</v>
      </c>
      <c r="C18" s="31">
        <f>SUM(entr_carn19[Valor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IF(vend19[[#This Row],[Nº Venda]]&gt;1,1,0)</f>
        <v>0</v>
      </c>
    </row>
    <row r="19" spans="2:22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IF(vend19[[#This Row],[Nº Venda]]&gt;1,1,0)</f>
        <v>0</v>
      </c>
    </row>
    <row r="20" spans="2:22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IF(vend19[[#This Row],[Nº Venda]]&gt;1,1,0)</f>
        <v>0</v>
      </c>
      <c r="V20" s="1" t="s">
        <v>56</v>
      </c>
    </row>
    <row r="21" spans="2:22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22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22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6" x14ac:dyDescent="0.3">
      <c r="B26" s="2"/>
      <c r="C26" s="2"/>
      <c r="D26" s="2"/>
      <c r="E26" s="94"/>
      <c r="F26" s="104"/>
      <c r="G26" s="104"/>
      <c r="H26" s="103"/>
      <c r="I26" s="103"/>
      <c r="J26" s="2"/>
      <c r="K26" s="105"/>
      <c r="L26" s="95"/>
      <c r="M26" s="96"/>
    </row>
    <row r="27" spans="2:22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6" x14ac:dyDescent="0.3">
      <c r="B29" s="2"/>
      <c r="C29" s="2"/>
      <c r="D29" s="2"/>
      <c r="E29" s="94"/>
      <c r="F29" s="94"/>
      <c r="G29" s="104"/>
      <c r="H29" s="104"/>
      <c r="I29" s="103"/>
      <c r="J29" s="2"/>
      <c r="K29" s="105"/>
      <c r="L29" s="95"/>
      <c r="M29" s="96"/>
    </row>
    <row r="30" spans="2:22" ht="15.6" x14ac:dyDescent="0.3">
      <c r="B30" s="2"/>
      <c r="C30" s="2"/>
      <c r="D30" s="2"/>
      <c r="E30" s="94"/>
      <c r="F30" s="94"/>
      <c r="G30" s="104"/>
      <c r="H30" s="103"/>
      <c r="I30" s="103"/>
      <c r="J30" s="2"/>
      <c r="K30" s="105"/>
      <c r="L30" s="95"/>
      <c r="M30" s="96"/>
    </row>
    <row r="31" spans="2:22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8.66406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'19'!B1+1</f>
        <v>45432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IF(vend20[[#This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IF(vend20[[#This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IF(vend20[[#This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IF(vend20[[#This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IF(vend20[[#This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IF(vend20[[#This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IF(vend20[[#This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IF(vend20[[#This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IF(vend20[[#This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IF(vend20[[#This Row],[Nº Venda]]&gt;1,1,0)</f>
        <v>0</v>
      </c>
    </row>
    <row r="18" spans="2:18" ht="15.6" x14ac:dyDescent="0.3">
      <c r="B18" s="30">
        <f>COUNT(entr_carn20[OS])</f>
        <v>0</v>
      </c>
      <c r="C18" s="31">
        <f>SUM(entr_carn20[Valor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IF(vend20[[#This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IF(vend20[[#This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IF(vend20[[#This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'20'!B1+1</f>
        <v>45433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IF(vend21[[#This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IF(vend21[[#This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IF(vend21[[#This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IF(vend21[[#This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IF(vend21[[#This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IF(vend21[[#This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IF(vend21[[#This Row],[Nº Venda]]&gt;1,1,0)</f>
        <v>0</v>
      </c>
    </row>
    <row r="18" spans="2:18" ht="15.6" x14ac:dyDescent="0.3">
      <c r="B18" s="30">
        <f>COUNT(entr_carn21[OS])</f>
        <v>0</v>
      </c>
      <c r="C18" s="31">
        <f>SUM(entr_carn21[Valor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IF(vend21[[#This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IF(vend21[[#This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IF(vend21[[#This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4" zoomScale="80" zoomScaleNormal="80" workbookViewId="0">
      <selection activeCell="G18" sqref="G1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'21'!B1+1</f>
        <v>45434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700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2</v>
      </c>
      <c r="D6" s="2"/>
      <c r="E6" s="94">
        <v>1970</v>
      </c>
      <c r="F6" s="94" t="s">
        <v>142</v>
      </c>
      <c r="G6" s="104" t="s">
        <v>38</v>
      </c>
      <c r="H6" s="103">
        <v>0</v>
      </c>
      <c r="I6" s="103">
        <v>0</v>
      </c>
      <c r="J6" s="2"/>
      <c r="K6" s="105"/>
      <c r="L6" s="95"/>
      <c r="M6" s="96"/>
      <c r="R6" s="1">
        <f>IF(vend22[[#This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94">
        <v>1971</v>
      </c>
      <c r="F7" s="94" t="s">
        <v>143</v>
      </c>
      <c r="G7" s="104" t="s">
        <v>7</v>
      </c>
      <c r="H7" s="103">
        <v>700</v>
      </c>
      <c r="I7" s="103">
        <v>2</v>
      </c>
      <c r="J7" s="2"/>
      <c r="K7" s="105"/>
      <c r="L7" s="95"/>
      <c r="M7" s="96"/>
      <c r="R7" s="1">
        <f>IF(vend22[[#This Row],[Nº Venda]]&gt;1,1,0)</f>
        <v>1</v>
      </c>
    </row>
    <row r="8" spans="2:18" ht="15.6" x14ac:dyDescent="0.3">
      <c r="B8" s="28" t="s">
        <v>20</v>
      </c>
      <c r="C8" s="29">
        <f>SUM(C6:C7)</f>
        <v>2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IF(vend22[[#This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IF(vend22[[#This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IF(vend22[[#This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2</v>
      </c>
      <c r="D12" s="2"/>
      <c r="E12" s="94"/>
      <c r="F12" s="94"/>
      <c r="G12" s="104"/>
      <c r="H12" s="103"/>
      <c r="I12" s="103"/>
      <c r="J12" s="2"/>
      <c r="R12" s="1">
        <f>IF(vend22[[#This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6" x14ac:dyDescent="0.3">
      <c r="B15" s="28" t="s">
        <v>10</v>
      </c>
      <c r="C15" s="32">
        <f>SUM(C11:C14)</f>
        <v>2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IF(vend22[[#This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IF(vend22[[#This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IF(vend22[[#This Row],[Nº Venda]]&gt;1,1,0)</f>
        <v>0</v>
      </c>
    </row>
    <row r="18" spans="2:18" ht="15.6" x14ac:dyDescent="0.3">
      <c r="B18" s="30">
        <f>COUNT(entr_carn22[OS])</f>
        <v>0</v>
      </c>
      <c r="C18" s="31">
        <f>SUM(entr_carn22[Valor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IF(vend22[[#This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IF(vend22[[#This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IF(vend22[[#This Row],[Nº Venda]]&gt;1,1,0)</f>
        <v>0</v>
      </c>
    </row>
    <row r="21" spans="2:18" ht="15.6" x14ac:dyDescent="0.3">
      <c r="B21" s="28" t="s">
        <v>25</v>
      </c>
      <c r="C21" s="32">
        <f>C5</f>
        <v>700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L16" sqref="L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'22'!B1+1</f>
        <v>45435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IF(vend23[[#This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IF(vend23[[#This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IF(vend23[[#This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IF(vend23[[#This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IF(vend23[[#This Row],[Nº Venda]]&gt;1,1,0)</f>
        <v>0</v>
      </c>
    </row>
    <row r="11" spans="2:18" ht="15.6" x14ac:dyDescent="0.3">
      <c r="B11" s="30" t="s">
        <v>6</v>
      </c>
      <c r="C11" s="80">
        <f>(SUMIF($G$2:$G$31,B11,$I$2:$I$31))+(SUMIF($G$35:$G$44,B11,$H$35:$H$44))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IF(vend23[[#This Row],[Nº Venda]]&gt;1,1,0)</f>
        <v>0</v>
      </c>
    </row>
    <row r="12" spans="2:18" ht="15.6" x14ac:dyDescent="0.3">
      <c r="B12" s="30" t="s">
        <v>7</v>
      </c>
      <c r="C12" s="80">
        <f>(SUMIF($G$2:$G$31,B12,$I$2:$I$31))+(SUMIF($G$35:$G$44,B12,$H$35:$H$44))</f>
        <v>0</v>
      </c>
      <c r="D12" s="2"/>
      <c r="E12" s="94"/>
      <c r="F12" s="94"/>
      <c r="G12" s="104"/>
      <c r="H12" s="103"/>
      <c r="I12" s="103"/>
      <c r="J12" s="2"/>
      <c r="R12" s="1">
        <f>IF(vend23[[#This Row],[Nº Venda]]&gt;1,1,0)</f>
        <v>0</v>
      </c>
    </row>
    <row r="13" spans="2:18" ht="15.6" x14ac:dyDescent="0.3">
      <c r="B13" s="30" t="s">
        <v>8</v>
      </c>
      <c r="C13" s="80">
        <f>(SUMIF($G$2:$G$31,B13,$I$2:$I$31))+(SUMIF($G$35:$G$44,B13,$H$35:$H$44))</f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IF(vend23[[#This Row],[Nº Venda]]&gt;1,1,0)</f>
        <v>0</v>
      </c>
    </row>
    <row r="14" spans="2:18" ht="15.6" x14ac:dyDescent="0.3">
      <c r="B14" s="30" t="s">
        <v>9</v>
      </c>
      <c r="C14" s="80">
        <f>(SUMIF($G$2:$G$31,B14,$I$2:$I$31))+(SUMIF($G$35:$G$44,B14,$H$35:$H$44))</f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>
        <v>1958</v>
      </c>
      <c r="L15" s="95" t="s">
        <v>141</v>
      </c>
      <c r="M15" s="96" t="s">
        <v>132</v>
      </c>
      <c r="R15" s="1">
        <f>IF(vend23[[#This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IF(vend23[[#This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IF(vend23[[#This Row],[Nº Venda]]&gt;1,1,0)</f>
        <v>0</v>
      </c>
    </row>
    <row r="18" spans="2:18" ht="15.6" x14ac:dyDescent="0.3">
      <c r="B18" s="30">
        <f>COUNT(entr_carn23[OS])</f>
        <v>0</v>
      </c>
      <c r="C18" s="31">
        <f>SUM(entr_carn23[Valor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IF(vend23[[#This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IF(vend23[[#This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IF(vend23[[#This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15"/>
      <c r="F41" s="104"/>
      <c r="G41" s="104"/>
      <c r="H41" s="103"/>
      <c r="I41" s="103"/>
      <c r="K41" s="44"/>
      <c r="L41" s="41"/>
      <c r="M41" s="40"/>
    </row>
    <row r="42" spans="5:18" ht="15.6" x14ac:dyDescent="0.3">
      <c r="E42" s="90"/>
      <c r="F42" s="77"/>
      <c r="G42" s="78"/>
      <c r="H42" s="79"/>
      <c r="I42" s="17"/>
    </row>
    <row r="43" spans="5:18" ht="15.6" x14ac:dyDescent="0.3">
      <c r="E43" s="90"/>
      <c r="F43" s="88"/>
      <c r="G43" s="87"/>
      <c r="H43" s="89"/>
      <c r="I43" s="8"/>
    </row>
    <row r="44" spans="5:18" ht="15.6" x14ac:dyDescent="0.3">
      <c r="E44" s="91"/>
      <c r="F44" s="77"/>
      <c r="G44" s="78"/>
      <c r="H44" s="7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L16" sqref="L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'23'!B1+1</f>
        <v>45436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IF(vend24[[#This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IF(vend24[[#This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IF(vend24[[#This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IF(vend24[[#This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199.99</v>
      </c>
      <c r="D12" s="2"/>
      <c r="E12" s="94"/>
      <c r="F12" s="94"/>
      <c r="G12" s="104"/>
      <c r="H12" s="103"/>
      <c r="I12" s="103"/>
      <c r="J12" s="2"/>
      <c r="R12" s="1">
        <f>IF(vend24[[#This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6" x14ac:dyDescent="0.3">
      <c r="B15" s="28" t="s">
        <v>10</v>
      </c>
      <c r="C15" s="32">
        <f>SUM(C11:C14)</f>
        <v>199.99</v>
      </c>
      <c r="D15" s="2"/>
      <c r="E15" s="94"/>
      <c r="F15" s="94"/>
      <c r="G15" s="104"/>
      <c r="H15" s="103"/>
      <c r="I15" s="103"/>
      <c r="J15" s="2"/>
      <c r="K15" s="105">
        <v>1956</v>
      </c>
      <c r="L15" s="95" t="s">
        <v>141</v>
      </c>
      <c r="M15" s="96" t="s">
        <v>132</v>
      </c>
      <c r="R15" s="1">
        <f>IF(vend24[[#This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IF(vend24[[#This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IF(vend24[[#This Row],[Nº Venda]]&gt;1,1,0)</f>
        <v>0</v>
      </c>
    </row>
    <row r="18" spans="2:18" ht="15.6" x14ac:dyDescent="0.3">
      <c r="B18" s="30">
        <f>COUNT(entr_carn24[OS])</f>
        <v>0</v>
      </c>
      <c r="C18" s="31">
        <f>SUM(entr_carn24[Valor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IF(vend24[[#This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IF(vend24[[#This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IF(vend24[[#This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>
        <v>1811</v>
      </c>
      <c r="F35" s="94" t="s">
        <v>144</v>
      </c>
      <c r="G35" s="104" t="s">
        <v>7</v>
      </c>
      <c r="H35" s="103">
        <v>199.99</v>
      </c>
      <c r="I35" s="103" t="s">
        <v>78</v>
      </c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A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1:18" ht="27.6" x14ac:dyDescent="0.65">
      <c r="B1" s="58">
        <f>'24'!B1+1</f>
        <v>45437</v>
      </c>
    </row>
    <row r="2" spans="1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1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1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1:18" ht="15.6" x14ac:dyDescent="0.3">
      <c r="A6" s="1">
        <v>67</v>
      </c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IF(vend25[[#This Row],[Nº Venda]]&gt;1,1,0)</f>
        <v>0</v>
      </c>
    </row>
    <row r="7" spans="1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IF(vend25[[#This Row],[Nº Venda]]&gt;1,1,0)</f>
        <v>0</v>
      </c>
    </row>
    <row r="8" spans="1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IF(vend25[[#This Row],[Nº Venda]]&gt;1,1,0)</f>
        <v>0</v>
      </c>
    </row>
    <row r="9" spans="1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IF(vend25[[#This Row],[Nº Venda]]&gt;1,1,0)</f>
        <v>0</v>
      </c>
    </row>
    <row r="10" spans="1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IF(vend25[[#This Row],[Nº Venda]]&gt;1,1,0)</f>
        <v>0</v>
      </c>
    </row>
    <row r="11" spans="1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IF(vend25[[#This Row],[Nº Venda]]&gt;1,1,0)</f>
        <v>0</v>
      </c>
    </row>
    <row r="12" spans="1:18" ht="15.6" x14ac:dyDescent="0.3">
      <c r="B12" s="30" t="s">
        <v>7</v>
      </c>
      <c r="C12" s="31">
        <f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IF(vend25[[#This Row],[Nº Venda]]&gt;1,1,0)</f>
        <v>0</v>
      </c>
    </row>
    <row r="13" spans="1:18" ht="15.6" x14ac:dyDescent="0.3">
      <c r="B13" s="30" t="s">
        <v>8</v>
      </c>
      <c r="C13" s="31">
        <f>(SUMIF($G$2:$G$31,B13,$I$2:$I$31))+(SUMIF($G$35:$G$41,B13,$H$35:$H$41))</f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IF(vend25[[#This Row],[Nº Venda]]&gt;1,1,0)</f>
        <v>0</v>
      </c>
    </row>
    <row r="14" spans="1:18" ht="15.6" x14ac:dyDescent="0.3">
      <c r="B14" s="30" t="s">
        <v>9</v>
      </c>
      <c r="C14" s="31">
        <f>(SUMIF($G$2:$G$31,B14,$I$2:$I$31))+(SUMIF($G$35:$G$41,B14,$H$35:$H$41))</f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1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IF(vend25[[#This Row],[Nº Venda]]&gt;1,1,0)</f>
        <v>0</v>
      </c>
    </row>
    <row r="16" spans="1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IF(vend25[[#This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IF(vend25[[#This Row],[Nº Venda]]&gt;1,1,0)</f>
        <v>0</v>
      </c>
    </row>
    <row r="18" spans="2:18" ht="15.6" x14ac:dyDescent="0.3">
      <c r="B18" s="30">
        <f>COUNT(entr_carn25[OS])</f>
        <v>0</v>
      </c>
      <c r="C18" s="31">
        <f>SUM(entr_carn25[Valor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IF(vend25[[#This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IF(vend25[[#This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IF(vend25[[#This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18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'25'!B1+1</f>
        <v>45438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IF(vend26[[#This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IF(vend26[[#This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IF(vend26[[#This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IF(vend26[[#This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IF(vend26[[#This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IF(vend26[[#This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IF(vend26[[#This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IF(vend26[[#This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IF(vend26[[#This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IF(vend26[[#This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IF(vend26[[#This Row],[Nº Venda]]&gt;1,1,0)</f>
        <v>0</v>
      </c>
    </row>
    <row r="18" spans="2:18" ht="15.6" x14ac:dyDescent="0.3">
      <c r="B18" s="30">
        <f>COUNT(entr_carn26[OS])</f>
        <v>0</v>
      </c>
      <c r="C18" s="31">
        <f>SUM(entr_carn26[Valor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IF(vend26[[#This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IF(vend26[[#This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IF(vend26[[#This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G6" sqref="G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'26'!B1+1</f>
        <v>45439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>
        <v>1972</v>
      </c>
      <c r="F6" s="94" t="s">
        <v>145</v>
      </c>
      <c r="G6" s="104" t="s">
        <v>48</v>
      </c>
      <c r="H6" s="103">
        <v>250</v>
      </c>
      <c r="I6" s="103">
        <v>0</v>
      </c>
      <c r="J6" s="2"/>
      <c r="K6" s="105"/>
      <c r="L6" s="95"/>
      <c r="M6" s="96"/>
      <c r="R6" s="1">
        <f>IF(vend27[[#This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IF(vend27[[#This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IF(vend27[[#This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IF(vend27[[#This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IF(vend27[[#This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IF(vend27[[#This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IF(vend27[[#This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IF(vend27[[#This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IF(vend27[[#This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IF(vend27[[#This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IF(vend27[[#This Row],[Nº Venda]]&gt;1,1,0)</f>
        <v>0</v>
      </c>
    </row>
    <row r="18" spans="2:18" ht="15.6" x14ac:dyDescent="0.3">
      <c r="B18" s="30">
        <f>COUNT(entr_carn27[OS])</f>
        <v>0</v>
      </c>
      <c r="C18" s="31">
        <f>SUM(entr_carn27[Valor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IF(vend27[[#This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IF(vend27[[#This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IF(vend27[[#This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'27'!B1+1</f>
        <v>45440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IF(vend28[[#This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IF(vend28[[#This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IF(vend28[[#This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IF(vend28[[#This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IF(vend28[[#This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IF(vend28[[#This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IF(vend28[[#This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IF(vend28[[#This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IF(vend28[[#This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IF(vend28[[#This Row],[Nº Venda]]&gt;1,1,0)</f>
        <v>0</v>
      </c>
    </row>
    <row r="18" spans="2:18" ht="15.6" x14ac:dyDescent="0.3">
      <c r="B18" s="30">
        <f>COUNT(entr_carn28[OS])</f>
        <v>0</v>
      </c>
      <c r="C18" s="31">
        <f>SUM(entr_carn28[Valor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IF(vend28[[#This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IF(vend28[[#This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IF(vend28[[#This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5.1093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'28'!B1+1</f>
        <v>45441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IF(vend29[[#This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IF(vend29[[#This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IF(vend29[[#This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IF(vend29[[#This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IF(vend29[[#This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IF(vend29[[#This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IF(vend29[[#This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IF(vend29[[#This Row],[Nº Venda]]&gt;1,1,0)</f>
        <v>0</v>
      </c>
    </row>
    <row r="17" spans="2:18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IF(vend29[[#This Row],[Nº Venda]]&gt;1,1,0)</f>
        <v>0</v>
      </c>
    </row>
    <row r="18" spans="2:18" ht="15.6" x14ac:dyDescent="0.3">
      <c r="B18" s="30">
        <f>COUNT(entr_carn29[OS])</f>
        <v>0</v>
      </c>
      <c r="C18" s="31">
        <f>SUM(entr_carn29[Valor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IF(vend29[[#This Row],[Nº Venda]]&gt;1,1,0)</f>
        <v>0</v>
      </c>
    </row>
    <row r="19" spans="2:18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IF(vend29[[#This Row],[Nº Venda]]&gt;1,1,0)</f>
        <v>0</v>
      </c>
    </row>
    <row r="20" spans="2:18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IF(vend29[[#This Row],[Nº Venda]]&gt;1,1,0)</f>
        <v>0</v>
      </c>
    </row>
    <row r="21" spans="2:18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18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B13" sqref="B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'29'!B1+1</f>
        <v>45442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IF(vend30[[#This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IF(vend30[[#This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IF(vend30[[#This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IF(vend30[[#This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IF(vend30[[#This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IF(vend30[[#This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IF(vend30[[#This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IF(vend30[[#This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IF(vend30[[#This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IF(vend30[[#This Row],[Nº Venda]]&gt;1,1,0)</f>
        <v>0</v>
      </c>
    </row>
    <row r="17" spans="2:22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IF(vend30[[#This Row],[Nº Venda]]&gt;1,1,0)</f>
        <v>0</v>
      </c>
    </row>
    <row r="18" spans="2:22" ht="15.6" x14ac:dyDescent="0.3">
      <c r="B18" s="30">
        <f>COUNT(entr_carn30[OS])</f>
        <v>0</v>
      </c>
      <c r="C18" s="31">
        <f>SUM(entr_carn30[Valor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IF(vend30[[#This Row],[Nº Venda]]&gt;1,1,0)</f>
        <v>0</v>
      </c>
    </row>
    <row r="19" spans="2:22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IF(vend30[[#This Row],[Nº Venda]]&gt;1,1,0)</f>
        <v>0</v>
      </c>
    </row>
    <row r="20" spans="2:22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IF(vend30[[#This Row],[Nº Venda]]&gt;1,1,0)</f>
        <v>0</v>
      </c>
    </row>
    <row r="21" spans="2:22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123</v>
      </c>
    </row>
    <row r="22" spans="2:22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22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834C-748B-4B2B-82BC-53E1E84BA26E}">
  <dimension ref="B1:V41"/>
  <sheetViews>
    <sheetView showGridLines="0" tabSelected="1" zoomScale="80" zoomScaleNormal="80" workbookViewId="0">
      <selection activeCell="B2" sqref="B2:M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8">
        <f>'30'!B1+1</f>
        <v>45443</v>
      </c>
    </row>
    <row r="2" spans="2:18" ht="18" x14ac:dyDescent="0.25">
      <c r="B2" s="130" t="s">
        <v>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33" t="s">
        <v>1</v>
      </c>
      <c r="F4" s="133"/>
      <c r="G4" s="133"/>
      <c r="H4" s="133"/>
      <c r="I4" s="133"/>
      <c r="J4" s="22"/>
      <c r="K4" s="127" t="s">
        <v>3</v>
      </c>
      <c r="L4" s="128"/>
      <c r="M4" s="129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IF(vend31[[#This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IF(vend31[[#This Row],[Nº Venda]]&gt;1,1,0)</f>
        <v>0</v>
      </c>
    </row>
    <row r="8" spans="2:18" ht="15.6" x14ac:dyDescent="0.3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IF(vend31[[#This Row],[Nº Venda]]&gt;1,1,0)</f>
        <v>0</v>
      </c>
    </row>
    <row r="9" spans="2:18" ht="15.6" x14ac:dyDescent="0.3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IF(vend31[[#This Row],[Nº Venda]]&gt;1,1,0)</f>
        <v>0</v>
      </c>
    </row>
    <row r="10" spans="2:18" ht="15.6" x14ac:dyDescent="0.3">
      <c r="B10" s="125" t="s">
        <v>5</v>
      </c>
      <c r="C10" s="125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IF(vend31[[#This Row],[Nº Venda]]&gt;1,1,0)</f>
        <v>0</v>
      </c>
    </row>
    <row r="12" spans="2:18" ht="15.6" x14ac:dyDescent="0.3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7" t="s">
        <v>21</v>
      </c>
      <c r="L13" s="128"/>
      <c r="M13" s="129"/>
      <c r="R13" s="1">
        <f>IF(vend31[[#This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6" x14ac:dyDescent="0.3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IF(vend31[[#This Row],[Nº Venda]]&gt;1,1,0)</f>
        <v>0</v>
      </c>
    </row>
    <row r="16" spans="2:18" ht="15.6" x14ac:dyDescent="0.3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IF(vend31[[#This Row],[Nº Venda]]&gt;1,1,0)</f>
        <v>0</v>
      </c>
    </row>
    <row r="17" spans="2:22" ht="15.6" x14ac:dyDescent="0.3">
      <c r="B17" s="125" t="s">
        <v>11</v>
      </c>
      <c r="C17" s="125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IF(vend31[[#This Row],[Nº Venda]]&gt;1,1,0)</f>
        <v>0</v>
      </c>
    </row>
    <row r="18" spans="2:22" ht="15.6" x14ac:dyDescent="0.3">
      <c r="B18" s="30">
        <f>COUNT(entr_carn31[OS])</f>
        <v>0</v>
      </c>
      <c r="C18" s="31">
        <f>SUM(entr_carn31[Valor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IF(vend31[[#This Row],[Nº Venda]]&gt;1,1,0)</f>
        <v>0</v>
      </c>
    </row>
    <row r="19" spans="2:22" ht="15.6" x14ac:dyDescent="0.3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IF(vend31[[#This Row],[Nº Venda]]&gt;1,1,0)</f>
        <v>0</v>
      </c>
    </row>
    <row r="20" spans="2:22" ht="15.6" x14ac:dyDescent="0.3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IF(vend31[[#This Row],[Nº Venda]]&gt;1,1,0)</f>
        <v>0</v>
      </c>
    </row>
    <row r="21" spans="2:22" ht="15.6" x14ac:dyDescent="0.3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123</v>
      </c>
    </row>
    <row r="22" spans="2:22" ht="15.6" x14ac:dyDescent="0.3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6" x14ac:dyDescent="0.3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6" x14ac:dyDescent="0.3">
      <c r="B24" s="2"/>
      <c r="C24" s="2"/>
      <c r="D24" s="2"/>
      <c r="E24" s="126" t="s">
        <v>26</v>
      </c>
      <c r="F24" s="126"/>
      <c r="G24" s="126"/>
      <c r="H24" s="126"/>
      <c r="I24" s="126"/>
      <c r="J24" s="2"/>
      <c r="K24" s="105"/>
      <c r="L24" s="95"/>
      <c r="M24" s="96"/>
    </row>
    <row r="25" spans="2:22" ht="15.6" x14ac:dyDescent="0.3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6" x14ac:dyDescent="0.3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6" x14ac:dyDescent="0.3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6" x14ac:dyDescent="0.3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6" x14ac:dyDescent="0.3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6" x14ac:dyDescent="0.3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6" x14ac:dyDescent="0.3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4.4" x14ac:dyDescent="0.3">
      <c r="B32" s="2"/>
      <c r="C32" s="2"/>
      <c r="E32" s="33"/>
    </row>
    <row r="33" spans="5:18" ht="14.4" x14ac:dyDescent="0.3">
      <c r="E33" s="126" t="s">
        <v>27</v>
      </c>
      <c r="F33" s="126"/>
      <c r="G33" s="126"/>
      <c r="H33" s="126"/>
      <c r="I33" s="126"/>
      <c r="K33" s="127" t="s">
        <v>11</v>
      </c>
      <c r="L33" s="128"/>
      <c r="M33" s="129"/>
    </row>
    <row r="34" spans="5:18" ht="14.4" x14ac:dyDescent="0.3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6" x14ac:dyDescent="0.3">
      <c r="E35" s="94"/>
      <c r="F35" s="94"/>
      <c r="G35" s="104"/>
      <c r="H35" s="103"/>
      <c r="I35" s="103"/>
      <c r="K35" s="105"/>
      <c r="L35" s="108"/>
      <c r="M35" s="96"/>
    </row>
    <row r="36" spans="5:18" ht="15.6" x14ac:dyDescent="0.3">
      <c r="E36" s="94"/>
      <c r="F36" s="94"/>
      <c r="G36" s="104"/>
      <c r="H36" s="103"/>
      <c r="I36" s="103"/>
      <c r="K36" s="105"/>
      <c r="L36" s="108"/>
      <c r="M36" s="96"/>
    </row>
    <row r="37" spans="5:18" ht="15.6" x14ac:dyDescent="0.3">
      <c r="E37" s="94"/>
      <c r="F37" s="94"/>
      <c r="G37" s="104"/>
      <c r="H37" s="103"/>
      <c r="I37" s="103"/>
      <c r="K37" s="105"/>
      <c r="L37" s="108"/>
      <c r="M37" s="96"/>
    </row>
    <row r="38" spans="5:18" ht="15.6" x14ac:dyDescent="0.3">
      <c r="E38" s="94"/>
      <c r="F38" s="94"/>
      <c r="G38" s="104"/>
      <c r="H38" s="103"/>
      <c r="I38" s="103"/>
      <c r="K38" s="105"/>
      <c r="L38" s="108"/>
      <c r="M38" s="96"/>
    </row>
    <row r="39" spans="5:18" ht="15.6" x14ac:dyDescent="0.3">
      <c r="E39" s="94"/>
      <c r="F39" s="104"/>
      <c r="G39" s="104"/>
      <c r="H39" s="103"/>
      <c r="I39" s="103"/>
      <c r="K39" s="105"/>
      <c r="L39" s="108"/>
      <c r="M39" s="96"/>
    </row>
    <row r="40" spans="5:18" ht="15.6" x14ac:dyDescent="0.3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6" x14ac:dyDescent="0.3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1D5F1B9-C644-4275-946F-35C8A9F15E6D}">
      <formula1>"Sim, Não"</formula1>
    </dataValidation>
    <dataValidation type="list" allowBlank="1" showInputMessage="1" showErrorMessage="1" sqref="L35:L41" xr:uid="{33F00941-CDD2-4FB4-AA0D-04B95B5ACCC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81B0472-781A-45E4-93F4-F1E19838FB78}">
          <x14:formula1>
            <xm:f>base!$A$2:$A$8</xm:f>
          </x14:formula1>
          <xm:sqref>G6:G22</xm:sqref>
        </x14:dataValidation>
        <x14:dataValidation type="list" allowBlank="1" showInputMessage="1" showErrorMessage="1" xr:uid="{258C52F2-A549-4BE3-9478-5134B2CD5087}">
          <x14:formula1>
            <xm:f>base!$A$2:$A$5</xm:f>
          </x14:formula1>
          <xm:sqref>G26:G31 G35:G41</xm:sqref>
        </x14:dataValidation>
        <x14:dataValidation type="list" allowBlank="1" showInputMessage="1" showErrorMessage="1" xr:uid="{E600FA91-776B-466A-84F3-00A67482AE5B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3.2" x14ac:dyDescent="0.25"/>
  <cols>
    <col min="1" max="1" width="13.109375" bestFit="1" customWidth="1"/>
    <col min="2" max="2" width="22.109375" bestFit="1" customWidth="1"/>
    <col min="5" max="5" width="11.5546875" customWidth="1"/>
  </cols>
  <sheetData>
    <row r="1" spans="1:5" x14ac:dyDescent="0.25">
      <c r="A1" s="38" t="s">
        <v>60</v>
      </c>
      <c r="B1" s="38" t="s">
        <v>61</v>
      </c>
      <c r="E1" s="38" t="s">
        <v>62</v>
      </c>
    </row>
    <row r="2" spans="1:5" x14ac:dyDescent="0.25">
      <c r="A2" s="38" t="s">
        <v>6</v>
      </c>
      <c r="B2" s="38" t="s">
        <v>63</v>
      </c>
      <c r="E2" t="s">
        <v>44</v>
      </c>
    </row>
    <row r="3" spans="1:5" x14ac:dyDescent="0.25">
      <c r="A3" s="38" t="s">
        <v>7</v>
      </c>
      <c r="B3" s="38" t="s">
        <v>64</v>
      </c>
      <c r="E3" t="s">
        <v>65</v>
      </c>
    </row>
    <row r="4" spans="1:5" x14ac:dyDescent="0.25">
      <c r="A4" s="38" t="s">
        <v>8</v>
      </c>
      <c r="B4" s="38" t="s">
        <v>66</v>
      </c>
      <c r="E4" t="s">
        <v>67</v>
      </c>
    </row>
    <row r="5" spans="1:5" x14ac:dyDescent="0.25">
      <c r="A5" s="38" t="s">
        <v>9</v>
      </c>
      <c r="B5" s="38" t="s">
        <v>9</v>
      </c>
      <c r="E5" t="s">
        <v>68</v>
      </c>
    </row>
    <row r="6" spans="1:5" x14ac:dyDescent="0.25">
      <c r="A6" s="38" t="s">
        <v>48</v>
      </c>
      <c r="B6" s="38" t="s">
        <v>69</v>
      </c>
      <c r="E6" t="s">
        <v>32</v>
      </c>
    </row>
    <row r="7" spans="1:5" x14ac:dyDescent="0.25">
      <c r="A7" t="s">
        <v>24</v>
      </c>
      <c r="B7" t="s">
        <v>71</v>
      </c>
      <c r="E7" t="s">
        <v>70</v>
      </c>
    </row>
    <row r="8" spans="1:5" x14ac:dyDescent="0.25">
      <c r="A8" s="38" t="s">
        <v>38</v>
      </c>
      <c r="B8" s="38" t="s">
        <v>72</v>
      </c>
      <c r="E8" t="s">
        <v>50</v>
      </c>
    </row>
    <row r="9" spans="1:5" x14ac:dyDescent="0.25">
      <c r="E9" t="s">
        <v>73</v>
      </c>
    </row>
    <row r="10" spans="1:5" x14ac:dyDescent="0.25">
      <c r="E10" t="s">
        <v>74</v>
      </c>
    </row>
    <row r="11" spans="1:5" x14ac:dyDescent="0.25">
      <c r="E11" t="s">
        <v>75</v>
      </c>
    </row>
    <row r="12" spans="1:5" x14ac:dyDescent="0.25">
      <c r="E12" t="s">
        <v>37</v>
      </c>
    </row>
    <row r="13" spans="1:5" x14ac:dyDescent="0.25">
      <c r="E13" t="s">
        <v>51</v>
      </c>
    </row>
    <row r="14" spans="1:5" x14ac:dyDescent="0.25">
      <c r="E14" t="s">
        <v>45</v>
      </c>
    </row>
    <row r="15" spans="1:5" x14ac:dyDescent="0.25">
      <c r="E15" t="s">
        <v>76</v>
      </c>
    </row>
    <row r="16" spans="1:5" x14ac:dyDescent="0.25">
      <c r="E16" t="s">
        <v>46</v>
      </c>
    </row>
    <row r="17" spans="5:5" x14ac:dyDescent="0.25">
      <c r="E17" t="s">
        <v>40</v>
      </c>
    </row>
    <row r="18" spans="5:5" x14ac:dyDescent="0.25">
      <c r="E18" t="s">
        <v>52</v>
      </c>
    </row>
    <row r="19" spans="5:5" x14ac:dyDescent="0.25">
      <c r="E19" t="s">
        <v>43</v>
      </c>
    </row>
    <row r="20" spans="5:5" x14ac:dyDescent="0.25">
      <c r="E20" t="s">
        <v>77</v>
      </c>
    </row>
    <row r="21" spans="5:5" x14ac:dyDescent="0.25">
      <c r="E21" t="s">
        <v>78</v>
      </c>
    </row>
    <row r="22" spans="5:5" x14ac:dyDescent="0.25">
      <c r="E22" t="s">
        <v>57</v>
      </c>
    </row>
    <row r="23" spans="5:5" x14ac:dyDescent="0.25">
      <c r="E23" t="s">
        <v>34</v>
      </c>
    </row>
    <row r="24" spans="5:5" x14ac:dyDescent="0.25">
      <c r="E24" t="s">
        <v>53</v>
      </c>
    </row>
    <row r="25" spans="5:5" x14ac:dyDescent="0.25">
      <c r="E25" t="s">
        <v>47</v>
      </c>
    </row>
    <row r="26" spans="5:5" x14ac:dyDescent="0.25">
      <c r="E26" t="s">
        <v>39</v>
      </c>
    </row>
    <row r="27" spans="5:5" x14ac:dyDescent="0.25">
      <c r="E27" t="s">
        <v>42</v>
      </c>
    </row>
    <row r="28" spans="5:5" x14ac:dyDescent="0.25">
      <c r="E28" t="s">
        <v>58</v>
      </c>
    </row>
    <row r="29" spans="5:5" x14ac:dyDescent="0.25">
      <c r="E29" t="s">
        <v>59</v>
      </c>
    </row>
    <row r="30" spans="5:5" x14ac:dyDescent="0.25">
      <c r="E30" t="s">
        <v>79</v>
      </c>
    </row>
    <row r="31" spans="5:5" x14ac:dyDescent="0.25">
      <c r="E31" t="s">
        <v>33</v>
      </c>
    </row>
    <row r="32" spans="5:5" x14ac:dyDescent="0.25">
      <c r="E32" t="s">
        <v>80</v>
      </c>
    </row>
    <row r="33" spans="5:5" x14ac:dyDescent="0.25">
      <c r="E33" t="s">
        <v>55</v>
      </c>
    </row>
    <row r="34" spans="5:5" x14ac:dyDescent="0.25">
      <c r="E34" t="s">
        <v>36</v>
      </c>
    </row>
    <row r="35" spans="5:5" x14ac:dyDescent="0.25">
      <c r="E35" t="s">
        <v>54</v>
      </c>
    </row>
    <row r="36" spans="5:5" x14ac:dyDescent="0.25">
      <c r="E36" t="s">
        <v>41</v>
      </c>
    </row>
    <row r="37" spans="5:5" x14ac:dyDescent="0.25">
      <c r="E37" t="s">
        <v>49</v>
      </c>
    </row>
    <row r="38" spans="5:5" x14ac:dyDescent="0.25">
      <c r="E38" t="s">
        <v>81</v>
      </c>
    </row>
    <row r="39" spans="5:5" x14ac:dyDescent="0.25">
      <c r="E39" t="s">
        <v>82</v>
      </c>
    </row>
    <row r="40" spans="5:5" x14ac:dyDescent="0.25">
      <c r="E40" t="s">
        <v>83</v>
      </c>
    </row>
    <row r="41" spans="5:5" x14ac:dyDescent="0.25">
      <c r="E41" t="s">
        <v>84</v>
      </c>
    </row>
    <row r="42" spans="5:5" x14ac:dyDescent="0.25">
      <c r="E42" t="s">
        <v>85</v>
      </c>
    </row>
    <row r="43" spans="5:5" x14ac:dyDescent="0.25">
      <c r="E43" t="s">
        <v>86</v>
      </c>
    </row>
    <row r="44" spans="5:5" x14ac:dyDescent="0.25">
      <c r="E44" t="s">
        <v>87</v>
      </c>
    </row>
    <row r="45" spans="5:5" x14ac:dyDescent="0.25">
      <c r="E45" t="s">
        <v>88</v>
      </c>
    </row>
    <row r="46" spans="5:5" x14ac:dyDescent="0.25">
      <c r="E46" t="s">
        <v>89</v>
      </c>
    </row>
    <row r="47" spans="5:5" x14ac:dyDescent="0.25">
      <c r="E47" t="s">
        <v>90</v>
      </c>
    </row>
    <row r="48" spans="5:5" x14ac:dyDescent="0.25">
      <c r="E48" t="s">
        <v>91</v>
      </c>
    </row>
    <row r="49" spans="5:5" x14ac:dyDescent="0.25">
      <c r="E49" t="s">
        <v>92</v>
      </c>
    </row>
    <row r="50" spans="5:5" x14ac:dyDescent="0.25">
      <c r="E50" t="s">
        <v>93</v>
      </c>
    </row>
    <row r="51" spans="5:5" x14ac:dyDescent="0.25">
      <c r="E51" t="s">
        <v>94</v>
      </c>
    </row>
    <row r="52" spans="5:5" x14ac:dyDescent="0.25">
      <c r="E52" t="s">
        <v>95</v>
      </c>
    </row>
    <row r="53" spans="5:5" x14ac:dyDescent="0.25">
      <c r="E53" t="s">
        <v>96</v>
      </c>
    </row>
    <row r="54" spans="5:5" x14ac:dyDescent="0.25">
      <c r="E54" t="s">
        <v>97</v>
      </c>
    </row>
    <row r="55" spans="5:5" x14ac:dyDescent="0.25">
      <c r="E55" t="s">
        <v>98</v>
      </c>
    </row>
    <row r="56" spans="5:5" x14ac:dyDescent="0.25">
      <c r="E56" t="s">
        <v>99</v>
      </c>
    </row>
    <row r="57" spans="5:5" x14ac:dyDescent="0.25">
      <c r="E57" t="s">
        <v>100</v>
      </c>
    </row>
    <row r="58" spans="5:5" x14ac:dyDescent="0.25">
      <c r="E58" t="s">
        <v>101</v>
      </c>
    </row>
    <row r="59" spans="5:5" x14ac:dyDescent="0.25">
      <c r="E59" t="s">
        <v>102</v>
      </c>
    </row>
    <row r="60" spans="5:5" x14ac:dyDescent="0.25">
      <c r="E60" t="s">
        <v>103</v>
      </c>
    </row>
    <row r="61" spans="5:5" x14ac:dyDescent="0.25">
      <c r="E61" t="s">
        <v>104</v>
      </c>
    </row>
    <row r="62" spans="5:5" x14ac:dyDescent="0.25">
      <c r="E62" t="s">
        <v>105</v>
      </c>
    </row>
    <row r="63" spans="5:5" x14ac:dyDescent="0.25">
      <c r="E63" t="s">
        <v>106</v>
      </c>
    </row>
    <row r="64" spans="5:5" x14ac:dyDescent="0.25">
      <c r="E64" t="s">
        <v>107</v>
      </c>
    </row>
    <row r="65" spans="5:5" x14ac:dyDescent="0.25">
      <c r="E65" t="s">
        <v>108</v>
      </c>
    </row>
    <row r="66" spans="5:5" x14ac:dyDescent="0.25">
      <c r="E66" t="s">
        <v>109</v>
      </c>
    </row>
    <row r="67" spans="5:5" x14ac:dyDescent="0.25">
      <c r="E67" t="s">
        <v>110</v>
      </c>
    </row>
    <row r="68" spans="5:5" x14ac:dyDescent="0.25">
      <c r="E68" t="s">
        <v>111</v>
      </c>
    </row>
    <row r="69" spans="5:5" x14ac:dyDescent="0.25">
      <c r="E69" t="s">
        <v>112</v>
      </c>
    </row>
    <row r="70" spans="5:5" x14ac:dyDescent="0.25">
      <c r="E70" t="s">
        <v>113</v>
      </c>
    </row>
    <row r="71" spans="5:5" x14ac:dyDescent="0.25">
      <c r="E71" t="s">
        <v>114</v>
      </c>
    </row>
    <row r="72" spans="5:5" x14ac:dyDescent="0.25">
      <c r="E72" t="s">
        <v>115</v>
      </c>
    </row>
    <row r="73" spans="5:5" x14ac:dyDescent="0.25">
      <c r="E73" t="s">
        <v>116</v>
      </c>
    </row>
    <row r="74" spans="5:5" x14ac:dyDescent="0.25">
      <c r="E74" t="s">
        <v>117</v>
      </c>
    </row>
    <row r="75" spans="5:5" x14ac:dyDescent="0.25">
      <c r="E75" t="s">
        <v>118</v>
      </c>
    </row>
    <row r="76" spans="5:5" x14ac:dyDescent="0.25">
      <c r="E76" t="s">
        <v>119</v>
      </c>
    </row>
    <row r="77" spans="5:5" x14ac:dyDescent="0.25">
      <c r="E77" t="s">
        <v>120</v>
      </c>
    </row>
    <row r="78" spans="5:5" x14ac:dyDescent="0.25">
      <c r="E78" t="s">
        <v>121</v>
      </c>
    </row>
    <row r="79" spans="5:5" x14ac:dyDescent="0.25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- Oticas Taty Mello</cp:lastModifiedBy>
  <cp:revision/>
  <cp:lastPrinted>2024-05-28T15:51:00Z</cp:lastPrinted>
  <dcterms:created xsi:type="dcterms:W3CDTF">2004-04-07T20:43:43Z</dcterms:created>
  <dcterms:modified xsi:type="dcterms:W3CDTF">2024-06-01T22:04:47Z</dcterms:modified>
  <cp:category/>
  <cp:contentStatus/>
</cp:coreProperties>
</file>