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AO_MATEUS/CAIXA/"/>
    </mc:Choice>
  </mc:AlternateContent>
  <xr:revisionPtr revIDLastSave="8" documentId="13_ncr:1_{B328D368-9F1B-4D19-9F98-508ABC7C9EBE}" xr6:coauthVersionLast="47" xr6:coauthVersionMax="47" xr10:uidLastSave="{4CFB169B-A10A-46D7-9F56-C45406C94279}"/>
  <bookViews>
    <workbookView xWindow="-120" yWindow="-120" windowWidth="20730" windowHeight="11310" tabRatio="895" firstSheet="15" activeTab="15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8"/>
  <c r="C11" i="177"/>
  <c r="C11" i="176"/>
  <c r="C16" i="176" s="1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8" i="179" s="1"/>
  <c r="C6" i="184"/>
  <c r="C6" i="185"/>
  <c r="C6" i="186"/>
  <c r="C8" i="186" s="1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92" l="1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O11" i="176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14" i="200" l="1"/>
  <c r="B4" i="200" s="1"/>
  <c r="B6" i="200" s="1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<sst xmlns="http://schemas.openxmlformats.org/spreadsheetml/2006/main" count="1829" uniqueCount="205">
  <si>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</si>
  <si>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</si>
  <si>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</si>
  <si>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</si>
  <si>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</si>
  <si>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</si>
  <si>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</si>
  <si>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</si>
  <si>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</si>
  <si>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</si>
  <si>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</si>
  <si>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</si>
  <si>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</si>
  <si>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</si>
  <si>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</si>
  <si>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</si>
  <si>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</si>
  <si>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</si>
  <si>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</si>
  <si>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</si>
  <si>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</si>
  <si>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</si>
  <si>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</si>
  <si>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</si>
  <si>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</si>
  <si>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</si>
  <si>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</si>
  <si>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</si>
  <si>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</si>
  <si>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</si>
  <si>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</si>
  <si>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</si>
  <si>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</si>
  <si>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</si>
  <si>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Andreia Evaristo</t>
  </si>
  <si>
    <t>PARC. 5/9</t>
  </si>
  <si>
    <t>Elias Martins</t>
  </si>
  <si>
    <t>PARC. 4/10</t>
  </si>
  <si>
    <t>Geralda Gomes</t>
  </si>
  <si>
    <t>PARC. 3/6</t>
  </si>
  <si>
    <t xml:space="preserve">Sandra Cristina </t>
  </si>
  <si>
    <t>PARC. 3/4</t>
  </si>
  <si>
    <t>PARC. 4/4</t>
  </si>
  <si>
    <t>NANCY HIROMI K</t>
  </si>
  <si>
    <t>SS</t>
  </si>
  <si>
    <t>VERIFICAÇÃO</t>
  </si>
  <si>
    <t>NELSON BONATO</t>
  </si>
  <si>
    <t>wevilly</t>
  </si>
  <si>
    <t>Não</t>
  </si>
  <si>
    <t>ROGERIO</t>
  </si>
  <si>
    <t>MARIA</t>
  </si>
  <si>
    <t>Regiane aparecida</t>
  </si>
  <si>
    <t>Antonio Ozorio</t>
  </si>
  <si>
    <t>ELANE SAUDE DE LIMA</t>
  </si>
  <si>
    <t>SANDRA CRISTINA</t>
  </si>
  <si>
    <t>GARANTIA</t>
  </si>
  <si>
    <t>MARIA AP DA S</t>
  </si>
  <si>
    <t>ELANE SAUDE</t>
  </si>
  <si>
    <t>PARC. 2/5</t>
  </si>
  <si>
    <t>ANGELA MARIA</t>
  </si>
  <si>
    <t>WEVILLY</t>
  </si>
  <si>
    <t>ELICA CHIRLEY</t>
  </si>
  <si>
    <t>ELAINE DIAS</t>
  </si>
  <si>
    <t>CLAUDIO PEREIRA</t>
  </si>
  <si>
    <t>LOURIVAL VITORINO R</t>
  </si>
  <si>
    <t>ELENILDES DE SOUZA</t>
  </si>
  <si>
    <t>TELMA DE SOUZA</t>
  </si>
  <si>
    <t>JOSINEIDE PAULINO GAMA</t>
  </si>
  <si>
    <t>MARTA DOS SANTOS</t>
  </si>
  <si>
    <t>GENI GUERATO</t>
  </si>
  <si>
    <t>AURINO FILHO</t>
  </si>
  <si>
    <t>MARIA REGINA</t>
  </si>
  <si>
    <t>EDEMILSON SOUZA</t>
  </si>
  <si>
    <t>PARC. 3/5</t>
  </si>
  <si>
    <t>ANA K</t>
  </si>
  <si>
    <t>JOSE FERNANDES</t>
  </si>
  <si>
    <t>PARC. 2/10</t>
  </si>
  <si>
    <t>PATRICIA JANAIRNO</t>
  </si>
  <si>
    <t>CLAUDIA DA SILVA</t>
  </si>
  <si>
    <t>MARIA LUCIMAR</t>
  </si>
  <si>
    <t>CELIO ALVES</t>
  </si>
  <si>
    <t>Sim</t>
  </si>
  <si>
    <t>LUCILENE PALMEIRA DE LIMA</t>
  </si>
  <si>
    <t>PARC. 1/6</t>
  </si>
  <si>
    <t>SONIA MARIA PIRES DE ARAUJO</t>
  </si>
  <si>
    <t>PARC. 3/10</t>
  </si>
  <si>
    <t>JULIETA PALMEIRA</t>
  </si>
  <si>
    <t>PARC. 2/6</t>
  </si>
  <si>
    <t>LEONOR DE LIMA</t>
  </si>
  <si>
    <t>PATRICIA DE OLIVEIRA</t>
  </si>
  <si>
    <t>PARC. 1/9</t>
  </si>
  <si>
    <t>MATEUS SANTOS</t>
  </si>
  <si>
    <t>MARIA SOUZA DA CONCEIÇÃO</t>
  </si>
  <si>
    <t>MARIA ELISA</t>
  </si>
  <si>
    <t>NELITO AUGUSTO</t>
  </si>
  <si>
    <t>parc. 5/8</t>
  </si>
  <si>
    <t xml:space="preserve">CHINASA DORIS </t>
  </si>
  <si>
    <t xml:space="preserve">MARIA DA GLORIA </t>
  </si>
  <si>
    <t xml:space="preserve">MARCOS ANTONIO </t>
  </si>
  <si>
    <t>PARC. 2/2</t>
  </si>
  <si>
    <t>FRANCISCA VIEIRA</t>
  </si>
  <si>
    <t xml:space="preserve">WILLIAN FERNANDO </t>
  </si>
  <si>
    <t>TATY</t>
  </si>
  <si>
    <t>clareonice fatima</t>
  </si>
  <si>
    <t>CELIO ALEVS</t>
  </si>
  <si>
    <t xml:space="preserve">ENNILY SANTOS </t>
  </si>
  <si>
    <t xml:space="preserve">ARIMELINDA MARTINS </t>
  </si>
  <si>
    <t xml:space="preserve"> </t>
  </si>
  <si>
    <t>WEVELLY</t>
  </si>
  <si>
    <t xml:space="preserve">WEVELLY </t>
  </si>
  <si>
    <t>LEONARDO DE SOUZA</t>
  </si>
  <si>
    <t>PARC. 1/5</t>
  </si>
  <si>
    <t xml:space="preserve">SARAH VICTORIA </t>
  </si>
  <si>
    <t>PARC. 1/3</t>
  </si>
  <si>
    <t xml:space="preserve">SIDINEY LUIZ </t>
  </si>
  <si>
    <t xml:space="preserve">ELANE SAUDE </t>
  </si>
  <si>
    <t>CLAUDICEIA SOARES</t>
  </si>
  <si>
    <t xml:space="preserve">JOSE FERNANDES </t>
  </si>
  <si>
    <t xml:space="preserve">KELLY CRISTINA </t>
  </si>
  <si>
    <t xml:space="preserve">GARANTIA </t>
  </si>
  <si>
    <t xml:space="preserve">CLAUDIA DA SILVA </t>
  </si>
  <si>
    <t>RITA ROSA</t>
  </si>
  <si>
    <t>HOSANA BARACHO</t>
  </si>
  <si>
    <t>PARC. 4/7</t>
  </si>
  <si>
    <t xml:space="preserve">SEBASTIANA SANTOS </t>
  </si>
  <si>
    <t>PARC. 7/9</t>
  </si>
  <si>
    <t xml:space="preserve">EDEMILSON SOUZA </t>
  </si>
  <si>
    <t>PARC. 5/5</t>
  </si>
  <si>
    <t xml:space="preserve">VINICIUS SANTOS </t>
  </si>
  <si>
    <t xml:space="preserve">CLAUDIO PEREIRA </t>
  </si>
  <si>
    <t xml:space="preserve">LUZINELIA MARIA </t>
  </si>
  <si>
    <t>ELIANA LUZIA</t>
  </si>
  <si>
    <t xml:space="preserve">ANA ALICE </t>
  </si>
  <si>
    <t xml:space="preserve">JARDIEL XAVIER 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</si>
  <si>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</si>
  <si>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</si>
  <si>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</si>
  <si>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</si>
  <si>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</si>
  <si>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</si>
  <si>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</si>
  <si>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</si>
  <si>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Parcelado Cartão Crédito</t>
  </si>
  <si>
    <t>PARC. 2/3</t>
  </si>
  <si>
    <t>Sem Sinal</t>
  </si>
  <si>
    <t>PARC. 3/3</t>
  </si>
  <si>
    <t xml:space="preserve">Carne </t>
  </si>
  <si>
    <t>PARC. 1/4</t>
  </si>
  <si>
    <t>Todas as Garantias</t>
  </si>
  <si>
    <t>PARC. 2/4</t>
  </si>
  <si>
    <t>PARC. 4/5</t>
  </si>
  <si>
    <t>PARC. 4/6</t>
  </si>
  <si>
    <t>PARC. 5/6</t>
  </si>
  <si>
    <t>PARC. 6/6</t>
  </si>
  <si>
    <t>PARC. 1/7</t>
  </si>
  <si>
    <t>PARC. 2/7</t>
  </si>
  <si>
    <t>PARC. 3/7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</si>
  <si>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</si>
  <si>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</si>
  <si>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</si>
  <si>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</si>
  <si>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</si>
  <si>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</si>
  <si>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</si>
  <si>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</si>
  <si>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</si>
  <si>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</si>
  <si>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</si>
  <si>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2/9</t>
  </si>
  <si>
    <t>PARC. 3/9</t>
  </si>
  <si>
    <t>PARC. 4/9</t>
  </si>
  <si>
    <t>PARC. 6/9</t>
  </si>
  <si>
    <t>PARC. 8/9</t>
  </si>
  <si>
    <t>PARC. 9/9</t>
  </si>
  <si>
    <t>PARC. 1/10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</si>
  <si>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</si>
  <si>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</si>
  <si>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</si>
  <si>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</si>
  <si>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</si>
  <si>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</si>
  <si>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</si>
  <si>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</si>
  <si>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</si>
  <si>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</si>
  <si>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</si>
  <si>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</si>
  <si>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</si>
  <si>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</si>
  <si>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</si>
  <si>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</si>
  <si>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</si>
  <si>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</si>
  <si>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</si>
  <si>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</si>
  <si>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</si>
  <si>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</si>
  <si>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</si>
  <si>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</si>
  <si>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</si>
  <si>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</si>
  <si>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</si>
  <si>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</si>
  <si>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</si>
  <si>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PATRICIA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</si>
</sst>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9" fontId="31" fillId="0" borderId="13" xfId="39" applyNumberFormat="1" applyFont="1" applyFill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9" fontId="31" fillId="0" borderId="17" xfId="39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44" fontId="13" fillId="0" borderId="13" xfId="39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31190" displayName="vend31190" ref="E5:I22" totalsRowShown="0" headerRowDxfId="1644" dataDxfId="1642" headerRowBorderDxfId="1643" tableBorderDxfId="1641" totalsRowBorderDxfId="1640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9" dataCellStyle="Moeda"/>
    <tableColumn id="5" xr3:uid="{45BECD08-8ABE-4A34-BD78-E2D3AFB8C62A}" name="Cliente" dataDxfId="1638" dataCellStyle="Moeda"/>
    <tableColumn id="2" xr3:uid="{A0D6666C-9CF7-4343-AF6B-BDFE62F94469}" name="Forma de Pgto" dataDxfId="1637" dataCellStyle="Moeda"/>
    <tableColumn id="3" xr3:uid="{988F127F-9D83-4428-BB94-C16FBBB1BD89}" name="Valor Venda" dataDxfId="1636" dataCellStyle="Porcentagem"/>
    <tableColumn id="4" xr3:uid="{6A2928C3-17B0-4FA3-B60C-9E1A2C0324E1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4" dataDxfId="1632" headerRowBorderDxfId="1633" tableBorderDxfId="1631" totalsRowBorderDxfId="1630">
  <autoFilter ref="K5:M11" xr:uid="{DD403130-B35C-452C-92F9-290622D77A3D}"/>
  <tableColumns count="3">
    <tableColumn id="1" xr3:uid="{FAD87634-3375-4B41-BEC0-5B072F6B52CE}" name="Descrição" dataDxfId="1629"/>
    <tableColumn id="2" xr3:uid="{7688071E-9548-4552-8BB1-3BA5128DF645}" name="Tipo de Pagto" dataDxfId="1628"/>
    <tableColumn id="3" xr3:uid="{2B260C33-79A5-4C5D-9195-15780C53A861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31192" displayName="rest_entr31192" ref="E25:I31" totalsRowShown="0" headerRowDxfId="1626" dataDxfId="1624" headerRowBorderDxfId="1625" tableBorderDxfId="1623" totalsRowBorderDxfId="1622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1"/>
    <tableColumn id="2" xr3:uid="{606BE417-6802-4580-90D2-86F95EFAAEB7}" name="Cliente" dataDxfId="1620"/>
    <tableColumn id="3" xr3:uid="{2F522A54-F708-4DA3-97E3-CE7C29912E04}" name="Forma de Pgto" dataDxfId="1619" dataCellStyle="Moeda"/>
    <tableColumn id="4" xr3:uid="{7B46EE64-F7F1-4449-A783-67286A94A7C4}" name="Valor Venda" dataDxfId="1618" dataCellStyle="Porcentagem"/>
    <tableColumn id="5" xr3:uid="{389A7D1A-3C35-485E-9958-8A78EF77BE9B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6" dataDxfId="1614" headerRowBorderDxfId="1615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dataDxfId="1606" headerRowBorderDxfId="1607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B5" sqref="B5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9673.9700000000012</v>
      </c>
    </row>
    <row r="4" spans="1:2" ht="15" x14ac:dyDescent="0.25">
      <c r="A4" s="23" t="s">
        <v>2</v>
      </c>
      <c r="B4" s="24">
        <f>B14</f>
        <v>12927.169999999998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</row>
    <row r="6" spans="1:2" ht="15.75" x14ac:dyDescent="0.25">
      <c r="A6" s="28" t="s">
        <v>4</v>
      </c>
      <c r="B6" s="29">
        <f>SUM(B4:B5)</f>
        <v>12927.169999999998</v>
      </c>
    </row>
    <row r="7" spans="1:2" ht="15" x14ac:dyDescent="0.25">
      <c r="A7" s="2"/>
      <c r="B7" s="2"/>
    </row>
    <row r="8" spans="1:2" ht="15" x14ac:dyDescent="0.2">
      <c r="A8" s="77" t="s">
        <v>5</v>
      </c>
      <c r="B8" s="77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1939</v>
      </c>
    </row>
    <row r="10" spans="1:2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3115.4</v>
      </c>
    </row>
    <row r="11" spans="1:2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335</v>
      </c>
    </row>
    <row r="12" spans="1:2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5847.8899999999994</v>
      </c>
    </row>
    <row r="13" spans="1:2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1689.8799999999999</v>
      </c>
    </row>
    <row r="14" spans="1:2" ht="15.75" x14ac:dyDescent="0.25">
      <c r="A14" s="28" t="s">
        <v>11</v>
      </c>
      <c r="B14" s="32">
        <f>SUM(B9:B13)</f>
        <v>12927.169999999998</v>
      </c>
    </row>
    <row r="15" spans="1:2" ht="15" x14ac:dyDescent="0.25">
      <c r="A15" s="2"/>
      <c r="B15" s="2"/>
    </row>
    <row r="16" spans="1:2" ht="15" x14ac:dyDescent="0.2">
      <c r="A16" s="77" t="s">
        <v>12</v>
      </c>
      <c r="B16" s="77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</row>
    <row r="18" spans="1:2" ht="15.75" x14ac:dyDescent="0.25">
      <c r="A18" s="28" t="s">
        <v>11</v>
      </c>
      <c r="B18" s="32">
        <f>SUM(B17:B17)</f>
        <v>0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4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v>44927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IF(vend31190[[#This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IF(vend31190[[#This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IF(vend31190[[#This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IF(vend31190[[#This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IF(vend31190[[#This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IF(vend31190[[#This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IF(vend31190[[#This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IF(vend31190[[#This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IF(vend31190[[#This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IF(vend31190[[#This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IF(vend31190[[#This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IF(vend31190[[#This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IF(vend31190[[#This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IF(vend31190[[#This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IF(vend31190[[#This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26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disablePrompts="1" count="2">
    <dataValidation type="list" allowBlank="1" showInputMessage="1" showErrorMessage="1" sqref="M15:M31" xr:uid="{41BC2770-4628-466A-8A8E-25736D42D595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D750A6A5-C201-4190-B207-F5C8AA22818D}">
          <x14:formula1>
            <xm:f>base!$A$2:$A$9</xm:f>
          </x14:formula1>
          <xm:sqref>G6:G22 G35:G41</xm:sqref>
        </x14:dataValidation>
        <x14:dataValidation type="list" allowBlank="1" showInputMessage="1" showErrorMessage="1" xr:uid="{EA02ED54-2EDC-4F48-9411-38520FE9FF7F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topLeftCell="A4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'01'!B1+1</f>
        <v>44928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C31" sqref="C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'02'!B1+1</f>
        <v>44929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257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357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1564</v>
      </c>
      <c r="F35" s="25" t="s">
        <v>34</v>
      </c>
      <c r="G35" s="26" t="s">
        <v>10</v>
      </c>
      <c r="H35" s="8">
        <v>67</v>
      </c>
      <c r="I35" s="8" t="s">
        <v>35</v>
      </c>
      <c r="K35" s="25"/>
      <c r="L35" s="41"/>
      <c r="M35" s="16"/>
    </row>
    <row r="36" spans="2:18" ht="15.75" x14ac:dyDescent="0.25">
      <c r="E36" s="18">
        <v>1632</v>
      </c>
      <c r="F36" s="25" t="s">
        <v>36</v>
      </c>
      <c r="G36" s="26" t="s">
        <v>10</v>
      </c>
      <c r="H36" s="8">
        <v>75</v>
      </c>
      <c r="I36" s="8" t="s">
        <v>37</v>
      </c>
      <c r="K36" s="25"/>
      <c r="L36" s="41"/>
      <c r="M36" s="16"/>
    </row>
    <row r="37" spans="2:18" ht="15.75" x14ac:dyDescent="0.25">
      <c r="E37" s="18">
        <v>1695</v>
      </c>
      <c r="F37" s="25" t="s">
        <v>38</v>
      </c>
      <c r="G37" s="26" t="s">
        <v>6</v>
      </c>
      <c r="H37" s="8">
        <v>100</v>
      </c>
      <c r="I37" s="8" t="s">
        <v>39</v>
      </c>
      <c r="K37" s="25"/>
      <c r="L37" s="41"/>
      <c r="M37" s="16"/>
    </row>
    <row r="38" spans="2:18" ht="15.75" x14ac:dyDescent="0.25">
      <c r="E38" s="18">
        <v>1462</v>
      </c>
      <c r="F38" s="25" t="s">
        <v>40</v>
      </c>
      <c r="G38" s="26" t="s">
        <v>10</v>
      </c>
      <c r="H38" s="8">
        <v>57.5</v>
      </c>
      <c r="I38" s="8" t="s">
        <v>41</v>
      </c>
      <c r="K38" s="25"/>
      <c r="L38" s="41"/>
      <c r="M38" s="16"/>
    </row>
    <row r="39" spans="2:18" ht="15.75" x14ac:dyDescent="0.25">
      <c r="E39" s="18">
        <v>1462</v>
      </c>
      <c r="F39" s="39" t="s">
        <v>40</v>
      </c>
      <c r="G39" s="26" t="s">
        <v>10</v>
      </c>
      <c r="H39" s="8">
        <v>57.5</v>
      </c>
      <c r="I39" s="8" t="s">
        <v>42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F9" sqref="F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'03'!B1+1</f>
        <v>44930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1120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700</v>
      </c>
      <c r="D6" s="2"/>
      <c r="E6" s="18">
        <v>1877</v>
      </c>
      <c r="F6" s="25" t="s">
        <v>43</v>
      </c>
      <c r="G6" s="46" t="s">
        <v>44</v>
      </c>
      <c r="H6" s="8" t="s">
        <v>45</v>
      </c>
      <c r="I6" s="8" t="s">
        <v>45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1876</v>
      </c>
      <c r="F7" s="25" t="s">
        <v>46</v>
      </c>
      <c r="G7" s="46" t="s">
        <v>44</v>
      </c>
      <c r="H7" s="8" t="s">
        <v>45</v>
      </c>
      <c r="I7" s="8" t="s">
        <v>45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21</v>
      </c>
      <c r="C8" s="29">
        <f>SUM(C6:C7)</f>
        <v>700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300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400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7">
        <v>1863</v>
      </c>
      <c r="L15" s="68" t="s">
        <v>47</v>
      </c>
      <c r="M15" s="69" t="s">
        <v>48</v>
      </c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700</v>
      </c>
      <c r="D16" s="2"/>
      <c r="E16" s="18"/>
      <c r="F16" s="25"/>
      <c r="G16" s="26"/>
      <c r="H16" s="8"/>
      <c r="I16" s="8"/>
      <c r="J16" s="2"/>
      <c r="K16" s="70">
        <v>1699</v>
      </c>
      <c r="L16" s="67" t="s">
        <v>49</v>
      </c>
      <c r="M16" s="69" t="s">
        <v>48</v>
      </c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67">
        <v>1855</v>
      </c>
      <c r="L17" s="68" t="s">
        <v>50</v>
      </c>
      <c r="M17" s="69" t="s">
        <v>48</v>
      </c>
      <c r="R17" s="1">
        <f>IF(vend4[[#This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1120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1699</v>
      </c>
      <c r="F26" s="25" t="s">
        <v>51</v>
      </c>
      <c r="G26" s="46" t="s">
        <v>8</v>
      </c>
      <c r="H26" s="8">
        <v>700</v>
      </c>
      <c r="I26" s="8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1863</v>
      </c>
      <c r="F27" s="25" t="s">
        <v>52</v>
      </c>
      <c r="G27" s="46" t="s">
        <v>9</v>
      </c>
      <c r="H27" s="8">
        <v>420</v>
      </c>
      <c r="I27" s="8">
        <v>400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4" zoomScale="80" zoomScaleNormal="8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'04'!B1+1</f>
        <v>44931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725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70</v>
      </c>
      <c r="D6" s="2"/>
      <c r="E6" s="18">
        <v>1879</v>
      </c>
      <c r="F6" s="25" t="s">
        <v>53</v>
      </c>
      <c r="G6" s="46" t="s">
        <v>7</v>
      </c>
      <c r="H6" s="8">
        <v>725</v>
      </c>
      <c r="I6" s="8">
        <v>20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1878</v>
      </c>
      <c r="F7" s="25" t="s">
        <v>54</v>
      </c>
      <c r="G7" s="46" t="s">
        <v>44</v>
      </c>
      <c r="H7" s="8" t="s">
        <v>55</v>
      </c>
      <c r="I7" s="8">
        <v>0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21</v>
      </c>
      <c r="C8" s="29">
        <f>SUM(C6:C7)</f>
        <v>70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103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153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725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1833</v>
      </c>
      <c r="F26" s="25" t="s">
        <v>56</v>
      </c>
      <c r="G26" s="46" t="s">
        <v>6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1776</v>
      </c>
      <c r="F35" s="25" t="s">
        <v>57</v>
      </c>
      <c r="G35" s="26" t="s">
        <v>7</v>
      </c>
      <c r="H35" s="8">
        <v>83</v>
      </c>
      <c r="I35" s="8" t="s">
        <v>58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11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'05'!B1+1</f>
        <v>44932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650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650</v>
      </c>
      <c r="D6" s="2"/>
      <c r="E6" s="18">
        <v>1880</v>
      </c>
      <c r="F6" s="25" t="s">
        <v>59</v>
      </c>
      <c r="G6" s="26" t="s">
        <v>7</v>
      </c>
      <c r="H6" s="8">
        <v>650</v>
      </c>
      <c r="I6" s="8">
        <v>650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650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" x14ac:dyDescent="0.25">
      <c r="B10" s="77" t="s">
        <v>5</v>
      </c>
      <c r="C10" s="77"/>
      <c r="D10" s="2"/>
      <c r="E10" s="66"/>
      <c r="F10" s="66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650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18"/>
      <c r="L15" s="25"/>
      <c r="M15" s="16"/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650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1"/>
  <sheetViews>
    <sheetView showGridLines="0" zoomScale="80" zoomScaleNormal="80" workbookViewId="0">
      <selection activeCell="H18" sqref="H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'06'!B1+1</f>
        <v>44933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51"/>
      <c r="F6" s="49"/>
      <c r="G6" s="49"/>
      <c r="H6" s="50"/>
      <c r="I6" s="50"/>
      <c r="J6" s="2"/>
      <c r="K6" s="25"/>
      <c r="L6" s="9"/>
      <c r="M6" s="16"/>
      <c r="R6" s="1">
        <f>IF(vend7[[#This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2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3"/>
      <c r="L15" s="54"/>
      <c r="M15" s="55"/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5"/>
      <c r="F26" s="71"/>
      <c r="G26" s="74"/>
      <c r="H26" s="76"/>
      <c r="I26" s="76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topLeftCell="A6" zoomScale="80" zoomScaleNormal="80" workbookViewId="0">
      <selection activeCell="K19" sqref="K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'07'!B1+1</f>
        <v>44934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149.9</v>
      </c>
      <c r="D6" s="2"/>
      <c r="E6" s="56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6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21</v>
      </c>
      <c r="C8" s="29">
        <f>SUM(C6:C7)</f>
        <v>149.9</v>
      </c>
      <c r="D8" s="2"/>
      <c r="E8" s="56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56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149.9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1817</v>
      </c>
      <c r="L15" s="9" t="s">
        <v>60</v>
      </c>
      <c r="M15" s="16" t="s">
        <v>48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149.9</v>
      </c>
      <c r="D16" s="2"/>
      <c r="E16" s="18"/>
      <c r="F16" s="25"/>
      <c r="G16" s="26"/>
      <c r="H16" s="8"/>
      <c r="I16" s="8"/>
      <c r="J16" s="2"/>
      <c r="K16" s="25">
        <v>1867</v>
      </c>
      <c r="L16" s="9" t="s">
        <v>60</v>
      </c>
      <c r="M16" s="16" t="s">
        <v>48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1874</v>
      </c>
      <c r="L17" s="9" t="s">
        <v>60</v>
      </c>
      <c r="M17" s="16" t="s">
        <v>48</v>
      </c>
      <c r="R17" s="1">
        <f>IF(vend8[[#This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>
        <v>1873</v>
      </c>
      <c r="L18" s="9" t="s">
        <v>60</v>
      </c>
      <c r="M18" s="16" t="s">
        <v>48</v>
      </c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5">
        <v>1817</v>
      </c>
      <c r="F26" s="71" t="s">
        <v>61</v>
      </c>
      <c r="G26" s="74" t="s">
        <v>9</v>
      </c>
      <c r="H26" s="76"/>
      <c r="I26" s="76">
        <v>149.9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R41"/>
  <sheetViews>
    <sheetView showGridLines="0" topLeftCell="A5" zoomScale="80" zoomScaleNormal="8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'08'!B1+1</f>
        <v>44935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</v>
      </c>
      <c r="D6" s="2"/>
      <c r="E6" s="18">
        <v>1881</v>
      </c>
      <c r="F6" s="25" t="s">
        <v>62</v>
      </c>
      <c r="G6" s="46" t="s">
        <v>44</v>
      </c>
      <c r="H6" s="8">
        <v>180</v>
      </c>
      <c r="I6" s="8">
        <v>0</v>
      </c>
      <c r="J6" s="2"/>
      <c r="K6" s="25"/>
      <c r="L6" s="9"/>
      <c r="M6" s="16"/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1882</v>
      </c>
      <c r="F7" s="25" t="s">
        <v>63</v>
      </c>
      <c r="G7" s="46" t="s">
        <v>6</v>
      </c>
      <c r="H7" s="8">
        <v>30</v>
      </c>
      <c r="I7" s="8">
        <v>10</v>
      </c>
      <c r="J7" s="2"/>
      <c r="K7" s="25"/>
      <c r="L7" s="9"/>
      <c r="M7" s="16"/>
      <c r="R7" s="1">
        <f>IF(vend9[[#This Row],[Nº Venda]]&gt;1,1,0)</f>
        <v>1</v>
      </c>
    </row>
    <row r="8" spans="2:18" ht="15.75" x14ac:dyDescent="0.25">
      <c r="B8" s="28" t="s">
        <v>21</v>
      </c>
      <c r="C8" s="29">
        <f>SUM(C6:C7)</f>
        <v>10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1864</v>
      </c>
      <c r="L15" s="9" t="s">
        <v>60</v>
      </c>
      <c r="M15" s="16" t="s">
        <v>48</v>
      </c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10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1"/>
  <sheetViews>
    <sheetView showGridLines="0" topLeftCell="A5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'09'!B1+1</f>
        <v>44936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2189.9700000000003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2159.9899999999998</v>
      </c>
      <c r="D6" s="2"/>
      <c r="E6" s="18">
        <v>1883</v>
      </c>
      <c r="F6" s="25" t="s">
        <v>64</v>
      </c>
      <c r="G6" s="26" t="s">
        <v>9</v>
      </c>
      <c r="H6" s="8">
        <v>490</v>
      </c>
      <c r="I6" s="8">
        <v>490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1884</v>
      </c>
      <c r="F7" s="25" t="s">
        <v>65</v>
      </c>
      <c r="G7" s="26" t="s">
        <v>9</v>
      </c>
      <c r="H7" s="8">
        <v>350</v>
      </c>
      <c r="I7" s="8">
        <v>350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21</v>
      </c>
      <c r="C8" s="29">
        <f>SUM(C6:C7)</f>
        <v>2159.9899999999998</v>
      </c>
      <c r="D8" s="2"/>
      <c r="E8" s="18">
        <v>1885</v>
      </c>
      <c r="F8" s="25" t="s">
        <v>66</v>
      </c>
      <c r="G8" s="26" t="s">
        <v>9</v>
      </c>
      <c r="H8" s="8">
        <v>549.99</v>
      </c>
      <c r="I8" s="8">
        <v>549.99</v>
      </c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8">
        <v>1886</v>
      </c>
      <c r="F9" s="25" t="s">
        <v>67</v>
      </c>
      <c r="G9" s="26" t="s">
        <v>44</v>
      </c>
      <c r="H9" s="8" t="s">
        <v>55</v>
      </c>
      <c r="I9" s="8">
        <v>0</v>
      </c>
      <c r="J9" s="2"/>
      <c r="K9" s="25"/>
      <c r="L9" s="9"/>
      <c r="M9" s="16"/>
      <c r="R9" s="1">
        <f>IF(vend10[[#This Row],[Nº Venda]]&gt;1,1,0)</f>
        <v>1</v>
      </c>
    </row>
    <row r="10" spans="2:18" ht="15.75" x14ac:dyDescent="0.25">
      <c r="B10" s="77" t="s">
        <v>5</v>
      </c>
      <c r="C10" s="77"/>
      <c r="D10" s="2"/>
      <c r="E10" s="18">
        <v>1887</v>
      </c>
      <c r="F10" s="25" t="s">
        <v>68</v>
      </c>
      <c r="G10" s="46" t="s">
        <v>6</v>
      </c>
      <c r="H10" s="8">
        <v>399.99</v>
      </c>
      <c r="I10" s="8">
        <v>50</v>
      </c>
      <c r="J10" s="2"/>
      <c r="K10" s="25"/>
      <c r="L10" s="9"/>
      <c r="M10" s="16"/>
      <c r="R10" s="1">
        <f>IF(vend10[[#This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>
        <v>1888</v>
      </c>
      <c r="F11" s="25" t="s">
        <v>68</v>
      </c>
      <c r="G11" s="46" t="s">
        <v>6</v>
      </c>
      <c r="H11" s="8">
        <v>399.99</v>
      </c>
      <c r="I11" s="8">
        <v>50</v>
      </c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670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 t="shared" si="0"/>
        <v>1389.99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 t="shared" si="0"/>
        <v>83.39</v>
      </c>
      <c r="D15" s="2"/>
      <c r="E15" s="18"/>
      <c r="F15" s="25"/>
      <c r="G15" s="26"/>
      <c r="H15" s="8"/>
      <c r="I15" s="8"/>
      <c r="J15" s="2"/>
      <c r="K15" s="25">
        <v>1866</v>
      </c>
      <c r="L15" s="9" t="s">
        <v>60</v>
      </c>
      <c r="M15" s="16" t="s">
        <v>48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2243.3799999999997</v>
      </c>
      <c r="D16" s="2"/>
      <c r="E16" s="18"/>
      <c r="F16" s="25"/>
      <c r="G16" s="26"/>
      <c r="H16" s="8"/>
      <c r="I16" s="8"/>
      <c r="J16" s="2"/>
      <c r="K16" s="25">
        <v>1783</v>
      </c>
      <c r="L16" s="9" t="s">
        <v>60</v>
      </c>
      <c r="M16" s="16" t="s">
        <v>48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1871</v>
      </c>
      <c r="L17" s="9" t="s">
        <v>60</v>
      </c>
      <c r="M17" s="16" t="s">
        <v>48</v>
      </c>
      <c r="R17" s="1">
        <f>IF(vend10[[#This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>
        <v>1870</v>
      </c>
      <c r="L18" s="9" t="s">
        <v>60</v>
      </c>
      <c r="M18" s="16" t="s">
        <v>48</v>
      </c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2189.9700000000003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1783</v>
      </c>
      <c r="F26" s="25" t="s">
        <v>69</v>
      </c>
      <c r="G26" s="46" t="s">
        <v>7</v>
      </c>
      <c r="H26" s="8"/>
      <c r="I26" s="8">
        <v>670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1724</v>
      </c>
      <c r="F35" s="25" t="s">
        <v>70</v>
      </c>
      <c r="G35" s="26" t="s">
        <v>10</v>
      </c>
      <c r="H35" s="8">
        <v>83.39</v>
      </c>
      <c r="I35" s="8" t="s">
        <v>39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22" zoomScale="80" zoomScaleNormal="8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'10'!B1+1</f>
        <v>44937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1889</v>
      </c>
      <c r="F6" s="25" t="s">
        <v>71</v>
      </c>
      <c r="G6" s="26" t="s">
        <v>44</v>
      </c>
      <c r="H6" s="8" t="s">
        <v>55</v>
      </c>
      <c r="I6" s="8"/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179</v>
      </c>
      <c r="D15" s="2"/>
      <c r="E15" s="18"/>
      <c r="F15" s="25"/>
      <c r="G15" s="26"/>
      <c r="H15" s="8"/>
      <c r="I15" s="8"/>
      <c r="J15" s="2"/>
      <c r="K15" s="25">
        <v>1872</v>
      </c>
      <c r="L15" s="9" t="s">
        <v>60</v>
      </c>
      <c r="M15" s="16" t="s">
        <v>48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179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1419</v>
      </c>
      <c r="F35" s="25" t="s">
        <v>72</v>
      </c>
      <c r="G35" s="26" t="s">
        <v>10</v>
      </c>
      <c r="H35" s="8">
        <v>59</v>
      </c>
      <c r="I35" s="8" t="s">
        <v>73</v>
      </c>
      <c r="K35" s="25"/>
      <c r="L35" s="41"/>
      <c r="M35" s="16"/>
    </row>
    <row r="36" spans="2:18" ht="15.75" x14ac:dyDescent="0.25">
      <c r="E36" s="18">
        <v>1670</v>
      </c>
      <c r="F36" s="25" t="s">
        <v>74</v>
      </c>
      <c r="G36" s="26" t="s">
        <v>10</v>
      </c>
      <c r="H36" s="8">
        <v>120</v>
      </c>
      <c r="I36" s="8" t="s">
        <v>42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H31" sqref="H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'11'!B1+1</f>
        <v>44938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57"/>
      <c r="F6" s="58"/>
      <c r="G6" s="58"/>
      <c r="H6" s="59"/>
      <c r="I6" s="59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0"/>
      <c r="F7" s="61"/>
      <c r="G7" s="61"/>
      <c r="H7" s="62"/>
      <c r="I7" s="6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4"/>
      <c r="F8" s="61"/>
      <c r="G8" s="61"/>
      <c r="H8" s="62"/>
      <c r="I8" s="6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107.5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107.5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63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1783</v>
      </c>
      <c r="F35" s="25" t="s">
        <v>75</v>
      </c>
      <c r="G35" s="26" t="s">
        <v>10</v>
      </c>
      <c r="H35" s="8">
        <v>107.5</v>
      </c>
      <c r="I35" s="8" t="s">
        <v>76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7" zoomScale="80" zoomScaleNormal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'12'!B1+1</f>
        <v>44939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600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700</v>
      </c>
      <c r="D6" s="2"/>
      <c r="E6" s="18">
        <v>1891</v>
      </c>
      <c r="F6" s="25" t="s">
        <v>77</v>
      </c>
      <c r="G6" s="26" t="s">
        <v>44</v>
      </c>
      <c r="H6" s="8">
        <v>996.97</v>
      </c>
      <c r="I6" s="8">
        <v>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1890</v>
      </c>
      <c r="F7" s="25" t="s">
        <v>78</v>
      </c>
      <c r="G7" s="26" t="s">
        <v>6</v>
      </c>
      <c r="H7" s="8">
        <v>600</v>
      </c>
      <c r="I7" s="8">
        <v>300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21</v>
      </c>
      <c r="C8" s="29">
        <f>SUM(C6:C7)</f>
        <v>700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400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1878</v>
      </c>
      <c r="L15" s="9" t="s">
        <v>60</v>
      </c>
      <c r="M15" s="16" t="s">
        <v>48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700</v>
      </c>
      <c r="D16" s="2"/>
      <c r="E16" s="18"/>
      <c r="F16" s="25"/>
      <c r="G16" s="26"/>
      <c r="H16" s="8"/>
      <c r="I16" s="8"/>
      <c r="J16" s="2"/>
      <c r="K16" s="25">
        <v>1860</v>
      </c>
      <c r="L16" s="9" t="s">
        <v>60</v>
      </c>
      <c r="M16" s="16" t="s">
        <v>48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1826</v>
      </c>
      <c r="L17" s="9" t="s">
        <v>60</v>
      </c>
      <c r="M17" s="16" t="s">
        <v>48</v>
      </c>
      <c r="R17" s="1">
        <f>IF(vend13[[#This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1826</v>
      </c>
      <c r="F26" s="25" t="s">
        <v>79</v>
      </c>
      <c r="G26" s="26" t="s">
        <v>7</v>
      </c>
      <c r="H26" s="8"/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17" zoomScale="80" zoomScaleNormal="80" workbookViewId="0">
      <selection activeCell="H31" sqref="H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'13'!B1+1</f>
        <v>44940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abSelected="1" topLeftCell="A3" zoomScale="80" zoomScaleNormal="8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'14'!B1+1</f>
        <v>44941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1891</v>
      </c>
      <c r="F6" s="25" t="s">
        <v>204</v>
      </c>
      <c r="G6" s="46" t="s">
        <v>44</v>
      </c>
      <c r="H6" s="8">
        <v>996.97</v>
      </c>
      <c r="I6" s="8">
        <v>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1892</v>
      </c>
      <c r="F7" s="25" t="s">
        <v>80</v>
      </c>
      <c r="G7" s="46" t="s">
        <v>44</v>
      </c>
      <c r="H7" s="8">
        <v>35</v>
      </c>
      <c r="I7" s="8">
        <v>0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165</v>
      </c>
      <c r="D15" s="2"/>
      <c r="E15" s="18"/>
      <c r="F15" s="25"/>
      <c r="G15" s="26"/>
      <c r="H15" s="8"/>
      <c r="I15" s="8"/>
      <c r="J15" s="2"/>
      <c r="K15" s="25">
        <v>1784</v>
      </c>
      <c r="L15" s="9" t="s">
        <v>60</v>
      </c>
      <c r="M15" s="16" t="s">
        <v>81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445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1812</v>
      </c>
      <c r="F35" s="25" t="s">
        <v>82</v>
      </c>
      <c r="G35" s="26" t="s">
        <v>10</v>
      </c>
      <c r="H35" s="8">
        <v>165</v>
      </c>
      <c r="I35" s="8" t="s">
        <v>83</v>
      </c>
      <c r="K35" s="25"/>
      <c r="L35" s="41"/>
      <c r="M35" s="16"/>
    </row>
    <row r="36" spans="2:18" ht="15.75" x14ac:dyDescent="0.25">
      <c r="E36" s="18">
        <v>1610</v>
      </c>
      <c r="F36" s="25" t="s">
        <v>84</v>
      </c>
      <c r="G36" s="26" t="s">
        <v>6</v>
      </c>
      <c r="H36" s="8">
        <v>140</v>
      </c>
      <c r="I36" s="8" t="s">
        <v>85</v>
      </c>
      <c r="K36" s="25"/>
      <c r="L36" s="41"/>
      <c r="M36" s="16"/>
    </row>
    <row r="37" spans="2:18" ht="15.75" x14ac:dyDescent="0.25">
      <c r="E37" s="18">
        <v>1610</v>
      </c>
      <c r="F37" s="25" t="s">
        <v>84</v>
      </c>
      <c r="G37" s="26" t="s">
        <v>6</v>
      </c>
      <c r="H37" s="8">
        <v>140</v>
      </c>
      <c r="I37" s="8" t="s">
        <v>37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3" zoomScale="80" zoomScaleNormal="80" workbookViewId="0">
      <selection activeCell="K12" sqref="K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'15'!B1+1</f>
        <v>44942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199.9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75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474.9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1813</v>
      </c>
      <c r="F35" s="25" t="s">
        <v>86</v>
      </c>
      <c r="G35" s="26" t="s">
        <v>6</v>
      </c>
      <c r="H35" s="8">
        <v>100</v>
      </c>
      <c r="I35" s="8" t="s">
        <v>83</v>
      </c>
      <c r="K35" s="25"/>
      <c r="L35" s="41"/>
      <c r="M35" s="16"/>
    </row>
    <row r="36" spans="2:18" ht="15.75" x14ac:dyDescent="0.25">
      <c r="E36" s="18">
        <v>1813</v>
      </c>
      <c r="F36" s="25" t="s">
        <v>86</v>
      </c>
      <c r="G36" s="26" t="s">
        <v>6</v>
      </c>
      <c r="H36" s="8">
        <v>100</v>
      </c>
      <c r="I36" s="8" t="s">
        <v>87</v>
      </c>
      <c r="K36" s="25"/>
      <c r="L36" s="41"/>
      <c r="M36" s="16"/>
    </row>
    <row r="37" spans="2:18" ht="15.75" x14ac:dyDescent="0.25">
      <c r="E37" s="18">
        <v>1811</v>
      </c>
      <c r="F37" s="25" t="s">
        <v>88</v>
      </c>
      <c r="G37" s="26" t="s">
        <v>7</v>
      </c>
      <c r="H37" s="8">
        <v>199.9</v>
      </c>
      <c r="I37" s="8" t="s">
        <v>83</v>
      </c>
      <c r="K37" s="25"/>
      <c r="L37" s="41"/>
      <c r="M37" s="16"/>
    </row>
    <row r="38" spans="2:18" ht="15.75" x14ac:dyDescent="0.25">
      <c r="E38" s="18">
        <v>1791</v>
      </c>
      <c r="F38" s="25" t="s">
        <v>89</v>
      </c>
      <c r="G38" s="26" t="s">
        <v>10</v>
      </c>
      <c r="H38" s="8">
        <v>75</v>
      </c>
      <c r="I38" s="8" t="s">
        <v>90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4" zoomScale="80" zoomScaleNormal="80" workbookViewId="0">
      <selection activeCell="F9" sqref="F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'16'!B1+1</f>
        <v>44943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75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75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1743</v>
      </c>
      <c r="F35" s="25" t="s">
        <v>91</v>
      </c>
      <c r="G35" s="26" t="s">
        <v>10</v>
      </c>
      <c r="H35" s="8">
        <v>75</v>
      </c>
      <c r="I35" s="8" t="s">
        <v>87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11" zoomScale="80" zoomScaleNormal="8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'17'!B1+1</f>
        <v>44944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1300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2160</v>
      </c>
      <c r="D6" s="2"/>
      <c r="E6" s="18">
        <v>1893</v>
      </c>
      <c r="F6" s="25" t="s">
        <v>92</v>
      </c>
      <c r="G6" s="26" t="s">
        <v>9</v>
      </c>
      <c r="H6" s="8">
        <v>730</v>
      </c>
      <c r="I6" s="8">
        <v>730</v>
      </c>
      <c r="J6" s="2"/>
      <c r="K6" s="25"/>
      <c r="L6" s="9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1894</v>
      </c>
      <c r="F7" s="25" t="s">
        <v>92</v>
      </c>
      <c r="G7" s="26" t="s">
        <v>9</v>
      </c>
      <c r="H7" s="8">
        <v>570</v>
      </c>
      <c r="I7" s="8">
        <v>570</v>
      </c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21</v>
      </c>
      <c r="C8" s="29">
        <f>SUM(C6:C7)</f>
        <v>2160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67.5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2160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1884</v>
      </c>
      <c r="L15" s="9" t="s">
        <v>60</v>
      </c>
      <c r="M15" s="16" t="s">
        <v>48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2227.5</v>
      </c>
      <c r="D16" s="2"/>
      <c r="E16" s="18"/>
      <c r="F16" s="25"/>
      <c r="G16" s="26"/>
      <c r="H16" s="8"/>
      <c r="I16" s="8"/>
      <c r="J16" s="2"/>
      <c r="K16" s="25">
        <v>1877</v>
      </c>
      <c r="L16" s="9" t="s">
        <v>60</v>
      </c>
      <c r="M16" s="16" t="s">
        <v>48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1300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1860</v>
      </c>
      <c r="F26" s="25" t="s">
        <v>93</v>
      </c>
      <c r="G26" s="26" t="s">
        <v>9</v>
      </c>
      <c r="H26" s="8"/>
      <c r="I26" s="8">
        <v>860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1630</v>
      </c>
      <c r="F35" s="25" t="s">
        <v>94</v>
      </c>
      <c r="G35" s="26" t="s">
        <v>7</v>
      </c>
      <c r="H35" s="8">
        <v>67.5</v>
      </c>
      <c r="I35" s="8" t="s">
        <v>95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R41"/>
  <sheetViews>
    <sheetView showGridLines="0" topLeftCell="A2" zoomScale="80" zoomScaleNormal="80" workbookViewId="0">
      <selection activeCell="G15" sqref="G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'18'!B1+1</f>
        <v>44945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1880</v>
      </c>
      <c r="L15" s="9" t="s">
        <v>50</v>
      </c>
      <c r="M15" s="16" t="s">
        <v>48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'19'!B1+1</f>
        <v>44946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1100</v>
      </c>
      <c r="D6" s="2"/>
      <c r="E6" s="18">
        <v>1895</v>
      </c>
      <c r="F6" s="25" t="s">
        <v>96</v>
      </c>
      <c r="G6" s="26" t="s">
        <v>7</v>
      </c>
      <c r="H6" s="8">
        <v>200</v>
      </c>
      <c r="I6" s="8">
        <v>200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21</v>
      </c>
      <c r="C8" s="29">
        <f>SUM(C6:C7)</f>
        <v>1100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450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800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1874</v>
      </c>
      <c r="L15" s="9" t="s">
        <v>60</v>
      </c>
      <c r="M15" s="16" t="s">
        <v>48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1350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1874</v>
      </c>
      <c r="F26" s="25" t="s">
        <v>97</v>
      </c>
      <c r="G26" s="26" t="s">
        <v>6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1874</v>
      </c>
      <c r="F27" s="25" t="s">
        <v>97</v>
      </c>
      <c r="G27" s="26" t="s">
        <v>9</v>
      </c>
      <c r="H27" s="8"/>
      <c r="I27" s="8">
        <v>800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1785</v>
      </c>
      <c r="F35" s="25" t="s">
        <v>98</v>
      </c>
      <c r="G35" s="26" t="s">
        <v>7</v>
      </c>
      <c r="H35" s="8">
        <v>250</v>
      </c>
      <c r="I35" s="8" t="s">
        <v>99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2" zoomScale="80" zoomScaleNormal="80" workbookViewId="0">
      <selection activeCell="C38" sqref="C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'20'!B1+1</f>
        <v>44947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15" zoomScale="80" zoomScaleNormal="80" workbookViewId="0">
      <selection activeCell="E28" sqref="E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'21'!B1+1</f>
        <v>44948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65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400</v>
      </c>
      <c r="D6" s="2"/>
      <c r="E6" s="18">
        <v>1896</v>
      </c>
      <c r="F6" s="25" t="s">
        <v>100</v>
      </c>
      <c r="G6" s="26" t="s">
        <v>6</v>
      </c>
      <c r="H6" s="8">
        <v>50</v>
      </c>
      <c r="I6" s="8">
        <v>50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1897</v>
      </c>
      <c r="F7" s="25" t="s">
        <v>101</v>
      </c>
      <c r="G7" s="26" t="s">
        <v>7</v>
      </c>
      <c r="H7" s="8">
        <v>15</v>
      </c>
      <c r="I7" s="8">
        <v>15</v>
      </c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21</v>
      </c>
      <c r="C8" s="29">
        <f>SUM(C6:C7)</f>
        <v>400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215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35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1892</v>
      </c>
      <c r="L15" s="9" t="s">
        <v>47</v>
      </c>
      <c r="M15" s="16" t="s">
        <v>48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400</v>
      </c>
      <c r="D16" s="2"/>
      <c r="E16" s="18"/>
      <c r="F16" s="25"/>
      <c r="G16" s="26"/>
      <c r="H16" s="8"/>
      <c r="I16" s="8"/>
      <c r="J16" s="2"/>
      <c r="K16" s="25">
        <v>1896</v>
      </c>
      <c r="L16" s="9" t="s">
        <v>102</v>
      </c>
      <c r="M16" s="16" t="s">
        <v>48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1870</v>
      </c>
      <c r="F26" s="25" t="s">
        <v>103</v>
      </c>
      <c r="G26" s="26" t="s">
        <v>6</v>
      </c>
      <c r="H26" s="8">
        <v>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1871</v>
      </c>
      <c r="F27" s="25" t="s">
        <v>103</v>
      </c>
      <c r="G27" s="26" t="s">
        <v>7</v>
      </c>
      <c r="H27" s="8">
        <v>0</v>
      </c>
      <c r="I27" s="8">
        <v>200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1892</v>
      </c>
      <c r="F28" s="25" t="s">
        <v>104</v>
      </c>
      <c r="G28" s="26" t="s">
        <v>8</v>
      </c>
      <c r="H28" s="8">
        <v>0</v>
      </c>
      <c r="I28" s="8">
        <v>35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topLeftCell="A5" zoomScale="80" zoomScaleNormal="8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'22'!B1+1</f>
        <v>44949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1898</v>
      </c>
      <c r="F6" s="25" t="s">
        <v>80</v>
      </c>
      <c r="G6" s="26" t="s">
        <v>44</v>
      </c>
      <c r="H6" s="8">
        <v>50</v>
      </c>
      <c r="I6" s="8">
        <v>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1899</v>
      </c>
      <c r="F7" s="25" t="s">
        <v>105</v>
      </c>
      <c r="G7" s="26" t="s">
        <v>44</v>
      </c>
      <c r="H7" s="8">
        <v>600</v>
      </c>
      <c r="I7" s="8">
        <v>0</v>
      </c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21</v>
      </c>
      <c r="C8" s="29">
        <f>SUM(C6:C7)</f>
        <v>0</v>
      </c>
      <c r="D8" s="2"/>
      <c r="E8" s="18">
        <v>1900</v>
      </c>
      <c r="F8" s="25" t="s">
        <v>105</v>
      </c>
      <c r="G8" s="26" t="s">
        <v>44</v>
      </c>
      <c r="H8" s="8">
        <v>0</v>
      </c>
      <c r="I8" s="8">
        <v>0</v>
      </c>
      <c r="J8" s="2"/>
      <c r="K8" s="25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18">
        <v>1901</v>
      </c>
      <c r="F9" s="25" t="s">
        <v>105</v>
      </c>
      <c r="G9" s="26" t="s">
        <v>44</v>
      </c>
      <c r="H9" s="8">
        <v>0</v>
      </c>
      <c r="I9" s="8">
        <v>0</v>
      </c>
      <c r="J9" s="2"/>
      <c r="K9" s="25"/>
      <c r="L9" s="9"/>
      <c r="M9" s="16"/>
      <c r="R9" s="1">
        <f>IF(vend23[[#This Row],[Nº Venda]]&gt;1,1,0)</f>
        <v>1</v>
      </c>
    </row>
    <row r="10" spans="2:18" ht="15.75" x14ac:dyDescent="0.25">
      <c r="B10" s="77" t="s">
        <v>5</v>
      </c>
      <c r="C10" s="77"/>
      <c r="D10" s="2"/>
      <c r="E10" s="18">
        <v>1903</v>
      </c>
      <c r="F10" s="25" t="s">
        <v>106</v>
      </c>
      <c r="G10" s="26" t="s">
        <v>55</v>
      </c>
      <c r="H10" s="8">
        <v>0</v>
      </c>
      <c r="I10" s="8">
        <v>0</v>
      </c>
      <c r="J10" s="2"/>
      <c r="K10" s="25"/>
      <c r="L10" s="9"/>
      <c r="M10" s="16"/>
      <c r="R10" s="1">
        <f>IF(vend23[[#This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 t="s">
        <v>107</v>
      </c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1876</v>
      </c>
      <c r="L15" s="9" t="s">
        <v>108</v>
      </c>
      <c r="M15" s="16" t="s">
        <v>48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>
        <v>1885</v>
      </c>
      <c r="L16" s="9" t="s">
        <v>108</v>
      </c>
      <c r="M16" s="16" t="s">
        <v>48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1883</v>
      </c>
      <c r="L17" s="9" t="s">
        <v>109</v>
      </c>
      <c r="M17" s="16" t="s">
        <v>48</v>
      </c>
      <c r="R17" s="1">
        <f>IF(vend23[[#This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1845</v>
      </c>
      <c r="F35" s="25" t="s">
        <v>110</v>
      </c>
      <c r="G35" s="26" t="s">
        <v>10</v>
      </c>
      <c r="H35" s="8">
        <v>140</v>
      </c>
      <c r="I35" s="8" t="s">
        <v>111</v>
      </c>
      <c r="K35" s="25"/>
      <c r="L35" s="41"/>
      <c r="M35" s="16"/>
    </row>
    <row r="36" spans="2:18" ht="15.75" x14ac:dyDescent="0.25">
      <c r="E36" s="18">
        <v>1791</v>
      </c>
      <c r="F36" s="25" t="s">
        <v>112</v>
      </c>
      <c r="G36" s="26" t="s">
        <v>10</v>
      </c>
      <c r="H36" s="8">
        <v>60</v>
      </c>
      <c r="I36" s="8" t="s">
        <v>113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4" zoomScale="80" zoomScaleNormal="80" workbookViewId="0">
      <selection activeCell="G15" sqref="G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'23'!B1+1</f>
        <v>44950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</v>
      </c>
      <c r="D6" s="2"/>
      <c r="E6" s="18">
        <v>1902</v>
      </c>
      <c r="F6" s="25" t="s">
        <v>114</v>
      </c>
      <c r="G6" s="26" t="s">
        <v>44</v>
      </c>
      <c r="H6" s="8">
        <v>299</v>
      </c>
      <c r="I6" s="8">
        <v>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1835</v>
      </c>
      <c r="L15" s="9" t="s">
        <v>108</v>
      </c>
      <c r="M15" s="16" t="s">
        <v>48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1879</v>
      </c>
      <c r="F26" s="25" t="s">
        <v>115</v>
      </c>
      <c r="G26" s="26" t="s">
        <v>7</v>
      </c>
      <c r="H26" s="8"/>
      <c r="I26" s="8">
        <v>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K6" activeCellId="4" sqref="E26:I31 E35:I41 K35:M41 K15:M31 K6:M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'24'!B1+1</f>
        <v>44951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2" zoomScale="80" zoomScaleNormal="80" workbookViewId="0">
      <selection activeCell="L25" sqref="L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'25'!B1+1</f>
        <v>44952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203.98999999999995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203.98999999999995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1830</v>
      </c>
      <c r="F35" s="25" t="s">
        <v>116</v>
      </c>
      <c r="G35" s="26" t="s">
        <v>10</v>
      </c>
      <c r="H35" s="8">
        <v>96.5</v>
      </c>
      <c r="I35" s="8" t="s">
        <v>83</v>
      </c>
      <c r="K35" s="25"/>
      <c r="L35" s="41"/>
      <c r="M35" s="16"/>
    </row>
    <row r="36" spans="2:18" ht="15.75" x14ac:dyDescent="0.25">
      <c r="E36" s="18">
        <v>1783</v>
      </c>
      <c r="F36" s="25" t="s">
        <v>117</v>
      </c>
      <c r="G36" s="26" t="s">
        <v>10</v>
      </c>
      <c r="H36" s="8">
        <v>35.83</v>
      </c>
      <c r="I36" s="8" t="s">
        <v>85</v>
      </c>
      <c r="K36" s="25"/>
      <c r="L36" s="41"/>
      <c r="M36" s="16"/>
    </row>
    <row r="37" spans="2:18" ht="15.75" x14ac:dyDescent="0.25">
      <c r="E37" s="18">
        <v>1784</v>
      </c>
      <c r="F37" s="25" t="s">
        <v>117</v>
      </c>
      <c r="G37" s="26" t="s">
        <v>10</v>
      </c>
      <c r="H37" s="8">
        <v>35.83</v>
      </c>
      <c r="I37" s="8" t="s">
        <v>85</v>
      </c>
      <c r="K37" s="25"/>
      <c r="L37" s="41"/>
      <c r="M37" s="16"/>
    </row>
    <row r="38" spans="2:18" ht="15.75" x14ac:dyDescent="0.25">
      <c r="E38" s="18">
        <v>1800</v>
      </c>
      <c r="F38" s="25" t="s">
        <v>117</v>
      </c>
      <c r="G38" s="26" t="s">
        <v>10</v>
      </c>
      <c r="H38" s="8">
        <v>35.83</v>
      </c>
      <c r="I38" s="8" t="s">
        <v>85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'26'!B1+1</f>
        <v>44953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250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550</v>
      </c>
      <c r="D6" s="2"/>
      <c r="E6" s="18">
        <v>1904</v>
      </c>
      <c r="F6" s="25" t="s">
        <v>118</v>
      </c>
      <c r="G6" s="26" t="s">
        <v>9</v>
      </c>
      <c r="H6" s="8">
        <v>250</v>
      </c>
      <c r="I6" s="8">
        <v>250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550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250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1890</v>
      </c>
      <c r="L15" s="9" t="s">
        <v>60</v>
      </c>
      <c r="M15" s="16" t="s">
        <v>48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550</v>
      </c>
      <c r="D16" s="2"/>
      <c r="E16" s="18"/>
      <c r="F16" s="25"/>
      <c r="G16" s="26"/>
      <c r="H16" s="8"/>
      <c r="I16" s="8"/>
      <c r="J16" s="2"/>
      <c r="K16" s="25">
        <v>1881</v>
      </c>
      <c r="L16" s="9" t="s">
        <v>119</v>
      </c>
      <c r="M16" s="16" t="s">
        <v>48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1890</v>
      </c>
      <c r="F26" s="25" t="s">
        <v>120</v>
      </c>
      <c r="G26" s="26" t="s">
        <v>6</v>
      </c>
      <c r="H26" s="8"/>
      <c r="I26" s="8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80" zoomScaleNormal="80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'27'!B1+1</f>
        <v>44954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15" zoomScale="80" zoomScaleNormal="80" workbookViewId="0">
      <selection activeCell="E25" sqref="E25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73">
        <f>'28'!B1+1</f>
        <v>44955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950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200</v>
      </c>
      <c r="D6" s="2"/>
      <c r="E6" s="18">
        <v>1905</v>
      </c>
      <c r="F6" s="25" t="s">
        <v>121</v>
      </c>
      <c r="G6" s="26" t="s">
        <v>6</v>
      </c>
      <c r="H6" s="8">
        <v>950</v>
      </c>
      <c r="I6" s="8">
        <v>200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329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144</v>
      </c>
      <c r="D15" s="2"/>
      <c r="E15" s="18"/>
      <c r="F15" s="25"/>
      <c r="G15" s="26"/>
      <c r="H15" s="8"/>
      <c r="I15" s="8"/>
      <c r="J15" s="2"/>
      <c r="K15" s="72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473</v>
      </c>
      <c r="D16" s="2"/>
      <c r="E16" s="18"/>
      <c r="F16" s="25"/>
      <c r="G16" s="26"/>
      <c r="H16" s="8"/>
      <c r="I16" s="8"/>
      <c r="J16" s="2"/>
      <c r="K16" s="72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72"/>
      <c r="L17" s="9"/>
      <c r="M17" s="16"/>
      <c r="R17" s="1">
        <f>IF(vend29[[#This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950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1734</v>
      </c>
      <c r="F35" s="25" t="s">
        <v>122</v>
      </c>
      <c r="G35" s="26" t="s">
        <v>6</v>
      </c>
      <c r="H35" s="8">
        <v>129</v>
      </c>
      <c r="I35" s="8" t="s">
        <v>123</v>
      </c>
      <c r="K35" s="25"/>
      <c r="L35" s="41"/>
      <c r="M35" s="16"/>
    </row>
    <row r="36" spans="2:18" ht="15.75" x14ac:dyDescent="0.25">
      <c r="E36" s="18">
        <v>1544</v>
      </c>
      <c r="F36" s="25" t="s">
        <v>124</v>
      </c>
      <c r="G36" s="26" t="s">
        <v>10</v>
      </c>
      <c r="H36" s="8">
        <v>85</v>
      </c>
      <c r="I36" s="8" t="s">
        <v>125</v>
      </c>
      <c r="K36" s="25"/>
      <c r="L36" s="41"/>
      <c r="M36" s="16"/>
    </row>
    <row r="37" spans="2:18" ht="15.75" x14ac:dyDescent="0.25">
      <c r="E37" s="18">
        <v>1719</v>
      </c>
      <c r="F37" s="25" t="s">
        <v>126</v>
      </c>
      <c r="G37" s="26" t="s">
        <v>10</v>
      </c>
      <c r="H37" s="8">
        <v>59</v>
      </c>
      <c r="I37" s="8" t="s">
        <v>127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R41"/>
  <sheetViews>
    <sheetView showGridLines="0" zoomScale="80" zoomScaleNormal="80" workbookViewId="0">
      <selection activeCell="G11" sqref="G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'29'!B1+1</f>
        <v>44956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399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350</v>
      </c>
      <c r="D6" s="2"/>
      <c r="E6" s="18">
        <v>1906</v>
      </c>
      <c r="F6" s="25" t="s">
        <v>128</v>
      </c>
      <c r="G6" s="26" t="s">
        <v>10</v>
      </c>
      <c r="H6" s="8">
        <v>399</v>
      </c>
      <c r="I6" s="8">
        <v>200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350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1882</v>
      </c>
      <c r="L15" s="9" t="s">
        <v>102</v>
      </c>
      <c r="M15" s="16" t="s">
        <v>48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350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1882</v>
      </c>
      <c r="F26" s="25" t="s">
        <v>129</v>
      </c>
      <c r="G26" s="26" t="s">
        <v>6</v>
      </c>
      <c r="H26" s="8"/>
      <c r="I26" s="8">
        <v>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1879</v>
      </c>
      <c r="F27" s="25" t="s">
        <v>115</v>
      </c>
      <c r="G27" s="26" t="s">
        <v>7</v>
      </c>
      <c r="H27" s="8"/>
      <c r="I27" s="8">
        <v>130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3" zoomScale="80" zoomScaleNormal="80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'30'!B1+1</f>
        <v>44957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1195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898</v>
      </c>
      <c r="D6" s="2"/>
      <c r="E6" s="18">
        <v>1908</v>
      </c>
      <c r="F6" s="25" t="s">
        <v>130</v>
      </c>
      <c r="G6" s="26" t="s">
        <v>7</v>
      </c>
      <c r="H6" s="8">
        <v>497</v>
      </c>
      <c r="I6" s="8">
        <v>200</v>
      </c>
      <c r="J6" s="2"/>
      <c r="K6" s="25"/>
      <c r="L6" s="9"/>
      <c r="M6" s="1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1909</v>
      </c>
      <c r="F7" s="25" t="s">
        <v>131</v>
      </c>
      <c r="G7" s="26" t="s">
        <v>9</v>
      </c>
      <c r="H7" s="8">
        <v>349</v>
      </c>
      <c r="I7" s="8">
        <v>349</v>
      </c>
      <c r="J7" s="2"/>
      <c r="K7" s="25"/>
      <c r="L7" s="9"/>
      <c r="M7" s="16"/>
      <c r="R7" s="1">
        <f>IF(vend31[[#This Row],[Nº Venda]]&gt;1,1,0)</f>
        <v>1</v>
      </c>
    </row>
    <row r="8" spans="2:18" ht="15.75" x14ac:dyDescent="0.25">
      <c r="B8" s="28" t="s">
        <v>21</v>
      </c>
      <c r="C8" s="29">
        <f>SUM(C6:C7)</f>
        <v>898</v>
      </c>
      <c r="D8" s="2"/>
      <c r="E8" s="18">
        <v>1910</v>
      </c>
      <c r="F8" s="25" t="s">
        <v>132</v>
      </c>
      <c r="G8" s="26" t="s">
        <v>55</v>
      </c>
      <c r="H8" s="8">
        <v>0</v>
      </c>
      <c r="I8" s="8">
        <v>0</v>
      </c>
      <c r="J8" s="2"/>
      <c r="K8" s="25"/>
      <c r="L8" s="9"/>
      <c r="M8" s="16"/>
      <c r="R8" s="1">
        <f>IF(vend31[[#This Row],[Nº Venda]]&gt;1,1,0)</f>
        <v>1</v>
      </c>
    </row>
    <row r="9" spans="2:18" ht="15.75" x14ac:dyDescent="0.25">
      <c r="B9" s="2"/>
      <c r="C9" s="2"/>
      <c r="D9" s="2"/>
      <c r="E9" s="18">
        <v>1911</v>
      </c>
      <c r="F9" s="25" t="s">
        <v>133</v>
      </c>
      <c r="G9" s="26" t="s">
        <v>55</v>
      </c>
      <c r="H9" s="8">
        <v>0</v>
      </c>
      <c r="I9" s="8">
        <v>0</v>
      </c>
      <c r="J9" s="2"/>
      <c r="K9" s="25"/>
      <c r="L9" s="9"/>
      <c r="M9" s="16"/>
      <c r="R9" s="1">
        <f>IF(vend31[[#This Row],[Nº Venda]]&gt;1,1,0)</f>
        <v>1</v>
      </c>
    </row>
    <row r="10" spans="2:18" ht="15.75" x14ac:dyDescent="0.25">
      <c r="B10" s="77" t="s">
        <v>5</v>
      </c>
      <c r="C10" s="77"/>
      <c r="D10" s="2"/>
      <c r="E10" s="18">
        <v>1912</v>
      </c>
      <c r="F10" s="25" t="s">
        <v>131</v>
      </c>
      <c r="G10" s="26" t="s">
        <v>9</v>
      </c>
      <c r="H10" s="8">
        <v>349</v>
      </c>
      <c r="I10" s="8">
        <v>349</v>
      </c>
      <c r="J10" s="2"/>
      <c r="K10" s="25"/>
      <c r="L10" s="9"/>
      <c r="M10" s="16"/>
      <c r="R10" s="1">
        <f>IF(vend31[[#This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22</v>
      </c>
      <c r="L13" s="80"/>
      <c r="M13" s="81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698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898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1195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27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28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134</v>
      </c>
      <c r="B1" s="38" t="s">
        <v>135</v>
      </c>
      <c r="E1" s="38" t="s">
        <v>136</v>
      </c>
    </row>
    <row r="2" spans="1:5" x14ac:dyDescent="0.2">
      <c r="A2" s="38" t="s">
        <v>6</v>
      </c>
      <c r="B2" s="38" t="s">
        <v>137</v>
      </c>
      <c r="E2" t="s">
        <v>138</v>
      </c>
    </row>
    <row r="3" spans="1:5" x14ac:dyDescent="0.2">
      <c r="A3" s="38" t="s">
        <v>7</v>
      </c>
      <c r="B3" s="38" t="s">
        <v>139</v>
      </c>
      <c r="E3" t="s">
        <v>140</v>
      </c>
    </row>
    <row r="4" spans="1:5" x14ac:dyDescent="0.2">
      <c r="A4" s="38" t="s">
        <v>8</v>
      </c>
      <c r="B4" s="38" t="s">
        <v>141</v>
      </c>
      <c r="E4" t="s">
        <v>99</v>
      </c>
    </row>
    <row r="5" spans="1:5" x14ac:dyDescent="0.2">
      <c r="A5" s="38" t="s">
        <v>9</v>
      </c>
      <c r="B5" s="38" t="s">
        <v>142</v>
      </c>
      <c r="E5" t="s">
        <v>113</v>
      </c>
    </row>
    <row r="6" spans="1:5" x14ac:dyDescent="0.2">
      <c r="A6" s="38" t="s">
        <v>10</v>
      </c>
      <c r="B6" s="38" t="s">
        <v>10</v>
      </c>
      <c r="E6" t="s">
        <v>143</v>
      </c>
    </row>
    <row r="7" spans="1:5" x14ac:dyDescent="0.2">
      <c r="A7" s="38" t="s">
        <v>44</v>
      </c>
      <c r="B7" s="38" t="s">
        <v>144</v>
      </c>
      <c r="E7" t="s">
        <v>145</v>
      </c>
    </row>
    <row r="8" spans="1:5" x14ac:dyDescent="0.2">
      <c r="A8" t="s">
        <v>25</v>
      </c>
      <c r="B8" t="s">
        <v>146</v>
      </c>
      <c r="E8" t="s">
        <v>147</v>
      </c>
    </row>
    <row r="9" spans="1:5" x14ac:dyDescent="0.2">
      <c r="A9" s="38" t="s">
        <v>55</v>
      </c>
      <c r="B9" s="38" t="s">
        <v>148</v>
      </c>
      <c r="E9" t="s">
        <v>149</v>
      </c>
    </row>
    <row r="10" spans="1:5" x14ac:dyDescent="0.2">
      <c r="E10" t="s">
        <v>41</v>
      </c>
    </row>
    <row r="11" spans="1:5" x14ac:dyDescent="0.2">
      <c r="E11" t="s">
        <v>42</v>
      </c>
    </row>
    <row r="12" spans="1:5" x14ac:dyDescent="0.2">
      <c r="E12" t="s">
        <v>111</v>
      </c>
    </row>
    <row r="13" spans="1:5" x14ac:dyDescent="0.2">
      <c r="E13" t="s">
        <v>58</v>
      </c>
    </row>
    <row r="14" spans="1:5" x14ac:dyDescent="0.2">
      <c r="E14" t="s">
        <v>73</v>
      </c>
    </row>
    <row r="15" spans="1:5" x14ac:dyDescent="0.2">
      <c r="E15" t="s">
        <v>150</v>
      </c>
    </row>
    <row r="16" spans="1:5" x14ac:dyDescent="0.2">
      <c r="E16" t="s">
        <v>127</v>
      </c>
    </row>
    <row r="17" spans="5:5" x14ac:dyDescent="0.2">
      <c r="E17" t="s">
        <v>83</v>
      </c>
    </row>
    <row r="18" spans="5:5" x14ac:dyDescent="0.2">
      <c r="E18" t="s">
        <v>87</v>
      </c>
    </row>
    <row r="19" spans="5:5" x14ac:dyDescent="0.2">
      <c r="E19" t="s">
        <v>39</v>
      </c>
    </row>
    <row r="20" spans="5:5" x14ac:dyDescent="0.2">
      <c r="E20" t="s">
        <v>151</v>
      </c>
    </row>
    <row r="21" spans="5:5" x14ac:dyDescent="0.2">
      <c r="E21" t="s">
        <v>152</v>
      </c>
    </row>
    <row r="22" spans="5:5" x14ac:dyDescent="0.2">
      <c r="E22" t="s">
        <v>153</v>
      </c>
    </row>
    <row r="23" spans="5:5" x14ac:dyDescent="0.2">
      <c r="E23" t="s">
        <v>154</v>
      </c>
    </row>
    <row r="24" spans="5:5" x14ac:dyDescent="0.2">
      <c r="E24" t="s">
        <v>155</v>
      </c>
    </row>
    <row r="25" spans="5:5" x14ac:dyDescent="0.2">
      <c r="E25" t="s">
        <v>156</v>
      </c>
    </row>
    <row r="26" spans="5:5" x14ac:dyDescent="0.2">
      <c r="E26" t="s">
        <v>123</v>
      </c>
    </row>
    <row r="27" spans="5:5" x14ac:dyDescent="0.2">
      <c r="E27" t="s">
        <v>157</v>
      </c>
    </row>
    <row r="28" spans="5:5" x14ac:dyDescent="0.2">
      <c r="E28" t="s">
        <v>158</v>
      </c>
    </row>
    <row r="29" spans="5:5" x14ac:dyDescent="0.2">
      <c r="E29" t="s">
        <v>159</v>
      </c>
    </row>
    <row r="30" spans="5:5" x14ac:dyDescent="0.2">
      <c r="E30" t="s">
        <v>160</v>
      </c>
    </row>
    <row r="31" spans="5:5" x14ac:dyDescent="0.2">
      <c r="E31" t="s">
        <v>161</v>
      </c>
    </row>
    <row r="32" spans="5:5" x14ac:dyDescent="0.2">
      <c r="E32" t="s">
        <v>162</v>
      </c>
    </row>
    <row r="33" spans="5:5" x14ac:dyDescent="0.2">
      <c r="E33" t="s">
        <v>163</v>
      </c>
    </row>
    <row r="34" spans="5:5" x14ac:dyDescent="0.2">
      <c r="E34" t="s">
        <v>164</v>
      </c>
    </row>
    <row r="35" spans="5:5" x14ac:dyDescent="0.2">
      <c r="E35" t="s">
        <v>165</v>
      </c>
    </row>
    <row r="36" spans="5:5" x14ac:dyDescent="0.2">
      <c r="E36" t="s">
        <v>166</v>
      </c>
    </row>
    <row r="37" spans="5:5" x14ac:dyDescent="0.2">
      <c r="E37" t="s">
        <v>167</v>
      </c>
    </row>
    <row r="38" spans="5:5" x14ac:dyDescent="0.2">
      <c r="E38" t="s">
        <v>90</v>
      </c>
    </row>
    <row r="39" spans="5:5" x14ac:dyDescent="0.2">
      <c r="E39" t="s">
        <v>168</v>
      </c>
    </row>
    <row r="40" spans="5:5" x14ac:dyDescent="0.2">
      <c r="E40" t="s">
        <v>169</v>
      </c>
    </row>
    <row r="41" spans="5:5" x14ac:dyDescent="0.2">
      <c r="E41" t="s">
        <v>170</v>
      </c>
    </row>
    <row r="42" spans="5:5" x14ac:dyDescent="0.2">
      <c r="E42" t="s">
        <v>35</v>
      </c>
    </row>
    <row r="43" spans="5:5" x14ac:dyDescent="0.2">
      <c r="E43" t="s">
        <v>171</v>
      </c>
    </row>
    <row r="44" spans="5:5" x14ac:dyDescent="0.2">
      <c r="E44" t="s">
        <v>125</v>
      </c>
    </row>
    <row r="45" spans="5:5" x14ac:dyDescent="0.2">
      <c r="E45" t="s">
        <v>172</v>
      </c>
    </row>
    <row r="46" spans="5:5" x14ac:dyDescent="0.2">
      <c r="E46" t="s">
        <v>173</v>
      </c>
    </row>
    <row r="47" spans="5:5" x14ac:dyDescent="0.2">
      <c r="E47" t="s">
        <v>174</v>
      </c>
    </row>
    <row r="48" spans="5:5" x14ac:dyDescent="0.2">
      <c r="E48" t="s">
        <v>76</v>
      </c>
    </row>
    <row r="49" spans="5:5" x14ac:dyDescent="0.2">
      <c r="E49" t="s">
        <v>85</v>
      </c>
    </row>
    <row r="50" spans="5:5" x14ac:dyDescent="0.2">
      <c r="E50" t="s">
        <v>37</v>
      </c>
    </row>
    <row r="51" spans="5:5" x14ac:dyDescent="0.2">
      <c r="E51" t="s">
        <v>175</v>
      </c>
    </row>
    <row r="52" spans="5:5" x14ac:dyDescent="0.2">
      <c r="E52" t="s">
        <v>176</v>
      </c>
    </row>
    <row r="53" spans="5:5" x14ac:dyDescent="0.2">
      <c r="E53" t="s">
        <v>177</v>
      </c>
    </row>
    <row r="54" spans="5:5" x14ac:dyDescent="0.2">
      <c r="E54" t="s">
        <v>178</v>
      </c>
    </row>
    <row r="55" spans="5:5" x14ac:dyDescent="0.2">
      <c r="E55" t="s">
        <v>179</v>
      </c>
    </row>
    <row r="56" spans="5:5" x14ac:dyDescent="0.2">
      <c r="E56" t="s">
        <v>180</v>
      </c>
    </row>
    <row r="57" spans="5:5" x14ac:dyDescent="0.2">
      <c r="E57" t="s">
        <v>181</v>
      </c>
    </row>
    <row r="58" spans="5:5" x14ac:dyDescent="0.2">
      <c r="E58" t="s">
        <v>182</v>
      </c>
    </row>
    <row r="59" spans="5:5" x14ac:dyDescent="0.2">
      <c r="E59" t="s">
        <v>183</v>
      </c>
    </row>
    <row r="60" spans="5:5" x14ac:dyDescent="0.2">
      <c r="E60" t="s">
        <v>184</v>
      </c>
    </row>
    <row r="61" spans="5:5" x14ac:dyDescent="0.2">
      <c r="E61" t="s">
        <v>185</v>
      </c>
    </row>
    <row r="62" spans="5:5" x14ac:dyDescent="0.2">
      <c r="E62" t="s">
        <v>186</v>
      </c>
    </row>
    <row r="63" spans="5:5" x14ac:dyDescent="0.2">
      <c r="E63" t="s">
        <v>187</v>
      </c>
    </row>
    <row r="64" spans="5:5" x14ac:dyDescent="0.2">
      <c r="E64" t="s">
        <v>188</v>
      </c>
    </row>
    <row r="65" spans="5:5" x14ac:dyDescent="0.2">
      <c r="E65" t="s">
        <v>189</v>
      </c>
    </row>
    <row r="66" spans="5:5" x14ac:dyDescent="0.2">
      <c r="E66" t="s">
        <v>190</v>
      </c>
    </row>
    <row r="67" spans="5:5" x14ac:dyDescent="0.2">
      <c r="E67" t="s">
        <v>191</v>
      </c>
    </row>
    <row r="68" spans="5:5" x14ac:dyDescent="0.2">
      <c r="E68" t="s">
        <v>192</v>
      </c>
    </row>
    <row r="69" spans="5:5" x14ac:dyDescent="0.2">
      <c r="E69" t="s">
        <v>193</v>
      </c>
    </row>
    <row r="70" spans="5:5" x14ac:dyDescent="0.2">
      <c r="E70" t="s">
        <v>194</v>
      </c>
    </row>
    <row r="71" spans="5:5" x14ac:dyDescent="0.2">
      <c r="E71" t="s">
        <v>195</v>
      </c>
    </row>
    <row r="72" spans="5:5" x14ac:dyDescent="0.2">
      <c r="E72" t="s">
        <v>196</v>
      </c>
    </row>
    <row r="73" spans="5:5" x14ac:dyDescent="0.2">
      <c r="E73" t="s">
        <v>197</v>
      </c>
    </row>
    <row r="74" spans="5:5" x14ac:dyDescent="0.2">
      <c r="E74" t="s">
        <v>198</v>
      </c>
    </row>
    <row r="75" spans="5:5" x14ac:dyDescent="0.2">
      <c r="E75" t="s">
        <v>199</v>
      </c>
    </row>
    <row r="76" spans="5:5" x14ac:dyDescent="0.2">
      <c r="E76" t="s">
        <v>200</v>
      </c>
    </row>
    <row r="77" spans="5:5" x14ac:dyDescent="0.2">
      <c r="E77" t="s">
        <v>201</v>
      </c>
    </row>
    <row r="78" spans="5:5" x14ac:dyDescent="0.2">
      <c r="E78" t="s">
        <v>202</v>
      </c>
    </row>
    <row r="79" spans="5:5" x14ac:dyDescent="0.2">
      <c r="E79" t="s">
        <v>203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saomateus lojas</cp:lastModifiedBy>
  <cp:revision/>
  <dcterms:created xsi:type="dcterms:W3CDTF">2004-04-07T20:43:43Z</dcterms:created>
  <dcterms:modified xsi:type="dcterms:W3CDTF">2024-06-08T14:16:47Z</dcterms:modified>
  <cp:category/>
  <cp:contentStatus/>
</cp:coreProperties>
</file>