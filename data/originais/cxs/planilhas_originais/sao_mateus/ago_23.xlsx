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2023/"/>
    </mc:Choice>
  </mc:AlternateContent>
  <xr:revisionPtr revIDLastSave="4" documentId="13_ncr:1_{FF2A0D33-CA99-4F55-827F-7A4C1438B89E}" xr6:coauthVersionLast="47" xr6:coauthVersionMax="47" xr10:uidLastSave="{2AC95D27-D3AE-4326-9329-1D5B79B0E559}"/>
  <bookViews>
    <workbookView xWindow="-120" yWindow="-120" windowWidth="19440" windowHeight="10590" tabRatio="895" firstSheet="8" activeTab="8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96" l="1"/>
  <c r="C11" i="194"/>
  <c r="C5" i="194"/>
  <c r="C22" i="194" s="1"/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8" i="189" s="1"/>
  <c r="C7" i="190"/>
  <c r="C8" i="190" s="1"/>
  <c r="C7" i="191"/>
  <c r="C7" i="188"/>
  <c r="C7" i="193"/>
  <c r="C7" i="195"/>
  <c r="C7" i="194"/>
  <c r="C7" i="197"/>
  <c r="C8" i="197" s="1"/>
  <c r="C7" i="196"/>
  <c r="C7" i="192"/>
  <c r="C8" i="192" s="1"/>
  <c r="C7" i="199"/>
  <c r="C7" i="198"/>
  <c r="C7" i="175"/>
  <c r="A17" i="200"/>
  <c r="C5" i="174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5" i="187"/>
  <c r="C5" i="189"/>
  <c r="C22" i="189" s="1"/>
  <c r="C5" i="190"/>
  <c r="C22" i="190" s="1"/>
  <c r="C5" i="191"/>
  <c r="C22" i="191" s="1"/>
  <c r="C5" i="188"/>
  <c r="C22" i="188" s="1"/>
  <c r="C5" i="193"/>
  <c r="C5" i="195"/>
  <c r="C22" i="195" s="1"/>
  <c r="C5" i="197"/>
  <c r="C5" i="196"/>
  <c r="C22" i="196" s="1"/>
  <c r="C5" i="192"/>
  <c r="C5" i="199"/>
  <c r="C22" i="199" s="1"/>
  <c r="C5" i="198"/>
  <c r="C22" i="198" s="1"/>
  <c r="C5" i="175"/>
  <c r="C22" i="175" s="1"/>
  <c r="C6" i="174"/>
  <c r="C6" i="173"/>
  <c r="C6" i="172"/>
  <c r="C6" i="17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6" i="189"/>
  <c r="C6" i="190"/>
  <c r="C6" i="191"/>
  <c r="C6" i="188"/>
  <c r="C6" i="193"/>
  <c r="C6" i="195"/>
  <c r="C6" i="194"/>
  <c r="C6" i="197"/>
  <c r="C6" i="196"/>
  <c r="C6" i="192"/>
  <c r="C6" i="199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C22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8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22" i="187"/>
  <c r="R20" i="186"/>
  <c r="R19" i="186"/>
  <c r="C19" i="186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C22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C22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C16" i="170"/>
  <c r="O11" i="170" s="1"/>
  <c r="R10" i="170"/>
  <c r="R9" i="170"/>
  <c r="R8" i="170"/>
  <c r="R7" i="170"/>
  <c r="R6" i="170"/>
  <c r="C19" i="103"/>
  <c r="B19" i="103"/>
  <c r="C8" i="196" l="1"/>
  <c r="C8" i="172"/>
  <c r="C8" i="187"/>
  <c r="C8" i="180"/>
  <c r="C8" i="173"/>
  <c r="R40" i="184"/>
  <c r="R40" i="180"/>
  <c r="R40" i="188"/>
  <c r="C8" i="183"/>
  <c r="R40" i="196"/>
  <c r="C8" i="199"/>
  <c r="R40" i="189"/>
  <c r="R40" i="193"/>
  <c r="R40" i="197"/>
  <c r="C8" i="171"/>
  <c r="R40" i="170"/>
  <c r="R40" i="192"/>
  <c r="R40" i="186"/>
  <c r="R40" i="185"/>
  <c r="R40" i="194"/>
  <c r="R40" i="198"/>
  <c r="R40" i="174"/>
  <c r="R40" i="177"/>
  <c r="R40" i="172"/>
  <c r="R40" i="178"/>
  <c r="R40" i="190"/>
  <c r="R40" i="195"/>
  <c r="C8" i="176"/>
  <c r="R40" i="173"/>
  <c r="R40" i="179"/>
  <c r="R40" i="183"/>
  <c r="R40" i="187"/>
  <c r="R40" i="191"/>
  <c r="R40" i="199"/>
  <c r="C22" i="192"/>
  <c r="B3" i="200"/>
  <c r="E5" i="200" s="1"/>
  <c r="F5" i="200" s="1"/>
  <c r="G5" i="200" s="1"/>
  <c r="C16" i="194"/>
  <c r="C8" i="175"/>
  <c r="C8" i="188"/>
  <c r="C8" i="191"/>
  <c r="C20" i="186"/>
  <c r="B17" i="200"/>
  <c r="B18" i="200" s="1"/>
  <c r="R40" i="181"/>
  <c r="R40" i="182"/>
  <c r="R40" i="176"/>
  <c r="C16" i="171"/>
  <c r="O11" i="171" s="1"/>
  <c r="R40" i="171"/>
  <c r="B13" i="200"/>
  <c r="B5" i="200"/>
  <c r="B11" i="200"/>
  <c r="B10" i="200"/>
  <c r="B9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O11" i="194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F11" i="200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<sst xmlns="http://schemas.openxmlformats.org/spreadsheetml/2006/main" count="1911" uniqueCount="241">
  <si>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</si>
  <si>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</si>
  <si>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</si>
  <si>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</si>
  <si>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</si>
  <si>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</si>
  <si>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</si>
  <si>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</si>
  <si>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</si>
  <si>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</si>
  <si>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</si>
  <si>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</si>
  <si>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</si>
  <si>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</si>
  <si>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</si>
  <si>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</si>
  <si>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</si>
  <si>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</si>
  <si>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</si>
  <si>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</si>
  <si>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</si>
  <si>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BRUNA K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</si>
  <si>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</si>
  <si>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</si>
  <si>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</si>
  <si>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</si>
  <si>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</si>
  <si>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</si>
  <si>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</si>
  <si>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</si>
  <si>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</si>
  <si>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</si>
  <si>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</si>
  <si>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</si>
  <si>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</si>
  <si>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OSMAR BACEGA</t>
  </si>
  <si>
    <t>AIRTON RIBEIRO</t>
  </si>
  <si>
    <t>SS</t>
  </si>
  <si>
    <t>GARANTIA</t>
  </si>
  <si>
    <t>MARIA</t>
  </si>
  <si>
    <t>Não</t>
  </si>
  <si>
    <t>WEVILLY</t>
  </si>
  <si>
    <t>NELITO A</t>
  </si>
  <si>
    <t>TEREZINHA M</t>
  </si>
  <si>
    <t>VERA REGNA PIMENTEL</t>
  </si>
  <si>
    <t>EDELI P</t>
  </si>
  <si>
    <t>JOÃO DA SILVA</t>
  </si>
  <si>
    <t>ARIANI</t>
  </si>
  <si>
    <t>Sim</t>
  </si>
  <si>
    <t>EUNICE DE C</t>
  </si>
  <si>
    <t>NILTON AP</t>
  </si>
  <si>
    <t>SIDNEY DO C</t>
  </si>
  <si>
    <t>ELIAS MARTINS</t>
  </si>
  <si>
    <t>PEDRO GERALDO</t>
  </si>
  <si>
    <t>KATIA J</t>
  </si>
  <si>
    <t>BRUNO</t>
  </si>
  <si>
    <t>SONIA MARIA</t>
  </si>
  <si>
    <t>LUCILENE</t>
  </si>
  <si>
    <t>ROSIMEIRE SOARES</t>
  </si>
  <si>
    <t>DIEGO ANDRADE</t>
  </si>
  <si>
    <t>LEONOR DE LIMA</t>
  </si>
  <si>
    <t>ANTONIO PADUA</t>
  </si>
  <si>
    <t xml:space="preserve">Água </t>
  </si>
  <si>
    <t xml:space="preserve">Pix </t>
  </si>
  <si>
    <t>CARLOS ALBERTO</t>
  </si>
  <si>
    <t>ROSELAINE DE FATIMA</t>
  </si>
  <si>
    <t>LUIZ CARLOS</t>
  </si>
  <si>
    <t>JOELMA ADRIANA</t>
  </si>
  <si>
    <t>FABIO DOS SANTOS</t>
  </si>
  <si>
    <t>LUCAS CERQUEIRA</t>
  </si>
  <si>
    <t>ANA MARIA</t>
  </si>
  <si>
    <t>IVONETE DOS SANTOS</t>
  </si>
  <si>
    <t>ERIKA KELLY</t>
  </si>
  <si>
    <t>IRENILDA G</t>
  </si>
  <si>
    <t>MARIA AP</t>
  </si>
  <si>
    <t>RENATO CRUZ</t>
  </si>
  <si>
    <t>RENATO CRUZ DE M</t>
  </si>
  <si>
    <t>GENILDA R</t>
  </si>
  <si>
    <t>JOSE E</t>
  </si>
  <si>
    <t>MARIA JOSE</t>
  </si>
  <si>
    <t>JOSE G</t>
  </si>
  <si>
    <t>CARLA ALVES DE LIMA</t>
  </si>
  <si>
    <t>MARCOS R</t>
  </si>
  <si>
    <t>KATIA VALERIA</t>
  </si>
  <si>
    <t>LUCIANA DE O</t>
  </si>
  <si>
    <t>DEBORA BERGAMO</t>
  </si>
  <si>
    <t>JOSE HUMBERTO DA S</t>
  </si>
  <si>
    <t>dn</t>
  </si>
  <si>
    <t>wevilly</t>
  </si>
  <si>
    <t xml:space="preserve">Osmar Barcega </t>
  </si>
  <si>
    <t>pctc</t>
  </si>
  <si>
    <t>Neuza Almeida</t>
  </si>
  <si>
    <t>PARC. 11/11</t>
  </si>
  <si>
    <t>Sandra Cristina</t>
  </si>
  <si>
    <t>pix</t>
  </si>
  <si>
    <t>PARC. 2/5</t>
  </si>
  <si>
    <t>Thamires Yanakyara</t>
  </si>
  <si>
    <t>Lilian Akemi</t>
  </si>
  <si>
    <t>PARC. 2/3</t>
  </si>
  <si>
    <t>Andreia Evaristo</t>
  </si>
  <si>
    <t>PARC. 1/9</t>
  </si>
  <si>
    <t xml:space="preserve">Wevelly </t>
  </si>
  <si>
    <t xml:space="preserve">Jessica Cristina </t>
  </si>
  <si>
    <t>PARC. 3/5</t>
  </si>
  <si>
    <t>PARC. 4/5</t>
  </si>
  <si>
    <t>Benival Lopes</t>
  </si>
  <si>
    <t>PARC. 4/6</t>
  </si>
  <si>
    <t>Daniel Lima</t>
  </si>
  <si>
    <t xml:space="preserve">Ana Beatriz </t>
  </si>
  <si>
    <t>Thays Mendonça</t>
  </si>
  <si>
    <t>PARC. 4/4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</si>
  <si>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</si>
  <si>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</si>
  <si>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</si>
  <si>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</si>
  <si>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</si>
  <si>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</si>
  <si>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</si>
  <si>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</si>
  <si>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</si>
  <si>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</si>
  <si>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</si>
  <si>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</si>
  <si>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</si>
  <si>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</si>
  <si>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PARC. 1/4</t>
  </si>
  <si>
    <t>Todas as Garantias</t>
  </si>
  <si>
    <t>PARC. 2/4</t>
  </si>
  <si>
    <t>PARC. 3/4</t>
  </si>
  <si>
    <t>PARC. 1/5</t>
  </si>
  <si>
    <t>PARC. 5/5</t>
  </si>
  <si>
    <t>PARC. 1/6</t>
  </si>
  <si>
    <t>PARC. 2/6</t>
  </si>
  <si>
    <t>PARC. 3/6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</si>
  <si>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</si>
  <si>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</si>
  <si>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</si>
  <si>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</si>
  <si>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</si>
  <si>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</si>
  <si>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</si>
  <si>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</si>
  <si>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</si>
  <si>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</si>
  <si>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</si>
  <si>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</si>
  <si>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</si>
  <si>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</si>
  <si>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</si>
  <si>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</si>
  <si>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</si>
  <si>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</si>
  <si>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</si>
  <si>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</si>
  <si>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</si>
  <si>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</si>
  <si>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</si>
  <si>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</si>
  <si>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</si>
  <si>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</si>
  <si>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</si>
  <si>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</si>
  <si>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</si>
  <si>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</si>
  <si>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</si>
  <si>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</si>
  <si>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</si>
  <si>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</si>
  <si>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</si>
  <si>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</si>
  <si>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</si>
  <si>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</si>
  <si>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</si>
  <si>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</si>
  <si>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</si>
  <si>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</si>
  <si>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</si>
  <si>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</si>
  <si>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</si>
  <si>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</si>
  <si>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</si>
  <si>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</si>
  <si>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</si>
  <si>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</si>
  <si>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</si>
  <si>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</si>
  <si>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</si>
  <si>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</si>
  <si>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</si>
  <si>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</si>
  <si>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</si>
  <si>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Rosineide</t>
  </si>
  <si>
    <t>Paloma Magalhaes</t>
  </si>
  <si>
    <t>Luciano Rosa Marques</t>
  </si>
  <si>
    <t>MARIA APARECIDA</t>
  </si>
  <si>
    <t>Marta Paloma Saturnino</t>
  </si>
  <si>
    <t>ss</t>
  </si>
  <si>
    <t>CARLA ALVES</t>
  </si>
  <si>
    <t>CLAUDIO NASC</t>
  </si>
  <si>
    <t>EDEMILSON DE S</t>
  </si>
  <si>
    <t>LAUDICEIA</t>
  </si>
  <si>
    <t>ROGERIO</t>
  </si>
  <si>
    <t>MARIA APARECIDA F</t>
  </si>
  <si>
    <t>ANTONIO AMAURI</t>
  </si>
  <si>
    <t>EVANEIDE ALVES</t>
  </si>
  <si>
    <t>ANA KAROLINE</t>
  </si>
  <si>
    <t>ALMIR IWAO</t>
  </si>
  <si>
    <t>INGRID CATARINE</t>
  </si>
  <si>
    <t>AIRTON M</t>
  </si>
  <si>
    <t>ELAINE C</t>
  </si>
  <si>
    <t xml:space="preserve">LENIVALDO MACEDO </t>
  </si>
  <si>
    <t>ROSANGELA PORTO</t>
  </si>
  <si>
    <t>BEATRIZ HELENA</t>
  </si>
  <si>
    <t>LUANA P DA SILVA</t>
  </si>
  <si>
    <t>SOLANGE APARECIDA</t>
  </si>
  <si>
    <t>CORTESIA</t>
  </si>
  <si>
    <t>ELIANA DE BRITO</t>
  </si>
  <si>
    <t>1685</t>
  </si>
  <si>
    <t>1686</t>
  </si>
  <si>
    <t>ANA CAROLINA CAMPELO</t>
  </si>
  <si>
    <t>KATIA JACO</t>
  </si>
  <si>
    <t>SEBASTIANA DOS SANTOS</t>
  </si>
  <si>
    <t>JOSE LOPES</t>
  </si>
  <si>
    <t>EIDELI PEREIRA</t>
  </si>
  <si>
    <t>GERALDO FRANCISCO</t>
  </si>
  <si>
    <t>Falta</t>
  </si>
  <si>
    <t>Por Dia</t>
  </si>
  <si>
    <t>Por Os</t>
  </si>
  <si>
    <t>TM</t>
  </si>
  <si>
    <t xml:space="preserve">JOYCE PEREIRA </t>
  </si>
  <si>
    <t>MARCELO ALVES</t>
  </si>
  <si>
    <t>ANA BEATRIZ LIMA</t>
  </si>
  <si>
    <t>DANIEL LIMA</t>
  </si>
  <si>
    <t>Sandy</t>
  </si>
  <si>
    <t>GONÇALVES FRANCISCO</t>
  </si>
  <si>
    <t>LUANA P</t>
  </si>
  <si>
    <t>EDSON SOUZA</t>
  </si>
  <si>
    <t>GERALDA GOMES</t>
  </si>
  <si>
    <t>NEUZA FERNANDA</t>
  </si>
  <si>
    <t>ANA BEATRIZ</t>
  </si>
  <si>
    <t>Geralda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</si>
</sst>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49" fontId="24" fillId="0" borderId="10" xfId="0" applyNumberFormat="1" applyFont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49" fontId="0" fillId="0" borderId="17" xfId="2" applyNumberFormat="1" applyFont="1" applyFill="1" applyBorder="1" applyAlignment="1">
      <alignment horizontal="center"/>
    </xf>
    <xf numFmtId="164" fontId="0" fillId="0" borderId="13" xfId="2" applyFont="1" applyFill="1" applyBorder="1" applyAlignment="1">
      <alignment horizontal="center"/>
    </xf>
    <xf numFmtId="49" fontId="0" fillId="0" borderId="13" xfId="2" applyNumberFormat="1" applyFont="1" applyFill="1" applyBorder="1" applyAlignment="1">
      <alignment horizontal="center"/>
    </xf>
    <xf numFmtId="0" fontId="36" fillId="0" borderId="13" xfId="0" applyFont="1" applyBorder="1" applyAlignment="1">
      <alignment horizontal="center"/>
    </xf>
    <xf numFmtId="0" fontId="37" fillId="0" borderId="13" xfId="0" applyFont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1" fontId="13" fillId="0" borderId="13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4" fillId="7" borderId="19" xfId="0" applyFont="1" applyFill="1" applyBorder="1" applyAlignment="1">
      <alignment horizontal="center"/>
    </xf>
    <xf numFmtId="0" fontId="13" fillId="5" borderId="20" xfId="0" applyFont="1" applyFill="1" applyBorder="1" applyAlignment="1">
      <alignment horizontal="center"/>
    </xf>
    <xf numFmtId="165" fontId="14" fillId="7" borderId="21" xfId="0" applyNumberFormat="1" applyFont="1" applyFill="1" applyBorder="1" applyAlignment="1">
      <alignment horizontal="center"/>
    </xf>
    <xf numFmtId="165" fontId="13" fillId="5" borderId="22" xfId="0" applyNumberFormat="1" applyFont="1" applyFill="1" applyBorder="1" applyAlignment="1">
      <alignment horizontal="center"/>
    </xf>
    <xf numFmtId="165" fontId="13" fillId="5" borderId="23" xfId="0" applyNumberFormat="1" applyFont="1" applyFill="1" applyBorder="1" applyAlignment="1">
      <alignment horizontal="center"/>
    </xf>
    <xf numFmtId="1" fontId="13" fillId="5" borderId="21" xfId="0" applyNumberFormat="1" applyFont="1" applyFill="1" applyBorder="1" applyAlignment="1">
      <alignment horizontal="center"/>
    </xf>
    <xf numFmtId="0" fontId="14" fillId="7" borderId="24" xfId="0" applyFont="1" applyFill="1" applyBorder="1" applyAlignment="1">
      <alignment horizontal="center"/>
    </xf>
    <xf numFmtId="0" fontId="14" fillId="7" borderId="25" xfId="0" applyFont="1" applyFill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165" fontId="13" fillId="5" borderId="18" xfId="0" applyNumberFormat="1" applyFont="1" applyFill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2" headerRowBorderDxfId="1643" tableBorderDxfId="1641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2" headerRowBorderDxfId="1633" tableBorderDxfId="1631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4" headerRowBorderDxfId="1625" tableBorderDxfId="1623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4" headerRowBorderDxfId="1615" tableBorderDxfId="1613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6" headerRowBorderDxfId="1607" tableBorderDxfId="1605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7" tableBorderDxfId="1596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>
    <filterColumn colId="0">
      <filters blank="1">
        <filter val="1630"/>
      </filters>
    </filterColumn>
  </autoFilter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6" totalsRowShown="0" headerRowDxfId="319" dataDxfId="317" headerRowBorderDxfId="318" tableBorderDxfId="316" totalsRowBorderDxfId="315">
  <autoFilter ref="E5:I26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9:I35" totalsRowShown="0" headerRowDxfId="301" dataDxfId="299" headerRowBorderDxfId="300" tableBorderDxfId="298" totalsRowBorderDxfId="297">
  <autoFilter ref="E29:I35" xr:uid="{00000000-0009-0000-0100-000016000000}"/>
  <sortState xmlns:xlrd2="http://schemas.microsoft.com/office/spreadsheetml/2017/richdata2" ref="E30:I35">
    <sortCondition ref="E29:E35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8:I45" totalsRowShown="0" headerRowDxfId="283" dataDxfId="281" headerRowBorderDxfId="282" tableBorderDxfId="280" totalsRowBorderDxfId="279">
  <autoFilter ref="E38:I45" xr:uid="{B9E2F984-8588-4F2C-9FB9-680284154679}"/>
  <sortState xmlns:xlrd2="http://schemas.microsoft.com/office/spreadsheetml/2017/richdata2" ref="E39:I44">
    <sortCondition ref="E29:E35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>
      <calculatedColumnFormula>236</calculatedColumnFormula>
    </tableColumn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G18"/>
  <sheetViews>
    <sheetView workbookViewId="0">
      <selection activeCell="G6" sqref="G6"/>
    </sheetView>
  </sheetViews>
  <sheetFormatPr defaultColWidth="21.28515625" defaultRowHeight="12.75" x14ac:dyDescent="0.2"/>
  <cols>
    <col min="2" max="2" width="22.7109375" customWidth="1"/>
  </cols>
  <sheetData>
    <row r="2" spans="1:7" ht="15" x14ac:dyDescent="0.2">
      <c r="A2" s="19" t="s">
        <v>0</v>
      </c>
      <c r="B2" s="20">
        <v>0</v>
      </c>
    </row>
    <row r="3" spans="1:7" ht="15.75" thickBot="1" x14ac:dyDescent="0.3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23647.629999999997</v>
      </c>
    </row>
    <row r="4" spans="1:7" ht="16.5" thickBot="1" x14ac:dyDescent="0.3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18153.489999999998</v>
      </c>
      <c r="E4" s="88" t="s">
        <v>11</v>
      </c>
      <c r="F4" s="94" t="s">
        <v>226</v>
      </c>
      <c r="G4" s="95" t="s">
        <v>227</v>
      </c>
    </row>
    <row r="5" spans="1:7" ht="15.75" thickBot="1" x14ac:dyDescent="0.3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11</v>
      </c>
      <c r="D5" s="89" t="s">
        <v>225</v>
      </c>
      <c r="E5" s="91">
        <f>E6-B3</f>
        <v>7352.3700000000026</v>
      </c>
      <c r="F5" s="92">
        <f>E5/2</f>
        <v>3676.1850000000013</v>
      </c>
      <c r="G5" s="93">
        <f>F5/750</f>
        <v>4.9015800000000018</v>
      </c>
    </row>
    <row r="6" spans="1:7" ht="16.5" thickBot="1" x14ac:dyDescent="0.3">
      <c r="A6" s="28" t="s">
        <v>4</v>
      </c>
      <c r="B6" s="29">
        <f>SUM(B4:B5)</f>
        <v>18164.489999999998</v>
      </c>
      <c r="D6" s="96" t="s">
        <v>11</v>
      </c>
      <c r="E6" s="90">
        <v>31000</v>
      </c>
    </row>
    <row r="7" spans="1:7" ht="15" x14ac:dyDescent="0.25">
      <c r="A7" s="2"/>
      <c r="B7" s="2"/>
    </row>
    <row r="8" spans="1:7" ht="15" x14ac:dyDescent="0.2">
      <c r="A8" s="99" t="s">
        <v>5</v>
      </c>
      <c r="B8" s="99"/>
    </row>
    <row r="9" spans="1:7" ht="15.75" thickBot="1" x14ac:dyDescent="0.3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2634.5</v>
      </c>
    </row>
    <row r="10" spans="1:7" ht="16.5" thickBot="1" x14ac:dyDescent="0.3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4200</v>
      </c>
      <c r="F10" s="96" t="s">
        <v>228</v>
      </c>
    </row>
    <row r="11" spans="1:7" ht="15.75" thickBot="1" x14ac:dyDescent="0.3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180</v>
      </c>
      <c r="F11" s="97">
        <f>E5/25</f>
        <v>294.09480000000008</v>
      </c>
    </row>
    <row r="12" spans="1:7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10098.99</v>
      </c>
    </row>
    <row r="13" spans="1:7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2337.83</v>
      </c>
    </row>
    <row r="14" spans="1:7" ht="15.75" x14ac:dyDescent="0.25">
      <c r="A14" s="28" t="s">
        <v>11</v>
      </c>
      <c r="B14" s="32">
        <f>SUM(B9:B13)</f>
        <v>19451.32</v>
      </c>
    </row>
    <row r="15" spans="1:7" ht="15" x14ac:dyDescent="0.25">
      <c r="A15" s="2"/>
      <c r="B15" s="2"/>
    </row>
    <row r="16" spans="1:7" ht="15" x14ac:dyDescent="0.2">
      <c r="A16" s="99" t="s">
        <v>12</v>
      </c>
      <c r="B16" s="99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2066</v>
      </c>
    </row>
    <row r="18" spans="1:2" ht="15.75" x14ac:dyDescent="0.25">
      <c r="A18" s="28" t="s">
        <v>11</v>
      </c>
      <c r="B18" s="32">
        <f>SUM(B17:B17)</f>
        <v>2066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topLeftCell="A22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45139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550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550</v>
      </c>
      <c r="D6" s="2"/>
      <c r="E6" s="18">
        <v>1626</v>
      </c>
      <c r="F6" s="25" t="s">
        <v>21</v>
      </c>
      <c r="G6" s="48" t="s">
        <v>9</v>
      </c>
      <c r="H6" s="8">
        <v>250</v>
      </c>
      <c r="I6" s="8">
        <v>250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1627</v>
      </c>
      <c r="F7" s="25" t="s">
        <v>21</v>
      </c>
      <c r="G7" s="48" t="s">
        <v>9</v>
      </c>
      <c r="H7" s="8">
        <v>300</v>
      </c>
      <c r="I7" s="8">
        <v>300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22</v>
      </c>
      <c r="C8" s="29">
        <f>SUM(C6:C7)</f>
        <v>550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550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550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6" t="s">
        <v>24</v>
      </c>
      <c r="L34" s="6" t="s">
        <v>32</v>
      </c>
      <c r="M34" s="6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topLeftCell="A16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45140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499.99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1628</v>
      </c>
      <c r="F6" s="25" t="s">
        <v>35</v>
      </c>
      <c r="G6" s="48" t="s">
        <v>9</v>
      </c>
      <c r="H6" s="8">
        <v>499.99</v>
      </c>
      <c r="I6" s="8">
        <v>200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1629</v>
      </c>
      <c r="F7" s="25" t="s">
        <v>36</v>
      </c>
      <c r="G7" s="48" t="s">
        <v>37</v>
      </c>
      <c r="H7" s="8" t="s">
        <v>38</v>
      </c>
      <c r="I7" s="8">
        <v>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22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1601</v>
      </c>
      <c r="L15" s="9" t="s">
        <v>39</v>
      </c>
      <c r="M15" s="16" t="s">
        <v>40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>
        <v>1594</v>
      </c>
      <c r="L16" s="9" t="s">
        <v>41</v>
      </c>
      <c r="M16" s="16" t="s">
        <v>40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499.99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topLeftCell="A22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602.49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582.5</v>
      </c>
      <c r="D6" s="2"/>
      <c r="E6" s="18">
        <v>1630</v>
      </c>
      <c r="F6" s="25" t="s">
        <v>42</v>
      </c>
      <c r="G6" s="48" t="s">
        <v>6</v>
      </c>
      <c r="H6" s="8">
        <v>602.49</v>
      </c>
      <c r="I6" s="8">
        <v>2.5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22</v>
      </c>
      <c r="C8" s="29">
        <f>SUM(C6:C7)</f>
        <v>582.5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580</v>
      </c>
      <c r="D15" s="2"/>
      <c r="E15" s="18"/>
      <c r="F15" s="25"/>
      <c r="G15" s="26"/>
      <c r="H15" s="8"/>
      <c r="I15" s="8"/>
      <c r="J15" s="2"/>
      <c r="K15" s="25">
        <v>1595</v>
      </c>
      <c r="L15" s="9" t="s">
        <v>41</v>
      </c>
      <c r="M15" s="16" t="s">
        <v>40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582.5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602.49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1595</v>
      </c>
      <c r="F26" s="25" t="s">
        <v>43</v>
      </c>
      <c r="G26" s="48" t="s">
        <v>10</v>
      </c>
      <c r="H26" s="8"/>
      <c r="I26" s="8">
        <v>580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H9" sqref="H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45142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939.19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1469.99</v>
      </c>
      <c r="D6" s="2"/>
      <c r="E6" s="18">
        <v>1631</v>
      </c>
      <c r="F6" s="25" t="s">
        <v>44</v>
      </c>
      <c r="G6" s="48" t="s">
        <v>9</v>
      </c>
      <c r="H6" s="8">
        <v>150</v>
      </c>
      <c r="I6" s="8">
        <v>150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1632</v>
      </c>
      <c r="F7" s="25" t="s">
        <v>44</v>
      </c>
      <c r="G7" s="48" t="s">
        <v>9</v>
      </c>
      <c r="H7" s="8">
        <v>249.99</v>
      </c>
      <c r="I7" s="8">
        <v>249.99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22</v>
      </c>
      <c r="C8" s="29">
        <f>SUM(C6:C7)</f>
        <v>1469.99</v>
      </c>
      <c r="D8" s="2"/>
      <c r="E8" s="18">
        <v>1633</v>
      </c>
      <c r="F8" s="25" t="s">
        <v>45</v>
      </c>
      <c r="G8" s="48" t="s">
        <v>7</v>
      </c>
      <c r="H8" s="8">
        <v>419.2</v>
      </c>
      <c r="I8" s="8">
        <v>30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>
        <v>1634</v>
      </c>
      <c r="F9" s="25" t="s">
        <v>46</v>
      </c>
      <c r="G9" s="48" t="s">
        <v>8</v>
      </c>
      <c r="H9" s="8">
        <v>120</v>
      </c>
      <c r="I9" s="8">
        <v>120</v>
      </c>
      <c r="J9" s="2"/>
      <c r="K9" s="25"/>
      <c r="L9" s="9"/>
      <c r="M9" s="16"/>
      <c r="R9" s="1">
        <f>IF(vend4[[#This Row],[Nº Venda]]&gt;1,1,0)</f>
        <v>1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830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120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399.99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1737</v>
      </c>
      <c r="L15" s="9" t="s">
        <v>47</v>
      </c>
      <c r="M15" s="16" t="s">
        <v>40</v>
      </c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1469.99</v>
      </c>
      <c r="D16" s="2"/>
      <c r="E16" s="18"/>
      <c r="F16" s="25"/>
      <c r="G16" s="26"/>
      <c r="H16" s="8"/>
      <c r="I16" s="8"/>
      <c r="J16" s="2"/>
      <c r="K16" s="25">
        <v>1553</v>
      </c>
      <c r="L16" s="9" t="s">
        <v>41</v>
      </c>
      <c r="M16" s="16" t="s">
        <v>48</v>
      </c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939.19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1537</v>
      </c>
      <c r="F26" s="25" t="s">
        <v>49</v>
      </c>
      <c r="G26" s="48" t="s">
        <v>7</v>
      </c>
      <c r="H26" s="8"/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1460</v>
      </c>
      <c r="F27" s="25" t="s">
        <v>50</v>
      </c>
      <c r="G27" s="48" t="s">
        <v>6</v>
      </c>
      <c r="H27" s="8"/>
      <c r="I27" s="8">
        <v>120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1553</v>
      </c>
      <c r="F28" s="25" t="s">
        <v>51</v>
      </c>
      <c r="G28" s="48" t="s">
        <v>7</v>
      </c>
      <c r="H28" s="8"/>
      <c r="I28" s="8">
        <v>300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B11" sqref="B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45143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1300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600</v>
      </c>
      <c r="D6" s="2"/>
      <c r="E6" s="18">
        <v>1635</v>
      </c>
      <c r="F6" s="25" t="s">
        <v>52</v>
      </c>
      <c r="G6" s="48" t="s">
        <v>6</v>
      </c>
      <c r="H6" s="8">
        <v>390</v>
      </c>
      <c r="I6" s="8">
        <v>50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1636</v>
      </c>
      <c r="F7" s="25" t="s">
        <v>52</v>
      </c>
      <c r="G7" s="48" t="s">
        <v>6</v>
      </c>
      <c r="H7" s="8">
        <v>260</v>
      </c>
      <c r="I7" s="8">
        <v>50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22</v>
      </c>
      <c r="C8" s="29">
        <f>SUM(C6:C7)</f>
        <v>600</v>
      </c>
      <c r="D8" s="2"/>
      <c r="E8" s="18">
        <v>1637</v>
      </c>
      <c r="F8" s="25" t="s">
        <v>53</v>
      </c>
      <c r="G8" s="48" t="s">
        <v>37</v>
      </c>
      <c r="H8" s="8" t="s">
        <v>38</v>
      </c>
      <c r="I8" s="8">
        <v>0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>
        <v>1638</v>
      </c>
      <c r="F9" s="25" t="s">
        <v>54</v>
      </c>
      <c r="G9" s="48" t="s">
        <v>6</v>
      </c>
      <c r="H9" s="8">
        <v>300</v>
      </c>
      <c r="I9" s="8">
        <v>50</v>
      </c>
      <c r="J9" s="2"/>
      <c r="K9" s="25"/>
      <c r="L9" s="9"/>
      <c r="M9" s="16"/>
      <c r="R9" s="1">
        <f>IF(vend5[[#This Row],[Nº Venda]]&gt;1,1,0)</f>
        <v>1</v>
      </c>
    </row>
    <row r="10" spans="2:18" ht="15.75" x14ac:dyDescent="0.25">
      <c r="B10" s="99" t="s">
        <v>5</v>
      </c>
      <c r="C10" s="99"/>
      <c r="D10" s="2"/>
      <c r="E10" s="18">
        <v>1639</v>
      </c>
      <c r="F10" s="25" t="s">
        <v>54</v>
      </c>
      <c r="G10" s="48" t="s">
        <v>6</v>
      </c>
      <c r="H10" s="8">
        <v>350</v>
      </c>
      <c r="I10" s="8">
        <v>50</v>
      </c>
      <c r="J10" s="2"/>
      <c r="K10" s="25"/>
      <c r="L10" s="9"/>
      <c r="M10" s="16"/>
      <c r="R10" s="1">
        <f>IF(vend5[[#This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340</v>
      </c>
      <c r="D11" s="2"/>
      <c r="E11" s="18">
        <v>1640</v>
      </c>
      <c r="F11" s="25" t="s">
        <v>55</v>
      </c>
      <c r="G11" s="48" t="s">
        <v>37</v>
      </c>
      <c r="H11" s="8">
        <v>750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IF(vend5[[#This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260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1595</v>
      </c>
      <c r="L15" s="9" t="s">
        <v>39</v>
      </c>
      <c r="M15" s="16" t="s">
        <v>48</v>
      </c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600</v>
      </c>
      <c r="D16" s="2"/>
      <c r="E16" s="18"/>
      <c r="F16" s="25"/>
      <c r="G16" s="26"/>
      <c r="H16" s="8"/>
      <c r="I16" s="8"/>
      <c r="J16" s="2"/>
      <c r="K16" s="25">
        <v>1604</v>
      </c>
      <c r="L16" s="9" t="s">
        <v>39</v>
      </c>
      <c r="M16" s="16" t="s">
        <v>40</v>
      </c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1621</v>
      </c>
      <c r="L17" s="9" t="s">
        <v>41</v>
      </c>
      <c r="M17" s="16" t="s">
        <v>40</v>
      </c>
      <c r="R17" s="1">
        <f>IF(vend5[[#This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>
        <v>1590</v>
      </c>
      <c r="L18" s="9" t="s">
        <v>41</v>
      </c>
      <c r="M18" s="16" t="s">
        <v>40</v>
      </c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1610</v>
      </c>
      <c r="F26" s="25" t="s">
        <v>56</v>
      </c>
      <c r="G26" s="48" t="s">
        <v>6</v>
      </c>
      <c r="H26" s="8"/>
      <c r="I26" s="8">
        <v>140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1630</v>
      </c>
      <c r="F27" s="25" t="s">
        <v>42</v>
      </c>
      <c r="G27" s="48" t="s">
        <v>7</v>
      </c>
      <c r="H27" s="8"/>
      <c r="I27" s="8">
        <v>60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1596</v>
      </c>
      <c r="F28" s="25" t="s">
        <v>57</v>
      </c>
      <c r="G28" s="48" t="s">
        <v>7</v>
      </c>
      <c r="H28" s="8"/>
      <c r="I28" s="8">
        <v>200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6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45144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45145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225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375</v>
      </c>
      <c r="D6" s="2"/>
      <c r="E6" s="53">
        <v>1641</v>
      </c>
      <c r="F6" s="51" t="s">
        <v>58</v>
      </c>
      <c r="G6" s="51" t="s">
        <v>6</v>
      </c>
      <c r="H6" s="52">
        <v>200</v>
      </c>
      <c r="I6" s="52">
        <v>200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4">
        <v>1642</v>
      </c>
      <c r="F7" s="50" t="s">
        <v>59</v>
      </c>
      <c r="G7" s="50" t="s">
        <v>7</v>
      </c>
      <c r="H7" s="49">
        <v>25</v>
      </c>
      <c r="I7" s="49">
        <v>25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22</v>
      </c>
      <c r="C8" s="29">
        <f>SUM(C6:C7)</f>
        <v>375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175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5">
        <v>1623</v>
      </c>
      <c r="L15" s="60" t="s">
        <v>41</v>
      </c>
      <c r="M15" s="61" t="s">
        <v>40</v>
      </c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375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27</v>
      </c>
      <c r="C22" s="32">
        <f>C5</f>
        <v>225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6">
        <v>1292</v>
      </c>
      <c r="F26" s="57" t="s">
        <v>60</v>
      </c>
      <c r="G26" s="58" t="s">
        <v>7</v>
      </c>
      <c r="H26" s="59"/>
      <c r="I26" s="59">
        <v>150</v>
      </c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tabSelected="1" topLeftCell="A16" zoomScale="80" zoomScaleNormal="80" workbookViewId="0">
      <selection activeCell="E28" sqref="E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45146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2750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2130</v>
      </c>
      <c r="D6" s="2"/>
      <c r="E6" s="62">
        <v>1643</v>
      </c>
      <c r="F6" s="8" t="s">
        <v>61</v>
      </c>
      <c r="G6" s="8" t="s">
        <v>6</v>
      </c>
      <c r="H6" s="8">
        <v>900</v>
      </c>
      <c r="I6" s="8">
        <v>106</v>
      </c>
      <c r="J6" s="2"/>
      <c r="K6" s="25" t="s">
        <v>62</v>
      </c>
      <c r="L6" s="9" t="s">
        <v>63</v>
      </c>
      <c r="M6" s="16">
        <v>11</v>
      </c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11</v>
      </c>
      <c r="D7" s="2"/>
      <c r="E7" s="62">
        <v>1644</v>
      </c>
      <c r="F7" s="8" t="s">
        <v>64</v>
      </c>
      <c r="G7" s="8" t="s">
        <v>6</v>
      </c>
      <c r="H7" s="8">
        <v>410</v>
      </c>
      <c r="I7" s="8">
        <v>410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22</v>
      </c>
      <c r="C8" s="29">
        <f>SUM(C6:C7)</f>
        <v>2141</v>
      </c>
      <c r="D8" s="2"/>
      <c r="E8" s="62">
        <v>1645</v>
      </c>
      <c r="F8" s="8" t="s">
        <v>65</v>
      </c>
      <c r="G8" s="8" t="s">
        <v>6</v>
      </c>
      <c r="H8" s="8">
        <v>1390</v>
      </c>
      <c r="I8" s="8">
        <v>390</v>
      </c>
      <c r="J8" s="2"/>
      <c r="K8" s="25"/>
      <c r="L8" s="9"/>
      <c r="M8" s="16"/>
      <c r="R8" s="1">
        <f>IF(vend8[[#This Row],[Nº Venda]]&gt;1,1,0)</f>
        <v>1</v>
      </c>
    </row>
    <row r="9" spans="2:18" ht="15" x14ac:dyDescent="0.25">
      <c r="B9" s="2"/>
      <c r="C9" s="2"/>
      <c r="D9" s="2"/>
      <c r="E9" s="62">
        <v>1645</v>
      </c>
      <c r="F9" s="8" t="s">
        <v>65</v>
      </c>
      <c r="G9" s="8" t="s">
        <v>9</v>
      </c>
      <c r="H9" s="8">
        <v>0</v>
      </c>
      <c r="I9" s="8">
        <v>1000</v>
      </c>
      <c r="J9" s="2"/>
      <c r="K9" s="25"/>
      <c r="L9" s="9"/>
      <c r="M9" s="16"/>
      <c r="R9" s="1">
        <f>IF(vend8[[#This Row],[Nº Venda]]&gt;1,1,0)</f>
        <v>1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1000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130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2130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6">
        <v>1590</v>
      </c>
      <c r="F26" s="57" t="s">
        <v>66</v>
      </c>
      <c r="G26" s="58" t="s">
        <v>10</v>
      </c>
      <c r="H26" s="59">
        <v>50</v>
      </c>
      <c r="I26" s="59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65">
        <v>1516</v>
      </c>
      <c r="F27" s="66" t="s">
        <v>67</v>
      </c>
      <c r="G27" s="63" t="s">
        <v>10</v>
      </c>
      <c r="H27" s="64"/>
      <c r="I27" s="64">
        <v>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65">
        <v>1545</v>
      </c>
      <c r="F28" s="66" t="s">
        <v>68</v>
      </c>
      <c r="G28" s="63" t="s">
        <v>6</v>
      </c>
      <c r="H28" s="64"/>
      <c r="I28" s="64">
        <v>94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45147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599.99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60</v>
      </c>
      <c r="D6" s="2"/>
      <c r="E6" s="18">
        <v>1647</v>
      </c>
      <c r="F6" s="25" t="s">
        <v>69</v>
      </c>
      <c r="G6" s="48" t="s">
        <v>10</v>
      </c>
      <c r="H6" s="8">
        <v>599.99</v>
      </c>
      <c r="I6" s="8">
        <v>10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22</v>
      </c>
      <c r="C8" s="29">
        <f>SUM(C6:C7)</f>
        <v>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60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599.99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1625</v>
      </c>
      <c r="F26" s="25" t="s">
        <v>70</v>
      </c>
      <c r="G26" s="48" t="s">
        <v>10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topLeftCell="A25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45148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1120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286</v>
      </c>
      <c r="D6" s="2"/>
      <c r="E6" s="18">
        <v>1648</v>
      </c>
      <c r="F6" s="25" t="s">
        <v>71</v>
      </c>
      <c r="G6" s="48" t="s">
        <v>37</v>
      </c>
      <c r="H6" s="8" t="s">
        <v>38</v>
      </c>
      <c r="I6" s="8">
        <v>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1649</v>
      </c>
      <c r="F7" s="25" t="s">
        <v>72</v>
      </c>
      <c r="G7" s="48" t="s">
        <v>10</v>
      </c>
      <c r="H7" s="8">
        <v>1120</v>
      </c>
      <c r="I7" s="8">
        <v>20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22</v>
      </c>
      <c r="C8" s="29">
        <f>SUM(C6:C7)</f>
        <v>286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216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286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1120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1520</v>
      </c>
      <c r="F26" s="25" t="s">
        <v>73</v>
      </c>
      <c r="G26" s="48" t="s">
        <v>7</v>
      </c>
      <c r="H26" s="8"/>
      <c r="I26" s="8">
        <v>180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1320</v>
      </c>
      <c r="F27" s="25" t="s">
        <v>74</v>
      </c>
      <c r="G27" s="48" t="s">
        <v>6</v>
      </c>
      <c r="H27" s="8"/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1320</v>
      </c>
      <c r="F28" s="25" t="s">
        <v>74</v>
      </c>
      <c r="G28" s="48" t="s">
        <v>7</v>
      </c>
      <c r="H28" s="8"/>
      <c r="I28" s="8">
        <v>36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topLeftCell="A19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45149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65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22</v>
      </c>
      <c r="C8" s="29">
        <f>SUM(C6:C7)</f>
        <v>65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65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1516</v>
      </c>
      <c r="F26" s="25" t="s">
        <v>75</v>
      </c>
      <c r="G26" s="48" t="s">
        <v>6</v>
      </c>
      <c r="H26" s="8"/>
      <c r="I26" s="8">
        <v>65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topLeftCell="A19" zoomScale="80" zoomScaleNormal="80" workbookViewId="0">
      <selection activeCell="M15" sqref="K15: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45150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1400</v>
      </c>
      <c r="D6" s="2"/>
      <c r="E6" s="67">
        <v>1650</v>
      </c>
      <c r="F6" s="68" t="s">
        <v>76</v>
      </c>
      <c r="G6" s="68" t="s">
        <v>37</v>
      </c>
      <c r="H6" s="69" t="s">
        <v>38</v>
      </c>
      <c r="I6" s="69">
        <v>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70">
        <v>1652</v>
      </c>
      <c r="F7" s="71" t="s">
        <v>77</v>
      </c>
      <c r="G7" s="71" t="s">
        <v>9</v>
      </c>
      <c r="H7" s="72">
        <v>250</v>
      </c>
      <c r="I7" s="72">
        <v>250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22</v>
      </c>
      <c r="C8" s="29">
        <f>SUM(C6:C7)</f>
        <v>1400</v>
      </c>
      <c r="D8" s="2"/>
      <c r="E8" s="74">
        <v>1651</v>
      </c>
      <c r="F8" s="71" t="s">
        <v>78</v>
      </c>
      <c r="G8" s="71" t="s">
        <v>9</v>
      </c>
      <c r="H8" s="72">
        <v>500</v>
      </c>
      <c r="I8" s="72">
        <v>500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1400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1400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1620</v>
      </c>
      <c r="F26" s="73" t="s">
        <v>79</v>
      </c>
      <c r="G26" s="48" t="s">
        <v>9</v>
      </c>
      <c r="H26" s="8"/>
      <c r="I26" s="8">
        <v>650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6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topLeftCell="A25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45151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topLeftCell="A13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45152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1653</v>
      </c>
      <c r="F6" s="25" t="s">
        <v>80</v>
      </c>
      <c r="G6" s="48" t="s">
        <v>9</v>
      </c>
      <c r="H6" s="8">
        <v>50</v>
      </c>
      <c r="I6" s="8">
        <v>50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1654</v>
      </c>
      <c r="F7" s="25" t="s">
        <v>77</v>
      </c>
      <c r="G7" s="48" t="s">
        <v>9</v>
      </c>
      <c r="H7" s="8">
        <v>50</v>
      </c>
      <c r="I7" s="8">
        <v>50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22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100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topLeftCell="A19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45153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>
        <v>1655</v>
      </c>
      <c r="F6" s="25" t="s">
        <v>81</v>
      </c>
      <c r="G6" s="48" t="s">
        <v>37</v>
      </c>
      <c r="H6" s="8" t="s">
        <v>38</v>
      </c>
      <c r="I6" s="8">
        <v>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1656</v>
      </c>
      <c r="F7" s="25" t="s">
        <v>82</v>
      </c>
      <c r="G7" s="48" t="s">
        <v>8</v>
      </c>
      <c r="H7" s="8">
        <v>60</v>
      </c>
      <c r="I7" s="8">
        <v>60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22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60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1514</v>
      </c>
      <c r="F26" s="25" t="s">
        <v>83</v>
      </c>
      <c r="G26" s="48" t="s">
        <v>6</v>
      </c>
      <c r="H26" s="8"/>
      <c r="I26" s="8">
        <v>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topLeftCell="A16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45154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406.97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145</v>
      </c>
      <c r="D6" s="2"/>
      <c r="E6" s="18">
        <v>1657</v>
      </c>
      <c r="F6" s="25" t="s">
        <v>84</v>
      </c>
      <c r="G6" s="48" t="s">
        <v>37</v>
      </c>
      <c r="H6" s="8" t="s">
        <v>38</v>
      </c>
      <c r="I6" s="8">
        <v>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1658</v>
      </c>
      <c r="F7" s="25" t="s">
        <v>85</v>
      </c>
      <c r="G7" s="48" t="s">
        <v>6</v>
      </c>
      <c r="H7" s="8">
        <v>406.97</v>
      </c>
      <c r="I7" s="8">
        <v>20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22</v>
      </c>
      <c r="C8" s="29">
        <f>SUM(C6:C7)</f>
        <v>145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125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1644</v>
      </c>
      <c r="L15" s="9" t="s">
        <v>41</v>
      </c>
      <c r="M15" s="16" t="s">
        <v>40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145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406.97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1504</v>
      </c>
      <c r="F26" s="25" t="s">
        <v>86</v>
      </c>
      <c r="G26" s="48" t="s">
        <v>7</v>
      </c>
      <c r="H26" s="8"/>
      <c r="I26" s="8">
        <v>125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I9" sqref="I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45155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1659</v>
      </c>
      <c r="F6" s="25" t="s">
        <v>240</v>
      </c>
      <c r="G6" s="26" t="s">
        <v>37</v>
      </c>
      <c r="H6" s="8">
        <v>750</v>
      </c>
      <c r="I6" s="8">
        <v>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22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300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316.8</v>
      </c>
      <c r="D15" s="2"/>
      <c r="E15" s="18"/>
      <c r="F15" s="25"/>
      <c r="G15" s="26"/>
      <c r="H15" s="8"/>
      <c r="I15" s="8"/>
      <c r="J15" s="2"/>
      <c r="K15" s="25">
        <v>1628</v>
      </c>
      <c r="L15" s="9" t="s">
        <v>88</v>
      </c>
      <c r="M15" s="16" t="s">
        <v>40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746.8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1628</v>
      </c>
      <c r="F26" s="25" t="s">
        <v>89</v>
      </c>
      <c r="G26" s="26" t="s">
        <v>90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1080</v>
      </c>
      <c r="F35" s="25" t="s">
        <v>91</v>
      </c>
      <c r="G35" s="26" t="s">
        <v>87</v>
      </c>
      <c r="H35" s="8">
        <v>130</v>
      </c>
      <c r="I35" s="8" t="s">
        <v>92</v>
      </c>
      <c r="K35" s="25"/>
      <c r="L35" s="42"/>
      <c r="M35" s="16"/>
    </row>
    <row r="36" spans="2:18" ht="15.75" x14ac:dyDescent="0.25">
      <c r="E36" s="18">
        <v>1462</v>
      </c>
      <c r="F36" s="25" t="s">
        <v>93</v>
      </c>
      <c r="G36" s="26" t="s">
        <v>94</v>
      </c>
      <c r="H36" s="8">
        <v>59.8</v>
      </c>
      <c r="I36" s="8" t="s">
        <v>95</v>
      </c>
      <c r="K36" s="25"/>
      <c r="L36" s="42"/>
      <c r="M36" s="16"/>
    </row>
    <row r="37" spans="2:18" ht="15.75" x14ac:dyDescent="0.25">
      <c r="E37" s="18">
        <v>1542</v>
      </c>
      <c r="F37" s="25" t="s">
        <v>96</v>
      </c>
      <c r="G37" s="26" t="s">
        <v>94</v>
      </c>
      <c r="H37" s="8">
        <v>60</v>
      </c>
      <c r="I37" s="8" t="s">
        <v>95</v>
      </c>
      <c r="K37" s="25"/>
      <c r="L37" s="42"/>
      <c r="M37" s="16"/>
    </row>
    <row r="38" spans="2:18" ht="15.75" x14ac:dyDescent="0.25">
      <c r="E38" s="18">
        <v>1551</v>
      </c>
      <c r="F38" s="25" t="s">
        <v>97</v>
      </c>
      <c r="G38" s="26" t="s">
        <v>94</v>
      </c>
      <c r="H38" s="8">
        <v>130</v>
      </c>
      <c r="I38" s="8" t="s">
        <v>98</v>
      </c>
      <c r="K38" s="25"/>
      <c r="L38" s="42"/>
      <c r="M38" s="16"/>
    </row>
    <row r="39" spans="2:18" ht="15.75" x14ac:dyDescent="0.25">
      <c r="E39" s="18">
        <v>1564</v>
      </c>
      <c r="F39" s="39" t="s">
        <v>99</v>
      </c>
      <c r="G39" s="26" t="s">
        <v>94</v>
      </c>
      <c r="H39" s="8">
        <v>67</v>
      </c>
      <c r="I39" s="8" t="s">
        <v>100</v>
      </c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topLeftCell="A20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45156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491.03</v>
      </c>
      <c r="D15" s="2"/>
      <c r="E15" s="18"/>
      <c r="F15" s="25"/>
      <c r="G15" s="26"/>
      <c r="H15" s="8"/>
      <c r="I15" s="8"/>
      <c r="J15" s="2"/>
      <c r="K15" s="25">
        <v>1630</v>
      </c>
      <c r="L15" s="9" t="s">
        <v>101</v>
      </c>
      <c r="M15" s="16" t="s">
        <v>48</v>
      </c>
      <c r="R15" s="1">
        <f>IF(vend18[[#This Row],[Nº Venda]]&gt;1,1,0)</f>
        <v>0</v>
      </c>
    </row>
    <row r="16" spans="2:18" ht="15.75" hidden="1" x14ac:dyDescent="0.25">
      <c r="B16" s="28" t="s">
        <v>11</v>
      </c>
      <c r="C16" s="32">
        <f>SUM(C11:C15)</f>
        <v>491.03</v>
      </c>
      <c r="D16" s="2"/>
      <c r="E16" s="18"/>
      <c r="F16" s="25"/>
      <c r="G16" s="26"/>
      <c r="H16" s="8"/>
      <c r="I16" s="8"/>
      <c r="J16" s="2"/>
      <c r="K16" s="75">
        <v>1632</v>
      </c>
      <c r="L16" s="9" t="s">
        <v>101</v>
      </c>
      <c r="M16" s="16" t="s">
        <v>40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1632</v>
      </c>
      <c r="L17" s="9" t="s">
        <v>101</v>
      </c>
      <c r="M17" s="16" t="s">
        <v>40</v>
      </c>
      <c r="R17" s="1">
        <f>IF(vend18[[#This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1</v>
      </c>
      <c r="C19" s="31">
        <f>SUM(entr_carn18[Valor Total])</f>
        <v>540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540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1467</v>
      </c>
      <c r="F35" s="25" t="s">
        <v>102</v>
      </c>
      <c r="G35" s="26" t="s">
        <v>94</v>
      </c>
      <c r="H35" s="8">
        <v>60</v>
      </c>
      <c r="I35" s="8" t="s">
        <v>103</v>
      </c>
      <c r="K35" s="25">
        <v>1630</v>
      </c>
      <c r="L35" s="42">
        <v>8</v>
      </c>
      <c r="M35" s="16">
        <v>540</v>
      </c>
    </row>
    <row r="36" spans="2:18" ht="15.75" x14ac:dyDescent="0.25">
      <c r="E36" s="18">
        <v>1467</v>
      </c>
      <c r="F36" s="25" t="s">
        <v>102</v>
      </c>
      <c r="G36" s="26" t="s">
        <v>94</v>
      </c>
      <c r="H36" s="8">
        <v>60</v>
      </c>
      <c r="I36" s="8" t="s">
        <v>104</v>
      </c>
      <c r="K36" s="25"/>
      <c r="L36" s="42"/>
      <c r="M36" s="16"/>
    </row>
    <row r="37" spans="2:18" ht="15.75" x14ac:dyDescent="0.25">
      <c r="E37" s="18">
        <v>1437</v>
      </c>
      <c r="F37" s="25" t="s">
        <v>105</v>
      </c>
      <c r="G37" s="26" t="s">
        <v>94</v>
      </c>
      <c r="H37" s="8">
        <v>141.75</v>
      </c>
      <c r="I37" s="8" t="s">
        <v>106</v>
      </c>
      <c r="K37" s="25"/>
      <c r="L37" s="42"/>
      <c r="M37" s="16"/>
    </row>
    <row r="38" spans="2:18" ht="15.75" x14ac:dyDescent="0.25">
      <c r="E38" s="18">
        <v>1440</v>
      </c>
      <c r="F38" s="25" t="s">
        <v>191</v>
      </c>
      <c r="G38" s="26" t="s">
        <v>94</v>
      </c>
      <c r="H38" s="8">
        <v>135</v>
      </c>
      <c r="I38" s="8" t="s">
        <v>133</v>
      </c>
      <c r="K38" s="25"/>
      <c r="L38" s="42"/>
      <c r="M38" s="16"/>
    </row>
    <row r="39" spans="2:18" ht="15.75" x14ac:dyDescent="0.25">
      <c r="E39" s="18">
        <v>1253</v>
      </c>
      <c r="F39" s="39" t="s">
        <v>192</v>
      </c>
      <c r="G39" s="26" t="s">
        <v>10</v>
      </c>
      <c r="H39" s="8">
        <v>94.28</v>
      </c>
      <c r="I39" s="8" t="s">
        <v>142</v>
      </c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topLeftCell="A19" zoomScale="80" zoomScaleNormal="80" workbookViewId="0">
      <selection activeCell="I19" sqref="I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45157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900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60</v>
      </c>
      <c r="D6" s="2"/>
      <c r="E6" s="18">
        <v>1660</v>
      </c>
      <c r="F6" s="25" t="s">
        <v>107</v>
      </c>
      <c r="G6" s="26" t="s">
        <v>94</v>
      </c>
      <c r="H6" s="8">
        <v>450</v>
      </c>
      <c r="I6" s="8">
        <v>30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1661</v>
      </c>
      <c r="F7" s="25" t="s">
        <v>108</v>
      </c>
      <c r="G7" s="26" t="s">
        <v>94</v>
      </c>
      <c r="H7" s="8">
        <v>450</v>
      </c>
      <c r="I7" s="8">
        <v>30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22</v>
      </c>
      <c r="C8" s="29">
        <f>SUM(C6:C7)</f>
        <v>60</v>
      </c>
      <c r="D8" s="2"/>
      <c r="E8" s="18">
        <v>1662</v>
      </c>
      <c r="F8" s="25" t="s">
        <v>195</v>
      </c>
      <c r="G8" s="26" t="s">
        <v>196</v>
      </c>
      <c r="H8" s="8">
        <v>799</v>
      </c>
      <c r="I8" s="8">
        <v>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218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218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900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1433</v>
      </c>
      <c r="F35" s="25" t="s">
        <v>109</v>
      </c>
      <c r="G35" s="26" t="s">
        <v>94</v>
      </c>
      <c r="H35" s="8">
        <v>50</v>
      </c>
      <c r="I35" s="8" t="s">
        <v>110</v>
      </c>
      <c r="K35" s="25"/>
      <c r="L35" s="42"/>
      <c r="M35" s="16"/>
    </row>
    <row r="36" spans="2:18" ht="15.75" x14ac:dyDescent="0.25">
      <c r="E36" s="18">
        <v>1507</v>
      </c>
      <c r="F36" s="25" t="s">
        <v>193</v>
      </c>
      <c r="G36" s="26" t="s">
        <v>94</v>
      </c>
      <c r="H36" s="8">
        <v>108</v>
      </c>
      <c r="I36" s="8" t="s">
        <v>95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topLeftCell="A19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45158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topLeftCell="A22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45159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1664</v>
      </c>
      <c r="F6" s="25" t="s">
        <v>194</v>
      </c>
      <c r="G6" s="26" t="s">
        <v>37</v>
      </c>
      <c r="H6" s="8" t="s">
        <v>38</v>
      </c>
      <c r="I6" s="8">
        <v>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1663</v>
      </c>
      <c r="F7" s="25" t="s">
        <v>194</v>
      </c>
      <c r="G7" s="26" t="s">
        <v>37</v>
      </c>
      <c r="H7" s="8" t="s">
        <v>38</v>
      </c>
      <c r="I7" s="8">
        <v>0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22</v>
      </c>
      <c r="C8" s="29">
        <f>SUM(C6:C7)</f>
        <v>0</v>
      </c>
      <c r="D8" s="2"/>
      <c r="E8" s="18">
        <v>1665</v>
      </c>
      <c r="F8" s="25" t="s">
        <v>194</v>
      </c>
      <c r="G8" s="26" t="s">
        <v>37</v>
      </c>
      <c r="H8" s="8" t="s">
        <v>38</v>
      </c>
      <c r="I8" s="8">
        <v>0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topLeftCell="A19" zoomScale="80" zoomScaleNormal="80" workbookViewId="0">
      <selection activeCell="K22" sqref="K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45160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57</v>
      </c>
      <c r="D15" s="2"/>
      <c r="E15" s="18"/>
      <c r="F15" s="25"/>
      <c r="G15" s="26"/>
      <c r="H15" s="8"/>
      <c r="I15" s="8"/>
      <c r="J15" s="2"/>
      <c r="K15" s="25">
        <v>1654</v>
      </c>
      <c r="L15" s="9" t="s">
        <v>41</v>
      </c>
      <c r="M15" s="16" t="s">
        <v>40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57</v>
      </c>
      <c r="D16" s="2"/>
      <c r="E16" s="18"/>
      <c r="F16" s="25"/>
      <c r="G16" s="26"/>
      <c r="H16" s="8"/>
      <c r="I16" s="8"/>
      <c r="J16" s="2"/>
      <c r="K16" s="25">
        <v>1653</v>
      </c>
      <c r="L16" s="9" t="s">
        <v>41</v>
      </c>
      <c r="M16" s="16" t="s">
        <v>40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1419</v>
      </c>
      <c r="F35" s="25" t="s">
        <v>199</v>
      </c>
      <c r="G35" s="26" t="s">
        <v>10</v>
      </c>
      <c r="H35" s="8">
        <v>57</v>
      </c>
      <c r="I35" s="8" t="s">
        <v>104</v>
      </c>
      <c r="K35" s="25"/>
      <c r="L35" s="42"/>
      <c r="M35" s="16"/>
    </row>
    <row r="36" spans="2:18" ht="15.75" x14ac:dyDescent="0.25">
      <c r="E36" s="44"/>
      <c r="F36" s="39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 G37:G41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I37:I41 I35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topLeftCell="A13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45161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22</v>
      </c>
      <c r="C8" s="29">
        <f>SUM(C6:C7)</f>
        <v>35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35</v>
      </c>
      <c r="D15" s="2"/>
      <c r="E15" s="18"/>
      <c r="F15" s="25"/>
      <c r="G15" s="26"/>
      <c r="H15" s="8"/>
      <c r="I15" s="8"/>
      <c r="J15" s="2"/>
      <c r="K15" s="76">
        <v>1655</v>
      </c>
      <c r="L15" s="60" t="s">
        <v>41</v>
      </c>
      <c r="M15" s="61" t="s">
        <v>40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95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35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1655</v>
      </c>
      <c r="F26" s="25" t="s">
        <v>197</v>
      </c>
      <c r="G26" s="26" t="s">
        <v>10</v>
      </c>
      <c r="H26" s="8">
        <v>35</v>
      </c>
      <c r="I26" s="8">
        <v>35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1527</v>
      </c>
      <c r="F35" s="25" t="s">
        <v>198</v>
      </c>
      <c r="G35" s="26" t="s">
        <v>6</v>
      </c>
      <c r="H35" s="8">
        <v>60</v>
      </c>
      <c r="I35" s="8" t="s">
        <v>95</v>
      </c>
      <c r="K35" s="25"/>
      <c r="L35" s="42"/>
      <c r="M35" s="16"/>
    </row>
    <row r="36" spans="2:18" ht="15.75" x14ac:dyDescent="0.25">
      <c r="E36" s="44"/>
      <c r="F36" s="39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 G37:G41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I37:I41 I35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45162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65</v>
      </c>
      <c r="D6" s="2"/>
      <c r="E6" s="18">
        <v>1666</v>
      </c>
      <c r="F6" s="25" t="s">
        <v>200</v>
      </c>
      <c r="G6" s="26" t="s">
        <v>7</v>
      </c>
      <c r="H6" s="8">
        <v>650</v>
      </c>
      <c r="I6" s="8">
        <v>65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1667</v>
      </c>
      <c r="F7" s="25" t="s">
        <v>201</v>
      </c>
      <c r="G7" s="26" t="s">
        <v>37</v>
      </c>
      <c r="H7" s="8" t="s">
        <v>38</v>
      </c>
      <c r="I7" s="8"/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22</v>
      </c>
      <c r="C8" s="29">
        <f>SUM(C6:C7)</f>
        <v>65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65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1657</v>
      </c>
      <c r="L15" s="9" t="s">
        <v>41</v>
      </c>
      <c r="M15" s="16" t="s">
        <v>40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65</v>
      </c>
      <c r="D16" s="2"/>
      <c r="E16" s="18"/>
      <c r="F16" s="25"/>
      <c r="G16" s="26"/>
      <c r="H16" s="8"/>
      <c r="I16" s="8"/>
      <c r="J16" s="2"/>
      <c r="K16" s="25">
        <v>1648</v>
      </c>
      <c r="L16" s="9" t="s">
        <v>41</v>
      </c>
      <c r="M16" s="16" t="s">
        <v>40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1645</v>
      </c>
      <c r="L17" s="9" t="s">
        <v>41</v>
      </c>
      <c r="M17" s="16" t="s">
        <v>40</v>
      </c>
      <c r="R17" s="1">
        <f>IF(vend24[[#This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topLeftCell="A13" zoomScale="80" zoomScaleNormal="80" workbookViewId="0">
      <selection activeCell="I28" sqref="I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45163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22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235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1651</v>
      </c>
      <c r="L15" s="9" t="s">
        <v>41</v>
      </c>
      <c r="M15" s="16" t="s">
        <v>40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235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1660</v>
      </c>
      <c r="F26" s="25" t="s">
        <v>232</v>
      </c>
      <c r="G26" s="26" t="s">
        <v>7</v>
      </c>
      <c r="H26" s="8"/>
      <c r="I26" s="8">
        <v>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1661</v>
      </c>
      <c r="F27" s="25" t="s">
        <v>239</v>
      </c>
      <c r="G27" s="26" t="s">
        <v>7</v>
      </c>
      <c r="H27" s="8"/>
      <c r="I27" s="8">
        <v>75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1544</v>
      </c>
      <c r="F35" s="25" t="s">
        <v>221</v>
      </c>
      <c r="G35" s="26" t="s">
        <v>7</v>
      </c>
      <c r="H35" s="8">
        <v>85</v>
      </c>
      <c r="I35" s="8" t="s">
        <v>151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5"/>
  <sheetViews>
    <sheetView showGridLines="0" topLeftCell="A22" zoomScale="80" zoomScaleNormal="80" workbookViewId="0">
      <selection activeCell="K37" sqref="K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45164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SUMIF(I6:I35,"&gt;0",H6:H35)</f>
        <v>9529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SUM(I6:I45)</f>
        <v>7161</v>
      </c>
      <c r="D6" s="2"/>
      <c r="E6" s="18">
        <v>1668</v>
      </c>
      <c r="F6" s="25" t="s">
        <v>203</v>
      </c>
      <c r="G6" s="26" t="s">
        <v>9</v>
      </c>
      <c r="H6" s="8">
        <v>300</v>
      </c>
      <c r="I6" s="8">
        <v>300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1669</v>
      </c>
      <c r="F7" s="25" t="s">
        <v>204</v>
      </c>
      <c r="G7" s="26" t="s">
        <v>7</v>
      </c>
      <c r="H7" s="8">
        <v>99</v>
      </c>
      <c r="I7" s="8">
        <v>99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22</v>
      </c>
      <c r="C8" s="29">
        <f>SUM(C6:C7)</f>
        <v>7161</v>
      </c>
      <c r="D8" s="2"/>
      <c r="E8" s="18">
        <v>1670</v>
      </c>
      <c r="F8" s="25" t="s">
        <v>205</v>
      </c>
      <c r="G8" s="26" t="s">
        <v>6</v>
      </c>
      <c r="H8" s="8">
        <v>800</v>
      </c>
      <c r="I8" s="8">
        <v>50</v>
      </c>
      <c r="J8" s="2"/>
      <c r="K8" s="25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18">
        <v>1671</v>
      </c>
      <c r="F9" s="25" t="s">
        <v>202</v>
      </c>
      <c r="G9" s="26" t="s">
        <v>6</v>
      </c>
      <c r="H9" s="8">
        <v>490</v>
      </c>
      <c r="I9" s="8">
        <v>12</v>
      </c>
      <c r="J9" s="2"/>
      <c r="K9" s="25"/>
      <c r="L9" s="9"/>
      <c r="M9" s="16"/>
      <c r="R9" s="1">
        <f>IF(vend26[[#This Row],[Nº Venda]]&gt;1,1,0)</f>
        <v>1</v>
      </c>
    </row>
    <row r="10" spans="2:18" ht="15.75" x14ac:dyDescent="0.25">
      <c r="B10" s="99" t="s">
        <v>5</v>
      </c>
      <c r="C10" s="99"/>
      <c r="D10" s="2"/>
      <c r="E10" s="18">
        <v>1672</v>
      </c>
      <c r="F10" s="25" t="s">
        <v>206</v>
      </c>
      <c r="G10" s="26" t="s">
        <v>9</v>
      </c>
      <c r="H10" s="8">
        <v>900</v>
      </c>
      <c r="I10" s="8">
        <v>900</v>
      </c>
      <c r="J10" s="2"/>
      <c r="K10" s="25"/>
      <c r="L10" s="9"/>
      <c r="M10" s="16"/>
      <c r="R10" s="1">
        <f>IF(vend26[[#This Row],[Nº Venda]]&gt;1,1,0)</f>
        <v>1</v>
      </c>
    </row>
    <row r="11" spans="2:18" ht="15.75" x14ac:dyDescent="0.25">
      <c r="B11" s="30" t="s">
        <v>6</v>
      </c>
      <c r="C11" s="31">
        <f>(SUMIF($G$2:$G$35,B11,$I$2:$I$35))+(SUMIF($G$39:$G$45,B11,$H$39:$H$45))</f>
        <v>422</v>
      </c>
      <c r="D11" s="2"/>
      <c r="E11" s="18">
        <v>1673</v>
      </c>
      <c r="F11" s="25" t="s">
        <v>206</v>
      </c>
      <c r="G11" s="26" t="s">
        <v>9</v>
      </c>
      <c r="H11" s="8">
        <v>900</v>
      </c>
      <c r="I11" s="8">
        <v>900</v>
      </c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1</v>
      </c>
    </row>
    <row r="12" spans="2:18" ht="15.75" x14ac:dyDescent="0.25">
      <c r="B12" s="30" t="s">
        <v>7</v>
      </c>
      <c r="C12" s="31">
        <f>(SUMIF($G$2:$G$35,B12,$I$2:$I$35))+(SUMIF($G$39:$G$45,B12,$H$39:$H$45))</f>
        <v>829</v>
      </c>
      <c r="D12" s="2"/>
      <c r="E12" s="18">
        <v>1674</v>
      </c>
      <c r="F12" s="25" t="s">
        <v>212</v>
      </c>
      <c r="G12" s="26" t="s">
        <v>9</v>
      </c>
      <c r="H12" s="8">
        <v>1515</v>
      </c>
      <c r="I12" s="8">
        <v>1515</v>
      </c>
      <c r="J12" s="2"/>
      <c r="R12" s="1">
        <f>IF(vend26[[#This Row],[Nº Venda]]&gt;1,1,0)</f>
        <v>1</v>
      </c>
    </row>
    <row r="13" spans="2:18" ht="15.75" x14ac:dyDescent="0.25">
      <c r="B13" s="30" t="s">
        <v>8</v>
      </c>
      <c r="C13" s="31">
        <f>(SUMIF($G$2:$G$35,B13,$I$2:$I$35))+(SUMIF($G$39:$G$45,B13,$H$39:$H$45))</f>
        <v>0</v>
      </c>
      <c r="D13" s="2"/>
      <c r="E13" s="18">
        <v>1675</v>
      </c>
      <c r="F13" s="25" t="s">
        <v>212</v>
      </c>
      <c r="G13" s="26" t="s">
        <v>9</v>
      </c>
      <c r="H13" s="8">
        <v>1515</v>
      </c>
      <c r="I13" s="8">
        <v>1515</v>
      </c>
      <c r="J13" s="2"/>
      <c r="K13" s="101" t="s">
        <v>23</v>
      </c>
      <c r="L13" s="102"/>
      <c r="M13" s="103"/>
      <c r="R13" s="1">
        <f>IF(vend26[[#This Row],[Nº Venda]]&gt;1,1,0)</f>
        <v>1</v>
      </c>
    </row>
    <row r="14" spans="2:18" ht="15.75" x14ac:dyDescent="0.25">
      <c r="B14" s="30" t="s">
        <v>9</v>
      </c>
      <c r="C14" s="31">
        <f>(SUMIF($G$2:$G$35,B14,$I$2:$I$35))+(SUMIF($G$39:$G$45,B14,$H$39:$H$45))</f>
        <v>5830</v>
      </c>
      <c r="D14" s="2"/>
      <c r="E14" s="18">
        <v>1676</v>
      </c>
      <c r="F14" s="25" t="s">
        <v>207</v>
      </c>
      <c r="G14" s="26" t="s">
        <v>37</v>
      </c>
      <c r="H14" s="8">
        <v>375</v>
      </c>
      <c r="I14" s="8">
        <v>0</v>
      </c>
      <c r="J14" s="2"/>
      <c r="K14" s="14" t="s">
        <v>24</v>
      </c>
      <c r="L14" s="6" t="s">
        <v>25</v>
      </c>
      <c r="M14" s="15" t="s">
        <v>26</v>
      </c>
      <c r="R14" s="1">
        <f>IF(vend26[[#This Row],[Nº Venda]]&gt;1,1,0)</f>
        <v>1</v>
      </c>
    </row>
    <row r="15" spans="2:18" ht="15.75" x14ac:dyDescent="0.25">
      <c r="B15" s="30" t="s">
        <v>10</v>
      </c>
      <c r="C15" s="31">
        <f>(SUMIF($G$2:$G$35,B15,$I$2:$I$35))+(SUMIF($G$39:$G$45,B15,$H$39:$H$45))</f>
        <v>80</v>
      </c>
      <c r="D15" s="2"/>
      <c r="E15" s="18">
        <v>1677</v>
      </c>
      <c r="F15" s="25" t="s">
        <v>207</v>
      </c>
      <c r="G15" s="26" t="s">
        <v>37</v>
      </c>
      <c r="H15" s="8">
        <v>375</v>
      </c>
      <c r="I15" s="8">
        <v>0</v>
      </c>
      <c r="J15" s="2"/>
      <c r="K15" s="25">
        <v>1635</v>
      </c>
      <c r="L15" s="9" t="s">
        <v>39</v>
      </c>
      <c r="M15" s="16" t="s">
        <v>48</v>
      </c>
      <c r="R15" s="1">
        <f>IF(vend26[[#This Row],[Nº Venda]]&gt;1,1,0)</f>
        <v>1</v>
      </c>
    </row>
    <row r="16" spans="2:18" ht="15.75" x14ac:dyDescent="0.25">
      <c r="B16" s="28" t="s">
        <v>11</v>
      </c>
      <c r="C16" s="32">
        <f>SUM(C11:C15)</f>
        <v>7161</v>
      </c>
      <c r="D16" s="2"/>
      <c r="E16" s="18">
        <v>1678</v>
      </c>
      <c r="F16" s="25" t="s">
        <v>208</v>
      </c>
      <c r="G16" s="26" t="s">
        <v>37</v>
      </c>
      <c r="H16" s="8">
        <v>590</v>
      </c>
      <c r="I16" s="8">
        <v>0</v>
      </c>
      <c r="J16" s="2"/>
      <c r="K16" s="25">
        <v>1636</v>
      </c>
      <c r="L16" s="9" t="s">
        <v>39</v>
      </c>
      <c r="M16" s="16" t="s">
        <v>48</v>
      </c>
      <c r="R16" s="1">
        <f>IF(vend26[[#This Row],[Nº Venda]]&gt;1,1,0)</f>
        <v>1</v>
      </c>
    </row>
    <row r="17" spans="2:18" ht="15.75" x14ac:dyDescent="0.25">
      <c r="B17" s="2"/>
      <c r="C17" s="2"/>
      <c r="D17" s="2"/>
      <c r="E17" s="18">
        <v>1679</v>
      </c>
      <c r="F17" s="25" t="s">
        <v>209</v>
      </c>
      <c r="G17" s="26" t="s">
        <v>7</v>
      </c>
      <c r="H17" s="8">
        <v>560</v>
      </c>
      <c r="I17" s="8">
        <v>280</v>
      </c>
      <c r="J17" s="2"/>
      <c r="K17" s="25">
        <v>1638</v>
      </c>
      <c r="L17" s="9" t="s">
        <v>39</v>
      </c>
      <c r="M17" s="16" t="s">
        <v>48</v>
      </c>
      <c r="R17" s="1">
        <f>IF(vend26[[#This Row],[Nº Venda]]&gt;1,1,0)</f>
        <v>1</v>
      </c>
    </row>
    <row r="18" spans="2:18" ht="15.75" x14ac:dyDescent="0.25">
      <c r="B18" s="99" t="s">
        <v>12</v>
      </c>
      <c r="C18" s="99"/>
      <c r="D18" s="2"/>
      <c r="E18" s="18">
        <v>1680</v>
      </c>
      <c r="F18" s="25" t="s">
        <v>210</v>
      </c>
      <c r="G18" s="26" t="s">
        <v>7</v>
      </c>
      <c r="H18" s="8">
        <v>770</v>
      </c>
      <c r="I18" s="8">
        <v>250</v>
      </c>
      <c r="J18" s="2"/>
      <c r="K18" s="25">
        <v>1639</v>
      </c>
      <c r="L18" s="9" t="s">
        <v>39</v>
      </c>
      <c r="M18" s="16" t="s">
        <v>48</v>
      </c>
      <c r="R18" s="1">
        <f>IF(vend26[[#This Row],[Nº Venda]]&gt;1,1,0)</f>
        <v>1</v>
      </c>
    </row>
    <row r="19" spans="2:18" ht="15.75" x14ac:dyDescent="0.25">
      <c r="B19" s="30">
        <f>COUNT(entr_carn26[OS])</f>
        <v>2</v>
      </c>
      <c r="C19" s="31">
        <f>SUM(entr_carn26[Valor Total])</f>
        <v>750</v>
      </c>
      <c r="D19" s="2"/>
      <c r="E19" s="18">
        <v>1681</v>
      </c>
      <c r="F19" s="25" t="s">
        <v>211</v>
      </c>
      <c r="G19" s="26" t="s">
        <v>37</v>
      </c>
      <c r="H19" s="8">
        <v>290</v>
      </c>
      <c r="I19" s="8">
        <v>0</v>
      </c>
      <c r="J19" s="2"/>
      <c r="K19" s="25"/>
      <c r="L19" s="9"/>
      <c r="M19" s="16"/>
      <c r="R19" s="1">
        <f>IF(vend26[[#This Row],[Nº Venda]]&gt;1,1,0)</f>
        <v>1</v>
      </c>
    </row>
    <row r="20" spans="2:18" ht="15.75" x14ac:dyDescent="0.25">
      <c r="B20" s="28" t="s">
        <v>11</v>
      </c>
      <c r="C20" s="32">
        <f>SUM(C19:C19)</f>
        <v>750</v>
      </c>
      <c r="D20" s="2"/>
      <c r="E20" s="18">
        <v>1682</v>
      </c>
      <c r="F20" s="26" t="s">
        <v>213</v>
      </c>
      <c r="G20" s="26" t="s">
        <v>6</v>
      </c>
      <c r="H20" s="8">
        <v>400</v>
      </c>
      <c r="I20" s="8">
        <v>10</v>
      </c>
      <c r="J20" s="2"/>
      <c r="K20" s="25"/>
      <c r="L20" s="9"/>
      <c r="M20" s="16"/>
      <c r="R20" s="1">
        <f>IF(vend26[[#This Row],[Nº Venda]]&gt;1,1,0)</f>
        <v>1</v>
      </c>
    </row>
    <row r="21" spans="2:18" ht="15.75" x14ac:dyDescent="0.25">
      <c r="B21" s="2"/>
      <c r="C21" s="2"/>
      <c r="D21" s="2"/>
      <c r="E21" s="18">
        <v>1683</v>
      </c>
      <c r="F21" s="25" t="s">
        <v>214</v>
      </c>
      <c r="G21" s="26" t="s">
        <v>37</v>
      </c>
      <c r="H21" s="8" t="s">
        <v>215</v>
      </c>
      <c r="I21" s="8">
        <v>0</v>
      </c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9529</v>
      </c>
      <c r="D22" s="2"/>
      <c r="E22" s="18">
        <v>1684</v>
      </c>
      <c r="F22" s="25" t="s">
        <v>216</v>
      </c>
      <c r="G22" s="26" t="s">
        <v>10</v>
      </c>
      <c r="H22" s="8">
        <v>780</v>
      </c>
      <c r="I22" s="8">
        <v>80</v>
      </c>
      <c r="J22" s="2"/>
      <c r="K22" s="25"/>
      <c r="L22" s="9"/>
      <c r="M22" s="16"/>
    </row>
    <row r="23" spans="2:18" ht="15" x14ac:dyDescent="0.25">
      <c r="B23" s="2"/>
      <c r="C23" s="2"/>
      <c r="D23" s="2"/>
      <c r="E23" s="78">
        <v>1684</v>
      </c>
      <c r="F23" s="77" t="s">
        <v>216</v>
      </c>
      <c r="G23" s="77" t="s">
        <v>9</v>
      </c>
      <c r="H23" s="49">
        <v>0</v>
      </c>
      <c r="I23" s="49">
        <v>700</v>
      </c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217</v>
      </c>
      <c r="F24" s="77" t="s">
        <v>219</v>
      </c>
      <c r="G24" s="77" t="s">
        <v>7</v>
      </c>
      <c r="H24" s="49">
        <v>250</v>
      </c>
      <c r="I24" s="49">
        <v>100</v>
      </c>
      <c r="J24" s="2"/>
      <c r="K24" s="25"/>
      <c r="L24" s="9"/>
      <c r="M24" s="16"/>
    </row>
    <row r="25" spans="2:18" ht="15" x14ac:dyDescent="0.25">
      <c r="B25" s="2"/>
      <c r="C25" s="2"/>
      <c r="D25" s="2"/>
      <c r="E25" s="78" t="s">
        <v>218</v>
      </c>
      <c r="F25" s="77" t="s">
        <v>219</v>
      </c>
      <c r="G25" s="77" t="s">
        <v>7</v>
      </c>
      <c r="H25" s="49">
        <v>250</v>
      </c>
      <c r="I25" s="49">
        <v>100</v>
      </c>
      <c r="J25" s="2"/>
      <c r="K25" s="25"/>
      <c r="L25" s="9"/>
      <c r="M25" s="16"/>
    </row>
    <row r="26" spans="2:18" ht="15" x14ac:dyDescent="0.25">
      <c r="B26" s="2"/>
      <c r="C26" s="2"/>
      <c r="D26" s="2"/>
      <c r="E26" s="77"/>
      <c r="F26" s="77"/>
      <c r="G26" s="77"/>
      <c r="H26" s="49"/>
      <c r="I26" s="49"/>
      <c r="J26" s="2"/>
      <c r="K26" s="25"/>
      <c r="L26" s="9"/>
      <c r="M26" s="16"/>
    </row>
    <row r="27" spans="2:18" ht="15" x14ac:dyDescent="0.25">
      <c r="B27" s="2"/>
      <c r="C27" s="2"/>
      <c r="D27" s="2"/>
      <c r="E27" s="33"/>
      <c r="H27" s="7"/>
      <c r="J27" s="2"/>
      <c r="K27" s="25"/>
      <c r="L27" s="9"/>
      <c r="M27" s="16"/>
    </row>
    <row r="28" spans="2:18" ht="15" x14ac:dyDescent="0.25">
      <c r="B28" s="2"/>
      <c r="C28" s="2"/>
      <c r="D28" s="2"/>
      <c r="E28" s="100" t="s">
        <v>28</v>
      </c>
      <c r="F28" s="100"/>
      <c r="G28" s="100"/>
      <c r="H28" s="100"/>
      <c r="I28" s="100"/>
      <c r="J28" s="2"/>
      <c r="K28" s="25"/>
      <c r="L28" s="9"/>
      <c r="M28" s="16"/>
    </row>
    <row r="29" spans="2:18" ht="15" x14ac:dyDescent="0.25">
      <c r="B29" s="2"/>
      <c r="C29" s="2"/>
      <c r="D29" s="2"/>
      <c r="E29" s="10" t="s">
        <v>14</v>
      </c>
      <c r="F29" s="10" t="s">
        <v>15</v>
      </c>
      <c r="G29" s="11" t="s">
        <v>16</v>
      </c>
      <c r="H29" s="12" t="s">
        <v>17</v>
      </c>
      <c r="I29" s="13" t="s">
        <v>2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1635</v>
      </c>
      <c r="F30" s="25" t="s">
        <v>52</v>
      </c>
      <c r="G30" s="26" t="s">
        <v>6</v>
      </c>
      <c r="H30" s="8"/>
      <c r="I30" s="8">
        <v>87.5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18">
        <v>1636</v>
      </c>
      <c r="F31" s="25" t="s">
        <v>52</v>
      </c>
      <c r="G31" s="26" t="s">
        <v>6</v>
      </c>
      <c r="H31" s="8"/>
      <c r="I31" s="8">
        <v>87.5</v>
      </c>
      <c r="J31" s="2"/>
      <c r="K31" s="25"/>
      <c r="L31" s="9"/>
      <c r="M31" s="16"/>
    </row>
    <row r="32" spans="2:18" ht="15.75" x14ac:dyDescent="0.25">
      <c r="B32" s="2"/>
      <c r="C32" s="2"/>
      <c r="E32" s="18">
        <v>1638</v>
      </c>
      <c r="F32" s="25" t="s">
        <v>220</v>
      </c>
      <c r="G32" s="26" t="s">
        <v>6</v>
      </c>
      <c r="H32" s="8"/>
      <c r="I32" s="8">
        <v>87.5</v>
      </c>
    </row>
    <row r="33" spans="2:18" ht="15.75" x14ac:dyDescent="0.25">
      <c r="B33" s="2"/>
      <c r="C33" s="2"/>
      <c r="E33" s="18">
        <v>1639</v>
      </c>
      <c r="F33" s="25" t="s">
        <v>220</v>
      </c>
      <c r="G33" s="26" t="s">
        <v>6</v>
      </c>
      <c r="H33" s="8"/>
      <c r="I33" s="8">
        <v>87.5</v>
      </c>
      <c r="K33" s="101" t="s">
        <v>12</v>
      </c>
      <c r="L33" s="102"/>
      <c r="M33" s="103"/>
    </row>
    <row r="34" spans="2:18" ht="15.75" x14ac:dyDescent="0.25">
      <c r="E34" s="18"/>
      <c r="F34" s="39"/>
      <c r="G34" s="26"/>
      <c r="H34" s="8"/>
      <c r="I34" s="8"/>
      <c r="K34" s="14" t="s">
        <v>24</v>
      </c>
      <c r="L34" s="6" t="s">
        <v>32</v>
      </c>
      <c r="M34" s="15" t="s">
        <v>33</v>
      </c>
    </row>
    <row r="35" spans="2:18" ht="15.75" x14ac:dyDescent="0.25">
      <c r="E35" s="35"/>
      <c r="F35" s="36"/>
      <c r="G35" s="37"/>
      <c r="H35" s="17"/>
      <c r="I35" s="17"/>
      <c r="K35" s="25">
        <v>1635</v>
      </c>
      <c r="L35" s="42">
        <v>10</v>
      </c>
      <c r="M35" s="16">
        <v>375</v>
      </c>
    </row>
    <row r="36" spans="2:18" ht="15" x14ac:dyDescent="0.25">
      <c r="E36" s="33"/>
      <c r="K36" s="25">
        <v>1638</v>
      </c>
      <c r="L36" s="42">
        <v>10</v>
      </c>
      <c r="M36" s="16">
        <v>375</v>
      </c>
    </row>
    <row r="37" spans="2:18" ht="15" x14ac:dyDescent="0.25">
      <c r="E37" s="100" t="s">
        <v>29</v>
      </c>
      <c r="F37" s="100"/>
      <c r="G37" s="100"/>
      <c r="H37" s="100"/>
      <c r="I37" s="100"/>
      <c r="K37" s="25"/>
      <c r="L37" s="42"/>
      <c r="M37" s="16"/>
    </row>
    <row r="38" spans="2:18" ht="15" x14ac:dyDescent="0.25">
      <c r="E38" s="10" t="s">
        <v>24</v>
      </c>
      <c r="F38" s="10" t="s">
        <v>15</v>
      </c>
      <c r="G38" s="11" t="s">
        <v>16</v>
      </c>
      <c r="H38" s="12" t="s">
        <v>30</v>
      </c>
      <c r="I38" s="13" t="s">
        <v>31</v>
      </c>
      <c r="K38" s="25"/>
      <c r="L38" s="42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2"/>
      <c r="M39" s="16"/>
    </row>
    <row r="40" spans="2:18" ht="15.75" x14ac:dyDescent="0.25">
      <c r="E40" s="18"/>
      <c r="F40" s="25"/>
      <c r="G40" s="26"/>
      <c r="H40" s="8"/>
      <c r="I40" s="8"/>
      <c r="K40" s="36"/>
      <c r="L40" s="43"/>
      <c r="M40" s="40"/>
      <c r="Q40" s="1" t="s">
        <v>34</v>
      </c>
      <c r="R40" s="1">
        <f>SUM(R6:R21)</f>
        <v>15</v>
      </c>
    </row>
    <row r="41" spans="2:18" ht="15.75" x14ac:dyDescent="0.25">
      <c r="E41" s="18"/>
      <c r="F41" s="25"/>
      <c r="G41" s="26"/>
      <c r="H41" s="8"/>
      <c r="I41" s="8"/>
      <c r="K41" s="45"/>
      <c r="L41" s="42"/>
      <c r="M41" s="40"/>
    </row>
    <row r="42" spans="2:18" ht="15.75" x14ac:dyDescent="0.25">
      <c r="E42" s="18"/>
      <c r="F42" s="25"/>
      <c r="G42" s="26"/>
      <c r="H42" s="8"/>
      <c r="I42" s="8"/>
    </row>
    <row r="43" spans="2:18" ht="15.75" x14ac:dyDescent="0.25">
      <c r="E43" s="18"/>
      <c r="F43" s="39"/>
      <c r="G43" s="26"/>
      <c r="H43" s="8"/>
      <c r="I43" s="8"/>
    </row>
    <row r="44" spans="2:18" ht="15.75" x14ac:dyDescent="0.25">
      <c r="E44" s="35"/>
      <c r="F44" s="36"/>
      <c r="G44" s="37"/>
      <c r="H44" s="17"/>
      <c r="I44" s="8"/>
    </row>
    <row r="45" spans="2:18" ht="15.75" x14ac:dyDescent="0.25">
      <c r="E45" s="44"/>
      <c r="F45" s="39"/>
      <c r="G45" s="26"/>
      <c r="H45" s="8"/>
      <c r="I45" s="8"/>
    </row>
  </sheetData>
  <mergeCells count="9">
    <mergeCell ref="E28:I28"/>
    <mergeCell ref="E37:I37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ignoredErrors>
    <ignoredError sqref="E24:E25" numberStoredAsText="1"/>
  </ignoredError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G30:G35 G39:G45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G6:G26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I39:I45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topLeftCell="A16" zoomScale="80" zoomScaleNormal="80" workbookViewId="0">
      <selection activeCell="M15" sqref="K15: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45165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SUMIF(I7:I31,"&gt;0",H7:H31)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SUM(I7:I41)</f>
        <v>0</v>
      </c>
      <c r="D6" s="2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" x14ac:dyDescent="0.25">
      <c r="B26" s="2"/>
      <c r="C26" s="2"/>
      <c r="D26" s="2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6:L41" xr:uid="{8AD08715-CA81-4378-97B4-1E9A5F964BE8}">
      <formula1>"1,2,3,4,5,6,7,8,9,10"</formula1>
    </dataValidation>
    <dataValidation type="list" allowBlank="1" showInputMessage="1" showErrorMessage="1" sqref="M16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G35:G41 G27:G31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G7:G22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topLeftCell="A7" zoomScale="80" zoomScaleNormal="80" workbookViewId="0">
      <selection activeCell="G14" sqref="G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45166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680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565</v>
      </c>
      <c r="D6" s="2"/>
      <c r="E6" s="80">
        <v>1687</v>
      </c>
      <c r="F6" s="79" t="s">
        <v>222</v>
      </c>
      <c r="G6" s="79" t="s">
        <v>7</v>
      </c>
      <c r="H6" s="52">
        <v>150</v>
      </c>
      <c r="I6" s="52">
        <v>150</v>
      </c>
      <c r="J6" s="2"/>
      <c r="K6" s="25"/>
      <c r="L6" s="9"/>
      <c r="M6" s="16"/>
      <c r="R6" s="1">
        <f>IF(vend28[[#This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7">
        <v>1688</v>
      </c>
      <c r="F7" s="25" t="s">
        <v>224</v>
      </c>
      <c r="G7" s="26" t="s">
        <v>7</v>
      </c>
      <c r="H7" s="8">
        <v>265</v>
      </c>
      <c r="I7" s="8">
        <v>132.5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22</v>
      </c>
      <c r="C8" s="29">
        <f>SUM(C6:C7)</f>
        <v>565</v>
      </c>
      <c r="D8" s="2"/>
      <c r="E8" s="87">
        <v>1689</v>
      </c>
      <c r="F8" s="25" t="s">
        <v>224</v>
      </c>
      <c r="G8" s="26" t="s">
        <v>7</v>
      </c>
      <c r="H8" s="8">
        <v>265</v>
      </c>
      <c r="I8" s="8">
        <v>132.5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565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76">
        <v>1633</v>
      </c>
      <c r="L15" s="60" t="s">
        <v>41</v>
      </c>
      <c r="M15" s="61" t="s">
        <v>48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565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1</v>
      </c>
      <c r="C19" s="31">
        <f>SUM(entr_carn28[Valor Total])</f>
        <v>236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236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680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1">
        <v>1633</v>
      </c>
      <c r="F26" s="82" t="s">
        <v>223</v>
      </c>
      <c r="G26" s="83" t="s">
        <v>7</v>
      </c>
      <c r="H26" s="84"/>
      <c r="I26" s="84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85">
        <v>1633</v>
      </c>
      <c r="L35" s="86">
        <v>8</v>
      </c>
      <c r="M35" s="61">
        <f>236</f>
        <v>236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G35:G41 G26:G31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topLeftCell="A22" zoomScale="80" zoomScaleNormal="80" workbookViewId="0">
      <selection activeCell="K36" sqref="K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45167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1150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1150</v>
      </c>
      <c r="D6" s="2"/>
      <c r="E6" s="18">
        <v>1690</v>
      </c>
      <c r="F6" s="25" t="s">
        <v>229</v>
      </c>
      <c r="G6" s="26" t="s">
        <v>7</v>
      </c>
      <c r="H6" s="8">
        <v>500</v>
      </c>
      <c r="I6" s="8">
        <v>300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1691</v>
      </c>
      <c r="F7" s="25" t="s">
        <v>229</v>
      </c>
      <c r="G7" s="26" t="s">
        <v>7</v>
      </c>
      <c r="H7" s="8">
        <v>500</v>
      </c>
      <c r="I7" s="8">
        <v>300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22</v>
      </c>
      <c r="C8" s="29">
        <f>SUM(C6:C7)</f>
        <v>1150</v>
      </c>
      <c r="D8" s="2"/>
      <c r="E8" s="18">
        <v>1692</v>
      </c>
      <c r="F8" s="25" t="s">
        <v>229</v>
      </c>
      <c r="G8" s="26" t="s">
        <v>7</v>
      </c>
      <c r="H8" s="8">
        <v>150</v>
      </c>
      <c r="I8" s="8">
        <v>150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900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98">
        <v>1538</v>
      </c>
      <c r="L15" s="9" t="s">
        <v>47</v>
      </c>
      <c r="M15" s="16" t="s">
        <v>40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1150</v>
      </c>
      <c r="D16" s="2"/>
      <c r="E16" s="18"/>
      <c r="F16" s="25"/>
      <c r="G16" s="26"/>
      <c r="H16" s="8"/>
      <c r="I16" s="8"/>
      <c r="J16" s="2"/>
      <c r="K16" s="98">
        <v>1661</v>
      </c>
      <c r="L16" s="9" t="s">
        <v>39</v>
      </c>
      <c r="M16" s="16" t="s">
        <v>48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98">
        <v>1660</v>
      </c>
      <c r="L17" s="9" t="s">
        <v>39</v>
      </c>
      <c r="M17" s="16" t="s">
        <v>48</v>
      </c>
      <c r="R17" s="1">
        <f>IF(vend29[[#This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98">
        <v>1652</v>
      </c>
      <c r="L18" s="9" t="s">
        <v>41</v>
      </c>
      <c r="M18" s="16" t="s">
        <v>40</v>
      </c>
      <c r="R18" s="1">
        <f>IF(vend29[[#This Row],[Nº Venda]]&gt;1,1,0)</f>
        <v>0</v>
      </c>
    </row>
    <row r="19" spans="2:18" ht="15.75" x14ac:dyDescent="0.25">
      <c r="B19" s="30">
        <f>COUNT(entr_carn29[OS])</f>
        <v>1</v>
      </c>
      <c r="C19" s="31">
        <f>SUM(entr_carn29[Valor Total])</f>
        <v>540</v>
      </c>
      <c r="D19" s="2"/>
      <c r="E19" s="18"/>
      <c r="F19" s="25"/>
      <c r="G19" s="26"/>
      <c r="H19" s="8"/>
      <c r="I19" s="8"/>
      <c r="J19" s="2"/>
      <c r="K19" s="98">
        <v>1571</v>
      </c>
      <c r="L19" s="9" t="s">
        <v>233</v>
      </c>
      <c r="M19" s="16" t="s">
        <v>40</v>
      </c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540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1538</v>
      </c>
      <c r="F26" s="25" t="s">
        <v>230</v>
      </c>
      <c r="G26" s="26" t="s">
        <v>10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1661</v>
      </c>
      <c r="F27" s="25" t="s">
        <v>231</v>
      </c>
      <c r="G27" s="26" t="s">
        <v>7</v>
      </c>
      <c r="H27" s="8"/>
      <c r="I27" s="8">
        <v>75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1660</v>
      </c>
      <c r="F28" s="25" t="s">
        <v>232</v>
      </c>
      <c r="G28" s="26" t="s">
        <v>7</v>
      </c>
      <c r="H28" s="8"/>
      <c r="I28" s="8">
        <v>75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>
        <v>1660</v>
      </c>
      <c r="L35" s="42">
        <v>5</v>
      </c>
      <c r="M35" s="16">
        <v>540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topLeftCell="A16" zoomScale="80" zoomScaleNormal="80" workbookViewId="0">
      <selection activeCell="H27" sqref="H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'29'!B1+1</f>
        <v>45168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1693</v>
      </c>
      <c r="F6" s="25" t="s">
        <v>234</v>
      </c>
      <c r="G6" s="26" t="s">
        <v>37</v>
      </c>
      <c r="H6" s="8" t="s">
        <v>38</v>
      </c>
      <c r="I6" s="8">
        <v>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22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1682</v>
      </c>
      <c r="F26" s="25" t="s">
        <v>235</v>
      </c>
      <c r="G26" s="26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zoomScale="80" zoomScaleNormal="80" workbookViewId="0">
      <selection activeCell="W22" sqref="W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45169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800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454</v>
      </c>
      <c r="D6" s="2"/>
      <c r="E6" s="18">
        <v>1694</v>
      </c>
      <c r="F6" s="25" t="s">
        <v>236</v>
      </c>
      <c r="G6" s="26" t="s">
        <v>37</v>
      </c>
      <c r="H6" s="8">
        <v>300</v>
      </c>
      <c r="I6" s="8"/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1695</v>
      </c>
      <c r="F7" s="25" t="s">
        <v>237</v>
      </c>
      <c r="G7" s="26" t="s">
        <v>6</v>
      </c>
      <c r="H7" s="8">
        <v>800</v>
      </c>
      <c r="I7" s="8">
        <v>85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22</v>
      </c>
      <c r="C8" s="29">
        <f>SUM(C6:C7)</f>
        <v>454</v>
      </c>
      <c r="D8" s="2"/>
      <c r="E8" s="18">
        <v>1695</v>
      </c>
      <c r="F8" s="25" t="s">
        <v>237</v>
      </c>
      <c r="G8" s="26" t="s">
        <v>6</v>
      </c>
      <c r="H8" s="8">
        <v>0</v>
      </c>
      <c r="I8" s="8">
        <v>50</v>
      </c>
      <c r="J8" s="2"/>
      <c r="K8" s="25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135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23</v>
      </c>
      <c r="L13" s="102"/>
      <c r="M13" s="103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319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1595</v>
      </c>
      <c r="L15" s="9" t="s">
        <v>41</v>
      </c>
      <c r="M15" s="16" t="s">
        <v>40</v>
      </c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454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28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1595</v>
      </c>
      <c r="F26" s="25" t="s">
        <v>238</v>
      </c>
      <c r="G26" s="26" t="s">
        <v>9</v>
      </c>
      <c r="H26" s="8"/>
      <c r="I26" s="8">
        <v>319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29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111</v>
      </c>
      <c r="B1" s="38" t="s">
        <v>112</v>
      </c>
      <c r="E1" s="38" t="s">
        <v>113</v>
      </c>
    </row>
    <row r="2" spans="1:5" x14ac:dyDescent="0.2">
      <c r="A2" s="38" t="s">
        <v>6</v>
      </c>
      <c r="B2" s="38" t="s">
        <v>114</v>
      </c>
      <c r="E2" t="s">
        <v>115</v>
      </c>
    </row>
    <row r="3" spans="1:5" x14ac:dyDescent="0.2">
      <c r="A3" s="38" t="s">
        <v>7</v>
      </c>
      <c r="B3" s="38" t="s">
        <v>116</v>
      </c>
      <c r="E3" t="s">
        <v>117</v>
      </c>
    </row>
    <row r="4" spans="1:5" x14ac:dyDescent="0.2">
      <c r="A4" s="38" t="s">
        <v>8</v>
      </c>
      <c r="B4" s="38" t="s">
        <v>118</v>
      </c>
      <c r="E4" t="s">
        <v>119</v>
      </c>
    </row>
    <row r="5" spans="1:5" x14ac:dyDescent="0.2">
      <c r="A5" s="38" t="s">
        <v>9</v>
      </c>
      <c r="B5" s="38" t="s">
        <v>120</v>
      </c>
      <c r="E5" t="s">
        <v>121</v>
      </c>
    </row>
    <row r="6" spans="1:5" x14ac:dyDescent="0.2">
      <c r="A6" s="38" t="s">
        <v>10</v>
      </c>
      <c r="B6" s="38" t="s">
        <v>10</v>
      </c>
      <c r="E6" t="s">
        <v>98</v>
      </c>
    </row>
    <row r="7" spans="1:5" x14ac:dyDescent="0.2">
      <c r="A7" s="38" t="s">
        <v>37</v>
      </c>
      <c r="B7" s="38" t="s">
        <v>122</v>
      </c>
      <c r="E7" t="s">
        <v>123</v>
      </c>
    </row>
    <row r="8" spans="1:5" x14ac:dyDescent="0.2">
      <c r="A8" t="s">
        <v>26</v>
      </c>
      <c r="B8" t="s">
        <v>124</v>
      </c>
      <c r="E8" t="s">
        <v>125</v>
      </c>
    </row>
    <row r="9" spans="1:5" x14ac:dyDescent="0.2">
      <c r="A9" s="38" t="s">
        <v>38</v>
      </c>
      <c r="B9" s="38" t="s">
        <v>126</v>
      </c>
      <c r="E9" t="s">
        <v>127</v>
      </c>
    </row>
    <row r="10" spans="1:5" x14ac:dyDescent="0.2">
      <c r="E10" t="s">
        <v>128</v>
      </c>
    </row>
    <row r="11" spans="1:5" x14ac:dyDescent="0.2">
      <c r="E11" t="s">
        <v>110</v>
      </c>
    </row>
    <row r="12" spans="1:5" x14ac:dyDescent="0.2">
      <c r="E12" t="s">
        <v>129</v>
      </c>
    </row>
    <row r="13" spans="1:5" x14ac:dyDescent="0.2">
      <c r="E13" t="s">
        <v>95</v>
      </c>
    </row>
    <row r="14" spans="1:5" x14ac:dyDescent="0.2">
      <c r="E14" t="s">
        <v>103</v>
      </c>
    </row>
    <row r="15" spans="1:5" x14ac:dyDescent="0.2">
      <c r="E15" t="s">
        <v>104</v>
      </c>
    </row>
    <row r="16" spans="1:5" x14ac:dyDescent="0.2">
      <c r="E16" t="s">
        <v>130</v>
      </c>
    </row>
    <row r="17" spans="5:5" x14ac:dyDescent="0.2">
      <c r="E17" t="s">
        <v>131</v>
      </c>
    </row>
    <row r="18" spans="5:5" x14ac:dyDescent="0.2">
      <c r="E18" t="s">
        <v>132</v>
      </c>
    </row>
    <row r="19" spans="5:5" x14ac:dyDescent="0.2">
      <c r="E19" t="s">
        <v>133</v>
      </c>
    </row>
    <row r="20" spans="5:5" x14ac:dyDescent="0.2">
      <c r="E20" t="s">
        <v>106</v>
      </c>
    </row>
    <row r="21" spans="5:5" x14ac:dyDescent="0.2">
      <c r="E21" t="s">
        <v>134</v>
      </c>
    </row>
    <row r="22" spans="5:5" x14ac:dyDescent="0.2">
      <c r="E22" t="s">
        <v>135</v>
      </c>
    </row>
    <row r="23" spans="5:5" x14ac:dyDescent="0.2">
      <c r="E23" t="s">
        <v>136</v>
      </c>
    </row>
    <row r="24" spans="5:5" x14ac:dyDescent="0.2">
      <c r="E24" t="s">
        <v>137</v>
      </c>
    </row>
    <row r="25" spans="5:5" x14ac:dyDescent="0.2">
      <c r="E25" t="s">
        <v>138</v>
      </c>
    </row>
    <row r="26" spans="5:5" x14ac:dyDescent="0.2">
      <c r="E26" t="s">
        <v>139</v>
      </c>
    </row>
    <row r="27" spans="5:5" x14ac:dyDescent="0.2">
      <c r="E27" t="s">
        <v>140</v>
      </c>
    </row>
    <row r="28" spans="5:5" x14ac:dyDescent="0.2">
      <c r="E28" t="s">
        <v>141</v>
      </c>
    </row>
    <row r="29" spans="5:5" x14ac:dyDescent="0.2">
      <c r="E29" t="s">
        <v>142</v>
      </c>
    </row>
    <row r="30" spans="5:5" x14ac:dyDescent="0.2">
      <c r="E30" t="s">
        <v>143</v>
      </c>
    </row>
    <row r="31" spans="5:5" x14ac:dyDescent="0.2">
      <c r="E31" t="s">
        <v>144</v>
      </c>
    </row>
    <row r="32" spans="5:5" x14ac:dyDescent="0.2">
      <c r="E32" t="s">
        <v>145</v>
      </c>
    </row>
    <row r="33" spans="5:5" x14ac:dyDescent="0.2">
      <c r="E33" t="s">
        <v>146</v>
      </c>
    </row>
    <row r="34" spans="5:5" x14ac:dyDescent="0.2">
      <c r="E34" t="s">
        <v>147</v>
      </c>
    </row>
    <row r="35" spans="5:5" x14ac:dyDescent="0.2">
      <c r="E35" t="s">
        <v>148</v>
      </c>
    </row>
    <row r="36" spans="5:5" x14ac:dyDescent="0.2">
      <c r="E36" t="s">
        <v>149</v>
      </c>
    </row>
    <row r="37" spans="5:5" x14ac:dyDescent="0.2">
      <c r="E37" t="s">
        <v>150</v>
      </c>
    </row>
    <row r="38" spans="5:5" x14ac:dyDescent="0.2">
      <c r="E38" t="s">
        <v>100</v>
      </c>
    </row>
    <row r="39" spans="5:5" x14ac:dyDescent="0.2">
      <c r="E39" t="s">
        <v>151</v>
      </c>
    </row>
    <row r="40" spans="5:5" x14ac:dyDescent="0.2">
      <c r="E40" t="s">
        <v>152</v>
      </c>
    </row>
    <row r="41" spans="5:5" x14ac:dyDescent="0.2">
      <c r="E41" t="s">
        <v>153</v>
      </c>
    </row>
    <row r="42" spans="5:5" x14ac:dyDescent="0.2">
      <c r="E42" t="s">
        <v>154</v>
      </c>
    </row>
    <row r="43" spans="5:5" x14ac:dyDescent="0.2">
      <c r="E43" t="s">
        <v>155</v>
      </c>
    </row>
    <row r="44" spans="5:5" x14ac:dyDescent="0.2">
      <c r="E44" t="s">
        <v>156</v>
      </c>
    </row>
    <row r="45" spans="5:5" x14ac:dyDescent="0.2">
      <c r="E45" t="s">
        <v>157</v>
      </c>
    </row>
    <row r="46" spans="5:5" x14ac:dyDescent="0.2">
      <c r="E46" t="s">
        <v>158</v>
      </c>
    </row>
    <row r="47" spans="5:5" x14ac:dyDescent="0.2">
      <c r="E47" t="s">
        <v>159</v>
      </c>
    </row>
    <row r="48" spans="5:5" x14ac:dyDescent="0.2">
      <c r="E48" t="s">
        <v>160</v>
      </c>
    </row>
    <row r="49" spans="5:5" x14ac:dyDescent="0.2">
      <c r="E49" t="s">
        <v>161</v>
      </c>
    </row>
    <row r="50" spans="5:5" x14ac:dyDescent="0.2">
      <c r="E50" t="s">
        <v>162</v>
      </c>
    </row>
    <row r="51" spans="5:5" x14ac:dyDescent="0.2">
      <c r="E51" t="s">
        <v>163</v>
      </c>
    </row>
    <row r="52" spans="5:5" x14ac:dyDescent="0.2">
      <c r="E52" t="s">
        <v>164</v>
      </c>
    </row>
    <row r="53" spans="5:5" x14ac:dyDescent="0.2">
      <c r="E53" t="s">
        <v>165</v>
      </c>
    </row>
    <row r="54" spans="5:5" x14ac:dyDescent="0.2">
      <c r="E54" t="s">
        <v>166</v>
      </c>
    </row>
    <row r="55" spans="5:5" x14ac:dyDescent="0.2">
      <c r="E55" t="s">
        <v>167</v>
      </c>
    </row>
    <row r="56" spans="5:5" x14ac:dyDescent="0.2">
      <c r="E56" t="s">
        <v>168</v>
      </c>
    </row>
    <row r="57" spans="5:5" x14ac:dyDescent="0.2">
      <c r="E57" t="s">
        <v>169</v>
      </c>
    </row>
    <row r="58" spans="5:5" x14ac:dyDescent="0.2">
      <c r="E58" t="s">
        <v>170</v>
      </c>
    </row>
    <row r="59" spans="5:5" x14ac:dyDescent="0.2">
      <c r="E59" t="s">
        <v>171</v>
      </c>
    </row>
    <row r="60" spans="5:5" x14ac:dyDescent="0.2">
      <c r="E60" t="s">
        <v>172</v>
      </c>
    </row>
    <row r="61" spans="5:5" x14ac:dyDescent="0.2">
      <c r="E61" t="s">
        <v>173</v>
      </c>
    </row>
    <row r="62" spans="5:5" x14ac:dyDescent="0.2">
      <c r="E62" t="s">
        <v>174</v>
      </c>
    </row>
    <row r="63" spans="5:5" x14ac:dyDescent="0.2">
      <c r="E63" t="s">
        <v>175</v>
      </c>
    </row>
    <row r="64" spans="5:5" x14ac:dyDescent="0.2">
      <c r="E64" t="s">
        <v>176</v>
      </c>
    </row>
    <row r="65" spans="5:5" x14ac:dyDescent="0.2">
      <c r="E65" t="s">
        <v>177</v>
      </c>
    </row>
    <row r="66" spans="5:5" x14ac:dyDescent="0.2">
      <c r="E66" t="s">
        <v>178</v>
      </c>
    </row>
    <row r="67" spans="5:5" x14ac:dyDescent="0.2">
      <c r="E67" t="s">
        <v>92</v>
      </c>
    </row>
    <row r="68" spans="5:5" x14ac:dyDescent="0.2">
      <c r="E68" t="s">
        <v>179</v>
      </c>
    </row>
    <row r="69" spans="5:5" x14ac:dyDescent="0.2">
      <c r="E69" t="s">
        <v>180</v>
      </c>
    </row>
    <row r="70" spans="5:5" x14ac:dyDescent="0.2">
      <c r="E70" t="s">
        <v>181</v>
      </c>
    </row>
    <row r="71" spans="5:5" x14ac:dyDescent="0.2">
      <c r="E71" t="s">
        <v>182</v>
      </c>
    </row>
    <row r="72" spans="5:5" x14ac:dyDescent="0.2">
      <c r="E72" t="s">
        <v>183</v>
      </c>
    </row>
    <row r="73" spans="5:5" x14ac:dyDescent="0.2">
      <c r="E73" t="s">
        <v>184</v>
      </c>
    </row>
    <row r="74" spans="5:5" x14ac:dyDescent="0.2">
      <c r="E74" t="s">
        <v>185</v>
      </c>
    </row>
    <row r="75" spans="5:5" x14ac:dyDescent="0.2">
      <c r="E75" t="s">
        <v>186</v>
      </c>
    </row>
    <row r="76" spans="5:5" x14ac:dyDescent="0.2">
      <c r="E76" t="s">
        <v>187</v>
      </c>
    </row>
    <row r="77" spans="5:5" x14ac:dyDescent="0.2">
      <c r="E77" t="s">
        <v>188</v>
      </c>
    </row>
    <row r="78" spans="5:5" x14ac:dyDescent="0.2">
      <c r="E78" t="s">
        <v>189</v>
      </c>
    </row>
    <row r="79" spans="5:5" x14ac:dyDescent="0.2">
      <c r="E79" t="s">
        <v>190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saomateus lojas</cp:lastModifiedBy>
  <cp:revision/>
  <cp:lastPrinted>2023-09-06T16:36:06Z</cp:lastPrinted>
  <dcterms:created xsi:type="dcterms:W3CDTF">2004-04-07T20:43:43Z</dcterms:created>
  <dcterms:modified xsi:type="dcterms:W3CDTF">2024-03-07T13:05:21Z</dcterms:modified>
  <cp:category/>
  <cp:contentStatus/>
</cp:coreProperties>
</file>