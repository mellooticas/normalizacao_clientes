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"/>
    </mc:Choice>
  </mc:AlternateContent>
  <xr:revisionPtr revIDLastSave="484" documentId="13_ncr:1_{7412B4C8-BAC3-4E56-8244-DAC76CBDF892}" xr6:coauthVersionLast="47" xr6:coauthVersionMax="47" xr10:uidLastSave="{5ACD2F04-85C8-4894-871A-36CE2A93E4A5}"/>
  <bookViews>
    <workbookView xWindow="-120" yWindow="330" windowWidth="29040" windowHeight="15990" tabRatio="895" activeTab="16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5">'05'!$A$1:$M$41</definedName>
    <definedName name="_xlnm.Print_Area" localSheetId="18">'18'!$A$1:$AB$41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75" l="1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 s="1"/>
  <c r="C5" i="176"/>
  <c r="C22" i="176"/>
  <c r="C5" i="180"/>
  <c r="C22" i="180"/>
  <c r="C5" i="182"/>
  <c r="C22" i="182"/>
  <c r="C5" i="183"/>
  <c r="C22" i="183"/>
  <c r="C5" i="181"/>
  <c r="C22" i="181"/>
  <c r="C5" i="179"/>
  <c r="C22" i="179"/>
  <c r="C5" i="184"/>
  <c r="C22" i="184"/>
  <c r="C5" i="185"/>
  <c r="C22" i="185"/>
  <c r="C5" i="186"/>
  <c r="C22" i="186"/>
  <c r="C5" i="187"/>
  <c r="C22" i="187"/>
  <c r="C5" i="189"/>
  <c r="C22" i="189"/>
  <c r="C5" i="190"/>
  <c r="C22" i="190"/>
  <c r="C5" i="191"/>
  <c r="C22" i="191"/>
  <c r="C5" i="188"/>
  <c r="C22" i="188"/>
  <c r="C5" i="193"/>
  <c r="C22" i="193"/>
  <c r="C5" i="195"/>
  <c r="C22" i="195"/>
  <c r="C5" i="194"/>
  <c r="C22" i="194"/>
  <c r="C5" i="197"/>
  <c r="C22" i="197"/>
  <c r="C5" i="196"/>
  <c r="C22" i="196"/>
  <c r="C5" i="192"/>
  <c r="C22" i="192"/>
  <c r="C5" i="199"/>
  <c r="C22" i="199"/>
  <c r="C5" i="198"/>
  <c r="C22" i="198"/>
  <c r="C6" i="174"/>
  <c r="C6" i="173"/>
  <c r="C6" i="172"/>
  <c r="C8" i="172"/>
  <c r="C6" i="171"/>
  <c r="C8" i="171"/>
  <c r="C6" i="170"/>
  <c r="C6" i="103"/>
  <c r="C6" i="178"/>
  <c r="C6" i="177"/>
  <c r="C6" i="176"/>
  <c r="C6" i="180"/>
  <c r="C8" i="180"/>
  <c r="C6" i="182"/>
  <c r="C6" i="183"/>
  <c r="C6" i="181"/>
  <c r="C6" i="179"/>
  <c r="C8" i="179"/>
  <c r="C6" i="184"/>
  <c r="C6" i="185"/>
  <c r="C6" i="186"/>
  <c r="C6" i="187"/>
  <c r="C8" i="187"/>
  <c r="C6" i="189"/>
  <c r="C8" i="189"/>
  <c r="C6" i="190"/>
  <c r="C8" i="190"/>
  <c r="C6" i="191"/>
  <c r="C6" i="188"/>
  <c r="C6" i="193"/>
  <c r="C6" i="195"/>
  <c r="C6" i="194"/>
  <c r="C8" i="194"/>
  <c r="C6" i="197"/>
  <c r="C8" i="197"/>
  <c r="C6" i="196"/>
  <c r="C8" i="196"/>
  <c r="C6" i="192"/>
  <c r="C6" i="199"/>
  <c r="C8" i="199"/>
  <c r="C6" i="198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/>
  <c r="R40" i="170"/>
  <c r="C16" i="175"/>
  <c r="O11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/>
  <c r="R40" i="171"/>
  <c r="B5" i="200"/>
  <c r="B3" i="200"/>
  <c r="B4" i="200"/>
  <c r="C16" i="196"/>
  <c r="O11" i="196"/>
  <c r="C16" i="189"/>
  <c r="O11" i="189"/>
  <c r="C16" i="188"/>
  <c r="O11" i="188"/>
  <c r="C16" i="185"/>
  <c r="O11" i="185"/>
  <c r="C8" i="195"/>
  <c r="C8" i="193"/>
  <c r="C8" i="178"/>
  <c r="C8" i="198"/>
  <c r="C8" i="185"/>
  <c r="C8" i="181"/>
  <c r="C8" i="170"/>
  <c r="C8" i="177"/>
  <c r="C8" i="182"/>
  <c r="C16" i="198"/>
  <c r="O11" i="198"/>
  <c r="C16" i="199"/>
  <c r="O11" i="199"/>
  <c r="C16" i="192"/>
  <c r="O11" i="192"/>
  <c r="C16" i="197"/>
  <c r="O11" i="197"/>
  <c r="C16" i="194"/>
  <c r="O11" i="194"/>
  <c r="C16" i="193"/>
  <c r="O11" i="193"/>
  <c r="C16" i="191"/>
  <c r="O11" i="191"/>
  <c r="C16" i="190"/>
  <c r="O11" i="190"/>
  <c r="C16" i="187"/>
  <c r="O11" i="187"/>
  <c r="C16" i="186"/>
  <c r="O11" i="186"/>
  <c r="C16" i="184"/>
  <c r="O11" i="184"/>
  <c r="C8" i="184"/>
  <c r="C16" i="179"/>
  <c r="O11" i="179"/>
  <c r="C16" i="181"/>
  <c r="O11" i="181"/>
  <c r="C16" i="183"/>
  <c r="O11" i="183"/>
  <c r="C16" i="182"/>
  <c r="O11" i="182"/>
  <c r="C16" i="180"/>
  <c r="O11" i="180"/>
  <c r="C16" i="176"/>
  <c r="O11" i="176"/>
  <c r="C16" i="177"/>
  <c r="O11" i="177"/>
  <c r="C16" i="178"/>
  <c r="O11" i="178"/>
  <c r="C16" i="172"/>
  <c r="O11" i="172"/>
  <c r="C16" i="173"/>
  <c r="O11" i="173"/>
  <c r="C16" i="174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/>
  <c r="C16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/>
  <c r="B1" i="195"/>
  <c r="B1" i="194"/>
  <c r="B1" i="197"/>
  <c r="B1" i="196"/>
  <c r="B1" i="192"/>
  <c r="B1" i="199"/>
  <c r="B1" i="198"/>
  <c r="B9" i="200" l="1"/>
  <c r="B13" i="200"/>
  <c r="B12" i="200"/>
  <c r="B11" i="200"/>
  <c r="B10" i="200"/>
  <c r="C16" i="195"/>
  <c r="O11" i="195" s="1"/>
  <c r="B14" i="200" l="1"/>
</calcChain>
</file>

<file path=xl/sharedStrings.xml><?xml version="1.0" encoding="utf-8"?>
<sst xmlns="http://schemas.openxmlformats.org/spreadsheetml/2006/main" count="1723" uniqueCount="177">
  <si>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</si>
  <si>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</si>
  <si>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</si>
  <si>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</si>
  <si>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</si>
  <si>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</si>
  <si>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</si>
  <si>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</si>
  <si>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</si>
  <si>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</si>
  <si>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</si>
  <si>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</si>
  <si>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</si>
  <si>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</si>
  <si>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</si>
  <si>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</si>
  <si>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</si>
  <si>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</si>
  <si>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</si>
  <si>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</si>
  <si>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</si>
  <si>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</si>
  <si>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</si>
  <si>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</si>
  <si>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</si>
  <si>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</si>
  <si>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</si>
  <si>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</si>
  <si>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</si>
  <si>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</si>
  <si>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</si>
  <si>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</si>
  <si>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</si>
  <si>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</si>
  <si>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 xml:space="preserve">cristiane braga dultra brasileiro </t>
  </si>
  <si>
    <t xml:space="preserve">geralda gomes da costa </t>
  </si>
  <si>
    <t>PARC. 6/6</t>
  </si>
  <si>
    <t>karoline dos prazeres silva</t>
  </si>
  <si>
    <t>stephanie alves fernandes</t>
  </si>
  <si>
    <t xml:space="preserve">  </t>
  </si>
  <si>
    <t>ROGERIO</t>
  </si>
  <si>
    <t>NÃO</t>
  </si>
  <si>
    <t>Não</t>
  </si>
  <si>
    <t xml:space="preserve">brian lucca garzes teixeira </t>
  </si>
  <si>
    <t xml:space="preserve">jose paulo teixeira </t>
  </si>
  <si>
    <t>ruth pineiro harzes</t>
  </si>
  <si>
    <t xml:space="preserve">ANDREIA EVARISTO BENTO </t>
  </si>
  <si>
    <t>PARC. 7/9</t>
  </si>
  <si>
    <t xml:space="preserve">sonia maria </t>
  </si>
  <si>
    <t>PARC. 5/10</t>
  </si>
  <si>
    <t>PARC. 6/10</t>
  </si>
  <si>
    <t xml:space="preserve">graziely rock da silva </t>
  </si>
  <si>
    <t xml:space="preserve">ELIAS MARTINS </t>
  </si>
  <si>
    <t>PARC. 7/10</t>
  </si>
  <si>
    <t xml:space="preserve">ELIZA SILVA VENANCIO </t>
  </si>
  <si>
    <t>GARANTIA</t>
  </si>
  <si>
    <t xml:space="preserve">MARTA SANTOS </t>
  </si>
  <si>
    <t>PARC. 1/5</t>
  </si>
  <si>
    <t>AURINO FILHO</t>
  </si>
  <si>
    <t>PARC. 5/6</t>
  </si>
  <si>
    <t xml:space="preserve">STEFANY VINCE </t>
  </si>
  <si>
    <t xml:space="preserve">MARCELI MARIA </t>
  </si>
  <si>
    <t>rogerio</t>
  </si>
  <si>
    <t>fernando silva de almeida</t>
  </si>
  <si>
    <t xml:space="preserve">LEONOR DE LIMA DE JESUS </t>
  </si>
  <si>
    <t>PARC. 3/6</t>
  </si>
  <si>
    <t>JULIETA PALMEIRA DE LIMA</t>
  </si>
  <si>
    <t xml:space="preserve">GARANTIA </t>
  </si>
  <si>
    <t>Sim</t>
  </si>
  <si>
    <t xml:space="preserve">WEVELLY </t>
  </si>
  <si>
    <t>ARIANI</t>
  </si>
  <si>
    <t xml:space="preserve">STEPHAN ALVES </t>
  </si>
  <si>
    <t xml:space="preserve">IZEDILMA PEREIRA </t>
  </si>
  <si>
    <t>PARC. 1/10</t>
  </si>
  <si>
    <t xml:space="preserve">SANDRA REGINA </t>
  </si>
  <si>
    <t>NADIR JOSÉ</t>
  </si>
  <si>
    <t xml:space="preserve">PATRICIA DE OLIVEIRA </t>
  </si>
  <si>
    <t>PARC. 3/8</t>
  </si>
  <si>
    <t xml:space="preserve">ROGÉRIO APARECIDO </t>
  </si>
  <si>
    <t xml:space="preserve">JOCIMAR CANUTO </t>
  </si>
  <si>
    <t>ROGÉRIO</t>
  </si>
  <si>
    <t xml:space="preserve">JOSINEIDE PAULINO </t>
  </si>
  <si>
    <t>PARC. 5/7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</si>
  <si>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</si>
  <si>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</si>
  <si>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</si>
  <si>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</si>
  <si>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</si>
  <si>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</si>
  <si>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</si>
  <si>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</si>
  <si>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</si>
  <si>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</si>
  <si>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</si>
  <si>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</si>
  <si>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SS</t>
  </si>
  <si>
    <t>Sem Sinal</t>
  </si>
  <si>
    <t>PARC. 3/3</t>
  </si>
  <si>
    <t xml:space="preserve">Carne </t>
  </si>
  <si>
    <t>PARC. 1/4</t>
  </si>
  <si>
    <t>Todas as Garantias</t>
  </si>
  <si>
    <t>PARC. 2/4</t>
  </si>
  <si>
    <t>PARC. 3/4</t>
  </si>
  <si>
    <t>PARC. 4/4</t>
  </si>
  <si>
    <t>PARC. 2/5</t>
  </si>
  <si>
    <t>PARC. 3/5</t>
  </si>
  <si>
    <t>PARC. 4/5</t>
  </si>
  <si>
    <t>PARC. 5/5</t>
  </si>
  <si>
    <t>PARC. 1/6</t>
  </si>
  <si>
    <t>PARC. 2/6</t>
  </si>
  <si>
    <t>PARC. 4/6</t>
  </si>
  <si>
    <t>PARC. 1/7</t>
  </si>
  <si>
    <t>PARC. 2/7</t>
  </si>
  <si>
    <t>PARC. 3/7</t>
  </si>
  <si>
    <t>PARC. 4/7</t>
  </si>
  <si>
    <t>PARC. 6/7</t>
  </si>
  <si>
    <t>PARC. 7/7</t>
  </si>
  <si>
    <t>PARC. 1/8</t>
  </si>
  <si>
    <t>PARC. 2/8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</si>
  <si>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</si>
  <si>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</si>
  <si>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</si>
  <si>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</si>
  <si>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</si>
  <si>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</si>
  <si>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</si>
  <si>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</si>
  <si>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</si>
  <si>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</si>
  <si>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</si>
  <si>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8/9</t>
  </si>
  <si>
    <t>PARC. 9/9</t>
  </si>
  <si>
    <t>PARC. 2/10</t>
  </si>
  <si>
    <t>PARC. 3/10</t>
  </si>
  <si>
    <t>PARC. 4/10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</si>
  <si>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</si>
  <si>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</si>
  <si>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</si>
  <si>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</si>
  <si>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</si>
  <si>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</si>
  <si>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</si>
  <si>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</si>
  <si>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</si>
  <si>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</si>
  <si>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</si>
  <si>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</si>
  <si>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</si>
  <si>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</si>
  <si>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</si>
  <si>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</si>
  <si>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</si>
  <si>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</si>
  <si>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</si>
  <si>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</si>
  <si>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</si>
  <si>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</si>
  <si>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</si>
  <si>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</si>
  <si>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</si>
  <si>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</si>
  <si>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SUELLEN CRISTINA </t>
  </si>
  <si>
    <t>Rogério</t>
  </si>
  <si>
    <t xml:space="preserve">PATRICIA DA SILVA </t>
  </si>
  <si>
    <t xml:space="preserve">RITA ROSA </t>
  </si>
  <si>
    <t xml:space="preserve">josé Fernandes </t>
  </si>
  <si>
    <t xml:space="preserve">JANE RODRIGUES </t>
  </si>
  <si>
    <t xml:space="preserve">ROSANA BARACHO </t>
  </si>
  <si>
    <t xml:space="preserve">Andreia Evaristo </t>
  </si>
  <si>
    <t>Clareonice De Fatima</t>
  </si>
  <si>
    <t>Fernando Augusto</t>
  </si>
  <si>
    <t xml:space="preserve">SUZANA FRANCA </t>
  </si>
  <si>
    <t xml:space="preserve">CLAUDICEIA SOARES  </t>
  </si>
  <si>
    <t xml:space="preserve">UANDERSON MARTINS </t>
  </si>
  <si>
    <t xml:space="preserve">LUCILENE PALMEIRA </t>
  </si>
  <si>
    <t xml:space="preserve">MARIANA LOPES </t>
  </si>
  <si>
    <t xml:space="preserve">EDGAR BRISOLLA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</si>
</sst>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1" fillId="0" borderId="13" xfId="39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9" fontId="31" fillId="0" borderId="17" xfId="39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0" totalsRowShown="0" headerRowDxfId="301" dataDxfId="299" headerRowBorderDxfId="300" tableBorderDxfId="298" totalsRowBorderDxfId="297">
  <autoFilter ref="E25:I30" xr:uid="{00000000-0009-0000-0100-000016000000}"/>
  <sortState xmlns:xlrd2="http://schemas.microsoft.com/office/spreadsheetml/2017/richdata2" ref="E26:I30">
    <sortCondition ref="E25:E30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3:I40" totalsRowShown="0" headerRowDxfId="283" dataDxfId="281" headerRowBorderDxfId="282" tableBorderDxfId="280" totalsRowBorderDxfId="279">
  <autoFilter ref="E33:I40" xr:uid="{B9E2F984-8588-4F2C-9FB9-680284154679}"/>
  <sortState xmlns:xlrd2="http://schemas.microsoft.com/office/spreadsheetml/2017/richdata2" ref="E34:I39">
    <sortCondition ref="E25:E30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H13" sqref="H13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88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6184.9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7156.9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75" x14ac:dyDescent="0.25">
      <c r="A6" s="28" t="s">
        <v>4</v>
      </c>
      <c r="B6" s="29">
        <f>SUM(B4:B5)</f>
        <v>7156.9</v>
      </c>
    </row>
    <row r="7" spans="1:2" ht="15" x14ac:dyDescent="0.25">
      <c r="A7" s="2"/>
      <c r="B7" s="2"/>
    </row>
    <row r="8" spans="1:2" ht="15" x14ac:dyDescent="0.2">
      <c r="A8" s="91" t="s">
        <v>5</v>
      </c>
      <c r="B8" s="91"/>
    </row>
    <row r="9" spans="1:2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1525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1005.5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250</v>
      </c>
    </row>
    <row r="12" spans="1:2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4358.8999999999996</v>
      </c>
    </row>
    <row r="13" spans="1:2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2733.89</v>
      </c>
    </row>
    <row r="14" spans="1:2" ht="15.75" x14ac:dyDescent="0.25">
      <c r="A14" s="28" t="s">
        <v>11</v>
      </c>
      <c r="B14" s="89">
        <f ca="1">SUM(B9:B13)</f>
        <v>9873.2899999999991</v>
      </c>
    </row>
    <row r="15" spans="1:2" ht="15" x14ac:dyDescent="0.25">
      <c r="A15" s="2"/>
      <c r="B15" s="2"/>
    </row>
    <row r="16" spans="1:2" ht="15" x14ac:dyDescent="0.2">
      <c r="A16" s="91" t="s">
        <v>12</v>
      </c>
      <c r="B16" s="91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</row>
    <row r="18" spans="1:2" ht="15.75" x14ac:dyDescent="0.25">
      <c r="A18" s="28" t="s">
        <v>11</v>
      </c>
      <c r="B18" s="89">
        <f>SUM(B17:B17)</f>
        <v>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view="pageBreakPreview" zoomScale="6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v>45352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disablePrompts="1"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view="pageBreakPreview" topLeftCell="A9" zoomScale="60" zoomScaleNormal="80" workbookViewId="0">
      <selection activeCell="L23" sqref="L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3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'01'!B1+1</f>
        <v>45353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255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130</v>
      </c>
      <c r="D6" s="2"/>
      <c r="E6" s="18">
        <v>1937</v>
      </c>
      <c r="F6" s="25" t="s">
        <v>34</v>
      </c>
      <c r="G6" s="46" t="s">
        <v>10</v>
      </c>
      <c r="H6" s="8">
        <v>255</v>
      </c>
      <c r="I6" s="8">
        <v>130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130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130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215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255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1695</v>
      </c>
      <c r="F35" s="25" t="s">
        <v>35</v>
      </c>
      <c r="G35" s="26" t="s">
        <v>6</v>
      </c>
      <c r="H35" s="8">
        <v>85</v>
      </c>
      <c r="I35" s="8" t="s">
        <v>36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K15" sqref="K15:M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'02'!B1+1</f>
        <v>45354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'03'!B1+1</f>
        <v>45355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488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149</v>
      </c>
      <c r="D6" s="2"/>
      <c r="E6" s="18">
        <v>1938</v>
      </c>
      <c r="F6" s="25" t="s">
        <v>37</v>
      </c>
      <c r="G6" s="46" t="s">
        <v>7</v>
      </c>
      <c r="H6" s="8">
        <v>99</v>
      </c>
      <c r="I6" s="8">
        <v>99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1939</v>
      </c>
      <c r="F7" s="25" t="s">
        <v>38</v>
      </c>
      <c r="G7" s="26" t="s">
        <v>6</v>
      </c>
      <c r="H7" s="8">
        <v>389</v>
      </c>
      <c r="I7" s="8">
        <v>50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149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 t="s">
        <v>39</v>
      </c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99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7"/>
      <c r="L15" s="68"/>
      <c r="M15" s="69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149</v>
      </c>
      <c r="D16" s="2"/>
      <c r="E16" s="18"/>
      <c r="F16" s="25"/>
      <c r="G16" s="26"/>
      <c r="H16" s="8"/>
      <c r="I16" s="8"/>
      <c r="J16" s="2"/>
      <c r="K16" s="70"/>
      <c r="L16" s="67"/>
      <c r="M16" s="69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7"/>
      <c r="L17" s="68"/>
      <c r="M17" s="69"/>
      <c r="R17" s="1">
        <f>IF(vend4[[#This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488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H10" sqref="H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'04'!B1+1</f>
        <v>45356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798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798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280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798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67</v>
      </c>
      <c r="D15" s="2"/>
      <c r="E15" s="18"/>
      <c r="F15" s="25"/>
      <c r="G15" s="26"/>
      <c r="H15" s="8"/>
      <c r="I15" s="8"/>
      <c r="J15" s="2"/>
      <c r="K15" s="25">
        <v>1934</v>
      </c>
      <c r="L15" s="9" t="s">
        <v>40</v>
      </c>
      <c r="M15" s="74" t="s">
        <v>41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1145</v>
      </c>
      <c r="D16" s="2"/>
      <c r="E16" s="18"/>
      <c r="F16" s="25"/>
      <c r="G16" s="26"/>
      <c r="H16" s="8"/>
      <c r="I16" s="8"/>
      <c r="J16" s="2"/>
      <c r="K16" s="25">
        <v>1935</v>
      </c>
      <c r="L16" s="9" t="s">
        <v>40</v>
      </c>
      <c r="M16" s="74" t="s">
        <v>41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1936</v>
      </c>
      <c r="L17" s="9" t="s">
        <v>40</v>
      </c>
      <c r="M17" s="16" t="s">
        <v>42</v>
      </c>
      <c r="R17" s="1">
        <f>IF(vend5[[#This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1934</v>
      </c>
      <c r="F26" s="25" t="s">
        <v>43</v>
      </c>
      <c r="G26" s="46" t="s">
        <v>9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1935</v>
      </c>
      <c r="F27" s="25" t="s">
        <v>44</v>
      </c>
      <c r="G27" s="46" t="s">
        <v>9</v>
      </c>
      <c r="H27" s="8">
        <v>0</v>
      </c>
      <c r="I27" s="8">
        <v>299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1936</v>
      </c>
      <c r="F28" s="25" t="s">
        <v>45</v>
      </c>
      <c r="G28" s="46" t="s">
        <v>9</v>
      </c>
      <c r="H28" s="8">
        <v>0</v>
      </c>
      <c r="I28" s="8">
        <v>299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1564</v>
      </c>
      <c r="F35" s="25" t="s">
        <v>46</v>
      </c>
      <c r="G35" s="26" t="s">
        <v>10</v>
      </c>
      <c r="H35" s="8">
        <v>67</v>
      </c>
      <c r="I35" s="8" t="s">
        <v>47</v>
      </c>
      <c r="K35" s="25"/>
      <c r="L35" s="41"/>
      <c r="M35" s="16"/>
    </row>
    <row r="36" spans="2:18" ht="15.75" x14ac:dyDescent="0.25">
      <c r="E36" s="18">
        <v>1610</v>
      </c>
      <c r="F36" s="25" t="s">
        <v>48</v>
      </c>
      <c r="G36" s="26" t="s">
        <v>6</v>
      </c>
      <c r="H36" s="8">
        <v>140</v>
      </c>
      <c r="I36" s="8" t="s">
        <v>49</v>
      </c>
      <c r="K36" s="25"/>
      <c r="L36" s="41"/>
      <c r="M36" s="16"/>
    </row>
    <row r="37" spans="2:18" ht="15.75" x14ac:dyDescent="0.25">
      <c r="E37" s="18">
        <v>1610</v>
      </c>
      <c r="F37" s="25" t="s">
        <v>48</v>
      </c>
      <c r="G37" s="26" t="s">
        <v>6</v>
      </c>
      <c r="H37" s="8">
        <v>140</v>
      </c>
      <c r="I37" s="8" t="s">
        <v>50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'05'!B1+1</f>
        <v>45357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1940</v>
      </c>
      <c r="F6" s="25" t="s">
        <v>51</v>
      </c>
      <c r="G6" s="26" t="s">
        <v>8</v>
      </c>
      <c r="H6" s="8">
        <v>250</v>
      </c>
      <c r="I6" s="8">
        <v>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 x14ac:dyDescent="0.25">
      <c r="B10" s="91" t="s">
        <v>5</v>
      </c>
      <c r="C10" s="91"/>
      <c r="D10" s="2"/>
      <c r="E10" s="66"/>
      <c r="F10" s="66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18">
        <v>1930</v>
      </c>
      <c r="L15" s="25" t="s">
        <v>40</v>
      </c>
      <c r="M15" s="16" t="s">
        <v>42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1636</v>
      </c>
      <c r="F35" s="25" t="s">
        <v>52</v>
      </c>
      <c r="G35" s="26" t="s">
        <v>10</v>
      </c>
      <c r="H35" s="8">
        <v>75</v>
      </c>
      <c r="I35" s="8" t="s">
        <v>53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topLeftCell="A13" zoomScale="80" zoomScaleNormal="80" workbookViewId="0">
      <selection activeCell="G26" sqref="G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'06'!B1+1</f>
        <v>45358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1"/>
      <c r="F6" s="49"/>
      <c r="G6" s="49"/>
      <c r="H6" s="50"/>
      <c r="I6" s="50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2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85"/>
      <c r="F26" s="71"/>
      <c r="G26" s="86"/>
      <c r="H26" s="87"/>
      <c r="I26" s="87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80" zoomScaleNormal="80" workbookViewId="0">
      <selection activeCell="I29" sqref="I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'07'!B1+1</f>
        <v>45359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180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180</v>
      </c>
      <c r="D6" s="2"/>
      <c r="E6" s="56">
        <v>1941</v>
      </c>
      <c r="F6" s="8" t="s">
        <v>54</v>
      </c>
      <c r="G6" s="8" t="s">
        <v>9</v>
      </c>
      <c r="H6" s="8">
        <v>180</v>
      </c>
      <c r="I6" s="8">
        <v>180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180</v>
      </c>
      <c r="D8" s="2"/>
      <c r="E8" s="5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180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133.38999999999999</v>
      </c>
      <c r="D15" s="2"/>
      <c r="E15" s="18"/>
      <c r="F15" s="25"/>
      <c r="G15" s="26"/>
      <c r="H15" s="8"/>
      <c r="I15" s="8"/>
      <c r="J15" s="2"/>
      <c r="K15" s="25">
        <v>1913</v>
      </c>
      <c r="L15" s="9" t="s">
        <v>55</v>
      </c>
      <c r="M15" s="16" t="s">
        <v>42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313.39</v>
      </c>
      <c r="D16" s="2"/>
      <c r="E16" s="18"/>
      <c r="F16" s="25"/>
      <c r="G16" s="26"/>
      <c r="H16" s="8"/>
      <c r="I16" s="8"/>
      <c r="J16" s="2"/>
      <c r="K16" s="25">
        <v>1941</v>
      </c>
      <c r="L16" s="9" t="s">
        <v>40</v>
      </c>
      <c r="M16" s="16" t="s">
        <v>42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/>
      <c r="F26" s="71"/>
      <c r="G26" s="86"/>
      <c r="H26" s="87"/>
      <c r="I26" s="87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1887</v>
      </c>
      <c r="F35" s="25" t="s">
        <v>56</v>
      </c>
      <c r="G35" s="26" t="s">
        <v>10</v>
      </c>
      <c r="H35" s="8">
        <v>50</v>
      </c>
      <c r="I35" s="8" t="s">
        <v>57</v>
      </c>
      <c r="K35" s="25"/>
      <c r="L35" s="41"/>
      <c r="M35" s="16"/>
    </row>
    <row r="36" spans="2:18" ht="15.75" x14ac:dyDescent="0.25">
      <c r="E36" s="18">
        <v>1724</v>
      </c>
      <c r="F36" s="25" t="s">
        <v>58</v>
      </c>
      <c r="G36" s="26" t="s">
        <v>10</v>
      </c>
      <c r="H36" s="8">
        <v>83.39</v>
      </c>
      <c r="I36" s="8" t="s">
        <v>59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topLeftCell="A2" zoomScale="80" zoomScaleNormal="80" workbookViewId="0">
      <selection activeCell="G29" sqref="G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'08'!B1+1</f>
        <v>45360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1009.9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1409.9</v>
      </c>
      <c r="D6" s="2"/>
      <c r="E6" s="18">
        <v>1942</v>
      </c>
      <c r="F6" s="25" t="s">
        <v>60</v>
      </c>
      <c r="G6" s="46" t="s">
        <v>9</v>
      </c>
      <c r="H6" s="8">
        <v>509.9</v>
      </c>
      <c r="I6" s="8">
        <v>509.9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1943</v>
      </c>
      <c r="F7" s="25" t="s">
        <v>61</v>
      </c>
      <c r="G7" s="46" t="s">
        <v>10</v>
      </c>
      <c r="H7" s="8">
        <v>500</v>
      </c>
      <c r="I7" s="8">
        <v>500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21</v>
      </c>
      <c r="C8" s="29">
        <f>SUM(C6:C7)</f>
        <v>1409.9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509.9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500</v>
      </c>
      <c r="D15" s="2"/>
      <c r="E15" s="18"/>
      <c r="F15" s="25"/>
      <c r="G15" s="26"/>
      <c r="H15" s="8"/>
      <c r="I15" s="8"/>
      <c r="J15" s="2"/>
      <c r="K15" s="25">
        <v>1927</v>
      </c>
      <c r="L15" s="9" t="s">
        <v>62</v>
      </c>
      <c r="M15" s="16" t="s">
        <v>42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1409.9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1009.9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1927</v>
      </c>
      <c r="F26" s="25" t="s">
        <v>63</v>
      </c>
      <c r="G26" s="46" t="s">
        <v>6</v>
      </c>
      <c r="H26" s="8">
        <v>0</v>
      </c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I41" sqref="E36:I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'09'!B1+1</f>
        <v>45361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74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93" t="s">
        <v>12</v>
      </c>
      <c r="L33" s="94"/>
      <c r="M33" s="95"/>
    </row>
    <row r="34" spans="2:18" ht="15" x14ac:dyDescent="0.25">
      <c r="E34" s="92" t="s">
        <v>28</v>
      </c>
      <c r="F34" s="92"/>
      <c r="G34" s="92"/>
      <c r="H34" s="92"/>
      <c r="I34" s="92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A46" sqref="A4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'10'!B1+1</f>
        <v>45362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'11'!B1+1</f>
        <v>45363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7"/>
      <c r="F6" s="58"/>
      <c r="G6" s="58"/>
      <c r="H6" s="59"/>
      <c r="I6" s="5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0"/>
      <c r="F7" s="61"/>
      <c r="G7" s="61"/>
      <c r="H7" s="62"/>
      <c r="I7" s="6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4"/>
      <c r="F8" s="61"/>
      <c r="G8" s="61"/>
      <c r="H8" s="62"/>
      <c r="I8" s="6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63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1811</v>
      </c>
      <c r="F35" s="25" t="s">
        <v>64</v>
      </c>
      <c r="G35" s="26" t="s">
        <v>6</v>
      </c>
      <c r="H35" s="8">
        <v>200</v>
      </c>
      <c r="I35" s="8" t="s">
        <v>65</v>
      </c>
      <c r="K35" s="25"/>
      <c r="L35" s="41"/>
      <c r="M35" s="16"/>
    </row>
    <row r="36" spans="2:18" ht="15.75" x14ac:dyDescent="0.25">
      <c r="E36" s="18">
        <v>1813</v>
      </c>
      <c r="F36" s="25" t="s">
        <v>66</v>
      </c>
      <c r="G36" s="26" t="s">
        <v>6</v>
      </c>
      <c r="H36" s="8">
        <v>100</v>
      </c>
      <c r="I36" s="8" t="s">
        <v>65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'12'!B1+1</f>
        <v>45364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339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339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1923</v>
      </c>
      <c r="L15" s="9" t="s">
        <v>67</v>
      </c>
      <c r="M15" s="16" t="s">
        <v>68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389</v>
      </c>
      <c r="D16" s="2"/>
      <c r="E16" s="18"/>
      <c r="F16" s="25"/>
      <c r="G16" s="26"/>
      <c r="H16" s="8"/>
      <c r="I16" s="8"/>
      <c r="J16" s="2"/>
      <c r="K16" s="25">
        <v>1869</v>
      </c>
      <c r="L16" s="9" t="s">
        <v>69</v>
      </c>
      <c r="M16" s="16" t="s">
        <v>68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1939</v>
      </c>
      <c r="L17" s="9" t="s">
        <v>70</v>
      </c>
      <c r="M17" s="16" t="s">
        <v>42</v>
      </c>
      <c r="R17" s="1">
        <f>IF(vend13[[#This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1939</v>
      </c>
      <c r="F26" s="25" t="s">
        <v>71</v>
      </c>
      <c r="G26" s="26" t="s">
        <v>9</v>
      </c>
      <c r="H26" s="8"/>
      <c r="I26" s="8">
        <v>339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B35" s="1">
        <v>3</v>
      </c>
      <c r="E35" s="18">
        <v>1869</v>
      </c>
      <c r="F35" s="25" t="s">
        <v>72</v>
      </c>
      <c r="G35" s="26" t="s">
        <v>7</v>
      </c>
      <c r="H35" s="8">
        <v>50</v>
      </c>
      <c r="I35" s="8" t="s">
        <v>73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'13'!B1+1</f>
        <v>45365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599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599</v>
      </c>
      <c r="D6" s="2"/>
      <c r="E6" s="18">
        <v>1944</v>
      </c>
      <c r="F6" s="25" t="s">
        <v>74</v>
      </c>
      <c r="G6" s="46" t="s">
        <v>9</v>
      </c>
      <c r="H6" s="8">
        <v>599</v>
      </c>
      <c r="I6" s="8">
        <v>599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599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599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599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8" zoomScale="80" zoomScaleNormal="80" workbookViewId="0">
      <selection activeCell="G20" sqref="G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'14'!B1+1</f>
        <v>45366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abSelected="1" topLeftCell="A16" zoomScale="80" zoomScaleNormal="8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'15'!B1+1</f>
        <v>45367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499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499</v>
      </c>
      <c r="D6" s="2"/>
      <c r="E6" s="18">
        <v>1945</v>
      </c>
      <c r="F6" s="25" t="s">
        <v>75</v>
      </c>
      <c r="G6" s="46" t="s">
        <v>9</v>
      </c>
      <c r="H6" s="8">
        <v>499</v>
      </c>
      <c r="I6" s="8">
        <v>499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499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499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574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1810</v>
      </c>
      <c r="F35" s="25" t="s">
        <v>76</v>
      </c>
      <c r="G35" s="26" t="s">
        <v>10</v>
      </c>
      <c r="H35" s="8">
        <v>75</v>
      </c>
      <c r="I35" s="8" t="s">
        <v>77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1" zoomScale="80" zoomScaleNormal="80" workbookViewId="0">
      <selection activeCell="E35" sqref="E35: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'16'!B1+1</f>
        <v>45368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'17'!B1+1</f>
        <v>45369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170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170</v>
      </c>
      <c r="D6" s="2"/>
      <c r="E6" s="18">
        <v>1946</v>
      </c>
      <c r="F6" s="25" t="s">
        <v>78</v>
      </c>
      <c r="G6" s="26" t="s">
        <v>10</v>
      </c>
      <c r="H6" s="83">
        <v>20</v>
      </c>
      <c r="I6" s="8">
        <v>20</v>
      </c>
      <c r="J6" s="2"/>
      <c r="K6" s="25"/>
      <c r="L6" s="77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1947</v>
      </c>
      <c r="F7" s="25" t="s">
        <v>79</v>
      </c>
      <c r="G7" s="26" t="s">
        <v>6</v>
      </c>
      <c r="H7" s="83">
        <v>150</v>
      </c>
      <c r="I7" s="8">
        <v>150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21</v>
      </c>
      <c r="C8" s="29">
        <f>SUM(C6:C7)</f>
        <v>170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>
        <v>1947</v>
      </c>
      <c r="L15" s="9" t="s">
        <v>40</v>
      </c>
      <c r="M15" s="16" t="s">
        <v>42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170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75"/>
      <c r="F23" s="75"/>
      <c r="G23" s="75"/>
      <c r="H23" s="76"/>
      <c r="I23" s="76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zoomScale="80" zoomScaleNormal="80" workbookViewId="0">
      <selection activeCell="E24" sqref="E24:I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'18'!B1+1</f>
        <v>45370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7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137.5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1943</v>
      </c>
      <c r="L15" s="9" t="s">
        <v>80</v>
      </c>
      <c r="M15" s="16" t="s">
        <v>42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137.5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1580</v>
      </c>
      <c r="F35" s="25" t="s">
        <v>81</v>
      </c>
      <c r="G35" s="26" t="s">
        <v>7</v>
      </c>
      <c r="H35" s="8">
        <v>137.5</v>
      </c>
      <c r="I35" s="8" t="s">
        <v>82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G30" sqref="G3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'19'!B1+1</f>
        <v>45371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699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699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699</v>
      </c>
      <c r="D12" s="2"/>
      <c r="E12" s="18"/>
      <c r="F12" s="25"/>
      <c r="G12" s="26"/>
      <c r="H12" s="8"/>
      <c r="I12" s="47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72">
        <v>1921</v>
      </c>
      <c r="L15" s="9" t="s">
        <v>162</v>
      </c>
      <c r="M15" s="16" t="s">
        <v>42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839</v>
      </c>
      <c r="D16" s="2"/>
      <c r="E16" s="18"/>
      <c r="F16" s="25"/>
      <c r="G16" s="26"/>
      <c r="H16" s="8"/>
      <c r="I16" s="8"/>
      <c r="J16" s="2"/>
      <c r="K16" s="72">
        <v>1942</v>
      </c>
      <c r="L16" s="79" t="s">
        <v>162</v>
      </c>
      <c r="M16" s="80" t="s">
        <v>42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1921</v>
      </c>
      <c r="F26" s="25" t="s">
        <v>163</v>
      </c>
      <c r="G26" s="26" t="s">
        <v>7</v>
      </c>
      <c r="H26" s="8"/>
      <c r="I26" s="8">
        <v>699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1845</v>
      </c>
      <c r="F35" s="25" t="s">
        <v>161</v>
      </c>
      <c r="G35" s="26" t="s">
        <v>10</v>
      </c>
      <c r="H35" s="8">
        <v>140</v>
      </c>
      <c r="I35" s="8" t="s">
        <v>105</v>
      </c>
      <c r="K35" s="25"/>
      <c r="L35" s="41"/>
      <c r="M35" s="80"/>
    </row>
    <row r="36" spans="2:18" ht="15.75" x14ac:dyDescent="0.25">
      <c r="E36" s="18"/>
      <c r="F36" s="25"/>
      <c r="G36" s="26"/>
      <c r="H36" s="8"/>
      <c r="I36" s="8"/>
      <c r="K36" s="72"/>
      <c r="L36" s="81"/>
      <c r="M36" s="80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E16" sqref="E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'20'!B1+1</f>
        <v>45372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110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1905</v>
      </c>
      <c r="F35" s="25" t="s">
        <v>164</v>
      </c>
      <c r="G35" s="26" t="s">
        <v>6</v>
      </c>
      <c r="H35" s="8">
        <v>110</v>
      </c>
      <c r="I35" s="8" t="s">
        <v>57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B1" zoomScale="80" zoomScaleNormal="80" workbookViewId="0">
      <selection activeCell="I13" sqref="I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'21'!B1+1</f>
        <v>45373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185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185</v>
      </c>
      <c r="D6" s="2"/>
      <c r="E6" s="18">
        <v>1948</v>
      </c>
      <c r="F6" s="25" t="s">
        <v>166</v>
      </c>
      <c r="G6" s="26" t="s">
        <v>9</v>
      </c>
      <c r="H6" s="8">
        <v>185</v>
      </c>
      <c r="I6" s="8">
        <v>185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185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185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107.5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292.5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185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1800</v>
      </c>
      <c r="F35" s="25" t="s">
        <v>165</v>
      </c>
      <c r="G35" s="26" t="s">
        <v>10</v>
      </c>
      <c r="H35" s="8">
        <v>107.5</v>
      </c>
      <c r="I35" s="8" t="s">
        <v>49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3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'22'!B1+1</f>
        <v>45374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129</v>
      </c>
      <c r="D15" s="2"/>
      <c r="E15" s="18"/>
      <c r="F15" s="25"/>
      <c r="G15" s="26"/>
      <c r="H15" s="8"/>
      <c r="I15" s="8"/>
      <c r="J15" s="2"/>
      <c r="K15" s="25">
        <v>1946</v>
      </c>
      <c r="L15" s="9" t="s">
        <v>80</v>
      </c>
      <c r="M15" s="16" t="s">
        <v>42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129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1734</v>
      </c>
      <c r="F35" s="25" t="s">
        <v>167</v>
      </c>
      <c r="G35" s="26" t="s">
        <v>10</v>
      </c>
      <c r="H35" s="8">
        <v>129</v>
      </c>
      <c r="I35" s="8" t="s">
        <v>115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'23'!B1+1</f>
        <v>45375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H50" sqref="H5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'24'!B1+1</f>
        <v>45376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20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300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320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1564</v>
      </c>
      <c r="F35" s="25" t="s">
        <v>168</v>
      </c>
      <c r="G35" s="26" t="s">
        <v>10</v>
      </c>
      <c r="H35" s="84">
        <v>67</v>
      </c>
      <c r="I35" s="8" t="s">
        <v>130</v>
      </c>
      <c r="K35" s="25"/>
      <c r="L35" s="41"/>
      <c r="M35" s="16"/>
    </row>
    <row r="36" spans="2:18" ht="15.75" x14ac:dyDescent="0.25">
      <c r="E36" s="18">
        <v>1870</v>
      </c>
      <c r="F36" s="25" t="s">
        <v>169</v>
      </c>
      <c r="G36" s="26" t="s">
        <v>7</v>
      </c>
      <c r="H36" s="8">
        <v>300</v>
      </c>
      <c r="I36" s="8" t="s">
        <v>102</v>
      </c>
      <c r="K36" s="25"/>
      <c r="L36" s="41"/>
      <c r="M36" s="16"/>
    </row>
    <row r="37" spans="2:18" ht="15.75" x14ac:dyDescent="0.25">
      <c r="E37" s="18">
        <v>1870</v>
      </c>
      <c r="F37" s="25" t="s">
        <v>169</v>
      </c>
      <c r="G37" s="26" t="s">
        <v>6</v>
      </c>
      <c r="H37" s="8">
        <v>20</v>
      </c>
      <c r="I37" s="8" t="s">
        <v>102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2" zoomScale="80" zoomScaleNormal="80" workbookViewId="0">
      <selection activeCell="H20" sqref="H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'25'!B1+1</f>
        <v>45377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SUMIF(I6:I30,"&gt;0",H6:H30)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SUM(I6:I40)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(SUMIF($G$2:$G$30,B11,$I$2:$I$30))+(SUMIF($G$34:$G$40,B11,$H$34:$H$40))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>(SUMIF($G$2:$G$30,B12,$I$2:$I$30))+(SUMIF($G$34:$G$40,B12,$H$34:$H$40))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>(SUMIF($G$2:$G$30,B13,$I$2:$I$30))+(SUMIF($G$34:$G$40,B13,$H$34:$H$40))</f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>(SUMIF($G$2:$G$30,B14,$I$2:$I$30))+(SUMIF($G$34:$G$40,B14,$H$34:$H$40))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>(SUMIF($G$2:$G$30,B15,$I$2:$I$30))+(SUMIF($G$34:$G$40,B15,$H$34:$H$40))</f>
        <v>174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324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90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39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" x14ac:dyDescent="0.25">
      <c r="B31" s="2"/>
      <c r="C31" s="2"/>
      <c r="D31" s="2"/>
      <c r="E31" s="33"/>
      <c r="J31" s="2"/>
      <c r="K31" s="25"/>
      <c r="L31" s="9"/>
      <c r="M31" s="16"/>
    </row>
    <row r="32" spans="2:18" ht="15" x14ac:dyDescent="0.25">
      <c r="B32" s="2"/>
      <c r="C32" s="2"/>
      <c r="E32" s="92" t="s">
        <v>28</v>
      </c>
      <c r="F32" s="92"/>
      <c r="G32" s="92"/>
      <c r="H32" s="92"/>
      <c r="I32" s="92"/>
    </row>
    <row r="33" spans="2:18" ht="15" x14ac:dyDescent="0.25">
      <c r="B33" s="2"/>
      <c r="C33" s="2"/>
      <c r="E33" s="10" t="s">
        <v>23</v>
      </c>
      <c r="F33" s="10" t="s">
        <v>15</v>
      </c>
      <c r="G33" s="11" t="s">
        <v>16</v>
      </c>
      <c r="H33" s="12" t="s">
        <v>29</v>
      </c>
      <c r="I33" s="13" t="s">
        <v>30</v>
      </c>
      <c r="K33" s="93" t="s">
        <v>12</v>
      </c>
      <c r="L33" s="94"/>
      <c r="M33" s="95"/>
    </row>
    <row r="34" spans="2:18" ht="15.75" x14ac:dyDescent="0.25">
      <c r="E34" s="18">
        <v>1661</v>
      </c>
      <c r="F34" s="25" t="s">
        <v>170</v>
      </c>
      <c r="G34" s="26" t="s">
        <v>6</v>
      </c>
      <c r="H34" s="8">
        <v>108</v>
      </c>
      <c r="I34" s="8" t="s">
        <v>105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1661</v>
      </c>
      <c r="F35" s="25" t="s">
        <v>170</v>
      </c>
      <c r="G35" s="26" t="s">
        <v>6</v>
      </c>
      <c r="H35" s="8">
        <v>42</v>
      </c>
      <c r="I35" s="8" t="s">
        <v>106</v>
      </c>
      <c r="K35" s="25"/>
      <c r="L35" s="41"/>
      <c r="M35" s="16"/>
    </row>
    <row r="36" spans="2:18" ht="15.75" x14ac:dyDescent="0.25">
      <c r="E36" s="18">
        <v>1661</v>
      </c>
      <c r="F36" s="25" t="s">
        <v>170</v>
      </c>
      <c r="G36" s="26" t="s">
        <v>10</v>
      </c>
      <c r="H36" s="8">
        <v>66</v>
      </c>
      <c r="I36" s="8" t="s">
        <v>106</v>
      </c>
      <c r="K36" s="25"/>
      <c r="L36" s="41"/>
      <c r="M36" s="16"/>
    </row>
    <row r="37" spans="2:18" ht="15.75" x14ac:dyDescent="0.25">
      <c r="E37" s="18">
        <v>1661</v>
      </c>
      <c r="F37" s="25" t="s">
        <v>170</v>
      </c>
      <c r="G37" s="26" t="s">
        <v>10</v>
      </c>
      <c r="H37" s="8">
        <v>108</v>
      </c>
      <c r="I37" s="8" t="s">
        <v>107</v>
      </c>
      <c r="K37" s="25"/>
      <c r="L37" s="41"/>
      <c r="M37" s="16"/>
    </row>
    <row r="38" spans="2:18" ht="15.75" x14ac:dyDescent="0.25">
      <c r="E38" s="18"/>
      <c r="F38" s="39"/>
      <c r="G38" s="26"/>
      <c r="H38" s="8"/>
      <c r="I38" s="8"/>
      <c r="K38" s="25"/>
      <c r="L38" s="41"/>
      <c r="M38" s="16"/>
    </row>
    <row r="39" spans="2:18" ht="15.75" x14ac:dyDescent="0.25">
      <c r="E39" s="35"/>
      <c r="F39" s="36"/>
      <c r="G39" s="37"/>
      <c r="H39" s="17"/>
      <c r="I39" s="8"/>
      <c r="K39" s="25"/>
      <c r="L39" s="41"/>
      <c r="M39" s="16"/>
    </row>
    <row r="40" spans="2:18" ht="15.75" x14ac:dyDescent="0.25">
      <c r="E40" s="43"/>
      <c r="F40" s="39"/>
      <c r="G40" s="26"/>
      <c r="H40" s="8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" x14ac:dyDescent="0.25">
      <c r="K41" s="44"/>
      <c r="L41" s="41"/>
      <c r="M41" s="40"/>
    </row>
  </sheetData>
  <mergeCells count="9">
    <mergeCell ref="E24:I24"/>
    <mergeCell ref="E32:I32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G34:G40 G26:G30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I34:I40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H10" sqref="H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'26'!B1+1</f>
        <v>45378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1949</v>
      </c>
      <c r="F6" s="25" t="s">
        <v>171</v>
      </c>
      <c r="G6" s="26" t="s">
        <v>9</v>
      </c>
      <c r="H6" s="8">
        <v>150</v>
      </c>
      <c r="I6" s="8">
        <v>150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150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7" zoomScale="80" zoomScaleNormal="80" workbookViewId="0">
      <selection activeCell="V11" sqref="V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'27'!B1+1</f>
        <v>45379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1599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1599</v>
      </c>
      <c r="D6" s="2"/>
      <c r="E6" s="18">
        <v>1950</v>
      </c>
      <c r="F6" s="25" t="s">
        <v>173</v>
      </c>
      <c r="G6" s="26" t="s">
        <v>9</v>
      </c>
      <c r="H6" s="8">
        <v>499</v>
      </c>
      <c r="I6" s="8">
        <v>499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1951</v>
      </c>
      <c r="F7" s="25" t="s">
        <v>175</v>
      </c>
      <c r="G7" s="26" t="s">
        <v>9</v>
      </c>
      <c r="H7" s="8">
        <v>600</v>
      </c>
      <c r="I7" s="8">
        <v>600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21</v>
      </c>
      <c r="C8" s="29">
        <f>SUM(C6:C7)</f>
        <v>1599</v>
      </c>
      <c r="D8" s="2"/>
      <c r="E8" s="18">
        <v>1952</v>
      </c>
      <c r="F8" s="25" t="s">
        <v>175</v>
      </c>
      <c r="G8" s="26" t="s">
        <v>10</v>
      </c>
      <c r="H8" s="8">
        <v>500</v>
      </c>
      <c r="I8" s="8">
        <v>500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1099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693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1792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1599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1830</v>
      </c>
      <c r="F35" s="25" t="s">
        <v>172</v>
      </c>
      <c r="G35" s="26" t="s">
        <v>10</v>
      </c>
      <c r="H35" s="8">
        <v>96.5</v>
      </c>
      <c r="I35" s="8" t="s">
        <v>109</v>
      </c>
      <c r="K35" s="25"/>
      <c r="L35" s="41"/>
      <c r="M35" s="16"/>
    </row>
    <row r="36" spans="2:18" ht="15.75" x14ac:dyDescent="0.25">
      <c r="E36" s="18">
        <v>1830</v>
      </c>
      <c r="F36" s="25" t="s">
        <v>172</v>
      </c>
      <c r="G36" s="26" t="s">
        <v>10</v>
      </c>
      <c r="H36" s="8">
        <v>96.5</v>
      </c>
      <c r="I36" s="8" t="s">
        <v>65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7" zoomScale="80" zoomScaleNormal="80" workbookViewId="0">
      <selection activeCell="K15" sqref="K15:M19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3">
        <f>'28'!B1+1</f>
        <v>45380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72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72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72"/>
      <c r="L17" s="9"/>
      <c r="M17" s="16"/>
      <c r="R17" s="1">
        <f>IF(vend29[[#This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topLeftCell="A17" zoomScale="80" zoomScaleNormal="8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'29'!B1+1</f>
        <v>45381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1953</v>
      </c>
      <c r="F6" s="25" t="s">
        <v>176</v>
      </c>
      <c r="G6" s="26" t="s">
        <v>8</v>
      </c>
      <c r="H6" s="8">
        <v>800</v>
      </c>
      <c r="I6" s="8">
        <v>200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190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390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1812</v>
      </c>
      <c r="F35" s="25" t="s">
        <v>174</v>
      </c>
      <c r="G35" s="26" t="s">
        <v>10</v>
      </c>
      <c r="H35" s="8">
        <v>190</v>
      </c>
      <c r="I35" s="8" t="s">
        <v>65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12" zoomScale="80" zoomScaleNormal="80" workbookViewId="0">
      <selection activeCell="E35" sqref="E35: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'30'!B1+1</f>
        <v>45382</v>
      </c>
    </row>
    <row r="2" spans="2:18" ht="18.75" x14ac:dyDescent="0.2">
      <c r="B2" s="96" t="s">
        <v>13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9" t="s">
        <v>1</v>
      </c>
      <c r="F4" s="99"/>
      <c r="G4" s="99"/>
      <c r="H4" s="99"/>
      <c r="I4" s="99"/>
      <c r="J4" s="22"/>
      <c r="K4" s="93" t="s">
        <v>3</v>
      </c>
      <c r="L4" s="94"/>
      <c r="M4" s="9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91" t="s">
        <v>5</v>
      </c>
      <c r="C10" s="9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3" t="s">
        <v>22</v>
      </c>
      <c r="L13" s="94"/>
      <c r="M13" s="95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91" t="s">
        <v>12</v>
      </c>
      <c r="C18" s="9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2" t="s">
        <v>27</v>
      </c>
      <c r="F24" s="92"/>
      <c r="G24" s="92"/>
      <c r="H24" s="92"/>
      <c r="I24" s="9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2" t="s">
        <v>28</v>
      </c>
      <c r="F33" s="92"/>
      <c r="G33" s="92"/>
      <c r="H33" s="92"/>
      <c r="I33" s="92"/>
      <c r="K33" s="93" t="s">
        <v>12</v>
      </c>
      <c r="L33" s="94"/>
      <c r="M33" s="9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83</v>
      </c>
      <c r="B1" s="38" t="s">
        <v>84</v>
      </c>
      <c r="E1" s="38" t="s">
        <v>85</v>
      </c>
    </row>
    <row r="2" spans="1:5" x14ac:dyDescent="0.2">
      <c r="A2" s="38" t="s">
        <v>6</v>
      </c>
      <c r="B2" s="38" t="s">
        <v>86</v>
      </c>
      <c r="E2" t="s">
        <v>87</v>
      </c>
    </row>
    <row r="3" spans="1:5" x14ac:dyDescent="0.2">
      <c r="A3" s="38" t="s">
        <v>7</v>
      </c>
      <c r="B3" s="38" t="s">
        <v>88</v>
      </c>
      <c r="E3" t="s">
        <v>89</v>
      </c>
    </row>
    <row r="4" spans="1:5" x14ac:dyDescent="0.2">
      <c r="A4" s="38" t="s">
        <v>8</v>
      </c>
      <c r="B4" s="38" t="s">
        <v>90</v>
      </c>
      <c r="E4" t="s">
        <v>91</v>
      </c>
    </row>
    <row r="5" spans="1:5" x14ac:dyDescent="0.2">
      <c r="A5" s="38" t="s">
        <v>9</v>
      </c>
      <c r="B5" s="38" t="s">
        <v>92</v>
      </c>
      <c r="E5" t="s">
        <v>93</v>
      </c>
    </row>
    <row r="6" spans="1:5" x14ac:dyDescent="0.2">
      <c r="A6" s="38" t="s">
        <v>10</v>
      </c>
      <c r="B6" s="38" t="s">
        <v>10</v>
      </c>
      <c r="E6" t="s">
        <v>94</v>
      </c>
    </row>
    <row r="7" spans="1:5" x14ac:dyDescent="0.2">
      <c r="A7" s="38" t="s">
        <v>95</v>
      </c>
      <c r="B7" s="38" t="s">
        <v>96</v>
      </c>
      <c r="E7" t="s">
        <v>97</v>
      </c>
    </row>
    <row r="8" spans="1:5" x14ac:dyDescent="0.2">
      <c r="A8" t="s">
        <v>25</v>
      </c>
      <c r="B8" t="s">
        <v>98</v>
      </c>
      <c r="E8" t="s">
        <v>99</v>
      </c>
    </row>
    <row r="9" spans="1:5" x14ac:dyDescent="0.2">
      <c r="A9" s="38" t="s">
        <v>55</v>
      </c>
      <c r="B9" s="38" t="s">
        <v>100</v>
      </c>
      <c r="E9" t="s">
        <v>101</v>
      </c>
    </row>
    <row r="10" spans="1:5" x14ac:dyDescent="0.2">
      <c r="E10" t="s">
        <v>102</v>
      </c>
    </row>
    <row r="11" spans="1:5" x14ac:dyDescent="0.2">
      <c r="E11" t="s">
        <v>103</v>
      </c>
    </row>
    <row r="12" spans="1:5" x14ac:dyDescent="0.2">
      <c r="E12" t="s">
        <v>57</v>
      </c>
    </row>
    <row r="13" spans="1:5" x14ac:dyDescent="0.2">
      <c r="E13" t="s">
        <v>104</v>
      </c>
    </row>
    <row r="14" spans="1:5" x14ac:dyDescent="0.2">
      <c r="E14" t="s">
        <v>105</v>
      </c>
    </row>
    <row r="15" spans="1:5" x14ac:dyDescent="0.2">
      <c r="E15" t="s">
        <v>106</v>
      </c>
    </row>
    <row r="16" spans="1:5" x14ac:dyDescent="0.2">
      <c r="E16" t="s">
        <v>107</v>
      </c>
    </row>
    <row r="17" spans="5:5" x14ac:dyDescent="0.2">
      <c r="E17" t="s">
        <v>108</v>
      </c>
    </row>
    <row r="18" spans="5:5" x14ac:dyDescent="0.2">
      <c r="E18" t="s">
        <v>109</v>
      </c>
    </row>
    <row r="19" spans="5:5" x14ac:dyDescent="0.2">
      <c r="E19" t="s">
        <v>65</v>
      </c>
    </row>
    <row r="20" spans="5:5" x14ac:dyDescent="0.2">
      <c r="E20" t="s">
        <v>110</v>
      </c>
    </row>
    <row r="21" spans="5:5" x14ac:dyDescent="0.2">
      <c r="E21" t="s">
        <v>59</v>
      </c>
    </row>
    <row r="22" spans="5:5" x14ac:dyDescent="0.2">
      <c r="E22" t="s">
        <v>36</v>
      </c>
    </row>
    <row r="23" spans="5:5" x14ac:dyDescent="0.2">
      <c r="E23" t="s">
        <v>111</v>
      </c>
    </row>
    <row r="24" spans="5:5" x14ac:dyDescent="0.2">
      <c r="E24" t="s">
        <v>112</v>
      </c>
    </row>
    <row r="25" spans="5:5" x14ac:dyDescent="0.2">
      <c r="E25" t="s">
        <v>113</v>
      </c>
    </row>
    <row r="26" spans="5:5" x14ac:dyDescent="0.2">
      <c r="E26" t="s">
        <v>114</v>
      </c>
    </row>
    <row r="27" spans="5:5" x14ac:dyDescent="0.2">
      <c r="E27" t="s">
        <v>82</v>
      </c>
    </row>
    <row r="28" spans="5:5" x14ac:dyDescent="0.2">
      <c r="E28" t="s">
        <v>115</v>
      </c>
    </row>
    <row r="29" spans="5:5" x14ac:dyDescent="0.2">
      <c r="E29" t="s">
        <v>116</v>
      </c>
    </row>
    <row r="30" spans="5:5" x14ac:dyDescent="0.2">
      <c r="E30" t="s">
        <v>117</v>
      </c>
    </row>
    <row r="31" spans="5:5" x14ac:dyDescent="0.2">
      <c r="E31" t="s">
        <v>118</v>
      </c>
    </row>
    <row r="32" spans="5:5" x14ac:dyDescent="0.2">
      <c r="E32" t="s">
        <v>77</v>
      </c>
    </row>
    <row r="33" spans="5:5" x14ac:dyDescent="0.2">
      <c r="E33" t="s">
        <v>119</v>
      </c>
    </row>
    <row r="34" spans="5:5" x14ac:dyDescent="0.2">
      <c r="E34" t="s">
        <v>120</v>
      </c>
    </row>
    <row r="35" spans="5:5" x14ac:dyDescent="0.2">
      <c r="E35" t="s">
        <v>121</v>
      </c>
    </row>
    <row r="36" spans="5:5" x14ac:dyDescent="0.2">
      <c r="E36" t="s">
        <v>122</v>
      </c>
    </row>
    <row r="37" spans="5:5" x14ac:dyDescent="0.2">
      <c r="E37" t="s">
        <v>123</v>
      </c>
    </row>
    <row r="38" spans="5:5" x14ac:dyDescent="0.2">
      <c r="E38" t="s">
        <v>124</v>
      </c>
    </row>
    <row r="39" spans="5:5" x14ac:dyDescent="0.2">
      <c r="E39" t="s">
        <v>125</v>
      </c>
    </row>
    <row r="40" spans="5:5" x14ac:dyDescent="0.2">
      <c r="E40" t="s">
        <v>126</v>
      </c>
    </row>
    <row r="41" spans="5:5" x14ac:dyDescent="0.2">
      <c r="E41" t="s">
        <v>127</v>
      </c>
    </row>
    <row r="42" spans="5:5" x14ac:dyDescent="0.2">
      <c r="E42" t="s">
        <v>128</v>
      </c>
    </row>
    <row r="43" spans="5:5" x14ac:dyDescent="0.2">
      <c r="E43" t="s">
        <v>129</v>
      </c>
    </row>
    <row r="44" spans="5:5" x14ac:dyDescent="0.2">
      <c r="E44" t="s">
        <v>47</v>
      </c>
    </row>
    <row r="45" spans="5:5" x14ac:dyDescent="0.2">
      <c r="E45" t="s">
        <v>130</v>
      </c>
    </row>
    <row r="46" spans="5:5" x14ac:dyDescent="0.2">
      <c r="E46" t="s">
        <v>131</v>
      </c>
    </row>
    <row r="47" spans="5:5" x14ac:dyDescent="0.2">
      <c r="E47" t="s">
        <v>73</v>
      </c>
    </row>
    <row r="48" spans="5:5" x14ac:dyDescent="0.2">
      <c r="E48" t="s">
        <v>132</v>
      </c>
    </row>
    <row r="49" spans="5:5" x14ac:dyDescent="0.2">
      <c r="E49" t="s">
        <v>133</v>
      </c>
    </row>
    <row r="50" spans="5:5" x14ac:dyDescent="0.2">
      <c r="E50" t="s">
        <v>134</v>
      </c>
    </row>
    <row r="51" spans="5:5" x14ac:dyDescent="0.2">
      <c r="E51" t="s">
        <v>49</v>
      </c>
    </row>
    <row r="52" spans="5:5" x14ac:dyDescent="0.2">
      <c r="E52" t="s">
        <v>50</v>
      </c>
    </row>
    <row r="53" spans="5:5" x14ac:dyDescent="0.2">
      <c r="E53" t="s">
        <v>53</v>
      </c>
    </row>
    <row r="54" spans="5:5" x14ac:dyDescent="0.2">
      <c r="E54" t="s">
        <v>135</v>
      </c>
    </row>
    <row r="55" spans="5:5" x14ac:dyDescent="0.2">
      <c r="E55" t="s">
        <v>136</v>
      </c>
    </row>
    <row r="56" spans="5:5" x14ac:dyDescent="0.2">
      <c r="E56" t="s">
        <v>137</v>
      </c>
    </row>
    <row r="57" spans="5:5" x14ac:dyDescent="0.2">
      <c r="E57" t="s">
        <v>138</v>
      </c>
    </row>
    <row r="58" spans="5:5" x14ac:dyDescent="0.2">
      <c r="E58" t="s">
        <v>139</v>
      </c>
    </row>
    <row r="59" spans="5:5" x14ac:dyDescent="0.2">
      <c r="E59" t="s">
        <v>140</v>
      </c>
    </row>
    <row r="60" spans="5:5" x14ac:dyDescent="0.2">
      <c r="E60" t="s">
        <v>141</v>
      </c>
    </row>
    <row r="61" spans="5:5" x14ac:dyDescent="0.2">
      <c r="E61" t="s">
        <v>142</v>
      </c>
    </row>
    <row r="62" spans="5:5" x14ac:dyDescent="0.2">
      <c r="E62" t="s">
        <v>143</v>
      </c>
    </row>
    <row r="63" spans="5:5" x14ac:dyDescent="0.2">
      <c r="E63" t="s">
        <v>144</v>
      </c>
    </row>
    <row r="64" spans="5:5" x14ac:dyDescent="0.2">
      <c r="E64" t="s">
        <v>145</v>
      </c>
    </row>
    <row r="65" spans="5:5" x14ac:dyDescent="0.2">
      <c r="E65" t="s">
        <v>146</v>
      </c>
    </row>
    <row r="66" spans="5:5" x14ac:dyDescent="0.2">
      <c r="E66" t="s">
        <v>147</v>
      </c>
    </row>
    <row r="67" spans="5:5" x14ac:dyDescent="0.2">
      <c r="E67" t="s">
        <v>148</v>
      </c>
    </row>
    <row r="68" spans="5:5" x14ac:dyDescent="0.2">
      <c r="E68" t="s">
        <v>149</v>
      </c>
    </row>
    <row r="69" spans="5:5" x14ac:dyDescent="0.2">
      <c r="E69" t="s">
        <v>150</v>
      </c>
    </row>
    <row r="70" spans="5:5" x14ac:dyDescent="0.2">
      <c r="E70" t="s">
        <v>151</v>
      </c>
    </row>
    <row r="71" spans="5:5" x14ac:dyDescent="0.2">
      <c r="E71" t="s">
        <v>152</v>
      </c>
    </row>
    <row r="72" spans="5:5" x14ac:dyDescent="0.2">
      <c r="E72" t="s">
        <v>153</v>
      </c>
    </row>
    <row r="73" spans="5:5" x14ac:dyDescent="0.2">
      <c r="E73" t="s">
        <v>154</v>
      </c>
    </row>
    <row r="74" spans="5:5" x14ac:dyDescent="0.2">
      <c r="E74" t="s">
        <v>155</v>
      </c>
    </row>
    <row r="75" spans="5:5" x14ac:dyDescent="0.2">
      <c r="E75" t="s">
        <v>156</v>
      </c>
    </row>
    <row r="76" spans="5:5" x14ac:dyDescent="0.2">
      <c r="E76" t="s">
        <v>157</v>
      </c>
    </row>
    <row r="77" spans="5:5" x14ac:dyDescent="0.2">
      <c r="E77" t="s">
        <v>158</v>
      </c>
    </row>
    <row r="78" spans="5:5" x14ac:dyDescent="0.2">
      <c r="E78" t="s">
        <v>159</v>
      </c>
    </row>
    <row r="79" spans="5:5" x14ac:dyDescent="0.2">
      <c r="E79" t="s">
        <v>160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2</vt:i4>
      </vt:variant>
    </vt:vector>
  </HeadingPairs>
  <TitlesOfParts>
    <vt:vector size="35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'05'!Area_de_impressao</vt:lpstr>
      <vt:lpstr>'18'!Area_de_impressao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Oticas Taty Mello</cp:lastModifiedBy>
  <cp:revision/>
  <cp:lastPrinted>2024-04-01T12:46:09Z</cp:lastPrinted>
  <dcterms:created xsi:type="dcterms:W3CDTF">2004-04-07T20:43:43Z</dcterms:created>
  <dcterms:modified xsi:type="dcterms:W3CDTF">2024-06-06T18:50:22Z</dcterms:modified>
  <cp:category/>
  <cp:contentStatus/>
</cp:coreProperties>
</file>