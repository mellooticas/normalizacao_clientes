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90" documentId="8_{A04863FD-99A3-4C80-A5AC-7ED4539B7B53}" xr6:coauthVersionLast="47" xr6:coauthVersionMax="47" xr10:uidLastSave="{26DF283D-765A-41F3-9F66-9A3F3321DD92}"/>
  <bookViews>
    <workbookView xWindow="-19320" yWindow="-120" windowWidth="19440" windowHeight="10440" tabRatio="895" activeTab="1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0" l="1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16" i="171"/>
  <c r="R15" i="171"/>
  <c r="C19" i="171"/>
  <c r="C20" i="171" s="1"/>
  <c r="B19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36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<sst xmlns="http://schemas.openxmlformats.org/spreadsheetml/2006/main" count="1606" uniqueCount="148">
  <si>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</si>
  <si>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</si>
  <si>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</si>
  <si>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</si>
  <si>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</si>
  <si>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</si>
  <si>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</si>
  <si>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</si>
  <si>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</si>
  <si>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</si>
  <si>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</si>
  <si>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</si>
  <si>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</si>
  <si>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</si>
  <si>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</si>
  <si>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</si>
  <si>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</si>
  <si>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</si>
  <si>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</si>
  <si>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</si>
  <si>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</si>
  <si>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</si>
  <si>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</si>
  <si>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</si>
  <si>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</si>
  <si>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</si>
  <si>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</si>
  <si>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</si>
  <si>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</si>
  <si>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</si>
  <si>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</si>
  <si>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</si>
  <si>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</si>
  <si>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</si>
  <si>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</si>
  <si>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</si>
  <si>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</si>
  <si>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</si>
  <si>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</si>
  <si>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</si>
  <si>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</si>
  <si>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</si>
  <si>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</si>
  <si>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</si>
  <si>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</si>
  <si>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</si>
  <si>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</si>
  <si>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</si>
  <si>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</si>
  <si>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</si>
  <si>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</si>
  <si>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</si>
  <si>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</si>
  <si>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</si>
  <si>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</si>
  <si>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</si>
  <si>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</si>
  <si>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</si>
  <si>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</si>
  <si>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</si>
  <si>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</si>
  <si>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</si>
  <si>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</si>
  <si>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</si>
  <si>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</si>
  <si>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</si>
  <si>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</si>
  <si>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</si>
  <si>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</si>
  <si>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</si>
  <si>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</si>
  <si>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</si>
  <si>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</si>
  <si>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</si>
  <si>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</si>
  <si>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</si>
  <si>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</si>
  <si>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</si>
  <si>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</si>
  <si>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</si>
  <si>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</si>
  <si>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</si>
  <si>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</si>
  <si>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</si>
  <si>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</si>
  <si>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</si>
  <si>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</si>
  <si>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</si>
  <si>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</si>
  <si>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</si>
  <si>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</si>
  <si>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</si>
  <si>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</si>
  <si>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</si>
  <si>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</si>
  <si>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</si>
  <si>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</si>
  <si>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</si>
  <si>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</si>
  <si>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</si>
  <si>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</si>
  <si>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</si>
  <si>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</si>
  <si>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</si>
  <si>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</si>
  <si>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</si>
  <si>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</si>
  <si>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</si>
  <si>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</si>
  <si>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</si>
  <si>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</si>
  <si>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</si>
  <si>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</si>
  <si>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</si>
  <si>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</si>
  <si>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</si>
  <si>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</si>
  <si>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</si>
  <si>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</si>
  <si>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</si>
  <si>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</si>
  <si>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</si>
  <si>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</si>
  <si>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</si>
  <si>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</si>
  <si>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</si>
  <si>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</si>
  <si>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</si>
  <si>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</si>
  <si>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</si>
  <si>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</si>
  <si>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</si>
  <si>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</si>
  <si>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</si>
  <si>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</si>
  <si>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</si>
  <si>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</si>
  <si>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</si>
  <si>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</si>
  <si>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</si>
  <si>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</si>
  <si>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</si>
  <si>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 xml:space="preserve">DAMIANA MARIA </t>
  </si>
  <si>
    <t>Sim</t>
  </si>
  <si>
    <t>Não</t>
  </si>
  <si>
    <t>Silvano da Cruz</t>
  </si>
  <si>
    <t>Sara de Amorim</t>
  </si>
  <si>
    <t>Luciano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</si>
</sst>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69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1298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7" t="s">
        <v>4</v>
      </c>
      <c r="B6" s="28">
        <f>SUM(B4:B5)</f>
        <v>1298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3" t="s">
        <v>5</v>
      </c>
      <c r="B8" s="103"/>
      <c r="P8" t="s">
        <v>135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200</v>
      </c>
      <c r="P9" t="s">
        <v>136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P10" t="s">
        <v>137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1098</v>
      </c>
      <c r="P11" t="s">
        <v>138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350</v>
      </c>
      <c r="P13" t="s">
        <v>140</v>
      </c>
    </row>
    <row r="14" spans="1:16" ht="15.75" x14ac:dyDescent="0.25">
      <c r="A14" s="27" t="s">
        <v>11</v>
      </c>
      <c r="B14" s="70">
        <f>SUM(B9:B13)</f>
        <v>1648</v>
      </c>
    </row>
    <row r="15" spans="1:16" ht="15" x14ac:dyDescent="0.25">
      <c r="A15" s="2"/>
      <c r="B15" s="2"/>
    </row>
    <row r="16" spans="1:16" ht="15" x14ac:dyDescent="0.2">
      <c r="A16" s="103" t="s">
        <v>12</v>
      </c>
      <c r="B16" s="103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350</v>
      </c>
    </row>
    <row r="18" spans="1:2" ht="15.75" x14ac:dyDescent="0.25">
      <c r="A18" s="27" t="s">
        <v>11</v>
      </c>
      <c r="B18" s="70">
        <f>SUM(B17:B17)</f>
        <v>350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0" zoomScaleNormal="7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45566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200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2044</v>
      </c>
      <c r="L15" s="9" t="s">
        <v>132</v>
      </c>
      <c r="M15" s="16" t="s">
        <v>143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200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COUNT(entr_carn31195[OS])</f>
        <v>1</v>
      </c>
      <c r="C19" s="30">
        <f>SUM(entr_carn31195[Valor Total])</f>
        <v>350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350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2044</v>
      </c>
      <c r="F26" s="24" t="s">
        <v>142</v>
      </c>
      <c r="G26" s="25" t="s">
        <v>6</v>
      </c>
      <c r="H26" s="8"/>
      <c r="I26" s="8">
        <v>200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>
        <v>2044</v>
      </c>
      <c r="L35" s="40">
        <v>4</v>
      </c>
      <c r="M35" s="16">
        <v>350</v>
      </c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'01'!B1+1</f>
        <v>45567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56"/>
      <c r="G13" s="81"/>
      <c r="H13" s="66"/>
      <c r="I13" s="66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56"/>
      <c r="G14" s="81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9"/>
      <c r="F35" s="24"/>
      <c r="G35" s="25"/>
      <c r="H35" s="8"/>
      <c r="I35" s="8"/>
      <c r="K35" s="97"/>
      <c r="L35" s="40"/>
      <c r="M35" s="16"/>
    </row>
    <row r="36" spans="2:21" ht="15.75" x14ac:dyDescent="0.25">
      <c r="E36" s="89"/>
      <c r="F36" s="24"/>
      <c r="G36" s="25"/>
      <c r="H36" s="8"/>
      <c r="I36" s="8"/>
      <c r="K36" s="97"/>
      <c r="L36" s="40"/>
      <c r="M36" s="16"/>
    </row>
    <row r="37" spans="2:21" ht="15.75" x14ac:dyDescent="0.25">
      <c r="E37" s="89"/>
      <c r="F37" s="24"/>
      <c r="G37" s="25"/>
      <c r="H37" s="8"/>
      <c r="I37" s="8"/>
      <c r="K37" s="97"/>
      <c r="L37" s="40"/>
      <c r="M37" s="16"/>
    </row>
    <row r="38" spans="2:21" ht="15.75" x14ac:dyDescent="0.25">
      <c r="E38" s="89"/>
      <c r="F38" s="24"/>
      <c r="G38" s="25"/>
      <c r="H38" s="8"/>
      <c r="I38" s="8"/>
      <c r="K38" s="97"/>
      <c r="L38" s="40"/>
      <c r="M38" s="16"/>
    </row>
    <row r="39" spans="2:21" ht="15.75" x14ac:dyDescent="0.25">
      <c r="E39" s="89"/>
      <c r="F39" s="38"/>
      <c r="G39" s="25"/>
      <c r="H39" s="8"/>
      <c r="I39" s="8"/>
      <c r="K39" s="97"/>
      <c r="L39" s="40"/>
      <c r="M39" s="16"/>
    </row>
    <row r="40" spans="2:21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45568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K15" sqref="K15: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45569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54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topLeftCell="B1" zoomScale="6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'04'!B1+1</f>
        <v>45570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2026</v>
      </c>
      <c r="L15" s="9" t="s">
        <v>134</v>
      </c>
      <c r="M15" s="99" t="s">
        <v>144</v>
      </c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>
        <v>2070</v>
      </c>
      <c r="L16" s="9" t="s">
        <v>137</v>
      </c>
      <c r="M16" s="100" t="s">
        <v>144</v>
      </c>
      <c r="R16" s="1">
        <f>IF(vend5[[#This Row],[Nº Venda]]&gt;1,1,0)</f>
        <v>0</v>
      </c>
    </row>
    <row r="17" spans="2:13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</row>
    <row r="18" spans="2:13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</row>
    <row r="19" spans="2:13" ht="15.75" x14ac:dyDescent="0.25">
      <c r="B19" s="29">
        <f>COUNT(entr_carn5[OS])</f>
        <v>0</v>
      </c>
      <c r="C19" s="30">
        <f>SUM(entr_carn5[Valor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</row>
    <row r="20" spans="2:13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</row>
    <row r="21" spans="2:13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3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3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3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3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3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3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3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3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3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3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3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6"/>
      <c r="F36" s="24"/>
      <c r="G36" s="25"/>
      <c r="H36" s="8"/>
      <c r="I36" s="8"/>
      <c r="K36" s="97"/>
      <c r="L36" s="40"/>
      <c r="M36" s="16"/>
      <c r="Q36" s="1" t="s">
        <v>36</v>
      </c>
      <c r="R36" s="1">
        <f>SUM(R6:R17)</f>
        <v>0</v>
      </c>
    </row>
    <row r="37" spans="2:18" ht="15.75" x14ac:dyDescent="0.25">
      <c r="E37" s="89"/>
      <c r="F37" s="78"/>
      <c r="G37" s="79"/>
      <c r="H37" s="80"/>
      <c r="I37" s="80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45571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x14ac:dyDescent="0.2">
      <c r="F42" s="88"/>
      <c r="G42" s="88"/>
      <c r="H42" s="87"/>
      <c r="I42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G35" sqref="G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'06'!B1+1</f>
        <v>45572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75"/>
      <c r="G6" s="75"/>
      <c r="H6" s="76"/>
      <c r="I6" s="76"/>
      <c r="J6" s="2"/>
      <c r="K6" s="24"/>
      <c r="L6" s="9"/>
      <c r="M6" s="16"/>
      <c r="R6" s="1">
        <f>IF(vend7[[#This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29" t="s">
        <v>10</v>
      </c>
      <c r="C15" s="30">
        <f t="shared" si="0"/>
        <v>350</v>
      </c>
      <c r="D15" s="2"/>
      <c r="E15" s="89"/>
      <c r="F15" s="24"/>
      <c r="G15" s="25"/>
      <c r="H15" s="8"/>
      <c r="I15" s="8"/>
      <c r="J15" s="2"/>
      <c r="K15" s="97"/>
      <c r="L15" s="9"/>
      <c r="M15" s="46"/>
      <c r="R15" s="1">
        <f>IF(vend7[[#This Row],[Nº Venda]]&gt;1,1,0)</f>
        <v>0</v>
      </c>
    </row>
    <row r="16" spans="2:18" ht="15.75" x14ac:dyDescent="0.25">
      <c r="B16" s="27" t="s">
        <v>11</v>
      </c>
      <c r="C16" s="31">
        <f>SUM(C11:C15)</f>
        <v>350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5"/>
      <c r="G26" s="67"/>
      <c r="H26" s="68"/>
      <c r="I26" s="6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1868</v>
      </c>
      <c r="F35" s="24" t="s">
        <v>145</v>
      </c>
      <c r="G35" s="25" t="s">
        <v>10</v>
      </c>
      <c r="H35" s="8">
        <v>350</v>
      </c>
      <c r="I35" s="8" t="s">
        <v>87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'07'!B1+1</f>
        <v>45573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549</v>
      </c>
      <c r="D6" s="2"/>
      <c r="E6" s="89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549</v>
      </c>
      <c r="D8" s="2"/>
      <c r="E8" s="89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9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(SUMIF($G$2:$G$31,B11,$I$2:$I$31))+(SUMIF($G$35:$G$42,B11,$H$35:$H$42))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(SUMIF($G$2:$G$31,B12,$I$2:$I$31))+(SUMIF($G$35:$G$42,B12,$H$35:$H$42))</f>
        <v>0</v>
      </c>
      <c r="D12" s="2"/>
      <c r="E12" s="89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(SUMIF($G$2:$G$31,B13,$I$2:$I$31))+(SUMIF($G$35:$G$42,B13,$H$35:$H$42))</f>
        <v>549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(SUMIF($G$2:$G$31,B14,$I$2:$I$31))+(SUMIF($G$35:$G$42,B14,$H$35:$H$42))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(SUMIF($G$2:$G$31,B15,$I$2:$I$31))+(SUMIF($G$35:$G$42,B15,$H$35:$H$42))</f>
        <v>0</v>
      </c>
      <c r="D15" s="2"/>
      <c r="E15" s="89"/>
      <c r="F15" s="24"/>
      <c r="G15" s="25"/>
      <c r="H15" s="8"/>
      <c r="I15" s="8"/>
      <c r="J15" s="2"/>
      <c r="K15" s="97">
        <v>2073</v>
      </c>
      <c r="L15" s="9" t="s">
        <v>137</v>
      </c>
      <c r="M15" s="16" t="s">
        <v>144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549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2073</v>
      </c>
      <c r="F26" s="101" t="s">
        <v>146</v>
      </c>
      <c r="G26" s="102" t="s">
        <v>8</v>
      </c>
      <c r="H26" s="68">
        <v>0</v>
      </c>
      <c r="I26" s="68">
        <v>549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43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45574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2078</v>
      </c>
      <c r="L15" s="9" t="s">
        <v>137</v>
      </c>
      <c r="M15" s="16" t="s">
        <v>144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4"/>
      <c r="G20" s="25"/>
      <c r="H20" s="8"/>
      <c r="I20" s="8"/>
      <c r="J20" s="2"/>
      <c r="K20" s="9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45575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89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5" t="s">
        <v>12</v>
      </c>
      <c r="L33" s="106"/>
      <c r="M33" s="107"/>
    </row>
    <row r="34" spans="2:18" ht="15" x14ac:dyDescent="0.25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5" x14ac:dyDescent="0.25">
      <c r="E35" s="9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93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24"/>
      <c r="G39" s="25"/>
      <c r="H39" s="8"/>
      <c r="I39" s="8"/>
      <c r="K39" s="97"/>
      <c r="L39" s="40"/>
      <c r="M39" s="16"/>
    </row>
    <row r="40" spans="2:18" ht="15.75" x14ac:dyDescent="0.25">
      <c r="E40" s="89"/>
      <c r="F40" s="38"/>
      <c r="G40" s="25"/>
      <c r="H40" s="8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5"/>
      <c r="G41" s="36"/>
      <c r="H41" s="17"/>
      <c r="I41" s="8"/>
      <c r="K41" s="9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'10'!B1+1</f>
        <v>45576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abSelected="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45577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549</v>
      </c>
      <c r="D6" s="2"/>
      <c r="E6" s="89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549</v>
      </c>
      <c r="D8" s="2"/>
      <c r="E8" s="89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549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2074</v>
      </c>
      <c r="L15" s="9" t="s">
        <v>134</v>
      </c>
      <c r="M15" s="16" t="s">
        <v>144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549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2074</v>
      </c>
      <c r="F26" s="51" t="s">
        <v>147</v>
      </c>
      <c r="G26" s="43" t="s">
        <v>8</v>
      </c>
      <c r="H26" s="8">
        <v>0</v>
      </c>
      <c r="I26" s="8">
        <v>549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45578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45579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'14'!B1+1</f>
        <v>45580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63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63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'15'!B1+1</f>
        <v>45581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63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45582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IF(vend17[[#This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45583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56"/>
      <c r="G6" s="81"/>
      <c r="H6" s="66"/>
      <c r="I6" s="66"/>
      <c r="J6" s="2"/>
      <c r="K6" s="24"/>
      <c r="L6" s="61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'18'!B1+1</f>
        <v>45584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62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9"/>
      <c r="F9" s="56"/>
      <c r="G9" s="81"/>
      <c r="H9" s="66"/>
      <c r="I9" s="66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IF(vend19[[#This Row],[Nº Venda]]&gt;1,1,0)</f>
        <v>0</v>
      </c>
    </row>
    <row r="18" spans="2:22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38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82"/>
      <c r="H29" s="25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45585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63"/>
    </row>
    <row r="36" spans="2:18" ht="15.75" x14ac:dyDescent="0.25">
      <c r="E36" s="93"/>
      <c r="F36" s="24"/>
      <c r="G36" s="25"/>
      <c r="H36" s="8"/>
      <c r="I36" s="8"/>
      <c r="K36" s="97"/>
      <c r="L36" s="64"/>
      <c r="M36" s="63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45586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45587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45588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(SUMIF($G$2:$G$31,B11,$I$2:$I$31))+(SUMIF($G$35:$G$44,B11,$H$35:$H$44))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(SUMIF($G$2:$G$31,B12,$I$2:$I$31))+(SUMIF($G$35:$G$44,B12,$H$35:$H$44))</f>
        <v>0</v>
      </c>
      <c r="D12" s="2"/>
      <c r="E12" s="89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(SUMIF($G$2:$G$31,B13,$I$2:$I$31))+(SUMIF($G$35:$G$44,B13,$H$35:$H$44))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(SUMIF($G$2:$G$31,B14,$I$2:$I$31))+(SUMIF($G$35:$G$44,B14,$H$35:$H$44))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(SUMIF($G$2:$G$31,B15,$I$2:$I$31))+(SUMIF($G$35:$G$44,B15,$H$35:$H$44))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85"/>
      <c r="F42" s="71"/>
      <c r="G42" s="72"/>
      <c r="H42" s="73"/>
      <c r="I42" s="17"/>
    </row>
    <row r="43" spans="2:18" ht="15.75" x14ac:dyDescent="0.25">
      <c r="E43" s="85"/>
      <c r="F43" s="83"/>
      <c r="G43" s="82"/>
      <c r="H43" s="84"/>
      <c r="I43" s="8"/>
    </row>
    <row r="44" spans="2:18" ht="15.75" x14ac:dyDescent="0.25">
      <c r="E44" s="86"/>
      <c r="F44" s="71"/>
      <c r="G44" s="72"/>
      <c r="H44" s="7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45589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45590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6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45591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45592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IF(vend27[[#This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45593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45594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IF(vend29[[#This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45595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IF(vend30[[#This Row],[Nº Venda]]&gt;1,1,0)</f>
        <v>0</v>
      </c>
    </row>
    <row r="18" spans="2:22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45596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3" t="s">
        <v>5</v>
      </c>
      <c r="C10" s="103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2024-10-09T13:05:44Z</cp:lastPrinted>
  <dcterms:created xsi:type="dcterms:W3CDTF">2004-04-07T20:43:43Z</dcterms:created>
  <dcterms:modified xsi:type="dcterms:W3CDTF">2024-10-18T14:45:47Z</dcterms:modified>
  <cp:category/>
  <cp:contentStatus/>
</cp:coreProperties>
</file>