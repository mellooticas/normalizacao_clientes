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omments1.xml" ContentType="application/vnd.openxmlformats-officedocument.spreadsheetml.comments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comments2.xml" ContentType="application/vnd.openxmlformats-officedocument.spreadsheetml.comments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1060" documentId="13_ncr:1_{0402BA61-346E-4614-9EF8-32644BD0418E}" xr6:coauthVersionLast="47" xr6:coauthVersionMax="47" xr10:uidLastSave="{86689041-854A-49C2-881B-2C5D4494816C}"/>
  <bookViews>
    <workbookView xWindow="-120" yWindow="-120" windowWidth="29040" windowHeight="15840" tabRatio="895" firstSheet="1" activeTab="1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20" sheetId="189" r:id="rId20"/>
    <sheet name="19" sheetId="187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externalReferences>
    <externalReference r:id="rId34"/>
  </externalReference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20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00" l="1"/>
  <c r="L11" i="200"/>
  <c r="K12" i="200" l="1"/>
  <c r="C13" i="195" l="1"/>
  <c r="C15" i="195"/>
  <c r="C14" i="195"/>
  <c r="C12" i="195"/>
  <c r="C11" i="197"/>
  <c r="C11" i="194"/>
  <c r="C11" i="193"/>
  <c r="C11" i="195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H13" i="200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H15" i="200" l="1"/>
  <c r="I15" i="200"/>
  <c r="J15" i="200"/>
  <c r="H14" i="200"/>
  <c r="I14" i="200" s="1"/>
  <c r="I13" i="200"/>
  <c r="J13" i="200"/>
  <c r="I12" i="200"/>
  <c r="J12" i="200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J14" i="200" l="1"/>
  <c r="D6" i="200"/>
  <c r="E6" i="200" s="1"/>
  <c r="F6" i="200"/>
  <c r="B14" i="200"/>
  <c r="C16" i="103"/>
  <c r="O11" i="103" s="1"/>
  <c r="C8" i="103"/>
  <c r="R40" i="103"/>
  <c r="G6" i="200" l="1"/>
  <c r="C14" i="200" s="1"/>
  <c r="C12" i="200"/>
  <c r="D9" i="200"/>
  <c r="B4" i="200"/>
  <c r="B6" i="200" s="1"/>
  <c r="H6" i="200"/>
  <c r="E9" i="200"/>
  <c r="F9" i="200"/>
  <c r="G9" i="200" s="1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H9" i="200" l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6" authorId="0" shapeId="0" xr:uid="{ED1F130B-01CE-4CB6-8467-A2E8FBAD9DBE}">
      <text>
        <r>
          <rPr>
            <b/>
            <sz val="9"/>
            <color indexed="81"/>
            <rFont val="Segoe UI"/>
            <charset val="1"/>
          </rPr>
          <t>Admin:</t>
        </r>
        <r>
          <rPr>
            <sz val="9"/>
            <color indexed="81"/>
            <rFont val="Segoe UI"/>
            <charset val="1"/>
          </rPr>
          <t xml:space="preserve">
- GARANTIA de adaptação.
- Cliente efetuou compra de armação.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28" authorId="0" shapeId="0" xr:uid="{17BC6FAE-F6EB-4979-B14A-ABE6A97F5451}">
      <text>
        <r>
          <rPr>
            <b/>
            <sz val="9"/>
            <color indexed="81"/>
            <rFont val="Segoe UI"/>
            <charset val="1"/>
          </rPr>
          <t>Admin:</t>
        </r>
        <r>
          <rPr>
            <sz val="9"/>
            <color indexed="81"/>
            <rFont val="Segoe UI"/>
            <charset val="1"/>
          </rPr>
          <t xml:space="preserve">
Larissa Dias cobrou R$ 100,00 a mais do cliente. DCL irá colocar uma lente especial para abater no valor. 
At.te, Aline Cristina,  ciente.</t>
        </r>
      </text>
    </comment>
  </commentList>
</comments>
</file>

<file path=xl/sharedStrings.xml><?xml version="1.0" encoding="utf-8"?>
<sst xmlns="http://schemas.openxmlformats.org/spreadsheetml/2006/main" count="1768" uniqueCount="199">
  <si>
    <t>Colaboradores</t>
  </si>
  <si>
    <t>Saldo Inicial</t>
  </si>
  <si>
    <t>ROGÉRIO</t>
  </si>
  <si>
    <t>Vendas</t>
  </si>
  <si>
    <t>JOCY</t>
  </si>
  <si>
    <t>Entrada</t>
  </si>
  <si>
    <t>MARIA</t>
  </si>
  <si>
    <t>Despesas</t>
  </si>
  <si>
    <t>META VENDAS</t>
  </si>
  <si>
    <t>FALTA</t>
  </si>
  <si>
    <t>POR DIA</t>
  </si>
  <si>
    <t>TM DIARIO</t>
  </si>
  <si>
    <t>PROJEÇÃO</t>
  </si>
  <si>
    <t>PERCENTUAL</t>
  </si>
  <si>
    <t>WEVILLY</t>
  </si>
  <si>
    <t>Entr_Desp</t>
  </si>
  <si>
    <t>BETH</t>
  </si>
  <si>
    <t>ARIANI</t>
  </si>
  <si>
    <t>Tipos de Pagtos</t>
  </si>
  <si>
    <t>META ENTRADA</t>
  </si>
  <si>
    <t>ROSÂNGELA</t>
  </si>
  <si>
    <t>DN</t>
  </si>
  <si>
    <t>TATY</t>
  </si>
  <si>
    <t>CTD</t>
  </si>
  <si>
    <t>LARISSA</t>
  </si>
  <si>
    <t>CTC</t>
  </si>
  <si>
    <t>ENTRADA X VENDAS</t>
  </si>
  <si>
    <t>DESAFIOS</t>
  </si>
  <si>
    <t>META</t>
  </si>
  <si>
    <t>FEITO</t>
  </si>
  <si>
    <t>ATINGIGO</t>
  </si>
  <si>
    <t>ERIKA</t>
  </si>
  <si>
    <t>PCTC</t>
  </si>
  <si>
    <t>SEMANA 1</t>
  </si>
  <si>
    <t>LUANA</t>
  </si>
  <si>
    <t>PIX</t>
  </si>
  <si>
    <t>CRESCIMENTO MENSAL</t>
  </si>
  <si>
    <t>SEMANA 2</t>
  </si>
  <si>
    <t>FELIPE</t>
  </si>
  <si>
    <t>Total</t>
  </si>
  <si>
    <t>SEMANA 3</t>
  </si>
  <si>
    <t>SEMANA 4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</si>
  <si>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</si>
  <si>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</si>
  <si>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</si>
  <si>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</si>
  <si>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</si>
  <si>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</si>
  <si>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</si>
  <si>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</si>
  <si>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</si>
  <si>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KATTI MIRIAM ANCHIETA</t>
  </si>
  <si>
    <t>SHEILA FERREIRA</t>
  </si>
  <si>
    <t>SS</t>
  </si>
  <si>
    <t>GARANTIA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</si>
  <si>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</si>
  <si>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</si>
  <si>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</si>
  <si>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</si>
  <si>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</si>
  <si>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</si>
  <si>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</si>
  <si>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</si>
  <si>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MAGALI MARQUES</t>
  </si>
  <si>
    <t>Recebimento de Carnê</t>
  </si>
  <si>
    <t>Valor Parcela</t>
  </si>
  <si>
    <t>Nº Parcela</t>
  </si>
  <si>
    <t>Parcelas</t>
  </si>
  <si>
    <t>Valor Total</t>
  </si>
  <si>
    <t>Total de OS</t>
  </si>
  <si>
    <t>Fechamento Diário do Caixa</t>
  </si>
  <si>
    <t xml:space="preserve"> V</t>
  </si>
  <si>
    <t>PATRICIA OLIVEIRA</t>
  </si>
  <si>
    <t>PARC. 7/8</t>
  </si>
  <si>
    <t>SILENIA CARLOS</t>
  </si>
  <si>
    <t>LEONILDO PAULINO</t>
  </si>
  <si>
    <t>RUBEN MORTARI</t>
  </si>
  <si>
    <t>PARC. 2/2</t>
  </si>
  <si>
    <t>ELITA PEREIRA DA SILVA</t>
  </si>
  <si>
    <t>LUIZ PEREIRA DE ASSIS</t>
  </si>
  <si>
    <t>SILVANO DA CRUZ</t>
  </si>
  <si>
    <t>PARC. 2/9</t>
  </si>
  <si>
    <t>Sim</t>
  </si>
  <si>
    <t>CAMILLI NICOLI CUER</t>
  </si>
  <si>
    <t>ISRAEL VIEIRA</t>
  </si>
  <si>
    <t>SONIA REGINA</t>
  </si>
  <si>
    <t>LETICIA RODRIGUES</t>
  </si>
  <si>
    <t>KARINA  NASCIMENTO</t>
  </si>
  <si>
    <t xml:space="preserve">FERNANDO MACIEL </t>
  </si>
  <si>
    <t>PARC. 1/2</t>
  </si>
  <si>
    <t>PARC. 1/3</t>
  </si>
  <si>
    <t xml:space="preserve">EVANDRO SIQUEIRA </t>
  </si>
  <si>
    <t xml:space="preserve">GABRIELA MARTINS </t>
  </si>
  <si>
    <t xml:space="preserve">LUCILENE OLIVEIRA </t>
  </si>
  <si>
    <t xml:space="preserve">JOSÉ LAERTE RODRIGUES </t>
  </si>
  <si>
    <t>MICHELLY SEVERO</t>
  </si>
  <si>
    <t xml:space="preserve">ERIVALDO PORFILIO </t>
  </si>
  <si>
    <t>VANDERLEI ANTUNES</t>
  </si>
  <si>
    <t>ALEX APRIGIO</t>
  </si>
  <si>
    <t>LUIZ PEREIRA</t>
  </si>
  <si>
    <t xml:space="preserve"> </t>
  </si>
  <si>
    <t xml:space="preserve">ERESMILTON LIMA </t>
  </si>
  <si>
    <t xml:space="preserve">GABRIELA MATINS </t>
  </si>
  <si>
    <t xml:space="preserve">PATRICIA DE OLIVEIRA </t>
  </si>
  <si>
    <t>PARC. 8/8</t>
  </si>
  <si>
    <t xml:space="preserve">MARIA  JOSÉ </t>
  </si>
  <si>
    <t>ERIVALDO PORFILIO</t>
  </si>
  <si>
    <t xml:space="preserve">MARCOS COSTA </t>
  </si>
  <si>
    <t>GEISLA MENDES</t>
  </si>
  <si>
    <t>JOSELMA ALVES</t>
  </si>
  <si>
    <t xml:space="preserve">ROSANA DA MOTA </t>
  </si>
  <si>
    <t>EDGAR BRISOLA</t>
  </si>
  <si>
    <t>BRUNO LACERDA</t>
  </si>
  <si>
    <t xml:space="preserve">GEISLA MENDES </t>
  </si>
  <si>
    <t xml:space="preserve">        </t>
  </si>
  <si>
    <t xml:space="preserve">JOSELMA ALVES </t>
  </si>
  <si>
    <t>LUCILENE OLIVEIRA</t>
  </si>
  <si>
    <t>Tipo Pagto</t>
  </si>
  <si>
    <t>descricao</t>
  </si>
  <si>
    <t xml:space="preserve">Parcelas </t>
  </si>
  <si>
    <t>Dinheiro</t>
  </si>
  <si>
    <t>PARC. 1/1</t>
  </si>
  <si>
    <t>Cartão Débito</t>
  </si>
  <si>
    <t>Cartão Crédito</t>
  </si>
  <si>
    <t>Parcelado Cartão Crédito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</si>
  <si>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</si>
  <si>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</si>
  <si>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</si>
  <si>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</si>
  <si>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</si>
  <si>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</si>
  <si>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</si>
  <si>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</si>
  <si>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</si>
  <si>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</si>
  <si>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</si>
  <si>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</si>
  <si>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</si>
  <si>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</si>
  <si>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</si>
  <si>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</si>
  <si>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</si>
  <si>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</si>
  <si>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</si>
  <si>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</si>
  <si>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</si>
  <si>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</si>
  <si>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</si>
  <si>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</si>
  <si>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</si>
  <si>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</si>
  <si>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</si>
  <si>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</si>
  <si>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</si>
  <si>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</si>
  <si>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</si>
  <si>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</si>
  <si>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</si>
  <si>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1/9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</si>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</sst>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color theme="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7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7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6" fontId="0" fillId="0" borderId="3" xfId="2" applyFont="1" applyFill="1" applyBorder="1" applyAlignment="1">
      <alignment horizontal="center"/>
    </xf>
    <xf numFmtId="167" fontId="0" fillId="0" borderId="3" xfId="4" applyNumberFormat="1" applyFont="1" applyFill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5" fillId="0" borderId="17" xfId="4" applyNumberFormat="1" applyFont="1" applyFill="1" applyBorder="1" applyAlignment="1">
      <alignment horizontal="center"/>
    </xf>
    <xf numFmtId="167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7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  <xf numFmtId="167" fontId="12" fillId="6" borderId="12" xfId="2" applyNumberFormat="1" applyFont="1" applyFill="1" applyBorder="1" applyAlignment="1" applyProtection="1">
      <alignment horizontal="center" vertical="center"/>
    </xf>
    <xf numFmtId="166" fontId="14" fillId="7" borderId="6" xfId="2" applyFont="1" applyFill="1" applyBorder="1" applyAlignment="1" applyProtection="1">
      <alignment horizontal="center"/>
    </xf>
    <xf numFmtId="166" fontId="0" fillId="5" borderId="0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7" fontId="40" fillId="0" borderId="13" xfId="4" applyNumberFormat="1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2" fillId="0" borderId="13" xfId="0" applyFont="1" applyBorder="1" applyAlignment="1">
      <alignment horizontal="center"/>
    </xf>
    <xf numFmtId="166" fontId="36" fillId="0" borderId="13" xfId="2" applyFont="1" applyFill="1" applyBorder="1" applyAlignment="1">
      <alignment horizontal="center"/>
    </xf>
    <xf numFmtId="166" fontId="38" fillId="0" borderId="13" xfId="2" applyFont="1" applyFill="1" applyBorder="1" applyAlignment="1">
      <alignment horizontal="center"/>
    </xf>
    <xf numFmtId="167" fontId="38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6" fontId="12" fillId="0" borderId="17" xfId="2" applyFont="1" applyFill="1" applyBorder="1" applyAlignment="1">
      <alignment horizontal="center"/>
    </xf>
    <xf numFmtId="167" fontId="12" fillId="0" borderId="17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6" fontId="38" fillId="0" borderId="17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10" fontId="0" fillId="0" borderId="0" xfId="0" applyNumberFormat="1"/>
    <xf numFmtId="167" fontId="13" fillId="5" borderId="17" xfId="0" applyNumberFormat="1" applyFont="1" applyFill="1" applyBorder="1" applyAlignment="1">
      <alignment horizontal="center"/>
    </xf>
    <xf numFmtId="10" fontId="13" fillId="5" borderId="17" xfId="0" applyNumberFormat="1" applyFont="1" applyFill="1" applyBorder="1" applyAlignment="1">
      <alignment horizontal="center"/>
    </xf>
    <xf numFmtId="14" fontId="0" fillId="0" borderId="0" xfId="0" applyNumberFormat="1"/>
    <xf numFmtId="0" fontId="13" fillId="5" borderId="17" xfId="0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66" fontId="24" fillId="0" borderId="3" xfId="2" applyFont="1" applyFill="1" applyBorder="1" applyAlignment="1">
      <alignment horizontal="center"/>
    </xf>
    <xf numFmtId="166" fontId="30" fillId="0" borderId="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4" fillId="7" borderId="17" xfId="0" applyFont="1" applyFill="1" applyBorder="1" applyAlignment="1">
      <alignment horizontal="center"/>
    </xf>
    <xf numFmtId="10" fontId="13" fillId="5" borderId="17" xfId="0" applyNumberFormat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icastatymellocombr-my.sharepoint.com/personal/junior_oticastatymello_com_br/Documents/LOJAS/SAO_MATEUS/CAIXA/jul_24.xlsx" TargetMode="External"/><Relationship Id="rId1" Type="http://schemas.openxmlformats.org/officeDocument/2006/relationships/externalLinkPath" Target="jul_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_cx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base"/>
    </sheetNames>
    <sheetDataSet>
      <sheetData sheetId="0">
        <row r="3">
          <cell r="B3">
            <v>26203.53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85" dataCellStyle="Moeda"/>
    <tableColumn id="5" xr3:uid="{F65697F3-20D0-4B41-BE55-C2885202D924}" name="Cliente" dataDxfId="684" dataCellStyle="Moeda"/>
    <tableColumn id="2" xr3:uid="{11E8E848-C035-46A3-B1AB-9BBD863CA30A}" name="Forma de Pgto" dataDxfId="683" dataCellStyle="Moeda"/>
    <tableColumn id="3" xr3:uid="{CE50BBF0-66D9-4ABB-AD66-D300C740ED4C}" name="Valor Venda" dataDxfId="682" dataCellStyle="Porcentagem"/>
    <tableColumn id="4" xr3:uid="{A6700982-093E-4E60-A8B4-C0EB11A78A03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3B1873C-545D-4906-B601-0C81EDA7CFE1}" name="Descrição" dataDxfId="675"/>
    <tableColumn id="2" xr3:uid="{76E6DB40-F96B-4A9C-8632-7103030C72DC}" name="Tipo de Pagto" dataDxfId="674"/>
    <tableColumn id="3" xr3:uid="{C62F93B6-2A0A-47C6-8FF1-E604490619BC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67"/>
    <tableColumn id="2" xr3:uid="{B806E92F-CE0E-4D07-A956-20D8F2029057}" name="Cliente" dataDxfId="666"/>
    <tableColumn id="3" xr3:uid="{36BDBAFD-E01B-4EEA-BEB0-2FB5914B315B}" name="Forma de Pgto" dataDxfId="665" dataCellStyle="Moeda"/>
    <tableColumn id="4" xr3:uid="{56605023-01AD-4E35-8794-2FCCF14CCA1F}" name="Valor Venda" dataDxfId="664" dataCellStyle="Porcentagem"/>
    <tableColumn id="5" xr3:uid="{C1960D0E-D625-415E-9C4E-608948FC535D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6A036C59-7D03-43F7-84CF-EE3CB14BE67B}" name="OS" dataDxfId="657"/>
    <tableColumn id="2" xr3:uid="{C5A126A9-9B7F-4F06-ADC7-ACCED0396BF3}" name="Vendedor" dataDxfId="656"/>
    <tableColumn id="3" xr3:uid="{BA1C7B45-A00B-472E-A02F-25A3DC58D90D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49"/>
    <tableColumn id="2" xr3:uid="{2C145274-4831-4FAC-9C72-4EE6C56B54AE}" name="Cliente" dataDxfId="648"/>
    <tableColumn id="3" xr3:uid="{DE981E69-6CF2-49CA-A2F4-E16E28E648B8}" name="Forma de Pgto" dataDxfId="647" dataCellStyle="Moeda"/>
    <tableColumn id="4" xr3:uid="{6444B2E2-EBBD-4AD1-8C9A-93047C0686E8}" name="Valor Parcela" dataDxfId="646" dataCellStyle="Porcentagem"/>
    <tableColumn id="5" xr3:uid="{04528C7F-DC52-411C-A2BF-BF90292C4224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44" headerRowBorderDxfId="643" tableBorderDxfId="642" totalsRowBorderDxfId="641">
  <autoFilter ref="K34:M41" xr:uid="{1B8643D4-6AC3-4029-882A-C62E9D7CB225}"/>
  <tableColumns count="3">
    <tableColumn id="1" xr3:uid="{B8F19651-A782-44BC-8BA0-FFD090973F4B}" name="OS" dataDxfId="640"/>
    <tableColumn id="2" xr3:uid="{47E2F01C-C7E6-4997-80A0-4C35FA7B082A}" name="Parcelas" dataDxfId="639"/>
    <tableColumn id="3" xr3:uid="{BBBC80DF-0D25-47A9-9C8A-B68DAC8554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32" dataCellStyle="Moeda"/>
    <tableColumn id="5" xr3:uid="{B476382F-8FC0-4C4B-904B-9CEC2FD1737F}" name="Cliente" dataDxfId="631" dataCellStyle="Moeda"/>
    <tableColumn id="2" xr3:uid="{9347CB1E-8ECB-4789-B3B3-F0676BCEF308}" name="Forma de Pgto" dataDxfId="630" dataCellStyle="Moeda"/>
    <tableColumn id="3" xr3:uid="{95E7B651-F8E7-4260-A9CD-31524C1AF920}" name="Valor Venda" dataDxfId="629" dataCellStyle="Porcentagem"/>
    <tableColumn id="4" xr3:uid="{E1F36979-874B-46CF-A70F-6769CE2B4972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DAF9728-D097-46AC-AFA1-2A7D5A636197}" name="Descrição" dataDxfId="622"/>
    <tableColumn id="2" xr3:uid="{7E14BBAB-F602-43F7-BA75-66182DDDFB5A}" name="Tipo de Pagto" dataDxfId="621"/>
    <tableColumn id="3" xr3:uid="{807C6654-E3F5-4B45-B712-93A22255EE13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14"/>
    <tableColumn id="2" xr3:uid="{DA2D4CE2-3235-4592-824A-D21C9FEE1324}" name="Cliente" dataDxfId="613"/>
    <tableColumn id="3" xr3:uid="{78436E8E-423C-4634-A0AC-78283D9649B2}" name="Forma de Pgto" dataDxfId="612" dataCellStyle="Moeda"/>
    <tableColumn id="4" xr3:uid="{9B5C140A-AEF6-451D-B599-1B3C00239BF3}" name="Valor Venda" dataDxfId="611" dataCellStyle="Porcentagem"/>
    <tableColumn id="5" xr3:uid="{91C4587E-3C3A-4A8E-B0CF-84D9FBCB29D6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09" dataDxfId="607" headerRowBorderDxfId="608" tableBorderDxfId="606" totalsRowBorderDxfId="60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04"/>
    <tableColumn id="2" xr3:uid="{8A5D657B-8F60-4746-999B-0FA3393A39E9}" name="Vendedor" dataDxfId="603"/>
    <tableColumn id="3" xr3:uid="{496CB9CC-67BF-4541-A109-5F5FF565C716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96"/>
    <tableColumn id="2" xr3:uid="{B3362A08-206B-41A8-970B-34C6B8B4C7AA}" name="Cliente" dataDxfId="595"/>
    <tableColumn id="3" xr3:uid="{718A6844-98C1-4F96-8966-19162734BEB9}" name="Forma de Pgto" dataDxfId="594" dataCellStyle="Moeda"/>
    <tableColumn id="4" xr3:uid="{DC15894A-49A7-435B-A661-5666005BEEC8}" name="Valor Parcela" dataDxfId="593" dataCellStyle="Porcentagem"/>
    <tableColumn id="5" xr3:uid="{DE080DD1-0F6B-485E-8515-CE624433C220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91" headerRowBorderDxfId="590" tableBorderDxfId="589" totalsRowBorderDxfId="588">
  <autoFilter ref="K34:M41" xr:uid="{1B8643D4-6AC3-4029-882A-C62E9D7CB225}"/>
  <tableColumns count="3">
    <tableColumn id="1" xr3:uid="{DF952D1A-166D-4762-BD7E-3B8C91304310}" name="OS" dataDxfId="587"/>
    <tableColumn id="2" xr3:uid="{4F0F7384-D5B8-477E-9EC7-B82060EBBD78}" name="Parcelas" dataDxfId="586"/>
    <tableColumn id="3" xr3:uid="{8DD00EBF-D0FE-4903-8F44-7064A87360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9.xml"/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Relationship Id="rId9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7.xml"/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Relationship Id="rId9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1" sqref="C1"/>
    </sheetView>
  </sheetViews>
  <sheetFormatPr defaultColWidth="21.28515625" defaultRowHeight="12.75" x14ac:dyDescent="0.2"/>
  <cols>
    <col min="2" max="2" width="22.7109375" customWidth="1"/>
    <col min="3" max="3" width="20.140625" bestFit="1" customWidth="1"/>
    <col min="4" max="4" width="12.42578125" bestFit="1" customWidth="1"/>
    <col min="5" max="5" width="11.42578125" bestFit="1" customWidth="1"/>
    <col min="6" max="6" width="12" customWidth="1"/>
    <col min="7" max="7" width="11.7109375" bestFit="1" customWidth="1"/>
    <col min="8" max="8" width="14.5703125" customWidth="1"/>
    <col min="9" max="9" width="11.42578125" customWidth="1"/>
    <col min="10" max="10" width="12.85546875" customWidth="1"/>
    <col min="11" max="12" width="10.140625" hidden="1" customWidth="1"/>
    <col min="13" max="13" width="19.85546875" customWidth="1"/>
    <col min="16" max="16" width="0" hidden="1" customWidth="1"/>
  </cols>
  <sheetData>
    <row r="1" spans="1:16" x14ac:dyDescent="0.2">
      <c r="P1" t="s">
        <v>0</v>
      </c>
    </row>
    <row r="2" spans="1:16" ht="15" x14ac:dyDescent="0.2">
      <c r="A2" s="19" t="s">
        <v>1</v>
      </c>
      <c r="B2" s="78">
        <v>0</v>
      </c>
      <c r="P2" t="s">
        <v>2</v>
      </c>
    </row>
    <row r="3" spans="1:16" ht="15" x14ac:dyDescent="0.25">
      <c r="A3" s="23" t="s">
        <v>3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5697</v>
      </c>
      <c r="P3" t="s">
        <v>4</v>
      </c>
    </row>
    <row r="4" spans="1:16" ht="15" x14ac:dyDescent="0.25">
      <c r="A4" s="23" t="s">
        <v>5</v>
      </c>
      <c r="B4" s="24">
        <f>B14</f>
        <v>10214.75</v>
      </c>
      <c r="M4" s="97"/>
      <c r="P4" t="s">
        <v>6</v>
      </c>
    </row>
    <row r="5" spans="1:16" ht="15.75" x14ac:dyDescent="0.25">
      <c r="A5" s="23" t="s">
        <v>7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C5" s="96" t="s">
        <v>8</v>
      </c>
      <c r="D5" s="96" t="s">
        <v>9</v>
      </c>
      <c r="E5" s="96" t="s">
        <v>10</v>
      </c>
      <c r="F5" s="96" t="s">
        <v>11</v>
      </c>
      <c r="G5" s="96" t="s">
        <v>12</v>
      </c>
      <c r="H5" s="96" t="s">
        <v>13</v>
      </c>
      <c r="K5" s="97"/>
      <c r="M5" s="97"/>
      <c r="P5" t="s">
        <v>14</v>
      </c>
    </row>
    <row r="6" spans="1:16" ht="15.75" x14ac:dyDescent="0.25">
      <c r="A6" s="28" t="s">
        <v>15</v>
      </c>
      <c r="B6" s="29">
        <f>SUM(B4:B5)</f>
        <v>10214.75</v>
      </c>
      <c r="C6" s="98">
        <v>33500</v>
      </c>
      <c r="D6" s="98">
        <f>B3-C6</f>
        <v>-27803</v>
      </c>
      <c r="E6" s="98">
        <f ca="1">D6/K12</f>
        <v>463.38333333333333</v>
      </c>
      <c r="F6" s="98">
        <f ca="1">B3/(L11-K10)</f>
        <v>63.3</v>
      </c>
      <c r="G6" s="98">
        <f ca="1">B3+(F6*K12)</f>
        <v>1899</v>
      </c>
      <c r="H6" s="99">
        <f ca="1">G6/C6-100%</f>
        <v>-0.94331343283582092</v>
      </c>
      <c r="K6" s="97"/>
      <c r="M6" s="97"/>
      <c r="P6" t="s">
        <v>16</v>
      </c>
    </row>
    <row r="7" spans="1:16" ht="15" x14ac:dyDescent="0.25">
      <c r="A7" s="2"/>
      <c r="B7" s="2"/>
      <c r="K7" s="97"/>
      <c r="M7" s="97"/>
      <c r="P7" t="s">
        <v>17</v>
      </c>
    </row>
    <row r="8" spans="1:16" ht="15.75" x14ac:dyDescent="0.25">
      <c r="A8" s="105" t="s">
        <v>18</v>
      </c>
      <c r="B8" s="105"/>
      <c r="C8" s="96" t="s">
        <v>19</v>
      </c>
      <c r="D8" s="96" t="s">
        <v>9</v>
      </c>
      <c r="E8" s="96" t="s">
        <v>10</v>
      </c>
      <c r="F8" s="96" t="s">
        <v>11</v>
      </c>
      <c r="G8" s="96" t="s">
        <v>12</v>
      </c>
      <c r="H8" s="96" t="s">
        <v>13</v>
      </c>
      <c r="K8" s="97"/>
      <c r="M8" s="97"/>
      <c r="P8" t="s">
        <v>20</v>
      </c>
    </row>
    <row r="9" spans="1:16" ht="15" x14ac:dyDescent="0.25">
      <c r="A9" s="30" t="s">
        <v>21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1310</v>
      </c>
      <c r="C9" s="98">
        <v>30000</v>
      </c>
      <c r="D9" s="98">
        <f>B14-C9</f>
        <v>-19785.25</v>
      </c>
      <c r="E9" s="98">
        <f ca="1">D9/K12</f>
        <v>329.75416666666666</v>
      </c>
      <c r="F9" s="98">
        <f ca="1">B14/(L11-K10)</f>
        <v>113.49722222222222</v>
      </c>
      <c r="G9" s="98">
        <f ca="1">B14+(F9*K12)</f>
        <v>3404.916666666667</v>
      </c>
      <c r="H9" s="99">
        <f ca="1">G9/C9-100%</f>
        <v>-0.88650277777777775</v>
      </c>
      <c r="P9" t="s">
        <v>22</v>
      </c>
    </row>
    <row r="10" spans="1:16" ht="15" x14ac:dyDescent="0.25">
      <c r="A10" s="30" t="s">
        <v>23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549</v>
      </c>
      <c r="K10" s="100">
        <v>45505</v>
      </c>
      <c r="P10" t="s">
        <v>24</v>
      </c>
    </row>
    <row r="11" spans="1:16" ht="15.75" x14ac:dyDescent="0.25">
      <c r="A11" s="30" t="s">
        <v>25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5251</v>
      </c>
      <c r="C11" s="102" t="s">
        <v>26</v>
      </c>
      <c r="F11" s="96" t="s">
        <v>27</v>
      </c>
      <c r="G11" s="96" t="s">
        <v>28</v>
      </c>
      <c r="H11" s="96" t="s">
        <v>29</v>
      </c>
      <c r="I11" s="96" t="s">
        <v>9</v>
      </c>
      <c r="J11" s="96" t="s">
        <v>30</v>
      </c>
      <c r="K11" s="100">
        <v>45535</v>
      </c>
      <c r="L11" s="100">
        <f ca="1">TODAY()</f>
        <v>45595</v>
      </c>
      <c r="P11" t="s">
        <v>31</v>
      </c>
    </row>
    <row r="12" spans="1:16" ht="15" x14ac:dyDescent="0.25">
      <c r="A12" s="30" t="s">
        <v>32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360</v>
      </c>
      <c r="C12" s="99">
        <f>B3/B14-100%</f>
        <v>-0.44227709929268955</v>
      </c>
      <c r="F12" s="101" t="s">
        <v>33</v>
      </c>
      <c r="G12" s="98">
        <v>8950</v>
      </c>
      <c r="H12" s="98">
        <f>SUM('01:07'!C22)</f>
        <v>180</v>
      </c>
      <c r="I12" s="98">
        <f>H12-G12</f>
        <v>-8770</v>
      </c>
      <c r="J12" s="101">
        <f>IF(H12&lt;=G12,0,1)</f>
        <v>0</v>
      </c>
      <c r="K12">
        <f ca="1">K11-L11</f>
        <v>-60</v>
      </c>
      <c r="P12" t="s">
        <v>34</v>
      </c>
    </row>
    <row r="13" spans="1:16" ht="15.75" x14ac:dyDescent="0.25">
      <c r="A13" s="30" t="s">
        <v>35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2744.75</v>
      </c>
      <c r="C13" s="106" t="s">
        <v>36</v>
      </c>
      <c r="D13" s="106"/>
      <c r="F13" s="101" t="s">
        <v>37</v>
      </c>
      <c r="G13" s="98">
        <v>8560</v>
      </c>
      <c r="H13" s="98">
        <f>SUM('08:14'!C22)</f>
        <v>1200</v>
      </c>
      <c r="I13" s="98">
        <f t="shared" ref="I13:I15" si="0">H13-G13</f>
        <v>-7360</v>
      </c>
      <c r="J13" s="101">
        <f t="shared" ref="J13:J15" si="1">IF(H13&lt;=G13,0,1)</f>
        <v>0</v>
      </c>
      <c r="P13" t="s">
        <v>38</v>
      </c>
    </row>
    <row r="14" spans="1:16" ht="15.75" x14ac:dyDescent="0.25">
      <c r="A14" s="28" t="s">
        <v>39</v>
      </c>
      <c r="B14" s="79">
        <f>SUM(B9:B13)</f>
        <v>10214.75</v>
      </c>
      <c r="C14" s="107">
        <f ca="1">G6/[1]resumo_cx!$B$3-100%</f>
        <v>-0.92752884821243553</v>
      </c>
      <c r="D14" s="107"/>
      <c r="F14" s="101" t="s">
        <v>40</v>
      </c>
      <c r="G14" s="98">
        <v>8400</v>
      </c>
      <c r="H14" s="98">
        <f>SUM('15:21'!C22)</f>
        <v>1769</v>
      </c>
      <c r="I14" s="98">
        <f t="shared" si="0"/>
        <v>-6631</v>
      </c>
      <c r="J14" s="101">
        <f t="shared" si="1"/>
        <v>0</v>
      </c>
    </row>
    <row r="15" spans="1:16" ht="15" x14ac:dyDescent="0.25">
      <c r="A15" s="2"/>
      <c r="B15" s="2"/>
      <c r="F15" s="101" t="s">
        <v>41</v>
      </c>
      <c r="G15" s="98">
        <v>9350</v>
      </c>
      <c r="H15" s="98">
        <f>SUM('23:31'!C22)</f>
        <v>1948</v>
      </c>
      <c r="I15" s="98">
        <f t="shared" si="0"/>
        <v>-7402</v>
      </c>
      <c r="J15" s="101">
        <f t="shared" si="1"/>
        <v>0</v>
      </c>
    </row>
    <row r="16" spans="1:16" ht="15" x14ac:dyDescent="0.2">
      <c r="A16" s="105" t="s">
        <v>42</v>
      </c>
      <c r="B16" s="105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1203.8</v>
      </c>
    </row>
    <row r="18" spans="1:2" ht="15.75" x14ac:dyDescent="0.25">
      <c r="A18" s="28" t="s">
        <v>39</v>
      </c>
      <c r="B18" s="79">
        <f>SUM(B17:B17)</f>
        <v>1203.8</v>
      </c>
    </row>
  </sheetData>
  <dataConsolidate/>
  <mergeCells count="4">
    <mergeCell ref="A8:B8"/>
    <mergeCell ref="A16:B16"/>
    <mergeCell ref="C13:D13"/>
    <mergeCell ref="C14:D1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70" zoomScaleNormal="70" workbookViewId="0">
      <selection activeCell="G38" sqref="G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45505</v>
      </c>
    </row>
    <row r="2" spans="2:18" ht="18.75" x14ac:dyDescent="0.2">
      <c r="B2" s="112" t="s">
        <v>43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180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930</v>
      </c>
      <c r="D6" s="2"/>
      <c r="E6" s="18">
        <v>2046</v>
      </c>
      <c r="F6" s="25" t="s">
        <v>51</v>
      </c>
      <c r="G6" s="26" t="s">
        <v>21</v>
      </c>
      <c r="H6" s="8">
        <v>180</v>
      </c>
      <c r="I6" s="8">
        <v>180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2047</v>
      </c>
      <c r="F7" s="25" t="s">
        <v>52</v>
      </c>
      <c r="G7" s="26" t="s">
        <v>53</v>
      </c>
      <c r="H7" s="8" t="s">
        <v>54</v>
      </c>
      <c r="I7" s="8">
        <v>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55</v>
      </c>
      <c r="C8" s="29">
        <f>SUM(C6:C7)</f>
        <v>930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180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25</v>
      </c>
      <c r="C13" s="31">
        <f t="shared" si="0"/>
        <v>750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2015</v>
      </c>
      <c r="L15" s="9" t="s">
        <v>17</v>
      </c>
      <c r="M15" s="16" t="s">
        <v>60</v>
      </c>
      <c r="R15" s="1">
        <f>IF(vend1[[#This Row],[Nº Venda]]&gt;1,1,0)</f>
        <v>0</v>
      </c>
    </row>
    <row r="16" spans="2:18" ht="15.75" x14ac:dyDescent="0.25">
      <c r="B16" s="28" t="s">
        <v>39</v>
      </c>
      <c r="C16" s="32">
        <f>SUM(C11:C15)</f>
        <v>930</v>
      </c>
      <c r="D16" s="2"/>
      <c r="E16" s="18"/>
      <c r="F16" s="25"/>
      <c r="G16" s="26"/>
      <c r="H16" s="8"/>
      <c r="I16" s="8"/>
      <c r="J16" s="2"/>
      <c r="K16" s="25">
        <v>2007</v>
      </c>
      <c r="L16" s="9" t="s">
        <v>14</v>
      </c>
      <c r="M16" s="16" t="s">
        <v>60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2046</v>
      </c>
      <c r="L17" s="9" t="s">
        <v>14</v>
      </c>
      <c r="M17" s="16" t="s">
        <v>60</v>
      </c>
      <c r="R17" s="1">
        <f>IF(vend1[[#This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2015</v>
      </c>
      <c r="F26" s="25" t="s">
        <v>63</v>
      </c>
      <c r="G26" s="26" t="s">
        <v>25</v>
      </c>
      <c r="H26" s="8"/>
      <c r="I26" s="8">
        <v>750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4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'01'!B1+1</f>
        <v>45506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93"/>
      <c r="F13" s="63"/>
      <c r="G13" s="94"/>
      <c r="H13" s="74"/>
      <c r="I13" s="74"/>
      <c r="J13" s="2"/>
      <c r="K13" s="109" t="s">
        <v>56</v>
      </c>
      <c r="L13" s="110"/>
      <c r="M13" s="111"/>
      <c r="R13" s="1">
        <f>IF(vend2[[#This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93"/>
      <c r="F14" s="63"/>
      <c r="G14" s="94"/>
      <c r="H14" s="74"/>
      <c r="I14" s="74"/>
      <c r="J14" s="2"/>
      <c r="K14" s="14" t="s">
        <v>57</v>
      </c>
      <c r="L14" s="6" t="s">
        <v>58</v>
      </c>
      <c r="M14" s="15" t="s">
        <v>59</v>
      </c>
      <c r="R14" s="1">
        <f>IF(vend2[[#This Row],[Nº Venda]]&gt;1,1,0)</f>
        <v>0</v>
      </c>
    </row>
    <row r="15" spans="2:18" ht="15.75" x14ac:dyDescent="0.25">
      <c r="B15" s="30" t="s">
        <v>35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2041</v>
      </c>
      <c r="L15" s="9" t="s">
        <v>14</v>
      </c>
      <c r="M15" s="16" t="s">
        <v>60</v>
      </c>
      <c r="R15" s="1">
        <f>IF(vend2[[#This Row],[Nº Venda]]&gt;1,1,0)</f>
        <v>0</v>
      </c>
    </row>
    <row r="16" spans="2:18" ht="15.75" x14ac:dyDescent="0.25">
      <c r="B16" s="28" t="s">
        <v>39</v>
      </c>
      <c r="C16" s="32">
        <f>SUM(C11:C15)</f>
        <v>75</v>
      </c>
      <c r="D16" s="2"/>
      <c r="E16" s="18"/>
      <c r="F16" s="25"/>
      <c r="G16" s="26"/>
      <c r="H16" s="8"/>
      <c r="I16" s="8"/>
      <c r="J16" s="2"/>
      <c r="K16" s="25">
        <v>2025</v>
      </c>
      <c r="L16" s="9" t="s">
        <v>17</v>
      </c>
      <c r="M16" s="16" t="s">
        <v>60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21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  <c r="U34" s="1" t="s">
        <v>71</v>
      </c>
    </row>
    <row r="35" spans="2:21" ht="15.75" x14ac:dyDescent="0.25">
      <c r="E35" s="18">
        <v>1971</v>
      </c>
      <c r="F35" s="25" t="s">
        <v>72</v>
      </c>
      <c r="G35" s="26" t="s">
        <v>35</v>
      </c>
      <c r="H35" s="8">
        <v>75</v>
      </c>
      <c r="I35" s="8" t="s">
        <v>73</v>
      </c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4" zoomScale="80" zoomScaleNormal="80" workbookViewId="0">
      <selection activeCell="U10" sqref="U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45507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1081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55</v>
      </c>
      <c r="C8" s="29">
        <f>SUM(C6:C7)</f>
        <v>1081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25</v>
      </c>
      <c r="C13" s="31">
        <f t="shared" si="0"/>
        <v>1081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IF(vend3[[#This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IF(vend3[[#This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2013</v>
      </c>
      <c r="L15" s="9" t="s">
        <v>17</v>
      </c>
      <c r="M15" s="16" t="s">
        <v>60</v>
      </c>
      <c r="R15" s="1">
        <f>IF(vend3[[#This Row],[Nº Venda]]&gt;1,1,0)</f>
        <v>0</v>
      </c>
    </row>
    <row r="16" spans="2:18" ht="15.75" x14ac:dyDescent="0.25">
      <c r="B16" s="28" t="s">
        <v>39</v>
      </c>
      <c r="C16" s="32">
        <f>SUM(C11:C15)</f>
        <v>1081</v>
      </c>
      <c r="D16" s="2"/>
      <c r="E16" s="18"/>
      <c r="F16" s="25"/>
      <c r="G16" s="26"/>
      <c r="H16" s="8"/>
      <c r="I16" s="8"/>
      <c r="J16" s="2"/>
      <c r="K16" s="25">
        <v>2012</v>
      </c>
      <c r="L16" s="9" t="s">
        <v>17</v>
      </c>
      <c r="M16" s="16" t="s">
        <v>60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2013</v>
      </c>
      <c r="F26" s="25" t="s">
        <v>74</v>
      </c>
      <c r="G26" s="46" t="s">
        <v>25</v>
      </c>
      <c r="H26" s="8"/>
      <c r="I26" s="8">
        <v>640.5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2012</v>
      </c>
      <c r="F27" s="25" t="s">
        <v>74</v>
      </c>
      <c r="G27" s="26" t="s">
        <v>25</v>
      </c>
      <c r="H27" s="8"/>
      <c r="I27" s="8">
        <v>440.5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8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45508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IF(vend4[[#This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IF(vend4[[#This Row],[Nº Venda]]&gt;1,1,0)</f>
        <v>0</v>
      </c>
    </row>
    <row r="15" spans="2:18" ht="18.75" x14ac:dyDescent="0.4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9"/>
      <c r="L15" s="9"/>
      <c r="M15" s="60"/>
      <c r="R15" s="1">
        <f>IF(vend4[[#This Row],[Nº Venda]]&gt;1,1,0)</f>
        <v>0</v>
      </c>
    </row>
    <row r="16" spans="2:18" ht="19.5" x14ac:dyDescent="0.4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1"/>
      <c r="L16" s="9"/>
      <c r="M16" s="6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/>
      <c r="L17" s="9"/>
      <c r="M17" s="60"/>
      <c r="R17" s="1">
        <f>IF(vend4[[#This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'04'!B1+1</f>
        <v>45509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>
        <v>2048</v>
      </c>
      <c r="F6" s="25" t="s">
        <v>75</v>
      </c>
      <c r="G6" s="46" t="s">
        <v>53</v>
      </c>
      <c r="H6" s="8" t="s">
        <v>54</v>
      </c>
      <c r="I6" s="8"/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200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IF(vend5[[#This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IF(vend5[[#This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N15" s="16"/>
      <c r="R15" s="1">
        <f>IF(vend5[[#This Row],[Nº Venda]]&gt;1,1,0)</f>
        <v>0</v>
      </c>
    </row>
    <row r="16" spans="2:18" ht="15.75" x14ac:dyDescent="0.25">
      <c r="B16" s="28" t="s">
        <v>39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65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>
        <v>1979</v>
      </c>
      <c r="F35" s="25" t="s">
        <v>76</v>
      </c>
      <c r="G35" s="26" t="s">
        <v>21</v>
      </c>
      <c r="H35" s="8">
        <v>200</v>
      </c>
      <c r="I35" s="8" t="s">
        <v>77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0"/>
      <c r="F37" s="89"/>
      <c r="G37" s="91"/>
      <c r="H37" s="92"/>
      <c r="I37" s="92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45510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>
        <v>2049</v>
      </c>
      <c r="F6" s="25" t="s">
        <v>78</v>
      </c>
      <c r="G6" s="26" t="s">
        <v>53</v>
      </c>
      <c r="H6" s="8" t="s">
        <v>54</v>
      </c>
      <c r="I6" s="8">
        <v>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>
        <v>2027</v>
      </c>
      <c r="L15" s="9" t="s">
        <v>17</v>
      </c>
      <c r="M15" s="16" t="s">
        <v>60</v>
      </c>
      <c r="R15" s="1">
        <f>IF(vend[[#This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1" zoomScale="80" zoomScaleNormal="80" workbookViewId="0">
      <selection activeCell="K25" sqref="K2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3">
        <f>'06'!B1+1</f>
        <v>45511</v>
      </c>
    </row>
    <row r="2" spans="2:21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  <c r="U4" s="1">
        <v>0</v>
      </c>
    </row>
    <row r="5" spans="2:21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21" ht="15.75" x14ac:dyDescent="0.25">
      <c r="B6" s="23" t="s">
        <v>5</v>
      </c>
      <c r="C6" s="24">
        <f>SUM(I6:I41)</f>
        <v>0</v>
      </c>
      <c r="D6" s="2"/>
      <c r="E6" s="18"/>
      <c r="F6" s="81"/>
      <c r="G6" s="81"/>
      <c r="H6" s="82"/>
      <c r="I6" s="82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7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IF(vend7[[#This Row],[Nº Venda]]&gt;1,1,0)</f>
        <v>0</v>
      </c>
    </row>
    <row r="14" spans="2:21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IF(vend7[[#This Row],[Nº Venda]]&gt;1,1,0)</f>
        <v>0</v>
      </c>
    </row>
    <row r="15" spans="2:21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/>
      <c r="L15" s="9"/>
      <c r="M15" s="50"/>
      <c r="R15" s="1">
        <f>IF(vend7[[#This Row],[Nº Venda]]&gt;1,1,0)</f>
        <v>0</v>
      </c>
    </row>
    <row r="16" spans="2:21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62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B1" zoomScale="60" zoomScaleNormal="80" workbookViewId="0">
      <selection activeCell="L21" sqref="L2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'07'!B1+1</f>
        <v>45512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84">
        <v>2050</v>
      </c>
      <c r="F6" s="8" t="s">
        <v>79</v>
      </c>
      <c r="G6" s="8" t="s">
        <v>53</v>
      </c>
      <c r="H6" s="8">
        <v>150</v>
      </c>
      <c r="I6" s="8">
        <v>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84">
        <v>2051</v>
      </c>
      <c r="F7" s="8" t="s">
        <v>79</v>
      </c>
      <c r="G7" s="8" t="s">
        <v>53</v>
      </c>
      <c r="H7" s="8" t="s">
        <v>54</v>
      </c>
      <c r="I7" s="8">
        <v>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55</v>
      </c>
      <c r="C8" s="29">
        <f>SUM(C6:C7)</f>
        <v>0</v>
      </c>
      <c r="D8" s="2"/>
      <c r="E8" s="84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4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21</v>
      </c>
      <c r="C11" s="80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23</v>
      </c>
      <c r="C12" s="80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25</v>
      </c>
      <c r="C13" s="80">
        <f>(SUMIF($G$2:$G$31,B13,$I$2:$I$31))+(SUMIF($G$35:$G$42,B13,$H$35:$H$42))</f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IF(vend8[[#This Row],[Nº Venda]]&gt;1,1,0)</f>
        <v>0</v>
      </c>
    </row>
    <row r="14" spans="2:18" ht="15.75" x14ac:dyDescent="0.25">
      <c r="B14" s="30" t="s">
        <v>32</v>
      </c>
      <c r="C14" s="80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IF(vend8[[#This Row],[Nº Venda]]&gt;1,1,0)</f>
        <v>0</v>
      </c>
    </row>
    <row r="15" spans="2:18" ht="15.75" x14ac:dyDescent="0.25">
      <c r="B15" s="30" t="s">
        <v>35</v>
      </c>
      <c r="C15" s="80">
        <f>(SUMIF($G$2:$G$31,B15,$I$2:$I$31))+(SUMIF($G$35:$G$42,B15,$H$35:$H$42))</f>
        <v>390.25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39</v>
      </c>
      <c r="C16" s="32">
        <f>SUM(C11:C15)</f>
        <v>390.25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/>
      <c r="F26" s="86"/>
      <c r="G26" s="87"/>
      <c r="H26" s="88"/>
      <c r="I26" s="8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>
        <v>1868</v>
      </c>
      <c r="F35" s="25" t="s">
        <v>80</v>
      </c>
      <c r="G35" s="26" t="s">
        <v>35</v>
      </c>
      <c r="H35" s="8">
        <v>390.25</v>
      </c>
      <c r="I35" s="8" t="s">
        <v>81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2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103"/>
      <c r="G42" s="37"/>
      <c r="H42" s="17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L21" sqref="L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45513</v>
      </c>
    </row>
    <row r="2" spans="2:22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22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22" ht="15.75" x14ac:dyDescent="0.25">
      <c r="B6" s="23" t="s">
        <v>5</v>
      </c>
      <c r="C6" s="24">
        <f>SUM(I6:I41)</f>
        <v>540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55</v>
      </c>
      <c r="C8" s="29">
        <f>SUM(C6:C7)</f>
        <v>540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IF(vend9[[#This Row],[Nº Venda]]&gt;1,1,0)</f>
        <v>0</v>
      </c>
    </row>
    <row r="14" spans="2:22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IF(vend9[[#This Row],[Nº Venda]]&gt;1,1,0)</f>
        <v>0</v>
      </c>
    </row>
    <row r="15" spans="2:22" ht="15.75" x14ac:dyDescent="0.25">
      <c r="B15" s="30" t="s">
        <v>35</v>
      </c>
      <c r="C15" s="31">
        <f t="shared" si="0"/>
        <v>540</v>
      </c>
      <c r="D15" s="2"/>
      <c r="E15" s="18"/>
      <c r="F15" s="25"/>
      <c r="G15" s="26"/>
      <c r="H15" s="8"/>
      <c r="I15" s="8"/>
      <c r="J15" s="2"/>
      <c r="K15" s="25">
        <v>2028</v>
      </c>
      <c r="L15" s="9" t="s">
        <v>17</v>
      </c>
      <c r="M15" s="16" t="s">
        <v>60</v>
      </c>
      <c r="R15" s="1">
        <f>IF(vend9[[#This Row],[Nº Venda]]&gt;1,1,0)</f>
        <v>0</v>
      </c>
    </row>
    <row r="16" spans="2:22" ht="15.75" x14ac:dyDescent="0.25">
      <c r="B16" s="28" t="s">
        <v>39</v>
      </c>
      <c r="C16" s="32">
        <f>SUM(C11:C15)</f>
        <v>540</v>
      </c>
      <c r="D16" s="2"/>
      <c r="E16" s="18"/>
      <c r="F16" s="25"/>
      <c r="G16" s="26"/>
      <c r="H16" s="8"/>
      <c r="I16" s="8"/>
      <c r="J16" s="2"/>
      <c r="K16" s="25">
        <v>2029</v>
      </c>
      <c r="L16" s="9" t="s">
        <v>17</v>
      </c>
      <c r="M16" s="16" t="s">
        <v>60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2008</v>
      </c>
      <c r="L17" s="9" t="s">
        <v>14</v>
      </c>
      <c r="M17" s="16" t="s">
        <v>60</v>
      </c>
      <c r="R17" s="1">
        <f>IF(vend9[[#This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>
        <v>2035</v>
      </c>
      <c r="L18" s="9" t="s">
        <v>17</v>
      </c>
      <c r="M18" s="16" t="s">
        <v>82</v>
      </c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613.79999999999995</v>
      </c>
      <c r="D19" s="2"/>
      <c r="E19" s="18"/>
      <c r="F19" s="25"/>
      <c r="G19" s="26"/>
      <c r="H19" s="8"/>
      <c r="I19" s="8"/>
      <c r="J19" s="2"/>
      <c r="K19" s="25">
        <v>2036</v>
      </c>
      <c r="L19" s="9" t="s">
        <v>17</v>
      </c>
      <c r="M19" s="16" t="s">
        <v>82</v>
      </c>
      <c r="R19" s="1">
        <f>IF(vend9[[#This Row],[Nº Venda]]&gt;1,1,0)</f>
        <v>0</v>
      </c>
    </row>
    <row r="20" spans="2:18" ht="15.75" x14ac:dyDescent="0.25">
      <c r="B20" s="28" t="s">
        <v>39</v>
      </c>
      <c r="C20" s="32">
        <f>SUM(C19:C19)</f>
        <v>613.79999999999995</v>
      </c>
      <c r="D20" s="2"/>
      <c r="E20" s="18"/>
      <c r="F20" s="25"/>
      <c r="G20" s="26"/>
      <c r="H20" s="8"/>
      <c r="I20" s="8"/>
      <c r="J20" s="2"/>
      <c r="K20" s="25">
        <v>2040</v>
      </c>
      <c r="L20" s="9" t="s">
        <v>14</v>
      </c>
      <c r="M20" s="16" t="s">
        <v>60</v>
      </c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2040</v>
      </c>
      <c r="F26" s="25" t="s">
        <v>83</v>
      </c>
      <c r="G26" s="46" t="s">
        <v>35</v>
      </c>
      <c r="H26" s="8"/>
      <c r="I26" s="8">
        <v>540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>
        <v>2035</v>
      </c>
      <c r="L35" s="41">
        <v>6</v>
      </c>
      <c r="M35" s="16">
        <v>613.79999999999995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abSelected="1" topLeftCell="A6" zoomScale="80" zoomScaleNormal="8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45514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SUMIF(I6:I32,"&gt;0",H6:H32)</f>
        <v>1200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SUM(I6:I42)</f>
        <v>510</v>
      </c>
      <c r="D6" s="2"/>
      <c r="E6" s="18">
        <v>2052</v>
      </c>
      <c r="F6" s="25" t="s">
        <v>84</v>
      </c>
      <c r="G6" s="46" t="s">
        <v>23</v>
      </c>
      <c r="H6" s="8">
        <v>570</v>
      </c>
      <c r="I6" s="8">
        <v>25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2053</v>
      </c>
      <c r="F7" s="25" t="s">
        <v>85</v>
      </c>
      <c r="G7" s="46" t="s">
        <v>23</v>
      </c>
      <c r="H7" s="8">
        <v>270</v>
      </c>
      <c r="I7" s="8">
        <v>25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55</v>
      </c>
      <c r="C8" s="29">
        <f>SUM(C6:C7)</f>
        <v>510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21</v>
      </c>
      <c r="C11" s="31">
        <f>(SUMIF($G$2:$G$32,B11,$I$2:$I$32))+(SUMIF($G$36:$G$42,B11,$H$36:$H$42))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23</v>
      </c>
      <c r="C12" s="31">
        <f>(SUMIF($G$2:$G$32,B12,$I$2:$I$32))+(SUMIF($G$36:$G$42,B12,$H$36:$H$42))</f>
        <v>150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25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IF(vend10[[#This Row],[Nº Venda]]&gt;1,1,0)</f>
        <v>0</v>
      </c>
    </row>
    <row r="14" spans="2:18" ht="15.75" x14ac:dyDescent="0.25">
      <c r="B14" s="30" t="s">
        <v>32</v>
      </c>
      <c r="C14" s="31">
        <f>(SUMIF($G$2:$G$32,B14,$I$2:$I$32))+(SUMIF($G$36:$G$42,B14,$H$36:$H$42))</f>
        <v>360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IF(vend10[[#This Row],[Nº Venda]]&gt;1,1,0)</f>
        <v>0</v>
      </c>
    </row>
    <row r="15" spans="2:18" ht="15.75" x14ac:dyDescent="0.25">
      <c r="B15" s="30" t="s">
        <v>35</v>
      </c>
      <c r="C15" s="31">
        <f>(SUMIF($G$2:$G$32,B15,$I$2:$I$32))+(SUMIF($G$36:$G$42,B15,$H$36:$H$42))</f>
        <v>344.5</v>
      </c>
      <c r="D15" s="2"/>
      <c r="E15" s="18"/>
      <c r="F15" s="25"/>
      <c r="G15" s="26"/>
      <c r="H15" s="8"/>
      <c r="I15" s="8"/>
      <c r="J15" s="2"/>
      <c r="K15" s="25">
        <v>2037</v>
      </c>
      <c r="L15" s="9" t="s">
        <v>17</v>
      </c>
      <c r="M15" s="16" t="s">
        <v>60</v>
      </c>
      <c r="R15" s="1">
        <f>IF(vend10[[#This Row],[Nº Venda]]&gt;1,1,0)</f>
        <v>0</v>
      </c>
    </row>
    <row r="16" spans="2:18" ht="15.75" x14ac:dyDescent="0.25">
      <c r="B16" s="28" t="s">
        <v>39</v>
      </c>
      <c r="C16" s="32">
        <f>SUM(C11:C15)</f>
        <v>1004.5</v>
      </c>
      <c r="D16" s="2"/>
      <c r="E16" s="18"/>
      <c r="F16" s="25"/>
      <c r="G16" s="26"/>
      <c r="H16" s="8"/>
      <c r="I16" s="8"/>
      <c r="J16" s="2"/>
      <c r="K16" s="25"/>
      <c r="L16" s="9"/>
      <c r="M16" s="65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1</v>
      </c>
      <c r="C19" s="31">
        <f>SUM(entr_carn10[Valor Total])</f>
        <v>100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39</v>
      </c>
      <c r="C20" s="32">
        <f>SUM(C19:C19)</f>
        <v>100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1200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2039</v>
      </c>
      <c r="F26" s="25" t="s">
        <v>86</v>
      </c>
      <c r="G26" s="46" t="s">
        <v>32</v>
      </c>
      <c r="H26" s="8">
        <v>360</v>
      </c>
      <c r="I26" s="8">
        <v>360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2045</v>
      </c>
      <c r="F27" s="25" t="s">
        <v>87</v>
      </c>
      <c r="G27" s="46" t="s">
        <v>23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09" t="s">
        <v>42</v>
      </c>
      <c r="L33" s="110"/>
      <c r="M33" s="111"/>
    </row>
    <row r="34" spans="2:18" ht="15" x14ac:dyDescent="0.25">
      <c r="E34" s="108" t="s">
        <v>64</v>
      </c>
      <c r="F34" s="108"/>
      <c r="G34" s="108"/>
      <c r="H34" s="108"/>
      <c r="I34" s="108"/>
      <c r="K34" s="14" t="s">
        <v>57</v>
      </c>
      <c r="L34" s="6" t="s">
        <v>67</v>
      </c>
      <c r="M34" s="15" t="s">
        <v>68</v>
      </c>
    </row>
    <row r="35" spans="2:18" ht="15" x14ac:dyDescent="0.25">
      <c r="E35" s="10" t="s">
        <v>57</v>
      </c>
      <c r="F35" s="10" t="s">
        <v>45</v>
      </c>
      <c r="G35" s="11" t="s">
        <v>46</v>
      </c>
      <c r="H35" s="12" t="s">
        <v>65</v>
      </c>
      <c r="I35" s="13" t="s">
        <v>66</v>
      </c>
      <c r="K35" s="25">
        <v>2045</v>
      </c>
      <c r="L35" s="41">
        <v>1</v>
      </c>
      <c r="M35" s="16">
        <v>100</v>
      </c>
    </row>
    <row r="36" spans="2:18" ht="15.75" x14ac:dyDescent="0.25">
      <c r="E36" s="18">
        <v>1986</v>
      </c>
      <c r="F36" s="25" t="s">
        <v>88</v>
      </c>
      <c r="G36" s="26" t="s">
        <v>21</v>
      </c>
      <c r="H36" s="8">
        <v>150</v>
      </c>
      <c r="I36" s="8" t="s">
        <v>89</v>
      </c>
      <c r="K36" s="25"/>
      <c r="L36" s="41"/>
      <c r="M36" s="16"/>
    </row>
    <row r="37" spans="2:18" ht="15.75" x14ac:dyDescent="0.25">
      <c r="E37" s="18">
        <v>2002</v>
      </c>
      <c r="F37" s="25" t="s">
        <v>75</v>
      </c>
      <c r="G37" s="26" t="s">
        <v>35</v>
      </c>
      <c r="H37" s="8">
        <v>344.5</v>
      </c>
      <c r="I37" s="8" t="s">
        <v>90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69</v>
      </c>
      <c r="R40" s="1">
        <f>SUM(R6:R21)</f>
        <v>2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5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'10'!B1+1</f>
        <v>45515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IF(vend11[[#This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IF(vend11[[#This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6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45516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" x14ac:dyDescent="0.25">
      <c r="B6" s="23" t="s">
        <v>5</v>
      </c>
      <c r="C6" s="24">
        <f>SUM(I6:I41)</f>
        <v>0</v>
      </c>
      <c r="D6" s="2"/>
      <c r="E6" s="95"/>
      <c r="F6" s="51"/>
      <c r="G6" s="51"/>
      <c r="H6" s="52"/>
      <c r="I6" s="52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7</v>
      </c>
      <c r="C7" s="24">
        <f>SUM(M6:M11)</f>
        <v>0</v>
      </c>
      <c r="D7" s="2"/>
      <c r="E7" s="56"/>
      <c r="F7" s="53"/>
      <c r="G7" s="53"/>
      <c r="H7" s="54"/>
      <c r="I7" s="54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56"/>
      <c r="F8" s="53"/>
      <c r="G8" s="53"/>
      <c r="H8" s="54"/>
      <c r="I8" s="54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IF(vend12[[#This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IF(vend12[[#This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6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45517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IF(vend13[[#This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IF(vend13[[#This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2049</v>
      </c>
      <c r="L15" s="9" t="s">
        <v>14</v>
      </c>
      <c r="M15" s="16" t="s">
        <v>60</v>
      </c>
      <c r="R15" s="1">
        <f>IF(vend13[[#This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2031</v>
      </c>
      <c r="L16" s="9" t="s">
        <v>14</v>
      </c>
      <c r="M16" s="16" t="s">
        <v>60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4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45518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IF(vend14[[#This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IF(vend14[[#This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'14'!B1+1</f>
        <v>45519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570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920</v>
      </c>
      <c r="D6" s="2"/>
      <c r="E6" s="18">
        <v>2056</v>
      </c>
      <c r="F6" s="25" t="s">
        <v>91</v>
      </c>
      <c r="G6" s="46" t="s">
        <v>25</v>
      </c>
      <c r="H6" s="8">
        <v>570</v>
      </c>
      <c r="I6" s="8">
        <v>570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55</v>
      </c>
      <c r="C8" s="29">
        <f>SUM(C6:C7)</f>
        <v>920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25</v>
      </c>
      <c r="C13" s="31">
        <f t="shared" si="0"/>
        <v>570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IF(vend15[[#This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IF(vend15[[#This Row],[Nº Venda]]&gt;1,1,0)</f>
        <v>0</v>
      </c>
    </row>
    <row r="15" spans="2:18" ht="15.75" x14ac:dyDescent="0.25">
      <c r="B15" s="30" t="s">
        <v>35</v>
      </c>
      <c r="C15" s="31">
        <f t="shared" si="0"/>
        <v>350</v>
      </c>
      <c r="D15" s="2"/>
      <c r="E15" s="18"/>
      <c r="F15" s="25"/>
      <c r="G15" s="26"/>
      <c r="H15" s="8"/>
      <c r="I15" s="8"/>
      <c r="J15" s="2"/>
      <c r="K15" s="63">
        <v>2056</v>
      </c>
      <c r="L15" s="9" t="s">
        <v>14</v>
      </c>
      <c r="M15" s="71" t="s">
        <v>60</v>
      </c>
      <c r="R15" s="1">
        <f>IF(vend15[[#This Row],[Nº Venda]]&gt;1,1,0)</f>
        <v>0</v>
      </c>
    </row>
    <row r="16" spans="2:18" ht="15.75" x14ac:dyDescent="0.25">
      <c r="B16" s="28" t="s">
        <v>39</v>
      </c>
      <c r="C16" s="32">
        <f>SUM(C11:C15)</f>
        <v>920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71"/>
      <c r="R19" s="1">
        <f>IF(vend15[[#This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570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2033</v>
      </c>
      <c r="F26" s="25" t="s">
        <v>92</v>
      </c>
      <c r="G26" s="46" t="s">
        <v>35</v>
      </c>
      <c r="H26" s="8"/>
      <c r="I26" s="8">
        <v>350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8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'15'!B1+1</f>
        <v>45520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IF(vend16[[#This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IF(vend16[[#This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71"/>
      <c r="R17" s="1">
        <f>IF(vend16[[#This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3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45521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1049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270</v>
      </c>
      <c r="D6" s="2"/>
      <c r="E6" s="18">
        <v>2057</v>
      </c>
      <c r="F6" s="25" t="s">
        <v>93</v>
      </c>
      <c r="G6" s="26" t="s">
        <v>21</v>
      </c>
      <c r="H6" s="8">
        <v>499</v>
      </c>
      <c r="I6" s="8">
        <v>250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2058</v>
      </c>
      <c r="F7" s="25" t="s">
        <v>94</v>
      </c>
      <c r="G7" s="26" t="s">
        <v>54</v>
      </c>
      <c r="H7" s="8">
        <v>0</v>
      </c>
      <c r="I7" s="8">
        <v>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55</v>
      </c>
      <c r="C8" s="29">
        <f>SUM(C6:C7)</f>
        <v>270</v>
      </c>
      <c r="D8" s="2"/>
      <c r="E8" s="18">
        <v>2059</v>
      </c>
      <c r="F8" s="25" t="s">
        <v>95</v>
      </c>
      <c r="G8" s="26" t="s">
        <v>54</v>
      </c>
      <c r="H8" s="8">
        <v>0</v>
      </c>
      <c r="I8" s="8">
        <v>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2060</v>
      </c>
      <c r="F9" s="25" t="s">
        <v>96</v>
      </c>
      <c r="G9" s="26" t="s">
        <v>35</v>
      </c>
      <c r="H9" s="8">
        <v>550</v>
      </c>
      <c r="I9" s="8">
        <v>20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IF(vend17[[#This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IF(vend17[[#This Row],[Nº Venda]]&gt;1,1,0)</f>
        <v>0</v>
      </c>
    </row>
    <row r="15" spans="2:18" ht="15.75" x14ac:dyDescent="0.25">
      <c r="B15" s="30" t="s">
        <v>35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>
        <v>2054</v>
      </c>
      <c r="L15" s="9" t="s">
        <v>14</v>
      </c>
      <c r="M15" s="16" t="s">
        <v>60</v>
      </c>
      <c r="R15" s="1">
        <f>IF(vend17[[#This Row],[Nº Venda]]&gt;1,1,0)</f>
        <v>0</v>
      </c>
    </row>
    <row r="16" spans="2:18" ht="15.75" x14ac:dyDescent="0.25">
      <c r="B16" s="28" t="s">
        <v>39</v>
      </c>
      <c r="C16" s="32">
        <f>SUM(C11:C15)</f>
        <v>270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1049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45522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93"/>
      <c r="F6" s="63"/>
      <c r="G6" s="94"/>
      <c r="H6" s="74"/>
      <c r="I6" s="74"/>
      <c r="J6" s="2"/>
      <c r="K6" s="25"/>
      <c r="L6" s="69"/>
      <c r="M6" s="16"/>
      <c r="R6" s="1">
        <f>IF(vend18[[#This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IF(vend18[[#This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IF(vend18[[#This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view="pageBreakPreview" topLeftCell="A11" zoomScale="60" zoomScaleNormal="80" workbookViewId="0">
      <selection activeCell="K33" sqref="K33:M33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45524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150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150</v>
      </c>
      <c r="D6" s="2"/>
      <c r="E6" s="18">
        <v>2061</v>
      </c>
      <c r="F6" s="25" t="s">
        <v>97</v>
      </c>
      <c r="G6" s="26" t="s">
        <v>54</v>
      </c>
      <c r="H6" s="8">
        <v>0</v>
      </c>
      <c r="I6" s="8">
        <v>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2062</v>
      </c>
      <c r="F7" s="25" t="s">
        <v>98</v>
      </c>
      <c r="G7" s="26" t="s">
        <v>54</v>
      </c>
      <c r="H7" s="8">
        <v>0</v>
      </c>
      <c r="I7" s="8">
        <v>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55</v>
      </c>
      <c r="C8" s="29">
        <f>SUM(C6:C7)</f>
        <v>150</v>
      </c>
      <c r="D8" s="2"/>
      <c r="E8" s="18">
        <v>2063</v>
      </c>
      <c r="F8" s="25" t="s">
        <v>98</v>
      </c>
      <c r="G8" s="26" t="s">
        <v>53</v>
      </c>
      <c r="H8" s="8">
        <v>100</v>
      </c>
      <c r="I8" s="8">
        <v>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25</v>
      </c>
      <c r="C13" s="31">
        <f t="shared" si="0"/>
        <v>150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IF(vend20[[#This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IF(vend20[[#This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>
        <v>2050</v>
      </c>
      <c r="L15" s="9" t="s">
        <v>14</v>
      </c>
      <c r="M15" s="16" t="s">
        <v>60</v>
      </c>
      <c r="R15" s="1">
        <f>IF(vend20[[#This Row],[Nº Venda]]&gt;1,1,0)</f>
        <v>0</v>
      </c>
    </row>
    <row r="16" spans="2:18" ht="15.75" x14ac:dyDescent="0.25">
      <c r="B16" s="28" t="s">
        <v>39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63">
        <v>2051</v>
      </c>
      <c r="L16" s="9" t="s">
        <v>14</v>
      </c>
      <c r="M16" s="71" t="s">
        <v>60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2039</v>
      </c>
      <c r="L17" s="9" t="s">
        <v>14</v>
      </c>
      <c r="M17" s="16" t="s">
        <v>60</v>
      </c>
      <c r="R17" s="1">
        <f>IF(vend20[[#This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2050</v>
      </c>
      <c r="F26" s="25" t="s">
        <v>99</v>
      </c>
      <c r="G26" s="26" t="s">
        <v>25</v>
      </c>
      <c r="H26" s="8">
        <v>150</v>
      </c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71"/>
    </row>
    <row r="36" spans="2:18" ht="15.75" x14ac:dyDescent="0.25">
      <c r="E36" s="18"/>
      <c r="F36" s="25"/>
      <c r="G36" s="26"/>
      <c r="H36" s="8"/>
      <c r="I36" s="8"/>
      <c r="K36" s="63"/>
      <c r="L36" s="72"/>
      <c r="M36" s="71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0" zoomScale="80" zoomScaleNormal="80" zoomScaleSheetLayoutView="7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'18'!B1+1</f>
        <v>45523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70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3"/>
      <c r="F9" s="63"/>
      <c r="G9" s="94"/>
      <c r="H9" s="74"/>
      <c r="I9" s="74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IF(vend19[[#This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IF(vend19[[#This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100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zoomScale="60" zoomScaleNormal="80" workbookViewId="0">
      <selection activeCell="M19" sqref="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45525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1750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55</v>
      </c>
      <c r="C8" s="29">
        <f>SUM(C6:C7)</f>
        <v>1750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25</v>
      </c>
      <c r="C13" s="31">
        <f t="shared" si="0"/>
        <v>1750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IF(vend21[[#This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IF(vend21[[#This Row],[Nº Venda]]&gt;1,1,0)</f>
        <v>0</v>
      </c>
    </row>
    <row r="15" spans="2:18" ht="15.75" x14ac:dyDescent="0.25">
      <c r="B15" s="30" t="s">
        <v>35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1985</v>
      </c>
      <c r="L15" s="9" t="s">
        <v>14</v>
      </c>
      <c r="M15" s="16" t="s">
        <v>60</v>
      </c>
      <c r="R15" s="1">
        <f>IF(vend21[[#This Row],[Nº Venda]]&gt;1,1,0)</f>
        <v>0</v>
      </c>
    </row>
    <row r="16" spans="2:18" ht="15.75" x14ac:dyDescent="0.25">
      <c r="B16" s="28" t="s">
        <v>39</v>
      </c>
      <c r="C16" s="32">
        <f>SUM(C11:C15)</f>
        <v>1825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1985</v>
      </c>
      <c r="F26" s="25" t="s">
        <v>101</v>
      </c>
      <c r="G26" s="26" t="s">
        <v>25</v>
      </c>
      <c r="H26" s="8"/>
      <c r="I26" s="8">
        <v>900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2032</v>
      </c>
      <c r="F27" s="25" t="s">
        <v>102</v>
      </c>
      <c r="G27" s="26" t="s">
        <v>25</v>
      </c>
      <c r="H27" s="8"/>
      <c r="I27" s="8">
        <v>350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2034</v>
      </c>
      <c r="F28" s="25" t="s">
        <v>102</v>
      </c>
      <c r="G28" s="26" t="s">
        <v>25</v>
      </c>
      <c r="H28" s="8"/>
      <c r="I28" s="8">
        <v>500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>
        <v>1810</v>
      </c>
      <c r="F35" s="25" t="s">
        <v>103</v>
      </c>
      <c r="G35" s="26" t="s">
        <v>35</v>
      </c>
      <c r="H35" s="8">
        <v>75</v>
      </c>
      <c r="I35" s="8" t="s">
        <v>104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G35:G41 G26:G31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4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45526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600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1130</v>
      </c>
      <c r="D6" s="2"/>
      <c r="E6" s="18">
        <v>2064</v>
      </c>
      <c r="F6" s="25" t="s">
        <v>105</v>
      </c>
      <c r="G6" s="26" t="s">
        <v>25</v>
      </c>
      <c r="H6" s="8">
        <v>600</v>
      </c>
      <c r="I6" s="8">
        <v>600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55</v>
      </c>
      <c r="C8" s="29">
        <f>SUM(C6:C7)</f>
        <v>1130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530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25</v>
      </c>
      <c r="C13" s="31">
        <f t="shared" si="0"/>
        <v>600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IF(vend22[[#This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IF(vend22[[#This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39</v>
      </c>
      <c r="C16" s="32">
        <f>SUM(C11:C15)</f>
        <v>1130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2060</v>
      </c>
      <c r="F26" s="25" t="s">
        <v>106</v>
      </c>
      <c r="G26" s="26" t="s">
        <v>21</v>
      </c>
      <c r="H26" s="8"/>
      <c r="I26" s="8">
        <v>530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45527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1948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450</v>
      </c>
      <c r="D6" s="2"/>
      <c r="E6" s="18">
        <v>2065</v>
      </c>
      <c r="F6" s="25" t="s">
        <v>107</v>
      </c>
      <c r="G6" s="26" t="s">
        <v>25</v>
      </c>
      <c r="H6" s="8">
        <v>699</v>
      </c>
      <c r="I6" s="8">
        <v>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2066</v>
      </c>
      <c r="F7" s="25" t="s">
        <v>108</v>
      </c>
      <c r="G7" s="26" t="s">
        <v>35</v>
      </c>
      <c r="H7" s="8">
        <v>325</v>
      </c>
      <c r="I7" s="8">
        <v>50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55</v>
      </c>
      <c r="C8" s="29">
        <f>SUM(C6:C7)</f>
        <v>450</v>
      </c>
      <c r="D8" s="2"/>
      <c r="E8" s="18">
        <v>2067</v>
      </c>
      <c r="F8" s="25" t="s">
        <v>108</v>
      </c>
      <c r="G8" s="26" t="s">
        <v>35</v>
      </c>
      <c r="H8" s="8">
        <v>325</v>
      </c>
      <c r="I8" s="8">
        <v>50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2068</v>
      </c>
      <c r="F9" s="25" t="s">
        <v>109</v>
      </c>
      <c r="G9" s="26" t="s">
        <v>25</v>
      </c>
      <c r="H9" s="8">
        <v>599</v>
      </c>
      <c r="I9" s="8">
        <v>300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21</v>
      </c>
      <c r="C11" s="80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23</v>
      </c>
      <c r="C12" s="80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25</v>
      </c>
      <c r="C13" s="80">
        <f>(SUMIF($G$2:$G$31,B13,$I$2:$I$31))+(SUMIF($G$35:$G$44,B13,$H$35:$H$44))</f>
        <v>350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IF(vend23[[#This Row],[Nº Venda]]&gt;1,1,0)</f>
        <v>0</v>
      </c>
    </row>
    <row r="14" spans="2:18" ht="15.75" x14ac:dyDescent="0.25">
      <c r="B14" s="30" t="s">
        <v>32</v>
      </c>
      <c r="C14" s="80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IF(vend23[[#This Row],[Nº Venda]]&gt;1,1,0)</f>
        <v>0</v>
      </c>
    </row>
    <row r="15" spans="2:18" ht="15.75" x14ac:dyDescent="0.25">
      <c r="B15" s="30" t="s">
        <v>35</v>
      </c>
      <c r="C15" s="80">
        <f>(SUMIF($G$2:$G$31,B15,$I$2:$I$31))+(SUMIF($G$35:$G$44,B15,$H$35:$H$44))</f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39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1948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4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103"/>
      <c r="G42" s="37"/>
      <c r="H42" s="17"/>
      <c r="I42" s="17"/>
    </row>
    <row r="43" spans="2:18" ht="15.75" x14ac:dyDescent="0.25">
      <c r="E43" s="35"/>
      <c r="F43" s="39"/>
      <c r="G43" s="26"/>
      <c r="H43" s="8"/>
      <c r="I43" s="8"/>
    </row>
    <row r="44" spans="2:18" ht="15.75" x14ac:dyDescent="0.25">
      <c r="E44" s="104"/>
      <c r="F44" s="103"/>
      <c r="G44" s="37"/>
      <c r="H44" s="1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zoomScale="60" zoomScaleNormal="80" workbookViewId="0">
      <selection activeCell="E24" sqref="E24:I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45528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150</v>
      </c>
      <c r="D6" s="2"/>
      <c r="E6" s="18">
        <v>2069</v>
      </c>
      <c r="F6" s="25" t="s">
        <v>110</v>
      </c>
      <c r="G6" s="26" t="s">
        <v>54</v>
      </c>
      <c r="H6" s="8">
        <v>0</v>
      </c>
      <c r="I6" s="8">
        <v>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7</v>
      </c>
      <c r="C7" s="24">
        <f>SUM(M6:M11)</f>
        <v>0</v>
      </c>
      <c r="D7" s="2"/>
      <c r="E7" s="18">
        <v>2070</v>
      </c>
      <c r="F7" s="25" t="s">
        <v>111</v>
      </c>
      <c r="G7" s="26" t="s">
        <v>54</v>
      </c>
      <c r="H7" s="8">
        <v>0</v>
      </c>
      <c r="I7" s="8">
        <v>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55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IF(vend24[[#This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IF(vend24[[#This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2048</v>
      </c>
      <c r="L15" s="9" t="s">
        <v>14</v>
      </c>
      <c r="M15" s="16" t="s">
        <v>60</v>
      </c>
      <c r="R15" s="1">
        <f>IF(vend24[[#This Row],[Nº Venda]]&gt;1,1,0)</f>
        <v>0</v>
      </c>
    </row>
    <row r="16" spans="2:18" ht="15.75" x14ac:dyDescent="0.25">
      <c r="B16" s="28" t="s">
        <v>39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>
        <v>2038</v>
      </c>
      <c r="L16" s="9" t="s">
        <v>14</v>
      </c>
      <c r="M16" s="16" t="s">
        <v>82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1</v>
      </c>
      <c r="C19" s="31">
        <f>SUM(entr_carn24[Valor Total])</f>
        <v>490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39</v>
      </c>
      <c r="C20" s="32">
        <f>SUM(C19:C19)</f>
        <v>490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2038</v>
      </c>
      <c r="F26" s="25" t="s">
        <v>112</v>
      </c>
      <c r="G26" s="26" t="s">
        <v>23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>
        <v>2038</v>
      </c>
      <c r="L35" s="41">
        <v>4</v>
      </c>
      <c r="M35" s="16">
        <v>490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5" zoomScale="80" zoomScaleNormal="80" workbookViewId="0">
      <selection activeCell="D14" sqref="D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45529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23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25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IF(vend25[[#This Row],[Nº Venda]]&gt;1,1,0)</f>
        <v>0</v>
      </c>
    </row>
    <row r="14" spans="2:18" ht="15.75" x14ac:dyDescent="0.25">
      <c r="B14" s="30" t="s">
        <v>32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IF(vend25[[#This Row],[Nº Venda]]&gt;1,1,0)</f>
        <v>0</v>
      </c>
    </row>
    <row r="15" spans="2:18" ht="15.75" x14ac:dyDescent="0.25">
      <c r="B15" s="30" t="s">
        <v>35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77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45530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IF(vend26[[#This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IF(vend26[[#This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C12" sqref="C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45531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IF(vend27[[#This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IF(vend27[[#This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K25" sqref="K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45532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55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IF(vend28[[#This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IF(vend28[[#This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39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45533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550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55</v>
      </c>
      <c r="C8" s="29">
        <f>SUM(C6:C7)</f>
        <v>550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IF(vend29[[#This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IF(vend29[[#This Row],[Nº Venda]]&gt;1,1,0)</f>
        <v>0</v>
      </c>
    </row>
    <row r="15" spans="2:18" ht="15.75" x14ac:dyDescent="0.25">
      <c r="B15" s="30" t="s">
        <v>35</v>
      </c>
      <c r="C15" s="31">
        <f t="shared" si="0"/>
        <v>550</v>
      </c>
      <c r="D15" s="2"/>
      <c r="E15" s="18"/>
      <c r="F15" s="25"/>
      <c r="G15" s="26"/>
      <c r="H15" s="8"/>
      <c r="I15" s="8"/>
      <c r="J15" s="2"/>
      <c r="K15" s="63">
        <v>2066</v>
      </c>
      <c r="L15" s="9" t="s">
        <v>24</v>
      </c>
      <c r="M15" s="16" t="s">
        <v>60</v>
      </c>
      <c r="R15" s="1">
        <f>IF(vend29[[#This Row],[Nº Venda]]&gt;1,1,0)</f>
        <v>0</v>
      </c>
    </row>
    <row r="16" spans="2:18" ht="15.75" x14ac:dyDescent="0.25">
      <c r="B16" s="28" t="s">
        <v>39</v>
      </c>
      <c r="C16" s="32">
        <f>SUM(C11:C15)</f>
        <v>550</v>
      </c>
      <c r="D16" s="2"/>
      <c r="E16" s="18"/>
      <c r="F16" s="25"/>
      <c r="G16" s="26"/>
      <c r="H16" s="8"/>
      <c r="I16" s="8"/>
      <c r="J16" s="2"/>
      <c r="K16" s="63">
        <v>2067</v>
      </c>
      <c r="L16" s="9" t="s">
        <v>24</v>
      </c>
      <c r="M16" s="16" t="s">
        <v>60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>
        <v>2060</v>
      </c>
      <c r="L17" s="9" t="s">
        <v>17</v>
      </c>
      <c r="M17" s="16" t="s">
        <v>60</v>
      </c>
      <c r="R17" s="1">
        <f>IF(vend29[[#This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2066</v>
      </c>
      <c r="F26" s="25" t="s">
        <v>113</v>
      </c>
      <c r="G26" s="26" t="s">
        <v>35</v>
      </c>
      <c r="H26" s="8"/>
      <c r="I26" s="8">
        <v>275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2067</v>
      </c>
      <c r="F27" s="25" t="s">
        <v>113</v>
      </c>
      <c r="G27" s="26" t="s">
        <v>35</v>
      </c>
      <c r="H27" s="8"/>
      <c r="I27" s="8">
        <v>275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9" zoomScale="80" zoomScaleNormal="80" workbookViewId="0">
      <selection activeCell="F19" sqref="F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45534</v>
      </c>
    </row>
    <row r="2" spans="2:18" ht="18.75" x14ac:dyDescent="0.2">
      <c r="B2" s="112" t="s">
        <v>70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300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55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IF(vend30[[#This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IF(vend30[[#This Row],[Nº Venda]]&gt;1,1,0)</f>
        <v>0</v>
      </c>
    </row>
    <row r="15" spans="2:18" ht="15.75" x14ac:dyDescent="0.25">
      <c r="B15" s="30" t="s">
        <v>35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2068</v>
      </c>
      <c r="L15" s="9" t="s">
        <v>24</v>
      </c>
      <c r="M15" s="16" t="s">
        <v>60</v>
      </c>
      <c r="R15" s="1">
        <f>IF(vend30[[#This Row],[Nº Venda]]&gt;1,1,0)</f>
        <v>0</v>
      </c>
    </row>
    <row r="16" spans="2:18" ht="15.75" x14ac:dyDescent="0.25">
      <c r="B16" s="28" t="s">
        <v>39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114</v>
      </c>
    </row>
    <row r="22" spans="2:22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2068</v>
      </c>
      <c r="F26" s="25" t="s">
        <v>115</v>
      </c>
      <c r="G26" s="26" t="s">
        <v>35</v>
      </c>
      <c r="H26" s="8"/>
      <c r="I26" s="8">
        <v>300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3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45535</v>
      </c>
    </row>
    <row r="2" spans="2:18" ht="18.75" x14ac:dyDescent="0.2">
      <c r="B2" s="112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115" t="s">
        <v>3</v>
      </c>
      <c r="F4" s="115"/>
      <c r="G4" s="115"/>
      <c r="H4" s="115"/>
      <c r="I4" s="115"/>
      <c r="J4" s="22"/>
      <c r="K4" s="109" t="s">
        <v>7</v>
      </c>
      <c r="L4" s="110"/>
      <c r="M4" s="111"/>
    </row>
    <row r="5" spans="2:18" ht="15" x14ac:dyDescent="0.25">
      <c r="B5" s="23" t="s">
        <v>3</v>
      </c>
      <c r="C5" s="24">
        <f>SUMIF(I6:I31,"&gt;0",H6:H31)</f>
        <v>0</v>
      </c>
      <c r="D5" s="2"/>
      <c r="E5" s="10" t="s">
        <v>44</v>
      </c>
      <c r="F5" s="10" t="s">
        <v>45</v>
      </c>
      <c r="G5" s="11" t="s">
        <v>46</v>
      </c>
      <c r="H5" s="12" t="s">
        <v>47</v>
      </c>
      <c r="I5" s="13" t="s">
        <v>5</v>
      </c>
      <c r="J5" s="2"/>
      <c r="K5" s="14" t="s">
        <v>48</v>
      </c>
      <c r="L5" s="6" t="s">
        <v>49</v>
      </c>
      <c r="M5" s="15" t="s">
        <v>50</v>
      </c>
    </row>
    <row r="6" spans="2:18" ht="15.75" x14ac:dyDescent="0.25">
      <c r="B6" s="23" t="s">
        <v>5</v>
      </c>
      <c r="C6" s="24">
        <f>SUM(I6:I41)</f>
        <v>249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7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55</v>
      </c>
      <c r="C8" s="29">
        <f>SUM(C6:C7)</f>
        <v>249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5" t="s">
        <v>18</v>
      </c>
      <c r="C10" s="10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21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23</v>
      </c>
      <c r="C12" s="31">
        <f t="shared" ref="C12:C15" si="0">(SUMIF($G$2:$G$31,B12,$I$2:$I$31))+(SUMIF($G$35:$G$41,B12,$H$35:$H$41))</f>
        <v>249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25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9" t="s">
        <v>56</v>
      </c>
      <c r="L13" s="110"/>
      <c r="M13" s="111"/>
      <c r="R13" s="1">
        <f>IF(vend31[[#This Row],[Nº Venda]]&gt;1,1,0)</f>
        <v>0</v>
      </c>
    </row>
    <row r="14" spans="2:18" ht="15.75" x14ac:dyDescent="0.25">
      <c r="B14" s="30" t="s">
        <v>32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57</v>
      </c>
      <c r="L14" s="6" t="s">
        <v>58</v>
      </c>
      <c r="M14" s="15" t="s">
        <v>59</v>
      </c>
      <c r="R14" s="1">
        <f>IF(vend31[[#This Row],[Nº Venda]]&gt;1,1,0)</f>
        <v>0</v>
      </c>
    </row>
    <row r="15" spans="2:18" ht="15.75" x14ac:dyDescent="0.25">
      <c r="B15" s="30" t="s">
        <v>35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2057</v>
      </c>
      <c r="L15" s="9" t="s">
        <v>24</v>
      </c>
      <c r="M15" s="16" t="s">
        <v>60</v>
      </c>
      <c r="R15" s="1">
        <f>IF(vend31[[#This Row],[Nº Venda]]&gt;1,1,0)</f>
        <v>0</v>
      </c>
    </row>
    <row r="16" spans="2:18" ht="15.75" x14ac:dyDescent="0.25">
      <c r="B16" s="28" t="s">
        <v>39</v>
      </c>
      <c r="C16" s="32">
        <f>SUM(C11:C15)</f>
        <v>249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5" t="s">
        <v>42</v>
      </c>
      <c r="C18" s="10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39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61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8" t="s">
        <v>62</v>
      </c>
      <c r="F24" s="108"/>
      <c r="G24" s="108"/>
      <c r="H24" s="108"/>
      <c r="I24" s="10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44</v>
      </c>
      <c r="F25" s="10" t="s">
        <v>45</v>
      </c>
      <c r="G25" s="11" t="s">
        <v>46</v>
      </c>
      <c r="H25" s="12" t="s">
        <v>47</v>
      </c>
      <c r="I25" s="13" t="s">
        <v>5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2057</v>
      </c>
      <c r="F26" s="25" t="s">
        <v>116</v>
      </c>
      <c r="G26" s="26" t="s">
        <v>23</v>
      </c>
      <c r="H26" s="8"/>
      <c r="I26" s="8">
        <v>249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8" t="s">
        <v>64</v>
      </c>
      <c r="F33" s="108"/>
      <c r="G33" s="108"/>
      <c r="H33" s="108"/>
      <c r="I33" s="108"/>
      <c r="K33" s="109" t="s">
        <v>42</v>
      </c>
      <c r="L33" s="110"/>
      <c r="M33" s="111"/>
    </row>
    <row r="34" spans="2:18" ht="15" x14ac:dyDescent="0.25">
      <c r="E34" s="10" t="s">
        <v>57</v>
      </c>
      <c r="F34" s="10" t="s">
        <v>45</v>
      </c>
      <c r="G34" s="11" t="s">
        <v>46</v>
      </c>
      <c r="H34" s="12" t="s">
        <v>65</v>
      </c>
      <c r="I34" s="13" t="s">
        <v>66</v>
      </c>
      <c r="K34" s="14" t="s">
        <v>57</v>
      </c>
      <c r="L34" s="6" t="s">
        <v>67</v>
      </c>
      <c r="M34" s="15" t="s">
        <v>68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69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117</v>
      </c>
      <c r="B1" s="38" t="s">
        <v>118</v>
      </c>
      <c r="E1" s="38" t="s">
        <v>119</v>
      </c>
    </row>
    <row r="2" spans="1:5" x14ac:dyDescent="0.2">
      <c r="A2" s="38" t="s">
        <v>21</v>
      </c>
      <c r="B2" s="38" t="s">
        <v>120</v>
      </c>
      <c r="E2" t="s">
        <v>121</v>
      </c>
    </row>
    <row r="3" spans="1:5" x14ac:dyDescent="0.2">
      <c r="A3" s="38" t="s">
        <v>23</v>
      </c>
      <c r="B3" s="38" t="s">
        <v>122</v>
      </c>
      <c r="E3" t="s">
        <v>89</v>
      </c>
    </row>
    <row r="4" spans="1:5" x14ac:dyDescent="0.2">
      <c r="A4" s="38" t="s">
        <v>25</v>
      </c>
      <c r="B4" s="38" t="s">
        <v>123</v>
      </c>
      <c r="E4" t="s">
        <v>77</v>
      </c>
    </row>
    <row r="5" spans="1:5" x14ac:dyDescent="0.2">
      <c r="A5" s="38" t="s">
        <v>32</v>
      </c>
      <c r="B5" s="38" t="s">
        <v>124</v>
      </c>
      <c r="E5" t="s">
        <v>90</v>
      </c>
    </row>
    <row r="6" spans="1:5" x14ac:dyDescent="0.2">
      <c r="A6" s="38" t="s">
        <v>35</v>
      </c>
      <c r="B6" s="38" t="s">
        <v>35</v>
      </c>
      <c r="E6" t="s">
        <v>125</v>
      </c>
    </row>
    <row r="7" spans="1:5" x14ac:dyDescent="0.2">
      <c r="A7" s="38" t="s">
        <v>53</v>
      </c>
      <c r="B7" s="38" t="s">
        <v>126</v>
      </c>
      <c r="E7" t="s">
        <v>127</v>
      </c>
    </row>
    <row r="8" spans="1:5" x14ac:dyDescent="0.2">
      <c r="A8" t="s">
        <v>59</v>
      </c>
      <c r="B8" t="s">
        <v>128</v>
      </c>
      <c r="E8" t="s">
        <v>129</v>
      </c>
    </row>
    <row r="9" spans="1:5" x14ac:dyDescent="0.2">
      <c r="A9" s="38" t="s">
        <v>54</v>
      </c>
      <c r="B9" s="38" t="s">
        <v>130</v>
      </c>
      <c r="E9" t="s">
        <v>131</v>
      </c>
    </row>
    <row r="10" spans="1:5" x14ac:dyDescent="0.2">
      <c r="E10" t="s">
        <v>132</v>
      </c>
    </row>
    <row r="11" spans="1:5" x14ac:dyDescent="0.2">
      <c r="E11" t="s">
        <v>133</v>
      </c>
    </row>
    <row r="12" spans="1:5" x14ac:dyDescent="0.2">
      <c r="E12" t="s">
        <v>134</v>
      </c>
    </row>
    <row r="13" spans="1:5" x14ac:dyDescent="0.2">
      <c r="E13" t="s">
        <v>135</v>
      </c>
    </row>
    <row r="14" spans="1:5" x14ac:dyDescent="0.2">
      <c r="E14" t="s">
        <v>136</v>
      </c>
    </row>
    <row r="15" spans="1:5" x14ac:dyDescent="0.2">
      <c r="E15" t="s">
        <v>137</v>
      </c>
    </row>
    <row r="16" spans="1:5" x14ac:dyDescent="0.2">
      <c r="E16" t="s">
        <v>138</v>
      </c>
    </row>
    <row r="17" spans="5:5" x14ac:dyDescent="0.2">
      <c r="E17" t="s">
        <v>139</v>
      </c>
    </row>
    <row r="18" spans="5:5" x14ac:dyDescent="0.2">
      <c r="E18" t="s">
        <v>140</v>
      </c>
    </row>
    <row r="19" spans="5:5" x14ac:dyDescent="0.2">
      <c r="E19" t="s">
        <v>141</v>
      </c>
    </row>
    <row r="20" spans="5:5" x14ac:dyDescent="0.2">
      <c r="E20" t="s">
        <v>142</v>
      </c>
    </row>
    <row r="21" spans="5:5" x14ac:dyDescent="0.2">
      <c r="E21" t="s">
        <v>143</v>
      </c>
    </row>
    <row r="22" spans="5:5" x14ac:dyDescent="0.2">
      <c r="E22" t="s">
        <v>144</v>
      </c>
    </row>
    <row r="23" spans="5:5" x14ac:dyDescent="0.2">
      <c r="E23" t="s">
        <v>145</v>
      </c>
    </row>
    <row r="24" spans="5:5" x14ac:dyDescent="0.2">
      <c r="E24" t="s">
        <v>146</v>
      </c>
    </row>
    <row r="25" spans="5:5" x14ac:dyDescent="0.2">
      <c r="E25" t="s">
        <v>147</v>
      </c>
    </row>
    <row r="26" spans="5:5" x14ac:dyDescent="0.2">
      <c r="E26" t="s">
        <v>148</v>
      </c>
    </row>
    <row r="27" spans="5:5" x14ac:dyDescent="0.2">
      <c r="E27" t="s">
        <v>149</v>
      </c>
    </row>
    <row r="28" spans="5:5" x14ac:dyDescent="0.2">
      <c r="E28" t="s">
        <v>150</v>
      </c>
    </row>
    <row r="29" spans="5:5" x14ac:dyDescent="0.2">
      <c r="E29" t="s">
        <v>151</v>
      </c>
    </row>
    <row r="30" spans="5:5" x14ac:dyDescent="0.2">
      <c r="E30" t="s">
        <v>152</v>
      </c>
    </row>
    <row r="31" spans="5:5" x14ac:dyDescent="0.2">
      <c r="E31" t="s">
        <v>153</v>
      </c>
    </row>
    <row r="32" spans="5:5" x14ac:dyDescent="0.2">
      <c r="E32" t="s">
        <v>154</v>
      </c>
    </row>
    <row r="33" spans="5:5" x14ac:dyDescent="0.2">
      <c r="E33" t="s">
        <v>155</v>
      </c>
    </row>
    <row r="34" spans="5:5" x14ac:dyDescent="0.2">
      <c r="E34" t="s">
        <v>156</v>
      </c>
    </row>
    <row r="35" spans="5:5" x14ac:dyDescent="0.2">
      <c r="E35" t="s">
        <v>157</v>
      </c>
    </row>
    <row r="36" spans="5:5" x14ac:dyDescent="0.2">
      <c r="E36" t="s">
        <v>73</v>
      </c>
    </row>
    <row r="37" spans="5:5" x14ac:dyDescent="0.2">
      <c r="E37" t="s">
        <v>104</v>
      </c>
    </row>
    <row r="38" spans="5:5" x14ac:dyDescent="0.2">
      <c r="E38" t="s">
        <v>158</v>
      </c>
    </row>
    <row r="39" spans="5:5" x14ac:dyDescent="0.2">
      <c r="E39" t="s">
        <v>81</v>
      </c>
    </row>
    <row r="40" spans="5:5" x14ac:dyDescent="0.2">
      <c r="E40" t="s">
        <v>159</v>
      </c>
    </row>
    <row r="41" spans="5:5" x14ac:dyDescent="0.2">
      <c r="E41" t="s">
        <v>160</v>
      </c>
    </row>
    <row r="42" spans="5:5" x14ac:dyDescent="0.2">
      <c r="E42" t="s">
        <v>161</v>
      </c>
    </row>
    <row r="43" spans="5:5" x14ac:dyDescent="0.2">
      <c r="E43" t="s">
        <v>162</v>
      </c>
    </row>
    <row r="44" spans="5:5" x14ac:dyDescent="0.2">
      <c r="E44" t="s">
        <v>163</v>
      </c>
    </row>
    <row r="45" spans="5:5" x14ac:dyDescent="0.2">
      <c r="E45" t="s">
        <v>164</v>
      </c>
    </row>
    <row r="46" spans="5:5" x14ac:dyDescent="0.2">
      <c r="E46" t="s">
        <v>165</v>
      </c>
    </row>
    <row r="47" spans="5:5" x14ac:dyDescent="0.2">
      <c r="E47" t="s">
        <v>166</v>
      </c>
    </row>
    <row r="48" spans="5:5" x14ac:dyDescent="0.2">
      <c r="E48" t="s">
        <v>167</v>
      </c>
    </row>
    <row r="49" spans="5:5" x14ac:dyDescent="0.2">
      <c r="E49" t="s">
        <v>168</v>
      </c>
    </row>
    <row r="50" spans="5:5" x14ac:dyDescent="0.2">
      <c r="E50" t="s">
        <v>169</v>
      </c>
    </row>
    <row r="51" spans="5:5" x14ac:dyDescent="0.2">
      <c r="E51" t="s">
        <v>170</v>
      </c>
    </row>
    <row r="52" spans="5:5" x14ac:dyDescent="0.2">
      <c r="E52" t="s">
        <v>171</v>
      </c>
    </row>
    <row r="53" spans="5:5" x14ac:dyDescent="0.2">
      <c r="E53" t="s">
        <v>172</v>
      </c>
    </row>
    <row r="54" spans="5:5" x14ac:dyDescent="0.2">
      <c r="E54" t="s">
        <v>173</v>
      </c>
    </row>
    <row r="55" spans="5:5" x14ac:dyDescent="0.2">
      <c r="E55" t="s">
        <v>174</v>
      </c>
    </row>
    <row r="56" spans="5:5" x14ac:dyDescent="0.2">
      <c r="E56" t="s">
        <v>175</v>
      </c>
    </row>
    <row r="57" spans="5:5" x14ac:dyDescent="0.2">
      <c r="E57" t="s">
        <v>176</v>
      </c>
    </row>
    <row r="58" spans="5:5" x14ac:dyDescent="0.2">
      <c r="E58" t="s">
        <v>177</v>
      </c>
    </row>
    <row r="59" spans="5:5" x14ac:dyDescent="0.2">
      <c r="E59" t="s">
        <v>178</v>
      </c>
    </row>
    <row r="60" spans="5:5" x14ac:dyDescent="0.2">
      <c r="E60" t="s">
        <v>179</v>
      </c>
    </row>
    <row r="61" spans="5:5" x14ac:dyDescent="0.2">
      <c r="E61" t="s">
        <v>180</v>
      </c>
    </row>
    <row r="62" spans="5:5" x14ac:dyDescent="0.2">
      <c r="E62" t="s">
        <v>181</v>
      </c>
    </row>
    <row r="63" spans="5:5" x14ac:dyDescent="0.2">
      <c r="E63" t="s">
        <v>182</v>
      </c>
    </row>
    <row r="64" spans="5:5" x14ac:dyDescent="0.2">
      <c r="E64" t="s">
        <v>183</v>
      </c>
    </row>
    <row r="65" spans="5:5" x14ac:dyDescent="0.2">
      <c r="E65" t="s">
        <v>184</v>
      </c>
    </row>
    <row r="66" spans="5:5" x14ac:dyDescent="0.2">
      <c r="E66" t="s">
        <v>185</v>
      </c>
    </row>
    <row r="67" spans="5:5" x14ac:dyDescent="0.2">
      <c r="E67" t="s">
        <v>186</v>
      </c>
    </row>
    <row r="68" spans="5:5" x14ac:dyDescent="0.2">
      <c r="E68" t="s">
        <v>187</v>
      </c>
    </row>
    <row r="69" spans="5:5" x14ac:dyDescent="0.2">
      <c r="E69" t="s">
        <v>188</v>
      </c>
    </row>
    <row r="70" spans="5:5" x14ac:dyDescent="0.2">
      <c r="E70" t="s">
        <v>189</v>
      </c>
    </row>
    <row r="71" spans="5:5" x14ac:dyDescent="0.2">
      <c r="E71" t="s">
        <v>190</v>
      </c>
    </row>
    <row r="72" spans="5:5" x14ac:dyDescent="0.2">
      <c r="E72" t="s">
        <v>191</v>
      </c>
    </row>
    <row r="73" spans="5:5" x14ac:dyDescent="0.2">
      <c r="E73" t="s">
        <v>192</v>
      </c>
    </row>
    <row r="74" spans="5:5" x14ac:dyDescent="0.2">
      <c r="E74" t="s">
        <v>193</v>
      </c>
    </row>
    <row r="75" spans="5:5" x14ac:dyDescent="0.2">
      <c r="E75" t="s">
        <v>194</v>
      </c>
    </row>
    <row r="76" spans="5:5" x14ac:dyDescent="0.2">
      <c r="E76" t="s">
        <v>195</v>
      </c>
    </row>
    <row r="77" spans="5:5" x14ac:dyDescent="0.2">
      <c r="E77" t="s">
        <v>196</v>
      </c>
    </row>
    <row r="78" spans="5:5" x14ac:dyDescent="0.2">
      <c r="E78" t="s">
        <v>197</v>
      </c>
    </row>
    <row r="79" spans="5:5" x14ac:dyDescent="0.2">
      <c r="E79" t="s">
        <v>198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20</vt:lpstr>
      <vt:lpstr>19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dcterms:created xsi:type="dcterms:W3CDTF">2004-04-07T20:43:43Z</dcterms:created>
  <dcterms:modified xsi:type="dcterms:W3CDTF">2024-10-30T11:36:09Z</dcterms:modified>
  <cp:category/>
  <cp:contentStatus/>
</cp:coreProperties>
</file>