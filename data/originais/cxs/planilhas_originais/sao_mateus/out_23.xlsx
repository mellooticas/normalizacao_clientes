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omments1.xml" ContentType="application/vnd.openxmlformats-officedocument.spreadsheetml.comments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comments2.xml" ContentType="application/vnd.openxmlformats-officedocument.spreadsheetml.comments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AO_MATEUS/CAIXA/2023/"/>
    </mc:Choice>
  </mc:AlternateContent>
  <xr:revisionPtr revIDLastSave="5" documentId="13_ncr:1_{9456AD35-4A70-4753-83F3-31E8BC9CEEAA}" xr6:coauthVersionLast="47" xr6:coauthVersionMax="47" xr10:uidLastSave="{E60FE9C3-EB93-4ED4-BF67-3CB759149A0E}"/>
  <bookViews>
    <workbookView xWindow="-120" yWindow="-120" windowWidth="29040" windowHeight="15720" tabRatio="895" firstSheet="7" activeTab="19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definedNames>
    <definedName name="_xlnm.Print_Area" localSheetId="3">'03'!$A$1:$M$41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74" l="1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2" i="175"/>
  <c r="C13" i="175"/>
  <c r="C14" i="175"/>
  <c r="C15" i="175"/>
  <c r="C11" i="174"/>
  <c r="C11" i="173"/>
  <c r="C11" i="172"/>
  <c r="C11" i="171"/>
  <c r="C11" i="170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99"/>
  <c r="C11" i="198"/>
  <c r="C11" i="175"/>
  <c r="B1" i="174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C7" i="175"/>
  <c r="A17" i="200"/>
  <c r="C5" i="174"/>
  <c r="C22" i="174" s="1"/>
  <c r="C5" i="173"/>
  <c r="C22" i="173" s="1"/>
  <c r="C5" i="172"/>
  <c r="C22" i="172" s="1"/>
  <c r="C5" i="171"/>
  <c r="C22" i="171" s="1"/>
  <c r="C5" i="170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5" i="198"/>
  <c r="C5" i="175"/>
  <c r="C22" i="175" s="1"/>
  <c r="C6" i="174"/>
  <c r="C8" i="174" s="1"/>
  <c r="C6" i="173"/>
  <c r="C6" i="172"/>
  <c r="C6" i="171"/>
  <c r="C6" i="170"/>
  <c r="C6" i="103"/>
  <c r="C6" i="178"/>
  <c r="C6" i="177"/>
  <c r="C6" i="176"/>
  <c r="C8" i="176" s="1"/>
  <c r="C6" i="180"/>
  <c r="C6" i="182"/>
  <c r="C6" i="183"/>
  <c r="C6" i="181"/>
  <c r="C6" i="179"/>
  <c r="C6" i="184"/>
  <c r="C6" i="185"/>
  <c r="C6" i="186"/>
  <c r="C6" i="187"/>
  <c r="C6" i="189"/>
  <c r="C6" i="190"/>
  <c r="C6" i="191"/>
  <c r="C6" i="188"/>
  <c r="C6" i="193"/>
  <c r="C6" i="195"/>
  <c r="C6" i="194"/>
  <c r="C8" i="194" s="1"/>
  <c r="C6" i="197"/>
  <c r="C6" i="196"/>
  <c r="C8" i="196" s="1"/>
  <c r="C6" i="192"/>
  <c r="C6" i="199"/>
  <c r="C8" i="199" s="1"/>
  <c r="C6" i="198"/>
  <c r="C6" i="175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C22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C22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C8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C8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22" i="170"/>
  <c r="C19" i="103"/>
  <c r="B19" i="103"/>
  <c r="C8" i="192" l="1"/>
  <c r="C8" i="190"/>
  <c r="C8" i="183"/>
  <c r="C8" i="171"/>
  <c r="C8" i="197"/>
  <c r="R40" i="193"/>
  <c r="C8" i="172"/>
  <c r="R40" i="195"/>
  <c r="R40" i="187"/>
  <c r="C8" i="188"/>
  <c r="C8" i="187"/>
  <c r="B1" i="173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  <c r="C16" i="170"/>
  <c r="O11" i="170" s="1"/>
  <c r="R40" i="191"/>
  <c r="R40" i="192"/>
  <c r="R40" i="196"/>
  <c r="B17" i="200"/>
  <c r="B18" i="200" s="1"/>
  <c r="R40" i="189"/>
  <c r="R40" i="183"/>
  <c r="R40" i="190"/>
  <c r="R40" i="194"/>
  <c r="R40" i="198"/>
  <c r="C8" i="179"/>
  <c r="C8" i="180"/>
  <c r="C8" i="173"/>
  <c r="C8" i="175"/>
  <c r="R40" i="170"/>
  <c r="R40" i="180"/>
  <c r="R40" i="185"/>
  <c r="R40" i="186"/>
  <c r="R40" i="188"/>
  <c r="R40" i="197"/>
  <c r="R40" i="199"/>
  <c r="C8" i="191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F10" i="200" s="1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E10" i="200" l="1"/>
  <c r="F4" i="200"/>
  <c r="G4" i="200" s="1"/>
  <c r="B14" i="200"/>
  <c r="C16" i="103"/>
  <c r="O11" i="103" s="1"/>
  <c r="C8" i="103"/>
  <c r="R40" i="103"/>
  <c r="G10" i="200" l="1"/>
  <c r="H10" i="200"/>
  <c r="B4" i="200"/>
  <c r="B6" i="200" s="1"/>
  <c r="F5" i="200"/>
  <c r="G5" i="20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7" authorId="0" shapeId="0" xr:uid="{CABC43AB-BFE0-4B5C-ADC3-63E17DBFFC24}">
      <text>
        <r>
          <rPr>
            <sz val="9"/>
            <color indexed="81"/>
            <rFont val="Segoe UI"/>
            <family val="2"/>
          </rPr>
          <t xml:space="preserve"> não sabemos o nome da cliente, conseguimos puxar somente o código de identificação diretamente no site da maquininha PagBank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Gilberto Junior</author>
  </authors>
  <commentList>
    <comment ref="H6" authorId="0" shapeId="0" xr:uid="{27930434-A3B5-4B76-9B79-540E6967B66E}">
      <text>
        <r>
          <rPr>
            <b/>
            <sz val="9"/>
            <color indexed="81"/>
            <rFont val="Segoe UI"/>
            <family val="2"/>
          </rPr>
          <t>Gilberto Junior:</t>
        </r>
        <r>
          <rPr>
            <sz val="9"/>
            <color indexed="81"/>
            <rFont val="Segoe UI"/>
            <family val="2"/>
          </rPr>
          <t xml:space="preserve">
Foi feita nova proposta para o cliente, sendo a venda no valor de R$ 450,00  para R$ 400,00.</t>
        </r>
      </text>
    </comment>
  </commentList>
</comments>
</file>

<file path=xl/sharedStrings.xml><?xml version="1.0" encoding="utf-8"?>
<sst xmlns="http://schemas.openxmlformats.org/spreadsheetml/2006/main" count="1854" uniqueCount="215">
  <si>
    <t>Fechamento Diário do Caixa</t>
  </si>
  <si>
    <t>Saldo Inicial</t>
  </si>
  <si>
    <t>Vendas</t>
  </si>
  <si>
    <t>Despesas</t>
  </si>
  <si>
    <t>Nº Venda</t>
  </si>
  <si>
    <t>Cliente</t>
  </si>
  <si>
    <t>Forma de Pgto</t>
  </si>
  <si>
    <t>Valor Venda</t>
  </si>
  <si>
    <t>Entrada</t>
  </si>
  <si>
    <t>Descrição</t>
  </si>
  <si>
    <t>Tipo de Pagto</t>
  </si>
  <si>
    <t>Valor</t>
  </si>
  <si>
    <t>DN</t>
  </si>
  <si>
    <t>PIX</t>
  </si>
  <si>
    <t>Total  entrada</t>
  </si>
  <si>
    <t>PCTC</t>
  </si>
  <si>
    <t>Tipos de Pagtos</t>
  </si>
  <si>
    <t>CTD</t>
  </si>
  <si>
    <t>CTC</t>
  </si>
  <si>
    <t>Total</t>
  </si>
  <si>
    <t>Venda</t>
  </si>
  <si>
    <t>Total de OS</t>
  </si>
  <si>
    <t>Restante Entrada</t>
  </si>
  <si>
    <t>SS</t>
  </si>
  <si>
    <t>Tipo Pagto</t>
  </si>
  <si>
    <t>descricao</t>
  </si>
  <si>
    <t>Dinheiro</t>
  </si>
  <si>
    <t>Cartão Débito</t>
  </si>
  <si>
    <t>Cartão Crédito</t>
  </si>
  <si>
    <t>Parcelado Cartão Crédito</t>
  </si>
  <si>
    <t>Sem Sinal</t>
  </si>
  <si>
    <t>OS</t>
  </si>
  <si>
    <t>CARNE</t>
  </si>
  <si>
    <t xml:space="preserve">Carne </t>
  </si>
  <si>
    <t>Vendedor</t>
  </si>
  <si>
    <t>Entrega de Carne</t>
  </si>
  <si>
    <t>OS Entregue no Dia</t>
  </si>
  <si>
    <t>Parcelas</t>
  </si>
  <si>
    <t>Valor Total</t>
  </si>
  <si>
    <t>Recebimento de Carnê</t>
  </si>
  <si>
    <t>Valor Parcela</t>
  </si>
  <si>
    <t>Nº Parcela</t>
  </si>
  <si>
    <t>GARANTIA</t>
  </si>
  <si>
    <t>Todas as Garantias</t>
  </si>
  <si>
    <t xml:space="preserve">Parcelas </t>
  </si>
  <si>
    <t>PARC. 1/1</t>
  </si>
  <si>
    <t>PARC. 1/2</t>
  </si>
  <si>
    <t>PARC. 2/2</t>
  </si>
  <si>
    <t>PARC. 1/3</t>
  </si>
  <si>
    <t>PARC. 2/3</t>
  </si>
  <si>
    <t>PARC. 3/3</t>
  </si>
  <si>
    <t>PARC. 1/4</t>
  </si>
  <si>
    <t>PARC. 2/4</t>
  </si>
  <si>
    <t>PARC. 3/4</t>
  </si>
  <si>
    <t>PARC. 4/4</t>
  </si>
  <si>
    <t>PARC. 1/5</t>
  </si>
  <si>
    <t>PARC. 2/5</t>
  </si>
  <si>
    <t>PARC. 3/5</t>
  </si>
  <si>
    <t>PARC. 4/5</t>
  </si>
  <si>
    <t>PARC. 5/5</t>
  </si>
  <si>
    <t>PARC. 1/6</t>
  </si>
  <si>
    <t>PARC. 2/6</t>
  </si>
  <si>
    <t>PARC. 3/6</t>
  </si>
  <si>
    <t>PARC. 4/6</t>
  </si>
  <si>
    <t>PARC. 5/6</t>
  </si>
  <si>
    <t>PARC. 6/6</t>
  </si>
  <si>
    <t>PARC. 1/7</t>
  </si>
  <si>
    <t>PARC. 2/7</t>
  </si>
  <si>
    <t>PARC. 3/7</t>
  </si>
  <si>
    <t>PARC. 4/7</t>
  </si>
  <si>
    <t>PARC. 5/7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</si>
  <si>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</si>
  <si>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</si>
  <si>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</si>
  <si>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</si>
  <si>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</si>
  <si>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</si>
  <si>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</si>
  <si>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</si>
  <si>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</si>
  <si>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</si>
  <si>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</si>
  <si>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</si>
  <si>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</si>
  <si>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</si>
  <si>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</si>
  <si>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</si>
  <si>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</si>
  <si>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</si>
  <si>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</si>
  <si>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</si>
  <si>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</si>
  <si>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</si>
  <si>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</si>
  <si>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</si>
  <si>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</si>
  <si>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</si>
  <si>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</si>
  <si>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</si>
  <si>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</si>
  <si>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</si>
  <si>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</si>
  <si>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</si>
  <si>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</si>
  <si>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</si>
  <si>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</si>
  <si>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</si>
  <si>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</si>
  <si>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</si>
  <si>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</si>
  <si>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</si>
  <si>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</si>
  <si>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</si>
  <si>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</si>
  <si>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</si>
  <si>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</si>
  <si>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</si>
  <si>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</si>
  <si>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</si>
  <si>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</si>
  <si>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</si>
  <si>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</si>
  <si>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</si>
  <si>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Entr_Desp</t>
  </si>
  <si>
    <t>JOSENEIDE PAULINO</t>
  </si>
  <si>
    <t>ANDREIA E</t>
  </si>
  <si>
    <t>1749</t>
  </si>
  <si>
    <t>DALVA SOARES</t>
  </si>
  <si>
    <t>1748</t>
  </si>
  <si>
    <t>PATRICIA DE CASTRO</t>
  </si>
  <si>
    <t>WEVILLY</t>
  </si>
  <si>
    <t>Não</t>
  </si>
  <si>
    <t>Geraldo</t>
  </si>
  <si>
    <t>Nilton Aparecido Gomes</t>
  </si>
  <si>
    <t>FABIO R</t>
  </si>
  <si>
    <t>Sim</t>
  </si>
  <si>
    <t>JARDIEL XAVIER</t>
  </si>
  <si>
    <t>BENIVAL LOPES</t>
  </si>
  <si>
    <t>Elias Martins</t>
  </si>
  <si>
    <t>JOSE RICARDO</t>
  </si>
  <si>
    <t>ARGEMIRO AP</t>
  </si>
  <si>
    <t>Wevilly</t>
  </si>
  <si>
    <t>JOELMA ADRIANA</t>
  </si>
  <si>
    <t>IVONE S</t>
  </si>
  <si>
    <t>EDIS JORGE</t>
  </si>
  <si>
    <t>FERNANDO AUGUSTO</t>
  </si>
  <si>
    <t>CIDALIA NASCIMENTO</t>
  </si>
  <si>
    <t>META</t>
  </si>
  <si>
    <t>FALTA</t>
  </si>
  <si>
    <t>META DIARIA</t>
  </si>
  <si>
    <t>VENDAS</t>
  </si>
  <si>
    <t>ENTRADAS</t>
  </si>
  <si>
    <t>TM DIARIO VENDAS</t>
  </si>
  <si>
    <t>PROJEÇÃO</t>
  </si>
  <si>
    <t>TM DIARIO ENTR</t>
  </si>
  <si>
    <t>MATHEUS SANTOS</t>
  </si>
  <si>
    <t>Joana</t>
  </si>
  <si>
    <t>JOSEFINA APARECIDA</t>
  </si>
  <si>
    <t>Matheus Santos Silva</t>
  </si>
  <si>
    <t xml:space="preserve">DCBECD57-1850-4625-9DFE-434E12E752EE </t>
  </si>
  <si>
    <t>Geralda Gomes da Costa</t>
  </si>
  <si>
    <t xml:space="preserve">IRENILDA </t>
  </si>
  <si>
    <t>ROSILENE REGINA</t>
  </si>
  <si>
    <t>GISELE ALMEIDA RODRIGUES</t>
  </si>
  <si>
    <t>JOSE ANTONIO</t>
  </si>
  <si>
    <t>NILZA FERREIRA DA SILVA</t>
  </si>
  <si>
    <t>JOSE INALDO</t>
  </si>
  <si>
    <t>DULCIMEIRE LOPES</t>
  </si>
  <si>
    <t>ALINE CRISTINA</t>
  </si>
  <si>
    <t>JARDEL DA SILVA</t>
  </si>
  <si>
    <t xml:space="preserve">Garantia </t>
  </si>
  <si>
    <t>ss</t>
  </si>
  <si>
    <t>Ivonete Dos Santos</t>
  </si>
  <si>
    <t>ROSINEIDE FERREIRA</t>
  </si>
  <si>
    <t>William</t>
  </si>
  <si>
    <t>Antonio Maia De Oliveira</t>
  </si>
  <si>
    <t>LARISSA CRISTINA</t>
  </si>
  <si>
    <t>LILIAN AKEMI</t>
  </si>
  <si>
    <t>NELITO AUGUSTO</t>
  </si>
  <si>
    <t xml:space="preserve">Willam </t>
  </si>
  <si>
    <t>PAULO PEREIRA</t>
  </si>
  <si>
    <t>EDELI PEREIRA</t>
  </si>
  <si>
    <t>PEDRO MANOEL</t>
  </si>
  <si>
    <t>WILLIAM SANTOS</t>
  </si>
  <si>
    <t>CLEUSA APARECIDA</t>
  </si>
  <si>
    <t>CICERA S O DA SILVA</t>
  </si>
  <si>
    <t>TATI</t>
  </si>
  <si>
    <t xml:space="preserve">CIDALIA NASCIMENTO </t>
  </si>
  <si>
    <t>FLORA ERICA</t>
  </si>
  <si>
    <t>GONÇALO F</t>
  </si>
  <si>
    <t>IZAMIRA MORAES</t>
  </si>
  <si>
    <t>ELANE SAUDE</t>
  </si>
  <si>
    <t>PATRICIA DE C</t>
  </si>
  <si>
    <t>SEBASTIIANA DOS S</t>
  </si>
  <si>
    <t>MARIA DE LOURDES</t>
  </si>
  <si>
    <t>RONALDO JOSE SALES</t>
  </si>
  <si>
    <t>MARIA MADALENA</t>
  </si>
  <si>
    <t>ANTONIA MARIA</t>
  </si>
  <si>
    <t>HOSANA BARACHO</t>
  </si>
  <si>
    <t>WILLIAM</t>
  </si>
  <si>
    <t>REF A OS 1748</t>
  </si>
  <si>
    <t>JOSE FERNANDES</t>
  </si>
  <si>
    <t>ANEXO 1784</t>
  </si>
  <si>
    <t>CINTIA HELENA</t>
  </si>
  <si>
    <t>LUCIA HELENA</t>
  </si>
  <si>
    <t>IVONE SIMPLICIO</t>
  </si>
  <si>
    <t>JOAO GUILHERME</t>
  </si>
  <si>
    <t>GENI G</t>
  </si>
  <si>
    <t xml:space="preserve">Elizamar </t>
  </si>
  <si>
    <t>tati</t>
  </si>
  <si>
    <t>FLORA ERIKA</t>
  </si>
  <si>
    <t>IZAMIRA MO</t>
  </si>
  <si>
    <t xml:space="preserve">Willian </t>
  </si>
  <si>
    <t xml:space="preserve">Larissa </t>
  </si>
  <si>
    <t>LUCIANO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</si>
</sst>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name val="Arial"/>
      <family val="2"/>
    </font>
    <font>
      <b/>
      <sz val="11"/>
      <name val="Calibri"/>
      <family val="2"/>
    </font>
    <font>
      <sz val="9"/>
      <color indexed="81"/>
      <name val="Segoe UI"/>
      <family val="2"/>
    </font>
    <font>
      <sz val="18"/>
      <name val="Arial Black"/>
      <family val="2"/>
    </font>
    <font>
      <sz val="20"/>
      <name val="Arial Black"/>
      <family val="2"/>
    </font>
    <font>
      <b/>
      <sz val="9"/>
      <color indexed="8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4" fontId="31" fillId="0" borderId="0" xfId="0" applyNumberFormat="1" applyFont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65" fontId="13" fillId="0" borderId="3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44" fontId="34" fillId="0" borderId="13" xfId="39" applyFont="1" applyFill="1" applyBorder="1" applyAlignment="1">
      <alignment horizontal="center"/>
    </xf>
    <xf numFmtId="165" fontId="34" fillId="0" borderId="13" xfId="4" applyNumberFormat="1" applyFont="1" applyFill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4" fontId="34" fillId="0" borderId="17" xfId="39" applyFont="1" applyFill="1" applyBorder="1" applyAlignment="1">
      <alignment horizontal="center"/>
    </xf>
    <xf numFmtId="165" fontId="34" fillId="0" borderId="17" xfId="4" applyNumberFormat="1" applyFont="1" applyFill="1" applyBorder="1" applyAlignment="1">
      <alignment horizontal="center"/>
    </xf>
    <xf numFmtId="0" fontId="32" fillId="0" borderId="17" xfId="0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49" fontId="35" fillId="0" borderId="13" xfId="39" applyNumberFormat="1" applyFont="1" applyFill="1" applyBorder="1" applyAlignment="1">
      <alignment horizontal="center"/>
    </xf>
    <xf numFmtId="44" fontId="35" fillId="0" borderId="13" xfId="39" applyFont="1" applyFill="1" applyBorder="1" applyAlignment="1">
      <alignment horizontal="center"/>
    </xf>
    <xf numFmtId="165" fontId="35" fillId="0" borderId="13" xfId="4" applyNumberFormat="1" applyFont="1" applyFill="1" applyBorder="1" applyAlignment="1">
      <alignment horizontal="center"/>
    </xf>
    <xf numFmtId="49" fontId="35" fillId="0" borderId="17" xfId="39" applyNumberFormat="1" applyFont="1" applyFill="1" applyBorder="1" applyAlignment="1">
      <alignment horizontal="center"/>
    </xf>
    <xf numFmtId="44" fontId="35" fillId="0" borderId="17" xfId="39" applyFont="1" applyFill="1" applyBorder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5" fillId="0" borderId="17" xfId="39" applyNumberFormat="1" applyFont="1" applyFill="1" applyBorder="1" applyAlignment="1">
      <alignment horizontal="center"/>
    </xf>
    <xf numFmtId="0" fontId="36" fillId="0" borderId="17" xfId="0" applyFont="1" applyBorder="1" applyAlignment="1">
      <alignment horizontal="center"/>
    </xf>
    <xf numFmtId="0" fontId="37" fillId="0" borderId="17" xfId="0" applyFont="1" applyBorder="1" applyAlignment="1">
      <alignment horizontal="center"/>
    </xf>
    <xf numFmtId="44" fontId="12" fillId="0" borderId="17" xfId="39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2" fontId="0" fillId="0" borderId="13" xfId="39" applyNumberFormat="1" applyFont="1" applyFill="1" applyBorder="1" applyAlignment="1">
      <alignment horizontal="center"/>
    </xf>
    <xf numFmtId="2" fontId="0" fillId="0" borderId="17" xfId="39" applyNumberFormat="1" applyFont="1" applyFill="1" applyBorder="1" applyAlignment="1">
      <alignment horizontal="center"/>
    </xf>
    <xf numFmtId="2" fontId="30" fillId="0" borderId="17" xfId="0" applyNumberFormat="1" applyFont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4" fillId="7" borderId="17" xfId="0" applyNumberFormat="1" applyFont="1" applyFill="1" applyBorder="1" applyAlignment="1">
      <alignment horizontal="center"/>
    </xf>
    <xf numFmtId="165" fontId="13" fillId="5" borderId="17" xfId="0" applyNumberFormat="1" applyFont="1" applyFill="1" applyBorder="1" applyAlignment="1">
      <alignment horizontal="center"/>
    </xf>
    <xf numFmtId="164" fontId="0" fillId="0" borderId="17" xfId="2" applyFont="1" applyFill="1" applyBorder="1" applyAlignment="1">
      <alignment horizontal="center"/>
    </xf>
    <xf numFmtId="14" fontId="40" fillId="0" borderId="0" xfId="0" applyNumberFormat="1" applyFont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FA87C6-FEA8-4FF1-A6DF-4A6CEDF89163}" name="vend1" displayName="vend1" ref="E5:I22" totalsRowShown="0" headerRowDxfId="1644" dataDxfId="1642" headerRowBorderDxfId="1643" tableBorderDxfId="1641" totalsRowBorderDxfId="164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6558EED-D941-4514-983C-0DF8D07622E1}" name="Nº Venda" dataDxfId="1639" dataCellStyle="Moeda"/>
    <tableColumn id="5" xr3:uid="{4E864FFB-62AE-4C76-999A-80DAC03BA10F}" name="Cliente" dataDxfId="1638" dataCellStyle="Moeda"/>
    <tableColumn id="2" xr3:uid="{39F76C04-E7DF-4C8C-921C-A165689790E9}" name="Forma de Pgto" dataDxfId="1637" dataCellStyle="Moeda"/>
    <tableColumn id="3" xr3:uid="{E9370F52-26BB-4EAF-A1D9-2BD0CAE66157}" name="Valor Venda" dataDxfId="1636" dataCellStyle="Porcentagem"/>
    <tableColumn id="4" xr3:uid="{BA146EFF-288C-407A-B27C-EC83C6C60F64}" name="Entrada" dataDxfId="1635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4C9B23A-CEA7-40A2-800B-D2AA8F76500E}" name="desp1" displayName="desp1" ref="K5:M11" totalsRowShown="0" headerRowDxfId="1634" dataDxfId="1632" headerRowBorderDxfId="1633" tableBorderDxfId="1631" totalsRowBorderDxfId="1630">
  <autoFilter ref="K5:M11" xr:uid="{00000000-0009-0000-0100-000015000000}"/>
  <tableColumns count="3">
    <tableColumn id="1" xr3:uid="{0B88E9C0-AB9D-453A-B36F-BD29A8C17D8A}" name="Descrição" dataDxfId="1629"/>
    <tableColumn id="2" xr3:uid="{17C658DA-B17E-40FE-A7BD-DC7D9EC674E9}" name="Tipo de Pagto" dataDxfId="1628"/>
    <tableColumn id="3" xr3:uid="{FF4BC756-9A15-4D47-B863-8A20D3280A08}" name="Valor" dataDxfId="16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1B3DD05-2759-4905-B9C7-C0E800434C0E}" name="rest_entr1" displayName="rest_entr1" ref="E25:I31" totalsRowShown="0" headerRowDxfId="1626" dataDxfId="1624" headerRowBorderDxfId="1625" tableBorderDxfId="1623" totalsRowBorderDxfId="162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28C2EC5-53B0-411D-B826-EDE23CB0FA2E}" name="Nº Venda" dataDxfId="1621"/>
    <tableColumn id="2" xr3:uid="{47D41B32-D662-49C2-9421-3A125B03A82A}" name="Cliente" dataDxfId="1620"/>
    <tableColumn id="3" xr3:uid="{39E1C509-0A71-43B1-986F-88861123AB80}" name="Forma de Pgto" dataDxfId="1619" dataCellStyle="Moeda"/>
    <tableColumn id="4" xr3:uid="{47286C2F-E1F6-47AA-8494-04DB96C3E6B1}" name="Valor Venda" dataDxfId="1618" dataCellStyle="Porcentagem"/>
    <tableColumn id="5" xr3:uid="{8CC8BB9B-601E-4BB4-B63E-BE429656D172}" name="Entrada" dataDxfId="161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5AB9C06-03EB-43F0-9EDB-D9E3B4D1C9F7}" name="os_entr_dia1" displayName="os_entr_dia1" ref="K14:M31" totalsRowShown="0" headerRowDxfId="1616" dataDxfId="1614" headerRowBorderDxfId="1615" tableBorderDxfId="1613" totalsRowBorderDxfId="1612">
  <autoFilter ref="K14:M31" xr:uid="{C83FE64B-E221-4DAA-89EA-5307A7BC98B3}"/>
  <tableColumns count="3">
    <tableColumn id="1" xr3:uid="{4F2E3C78-49DF-438D-A2AF-840084C0C05C}" name="OS" dataDxfId="1611"/>
    <tableColumn id="2" xr3:uid="{2EBF3173-B4D7-4BCC-8593-5878D7F40F65}" name="Vendedor" dataDxfId="1610"/>
    <tableColumn id="3" xr3:uid="{BFD4CEE5-C30B-49BA-951C-C0B0CCFBDF6A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0455E45-CDCF-4969-ACA8-D2F4F4759DF6}" name="rec_carn1" displayName="rec_carn1" ref="E34:I41" totalsRowShown="0" headerRowDxfId="1608" dataDxfId="1606" headerRowBorderDxfId="1607" tableBorderDxfId="1605" totalsRowBorderDxfId="160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6B6747F-E138-4FAD-837C-BE1123BBEE49}" name="OS" dataDxfId="1603"/>
    <tableColumn id="2" xr3:uid="{69A152AB-9A1E-4E74-850B-E7190DCBB712}" name="Cliente" dataDxfId="1602"/>
    <tableColumn id="3" xr3:uid="{F918E665-3FA3-4D49-8B7B-662CAB3CB814}" name="Forma de Pgto" dataDxfId="1601" dataCellStyle="Moeda"/>
    <tableColumn id="4" xr3:uid="{31D63A0C-E278-497A-9D40-34077035FD25}" name="Valor Parcela" dataDxfId="1600" dataCellStyle="Porcentagem"/>
    <tableColumn id="5" xr3:uid="{1B552883-A189-4B21-8398-A08FF7756606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0ECDA16-FF5C-4DF8-A662-5947B2E55CBC}" name="entr_carn1" displayName="entr_carn1" ref="K34:M41" totalsRowShown="0" headerRowDxfId="1598" headerRowBorderDxfId="1597" tableBorderDxfId="1596" totalsRowBorderDxfId="1595">
  <autoFilter ref="K34:M41" xr:uid="{1B8643D4-6AC3-4029-882A-C62E9D7CB225}"/>
  <tableColumns count="3">
    <tableColumn id="1" xr3:uid="{8A794627-537E-47A8-A07A-ED4FE9B7FAEE}" name="OS" dataDxfId="1594"/>
    <tableColumn id="2" xr3:uid="{75A5608F-8F26-4C71-A24D-8E79F737416A}" name="Parcelas" dataDxfId="1593"/>
    <tableColumn id="3" xr3:uid="{405D57D3-4E8E-4A9E-A3A3-7DDC45B62F91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0" totalsRowShown="0" headerRowDxfId="654" dataDxfId="652" headerRowBorderDxfId="653" tableBorderDxfId="651" totalsRowBorderDxfId="650">
  <autoFilter ref="E34:I40" xr:uid="{B9E2F984-8588-4F2C-9FB9-680284154679}"/>
  <sortState xmlns:xlrd2="http://schemas.microsoft.com/office/spreadsheetml/2017/richdata2" ref="E35:I39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.xml"/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Relationship Id="rId9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6.xml"/><Relationship Id="rId3" Type="http://schemas.openxmlformats.org/officeDocument/2006/relationships/table" Target="../tables/table121.xml"/><Relationship Id="rId7" Type="http://schemas.openxmlformats.org/officeDocument/2006/relationships/table" Target="../tables/table125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4.xml"/><Relationship Id="rId5" Type="http://schemas.openxmlformats.org/officeDocument/2006/relationships/table" Target="../tables/table123.xml"/><Relationship Id="rId4" Type="http://schemas.openxmlformats.org/officeDocument/2006/relationships/table" Target="../tables/table122.xml"/><Relationship Id="rId9" Type="http://schemas.openxmlformats.org/officeDocument/2006/relationships/comments" Target="../comments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dimension ref="A2:H18"/>
  <sheetViews>
    <sheetView workbookViewId="0">
      <selection activeCell="D17" sqref="D17"/>
    </sheetView>
  </sheetViews>
  <sheetFormatPr defaultColWidth="21.28515625" defaultRowHeight="12.75" x14ac:dyDescent="0.2"/>
  <cols>
    <col min="2" max="2" width="22.7109375" customWidth="1"/>
  </cols>
  <sheetData>
    <row r="2" spans="1:8" ht="15" x14ac:dyDescent="0.2">
      <c r="A2" s="19" t="s">
        <v>1</v>
      </c>
      <c r="B2" s="20">
        <v>0</v>
      </c>
    </row>
    <row r="3" spans="1:8" ht="15.75" x14ac:dyDescent="0.25">
      <c r="A3" s="23" t="s">
        <v>2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21549.79</v>
      </c>
      <c r="E3" s="82" t="s">
        <v>147</v>
      </c>
      <c r="F3" s="82" t="s">
        <v>148</v>
      </c>
      <c r="G3" s="82" t="s">
        <v>149</v>
      </c>
    </row>
    <row r="4" spans="1:8" ht="15.75" x14ac:dyDescent="0.25">
      <c r="A4" s="23" t="s">
        <v>8</v>
      </c>
      <c r="B4" s="24">
        <f>B14</f>
        <v>13035.4</v>
      </c>
      <c r="D4" s="82" t="s">
        <v>150</v>
      </c>
      <c r="E4" s="83">
        <v>25000</v>
      </c>
      <c r="F4" s="83">
        <f>E4-B3</f>
        <v>3450.2099999999991</v>
      </c>
      <c r="G4" s="83">
        <f>F4/1</f>
        <v>3450.2099999999991</v>
      </c>
    </row>
    <row r="5" spans="1:8" ht="15.7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  <c r="D5" s="82" t="s">
        <v>151</v>
      </c>
      <c r="E5" s="83">
        <v>18200</v>
      </c>
      <c r="F5" s="83">
        <f>E5-B14</f>
        <v>5164.6000000000004</v>
      </c>
      <c r="G5" s="83">
        <f>F5/1</f>
        <v>5164.6000000000004</v>
      </c>
    </row>
    <row r="6" spans="1:8" ht="15.75" x14ac:dyDescent="0.25">
      <c r="A6" s="28" t="s">
        <v>123</v>
      </c>
      <c r="B6" s="29">
        <f>SUM(B4:B5)</f>
        <v>13035.4</v>
      </c>
    </row>
    <row r="7" spans="1:8" ht="15" x14ac:dyDescent="0.25">
      <c r="A7" s="2"/>
      <c r="B7" s="2"/>
    </row>
    <row r="8" spans="1:8" ht="15" x14ac:dyDescent="0.2">
      <c r="A8" s="86" t="s">
        <v>16</v>
      </c>
      <c r="B8" s="86"/>
    </row>
    <row r="9" spans="1:8" ht="15.75" x14ac:dyDescent="0.25">
      <c r="A9" s="30" t="s">
        <v>12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2036</v>
      </c>
      <c r="E9" s="82" t="s">
        <v>152</v>
      </c>
      <c r="F9" s="82" t="s">
        <v>153</v>
      </c>
      <c r="G9" s="82" t="s">
        <v>154</v>
      </c>
      <c r="H9" s="82" t="s">
        <v>153</v>
      </c>
    </row>
    <row r="10" spans="1:8" ht="15.75" x14ac:dyDescent="0.25">
      <c r="A10" s="30" t="s">
        <v>17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3524</v>
      </c>
      <c r="D10" s="82" t="s">
        <v>153</v>
      </c>
      <c r="E10" s="83">
        <f>B3/26</f>
        <v>828.83807692307698</v>
      </c>
      <c r="F10" s="83">
        <f>(B3)</f>
        <v>21549.79</v>
      </c>
      <c r="G10" s="83">
        <f>B14/26</f>
        <v>501.36153846153843</v>
      </c>
      <c r="H10" s="83">
        <f>(B14)</f>
        <v>13035.4</v>
      </c>
    </row>
    <row r="11" spans="1:8" ht="15" x14ac:dyDescent="0.25">
      <c r="A11" s="30" t="s">
        <v>18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185</v>
      </c>
    </row>
    <row r="12" spans="1:8" ht="15" x14ac:dyDescent="0.25">
      <c r="A12" s="30" t="s">
        <v>15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4739.8999999999996</v>
      </c>
    </row>
    <row r="13" spans="1:8" ht="15" x14ac:dyDescent="0.25">
      <c r="A13" s="30" t="s">
        <v>13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2550.5</v>
      </c>
    </row>
    <row r="14" spans="1:8" ht="15.75" x14ac:dyDescent="0.25">
      <c r="A14" s="28" t="s">
        <v>19</v>
      </c>
      <c r="B14" s="32">
        <f>SUM(B9:B13)</f>
        <v>13035.4</v>
      </c>
    </row>
    <row r="15" spans="1:8" ht="15" x14ac:dyDescent="0.25">
      <c r="A15" s="2"/>
      <c r="B15" s="2"/>
    </row>
    <row r="16" spans="1:8" ht="15" x14ac:dyDescent="0.2">
      <c r="A16" s="86" t="s">
        <v>35</v>
      </c>
      <c r="B16" s="86"/>
    </row>
    <row r="17" spans="1:2" ht="15" x14ac:dyDescent="0.25">
      <c r="A17" s="30">
        <f>COUNT(entr_carn1[OS])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2606.94</v>
      </c>
    </row>
    <row r="18" spans="1:2" ht="15.75" x14ac:dyDescent="0.25">
      <c r="A18" s="28" t="s">
        <v>19</v>
      </c>
      <c r="B18" s="32">
        <f>SUM(B17:B17)</f>
        <v>2606.94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dimension ref="B1:R41"/>
  <sheetViews>
    <sheetView showGridLines="0" zoomScale="80" zoomScaleNormal="8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v>45200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86" t="s">
        <v>16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IF(vend1[[#This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86" t="s">
        <v>35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6" t="s">
        <v>31</v>
      </c>
      <c r="L34" s="6" t="s">
        <v>37</v>
      </c>
      <c r="M34" s="6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9"/>
    </row>
    <row r="36" spans="2:18" ht="15.75" x14ac:dyDescent="0.25">
      <c r="E36" s="18"/>
      <c r="F36" s="25"/>
      <c r="G36" s="26"/>
      <c r="H36" s="8"/>
      <c r="I36" s="8"/>
      <c r="K36" s="25"/>
      <c r="L36" s="42"/>
      <c r="M36" s="9"/>
    </row>
    <row r="37" spans="2:18" ht="15.75" x14ac:dyDescent="0.25">
      <c r="E37" s="18"/>
      <c r="F37" s="25"/>
      <c r="G37" s="26"/>
      <c r="H37" s="8"/>
      <c r="I37" s="8"/>
      <c r="K37" s="25"/>
      <c r="L37" s="42"/>
      <c r="M37" s="9"/>
    </row>
    <row r="38" spans="2:18" ht="15.75" x14ac:dyDescent="0.25">
      <c r="E38" s="18"/>
      <c r="F38" s="25"/>
      <c r="G38" s="26"/>
      <c r="H38" s="8"/>
      <c r="I38" s="8"/>
      <c r="K38" s="25"/>
      <c r="L38" s="42"/>
      <c r="M38" s="9"/>
    </row>
    <row r="39" spans="2:18" ht="15.75" x14ac:dyDescent="0.25">
      <c r="E39" s="18"/>
      <c r="F39" s="39"/>
      <c r="G39" s="26"/>
      <c r="H39" s="8"/>
      <c r="I39" s="8"/>
      <c r="K39" s="25"/>
      <c r="L39" s="42"/>
      <c r="M39" s="9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6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9E8C973-B569-473E-B3AD-6625014B3F11}">
      <formula1>"Sim, Não"</formula1>
    </dataValidation>
    <dataValidation type="list" allowBlank="1" showInputMessage="1" showErrorMessage="1" sqref="L35:L41" xr:uid="{32E4DE01-A2CD-476A-9C98-B0D2534CFCA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F793E2-38F7-4579-A22B-98E7D403DA4A}">
          <x14:formula1>
            <xm:f>base!$A$2:$A$9</xm:f>
          </x14:formula1>
          <xm:sqref>G6:G22</xm:sqref>
        </x14:dataValidation>
        <x14:dataValidation type="list" allowBlank="1" showInputMessage="1" showErrorMessage="1" xr:uid="{FD257D2C-A5BC-473A-B29B-93AD45CBE7AC}">
          <x14:formula1>
            <xm:f>base!$A$2:$A$6</xm:f>
          </x14:formula1>
          <xm:sqref>G26:G31 G35:G41</xm:sqref>
        </x14:dataValidation>
        <x14:dataValidation type="list" allowBlank="1" showInputMessage="1" showErrorMessage="1" xr:uid="{70DCF8B5-4EB0-44F2-BDDB-9A2C128AFE7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dimension ref="B1:R41"/>
  <sheetViews>
    <sheetView showGridLines="0" zoomScale="80" zoomScaleNormal="8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85">
        <f>'01'!B1+1</f>
        <v>45201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86" t="s">
        <v>16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IF(vend2[[#This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86" t="s">
        <v>35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dimension ref="B1:R41"/>
  <sheetViews>
    <sheetView showGridLines="0" zoomScale="80" zoomScaleNormal="80" zoomScaleSheetLayoutView="70" zoomScalePageLayoutView="40" workbookViewId="0">
      <selection activeCell="G26" sqref="G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4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80">
        <f>'02'!B1+1</f>
        <v>45202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649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100</v>
      </c>
      <c r="D6" s="2"/>
      <c r="E6" s="18">
        <v>1743</v>
      </c>
      <c r="F6" s="25" t="s">
        <v>158</v>
      </c>
      <c r="G6" s="48" t="s">
        <v>12</v>
      </c>
      <c r="H6" s="8">
        <v>599</v>
      </c>
      <c r="I6" s="8">
        <v>50</v>
      </c>
      <c r="J6" s="2"/>
      <c r="K6" s="25"/>
      <c r="L6" s="9"/>
      <c r="M6" s="16"/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73">
        <v>1744</v>
      </c>
      <c r="F7" s="74" t="s">
        <v>159</v>
      </c>
      <c r="G7" s="81" t="s">
        <v>17</v>
      </c>
      <c r="H7" s="76">
        <v>50</v>
      </c>
      <c r="I7" s="76">
        <v>50</v>
      </c>
      <c r="J7" s="2"/>
      <c r="K7" s="25"/>
      <c r="L7" s="9"/>
      <c r="M7" s="16"/>
      <c r="R7" s="1">
        <f>IF(vend3[[#This Row],[Nº Venda]]&gt;1,1,0)</f>
        <v>1</v>
      </c>
    </row>
    <row r="8" spans="2:18" ht="15.75" x14ac:dyDescent="0.25">
      <c r="B8" s="28" t="s">
        <v>14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86" t="s">
        <v>16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135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IF(vend3[[#This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IF(vend3[[#This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8" t="s">
        <v>19</v>
      </c>
      <c r="C16" s="32">
        <f>SUM(C11:C15)</f>
        <v>185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86" t="s">
        <v>35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649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73">
        <v>1005</v>
      </c>
      <c r="F35" s="74" t="s">
        <v>160</v>
      </c>
      <c r="G35" s="81" t="s">
        <v>12</v>
      </c>
      <c r="H35" s="76">
        <v>85</v>
      </c>
      <c r="I35" s="76" t="s">
        <v>93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" right="0.7" top="0.75" bottom="0.75" header="0.3" footer="0.3"/>
  <pageSetup paperSize="9" scale="60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dimension ref="B1:R41"/>
  <sheetViews>
    <sheetView showGridLines="0" zoomScale="80" zoomScaleNormal="8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'03'!B1+1</f>
        <v>45203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86" t="s">
        <v>16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IF(vend4[[#This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IF(vend4[[#This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IF(vend4[[#This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75" x14ac:dyDescent="0.25">
      <c r="B18" s="86" t="s">
        <v>35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dimension ref="B1:R41"/>
  <sheetViews>
    <sheetView showGridLines="0" zoomScale="80" zoomScaleNormal="8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'04'!B1+1</f>
        <v>45204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860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860</v>
      </c>
      <c r="D6" s="2"/>
      <c r="E6" s="73">
        <v>1745</v>
      </c>
      <c r="F6" s="74" t="s">
        <v>132</v>
      </c>
      <c r="G6" s="75" t="s">
        <v>15</v>
      </c>
      <c r="H6" s="76">
        <v>400</v>
      </c>
      <c r="I6" s="76">
        <v>400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73">
        <v>1746</v>
      </c>
      <c r="F7" s="74" t="s">
        <v>132</v>
      </c>
      <c r="G7" s="75" t="s">
        <v>15</v>
      </c>
      <c r="H7" s="76">
        <v>460</v>
      </c>
      <c r="I7" s="76">
        <v>460</v>
      </c>
      <c r="J7" s="2"/>
      <c r="K7" s="25"/>
      <c r="L7" s="9"/>
      <c r="M7" s="16"/>
      <c r="R7" s="1">
        <f>IF(vend5[[#This Row],[Nº Venda]]&gt;1,1,0)</f>
        <v>1</v>
      </c>
    </row>
    <row r="8" spans="2:18" ht="15.75" x14ac:dyDescent="0.25">
      <c r="B8" s="28" t="s">
        <v>14</v>
      </c>
      <c r="C8" s="29">
        <f>SUM(C6:C7)</f>
        <v>860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86" t="s">
        <v>16</v>
      </c>
      <c r="C10" s="86"/>
      <c r="D10" s="2"/>
      <c r="E10" s="18"/>
      <c r="F10" s="25"/>
      <c r="G10" s="48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240</v>
      </c>
      <c r="D11" s="2"/>
      <c r="E11" s="18"/>
      <c r="F11" s="25"/>
      <c r="G11" s="48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IF(vend5[[#This Row],[Nº Venda]]&gt;1,1,0)</f>
        <v>0</v>
      </c>
    </row>
    <row r="14" spans="2:18" ht="15.75" x14ac:dyDescent="0.25">
      <c r="B14" s="30" t="s">
        <v>15</v>
      </c>
      <c r="C14" s="31">
        <f t="shared" si="0"/>
        <v>860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IF(vend5[[#This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IF(vend5[[#This Row],[Nº Venda]]&gt;1,1,0)</f>
        <v>0</v>
      </c>
    </row>
    <row r="16" spans="2:18" ht="15.75" x14ac:dyDescent="0.25">
      <c r="B16" s="28" t="s">
        <v>19</v>
      </c>
      <c r="C16" s="32">
        <f>SUM(C11:C15)</f>
        <v>1100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86" t="s">
        <v>35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860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1460</v>
      </c>
      <c r="F35" s="25" t="s">
        <v>133</v>
      </c>
      <c r="G35" s="26" t="s">
        <v>12</v>
      </c>
      <c r="H35" s="8">
        <v>120</v>
      </c>
      <c r="I35" s="8" t="s">
        <v>64</v>
      </c>
      <c r="K35" s="25"/>
      <c r="L35" s="42"/>
      <c r="M35" s="16"/>
    </row>
    <row r="36" spans="2:18" ht="15.75" x14ac:dyDescent="0.25">
      <c r="E36" s="18">
        <v>1460</v>
      </c>
      <c r="F36" s="25" t="s">
        <v>133</v>
      </c>
      <c r="G36" s="26" t="s">
        <v>12</v>
      </c>
      <c r="H36" s="8">
        <v>120</v>
      </c>
      <c r="I36" s="8" t="s">
        <v>65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dimension ref="B1:R41"/>
  <sheetViews>
    <sheetView showGridLines="0" zoomScale="70" zoomScaleNormal="7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6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85">
        <f>'05'!B1+1</f>
        <v>45205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899.99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120</v>
      </c>
      <c r="D6" s="2"/>
      <c r="E6" s="18">
        <v>1747</v>
      </c>
      <c r="F6" s="25" t="s">
        <v>157</v>
      </c>
      <c r="G6" s="26" t="s">
        <v>12</v>
      </c>
      <c r="H6" s="8">
        <v>899.99</v>
      </c>
      <c r="I6" s="8">
        <v>20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14</v>
      </c>
      <c r="C8" s="29">
        <f>SUM(C6:C7)</f>
        <v>120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86" t="s">
        <v>16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160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IF(vend[[#This Row],[Nº Venda]]&gt;1,1,0)</f>
        <v>0</v>
      </c>
    </row>
    <row r="15" spans="2:18" ht="15.75" x14ac:dyDescent="0.25">
      <c r="B15" s="30" t="s">
        <v>13</v>
      </c>
      <c r="C15" s="31">
        <f t="shared" si="0"/>
        <v>167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IF(vend[[#This Row],[Nº Venda]]&gt;1,1,0)</f>
        <v>0</v>
      </c>
    </row>
    <row r="16" spans="2:18" ht="15.75" x14ac:dyDescent="0.25">
      <c r="B16" s="28" t="s">
        <v>19</v>
      </c>
      <c r="C16" s="32">
        <f>SUM(C11:C15)</f>
        <v>327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86" t="s">
        <v>35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899.99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1743</v>
      </c>
      <c r="F26" s="25" t="s">
        <v>155</v>
      </c>
      <c r="G26" s="26" t="s">
        <v>13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1580</v>
      </c>
      <c r="F35" s="25" t="s">
        <v>124</v>
      </c>
      <c r="G35" s="26" t="s">
        <v>12</v>
      </c>
      <c r="H35" s="8">
        <v>140</v>
      </c>
      <c r="I35" s="8" t="s">
        <v>66</v>
      </c>
      <c r="K35" s="25"/>
      <c r="L35" s="42"/>
      <c r="M35" s="16"/>
    </row>
    <row r="36" spans="2:18" ht="15.75" x14ac:dyDescent="0.25">
      <c r="E36" s="18">
        <v>1564</v>
      </c>
      <c r="F36" s="25" t="s">
        <v>125</v>
      </c>
      <c r="G36" s="26" t="s">
        <v>13</v>
      </c>
      <c r="H36" s="8">
        <v>67</v>
      </c>
      <c r="I36" s="8" t="s">
        <v>83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topLeftCell="A13" zoomScale="80" zoomScaleNormal="80" workbookViewId="0">
      <selection activeCell="E27" sqref="E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'06'!B1+1</f>
        <v>45206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1360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" x14ac:dyDescent="0.25">
      <c r="B6" s="23" t="s">
        <v>8</v>
      </c>
      <c r="C6" s="24">
        <f>SUM(I6:I41)</f>
        <v>210</v>
      </c>
      <c r="D6" s="2"/>
      <c r="E6" s="77" t="s">
        <v>128</v>
      </c>
      <c r="F6" s="51" t="s">
        <v>129</v>
      </c>
      <c r="G6" s="51" t="s">
        <v>13</v>
      </c>
      <c r="H6" s="52">
        <v>710</v>
      </c>
      <c r="I6" s="52">
        <v>10</v>
      </c>
      <c r="J6" s="2"/>
      <c r="K6" s="25"/>
      <c r="L6" s="9"/>
      <c r="M6" s="16"/>
      <c r="R6" s="1">
        <f>IF(vend7[[#This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78" t="s">
        <v>126</v>
      </c>
      <c r="F7" s="50" t="s">
        <v>127</v>
      </c>
      <c r="G7" s="50" t="s">
        <v>12</v>
      </c>
      <c r="H7" s="49">
        <v>650</v>
      </c>
      <c r="I7" s="49">
        <v>50</v>
      </c>
      <c r="J7" s="2"/>
      <c r="K7" s="25"/>
      <c r="L7" s="9"/>
      <c r="M7" s="16"/>
      <c r="R7" s="1">
        <f>IF(vend7[[#This Row],[Nº Venda]]&gt;1,1,0)</f>
        <v>1</v>
      </c>
    </row>
    <row r="8" spans="2:18" ht="15.75" x14ac:dyDescent="0.25">
      <c r="B8" s="28" t="s">
        <v>14</v>
      </c>
      <c r="C8" s="29">
        <f>SUM(C6:C7)</f>
        <v>210</v>
      </c>
      <c r="D8" s="2"/>
      <c r="E8" s="79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 x14ac:dyDescent="0.25">
      <c r="B9" s="2"/>
      <c r="C9" s="2"/>
      <c r="D9" s="2"/>
      <c r="E9" s="79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 x14ac:dyDescent="0.25">
      <c r="B10" s="86" t="s">
        <v>16</v>
      </c>
      <c r="C10" s="86"/>
      <c r="D10" s="2"/>
      <c r="E10" s="79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50</v>
      </c>
      <c r="D11" s="2"/>
      <c r="E11" s="79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79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79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IF(vend7[[#This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79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IF(vend7[[#This Row],[Nº Venda]]&gt;1,1,0)</f>
        <v>0</v>
      </c>
    </row>
    <row r="15" spans="2:18" ht="15.75" x14ac:dyDescent="0.25">
      <c r="B15" s="30" t="s">
        <v>13</v>
      </c>
      <c r="C15" s="31">
        <f t="shared" si="0"/>
        <v>160</v>
      </c>
      <c r="D15" s="2"/>
      <c r="E15" s="79"/>
      <c r="F15" s="25"/>
      <c r="G15" s="26"/>
      <c r="H15" s="8"/>
      <c r="I15" s="8"/>
      <c r="J15" s="2"/>
      <c r="K15" s="53">
        <v>1711</v>
      </c>
      <c r="L15" s="58" t="s">
        <v>130</v>
      </c>
      <c r="M15" s="59" t="s">
        <v>131</v>
      </c>
      <c r="R15" s="1">
        <f>IF(vend7[[#This Row],[Nº Venda]]&gt;1,1,0)</f>
        <v>0</v>
      </c>
    </row>
    <row r="16" spans="2:18" ht="15.75" x14ac:dyDescent="0.25">
      <c r="B16" s="28" t="s">
        <v>19</v>
      </c>
      <c r="C16" s="32">
        <f>SUM(C11:C15)</f>
        <v>210</v>
      </c>
      <c r="D16" s="2"/>
      <c r="E16" s="79"/>
      <c r="F16" s="25"/>
      <c r="G16" s="26"/>
      <c r="H16" s="8"/>
      <c r="I16" s="8"/>
      <c r="J16" s="2"/>
      <c r="K16" s="47">
        <v>1722</v>
      </c>
      <c r="L16" s="9" t="s">
        <v>130</v>
      </c>
      <c r="M16" s="16" t="s">
        <v>131</v>
      </c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79"/>
      <c r="F17" s="25"/>
      <c r="G17" s="26"/>
      <c r="H17" s="8"/>
      <c r="I17" s="8"/>
      <c r="J17" s="2"/>
      <c r="K17" s="47"/>
      <c r="L17" s="9"/>
      <c r="M17" s="16"/>
      <c r="R17" s="1">
        <f>IF(vend7[[#This Row],[Nº Venda]]&gt;1,1,0)</f>
        <v>0</v>
      </c>
    </row>
    <row r="18" spans="2:18" ht="15.75" x14ac:dyDescent="0.25">
      <c r="B18" s="86" t="s">
        <v>35</v>
      </c>
      <c r="C18" s="86"/>
      <c r="D18" s="2"/>
      <c r="E18" s="79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79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79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79"/>
      <c r="F21" s="25"/>
      <c r="G21" s="26"/>
      <c r="H21" s="8"/>
      <c r="I21" s="8"/>
      <c r="J21" s="2"/>
      <c r="K21" s="47"/>
      <c r="L21" s="9"/>
      <c r="M21" s="16"/>
    </row>
    <row r="22" spans="2:18" ht="15.75" x14ac:dyDescent="0.25">
      <c r="B22" s="28" t="s">
        <v>20</v>
      </c>
      <c r="C22" s="32">
        <f>C5</f>
        <v>1360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7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47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47"/>
      <c r="L25" s="9"/>
      <c r="M25" s="16"/>
    </row>
    <row r="26" spans="2:18" ht="15.75" x14ac:dyDescent="0.25">
      <c r="B26" s="2"/>
      <c r="C26" s="2"/>
      <c r="D26" s="2"/>
      <c r="E26" s="54">
        <v>1737</v>
      </c>
      <c r="F26" s="55" t="s">
        <v>164</v>
      </c>
      <c r="G26" s="56" t="s">
        <v>13</v>
      </c>
      <c r="H26" s="57"/>
      <c r="I26" s="57">
        <v>150</v>
      </c>
      <c r="J26" s="2"/>
      <c r="K26" s="47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7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7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7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7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7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ignoredErrors>
    <ignoredError sqref="E6:E7" numberStoredAsText="1"/>
  </ignoredError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dimension ref="B1:R41"/>
  <sheetViews>
    <sheetView showGridLines="0" zoomScale="80" zoomScaleNormal="8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'07'!B1+1</f>
        <v>45207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" x14ac:dyDescent="0.25">
      <c r="B6" s="23" t="s">
        <v>8</v>
      </c>
      <c r="C6" s="24">
        <f>SUM(I6:I41)</f>
        <v>0</v>
      </c>
      <c r="D6" s="2"/>
      <c r="E6" s="60"/>
      <c r="F6" s="8"/>
      <c r="G6" s="8"/>
      <c r="H6" s="8"/>
      <c r="I6" s="8"/>
      <c r="J6" s="2"/>
      <c r="K6" s="25"/>
      <c r="L6" s="9"/>
      <c r="M6" s="16"/>
      <c r="R6" s="1">
        <f>IF(vend8[[#This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0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60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 x14ac:dyDescent="0.25">
      <c r="B9" s="2"/>
      <c r="C9" s="2"/>
      <c r="D9" s="2"/>
      <c r="E9" s="60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86" t="s">
        <v>16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IF(vend8[[#This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IF(vend8[[#This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IF(vend8[[#This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86" t="s">
        <v>35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54"/>
      <c r="F26" s="55"/>
      <c r="G26" s="56"/>
      <c r="H26" s="57"/>
      <c r="I26" s="57"/>
      <c r="J26" s="2"/>
      <c r="K26" s="25"/>
      <c r="L26" s="9"/>
      <c r="M26" s="16"/>
    </row>
    <row r="27" spans="2:18" ht="15.75" x14ac:dyDescent="0.25">
      <c r="B27" s="2"/>
      <c r="C27" s="2"/>
      <c r="D27" s="2"/>
      <c r="E27" s="63"/>
      <c r="F27" s="64"/>
      <c r="G27" s="61"/>
      <c r="H27" s="62"/>
      <c r="I27" s="62"/>
      <c r="J27" s="2"/>
      <c r="K27" s="25"/>
      <c r="L27" s="9"/>
      <c r="M27" s="16"/>
    </row>
    <row r="28" spans="2:18" ht="15.75" x14ac:dyDescent="0.25">
      <c r="B28" s="2"/>
      <c r="C28" s="2"/>
      <c r="D28" s="2"/>
      <c r="E28" s="63"/>
      <c r="F28" s="64"/>
      <c r="G28" s="61"/>
      <c r="H28" s="62"/>
      <c r="I28" s="62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dimension ref="B1:R41"/>
  <sheetViews>
    <sheetView showGridLines="0" topLeftCell="A17" zoomScale="80" zoomScaleNormal="8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'08'!B1+1</f>
        <v>45208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 x14ac:dyDescent="0.25">
      <c r="B10" s="86" t="s">
        <v>16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IF(vend9[[#This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IF(vend9[[#This Row],[Nº Venda]]&gt;1,1,0)</f>
        <v>0</v>
      </c>
    </row>
    <row r="15" spans="2:18" ht="15.75" x14ac:dyDescent="0.25">
      <c r="B15" s="30" t="s">
        <v>13</v>
      </c>
      <c r="C15" s="31">
        <f t="shared" si="0"/>
        <v>92.5</v>
      </c>
      <c r="D15" s="2"/>
      <c r="E15" s="18"/>
      <c r="F15" s="25"/>
      <c r="G15" s="26"/>
      <c r="H15" s="8"/>
      <c r="I15" s="8"/>
      <c r="J15" s="2"/>
      <c r="K15" s="25">
        <v>1748</v>
      </c>
      <c r="L15" s="9" t="s">
        <v>130</v>
      </c>
      <c r="M15" s="16" t="s">
        <v>131</v>
      </c>
      <c r="R15" s="1">
        <f>IF(vend9[[#This Row],[Nº Venda]]&gt;1,1,0)</f>
        <v>0</v>
      </c>
    </row>
    <row r="16" spans="2:18" ht="15.75" x14ac:dyDescent="0.25">
      <c r="B16" s="28" t="s">
        <v>19</v>
      </c>
      <c r="C16" s="32">
        <f>SUM(C11:C15)</f>
        <v>92.5</v>
      </c>
      <c r="D16" s="2"/>
      <c r="E16" s="18"/>
      <c r="F16" s="25"/>
      <c r="G16" s="26"/>
      <c r="H16" s="8"/>
      <c r="I16" s="8"/>
      <c r="J16" s="2"/>
      <c r="K16" s="25">
        <v>1733</v>
      </c>
      <c r="L16" s="9" t="s">
        <v>130</v>
      </c>
      <c r="M16" s="16" t="s">
        <v>131</v>
      </c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1721</v>
      </c>
      <c r="L17" s="9" t="s">
        <v>130</v>
      </c>
      <c r="M17" s="16" t="s">
        <v>131</v>
      </c>
      <c r="R17" s="1">
        <f>IF(vend9[[#This Row],[Nº Venda]]&gt;1,1,0)</f>
        <v>0</v>
      </c>
    </row>
    <row r="18" spans="2:18" ht="15.75" x14ac:dyDescent="0.25">
      <c r="B18" s="86" t="s">
        <v>35</v>
      </c>
      <c r="C18" s="86"/>
      <c r="D18" s="2"/>
      <c r="E18" s="18"/>
      <c r="F18" s="25"/>
      <c r="G18" s="26"/>
      <c r="H18" s="8"/>
      <c r="I18" s="8"/>
      <c r="J18" s="2"/>
      <c r="K18" s="25">
        <v>1695</v>
      </c>
      <c r="L18" s="9" t="s">
        <v>130</v>
      </c>
      <c r="M18" s="16" t="s">
        <v>135</v>
      </c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1545</v>
      </c>
      <c r="F35" s="25" t="s">
        <v>134</v>
      </c>
      <c r="G35" s="26" t="s">
        <v>13</v>
      </c>
      <c r="H35" s="8">
        <v>92.5</v>
      </c>
      <c r="I35" s="8" t="s">
        <v>54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dimension ref="B1:R41"/>
  <sheetViews>
    <sheetView showGridLines="0" zoomScale="80" zoomScaleNormal="8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'09'!B1+1</f>
        <v>45209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650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650</v>
      </c>
      <c r="D6" s="2"/>
      <c r="E6" s="18">
        <v>1750</v>
      </c>
      <c r="F6" s="25" t="s">
        <v>136</v>
      </c>
      <c r="G6" s="48" t="s">
        <v>17</v>
      </c>
      <c r="H6" s="8">
        <v>650</v>
      </c>
      <c r="I6" s="8">
        <v>650</v>
      </c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14</v>
      </c>
      <c r="C8" s="29">
        <f>SUM(C6:C7)</f>
        <v>650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86" t="s">
        <v>16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650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IF(vend10[[#This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IF(vend10[[#This Row],[Nº Venda]]&gt;1,1,0)</f>
        <v>0</v>
      </c>
    </row>
    <row r="15" spans="2:18" ht="15.75" x14ac:dyDescent="0.25">
      <c r="B15" s="30" t="s">
        <v>13</v>
      </c>
      <c r="C15" s="31">
        <f t="shared" si="0"/>
        <v>221.75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 x14ac:dyDescent="0.25">
      <c r="B16" s="28" t="s">
        <v>19</v>
      </c>
      <c r="C16" s="32">
        <f>SUM(C11:C15)</f>
        <v>871.75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86" t="s">
        <v>35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650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1516</v>
      </c>
      <c r="F35" s="25" t="s">
        <v>142</v>
      </c>
      <c r="G35" s="26" t="s">
        <v>13</v>
      </c>
      <c r="H35" s="8">
        <v>80</v>
      </c>
      <c r="I35" s="8" t="s">
        <v>50</v>
      </c>
      <c r="K35" s="25"/>
      <c r="L35" s="42"/>
      <c r="M35" s="16"/>
    </row>
    <row r="36" spans="2:18" ht="15.75" x14ac:dyDescent="0.25">
      <c r="E36" s="18">
        <v>1437</v>
      </c>
      <c r="F36" s="25" t="s">
        <v>137</v>
      </c>
      <c r="G36" s="26" t="s">
        <v>13</v>
      </c>
      <c r="H36" s="8">
        <v>141.75</v>
      </c>
      <c r="I36" s="8" t="s">
        <v>70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dimension ref="B1:R41"/>
  <sheetViews>
    <sheetView showGridLines="0" topLeftCell="A13" zoomScale="80" zoomScaleNormal="80" workbookViewId="0">
      <selection activeCell="K35" sqref="K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'10'!B1+1</f>
        <v>45210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1179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980</v>
      </c>
      <c r="D6" s="2"/>
      <c r="E6" s="18">
        <v>1751</v>
      </c>
      <c r="F6" s="25" t="s">
        <v>139</v>
      </c>
      <c r="G6" s="26" t="s">
        <v>15</v>
      </c>
      <c r="H6" s="8">
        <v>500</v>
      </c>
      <c r="I6" s="8">
        <v>500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1752</v>
      </c>
      <c r="F7" s="25" t="s">
        <v>139</v>
      </c>
      <c r="G7" s="26" t="s">
        <v>15</v>
      </c>
      <c r="H7" s="8">
        <v>280</v>
      </c>
      <c r="I7" s="8">
        <v>280</v>
      </c>
      <c r="J7" s="2"/>
      <c r="K7" s="25"/>
      <c r="L7" s="9"/>
      <c r="M7" s="16"/>
      <c r="R7" s="1">
        <f>IF(vend11[[#This Row],[Nº Venda]]&gt;1,1,0)</f>
        <v>1</v>
      </c>
    </row>
    <row r="8" spans="2:18" ht="15.75" x14ac:dyDescent="0.25">
      <c r="B8" s="28" t="s">
        <v>14</v>
      </c>
      <c r="C8" s="29">
        <f>SUM(C6:C7)</f>
        <v>980</v>
      </c>
      <c r="D8" s="2"/>
      <c r="E8" s="18">
        <v>1753</v>
      </c>
      <c r="F8" s="25" t="s">
        <v>140</v>
      </c>
      <c r="G8" s="26" t="s">
        <v>13</v>
      </c>
      <c r="H8" s="8">
        <v>399</v>
      </c>
      <c r="I8" s="8">
        <v>200</v>
      </c>
      <c r="J8" s="2"/>
      <c r="K8" s="25"/>
      <c r="L8" s="9"/>
      <c r="M8" s="16"/>
      <c r="R8" s="1">
        <f>IF(vend11[[#This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86" t="s">
        <v>16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IF(vend11[[#This Row],[Nº Venda]]&gt;1,1,0)</f>
        <v>0</v>
      </c>
    </row>
    <row r="14" spans="2:18" ht="15.75" x14ac:dyDescent="0.25">
      <c r="B14" s="30" t="s">
        <v>15</v>
      </c>
      <c r="C14" s="31">
        <f t="shared" si="0"/>
        <v>780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IF(vend11[[#This Row],[Nº Venda]]&gt;1,1,0)</f>
        <v>0</v>
      </c>
    </row>
    <row r="15" spans="2:18" ht="15.75" x14ac:dyDescent="0.25">
      <c r="B15" s="30" t="s">
        <v>13</v>
      </c>
      <c r="C15" s="31">
        <f t="shared" si="0"/>
        <v>275</v>
      </c>
      <c r="D15" s="2"/>
      <c r="E15" s="18"/>
      <c r="F15" s="25"/>
      <c r="G15" s="26"/>
      <c r="H15" s="8"/>
      <c r="I15" s="8"/>
      <c r="J15" s="2"/>
      <c r="K15" s="25">
        <v>1737</v>
      </c>
      <c r="L15" s="9" t="s">
        <v>141</v>
      </c>
      <c r="M15" s="16" t="s">
        <v>135</v>
      </c>
      <c r="R15" s="1">
        <f>IF(vend11[[#This Row],[Nº Venda]]&gt;1,1,0)</f>
        <v>0</v>
      </c>
    </row>
    <row r="16" spans="2:18" ht="15.75" x14ac:dyDescent="0.25">
      <c r="B16" s="28" t="s">
        <v>19</v>
      </c>
      <c r="C16" s="32">
        <f>SUM(C11:C15)</f>
        <v>1055</v>
      </c>
      <c r="D16" s="2"/>
      <c r="E16" s="18"/>
      <c r="F16" s="25"/>
      <c r="G16" s="26"/>
      <c r="H16" s="8"/>
      <c r="I16" s="8"/>
      <c r="J16" s="2"/>
      <c r="K16" s="25">
        <v>1738</v>
      </c>
      <c r="L16" s="9" t="s">
        <v>141</v>
      </c>
      <c r="M16" s="16" t="s">
        <v>135</v>
      </c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86" t="s">
        <v>35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1</v>
      </c>
      <c r="C19" s="31">
        <f>SUM(entr_carn11[Valor Total])</f>
        <v>400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19</v>
      </c>
      <c r="C20" s="32">
        <f>SUM(C19:C19)</f>
        <v>400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1179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1636</v>
      </c>
      <c r="F35" s="25" t="s">
        <v>138</v>
      </c>
      <c r="G35" s="26" t="s">
        <v>13</v>
      </c>
      <c r="H35" s="8">
        <v>75</v>
      </c>
      <c r="I35" s="8" t="s">
        <v>91</v>
      </c>
      <c r="K35" s="25">
        <v>1737</v>
      </c>
      <c r="L35" s="42">
        <v>4</v>
      </c>
      <c r="M35" s="16">
        <v>400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dimension ref="B1:R41"/>
  <sheetViews>
    <sheetView showGridLines="0" topLeftCell="A14" zoomScale="80" zoomScaleNormal="8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'11'!B1+1</f>
        <v>45211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" x14ac:dyDescent="0.25">
      <c r="B6" s="23" t="s">
        <v>8</v>
      </c>
      <c r="C6" s="24">
        <f>SUM(I6:I41)</f>
        <v>0</v>
      </c>
      <c r="D6" s="2"/>
      <c r="E6" s="65"/>
      <c r="F6" s="66"/>
      <c r="G6" s="66"/>
      <c r="H6" s="67"/>
      <c r="I6" s="67"/>
      <c r="J6" s="2"/>
      <c r="K6" s="25"/>
      <c r="L6" s="9"/>
      <c r="M6" s="16"/>
      <c r="R6" s="1">
        <f>IF(vend12[[#This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8"/>
      <c r="F7" s="69"/>
      <c r="G7" s="69"/>
      <c r="H7" s="70"/>
      <c r="I7" s="70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72"/>
      <c r="F8" s="69"/>
      <c r="G8" s="69"/>
      <c r="H8" s="70"/>
      <c r="I8" s="70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86" t="s">
        <v>16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IF(vend12[[#This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IF(vend12[[#This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86" t="s">
        <v>35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71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dimension ref="B1:R41"/>
  <sheetViews>
    <sheetView showGridLines="0" topLeftCell="A16" zoomScale="80" zoomScaleNormal="80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'12'!B1+1</f>
        <v>45212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1935.99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960</v>
      </c>
      <c r="D6" s="2"/>
      <c r="E6" s="18">
        <v>1754</v>
      </c>
      <c r="F6" s="25" t="s">
        <v>143</v>
      </c>
      <c r="G6" s="26" t="s">
        <v>17</v>
      </c>
      <c r="H6" s="8">
        <v>1649.99</v>
      </c>
      <c r="I6" s="8">
        <v>500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1755</v>
      </c>
      <c r="F7" s="25" t="s">
        <v>146</v>
      </c>
      <c r="G7" s="26" t="s">
        <v>12</v>
      </c>
      <c r="H7" s="8">
        <v>126</v>
      </c>
      <c r="I7" s="8">
        <v>50</v>
      </c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14</v>
      </c>
      <c r="C8" s="29">
        <f>SUM(C6:C7)</f>
        <v>960</v>
      </c>
      <c r="D8" s="2"/>
      <c r="E8" s="18">
        <v>1756</v>
      </c>
      <c r="F8" s="25" t="s">
        <v>145</v>
      </c>
      <c r="G8" s="26" t="s">
        <v>17</v>
      </c>
      <c r="H8" s="8">
        <v>160</v>
      </c>
      <c r="I8" s="8">
        <v>160</v>
      </c>
      <c r="J8" s="2"/>
      <c r="K8" s="25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18">
        <v>1757</v>
      </c>
      <c r="F9" s="25" t="s">
        <v>145</v>
      </c>
      <c r="G9" s="26" t="s">
        <v>23</v>
      </c>
      <c r="H9" s="8" t="s">
        <v>42</v>
      </c>
      <c r="I9" s="8">
        <v>0</v>
      </c>
      <c r="J9" s="2"/>
      <c r="K9" s="25"/>
      <c r="L9" s="9"/>
      <c r="M9" s="16"/>
      <c r="R9" s="1">
        <f>IF(vend13[[#This Row],[Nº Venda]]&gt;1,1,0)</f>
        <v>1</v>
      </c>
    </row>
    <row r="10" spans="2:18" ht="15.75" x14ac:dyDescent="0.25">
      <c r="B10" s="86" t="s">
        <v>16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660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IF(vend13[[#This Row],[Nº Venda]]&gt;1,1,0)</f>
        <v>0</v>
      </c>
    </row>
    <row r="14" spans="2:18" ht="15.75" x14ac:dyDescent="0.25">
      <c r="B14" s="30" t="s">
        <v>15</v>
      </c>
      <c r="C14" s="31">
        <f t="shared" si="0"/>
        <v>250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IF(vend13[[#This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1736</v>
      </c>
      <c r="L15" s="9" t="s">
        <v>141</v>
      </c>
      <c r="M15" s="16" t="s">
        <v>131</v>
      </c>
      <c r="R15" s="1">
        <f>IF(vend13[[#This Row],[Nº Venda]]&gt;1,1,0)</f>
        <v>0</v>
      </c>
    </row>
    <row r="16" spans="2:18" ht="15.75" x14ac:dyDescent="0.25">
      <c r="B16" s="28" t="s">
        <v>19</v>
      </c>
      <c r="C16" s="32">
        <f>SUM(C11:C15)</f>
        <v>960</v>
      </c>
      <c r="D16" s="2"/>
      <c r="E16" s="18"/>
      <c r="F16" s="25"/>
      <c r="G16" s="26"/>
      <c r="H16" s="8"/>
      <c r="I16" s="8"/>
      <c r="J16" s="2"/>
      <c r="K16" s="25">
        <v>1743</v>
      </c>
      <c r="L16" s="9" t="s">
        <v>156</v>
      </c>
      <c r="M16" s="16" t="s">
        <v>135</v>
      </c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86" t="s">
        <v>35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1</v>
      </c>
      <c r="C19" s="31">
        <f>SUM(entr_carn13[Valor Total])</f>
        <v>450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19</v>
      </c>
      <c r="C20" s="32">
        <f>SUM(C19:C19)</f>
        <v>450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1935.99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1716</v>
      </c>
      <c r="F26" s="25" t="s">
        <v>144</v>
      </c>
      <c r="G26" s="26" t="s">
        <v>15</v>
      </c>
      <c r="H26" s="8"/>
      <c r="I26" s="8">
        <v>250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B35" s="1">
        <v>3</v>
      </c>
      <c r="E35" s="18"/>
      <c r="F35" s="25"/>
      <c r="G35" s="26"/>
      <c r="H35" s="8"/>
      <c r="I35" s="8"/>
      <c r="K35" s="25">
        <v>1743</v>
      </c>
      <c r="L35" s="42">
        <v>6</v>
      </c>
      <c r="M35" s="16">
        <v>450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dimension ref="B1:R41"/>
  <sheetViews>
    <sheetView showGridLines="0" topLeftCell="A17" zoomScale="80" zoomScaleNormal="80" workbookViewId="0">
      <selection activeCell="F37" sqref="F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'13'!B1+1</f>
        <v>45213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495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495</v>
      </c>
      <c r="D6" s="2"/>
      <c r="E6" s="18">
        <v>1758</v>
      </c>
      <c r="F6" s="25" t="s">
        <v>163</v>
      </c>
      <c r="G6" s="48" t="s">
        <v>17</v>
      </c>
      <c r="H6" s="8">
        <v>495</v>
      </c>
      <c r="I6" s="8">
        <v>495</v>
      </c>
      <c r="J6" s="2"/>
      <c r="K6" s="25"/>
      <c r="L6" s="9"/>
      <c r="M6" s="16"/>
      <c r="R6" s="1">
        <f>IF(vend14[[#This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14</v>
      </c>
      <c r="C8" s="29">
        <f>SUM(C6:C7)</f>
        <v>495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86" t="s">
        <v>16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180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603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IF(vend14[[#This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IF(vend14[[#This Row],[Nº Venda]]&gt;1,1,0)</f>
        <v>0</v>
      </c>
    </row>
    <row r="15" spans="2:18" ht="15.75" x14ac:dyDescent="0.25">
      <c r="B15" s="30" t="s">
        <v>13</v>
      </c>
      <c r="C15" s="31">
        <f t="shared" si="0"/>
        <v>105</v>
      </c>
      <c r="D15" s="2"/>
      <c r="E15" s="18"/>
      <c r="F15" s="25"/>
      <c r="G15" s="26"/>
      <c r="H15" s="8"/>
      <c r="I15" s="8"/>
      <c r="J15" s="2"/>
      <c r="K15" s="25">
        <v>1751</v>
      </c>
      <c r="L15" s="9" t="s">
        <v>130</v>
      </c>
      <c r="M15" s="16" t="s">
        <v>131</v>
      </c>
      <c r="R15" s="1">
        <f>IF(vend14[[#This Row],[Nº Venda]]&gt;1,1,0)</f>
        <v>0</v>
      </c>
    </row>
    <row r="16" spans="2:18" ht="15.75" x14ac:dyDescent="0.25">
      <c r="B16" s="28" t="s">
        <v>19</v>
      </c>
      <c r="C16" s="32">
        <f>SUM(C11:C15)</f>
        <v>888</v>
      </c>
      <c r="D16" s="2"/>
      <c r="E16" s="18"/>
      <c r="F16" s="25"/>
      <c r="G16" s="26"/>
      <c r="H16" s="8"/>
      <c r="I16" s="8"/>
      <c r="J16" s="2"/>
      <c r="K16" s="25">
        <v>1752</v>
      </c>
      <c r="L16" s="9" t="s">
        <v>130</v>
      </c>
      <c r="M16" s="16" t="s">
        <v>131</v>
      </c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86" t="s">
        <v>35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495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1520</v>
      </c>
      <c r="F35" s="25" t="s">
        <v>161</v>
      </c>
      <c r="G35" s="26" t="s">
        <v>12</v>
      </c>
      <c r="H35" s="8">
        <v>180</v>
      </c>
      <c r="I35" s="8" t="s">
        <v>58</v>
      </c>
      <c r="K35" s="25"/>
      <c r="L35" s="42"/>
      <c r="M35" s="16"/>
    </row>
    <row r="36" spans="2:18" ht="15.75" x14ac:dyDescent="0.25">
      <c r="E36" s="18">
        <v>1704</v>
      </c>
      <c r="F36" s="25" t="s">
        <v>162</v>
      </c>
      <c r="G36" s="26" t="s">
        <v>13</v>
      </c>
      <c r="H36" s="8">
        <v>105</v>
      </c>
      <c r="I36" s="8" t="s">
        <v>90</v>
      </c>
      <c r="K36" s="25"/>
      <c r="L36" s="42"/>
      <c r="M36" s="16"/>
    </row>
    <row r="37" spans="2:18" ht="15.75" x14ac:dyDescent="0.25">
      <c r="E37" s="18">
        <v>1507</v>
      </c>
      <c r="F37" s="25" t="s">
        <v>214</v>
      </c>
      <c r="G37" s="26" t="s">
        <v>17</v>
      </c>
      <c r="H37" s="8">
        <v>108</v>
      </c>
      <c r="I37" s="8" t="s">
        <v>58</v>
      </c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dimension ref="B1:R41"/>
  <sheetViews>
    <sheetView showGridLines="0" zoomScale="80" zoomScaleNormal="8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'14'!B1+1</f>
        <v>45214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86" t="s">
        <v>16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IF(vend15[[#This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IF(vend15[[#This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IF(vend15[[#This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86" t="s">
        <v>35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dimension ref="B1:R41"/>
  <sheetViews>
    <sheetView showGridLines="0" topLeftCell="A17" zoomScale="80" zoomScaleNormal="80" workbookViewId="0">
      <selection activeCell="K36" sqref="K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'15'!B1+1</f>
        <v>45215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900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450</v>
      </c>
      <c r="D6" s="2"/>
      <c r="E6" s="18">
        <v>1759</v>
      </c>
      <c r="F6" s="25" t="s">
        <v>165</v>
      </c>
      <c r="G6" s="48" t="s">
        <v>23</v>
      </c>
      <c r="H6" s="8" t="s">
        <v>42</v>
      </c>
      <c r="I6" s="8">
        <v>0</v>
      </c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1760</v>
      </c>
      <c r="F7" s="25" t="s">
        <v>166</v>
      </c>
      <c r="G7" s="48" t="s">
        <v>13</v>
      </c>
      <c r="H7" s="8">
        <v>500</v>
      </c>
      <c r="I7" s="8">
        <v>50</v>
      </c>
      <c r="J7" s="2"/>
      <c r="K7" s="25"/>
      <c r="L7" s="9"/>
      <c r="M7" s="16"/>
      <c r="R7" s="1">
        <f>IF(vend16[[#This Row],[Nº Venda]]&gt;1,1,0)</f>
        <v>1</v>
      </c>
    </row>
    <row r="8" spans="2:18" ht="15.75" x14ac:dyDescent="0.25">
      <c r="B8" s="28" t="s">
        <v>14</v>
      </c>
      <c r="C8" s="29">
        <f>SUM(C6:C7)</f>
        <v>450</v>
      </c>
      <c r="D8" s="2"/>
      <c r="E8" s="18">
        <v>1761</v>
      </c>
      <c r="F8" s="25" t="s">
        <v>167</v>
      </c>
      <c r="G8" s="26" t="s">
        <v>15</v>
      </c>
      <c r="H8" s="8">
        <v>400</v>
      </c>
      <c r="I8" s="8">
        <v>400</v>
      </c>
      <c r="J8" s="2"/>
      <c r="K8" s="25"/>
      <c r="L8" s="9"/>
      <c r="M8" s="16"/>
      <c r="R8" s="1">
        <f>IF(vend16[[#This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86" t="s">
        <v>16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IF(vend16[[#This Row],[Nº Venda]]&gt;1,1,0)</f>
        <v>0</v>
      </c>
    </row>
    <row r="14" spans="2:18" ht="15.75" x14ac:dyDescent="0.25">
      <c r="B14" s="30" t="s">
        <v>15</v>
      </c>
      <c r="C14" s="31">
        <f t="shared" si="0"/>
        <v>400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IF(vend16[[#This Row],[Nº Venda]]&gt;1,1,0)</f>
        <v>0</v>
      </c>
    </row>
    <row r="15" spans="2:18" ht="15.75" x14ac:dyDescent="0.25">
      <c r="B15" s="30" t="s">
        <v>13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>
        <v>1734</v>
      </c>
      <c r="L15" s="9" t="s">
        <v>141</v>
      </c>
      <c r="M15" s="16" t="s">
        <v>135</v>
      </c>
      <c r="R15" s="1">
        <f>IF(vend16[[#This Row],[Nº Venda]]&gt;1,1,0)</f>
        <v>0</v>
      </c>
    </row>
    <row r="16" spans="2:18" ht="15.75" x14ac:dyDescent="0.25">
      <c r="B16" s="28" t="s">
        <v>19</v>
      </c>
      <c r="C16" s="32">
        <f>SUM(C11:C15)</f>
        <v>450</v>
      </c>
      <c r="D16" s="2"/>
      <c r="E16" s="18"/>
      <c r="F16" s="25"/>
      <c r="G16" s="26"/>
      <c r="H16" s="8"/>
      <c r="I16" s="8"/>
      <c r="J16" s="2"/>
      <c r="K16" s="25">
        <v>1735</v>
      </c>
      <c r="L16" s="9" t="s">
        <v>141</v>
      </c>
      <c r="M16" s="16" t="s">
        <v>135</v>
      </c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 x14ac:dyDescent="0.25">
      <c r="B18" s="86" t="s">
        <v>35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1</v>
      </c>
      <c r="C19" s="31">
        <f>SUM(entr_carn16[Valor Total])</f>
        <v>903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19</v>
      </c>
      <c r="C20" s="32">
        <f>SUM(C19:C19)</f>
        <v>903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900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>
        <v>1734</v>
      </c>
      <c r="L35" s="42">
        <v>7</v>
      </c>
      <c r="M35" s="16">
        <v>903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dimension ref="B1:R41"/>
  <sheetViews>
    <sheetView showGridLines="0" topLeftCell="A15" zoomScale="80" zoomScaleNormal="80" workbookViewId="0">
      <selection activeCell="F6" sqref="F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'16'!B1+1</f>
        <v>45216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370.97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101</v>
      </c>
      <c r="D6" s="2"/>
      <c r="E6" s="18">
        <v>1763</v>
      </c>
      <c r="F6" s="25" t="s">
        <v>169</v>
      </c>
      <c r="G6" s="26" t="s">
        <v>23</v>
      </c>
      <c r="H6" s="8" t="s">
        <v>42</v>
      </c>
      <c r="I6" s="8">
        <v>0</v>
      </c>
      <c r="J6" s="2"/>
      <c r="K6" s="25"/>
      <c r="L6" s="9"/>
      <c r="M6" s="16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1762</v>
      </c>
      <c r="F7" s="25" t="s">
        <v>168</v>
      </c>
      <c r="G7" s="26" t="s">
        <v>13</v>
      </c>
      <c r="H7" s="8">
        <v>370.97</v>
      </c>
      <c r="I7" s="8">
        <v>50</v>
      </c>
      <c r="J7" s="2"/>
      <c r="K7" s="25"/>
      <c r="L7" s="9"/>
      <c r="M7" s="16"/>
      <c r="R7" s="1">
        <f>IF(vend17[[#This Row],[Nº Venda]]&gt;1,1,0)</f>
        <v>1</v>
      </c>
    </row>
    <row r="8" spans="2:18" ht="15.75" x14ac:dyDescent="0.25">
      <c r="B8" s="28" t="s">
        <v>14</v>
      </c>
      <c r="C8" s="29">
        <f>SUM(C6:C7)</f>
        <v>101</v>
      </c>
      <c r="D8" s="2"/>
      <c r="E8" s="18">
        <v>1762</v>
      </c>
      <c r="F8" s="25" t="s">
        <v>168</v>
      </c>
      <c r="G8" s="26" t="s">
        <v>17</v>
      </c>
      <c r="H8" s="8"/>
      <c r="I8" s="8">
        <v>1</v>
      </c>
      <c r="J8" s="2"/>
      <c r="K8" s="25"/>
      <c r="L8" s="9"/>
      <c r="M8" s="16"/>
      <c r="R8" s="1">
        <f>IF(vend17[[#This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86" t="s">
        <v>16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1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IF(vend17[[#This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IF(vend17[[#This Row],[Nº Venda]]&gt;1,1,0)</f>
        <v>0</v>
      </c>
    </row>
    <row r="15" spans="2:18" ht="15.75" x14ac:dyDescent="0.25">
      <c r="B15" s="30" t="s">
        <v>13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 x14ac:dyDescent="0.25">
      <c r="B16" s="28" t="s">
        <v>19</v>
      </c>
      <c r="C16" s="32">
        <f>SUM(C11:C15)</f>
        <v>101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86" t="s">
        <v>35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370.97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1760</v>
      </c>
      <c r="F26" s="25" t="s">
        <v>166</v>
      </c>
      <c r="G26" s="26" t="s">
        <v>13</v>
      </c>
      <c r="H26" s="8"/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dimension ref="B1:R41"/>
  <sheetViews>
    <sheetView showGridLines="0" zoomScale="80" zoomScaleNormal="8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'17'!B1+1</f>
        <v>45217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>
        <v>1764</v>
      </c>
      <c r="F6" s="25" t="s">
        <v>172</v>
      </c>
      <c r="G6" s="26" t="s">
        <v>171</v>
      </c>
      <c r="H6" s="8" t="s">
        <v>170</v>
      </c>
      <c r="I6" s="8">
        <v>0</v>
      </c>
      <c r="J6" s="2"/>
      <c r="K6" s="25"/>
      <c r="L6" s="9"/>
      <c r="M6" s="16"/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86" t="s">
        <v>16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30" t="s">
        <v>17</v>
      </c>
      <c r="C12" s="31">
        <f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18</v>
      </c>
      <c r="C13" s="31">
        <f>(SUMIF($G$2:$G$31,B13,$I$2:$I$31))+(SUMIF($G$35:$G$41,B13,$H$35:$H$41))</f>
        <v>0</v>
      </c>
      <c r="D13" s="2"/>
      <c r="E13" s="18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IF(vend18[[#This Row],[Nº Venda]]&gt;1,1,0)</f>
        <v>0</v>
      </c>
    </row>
    <row r="14" spans="2:18" ht="15.75" x14ac:dyDescent="0.25">
      <c r="B14" s="30" t="s">
        <v>15</v>
      </c>
      <c r="C14" s="31">
        <f>(SUMIF($G$2:$G$31,B14,$I$2:$I$31))+(SUMIF($G$35:$G$41,B14,$H$35:$H$41))</f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IF(vend18[[#This Row],[Nº Venda]]&gt;1,1,0)</f>
        <v>0</v>
      </c>
    </row>
    <row r="15" spans="2:18" ht="15.75" x14ac:dyDescent="0.25">
      <c r="B15" s="30" t="s">
        <v>13</v>
      </c>
      <c r="C15" s="31">
        <f>(SUMIF($G$2:$G$31,B15,$I$2:$I$31))+(SUMIF($G$35:$G$41,B15,$H$35:$H$41))</f>
        <v>135</v>
      </c>
      <c r="D15" s="2"/>
      <c r="E15" s="18"/>
      <c r="F15" s="25"/>
      <c r="G15" s="26"/>
      <c r="H15" s="8"/>
      <c r="I15" s="8"/>
      <c r="J15" s="2"/>
      <c r="K15" s="25">
        <v>1709</v>
      </c>
      <c r="L15" s="9" t="s">
        <v>170</v>
      </c>
      <c r="M15" s="16" t="s">
        <v>131</v>
      </c>
      <c r="R15" s="1">
        <f>IF(vend18[[#This Row],[Nº Venda]]&gt;1,1,0)</f>
        <v>0</v>
      </c>
    </row>
    <row r="16" spans="2:18" ht="15.75" x14ac:dyDescent="0.25">
      <c r="B16" s="28" t="s">
        <v>19</v>
      </c>
      <c r="C16" s="32">
        <f>SUM(C11:C15)</f>
        <v>135</v>
      </c>
      <c r="D16" s="2"/>
      <c r="E16" s="18"/>
      <c r="F16" s="25"/>
      <c r="G16" s="26"/>
      <c r="H16" s="8"/>
      <c r="I16" s="8"/>
      <c r="J16" s="2"/>
      <c r="K16" s="25">
        <v>1739</v>
      </c>
      <c r="L16" s="9" t="s">
        <v>170</v>
      </c>
      <c r="M16" s="16" t="s">
        <v>131</v>
      </c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86" t="s">
        <v>35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1440</v>
      </c>
      <c r="F35" s="25" t="s">
        <v>173</v>
      </c>
      <c r="G35" s="26" t="s">
        <v>13</v>
      </c>
      <c r="H35" s="8">
        <v>135</v>
      </c>
      <c r="I35" s="8" t="s">
        <v>64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dimension ref="B1:R41"/>
  <sheetViews>
    <sheetView showGridLines="0" tabSelected="1" topLeftCell="A17" zoomScale="70" zoomScaleNormal="7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'18'!B1+1</f>
        <v>45218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SUM(I6:I40)</f>
        <v>0</v>
      </c>
      <c r="D6" s="2"/>
      <c r="E6" s="18">
        <v>1765</v>
      </c>
      <c r="F6" s="25" t="s">
        <v>175</v>
      </c>
      <c r="G6" s="26" t="s">
        <v>171</v>
      </c>
      <c r="H6" s="8" t="s">
        <v>170</v>
      </c>
      <c r="I6" s="8">
        <v>0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86" t="s">
        <v>16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(SUMIF($G$2:$G$31,B11,$I$2:$I$31))+(SUMIF($G$35:$G$40,B11,$H$35:$H$40))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17</v>
      </c>
      <c r="C12" s="31">
        <f>(SUMIF($G$2:$G$31,B12,$I$2:$I$31))+(SUMIF($G$35:$G$40,B12,$H$35:$H$40))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18</v>
      </c>
      <c r="C13" s="31">
        <f>(SUMIF($G$2:$G$31,B13,$I$2:$I$31))+(SUMIF($G$35:$G$40,B13,$H$35:$H$40))</f>
        <v>0</v>
      </c>
      <c r="D13" s="2"/>
      <c r="E13" s="18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IF(vend19[[#This Row],[Nº Venda]]&gt;1,1,0)</f>
        <v>0</v>
      </c>
    </row>
    <row r="14" spans="2:18" ht="15.75" x14ac:dyDescent="0.25">
      <c r="B14" s="30" t="s">
        <v>15</v>
      </c>
      <c r="C14" s="31">
        <f>(SUMIF($G$2:$G$31,B14,$I$2:$I$31))+(SUMIF($G$35:$G$40,B14,$H$35:$H$40))</f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IF(vend19[[#This Row],[Nº Venda]]&gt;1,1,0)</f>
        <v>0</v>
      </c>
    </row>
    <row r="15" spans="2:18" ht="15.75" x14ac:dyDescent="0.25">
      <c r="B15" s="30" t="s">
        <v>13</v>
      </c>
      <c r="C15" s="31">
        <f>(SUMIF($G$2:$G$31,B15,$I$2:$I$31))+(SUMIF($G$35:$G$40,B15,$H$35:$H$40))</f>
        <v>499.25</v>
      </c>
      <c r="D15" s="2"/>
      <c r="E15" s="18"/>
      <c r="F15" s="25"/>
      <c r="G15" s="26"/>
      <c r="H15" s="8"/>
      <c r="I15" s="8"/>
      <c r="J15" s="2"/>
      <c r="K15" s="25">
        <v>1759</v>
      </c>
      <c r="L15" s="9" t="s">
        <v>174</v>
      </c>
      <c r="M15" s="16" t="s">
        <v>131</v>
      </c>
      <c r="R15" s="1">
        <f>IF(vend19[[#This Row],[Nº Venda]]&gt;1,1,0)</f>
        <v>0</v>
      </c>
    </row>
    <row r="16" spans="2:18" ht="15.75" x14ac:dyDescent="0.25">
      <c r="B16" s="28" t="s">
        <v>19</v>
      </c>
      <c r="C16" s="32">
        <f>SUM(C11:C15)</f>
        <v>499.25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 x14ac:dyDescent="0.25">
      <c r="B18" s="86" t="s">
        <v>35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1707</v>
      </c>
      <c r="F35" s="25" t="s">
        <v>176</v>
      </c>
      <c r="G35" s="26" t="s">
        <v>13</v>
      </c>
      <c r="H35" s="8">
        <v>160</v>
      </c>
      <c r="I35" s="8" t="s">
        <v>46</v>
      </c>
      <c r="K35" s="25"/>
      <c r="L35" s="42"/>
      <c r="M35" s="16"/>
    </row>
    <row r="36" spans="2:18" ht="15.75" x14ac:dyDescent="0.25">
      <c r="E36" s="18">
        <v>1551</v>
      </c>
      <c r="F36" s="25" t="s">
        <v>177</v>
      </c>
      <c r="G36" s="26" t="s">
        <v>13</v>
      </c>
      <c r="H36" s="8">
        <v>130</v>
      </c>
      <c r="I36" s="8" t="s">
        <v>50</v>
      </c>
      <c r="K36" s="25"/>
      <c r="L36" s="42"/>
      <c r="M36" s="16"/>
    </row>
    <row r="37" spans="2:18" ht="15.75" x14ac:dyDescent="0.25">
      <c r="E37" s="18">
        <v>1437</v>
      </c>
      <c r="F37" s="25" t="s">
        <v>137</v>
      </c>
      <c r="G37" s="26" t="s">
        <v>13</v>
      </c>
      <c r="H37" s="8">
        <v>141.75</v>
      </c>
      <c r="I37" s="8" t="s">
        <v>71</v>
      </c>
      <c r="K37" s="25"/>
      <c r="L37" s="42"/>
      <c r="M37" s="16"/>
    </row>
    <row r="38" spans="2:18" ht="15.75" x14ac:dyDescent="0.25">
      <c r="E38" s="18">
        <v>1630</v>
      </c>
      <c r="F38" s="25" t="s">
        <v>178</v>
      </c>
      <c r="G38" s="26" t="s">
        <v>13</v>
      </c>
      <c r="H38" s="8">
        <v>67.5</v>
      </c>
      <c r="I38" s="8" t="s">
        <v>83</v>
      </c>
      <c r="K38" s="25"/>
      <c r="L38" s="42"/>
      <c r="M38" s="16"/>
    </row>
    <row r="39" spans="2:18" ht="15.75" x14ac:dyDescent="0.25">
      <c r="E39" s="35"/>
      <c r="F39" s="36"/>
      <c r="G39" s="37"/>
      <c r="H39" s="17"/>
      <c r="I39" s="8"/>
      <c r="K39" s="25"/>
      <c r="L39" s="42"/>
      <c r="M39" s="16"/>
    </row>
    <row r="40" spans="2:18" ht="15.75" x14ac:dyDescent="0.25">
      <c r="E40" s="44"/>
      <c r="F40" s="39"/>
      <c r="G40" s="26"/>
      <c r="H40" s="8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" x14ac:dyDescent="0.25"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G35:G40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dimension ref="B1:R41"/>
  <sheetViews>
    <sheetView showGridLines="0" zoomScale="80" zoomScaleNormal="8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'19'!B1+1</f>
        <v>45219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86" t="s">
        <v>16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30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IF(vend20[[#This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IF(vend20[[#This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1753</v>
      </c>
      <c r="L15" s="9" t="s">
        <v>179</v>
      </c>
      <c r="M15" s="16" t="s">
        <v>131</v>
      </c>
      <c r="R15" s="1">
        <f>IF(vend20[[#This Row],[Nº Venda]]&gt;1,1,0)</f>
        <v>0</v>
      </c>
    </row>
    <row r="16" spans="2:18" ht="15.75" x14ac:dyDescent="0.25">
      <c r="B16" s="28" t="s">
        <v>19</v>
      </c>
      <c r="C16" s="32">
        <f>SUM(C11:C15)</f>
        <v>30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86" t="s">
        <v>35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1633</v>
      </c>
      <c r="F35" s="25" t="s">
        <v>181</v>
      </c>
      <c r="G35" s="26" t="s">
        <v>12</v>
      </c>
      <c r="H35" s="8">
        <v>30</v>
      </c>
      <c r="I35" s="8" t="s">
        <v>73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dimension ref="B1:R41"/>
  <sheetViews>
    <sheetView showGridLines="0" topLeftCell="B1" zoomScale="80" zoomScaleNormal="80" workbookViewId="0">
      <selection activeCell="H14" sqref="H14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85">
        <f>'20'!B1+1</f>
        <v>45220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4305.8999999999996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1465.9</v>
      </c>
      <c r="D6" s="2"/>
      <c r="E6" s="18">
        <v>1766</v>
      </c>
      <c r="F6" s="25" t="s">
        <v>180</v>
      </c>
      <c r="G6" s="26" t="s">
        <v>12</v>
      </c>
      <c r="H6" s="76">
        <v>400</v>
      </c>
      <c r="I6" s="8">
        <v>20</v>
      </c>
      <c r="J6" s="2"/>
      <c r="K6" s="25"/>
      <c r="L6" s="9"/>
      <c r="M6" s="16"/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1768</v>
      </c>
      <c r="F7" s="25" t="s">
        <v>182</v>
      </c>
      <c r="G7" s="26" t="s">
        <v>12</v>
      </c>
      <c r="H7" s="8">
        <v>200</v>
      </c>
      <c r="I7" s="8">
        <v>10</v>
      </c>
      <c r="J7" s="2"/>
      <c r="K7" s="25"/>
      <c r="L7" s="9"/>
      <c r="M7" s="16"/>
      <c r="R7" s="1">
        <f>IF(vend21[[#This Row],[Nº Venda]]&gt;1,1,0)</f>
        <v>1</v>
      </c>
    </row>
    <row r="8" spans="2:18" ht="15.75" x14ac:dyDescent="0.25">
      <c r="B8" s="28" t="s">
        <v>14</v>
      </c>
      <c r="C8" s="29">
        <f>SUM(C6:C7)</f>
        <v>1465.9</v>
      </c>
      <c r="D8" s="2"/>
      <c r="E8" s="18">
        <v>1767</v>
      </c>
      <c r="F8" s="25" t="s">
        <v>182</v>
      </c>
      <c r="G8" s="26" t="s">
        <v>12</v>
      </c>
      <c r="H8" s="8">
        <v>736</v>
      </c>
      <c r="I8" s="8">
        <v>10</v>
      </c>
      <c r="J8" s="2"/>
      <c r="K8" s="25"/>
      <c r="L8" s="9"/>
      <c r="M8" s="16"/>
      <c r="R8" s="1">
        <f>IF(vend21[[#This Row],[Nº Venda]]&gt;1,1,0)</f>
        <v>1</v>
      </c>
    </row>
    <row r="9" spans="2:18" ht="15.75" x14ac:dyDescent="0.25">
      <c r="B9" s="2"/>
      <c r="C9" s="2"/>
      <c r="D9" s="2"/>
      <c r="E9" s="18">
        <v>1769</v>
      </c>
      <c r="F9" s="25" t="s">
        <v>183</v>
      </c>
      <c r="G9" s="26" t="s">
        <v>15</v>
      </c>
      <c r="H9" s="8">
        <v>600</v>
      </c>
      <c r="I9" s="8">
        <v>600</v>
      </c>
      <c r="J9" s="2"/>
      <c r="K9" s="25"/>
      <c r="L9" s="9"/>
      <c r="M9" s="16"/>
      <c r="R9" s="1">
        <f>IF(vend21[[#This Row],[Nº Venda]]&gt;1,1,0)</f>
        <v>1</v>
      </c>
    </row>
    <row r="10" spans="2:18" ht="15.75" x14ac:dyDescent="0.25">
      <c r="B10" s="86" t="s">
        <v>16</v>
      </c>
      <c r="C10" s="86"/>
      <c r="D10" s="2"/>
      <c r="E10" s="18">
        <v>1770</v>
      </c>
      <c r="F10" s="25" t="s">
        <v>184</v>
      </c>
      <c r="G10" s="26" t="s">
        <v>15</v>
      </c>
      <c r="H10" s="8">
        <v>699.9</v>
      </c>
      <c r="I10" s="8">
        <v>699.9</v>
      </c>
      <c r="J10" s="2"/>
      <c r="K10" s="25"/>
      <c r="L10" s="9"/>
      <c r="M10" s="16"/>
      <c r="R10" s="1">
        <f>IF(vend21[[#This Row],[Nº Venda]]&gt;1,1,0)</f>
        <v>1</v>
      </c>
    </row>
    <row r="11" spans="2:18" ht="15.75" x14ac:dyDescent="0.25">
      <c r="B11" s="30" t="s">
        <v>12</v>
      </c>
      <c r="C11" s="31">
        <f>(SUMIF($G$2:$G$31,B11,$I$2:$I$31))+(SUMIF($G$35:$G$41,B11,$H$35:$H$41))</f>
        <v>116</v>
      </c>
      <c r="D11" s="2"/>
      <c r="E11" s="18">
        <v>1772</v>
      </c>
      <c r="F11" s="25" t="s">
        <v>185</v>
      </c>
      <c r="G11" s="26" t="s">
        <v>13</v>
      </c>
      <c r="H11" s="8">
        <v>500</v>
      </c>
      <c r="I11" s="8">
        <v>25</v>
      </c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1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>
        <v>1772</v>
      </c>
      <c r="F12" s="25" t="s">
        <v>185</v>
      </c>
      <c r="G12" s="26" t="s">
        <v>13</v>
      </c>
      <c r="H12" s="8">
        <v>1170</v>
      </c>
      <c r="I12" s="8">
        <v>25</v>
      </c>
      <c r="J12" s="2"/>
      <c r="R12" s="1">
        <f>IF(vend21[[#This Row],[Nº Venda]]&gt;1,1,0)</f>
        <v>1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IF(vend21[[#This Row],[Nº Venda]]&gt;1,1,0)</f>
        <v>0</v>
      </c>
    </row>
    <row r="14" spans="2:18" ht="15.75" x14ac:dyDescent="0.25">
      <c r="B14" s="30" t="s">
        <v>15</v>
      </c>
      <c r="C14" s="31">
        <f t="shared" si="0"/>
        <v>1299.9000000000001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IF(vend21[[#This Row],[Nº Venda]]&gt;1,1,0)</f>
        <v>0</v>
      </c>
    </row>
    <row r="15" spans="2:18" ht="15.75" x14ac:dyDescent="0.25">
      <c r="B15" s="30" t="s">
        <v>13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>
        <v>1741</v>
      </c>
      <c r="L15" s="9" t="s">
        <v>186</v>
      </c>
      <c r="M15" s="16" t="s">
        <v>131</v>
      </c>
      <c r="R15" s="1">
        <f>IF(vend21[[#This Row],[Nº Venda]]&gt;1,1,0)</f>
        <v>0</v>
      </c>
    </row>
    <row r="16" spans="2:18" ht="15.75" x14ac:dyDescent="0.25">
      <c r="B16" s="28" t="s">
        <v>19</v>
      </c>
      <c r="C16" s="32">
        <f>SUM(C11:C15)</f>
        <v>1465.9</v>
      </c>
      <c r="D16" s="2"/>
      <c r="E16" s="18"/>
      <c r="F16" s="25"/>
      <c r="G16" s="26"/>
      <c r="H16" s="8"/>
      <c r="I16" s="8"/>
      <c r="J16" s="2"/>
      <c r="K16" s="25">
        <v>1755</v>
      </c>
      <c r="L16" s="9" t="s">
        <v>186</v>
      </c>
      <c r="M16" s="16" t="s">
        <v>131</v>
      </c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86" t="s">
        <v>35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4305.8999999999996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1755</v>
      </c>
      <c r="F26" s="25" t="s">
        <v>187</v>
      </c>
      <c r="G26" s="26" t="s">
        <v>12</v>
      </c>
      <c r="H26" s="8"/>
      <c r="I26" s="8">
        <v>76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7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dimension ref="B1:R41"/>
  <sheetViews>
    <sheetView showGridLines="0" zoomScale="80" zoomScaleNormal="8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'21'!B1+1</f>
        <v>45221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86" t="s">
        <v>16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IF(vend22[[#This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IF(vend22[[#This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IF(vend22[[#This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86" t="s">
        <v>35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dimension ref="B1:R41"/>
  <sheetViews>
    <sheetView showGridLines="0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'22'!B1+1</f>
        <v>45222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200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50</v>
      </c>
      <c r="D6" s="2"/>
      <c r="E6" s="18">
        <v>1773</v>
      </c>
      <c r="F6" s="25" t="s">
        <v>188</v>
      </c>
      <c r="G6" s="26" t="s">
        <v>13</v>
      </c>
      <c r="H6" s="8">
        <v>200</v>
      </c>
      <c r="I6" s="8">
        <v>50</v>
      </c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14</v>
      </c>
      <c r="C8" s="29">
        <f>SUM(C6:C7)</f>
        <v>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86" t="s">
        <v>16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IF(vend23[[#This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IF(vend23[[#This Row],[Nº Venda]]&gt;1,1,0)</f>
        <v>0</v>
      </c>
    </row>
    <row r="15" spans="2:18" ht="15.75" x14ac:dyDescent="0.25">
      <c r="B15" s="30" t="s">
        <v>13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 x14ac:dyDescent="0.25">
      <c r="B16" s="28" t="s">
        <v>19</v>
      </c>
      <c r="C16" s="32">
        <f>SUM(C11:C15)</f>
        <v>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86" t="s">
        <v>35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200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dimension ref="B1:R41"/>
  <sheetViews>
    <sheetView showGridLines="0" zoomScale="80" zoomScaleNormal="80" workbookViewId="0">
      <selection activeCell="G1" sqref="G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'23'!B1+1</f>
        <v>45223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100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65</v>
      </c>
      <c r="D6" s="2"/>
      <c r="E6" s="18">
        <v>1774</v>
      </c>
      <c r="F6" s="25" t="s">
        <v>189</v>
      </c>
      <c r="G6" s="26" t="s">
        <v>17</v>
      </c>
      <c r="H6" s="8">
        <v>30</v>
      </c>
      <c r="I6" s="8">
        <v>30</v>
      </c>
      <c r="J6" s="2"/>
      <c r="K6" s="25"/>
      <c r="L6" s="9"/>
      <c r="M6" s="16"/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1775</v>
      </c>
      <c r="F7" s="25" t="s">
        <v>190</v>
      </c>
      <c r="G7" s="26" t="s">
        <v>18</v>
      </c>
      <c r="H7" s="8">
        <v>70</v>
      </c>
      <c r="I7" s="8">
        <v>35</v>
      </c>
      <c r="J7" s="2"/>
      <c r="K7" s="25"/>
      <c r="L7" s="9"/>
      <c r="M7" s="16"/>
      <c r="R7" s="1">
        <f>IF(vend24[[#This Row],[Nº Venda]]&gt;1,1,0)</f>
        <v>1</v>
      </c>
    </row>
    <row r="8" spans="2:18" ht="15.75" x14ac:dyDescent="0.25">
      <c r="B8" s="28" t="s">
        <v>14</v>
      </c>
      <c r="C8" s="29">
        <f>SUM(C6:C7)</f>
        <v>65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86" t="s">
        <v>16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30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18</v>
      </c>
      <c r="C13" s="31">
        <f t="shared" si="0"/>
        <v>35</v>
      </c>
      <c r="D13" s="2"/>
      <c r="E13" s="18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IF(vend24[[#This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IF(vend24[[#This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 x14ac:dyDescent="0.25">
      <c r="B16" s="28" t="s">
        <v>19</v>
      </c>
      <c r="C16" s="32">
        <f>SUM(C11:C15)</f>
        <v>65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86" t="s">
        <v>35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100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dimension ref="B1:R41"/>
  <sheetViews>
    <sheetView showGridLines="0" zoomScale="80" zoomScaleNormal="80" workbookViewId="0">
      <selection activeCell="H7" sqref="H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'24'!B1+1</f>
        <v>45224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1503.94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590</v>
      </c>
      <c r="D6" s="2"/>
      <c r="E6" s="18">
        <v>1776</v>
      </c>
      <c r="F6" s="25" t="s">
        <v>191</v>
      </c>
      <c r="G6" s="26" t="s">
        <v>15</v>
      </c>
      <c r="H6" s="8">
        <v>740</v>
      </c>
      <c r="I6" s="8">
        <v>150</v>
      </c>
      <c r="J6" s="2"/>
      <c r="K6" s="25"/>
      <c r="L6" s="9"/>
      <c r="M6" s="16"/>
      <c r="R6" s="1">
        <f>IF(vend25[[#This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1776</v>
      </c>
      <c r="F7" s="25" t="s">
        <v>191</v>
      </c>
      <c r="G7" s="26" t="s">
        <v>12</v>
      </c>
      <c r="H7" s="8">
        <v>0</v>
      </c>
      <c r="I7" s="8">
        <v>90</v>
      </c>
      <c r="J7" s="2"/>
      <c r="K7" s="25"/>
      <c r="L7" s="9"/>
      <c r="M7" s="16"/>
      <c r="R7" s="1">
        <f>IF(vend25[[#This Row],[Nº Venda]]&gt;1,1,0)</f>
        <v>1</v>
      </c>
    </row>
    <row r="8" spans="2:18" ht="15.75" x14ac:dyDescent="0.25">
      <c r="B8" s="28" t="s">
        <v>14</v>
      </c>
      <c r="C8" s="29">
        <f>SUM(C6:C7)</f>
        <v>590</v>
      </c>
      <c r="D8" s="2"/>
      <c r="E8" s="18">
        <v>1776</v>
      </c>
      <c r="F8" s="25" t="s">
        <v>191</v>
      </c>
      <c r="G8" s="26" t="s">
        <v>13</v>
      </c>
      <c r="H8" s="8">
        <v>0</v>
      </c>
      <c r="I8" s="8">
        <v>10</v>
      </c>
      <c r="J8" s="2"/>
      <c r="K8" s="25"/>
      <c r="L8" s="9"/>
      <c r="M8" s="16"/>
      <c r="R8" s="1">
        <f>IF(vend25[[#This Row],[Nº Venda]]&gt;1,1,0)</f>
        <v>1</v>
      </c>
    </row>
    <row r="9" spans="2:18" ht="15.75" x14ac:dyDescent="0.25">
      <c r="B9" s="2"/>
      <c r="C9" s="2"/>
      <c r="D9" s="2"/>
      <c r="E9" s="18">
        <v>1777</v>
      </c>
      <c r="F9" s="25" t="s">
        <v>192</v>
      </c>
      <c r="G9" s="26" t="s">
        <v>12</v>
      </c>
      <c r="H9" s="8">
        <v>763.94</v>
      </c>
      <c r="I9" s="8">
        <v>250</v>
      </c>
      <c r="J9" s="2"/>
      <c r="K9" s="25"/>
      <c r="L9" s="9"/>
      <c r="M9" s="16"/>
      <c r="R9" s="1">
        <f>IF(vend25[[#This Row],[Nº Venda]]&gt;1,1,0)</f>
        <v>1</v>
      </c>
    </row>
    <row r="10" spans="2:18" ht="15.75" x14ac:dyDescent="0.25">
      <c r="B10" s="86" t="s">
        <v>16</v>
      </c>
      <c r="C10" s="86"/>
      <c r="D10" s="2"/>
      <c r="E10" s="73">
        <v>1777</v>
      </c>
      <c r="F10" s="74" t="s">
        <v>192</v>
      </c>
      <c r="G10" s="81" t="s">
        <v>13</v>
      </c>
      <c r="H10" s="76" t="s">
        <v>200</v>
      </c>
      <c r="I10" s="76">
        <v>10</v>
      </c>
      <c r="J10" s="2"/>
      <c r="K10" s="25"/>
      <c r="L10" s="9"/>
      <c r="M10" s="16"/>
      <c r="R10" s="1">
        <f>IF(vend25[[#This Row],[Nº Venda]]&gt;1,1,0)</f>
        <v>1</v>
      </c>
    </row>
    <row r="11" spans="2:18" ht="15.75" x14ac:dyDescent="0.25">
      <c r="B11" s="30" t="s">
        <v>12</v>
      </c>
      <c r="C11" s="31">
        <f>(SUMIF($G$2:$G$31,B11,$I$2:$I$31))+(SUMIF($G$35:$G$41,B11,$H$35:$H$41))</f>
        <v>425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IF(vend25[[#This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IF(vend25[[#This Row],[Nº Venda]]&gt;1,1,0)</f>
        <v>0</v>
      </c>
    </row>
    <row r="14" spans="2:18" ht="15.75" x14ac:dyDescent="0.25">
      <c r="B14" s="30" t="s">
        <v>15</v>
      </c>
      <c r="C14" s="31">
        <f t="shared" si="0"/>
        <v>150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IF(vend25[[#This Row],[Nº Venda]]&gt;1,1,0)</f>
        <v>0</v>
      </c>
    </row>
    <row r="15" spans="2:18" ht="15.75" x14ac:dyDescent="0.25">
      <c r="B15" s="30" t="s">
        <v>13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1750</v>
      </c>
      <c r="L15" s="9" t="s">
        <v>141</v>
      </c>
      <c r="M15" s="16" t="s">
        <v>131</v>
      </c>
      <c r="R15" s="1">
        <f>IF(vend25[[#This Row],[Nº Venda]]&gt;1,1,0)</f>
        <v>0</v>
      </c>
    </row>
    <row r="16" spans="2:18" ht="15.75" x14ac:dyDescent="0.25">
      <c r="B16" s="28" t="s">
        <v>19</v>
      </c>
      <c r="C16" s="32">
        <f>SUM(C11:C15)</f>
        <v>675</v>
      </c>
      <c r="D16" s="2"/>
      <c r="E16" s="18"/>
      <c r="F16" s="25"/>
      <c r="G16" s="26"/>
      <c r="H16" s="8"/>
      <c r="I16" s="8"/>
      <c r="J16" s="2"/>
      <c r="K16" s="25">
        <v>1777</v>
      </c>
      <c r="L16" s="9" t="s">
        <v>141</v>
      </c>
      <c r="M16" s="16" t="s">
        <v>135</v>
      </c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1731</v>
      </c>
      <c r="L17" s="9" t="s">
        <v>141</v>
      </c>
      <c r="M17" s="16" t="s">
        <v>131</v>
      </c>
      <c r="R17" s="1">
        <f>IF(vend25[[#This Row],[Nº Venda]]&gt;1,1,0)</f>
        <v>0</v>
      </c>
    </row>
    <row r="18" spans="2:18" ht="15.75" x14ac:dyDescent="0.25">
      <c r="B18" s="86" t="s">
        <v>35</v>
      </c>
      <c r="C18" s="86"/>
      <c r="D18" s="2"/>
      <c r="E18" s="18"/>
      <c r="F18" s="25"/>
      <c r="G18" s="26"/>
      <c r="H18" s="8"/>
      <c r="I18" s="8"/>
      <c r="J18" s="2"/>
      <c r="K18" s="25">
        <v>1727</v>
      </c>
      <c r="L18" s="9" t="s">
        <v>141</v>
      </c>
      <c r="M18" s="16" t="s">
        <v>131</v>
      </c>
      <c r="R18" s="1">
        <f>IF(vend25[[#This Row],[Nº Venda]]&gt;1,1,0)</f>
        <v>0</v>
      </c>
    </row>
    <row r="19" spans="2:18" ht="15.75" x14ac:dyDescent="0.25">
      <c r="B19" s="30">
        <f>COUNT(entr_carn25[OS])</f>
        <v>1</v>
      </c>
      <c r="C19" s="31">
        <f>SUM(entr_carn25[Valor Total])</f>
        <v>503.94</v>
      </c>
      <c r="D19" s="2"/>
      <c r="E19" s="18"/>
      <c r="F19" s="25"/>
      <c r="G19" s="26"/>
      <c r="H19" s="8"/>
      <c r="I19" s="8"/>
      <c r="J19" s="2"/>
      <c r="K19" s="25">
        <v>1728</v>
      </c>
      <c r="L19" s="9" t="s">
        <v>141</v>
      </c>
      <c r="M19" s="16" t="s">
        <v>131</v>
      </c>
      <c r="R19" s="1">
        <f>IF(vend25[[#This Row],[Nº Venda]]&gt;1,1,0)</f>
        <v>0</v>
      </c>
    </row>
    <row r="20" spans="2:18" ht="15.75" x14ac:dyDescent="0.25">
      <c r="B20" s="28" t="s">
        <v>19</v>
      </c>
      <c r="C20" s="32">
        <f>SUM(C19:C19)</f>
        <v>503.94</v>
      </c>
      <c r="D20" s="2"/>
      <c r="E20" s="18"/>
      <c r="F20" s="26"/>
      <c r="G20" s="26"/>
      <c r="H20" s="8"/>
      <c r="I20" s="8"/>
      <c r="J20" s="2"/>
      <c r="K20" s="25">
        <v>1761</v>
      </c>
      <c r="L20" s="9" t="s">
        <v>174</v>
      </c>
      <c r="M20" s="16" t="s">
        <v>131</v>
      </c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1503.94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1727</v>
      </c>
      <c r="F26" s="25" t="s">
        <v>194</v>
      </c>
      <c r="G26" s="26" t="s">
        <v>13</v>
      </c>
      <c r="H26" s="8"/>
      <c r="I26" s="8">
        <v>80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1544</v>
      </c>
      <c r="F35" s="25" t="s">
        <v>193</v>
      </c>
      <c r="G35" s="26" t="s">
        <v>12</v>
      </c>
      <c r="H35" s="8">
        <v>85</v>
      </c>
      <c r="I35" s="8" t="s">
        <v>84</v>
      </c>
      <c r="K35" s="25">
        <v>1777</v>
      </c>
      <c r="L35" s="42">
        <v>6</v>
      </c>
      <c r="M35" s="16">
        <v>503.94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5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dimension ref="B1:R41"/>
  <sheetViews>
    <sheetView showGridLines="0" topLeftCell="A17" zoomScale="80" zoomScaleNormal="80" workbookViewId="0">
      <selection activeCell="F6" sqref="F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'25'!B1+1</f>
        <v>45225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820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1320</v>
      </c>
      <c r="D6" s="2"/>
      <c r="E6" s="18">
        <v>1778</v>
      </c>
      <c r="F6" s="25" t="s">
        <v>195</v>
      </c>
      <c r="G6" s="26" t="s">
        <v>12</v>
      </c>
      <c r="H6" s="8">
        <v>150</v>
      </c>
      <c r="I6" s="8">
        <v>150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1779</v>
      </c>
      <c r="F7" s="25" t="s">
        <v>196</v>
      </c>
      <c r="G7" s="26" t="s">
        <v>12</v>
      </c>
      <c r="H7" s="8">
        <v>270</v>
      </c>
      <c r="I7" s="8">
        <v>150</v>
      </c>
      <c r="J7" s="2"/>
      <c r="K7" s="25"/>
      <c r="L7" s="9"/>
      <c r="M7" s="16"/>
      <c r="R7" s="1">
        <f>IF(vend26[[#This Row],[Nº Venda]]&gt;1,1,0)</f>
        <v>1</v>
      </c>
    </row>
    <row r="8" spans="2:18" ht="15.75" x14ac:dyDescent="0.25">
      <c r="B8" s="28" t="s">
        <v>14</v>
      </c>
      <c r="C8" s="29">
        <f>SUM(C6:C7)</f>
        <v>1320</v>
      </c>
      <c r="D8" s="2"/>
      <c r="E8" s="18">
        <v>1780</v>
      </c>
      <c r="F8" s="25" t="s">
        <v>166</v>
      </c>
      <c r="G8" s="26" t="s">
        <v>23</v>
      </c>
      <c r="H8" s="8">
        <v>400</v>
      </c>
      <c r="I8" s="8">
        <v>20</v>
      </c>
      <c r="J8" s="2"/>
      <c r="K8" s="25"/>
      <c r="L8" s="9"/>
      <c r="M8" s="16"/>
      <c r="R8" s="1">
        <f>IF(vend26[[#This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86" t="s">
        <v>16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400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400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IF(vend26[[#This Row],[Nº Venda]]&gt;1,1,0)</f>
        <v>0</v>
      </c>
    </row>
    <row r="14" spans="2:18" ht="15.75" x14ac:dyDescent="0.25">
      <c r="B14" s="30" t="s">
        <v>15</v>
      </c>
      <c r="C14" s="31">
        <f t="shared" si="0"/>
        <v>500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IF(vend26[[#This Row],[Nº Venda]]&gt;1,1,0)</f>
        <v>0</v>
      </c>
    </row>
    <row r="15" spans="2:18" ht="15.75" x14ac:dyDescent="0.25">
      <c r="B15" s="30" t="s">
        <v>13</v>
      </c>
      <c r="C15" s="31">
        <f t="shared" si="0"/>
        <v>329</v>
      </c>
      <c r="D15" s="2"/>
      <c r="E15" s="18"/>
      <c r="F15" s="25"/>
      <c r="G15" s="26"/>
      <c r="H15" s="8"/>
      <c r="I15" s="8"/>
      <c r="J15" s="2"/>
      <c r="K15" s="25">
        <v>1760</v>
      </c>
      <c r="L15" s="9" t="s">
        <v>199</v>
      </c>
      <c r="M15" s="16" t="s">
        <v>131</v>
      </c>
      <c r="R15" s="1">
        <f>IF(vend26[[#This Row],[Nº Venda]]&gt;1,1,0)</f>
        <v>0</v>
      </c>
    </row>
    <row r="16" spans="2:18" ht="15.75" x14ac:dyDescent="0.25">
      <c r="B16" s="28" t="s">
        <v>19</v>
      </c>
      <c r="C16" s="32">
        <f>SUM(C11:C15)</f>
        <v>1629</v>
      </c>
      <c r="D16" s="2"/>
      <c r="E16" s="18"/>
      <c r="F16" s="25"/>
      <c r="G16" s="26"/>
      <c r="H16" s="8"/>
      <c r="I16" s="8"/>
      <c r="J16" s="2"/>
      <c r="K16" s="25">
        <v>1749</v>
      </c>
      <c r="L16" s="9" t="s">
        <v>130</v>
      </c>
      <c r="M16" s="16" t="s">
        <v>131</v>
      </c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86" t="s">
        <v>35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820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1760</v>
      </c>
      <c r="F26" s="25" t="s">
        <v>166</v>
      </c>
      <c r="G26" s="26" t="s">
        <v>17</v>
      </c>
      <c r="H26" s="8"/>
      <c r="I26" s="8">
        <v>400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1749</v>
      </c>
      <c r="F27" s="25" t="s">
        <v>127</v>
      </c>
      <c r="G27" s="26" t="s">
        <v>15</v>
      </c>
      <c r="H27" s="8"/>
      <c r="I27" s="8">
        <v>500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1749</v>
      </c>
      <c r="F28" s="25" t="s">
        <v>127</v>
      </c>
      <c r="G28" s="26" t="s">
        <v>12</v>
      </c>
      <c r="H28" s="8"/>
      <c r="I28" s="8">
        <v>100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1603</v>
      </c>
      <c r="F35" s="25" t="s">
        <v>197</v>
      </c>
      <c r="G35" s="26" t="s">
        <v>13</v>
      </c>
      <c r="H35" s="8">
        <v>200</v>
      </c>
      <c r="I35" s="8" t="s">
        <v>50</v>
      </c>
      <c r="K35" s="25"/>
      <c r="L35" s="42"/>
      <c r="M35" s="16"/>
    </row>
    <row r="36" spans="2:18" ht="15.75" x14ac:dyDescent="0.25">
      <c r="E36" s="18">
        <v>1734</v>
      </c>
      <c r="F36" s="25" t="s">
        <v>198</v>
      </c>
      <c r="G36" s="26" t="s">
        <v>13</v>
      </c>
      <c r="H36" s="8">
        <v>129</v>
      </c>
      <c r="I36" s="8" t="s">
        <v>66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dimension ref="B1:R41"/>
  <sheetViews>
    <sheetView showGridLines="0" topLeftCell="A25" zoomScale="80" zoomScaleNormal="80" workbookViewId="0">
      <selection activeCell="M3" sqref="M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'26'!B1+1</f>
        <v>45226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86" t="s">
        <v>16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IF(vend27[[#This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IF(vend27[[#This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IF(vend27[[#This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IF(vend27[[#This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86" t="s">
        <v>35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dimension ref="B1:R41"/>
  <sheetViews>
    <sheetView showGridLines="0" topLeftCell="A20" zoomScale="80" zoomScaleNormal="80" workbookViewId="0">
      <selection activeCell="E9" sqref="E8:I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'27'!B1+1</f>
        <v>45227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2400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1050</v>
      </c>
      <c r="D6" s="2"/>
      <c r="E6" s="18">
        <v>1784</v>
      </c>
      <c r="F6" s="25" t="s">
        <v>201</v>
      </c>
      <c r="G6" s="26" t="s">
        <v>17</v>
      </c>
      <c r="H6" s="8">
        <v>1100</v>
      </c>
      <c r="I6" s="8">
        <v>50</v>
      </c>
      <c r="J6" s="2"/>
      <c r="K6" s="25"/>
      <c r="L6" s="9"/>
      <c r="M6" s="16"/>
      <c r="R6" s="1">
        <f>IF(vend28[[#This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1783</v>
      </c>
      <c r="F7" s="25" t="s">
        <v>201</v>
      </c>
      <c r="G7" s="26" t="s">
        <v>23</v>
      </c>
      <c r="H7" s="8" t="s">
        <v>202</v>
      </c>
      <c r="I7" s="8">
        <v>0</v>
      </c>
      <c r="J7" s="2"/>
      <c r="K7" s="25"/>
      <c r="L7" s="9"/>
      <c r="M7" s="16"/>
      <c r="R7" s="1">
        <f>IF(vend28[[#This Row],[Nº Venda]]&gt;1,1,0)</f>
        <v>1</v>
      </c>
    </row>
    <row r="8" spans="2:18" ht="15.75" x14ac:dyDescent="0.25">
      <c r="B8" s="28" t="s">
        <v>14</v>
      </c>
      <c r="C8" s="29">
        <f>SUM(C6:C7)</f>
        <v>1050</v>
      </c>
      <c r="D8" s="2"/>
      <c r="E8" s="18">
        <v>1782</v>
      </c>
      <c r="F8" s="25" t="s">
        <v>203</v>
      </c>
      <c r="G8" s="26" t="s">
        <v>17</v>
      </c>
      <c r="H8" s="8">
        <v>899.9</v>
      </c>
      <c r="I8" s="8">
        <v>100</v>
      </c>
      <c r="J8" s="2"/>
      <c r="K8" s="25"/>
      <c r="L8" s="9"/>
      <c r="M8" s="16"/>
      <c r="R8" s="1">
        <f>IF(vend28[[#This Row],[Nº Venda]]&gt;1,1,0)</f>
        <v>1</v>
      </c>
    </row>
    <row r="9" spans="2:18" ht="15.75" x14ac:dyDescent="0.25">
      <c r="B9" s="2"/>
      <c r="C9" s="2"/>
      <c r="D9" s="2"/>
      <c r="E9" s="18">
        <v>1781</v>
      </c>
      <c r="F9" s="25" t="s">
        <v>204</v>
      </c>
      <c r="G9" s="26" t="s">
        <v>17</v>
      </c>
      <c r="H9" s="8">
        <v>400.1</v>
      </c>
      <c r="I9" s="8">
        <v>100</v>
      </c>
      <c r="J9" s="2"/>
      <c r="K9" s="25"/>
      <c r="L9" s="9"/>
      <c r="M9" s="16"/>
      <c r="R9" s="1">
        <f>IF(vend28[[#This Row],[Nº Venda]]&gt;1,1,0)</f>
        <v>1</v>
      </c>
    </row>
    <row r="10" spans="2:18" ht="15.75" x14ac:dyDescent="0.25">
      <c r="B10" s="86" t="s">
        <v>16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1050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IF(vend28[[#This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IF(vend28[[#This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1754</v>
      </c>
      <c r="L15" s="9" t="s">
        <v>130</v>
      </c>
      <c r="M15" s="16" t="s">
        <v>135</v>
      </c>
      <c r="R15" s="1">
        <f>IF(vend28[[#This Row],[Nº Venda]]&gt;1,1,0)</f>
        <v>0</v>
      </c>
    </row>
    <row r="16" spans="2:18" ht="15.75" x14ac:dyDescent="0.25">
      <c r="B16" s="28" t="s">
        <v>19</v>
      </c>
      <c r="C16" s="32">
        <f>SUM(C11:C15)</f>
        <v>1050</v>
      </c>
      <c r="D16" s="2"/>
      <c r="E16" s="18"/>
      <c r="F16" s="25"/>
      <c r="G16" s="26"/>
      <c r="H16" s="8"/>
      <c r="I16" s="8"/>
      <c r="J16" s="2"/>
      <c r="K16" s="25">
        <v>1720</v>
      </c>
      <c r="L16" s="9" t="s">
        <v>130</v>
      </c>
      <c r="M16" s="16" t="s">
        <v>131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1758</v>
      </c>
      <c r="L17" s="9" t="s">
        <v>130</v>
      </c>
      <c r="M17" s="16" t="s">
        <v>131</v>
      </c>
      <c r="R17" s="1">
        <f>IF(vend28[[#This Row],[Nº Venda]]&gt;1,1,0)</f>
        <v>0</v>
      </c>
    </row>
    <row r="18" spans="2:18" ht="15.75" x14ac:dyDescent="0.25">
      <c r="B18" s="86" t="s">
        <v>35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1</v>
      </c>
      <c r="C19" s="31">
        <f>SUM(entr_carn28[Valor Total])</f>
        <v>350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19</v>
      </c>
      <c r="C20" s="32">
        <f>SUM(C19:C19)</f>
        <v>350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2400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1754</v>
      </c>
      <c r="F26" s="25" t="s">
        <v>205</v>
      </c>
      <c r="G26" s="26" t="s">
        <v>17</v>
      </c>
      <c r="H26" s="8"/>
      <c r="I26" s="8">
        <v>800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>
        <v>1754</v>
      </c>
      <c r="L35" s="42">
        <v>2</v>
      </c>
      <c r="M35" s="16">
        <v>350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dimension ref="B1:R41"/>
  <sheetViews>
    <sheetView showGridLines="0" topLeftCell="A16" zoomScale="80" zoomScaleNormal="80" workbookViewId="0">
      <selection activeCell="E8" sqref="E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'28'!B1+1</f>
        <v>45228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86" t="s">
        <v>16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30" t="s">
        <v>17</v>
      </c>
      <c r="C12" s="31">
        <f>(SUMIF($G$2:$G$31,B12,$I$2:$I$31))+(SUMIF($G$35:$G$41,B12,$H$35:$H$41))</f>
        <v>0</v>
      </c>
      <c r="D12" s="2"/>
      <c r="E12" s="18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18</v>
      </c>
      <c r="C13" s="31">
        <f>(SUMIF($G$2:$G$31,B13,$I$2:$I$31))+(SUMIF($G$35:$G$41,B13,$H$35:$H$41))</f>
        <v>0</v>
      </c>
      <c r="D13" s="2"/>
      <c r="E13" s="18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IF(vend29[[#This Row],[Nº Venda]]&gt;1,1,0)</f>
        <v>0</v>
      </c>
    </row>
    <row r="14" spans="2:18" ht="15.75" x14ac:dyDescent="0.25">
      <c r="B14" s="30" t="s">
        <v>15</v>
      </c>
      <c r="C14" s="31">
        <f>(SUMIF($G$2:$G$31,B14,$I$2:$I$31))+(SUMIF($G$35:$G$41,B14,$H$35:$H$41))</f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IF(vend29[[#This Row],[Nº Venda]]&gt;1,1,0)</f>
        <v>0</v>
      </c>
    </row>
    <row r="15" spans="2:18" ht="15.75" x14ac:dyDescent="0.25">
      <c r="B15" s="30" t="s">
        <v>13</v>
      </c>
      <c r="C15" s="31">
        <f>(SUMIF($G$2:$G$31,B15,$I$2:$I$31))+(SUMIF($G$35:$G$41,B15,$H$35:$H$41))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75" x14ac:dyDescent="0.25">
      <c r="B18" s="86" t="s">
        <v>35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dimension ref="B1:R41"/>
  <sheetViews>
    <sheetView showGridLines="0" topLeftCell="A19" zoomScale="80" zoomScaleNormal="80" workbookViewId="0">
      <selection activeCell="L20" sqref="L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'29'!B1+1</f>
        <v>45229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2790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700</v>
      </c>
      <c r="D6" s="2"/>
      <c r="E6" s="18">
        <v>1782</v>
      </c>
      <c r="F6" s="25" t="s">
        <v>206</v>
      </c>
      <c r="G6" s="26" t="s">
        <v>15</v>
      </c>
      <c r="H6" s="8">
        <v>790</v>
      </c>
      <c r="I6" s="8">
        <v>500</v>
      </c>
      <c r="J6" s="2"/>
      <c r="K6" s="25"/>
      <c r="L6" s="9"/>
      <c r="M6" s="16"/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1783</v>
      </c>
      <c r="F7" s="25" t="s">
        <v>207</v>
      </c>
      <c r="G7" s="26" t="s">
        <v>12</v>
      </c>
      <c r="H7" s="8">
        <v>2000</v>
      </c>
      <c r="I7" s="8">
        <v>200</v>
      </c>
      <c r="J7" s="2"/>
      <c r="K7" s="25"/>
      <c r="L7" s="9"/>
      <c r="M7" s="16"/>
      <c r="R7" s="1">
        <f>IF(vend30[[#This Row],[Nº Venda]]&gt;1,1,0)</f>
        <v>1</v>
      </c>
    </row>
    <row r="8" spans="2:18" ht="15.75" x14ac:dyDescent="0.25">
      <c r="B8" s="28" t="s">
        <v>14</v>
      </c>
      <c r="C8" s="29">
        <f>SUM(C6:C7)</f>
        <v>700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86" t="s">
        <v>16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84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IF(vend30[[#This Row],[Nº Venda]]&gt;1,1,0)</f>
        <v>0</v>
      </c>
    </row>
    <row r="14" spans="2:18" ht="15.75" x14ac:dyDescent="0.25">
      <c r="B14" s="30" t="s">
        <v>15</v>
      </c>
      <c r="C14" s="31">
        <f t="shared" si="0"/>
        <v>500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IF(vend30[[#This Row],[Nº Venda]]&gt;1,1,0)</f>
        <v>0</v>
      </c>
    </row>
    <row r="15" spans="2:18" ht="15.75" x14ac:dyDescent="0.25">
      <c r="B15" s="30" t="s">
        <v>13</v>
      </c>
      <c r="C15" s="31">
        <f t="shared" si="0"/>
        <v>216</v>
      </c>
      <c r="D15" s="2"/>
      <c r="E15" s="18"/>
      <c r="F15" s="25"/>
      <c r="G15" s="26"/>
      <c r="H15" s="8"/>
      <c r="I15" s="8"/>
      <c r="J15" s="2"/>
      <c r="K15" s="25">
        <v>1740</v>
      </c>
      <c r="L15" s="9" t="s">
        <v>209</v>
      </c>
      <c r="M15" s="16" t="s">
        <v>131</v>
      </c>
      <c r="R15" s="1">
        <f>IF(vend30[[#This Row],[Nº Venda]]&gt;1,1,0)</f>
        <v>0</v>
      </c>
    </row>
    <row r="16" spans="2:18" ht="15.75" x14ac:dyDescent="0.25">
      <c r="B16" s="28" t="s">
        <v>19</v>
      </c>
      <c r="C16" s="32">
        <f>SUM(C11:C15)</f>
        <v>916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18" ht="15.75" x14ac:dyDescent="0.25">
      <c r="B18" s="86" t="s">
        <v>35</v>
      </c>
      <c r="C18" s="8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2790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1660</v>
      </c>
      <c r="F35" s="25" t="s">
        <v>145</v>
      </c>
      <c r="G35" s="26" t="s">
        <v>13</v>
      </c>
      <c r="H35" s="8">
        <v>108</v>
      </c>
      <c r="I35" s="8" t="s">
        <v>55</v>
      </c>
      <c r="K35" s="25"/>
      <c r="L35" s="42"/>
      <c r="M35" s="16"/>
    </row>
    <row r="36" spans="2:18" ht="15.75" x14ac:dyDescent="0.25">
      <c r="E36" s="18">
        <v>1660</v>
      </c>
      <c r="F36" s="25" t="s">
        <v>145</v>
      </c>
      <c r="G36" s="26" t="s">
        <v>13</v>
      </c>
      <c r="H36" s="8">
        <v>108</v>
      </c>
      <c r="I36" s="8" t="s">
        <v>56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dimension ref="B1:R41"/>
  <sheetViews>
    <sheetView showGridLines="0" topLeftCell="A13" zoomScale="80" zoomScaleNormal="80" workbookViewId="0">
      <selection activeCell="I9" sqref="I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'30'!B1+1</f>
        <v>45230</v>
      </c>
    </row>
    <row r="2" spans="2:18" ht="18.75" x14ac:dyDescent="0.2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4" t="s">
        <v>2</v>
      </c>
      <c r="F4" s="94"/>
      <c r="G4" s="94"/>
      <c r="H4" s="94"/>
      <c r="I4" s="94"/>
      <c r="J4" s="22"/>
      <c r="K4" s="88" t="s">
        <v>3</v>
      </c>
      <c r="L4" s="89"/>
      <c r="M4" s="90"/>
    </row>
    <row r="5" spans="2:18" ht="15" x14ac:dyDescent="0.25">
      <c r="B5" s="23" t="s">
        <v>2</v>
      </c>
      <c r="C5" s="24">
        <f>SUMIF(I6:I31,"&gt;0",H6:H31)</f>
        <v>130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280</v>
      </c>
      <c r="D6" s="2"/>
      <c r="E6" s="18">
        <v>1784</v>
      </c>
      <c r="F6" s="25" t="s">
        <v>208</v>
      </c>
      <c r="G6" s="26" t="s">
        <v>17</v>
      </c>
      <c r="H6" s="8">
        <v>95</v>
      </c>
      <c r="I6" s="8">
        <v>80</v>
      </c>
      <c r="J6" s="2"/>
      <c r="K6" s="25"/>
      <c r="L6" s="9"/>
      <c r="M6" s="16"/>
      <c r="R6" s="1">
        <f>IF(vend31[[#This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1784</v>
      </c>
      <c r="F7" s="25" t="s">
        <v>208</v>
      </c>
      <c r="G7" s="26" t="s">
        <v>12</v>
      </c>
      <c r="H7" s="8">
        <v>0</v>
      </c>
      <c r="I7" s="8">
        <v>15</v>
      </c>
      <c r="J7" s="2"/>
      <c r="K7" s="25"/>
      <c r="L7" s="9"/>
      <c r="M7" s="16"/>
      <c r="R7" s="1">
        <f>IF(vend31[[#This Row],[Nº Venda]]&gt;1,1,0)</f>
        <v>1</v>
      </c>
    </row>
    <row r="8" spans="2:18" ht="15.75" x14ac:dyDescent="0.25">
      <c r="B8" s="28" t="s">
        <v>14</v>
      </c>
      <c r="C8" s="29">
        <f>SUM(C6:C7)</f>
        <v>280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86" t="s">
        <v>16</v>
      </c>
      <c r="C10" s="8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IF(vend31[[#This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80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18</v>
      </c>
      <c r="C13" s="31">
        <f t="shared" si="0"/>
        <v>150</v>
      </c>
      <c r="D13" s="2"/>
      <c r="E13" s="18"/>
      <c r="F13" s="25"/>
      <c r="G13" s="26"/>
      <c r="H13" s="8"/>
      <c r="I13" s="8"/>
      <c r="J13" s="2"/>
      <c r="K13" s="88" t="s">
        <v>36</v>
      </c>
      <c r="L13" s="89"/>
      <c r="M13" s="90"/>
      <c r="R13" s="1">
        <f>IF(vend31[[#This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IF(vend31[[#This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1769</v>
      </c>
      <c r="L15" s="9" t="s">
        <v>212</v>
      </c>
      <c r="M15" s="16" t="s">
        <v>131</v>
      </c>
      <c r="R15" s="1">
        <f>IF(vend31[[#This Row],[Nº Venda]]&gt;1,1,0)</f>
        <v>0</v>
      </c>
    </row>
    <row r="16" spans="2:18" ht="15.75" x14ac:dyDescent="0.25">
      <c r="B16" s="28" t="s">
        <v>19</v>
      </c>
      <c r="C16" s="32">
        <f>SUM(C11:C15)</f>
        <v>280</v>
      </c>
      <c r="D16" s="2"/>
      <c r="E16" s="18"/>
      <c r="F16" s="25"/>
      <c r="G16" s="26"/>
      <c r="H16" s="8"/>
      <c r="I16" s="8"/>
      <c r="J16" s="2"/>
      <c r="K16" s="25">
        <v>1773</v>
      </c>
      <c r="L16" s="9" t="s">
        <v>141</v>
      </c>
      <c r="M16" s="16" t="s">
        <v>131</v>
      </c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1775</v>
      </c>
      <c r="L17" s="9" t="s">
        <v>141</v>
      </c>
      <c r="M17" s="16" t="s">
        <v>131</v>
      </c>
      <c r="R17" s="1">
        <f>IF(vend31[[#This Row],[Nº Venda]]&gt;1,1,0)</f>
        <v>0</v>
      </c>
    </row>
    <row r="18" spans="2:18" ht="15.75" x14ac:dyDescent="0.25">
      <c r="B18" s="86" t="s">
        <v>35</v>
      </c>
      <c r="C18" s="86"/>
      <c r="D18" s="2"/>
      <c r="E18" s="18"/>
      <c r="F18" s="25"/>
      <c r="G18" s="26"/>
      <c r="H18" s="8"/>
      <c r="I18" s="8"/>
      <c r="J18" s="2"/>
      <c r="K18" s="25">
        <v>1774</v>
      </c>
      <c r="L18" s="9" t="s">
        <v>213</v>
      </c>
      <c r="M18" s="16" t="s">
        <v>131</v>
      </c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>
        <v>1784</v>
      </c>
      <c r="L19" s="9" t="s">
        <v>141</v>
      </c>
      <c r="M19" s="16" t="s">
        <v>131</v>
      </c>
      <c r="R19" s="1">
        <f>IF(vend31[[#This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130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7" t="s">
        <v>22</v>
      </c>
      <c r="F24" s="87"/>
      <c r="G24" s="87"/>
      <c r="H24" s="87"/>
      <c r="I24" s="8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1773</v>
      </c>
      <c r="F26" s="25" t="s">
        <v>210</v>
      </c>
      <c r="G26" s="26" t="s">
        <v>18</v>
      </c>
      <c r="H26" s="8"/>
      <c r="I26" s="8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1775</v>
      </c>
      <c r="F27" s="25" t="s">
        <v>211</v>
      </c>
      <c r="G27" s="26" t="s">
        <v>12</v>
      </c>
      <c r="H27" s="8">
        <v>35</v>
      </c>
      <c r="I27" s="8">
        <v>35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7" t="s">
        <v>39</v>
      </c>
      <c r="F33" s="87"/>
      <c r="G33" s="87"/>
      <c r="H33" s="87"/>
      <c r="I33" s="87"/>
      <c r="K33" s="88" t="s">
        <v>35</v>
      </c>
      <c r="L33" s="89"/>
      <c r="M33" s="90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24</v>
      </c>
      <c r="B1" s="38" t="s">
        <v>25</v>
      </c>
      <c r="E1" s="38" t="s">
        <v>44</v>
      </c>
    </row>
    <row r="2" spans="1:5" x14ac:dyDescent="0.2">
      <c r="A2" s="38" t="s">
        <v>12</v>
      </c>
      <c r="B2" s="38" t="s">
        <v>26</v>
      </c>
      <c r="E2" t="s">
        <v>45</v>
      </c>
    </row>
    <row r="3" spans="1:5" x14ac:dyDescent="0.2">
      <c r="A3" s="38" t="s">
        <v>17</v>
      </c>
      <c r="B3" s="38" t="s">
        <v>27</v>
      </c>
      <c r="E3" t="s">
        <v>46</v>
      </c>
    </row>
    <row r="4" spans="1:5" x14ac:dyDescent="0.2">
      <c r="A4" s="38" t="s">
        <v>18</v>
      </c>
      <c r="B4" s="38" t="s">
        <v>28</v>
      </c>
      <c r="E4" t="s">
        <v>47</v>
      </c>
    </row>
    <row r="5" spans="1:5" x14ac:dyDescent="0.2">
      <c r="A5" s="38" t="s">
        <v>15</v>
      </c>
      <c r="B5" s="38" t="s">
        <v>29</v>
      </c>
      <c r="E5" t="s">
        <v>48</v>
      </c>
    </row>
    <row r="6" spans="1:5" x14ac:dyDescent="0.2">
      <c r="A6" s="38" t="s">
        <v>13</v>
      </c>
      <c r="B6" s="38" t="s">
        <v>13</v>
      </c>
      <c r="E6" t="s">
        <v>49</v>
      </c>
    </row>
    <row r="7" spans="1:5" x14ac:dyDescent="0.2">
      <c r="A7" s="38" t="s">
        <v>23</v>
      </c>
      <c r="B7" s="38" t="s">
        <v>30</v>
      </c>
      <c r="E7" t="s">
        <v>50</v>
      </c>
    </row>
    <row r="8" spans="1:5" x14ac:dyDescent="0.2">
      <c r="A8" t="s">
        <v>32</v>
      </c>
      <c r="B8" t="s">
        <v>33</v>
      </c>
      <c r="E8" t="s">
        <v>51</v>
      </c>
    </row>
    <row r="9" spans="1:5" x14ac:dyDescent="0.2">
      <c r="A9" s="38" t="s">
        <v>42</v>
      </c>
      <c r="B9" s="38" t="s">
        <v>43</v>
      </c>
      <c r="E9" t="s">
        <v>52</v>
      </c>
    </row>
    <row r="10" spans="1:5" x14ac:dyDescent="0.2">
      <c r="E10" t="s">
        <v>53</v>
      </c>
    </row>
    <row r="11" spans="1:5" x14ac:dyDescent="0.2">
      <c r="E11" t="s">
        <v>54</v>
      </c>
    </row>
    <row r="12" spans="1:5" x14ac:dyDescent="0.2">
      <c r="E12" t="s">
        <v>55</v>
      </c>
    </row>
    <row r="13" spans="1:5" x14ac:dyDescent="0.2">
      <c r="E13" t="s">
        <v>56</v>
      </c>
    </row>
    <row r="14" spans="1:5" x14ac:dyDescent="0.2">
      <c r="E14" t="s">
        <v>57</v>
      </c>
    </row>
    <row r="15" spans="1:5" x14ac:dyDescent="0.2">
      <c r="E15" t="s">
        <v>58</v>
      </c>
    </row>
    <row r="16" spans="1:5" x14ac:dyDescent="0.2">
      <c r="E16" t="s">
        <v>59</v>
      </c>
    </row>
    <row r="17" spans="5:5" x14ac:dyDescent="0.2">
      <c r="E17" t="s">
        <v>60</v>
      </c>
    </row>
    <row r="18" spans="5:5" x14ac:dyDescent="0.2">
      <c r="E18" t="s">
        <v>61</v>
      </c>
    </row>
    <row r="19" spans="5:5" x14ac:dyDescent="0.2">
      <c r="E19" t="s">
        <v>62</v>
      </c>
    </row>
    <row r="20" spans="5:5" x14ac:dyDescent="0.2">
      <c r="E20" t="s">
        <v>63</v>
      </c>
    </row>
    <row r="21" spans="5:5" x14ac:dyDescent="0.2">
      <c r="E21" t="s">
        <v>64</v>
      </c>
    </row>
    <row r="22" spans="5:5" x14ac:dyDescent="0.2">
      <c r="E22" t="s">
        <v>65</v>
      </c>
    </row>
    <row r="23" spans="5:5" x14ac:dyDescent="0.2">
      <c r="E23" t="s">
        <v>66</v>
      </c>
    </row>
    <row r="24" spans="5:5" x14ac:dyDescent="0.2">
      <c r="E24" t="s">
        <v>67</v>
      </c>
    </row>
    <row r="25" spans="5:5" x14ac:dyDescent="0.2">
      <c r="E25" t="s">
        <v>68</v>
      </c>
    </row>
    <row r="26" spans="5:5" x14ac:dyDescent="0.2">
      <c r="E26" t="s">
        <v>69</v>
      </c>
    </row>
    <row r="27" spans="5:5" x14ac:dyDescent="0.2">
      <c r="E27" t="s">
        <v>70</v>
      </c>
    </row>
    <row r="28" spans="5:5" x14ac:dyDescent="0.2">
      <c r="E28" t="s">
        <v>71</v>
      </c>
    </row>
    <row r="29" spans="5:5" x14ac:dyDescent="0.2">
      <c r="E29" t="s">
        <v>72</v>
      </c>
    </row>
    <row r="30" spans="5:5" x14ac:dyDescent="0.2">
      <c r="E30" t="s">
        <v>73</v>
      </c>
    </row>
    <row r="31" spans="5:5" x14ac:dyDescent="0.2">
      <c r="E31" t="s">
        <v>74</v>
      </c>
    </row>
    <row r="32" spans="5:5" x14ac:dyDescent="0.2">
      <c r="E32" t="s">
        <v>75</v>
      </c>
    </row>
    <row r="33" spans="5:5" x14ac:dyDescent="0.2">
      <c r="E33" t="s">
        <v>76</v>
      </c>
    </row>
    <row r="34" spans="5:5" x14ac:dyDescent="0.2">
      <c r="E34" t="s">
        <v>77</v>
      </c>
    </row>
    <row r="35" spans="5:5" x14ac:dyDescent="0.2">
      <c r="E35" t="s">
        <v>78</v>
      </c>
    </row>
    <row r="36" spans="5:5" x14ac:dyDescent="0.2">
      <c r="E36" t="s">
        <v>79</v>
      </c>
    </row>
    <row r="37" spans="5:5" x14ac:dyDescent="0.2">
      <c r="E37" t="s">
        <v>80</v>
      </c>
    </row>
    <row r="38" spans="5:5" x14ac:dyDescent="0.2">
      <c r="E38" t="s">
        <v>81</v>
      </c>
    </row>
    <row r="39" spans="5:5" x14ac:dyDescent="0.2">
      <c r="E39" t="s">
        <v>82</v>
      </c>
    </row>
    <row r="40" spans="5:5" x14ac:dyDescent="0.2">
      <c r="E40" t="s">
        <v>83</v>
      </c>
    </row>
    <row r="41" spans="5:5" x14ac:dyDescent="0.2">
      <c r="E41" t="s">
        <v>84</v>
      </c>
    </row>
    <row r="42" spans="5:5" x14ac:dyDescent="0.2">
      <c r="E42" t="s">
        <v>85</v>
      </c>
    </row>
    <row r="43" spans="5:5" x14ac:dyDescent="0.2">
      <c r="E43" t="s">
        <v>86</v>
      </c>
    </row>
    <row r="44" spans="5:5" x14ac:dyDescent="0.2">
      <c r="E44" t="s">
        <v>87</v>
      </c>
    </row>
    <row r="45" spans="5:5" x14ac:dyDescent="0.2">
      <c r="E45" t="s">
        <v>88</v>
      </c>
    </row>
    <row r="46" spans="5:5" x14ac:dyDescent="0.2">
      <c r="E46" t="s">
        <v>89</v>
      </c>
    </row>
    <row r="47" spans="5:5" x14ac:dyDescent="0.2">
      <c r="E47" t="s">
        <v>90</v>
      </c>
    </row>
    <row r="48" spans="5:5" x14ac:dyDescent="0.2">
      <c r="E48" t="s">
        <v>91</v>
      </c>
    </row>
    <row r="49" spans="5:5" x14ac:dyDescent="0.2">
      <c r="E49" t="s">
        <v>92</v>
      </c>
    </row>
    <row r="50" spans="5:5" x14ac:dyDescent="0.2">
      <c r="E50" t="s">
        <v>93</v>
      </c>
    </row>
    <row r="51" spans="5:5" x14ac:dyDescent="0.2">
      <c r="E51" t="s">
        <v>94</v>
      </c>
    </row>
    <row r="52" spans="5:5" x14ac:dyDescent="0.2">
      <c r="E52" t="s">
        <v>95</v>
      </c>
    </row>
    <row r="53" spans="5:5" x14ac:dyDescent="0.2">
      <c r="E53" t="s">
        <v>96</v>
      </c>
    </row>
    <row r="54" spans="5:5" x14ac:dyDescent="0.2">
      <c r="E54" t="s">
        <v>97</v>
      </c>
    </row>
    <row r="55" spans="5:5" x14ac:dyDescent="0.2">
      <c r="E55" t="s">
        <v>98</v>
      </c>
    </row>
    <row r="56" spans="5:5" x14ac:dyDescent="0.2">
      <c r="E56" t="s">
        <v>99</v>
      </c>
    </row>
    <row r="57" spans="5:5" x14ac:dyDescent="0.2">
      <c r="E57" t="s">
        <v>100</v>
      </c>
    </row>
    <row r="58" spans="5:5" x14ac:dyDescent="0.2">
      <c r="E58" t="s">
        <v>101</v>
      </c>
    </row>
    <row r="59" spans="5:5" x14ac:dyDescent="0.2">
      <c r="E59" t="s">
        <v>102</v>
      </c>
    </row>
    <row r="60" spans="5:5" x14ac:dyDescent="0.2">
      <c r="E60" t="s">
        <v>103</v>
      </c>
    </row>
    <row r="61" spans="5:5" x14ac:dyDescent="0.2">
      <c r="E61" t="s">
        <v>104</v>
      </c>
    </row>
    <row r="62" spans="5:5" x14ac:dyDescent="0.2">
      <c r="E62" t="s">
        <v>105</v>
      </c>
    </row>
    <row r="63" spans="5:5" x14ac:dyDescent="0.2">
      <c r="E63" t="s">
        <v>106</v>
      </c>
    </row>
    <row r="64" spans="5:5" x14ac:dyDescent="0.2">
      <c r="E64" t="s">
        <v>107</v>
      </c>
    </row>
    <row r="65" spans="5:5" x14ac:dyDescent="0.2">
      <c r="E65" t="s">
        <v>108</v>
      </c>
    </row>
    <row r="66" spans="5:5" x14ac:dyDescent="0.2">
      <c r="E66" t="s">
        <v>109</v>
      </c>
    </row>
    <row r="67" spans="5:5" x14ac:dyDescent="0.2">
      <c r="E67" t="s">
        <v>110</v>
      </c>
    </row>
    <row r="68" spans="5:5" x14ac:dyDescent="0.2">
      <c r="E68" t="s">
        <v>111</v>
      </c>
    </row>
    <row r="69" spans="5:5" x14ac:dyDescent="0.2">
      <c r="E69" t="s">
        <v>112</v>
      </c>
    </row>
    <row r="70" spans="5:5" x14ac:dyDescent="0.2">
      <c r="E70" t="s">
        <v>113</v>
      </c>
    </row>
    <row r="71" spans="5:5" x14ac:dyDescent="0.2">
      <c r="E71" t="s">
        <v>114</v>
      </c>
    </row>
    <row r="72" spans="5:5" x14ac:dyDescent="0.2">
      <c r="E72" t="s">
        <v>115</v>
      </c>
    </row>
    <row r="73" spans="5:5" x14ac:dyDescent="0.2">
      <c r="E73" t="s">
        <v>116</v>
      </c>
    </row>
    <row r="74" spans="5:5" x14ac:dyDescent="0.2">
      <c r="E74" t="s">
        <v>117</v>
      </c>
    </row>
    <row r="75" spans="5:5" x14ac:dyDescent="0.2">
      <c r="E75" t="s">
        <v>118</v>
      </c>
    </row>
    <row r="76" spans="5:5" x14ac:dyDescent="0.2">
      <c r="E76" t="s">
        <v>119</v>
      </c>
    </row>
    <row r="77" spans="5:5" x14ac:dyDescent="0.2">
      <c r="E77" t="s">
        <v>120</v>
      </c>
    </row>
    <row r="78" spans="5:5" x14ac:dyDescent="0.2">
      <c r="E78" t="s">
        <v>121</v>
      </c>
    </row>
    <row r="79" spans="5:5" x14ac:dyDescent="0.2">
      <c r="E79" t="s">
        <v>122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1</vt:i4>
      </vt:variant>
    </vt:vector>
  </HeadingPairs>
  <TitlesOfParts>
    <vt:vector size="34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  <vt:lpstr>'03'!Area_de_impressao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Diretor Gilberto Junior</cp:lastModifiedBy>
  <cp:revision/>
  <cp:lastPrinted>2023-11-28T15:31:58Z</cp:lastPrinted>
  <dcterms:created xsi:type="dcterms:W3CDTF">2004-04-07T20:43:43Z</dcterms:created>
  <dcterms:modified xsi:type="dcterms:W3CDTF">2024-08-20T03:35:56Z</dcterms:modified>
  <cp:category/>
  <cp:contentStatus/>
</cp:coreProperties>
</file>