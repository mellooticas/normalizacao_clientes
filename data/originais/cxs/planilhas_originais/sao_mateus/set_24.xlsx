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"/>
    </mc:Choice>
  </mc:AlternateContent>
  <xr:revisionPtr revIDLastSave="781" documentId="13_ncr:1_{0402BA61-346E-4614-9EF8-32644BD0418E}" xr6:coauthVersionLast="47" xr6:coauthVersionMax="47" xr10:uidLastSave="{1DDE5A28-EDFF-417F-BDAC-40CA6247D988}"/>
  <bookViews>
    <workbookView minimized="1" xWindow="8700" yWindow="2940" windowWidth="8730" windowHeight="7350" tabRatio="895" firstSheet="16" activeTab="18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<sst xmlns="http://schemas.openxmlformats.org/spreadsheetml/2006/main" count="1666" uniqueCount="163">
  <si>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</si>
  <si>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</si>
  <si>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</si>
  <si>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</si>
  <si>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</si>
  <si>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</si>
  <si>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</si>
  <si>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</si>
  <si>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</si>
  <si>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</si>
  <si>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</si>
  <si>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</si>
  <si>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</si>
  <si>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</si>
  <si>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</si>
  <si>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</si>
  <si>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</si>
  <si>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</si>
  <si>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</si>
  <si>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</si>
  <si>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</si>
  <si>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</si>
  <si>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</si>
  <si>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</si>
  <si>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</si>
  <si>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</si>
  <si>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</si>
  <si>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</si>
  <si>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</si>
  <si>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</si>
  <si>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</si>
  <si>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</si>
  <si>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</si>
  <si>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</si>
  <si>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</si>
  <si>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</si>
  <si>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</si>
  <si>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</si>
  <si>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</si>
  <si>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</si>
  <si>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</si>
  <si>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</si>
  <si>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</si>
  <si>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</si>
  <si>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</si>
  <si>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</si>
  <si>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</si>
  <si>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</si>
  <si>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</si>
  <si>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</si>
  <si>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</si>
  <si>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</si>
  <si>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</si>
  <si>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</si>
  <si>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</si>
  <si>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</si>
  <si>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</si>
  <si>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</si>
  <si>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</si>
  <si>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</si>
  <si>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</si>
  <si>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</si>
  <si>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</si>
  <si>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</si>
  <si>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</si>
  <si>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</si>
  <si>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</si>
  <si>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</si>
  <si>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</si>
  <si>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</si>
  <si>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</si>
  <si>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</si>
  <si>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</si>
  <si>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</si>
  <si>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</si>
  <si>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</si>
  <si>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</si>
  <si>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</si>
  <si>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</si>
  <si>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</si>
  <si>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</si>
  <si>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</si>
  <si>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</si>
  <si>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</si>
  <si>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</si>
  <si>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</si>
  <si>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</si>
  <si>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</si>
  <si>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</si>
  <si>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</si>
  <si>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</si>
  <si>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</si>
  <si>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</si>
  <si>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</si>
  <si>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</si>
  <si>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</si>
  <si>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</si>
  <si>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</si>
  <si>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</si>
  <si>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</si>
  <si>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</si>
  <si>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</si>
  <si>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</si>
  <si>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</si>
  <si>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</si>
  <si>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</si>
  <si>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</si>
  <si>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</si>
  <si>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</si>
  <si>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</si>
  <si>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</si>
  <si>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</si>
  <si>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</si>
  <si>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</si>
  <si>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</si>
  <si>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</si>
  <si>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</si>
  <si>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</si>
  <si>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</si>
  <si>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</si>
  <si>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</si>
  <si>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</si>
  <si>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</si>
  <si>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</si>
  <si>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</si>
  <si>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</si>
  <si>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</si>
  <si>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</si>
  <si>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</si>
  <si>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</si>
  <si>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</si>
  <si>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</si>
  <si>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</si>
  <si>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</si>
  <si>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</si>
  <si>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</si>
  <si>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</si>
  <si>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</si>
  <si>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</si>
  <si>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</si>
  <si>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</si>
  <si>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</si>
  <si>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Sim</t>
  </si>
  <si>
    <t xml:space="preserve">MARCOS COSTA </t>
  </si>
  <si>
    <t>Não</t>
  </si>
  <si>
    <t>LAYS  FELIX</t>
  </si>
  <si>
    <t>Coluna1</t>
  </si>
  <si>
    <t>SIM</t>
  </si>
  <si>
    <t xml:space="preserve">ROSANA DA MOTA </t>
  </si>
  <si>
    <t>LEONILDO PAULINO</t>
  </si>
  <si>
    <t xml:space="preserve">ALEX APRIGIO </t>
  </si>
  <si>
    <t>SARA DE AMORIM</t>
  </si>
  <si>
    <t xml:space="preserve">BRUNO LACERDA </t>
  </si>
  <si>
    <t>JUSTINO MASCARENHAS</t>
  </si>
  <si>
    <t>FERNANDO AUGUSTO</t>
  </si>
  <si>
    <t xml:space="preserve">LUCIANO DE SOUZA </t>
  </si>
  <si>
    <t>SILVANO DA CRUZ</t>
  </si>
  <si>
    <t>JULIO BATISTA</t>
  </si>
  <si>
    <t xml:space="preserve">MARTA DOS SANTOS </t>
  </si>
  <si>
    <t xml:space="preserve">ISRAEL VIEIRA </t>
  </si>
  <si>
    <t xml:space="preserve">JOSELMA  ALVES </t>
  </si>
  <si>
    <t xml:space="preserve">MILENA ARAÚJO </t>
  </si>
  <si>
    <t xml:space="preserve">DIEGO ANDRADE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</si>
</sst>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165" fontId="40" fillId="5" borderId="18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30" fillId="0" borderId="3" xfId="2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1" headerRowBorderDxfId="1640" tableBorderDxfId="1639" totalsRowBorderDxfId="163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7" dataCellStyle="Moeda"/>
    <tableColumn id="5" xr3:uid="{45BECD08-8ABE-4A34-BD78-E2D3AFB8C62A}" name="Cliente" dataDxfId="1636" dataCellStyle="Moeda"/>
    <tableColumn id="2" xr3:uid="{A0D6666C-9CF7-4343-AF6B-BDFE62F94469}" name="Forma de Pgto" dataDxfId="1635" dataCellStyle="Moeda"/>
    <tableColumn id="3" xr3:uid="{988F127F-9D83-4428-BB94-C16FBBB1BD89}" name="Valor Venda" dataDxfId="1634" dataCellStyle="Porcentagem"/>
    <tableColumn id="4" xr3:uid="{6A2928C3-17B0-4FA3-B60C-9E1A2C0324E1}" name="Entrada" dataDxfId="163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2" dataDxfId="1630" headerRowBorderDxfId="1631" tableBorderDxfId="1629" totalsRowBorderDxfId="1628">
  <autoFilter ref="K5:M11" xr:uid="{DD403130-B35C-452C-92F9-290622D77A3D}"/>
  <tableColumns count="3">
    <tableColumn id="1" xr3:uid="{FAD87634-3375-4B41-BEC0-5B072F6B52CE}" name="Descrição" dataDxfId="1627"/>
    <tableColumn id="2" xr3:uid="{7688071E-9548-4552-8BB1-3BA5128DF645}" name="Tipo de Pagto" dataDxfId="1626"/>
    <tableColumn id="3" xr3:uid="{2B260C33-79A5-4C5D-9195-15780C53A861}" name="Valor" dataDxfId="16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4" headerRowBorderDxfId="1623" tableBorderDxfId="1622" totalsRowBorderDxfId="162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0"/>
    <tableColumn id="2" xr3:uid="{606BE417-6802-4580-90D2-86F95EFAAEB7}" name="Cliente" dataDxfId="1619"/>
    <tableColumn id="3" xr3:uid="{2F522A54-F708-4DA3-97E3-CE7C29912E04}" name="Forma de Pgto" dataDxfId="1618" dataCellStyle="Moeda"/>
    <tableColumn id="4" xr3:uid="{7B46EE64-F7F1-4449-A783-67286A94A7C4}" name="Valor Venda" dataDxfId="1617" dataCellStyle="Porcentagem"/>
    <tableColumn id="5" xr3:uid="{389A7D1A-3C35-485E-9958-8A78EF77BE9B}" name="Entrada" dataDxfId="161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5" headerRowBorderDxfId="1614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headerRowBorderDxfId="1607" tableBorderDxfId="1606" totalsRowBorderDxfId="160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4"/>
    <tableColumn id="2" xr3:uid="{FBA6EA78-F44B-4D22-A27A-92A91C10551F}" name="Cliente" dataDxfId="1603"/>
    <tableColumn id="3" xr3:uid="{749B4D89-29B3-4987-91D3-6BA3C44D9B96}" name="Forma de Pgto" dataDxfId="1602" dataCellStyle="Moeda"/>
    <tableColumn id="4" xr3:uid="{A84A6598-B291-4809-A78D-AB810461733D}" name="Valor Parcela" dataDxfId="1601" dataCellStyle="Porcentagem"/>
    <tableColumn id="5" xr3:uid="{3C45FEEC-5E06-4ED7-87CD-0097DB6BC817}" name="Nº Parcela" dataDxfId="160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9" headerRowBorderDxfId="1598" tableBorderDxfId="1597" totalsRowBorderDxfId="1596">
  <autoFilter ref="K34:M41" xr:uid="{42BA126A-AECD-4CD6-8583-BD2352D82FB9}"/>
  <tableColumns count="3">
    <tableColumn id="1" xr3:uid="{0989D88A-7CB7-4008-94FC-B7FFB3CAE582}" name="OS" dataDxfId="1595"/>
    <tableColumn id="2" xr3:uid="{AC9D76CC-A537-4210-9893-E8C57DA30B4D}" name="Parcelas" dataDxfId="1594"/>
    <tableColumn id="3" xr3:uid="{D4D72E6E-DAE0-4860-8606-BFD8E469AE3D}" name="Valor Total" dataDxfId="159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2" dataDxfId="1590" headerRowBorderDxfId="1591" tableBorderDxfId="1589" totalsRowBorderDxfId="158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7" dataCellStyle="Moeda"/>
    <tableColumn id="5" xr3:uid="{62DCD49D-7CD9-4268-A2D5-B3A594E461BB}" name="Cliente" dataDxfId="1586" dataCellStyle="Moeda"/>
    <tableColumn id="2" xr3:uid="{50D45495-B1A2-4885-996A-3E6DD92E280E}" name="Forma de Pgto" dataDxfId="1585" dataCellStyle="Moeda"/>
    <tableColumn id="3" xr3:uid="{DE57E226-692B-42B0-911E-ACCF59BC6D86}" name="Valor Venda" dataDxfId="1584" dataCellStyle="Porcentagem"/>
    <tableColumn id="4" xr3:uid="{CE230B3B-D2C9-4A92-A5F3-A5EE4A74409A}" name="Entrada" dataDxfId="158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2" dataDxfId="1580" headerRowBorderDxfId="1581" tableBorderDxfId="1579" totalsRowBorderDxfId="1578">
  <autoFilter ref="K5:M11" xr:uid="{00000000-0009-0000-0100-000015000000}"/>
  <tableColumns count="3">
    <tableColumn id="1" xr3:uid="{58E2E66D-9AC0-4A69-BF19-1AB9AD59BA2F}" name="Descrição" dataDxfId="1577"/>
    <tableColumn id="2" xr3:uid="{FE1E3124-46C3-49A6-AE83-7C14B341DF59}" name="Tipo de Pagto" dataDxfId="1576"/>
    <tableColumn id="3" xr3:uid="{D8FBF474-04EE-46ED-9B9E-791D937CF715}" name="Valor" dataDxfId="157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4" dataDxfId="1572" headerRowBorderDxfId="1573" tableBorderDxfId="1571" totalsRowBorderDxfId="157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9"/>
    <tableColumn id="2" xr3:uid="{595EF087-A3B2-4C2B-AEEA-F930A6C2F5F4}" name="Cliente" dataDxfId="1568"/>
    <tableColumn id="3" xr3:uid="{C5C2BC75-6E8D-4808-A5EE-A5F9251ECE6C}" name="Forma de Pgto" dataDxfId="1567" dataCellStyle="Moeda"/>
    <tableColumn id="4" xr3:uid="{20CF776B-B9F4-48DD-9379-961689B40B71}" name="Valor Venda" dataDxfId="1566" dataCellStyle="Porcentagem"/>
    <tableColumn id="5" xr3:uid="{65177CB6-6D07-42E6-8EFE-435282A2F5BA}" name="Entrada" dataDxfId="156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4" dataDxfId="1562" headerRowBorderDxfId="1563" tableBorderDxfId="1561" totalsRowBorderDxfId="156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9"/>
    <tableColumn id="2" xr3:uid="{D1AEFC99-FF9D-4A0D-BE93-D866BDC7A817}" name="Vendedor" dataDxfId="1558"/>
    <tableColumn id="3" xr3:uid="{CA30546E-8A3F-45D5-BE2B-24DCF738F1F2}" name="CARNE" dataDxfId="155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6" dataDxfId="1554" headerRowBorderDxfId="1555" tableBorderDxfId="1553" totalsRowBorderDxfId="155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1"/>
    <tableColumn id="2" xr3:uid="{7D38F106-0145-4B73-951B-86BF22EC7FAB}" name="Cliente" dataDxfId="1550"/>
    <tableColumn id="3" xr3:uid="{11A4EEBE-D35C-4719-B2B9-16486260EF79}" name="Forma de Pgto" dataDxfId="1549" dataCellStyle="Moeda"/>
    <tableColumn id="4" xr3:uid="{1BAB2FC5-9F2C-41DD-994A-6BA83A984883}" name="Valor Parcela" dataDxfId="1548" dataCellStyle="Porcentagem"/>
    <tableColumn id="5" xr3:uid="{8C539F89-5F96-4DB9-B7A4-784EA1B5350C}" name="Nº Parcela" dataDxfId="154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6" headerRowBorderDxfId="1545" tableBorderDxfId="1544" totalsRowBorderDxfId="1543">
  <autoFilter ref="K34:M41" xr:uid="{1B8643D4-6AC3-4029-882A-C62E9D7CB225}"/>
  <tableColumns count="3">
    <tableColumn id="1" xr3:uid="{0B93901B-D681-410F-8B28-E186D9A3CAC3}" name="OS" dataDxfId="1542"/>
    <tableColumn id="2" xr3:uid="{A57C0E02-6258-48F0-9407-2095CD96B2D4}" name="Parcelas" dataDxfId="1541"/>
    <tableColumn id="3" xr3:uid="{1EA087CF-658D-4951-89BB-508667E3BBBE}" name="Valor Total" dataDxfId="154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9" dataDxfId="1537" headerRowBorderDxfId="1538" tableBorderDxfId="1536" totalsRowBorderDxfId="1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4" dataCellStyle="Moeda"/>
    <tableColumn id="5" xr3:uid="{98DC42E5-632F-4288-9CC5-1F032859A7E7}" name="Cliente" dataDxfId="1533" dataCellStyle="Moeda"/>
    <tableColumn id="2" xr3:uid="{4AE32B81-9EBD-470B-9ABE-A82D6658F3FE}" name="Forma de Pgto" dataDxfId="1532" dataCellStyle="Moeda"/>
    <tableColumn id="3" xr3:uid="{6E5BAEC1-2689-4ABB-93EC-298595B5C82E}" name="Valor Venda" dataDxfId="1531" dataCellStyle="Porcentagem"/>
    <tableColumn id="4" xr3:uid="{24493E7B-FE77-4A85-8810-0F0A4A84D997}" name="Entrada" dataDxfId="153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9" dataDxfId="1527" headerRowBorderDxfId="1528" tableBorderDxfId="1526" totalsRowBorderDxfId="1525">
  <autoFilter ref="K5:M11" xr:uid="{00000000-0009-0000-0100-000015000000}"/>
  <tableColumns count="3">
    <tableColumn id="1" xr3:uid="{DA50BBFB-ECA9-45DE-9949-F3F90EEC3BA7}" name="Descrição" dataDxfId="1524"/>
    <tableColumn id="2" xr3:uid="{A64D4F88-B62D-440B-BA71-6D7BB28D542E}" name="Tipo de Pagto" dataDxfId="1523"/>
    <tableColumn id="3" xr3:uid="{0406A209-0652-47F9-9AB4-3256B26876D2}" name="Valor" dataDxfId="152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1" dataDxfId="1519" headerRowBorderDxfId="1520" tableBorderDxfId="1518" totalsRowBorderDxfId="1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6"/>
    <tableColumn id="2" xr3:uid="{8B8D24E4-1123-478B-838C-FCF56EABBDFD}" name="Cliente" dataDxfId="1515"/>
    <tableColumn id="3" xr3:uid="{8B7DE8DF-8D5D-4245-A63D-EF550AE347E3}" name="Forma de Pgto" dataDxfId="1514" dataCellStyle="Moeda"/>
    <tableColumn id="4" xr3:uid="{95A77C0C-49D0-45A2-8B99-A765C4741CE7}" name="Valor Venda" dataDxfId="1513" dataCellStyle="Porcentagem"/>
    <tableColumn id="5" xr3:uid="{FF4FDD32-DA70-4723-A8FB-07B3FB04B5CD}" name="Entrada" dataDxfId="151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1" dataDxfId="1509" headerRowBorderDxfId="1510" tableBorderDxfId="1508" totalsRowBorderDxfId="1507">
  <autoFilter ref="K14:M31" xr:uid="{C83FE64B-E221-4DAA-89EA-5307A7BC98B3}"/>
  <tableColumns count="3">
    <tableColumn id="1" xr3:uid="{A31E67F7-E266-4220-8D3F-09556FCE20B1}" name="OS" dataDxfId="1506"/>
    <tableColumn id="2" xr3:uid="{2ED39269-8DA5-4157-9E82-8C8ED0C828A3}" name="Vendedor" dataDxfId="1505"/>
    <tableColumn id="3" xr3:uid="{F550B35D-6F70-4E2E-9037-3A7DF5BB4D86}" name="CARNE" dataDxfId="150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3" dataDxfId="1501" headerRowBorderDxfId="1502" tableBorderDxfId="1500" totalsRowBorderDxfId="1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8"/>
    <tableColumn id="2" xr3:uid="{58D563AD-1DCA-4768-9170-A0079A20A1DF}" name="Cliente" dataDxfId="1497"/>
    <tableColumn id="3" xr3:uid="{FE883FCE-942C-4DE5-904D-B12FE6C4992D}" name="Forma de Pgto" dataDxfId="1496" dataCellStyle="Moeda"/>
    <tableColumn id="4" xr3:uid="{21451B08-4DF0-4C35-AC45-94C183AA6A59}" name="Valor Parcela" dataDxfId="1495" dataCellStyle="Porcentagem"/>
    <tableColumn id="5" xr3:uid="{8F93C3AE-47D0-4E55-A038-445341804CE9}" name="Nº Parcela" dataDxfId="149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3" headerRowBorderDxfId="1492" tableBorderDxfId="1491" totalsRowBorderDxfId="1490">
  <autoFilter ref="K34:M41" xr:uid="{1B8643D4-6AC3-4029-882A-C62E9D7CB225}"/>
  <tableColumns count="3">
    <tableColumn id="1" xr3:uid="{2687574F-C0F9-4AD1-A54B-286C1AE50D97}" name="OS" dataDxfId="1489"/>
    <tableColumn id="2" xr3:uid="{AE623FF4-38C1-45D9-B220-1CD4A553B7C1}" name="Parcelas" dataDxfId="1488"/>
    <tableColumn id="3" xr3:uid="{EEBFC521-3084-43FF-A36B-C25CE198B817}" name="Valor Total" dataDxfId="148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6" dataDxfId="1484" headerRowBorderDxfId="1485" tableBorderDxfId="1483" totalsRowBorderDxfId="1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1" dataCellStyle="Moeda"/>
    <tableColumn id="5" xr3:uid="{F5DA840E-A051-4AE4-AE1A-9DAFAF8FFC3B}" name="Cliente" dataDxfId="1480" dataCellStyle="Moeda"/>
    <tableColumn id="2" xr3:uid="{DF65CD3D-444A-4025-B98B-F38F11610432}" name="Forma de Pgto" dataDxfId="1479" dataCellStyle="Moeda"/>
    <tableColumn id="3" xr3:uid="{9A4839DC-9153-466A-B0AF-456FAEF79174}" name="Valor Venda" dataDxfId="1478" dataCellStyle="Porcentagem"/>
    <tableColumn id="4" xr3:uid="{EF410A7C-DBD1-4367-A43B-616826FFEB4F}" name="Entrada" dataDxfId="147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6" dataDxfId="1474" headerRowBorderDxfId="1475" tableBorderDxfId="1473" totalsRowBorderDxfId="1472">
  <autoFilter ref="K5:M11" xr:uid="{00000000-0009-0000-0100-000015000000}"/>
  <tableColumns count="3">
    <tableColumn id="1" xr3:uid="{F1C90853-2F5A-4C32-8AC3-18ECE1FDDF43}" name="Descrição" dataDxfId="1471"/>
    <tableColumn id="2" xr3:uid="{DEB32F17-2D52-4FBB-90C4-1C3AE9C104E6}" name="Tipo de Pagto" dataDxfId="1470"/>
    <tableColumn id="3" xr3:uid="{089B3650-C090-496F-BF9A-6E8466DBF76A}" name="Valor" dataDxfId="146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8" dataDxfId="1466" headerRowBorderDxfId="1467" tableBorderDxfId="1465" totalsRowBorderDxfId="1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3"/>
    <tableColumn id="2" xr3:uid="{73AEC7DD-005C-4428-9D1D-1A3761F2192B}" name="Cliente" dataDxfId="1462"/>
    <tableColumn id="3" xr3:uid="{FA28017F-3137-49BD-B826-2E261901E543}" name="Forma de Pgto" dataDxfId="1461" dataCellStyle="Moeda"/>
    <tableColumn id="4" xr3:uid="{6030418B-B1EC-4D4D-96DF-0EB78B87F6F9}" name="Valor Venda" dataDxfId="1460" dataCellStyle="Porcentagem"/>
    <tableColumn id="5" xr3:uid="{0576A975-F40D-4463-85C0-76AB6FCD63AC}" name="Entrada" dataDxfId="145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8" dataDxfId="1456" headerRowBorderDxfId="1457" tableBorderDxfId="1455" totalsRowBorderDxfId="1454">
  <autoFilter ref="K14:M31" xr:uid="{C83FE64B-E221-4DAA-89EA-5307A7BC98B3}"/>
  <tableColumns count="3">
    <tableColumn id="1" xr3:uid="{830E23BA-DE90-49EF-B4EA-89C3276575B2}" name="OS" dataDxfId="1453"/>
    <tableColumn id="2" xr3:uid="{679AF5A0-4545-4316-AD6C-E4B7A7BA099A}" name="Vendedor" dataDxfId="1452"/>
    <tableColumn id="3" xr3:uid="{6B801D58-D05B-4A78-A6FE-BC9EF408DC10}" name="CARNE" dataDxfId="145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0" dataDxfId="1448" headerRowBorderDxfId="1449" tableBorderDxfId="1447" totalsRowBorderDxfId="144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5"/>
    <tableColumn id="2" xr3:uid="{953837B7-D16A-40C2-9C83-CD7E7171C88F}" name="Cliente" dataDxfId="1444"/>
    <tableColumn id="3" xr3:uid="{63860264-C651-4A12-8F01-E9F622A843C0}" name="Forma de Pgto" dataDxfId="1443" dataCellStyle="Moeda"/>
    <tableColumn id="4" xr3:uid="{584373BD-23BA-4A1E-A4FC-3D4A594F4148}" name="Valor Parcela" dataDxfId="1442" dataCellStyle="Porcentagem"/>
    <tableColumn id="5" xr3:uid="{7CBAF04B-D82E-4180-A8EA-98461BE41F4A}" name="Nº Parcela" dataDxfId="144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0" headerRowBorderDxfId="1439" tableBorderDxfId="1438" totalsRowBorderDxfId="1437">
  <autoFilter ref="K34:M41" xr:uid="{1B8643D4-6AC3-4029-882A-C62E9D7CB225}"/>
  <tableColumns count="3">
    <tableColumn id="1" xr3:uid="{F555359C-BC20-4C24-A948-500BDD3B5763}" name="OS" dataDxfId="1436"/>
    <tableColumn id="2" xr3:uid="{B72B4820-B8B5-4F80-83B5-9EC54EF78025}" name="Parcelas" dataDxfId="1435"/>
    <tableColumn id="3" xr3:uid="{893DDBC4-5663-4D63-80CB-4E7482811983}" name="Valor Total" dataDxfId="143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3" dataDxfId="1431" headerRowBorderDxfId="1432" tableBorderDxfId="1430" totalsRowBorderDxfId="1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8" dataCellStyle="Moeda"/>
    <tableColumn id="5" xr3:uid="{4F9ED826-A0E1-4FB0-83C6-A561EA7B6750}" name="Cliente" dataDxfId="1427" dataCellStyle="Moeda"/>
    <tableColumn id="2" xr3:uid="{C2B928FE-CB2E-4271-AE3D-2FE26117248E}" name="Forma de Pgto" dataDxfId="1426" dataCellStyle="Moeda"/>
    <tableColumn id="3" xr3:uid="{CE23E3D0-4056-4DCB-83C4-5B94BD49CAAC}" name="Valor Venda" dataDxfId="1425" dataCellStyle="Porcentagem"/>
    <tableColumn id="4" xr3:uid="{1F426340-BFB9-4B9E-B988-7A195156D2F2}" name="Entrada" dataDxfId="142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3" dataDxfId="1421" headerRowBorderDxfId="1422" tableBorderDxfId="1420" totalsRowBorderDxfId="1419">
  <autoFilter ref="K5:M11" xr:uid="{00000000-0009-0000-0100-000015000000}"/>
  <tableColumns count="3">
    <tableColumn id="1" xr3:uid="{F4C840DC-E06E-4A51-B1BF-E769E4EC9ACB}" name="Descrição" dataDxfId="1418"/>
    <tableColumn id="2" xr3:uid="{E6DE1F07-CE97-421A-A22A-4B4270DDF46D}" name="Tipo de Pagto" dataDxfId="1417"/>
    <tableColumn id="3" xr3:uid="{D84FBA92-07C5-41FD-BBA2-2AADF245D1D6}" name="Valor" dataDxfId="141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5" dataDxfId="1413" headerRowBorderDxfId="1414" tableBorderDxfId="1412" totalsRowBorderDxfId="1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0"/>
    <tableColumn id="2" xr3:uid="{CD77FB12-1DAA-4DAF-B42A-0357959803DD}" name="Cliente" dataDxfId="1409"/>
    <tableColumn id="3" xr3:uid="{5F4C4F5C-C920-452A-B2BA-592AD2C18723}" name="Forma de Pgto" dataDxfId="1408" dataCellStyle="Moeda"/>
    <tableColumn id="4" xr3:uid="{3930B2F0-6049-4E02-92B1-EC55A5330B2C}" name="Valor Venda" dataDxfId="1407" dataCellStyle="Porcentagem"/>
    <tableColumn id="5" xr3:uid="{82EBAE08-64CA-459E-9015-FA8F61210D87}" name="Entrada" dataDxfId="140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N31" totalsRowShown="0" headerRowDxfId="1405" dataDxfId="1403" headerRowBorderDxfId="1404" tableBorderDxfId="1402" totalsRowBorderDxfId="1401">
  <autoFilter ref="K14:N31" xr:uid="{C83FE64B-E221-4DAA-89EA-5307A7BC98B3}"/>
  <tableColumns count="4">
    <tableColumn id="1" xr3:uid="{E0565617-EB8C-486F-838C-B370E84BC8A2}" name="OS" dataDxfId="1400"/>
    <tableColumn id="2" xr3:uid="{EA20833B-67D8-48B8-B6E4-54A10D0969E8}" name="Vendedor" dataDxfId="1399"/>
    <tableColumn id="3" xr3:uid="{8B1F8993-74A4-499F-AD5E-91A6051BA219}" name="CARNE" dataDxfId="1398"/>
    <tableColumn id="4" xr3:uid="{0AD77959-FA23-433F-806F-FF6D9E19F015}" name="Coluna1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72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1947</v>
      </c>
      <c r="P3" t="s">
        <v>130</v>
      </c>
    </row>
    <row r="4" spans="1:16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1194.83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8" t="s">
        <v>4</v>
      </c>
      <c r="B6" s="29">
        <f>SUM(B4:B5)</f>
        <v>1194.83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96" t="s">
        <v>5</v>
      </c>
      <c r="B8" s="96"/>
      <c r="P8" t="s">
        <v>135</v>
      </c>
    </row>
    <row r="9" spans="1:16" ht="15" x14ac:dyDescent="0.25">
      <c r="A9" s="30" t="s">
        <v>6</v>
      </c>
      <c r="B9" s="24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50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441.55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270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1812.0800000000002</v>
      </c>
      <c r="P13" t="s">
        <v>140</v>
      </c>
    </row>
    <row r="14" spans="1:16" ht="15.75" x14ac:dyDescent="0.25">
      <c r="A14" s="28" t="s">
        <v>11</v>
      </c>
      <c r="B14" s="73">
        <f ca="1">SUM(B9:B13)</f>
        <v>2573.63</v>
      </c>
    </row>
    <row r="15" spans="1:16" ht="15" x14ac:dyDescent="0.25">
      <c r="A15" s="2"/>
      <c r="B15" s="2"/>
    </row>
    <row r="16" spans="1:16" ht="15" x14ac:dyDescent="0.2">
      <c r="A16" s="96" t="s">
        <v>12</v>
      </c>
      <c r="B16" s="96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1389</v>
      </c>
    </row>
    <row r="18" spans="1:2" ht="15.75" x14ac:dyDescent="0.25">
      <c r="A18" s="28" t="s">
        <v>11</v>
      </c>
      <c r="B18" s="73">
        <f>SUM(B17:B17)</f>
        <v>1389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50" zoomScaleNormal="5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v>45536</v>
      </c>
    </row>
    <row r="2" spans="2:18" ht="18.75" x14ac:dyDescent="0.2">
      <c r="B2" s="101" t="s">
        <v>127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" zoomScale="50" zoomScaleNormal="50" workbookViewId="0">
      <selection activeCell="K23" sqref="K2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'01'!B1+1</f>
        <v>45537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58"/>
      <c r="G13" s="88"/>
      <c r="H13" s="69"/>
      <c r="I13" s="69"/>
      <c r="J13" s="2"/>
      <c r="K13" s="98" t="s">
        <v>22</v>
      </c>
      <c r="L13" s="99"/>
      <c r="M13" s="100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58"/>
      <c r="G14" s="88"/>
      <c r="H14" s="69"/>
      <c r="I14" s="69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2065</v>
      </c>
      <c r="L15" s="9" t="s">
        <v>137</v>
      </c>
      <c r="M15" s="16" t="s">
        <v>142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1</v>
      </c>
      <c r="C19" s="31">
        <f>SUM(entr_carn2[Valor Total])</f>
        <v>599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599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2065</v>
      </c>
      <c r="F26" s="25" t="s">
        <v>143</v>
      </c>
      <c r="G26" s="26" t="s">
        <v>6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21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18"/>
      <c r="F35" s="25"/>
      <c r="G35" s="26"/>
      <c r="H35" s="8"/>
      <c r="I35" s="8"/>
      <c r="K35" s="25">
        <v>2065</v>
      </c>
      <c r="L35" s="41">
        <v>5</v>
      </c>
      <c r="M35" s="16">
        <v>599</v>
      </c>
    </row>
    <row r="36" spans="2:21" ht="15.75" x14ac:dyDescent="0.25">
      <c r="E36" s="18"/>
      <c r="F36" s="25"/>
      <c r="G36" s="26"/>
      <c r="H36" s="8"/>
      <c r="I36" s="8"/>
      <c r="K36" s="25"/>
      <c r="L36" s="41"/>
      <c r="M36" s="16"/>
    </row>
    <row r="37" spans="2:21" ht="15.75" x14ac:dyDescent="0.25">
      <c r="E37" s="18"/>
      <c r="F37" s="25"/>
      <c r="G37" s="26"/>
      <c r="H37" s="8"/>
      <c r="I37" s="8"/>
      <c r="K37" s="25"/>
      <c r="L37" s="41"/>
      <c r="M37" s="16"/>
    </row>
    <row r="38" spans="2:21" ht="15.75" x14ac:dyDescent="0.25">
      <c r="E38" s="18"/>
      <c r="F38" s="25"/>
      <c r="G38" s="26"/>
      <c r="H38" s="8"/>
      <c r="I38" s="8"/>
      <c r="K38" s="25"/>
      <c r="L38" s="41"/>
      <c r="M38" s="16"/>
    </row>
    <row r="39" spans="2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2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50" zoomScaleNormal="50" workbookViewId="0">
      <selection activeCell="G28" sqref="G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'02'!B1+1</f>
        <v>45538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" zoomScale="50" zoomScaleNormal="5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'03'!B1+1</f>
        <v>45539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2071</v>
      </c>
      <c r="F6" s="25" t="s">
        <v>145</v>
      </c>
      <c r="G6" s="45" t="s">
        <v>7</v>
      </c>
      <c r="H6" s="8">
        <v>100</v>
      </c>
      <c r="I6" s="8">
        <v>100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45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2058</v>
      </c>
      <c r="L15" s="9" t="s">
        <v>134</v>
      </c>
      <c r="M15" s="56" t="s">
        <v>144</v>
      </c>
      <c r="R15" s="1">
        <f>IF(vend4[[#This Row],[Nº Venda]]&gt;1,1,0)</f>
        <v>0</v>
      </c>
    </row>
    <row r="16" spans="2:18" ht="18.75" x14ac:dyDescent="0.4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>
        <v>2034</v>
      </c>
      <c r="L16" s="9" t="s">
        <v>137</v>
      </c>
      <c r="M16" s="56" t="s">
        <v>144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25">
        <v>2061</v>
      </c>
      <c r="L17" s="9" t="s">
        <v>137</v>
      </c>
      <c r="M17" s="56" t="s">
        <v>144</v>
      </c>
      <c r="R17" s="1">
        <f>IF(vend4[[#This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>
        <v>2069</v>
      </c>
      <c r="L18" s="9" t="s">
        <v>137</v>
      </c>
      <c r="M18" s="16" t="s">
        <v>144</v>
      </c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>
        <v>2071</v>
      </c>
      <c r="L19" s="9" t="s">
        <v>137</v>
      </c>
      <c r="M19" s="16" t="s">
        <v>144</v>
      </c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2064</v>
      </c>
      <c r="L20" s="9" t="s">
        <v>137</v>
      </c>
      <c r="M20" s="16" t="s">
        <v>144</v>
      </c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2" zoomScale="50" zoomScaleNormal="50" workbookViewId="0">
      <selection activeCell="K39" sqref="K39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'04'!B1+1</f>
        <v>45540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2072</v>
      </c>
      <c r="F6" s="25" t="s">
        <v>148</v>
      </c>
      <c r="G6" s="45" t="s">
        <v>40</v>
      </c>
      <c r="H6" s="8">
        <v>0</v>
      </c>
      <c r="I6" s="8">
        <v>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45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45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45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N14" s="95" t="s">
        <v>146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2052</v>
      </c>
      <c r="L15" s="9" t="s">
        <v>132</v>
      </c>
      <c r="M15" s="61" t="s">
        <v>147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>
        <v>2053</v>
      </c>
      <c r="L16" s="9" t="s">
        <v>132</v>
      </c>
      <c r="M16" s="60" t="s">
        <v>147</v>
      </c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2</v>
      </c>
      <c r="C19" s="31">
        <f>SUM(entr_carn5[Valor Total])</f>
        <v>790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790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2052</v>
      </c>
      <c r="L35" s="41">
        <v>3</v>
      </c>
      <c r="M35" s="16">
        <v>395</v>
      </c>
    </row>
    <row r="36" spans="2:18" ht="15.75" x14ac:dyDescent="0.25">
      <c r="E36" s="94"/>
      <c r="F36" s="25"/>
      <c r="G36" s="26"/>
      <c r="H36" s="8"/>
      <c r="I36" s="8"/>
      <c r="K36" s="25">
        <v>2053</v>
      </c>
      <c r="L36" s="41">
        <v>3</v>
      </c>
      <c r="M36" s="16">
        <v>395</v>
      </c>
    </row>
    <row r="37" spans="2:18" ht="15.75" x14ac:dyDescent="0.25">
      <c r="E37" s="18"/>
      <c r="F37" s="84"/>
      <c r="G37" s="85"/>
      <c r="H37" s="86"/>
      <c r="I37" s="86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zoomScale="50" zoomScaleNormal="50" workbookViewId="0">
      <selection activeCell="F28" sqref="F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'05'!B1+1</f>
        <v>45541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5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344.5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344.5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2002</v>
      </c>
      <c r="F35" s="25" t="s">
        <v>149</v>
      </c>
      <c r="G35" s="26" t="s">
        <v>10</v>
      </c>
      <c r="H35" s="8">
        <v>344.5</v>
      </c>
      <c r="I35" s="8" t="s">
        <v>33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50" zoomScaleNormal="5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0">
        <f>'06'!B1+1</f>
        <v>45542</v>
      </c>
    </row>
    <row r="2" spans="2:21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78"/>
      <c r="G6" s="78"/>
      <c r="H6" s="79"/>
      <c r="I6" s="79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7"/>
      <c r="G7" s="47"/>
      <c r="H7" s="46"/>
      <c r="I7" s="46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48"/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IF(vend7[[#This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7"/>
      <c r="G26" s="70"/>
      <c r="H26" s="71"/>
      <c r="I26" s="71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'07'!B1+1</f>
        <v>45543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18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(SUMIF($G$2:$G$31,B11,$I$2:$I$31))+(SUMIF($G$35:$G$42,B11,$H$35:$H$42))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(SUMIF($G$2:$G$31,B12,$I$2:$I$31))+(SUMIF($G$35:$G$42,B12,$H$35:$H$42))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(SUMIF($G$2:$G$31,B13,$I$2:$I$31))+(SUMIF($G$35:$G$42,B13,$H$35:$H$42))</f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IF(vend8[[#This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(SUMIF($G$2:$G$31,B14,$I$2:$I$31))+(SUMIF($G$35:$G$42,B14,$H$35:$H$42))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(SUMIF($G$2:$G$31,B15,$I$2:$I$31))+(SUMIF($G$35:$G$42,B15,$H$35:$H$42))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81"/>
      <c r="G26" s="82"/>
      <c r="H26" s="83"/>
      <c r="I26" s="83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5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35"/>
      <c r="F42" s="74"/>
      <c r="G42" s="75"/>
      <c r="H42" s="76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70" zoomScaleNormal="70" workbookViewId="0">
      <selection activeCell="V9" sqref="V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4">
        <f>'08'!B1+1</f>
        <v>45544</v>
      </c>
    </row>
    <row r="2" spans="2:22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22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3" t="s">
        <v>2</v>
      </c>
      <c r="C6" s="24">
        <f>SUM(I6:I41)</f>
        <v>100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2062</v>
      </c>
      <c r="L15" s="9" t="s">
        <v>137</v>
      </c>
      <c r="M15" s="16" t="s">
        <v>144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>
        <v>2063</v>
      </c>
      <c r="L16" s="9" t="s">
        <v>137</v>
      </c>
      <c r="M16" s="16" t="s">
        <v>144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2059</v>
      </c>
      <c r="L17" s="9" t="s">
        <v>134</v>
      </c>
      <c r="M17" s="16" t="s">
        <v>144</v>
      </c>
      <c r="R17" s="1">
        <f>IF(vend9[[#This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2063</v>
      </c>
      <c r="F26" s="25" t="s">
        <v>150</v>
      </c>
      <c r="G26" s="45" t="s">
        <v>7</v>
      </c>
      <c r="H26" s="8">
        <v>100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50" zoomScaleNormal="50" workbookViewId="0">
      <selection activeCell="G30" sqref="G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'09'!B1+1</f>
        <v>45545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SUMIF(I6:I32,"&gt;0",H6:H32)</f>
        <v>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SUM(I6:I42)</f>
        <v>150</v>
      </c>
      <c r="D6" s="2"/>
      <c r="E6" s="18">
        <v>2073</v>
      </c>
      <c r="F6" s="25" t="s">
        <v>151</v>
      </c>
      <c r="G6" s="45" t="s">
        <v>10</v>
      </c>
      <c r="H6" s="8">
        <v>699</v>
      </c>
      <c r="I6" s="8">
        <v>150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>(SUMIF($G$2:$G$32,B15,$I$2:$I$32))+(SUMIF($G$36:$G$42,B15,$H$36:$H$42))</f>
        <v>150</v>
      </c>
      <c r="D15" s="2"/>
      <c r="E15" s="18"/>
      <c r="F15" s="25"/>
      <c r="G15" s="26"/>
      <c r="H15" s="8"/>
      <c r="I15" s="8"/>
      <c r="J15" s="2"/>
      <c r="K15" s="25">
        <v>2032</v>
      </c>
      <c r="L15" s="9" t="s">
        <v>137</v>
      </c>
      <c r="M15" s="16" t="s">
        <v>144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25"/>
      <c r="L16" s="9"/>
      <c r="M16" s="60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5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5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35"/>
      <c r="F32" s="39"/>
      <c r="G32" s="26"/>
      <c r="H32" s="8"/>
      <c r="I32" s="8"/>
    </row>
    <row r="33" spans="2:18" ht="15" x14ac:dyDescent="0.25">
      <c r="B33" s="2"/>
      <c r="C33" s="2"/>
      <c r="E33" s="33"/>
      <c r="K33" s="98" t="s">
        <v>12</v>
      </c>
      <c r="L33" s="99"/>
      <c r="M33" s="100"/>
    </row>
    <row r="34" spans="2:18" ht="15" x14ac:dyDescent="0.25">
      <c r="E34" s="97" t="s">
        <v>28</v>
      </c>
      <c r="F34" s="97"/>
      <c r="G34" s="97"/>
      <c r="H34" s="97"/>
      <c r="I34" s="97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94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2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2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50" zoomScaleNormal="50" workbookViewId="0">
      <selection activeCell="I18" sqref="I18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'10'!B1+1</f>
        <v>45546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50" zoomScaleNormal="50" workbookViewId="0">
      <selection activeCell="G14" sqref="G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'11'!B1+1</f>
        <v>45547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49"/>
      <c r="G6" s="49"/>
      <c r="H6" s="50"/>
      <c r="I6" s="50"/>
      <c r="J6" s="2"/>
      <c r="K6" s="25"/>
      <c r="L6" s="9"/>
      <c r="M6" s="16"/>
      <c r="R6" s="1">
        <f>IF(vend12[[#This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51"/>
      <c r="G7" s="51"/>
      <c r="H7" s="52"/>
      <c r="I7" s="5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51"/>
      <c r="G8" s="51"/>
      <c r="H8" s="52"/>
      <c r="I8" s="5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3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50" zoomScaleNormal="50" workbookViewId="0">
      <selection activeCell="L26" sqref="L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'12'!B1+1</f>
        <v>45548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50" zoomScaleNormal="50" workbookViewId="0">
      <selection activeCell="K26" sqref="K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'13'!B1+1</f>
        <v>45549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'14'!B1+1</f>
        <v>45550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6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50" zoomScaleNormal="5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'15'!B1+1</f>
        <v>45551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5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5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66"/>
      <c r="R17" s="1">
        <f>IF(vend16[[#This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5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50" zoomScaleNormal="5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'16'!B1+1</f>
        <v>45552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122.5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122.5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2038</v>
      </c>
      <c r="F35" s="25" t="s">
        <v>152</v>
      </c>
      <c r="G35" s="26" t="s">
        <v>10</v>
      </c>
      <c r="H35" s="8">
        <v>122.5</v>
      </c>
      <c r="I35" s="8" t="s">
        <v>52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abSelected="1" zoomScale="80" zoomScaleNormal="8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'17'!B1+1</f>
        <v>45553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50</v>
      </c>
      <c r="D6" s="2"/>
      <c r="E6" s="18">
        <v>2074</v>
      </c>
      <c r="F6" s="58" t="s">
        <v>155</v>
      </c>
      <c r="G6" s="88" t="s">
        <v>10</v>
      </c>
      <c r="H6" s="69">
        <v>599</v>
      </c>
      <c r="I6" s="69">
        <v>50</v>
      </c>
      <c r="J6" s="2"/>
      <c r="K6" s="25"/>
      <c r="L6" s="64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647.59</v>
      </c>
      <c r="D15" s="2"/>
      <c r="E15" s="18"/>
      <c r="F15" s="25"/>
      <c r="G15" s="26"/>
      <c r="H15" s="8"/>
      <c r="I15" s="8"/>
      <c r="J15" s="2"/>
      <c r="K15" s="25">
        <v>2072</v>
      </c>
      <c r="L15" s="9" t="s">
        <v>137</v>
      </c>
      <c r="M15" s="16" t="s">
        <v>144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647.59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62"/>
      <c r="F23" s="62"/>
      <c r="G23" s="62"/>
      <c r="H23" s="63"/>
      <c r="I23" s="63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2035</v>
      </c>
      <c r="F35" s="25" t="s">
        <v>153</v>
      </c>
      <c r="G35" s="26" t="s">
        <v>10</v>
      </c>
      <c r="H35" s="8">
        <v>102.3</v>
      </c>
      <c r="I35" s="8" t="s">
        <v>39</v>
      </c>
      <c r="K35" s="25"/>
      <c r="L35" s="41"/>
      <c r="M35" s="16"/>
    </row>
    <row r="36" spans="2:18" ht="15.75" x14ac:dyDescent="0.25">
      <c r="E36" s="105">
        <v>2011</v>
      </c>
      <c r="F36" s="25" t="s">
        <v>154</v>
      </c>
      <c r="G36" s="26" t="s">
        <v>10</v>
      </c>
      <c r="H36" s="8">
        <v>100</v>
      </c>
      <c r="I36" s="8" t="s">
        <v>39</v>
      </c>
      <c r="K36" s="25"/>
      <c r="L36" s="41"/>
      <c r="M36" s="16"/>
    </row>
    <row r="37" spans="2:18" ht="15.75" x14ac:dyDescent="0.25">
      <c r="E37" s="18">
        <v>1868</v>
      </c>
      <c r="F37" s="25" t="s">
        <v>156</v>
      </c>
      <c r="G37" s="26" t="s">
        <v>10</v>
      </c>
      <c r="H37" s="8">
        <v>395.29</v>
      </c>
      <c r="I37" s="8" t="s">
        <v>86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50" zoomScaleNormal="50" zoomScaleSheetLayoutView="7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'18'!B1+1</f>
        <v>45554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65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58"/>
      <c r="G9" s="88"/>
      <c r="H9" s="69"/>
      <c r="I9" s="69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22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22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39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89"/>
      <c r="H29" s="26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" zoomScale="50" zoomScaleNormal="50" workbookViewId="0">
      <selection activeCell="K28" sqref="K2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8">
        <f>'19'!B1+1</f>
        <v>45555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295.83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295.83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12.55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170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295.83</v>
      </c>
      <c r="D15" s="2"/>
      <c r="E15" s="18"/>
      <c r="F15" s="25"/>
      <c r="G15" s="26"/>
      <c r="H15" s="8"/>
      <c r="I15" s="8"/>
      <c r="J15" s="2"/>
      <c r="K15" s="25">
        <v>2017</v>
      </c>
      <c r="L15" s="9" t="s">
        <v>132</v>
      </c>
      <c r="M15" s="16" t="s">
        <v>144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478.38</v>
      </c>
      <c r="D16" s="2"/>
      <c r="E16" s="18"/>
      <c r="F16" s="25"/>
      <c r="G16" s="26"/>
      <c r="H16" s="8"/>
      <c r="I16" s="8"/>
      <c r="J16" s="2"/>
      <c r="K16" s="25"/>
      <c r="L16" s="9"/>
      <c r="M16" s="6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2017</v>
      </c>
      <c r="F26" s="25" t="s">
        <v>157</v>
      </c>
      <c r="G26" s="26" t="s">
        <v>10</v>
      </c>
      <c r="H26" s="8"/>
      <c r="I26" s="8">
        <v>295.83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2003</v>
      </c>
      <c r="F35" s="25" t="s">
        <v>158</v>
      </c>
      <c r="G35" s="26" t="s">
        <v>8</v>
      </c>
      <c r="H35" s="8">
        <v>170</v>
      </c>
      <c r="I35" s="8" t="s">
        <v>84</v>
      </c>
      <c r="K35" s="25"/>
      <c r="L35" s="41"/>
      <c r="M35" s="66"/>
    </row>
    <row r="36" spans="2:18" ht="15.75" x14ac:dyDescent="0.25">
      <c r="E36" s="94">
        <v>2003</v>
      </c>
      <c r="F36" s="25" t="s">
        <v>158</v>
      </c>
      <c r="G36" s="26" t="s">
        <v>7</v>
      </c>
      <c r="H36" s="8">
        <v>12.55</v>
      </c>
      <c r="I36" s="8" t="s">
        <v>84</v>
      </c>
      <c r="K36" s="25"/>
      <c r="L36" s="67"/>
      <c r="M36" s="6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50" zoomScaleNormal="5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'20'!B1+1</f>
        <v>45556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>
        <v>2074</v>
      </c>
      <c r="F6" s="25" t="s">
        <v>159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'21'!B1+1</f>
        <v>45557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50" zoomScaleNormal="5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'22'!B1+1</f>
        <v>45558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77">
        <f>(SUMIF($G$2:$G$31,B11,$I$2:$I$31))+(SUMIF($G$35:$G$44,B11,$H$35:$H$44))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77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77">
        <f>(SUMIF($G$2:$G$31,B13,$I$2:$I$31))+(SUMIF($G$35:$G$44,B13,$H$35:$H$44))</f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IF(vend23[[#This Row],[Nº Venda]]&gt;1,1,0)</f>
        <v>0</v>
      </c>
    </row>
    <row r="14" spans="2:18" ht="15.75" x14ac:dyDescent="0.25">
      <c r="B14" s="30" t="s">
        <v>9</v>
      </c>
      <c r="C14" s="77">
        <f>(SUMIF($G$2:$G$31,B14,$I$2:$I$31))+(SUMIF($G$35:$G$44,B14,$H$35:$H$44))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77">
        <f>(SUMIF($G$2:$G$31,B15,$I$2:$I$31))+(SUMIF($G$35:$G$44,B15,$H$35:$H$44))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  <row r="42" spans="2:18" ht="15.75" x14ac:dyDescent="0.25">
      <c r="E42" s="92"/>
      <c r="F42" s="74"/>
      <c r="G42" s="75"/>
      <c r="H42" s="76"/>
      <c r="I42" s="17"/>
    </row>
    <row r="43" spans="2:18" ht="15.75" x14ac:dyDescent="0.25">
      <c r="E43" s="92"/>
      <c r="F43" s="90"/>
      <c r="G43" s="89"/>
      <c r="H43" s="91"/>
      <c r="I43" s="8"/>
    </row>
    <row r="44" spans="2:18" ht="15.75" x14ac:dyDescent="0.25">
      <c r="E44" s="93"/>
      <c r="F44" s="74"/>
      <c r="G44" s="75"/>
      <c r="H44" s="76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50" zoomScaleNormal="5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'23'!B1+1</f>
        <v>45559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131.66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131.66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2052</v>
      </c>
      <c r="F35" s="25" t="s">
        <v>159</v>
      </c>
      <c r="G35" s="26" t="s">
        <v>10</v>
      </c>
      <c r="H35" s="8">
        <v>131.66</v>
      </c>
      <c r="I35" s="8" t="s">
        <v>42</v>
      </c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'24'!B1+1</f>
        <v>45560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 ca="1">(SUMIF($G$2:$G$31,B11,$I$2:$I$31))+(SUMIF($G$35:$G$41,B11,$H$36:$H$41))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ca="1">(SUMIF($G$2:$G$31,B12,$I$2:$I$31))+(SUMIF($G$35:$G$41,B12,$H$36:$H$41))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ca="1">(SUMIF($G$2:$G$31,B13,$I$2:$I$31))+(SUMIF($G$35:$G$41,B13,$H$36:$H$41))</f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ca="1">(SUMIF($G$2:$G$31,B14,$I$2:$I$31))+(SUMIF($G$35:$G$41,B14,$H$36:$H$41))</f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ca="1">(SUMIF($G$2:$G$31,B15,$I$2:$I$31))+(SUMIF($G$35:$G$41,B15,$H$36:$H$41))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71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'25'!B1+1</f>
        <v>45561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50" zoomScaleNormal="5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'26'!B1+1</f>
        <v>45562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100</v>
      </c>
      <c r="D6" s="2"/>
      <c r="E6" s="18">
        <v>2076</v>
      </c>
      <c r="F6" s="25" t="s">
        <v>160</v>
      </c>
      <c r="G6" s="26" t="s">
        <v>8</v>
      </c>
      <c r="H6" s="8">
        <v>100</v>
      </c>
      <c r="I6" s="8">
        <v>100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2076</v>
      </c>
      <c r="L15" s="9" t="s">
        <v>137</v>
      </c>
      <c r="M15" s="16" t="s">
        <v>144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50" zoomScaleNormal="50" workbookViewId="0">
      <selection activeCell="G19" sqref="G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'27'!B1+1</f>
        <v>45563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120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120</v>
      </c>
      <c r="D6" s="2"/>
      <c r="E6" s="18">
        <v>2077</v>
      </c>
      <c r="F6" s="25" t="s">
        <v>161</v>
      </c>
      <c r="G6" s="26" t="s">
        <v>10</v>
      </c>
      <c r="H6" s="8">
        <v>120</v>
      </c>
      <c r="I6" s="8">
        <v>120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120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>
        <v>2077</v>
      </c>
      <c r="L15" s="9" t="s">
        <v>137</v>
      </c>
      <c r="M15" s="16" t="s">
        <v>144</v>
      </c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120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9">
        <f>'28'!B1+1</f>
        <v>45564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46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50" zoomScaleNormal="5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'29'!B1+1</f>
        <v>45565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229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229</v>
      </c>
      <c r="D6" s="2"/>
      <c r="E6" s="18">
        <v>2078</v>
      </c>
      <c r="F6" s="25" t="s">
        <v>162</v>
      </c>
      <c r="G6" s="26" t="s">
        <v>7</v>
      </c>
      <c r="H6" s="8">
        <v>229</v>
      </c>
      <c r="I6" s="8">
        <v>229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229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229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7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87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229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22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22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  <c r="V21" s="1" t="s">
        <v>126</v>
      </c>
    </row>
    <row r="22" spans="2:22" ht="15.75" x14ac:dyDescent="0.25">
      <c r="B22" s="28" t="s">
        <v>26</v>
      </c>
      <c r="C22" s="32">
        <f>C5</f>
        <v>229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22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22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50" zoomScaleNormal="50" workbookViewId="0">
      <selection activeCell="K15" activeCellId="4" sqref="E6:E22 E26:E31 E35:E41 K35:K41 K15:K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4">
        <f>'30'!B1+1</f>
        <v>45566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04" t="s">
        <v>1</v>
      </c>
      <c r="F4" s="104"/>
      <c r="G4" s="104"/>
      <c r="H4" s="104"/>
      <c r="I4" s="104"/>
      <c r="J4" s="22"/>
      <c r="K4" s="98" t="s">
        <v>3</v>
      </c>
      <c r="L4" s="99"/>
      <c r="M4" s="100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96" t="s">
        <v>5</v>
      </c>
      <c r="C10" s="96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98" t="s">
        <v>22</v>
      </c>
      <c r="L13" s="99"/>
      <c r="M13" s="100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96" t="s">
        <v>12</v>
      </c>
      <c r="C18" s="96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94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opLeftCell="A2" workbookViewId="0">
      <selection activeCell="A2" sqref="A2:A13000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2024-09-30T19:47:02Z</cp:lastPrinted>
  <dcterms:created xsi:type="dcterms:W3CDTF">2004-04-07T20:43:43Z</dcterms:created>
  <dcterms:modified xsi:type="dcterms:W3CDTF">2025-02-10T19:50:30Z</dcterms:modified>
  <cp:category/>
  <cp:contentStatus/>
</cp:coreProperties>
</file>