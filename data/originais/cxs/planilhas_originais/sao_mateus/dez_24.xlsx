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ESCRITORIO/NOVO_CX/"/>
    </mc:Choice>
  </mc:AlternateContent>
  <xr:revisionPtr revIDLastSave="0" documentId="8_{20048746-4408-4412-9F4D-B1900827C9FD}" xr6:coauthVersionLast="47" xr6:coauthVersionMax="47" xr10:uidLastSave="{00000000-0000-0000-0000-000000000000}"/>
  <bookViews>
    <workbookView xWindow="-120" yWindow="-120" windowWidth="29040" windowHeight="15720" tabRatio="895" activeTab="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0" l="1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<sst xmlns="http://schemas.openxmlformats.org/spreadsheetml/2006/main" count="1585" uniqueCount="142">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</sst>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5" fillId="0" borderId="3" xfId="0" applyFont="1" applyBorder="1" applyAlignment="1">
      <alignment horizontal="center"/>
    </xf>
    <xf numFmtId="164" fontId="45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70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0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7" t="s">
        <v>4</v>
      </c>
      <c r="B6" s="28">
        <f>SUM(B4:B5)</f>
        <v>0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3" t="s">
        <v>5</v>
      </c>
      <c r="B8" s="103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0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0</v>
      </c>
      <c r="P13" t="s">
        <v>140</v>
      </c>
    </row>
    <row r="14" spans="1:16" ht="15.75" x14ac:dyDescent="0.25">
      <c r="A14" s="27" t="s">
        <v>11</v>
      </c>
      <c r="B14" s="71">
        <f ca="1">SUM(B9:B13)</f>
        <v>0</v>
      </c>
    </row>
    <row r="15" spans="1:16" ht="15" x14ac:dyDescent="0.25">
      <c r="A15" s="2"/>
      <c r="B15" s="2"/>
    </row>
    <row r="16" spans="1:16" ht="15" x14ac:dyDescent="0.2">
      <c r="A16" s="103" t="s">
        <v>12</v>
      </c>
      <c r="B16" s="103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</row>
    <row r="18" spans="1:2" ht="15.75" x14ac:dyDescent="0.25">
      <c r="A18" s="27" t="s">
        <v>11</v>
      </c>
      <c r="B18" s="71">
        <f>SUM(B17:B17)</f>
        <v>0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abSelected="1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v>45627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'01'!B1+1</f>
        <v>45628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56"/>
      <c r="G13" s="85"/>
      <c r="H13" s="67"/>
      <c r="I13" s="67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56"/>
      <c r="G14" s="85"/>
      <c r="H14" s="67"/>
      <c r="I14" s="67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21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21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21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21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21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'02'!B1+1</f>
        <v>45629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'03'!B1+1</f>
        <v>45630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54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54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54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'04'!B1+1</f>
        <v>45631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59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100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82"/>
      <c r="G37" s="83"/>
      <c r="H37" s="84"/>
      <c r="I37" s="84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'05'!B1+1</f>
        <v>45632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53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(SUMIF($G$2:$G$31,B13,$I$2:$I$31))+(SUMIF($G$35:$G$41,B13,$H$35:$H$41))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(SUMIF($G$2:$G$31,B14,$I$2:$I$31))+(SUMIF($G$35:$G$41,B14,$H$35:$H$41))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(SUMIF($G$2:$G$31,B15,$I$2:$I$31))+(SUMIF($G$35:$G$41,B15,$H$35:$H$41))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x14ac:dyDescent="0.2">
      <c r="F42" s="92"/>
      <c r="G42" s="92"/>
      <c r="H42" s="91"/>
      <c r="I42" s="9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78">
        <f>'06'!B1+1</f>
        <v>45633</v>
      </c>
    </row>
    <row r="2" spans="2:21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SUM(I6:I41)</f>
        <v>0</v>
      </c>
      <c r="D6" s="2"/>
      <c r="E6" s="93"/>
      <c r="F6" s="76"/>
      <c r="G6" s="76"/>
      <c r="H6" s="77"/>
      <c r="I6" s="77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93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46"/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5"/>
      <c r="G26" s="68"/>
      <c r="H26" s="69"/>
      <c r="I26" s="69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'07'!B1+1</f>
        <v>45634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3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(SUMIF($G$2:$G$31,B11,$I$2:$I$31))+(SUMIF($G$35:$G$42,B11,$H$35:$H$42))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(SUMIF($G$2:$G$31,B12,$I$2:$I$31))+(SUMIF($G$35:$G$42,B12,$H$35:$H$42))</f>
        <v>0</v>
      </c>
      <c r="D12" s="2"/>
      <c r="E12" s="93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(SUMIF($G$2:$G$31,B13,$I$2:$I$31))+(SUMIF($G$35:$G$42,B13,$H$35:$H$42))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(SUMIF($G$2:$G$31,B14,$I$2:$I$31))+(SUMIF($G$35:$G$42,B14,$H$35:$H$42))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(SUMIF($G$2:$G$31,B15,$I$2:$I$31))+(SUMIF($G$35:$G$42,B15,$H$35:$H$42))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79"/>
      <c r="G26" s="80"/>
      <c r="H26" s="81"/>
      <c r="I26" s="81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43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34"/>
      <c r="F42" s="72"/>
      <c r="G42" s="73"/>
      <c r="H42" s="74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2">
        <f>'08'!B1+1</f>
        <v>45635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4"/>
      <c r="G20" s="25"/>
      <c r="H20" s="8"/>
      <c r="I20" s="8"/>
      <c r="J20" s="2"/>
      <c r="K20" s="101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'09'!B1+1</f>
        <v>45636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93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58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43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43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5" t="s">
        <v>12</v>
      </c>
      <c r="L33" s="106"/>
      <c r="M33" s="107"/>
    </row>
    <row r="34" spans="2:18" ht="15" x14ac:dyDescent="0.25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5" x14ac:dyDescent="0.25">
      <c r="E35" s="99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101"/>
      <c r="L35" s="40"/>
      <c r="M35" s="16"/>
    </row>
    <row r="36" spans="2:18" ht="15.75" x14ac:dyDescent="0.25">
      <c r="E36" s="93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7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24"/>
      <c r="G39" s="25"/>
      <c r="H39" s="8"/>
      <c r="I39" s="8"/>
      <c r="K39" s="101"/>
      <c r="L39" s="40"/>
      <c r="M39" s="16"/>
    </row>
    <row r="40" spans="2:18" ht="15.75" x14ac:dyDescent="0.25">
      <c r="E40" s="93"/>
      <c r="F40" s="38"/>
      <c r="G40" s="25"/>
      <c r="H40" s="8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5"/>
      <c r="G41" s="36"/>
      <c r="H41" s="17"/>
      <c r="I41" s="8"/>
      <c r="K41" s="101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'10'!B1+1</f>
        <v>45637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'11'!B1+1</f>
        <v>45638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51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'12'!B1+1</f>
        <v>45639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'13'!B1+1</f>
        <v>45640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'14'!B1+1</f>
        <v>45641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64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64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'15'!B1+1</f>
        <v>45642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64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43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'16'!B1+1</f>
        <v>45643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'17'!B1+1</f>
        <v>45644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56"/>
      <c r="G6" s="85"/>
      <c r="H6" s="67"/>
      <c r="I6" s="67"/>
      <c r="J6" s="2"/>
      <c r="K6" s="24"/>
      <c r="L6" s="62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60"/>
      <c r="F23" s="60"/>
      <c r="G23" s="60"/>
      <c r="H23" s="61"/>
      <c r="I23" s="61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zoomScale="90" zoomScaleNormal="90" zoomScaleSheetLayoutView="7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8">
        <f>'18'!B1+1</f>
        <v>45645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63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93"/>
      <c r="F9" s="56"/>
      <c r="G9" s="85"/>
      <c r="H9" s="67"/>
      <c r="I9" s="67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IF(vend19[[#This Row],[Nº Venda]]&gt;1,1,0)</f>
        <v>0</v>
      </c>
    </row>
    <row r="18" spans="2:22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38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86"/>
      <c r="H29" s="25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24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6">
        <f>'19'!B1+1</f>
        <v>45646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64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64"/>
    </row>
    <row r="36" spans="2:18" ht="15.75" x14ac:dyDescent="0.25">
      <c r="E36" s="97"/>
      <c r="F36" s="24"/>
      <c r="G36" s="25"/>
      <c r="H36" s="8"/>
      <c r="I36" s="8"/>
      <c r="K36" s="101"/>
      <c r="L36" s="65"/>
      <c r="M36" s="64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'20'!B1+1</f>
        <v>45647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'21'!B1+1</f>
        <v>45648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'22'!B1+1</f>
        <v>45649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5">
        <f>(SUMIF($G$2:$G$31,B11,$I$2:$I$31))+(SUMIF($G$35:$G$44,B11,$H$35:$H$44))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5">
        <f>(SUMIF($G$2:$G$31,B12,$I$2:$I$31))+(SUMIF($G$35:$G$44,B12,$H$35:$H$44))</f>
        <v>0</v>
      </c>
      <c r="D12" s="2"/>
      <c r="E12" s="93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5">
        <f>(SUMIF($G$2:$G$31,B13,$I$2:$I$31))+(SUMIF($G$35:$G$44,B13,$H$35:$H$44))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75" x14ac:dyDescent="0.25">
      <c r="B14" s="29" t="s">
        <v>9</v>
      </c>
      <c r="C14" s="75">
        <f>(SUMIF($G$2:$G$31,B14,$I$2:$I$31))+(SUMIF($G$35:$G$44,B14,$H$35:$H$44))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5">
        <f>(SUMIF($G$2:$G$31,B15,$I$2:$I$31))+(SUMIF($G$35:$G$44,B15,$H$35:$H$44))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8"/>
      <c r="F41" s="38"/>
      <c r="G41" s="25"/>
      <c r="H41" s="8"/>
      <c r="I41" s="8"/>
      <c r="K41" s="101"/>
      <c r="L41" s="40"/>
      <c r="M41" s="39"/>
    </row>
    <row r="42" spans="2:18" ht="15.75" x14ac:dyDescent="0.25">
      <c r="E42" s="89"/>
      <c r="F42" s="72"/>
      <c r="G42" s="73"/>
      <c r="H42" s="74"/>
      <c r="I42" s="17"/>
    </row>
    <row r="43" spans="2:18" ht="15.75" x14ac:dyDescent="0.25">
      <c r="E43" s="89"/>
      <c r="F43" s="87"/>
      <c r="G43" s="86"/>
      <c r="H43" s="88"/>
      <c r="I43" s="8"/>
    </row>
    <row r="44" spans="2:18" ht="15.75" x14ac:dyDescent="0.25">
      <c r="E44" s="90"/>
      <c r="F44" s="72"/>
      <c r="G44" s="73"/>
      <c r="H44" s="74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2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'23'!B1+1</f>
        <v>45650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'24'!B1+1</f>
        <v>45651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93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69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'25'!B1+1</f>
        <v>45652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'26'!B1+1</f>
        <v>45653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IF(vend27[[#This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'27'!B1+1</f>
        <v>45654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2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7">
        <f>'28'!B1+1</f>
        <v>45655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IF(vend29[[#This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2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'29'!B1+1</f>
        <v>45656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4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4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IF(vend30[[#This Row],[Nº Venda]]&gt;1,1,0)</f>
        <v>0</v>
      </c>
    </row>
    <row r="18" spans="2:22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22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22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22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22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22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22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2" zoomScale="90" zoomScaleNormal="90" workbookViewId="0">
      <selection activeCell="C37" sqref="C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2">
        <f>'30'!B1+1</f>
        <v>45657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3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3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3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3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3" t="s">
        <v>5</v>
      </c>
      <c r="C10" s="103"/>
      <c r="D10" s="2"/>
      <c r="E10" s="93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3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3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3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3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3"/>
      <c r="F15" s="24"/>
      <c r="G15" s="25"/>
      <c r="H15" s="8"/>
      <c r="I15" s="8"/>
      <c r="J15" s="2"/>
      <c r="K15" s="101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3"/>
      <c r="F16" s="24"/>
      <c r="G16" s="25"/>
      <c r="H16" s="8"/>
      <c r="I16" s="8"/>
      <c r="J16" s="2"/>
      <c r="K16" s="101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3"/>
      <c r="F17" s="24"/>
      <c r="G17" s="25"/>
      <c r="H17" s="8"/>
      <c r="I17" s="8"/>
      <c r="J17" s="2"/>
      <c r="K17" s="101"/>
      <c r="L17" s="9"/>
      <c r="M17" s="16"/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93"/>
      <c r="F18" s="24"/>
      <c r="G18" s="25"/>
      <c r="H18" s="8"/>
      <c r="I18" s="8"/>
      <c r="J18" s="2"/>
      <c r="K18" s="101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3"/>
      <c r="F19" s="24"/>
      <c r="G19" s="25"/>
      <c r="H19" s="8"/>
      <c r="I19" s="8"/>
      <c r="J19" s="2"/>
      <c r="K19" s="101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3"/>
      <c r="F20" s="25"/>
      <c r="G20" s="25"/>
      <c r="H20" s="8"/>
      <c r="I20" s="8"/>
      <c r="J20" s="2"/>
      <c r="K20" s="101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3"/>
      <c r="F21" s="24"/>
      <c r="G21" s="25"/>
      <c r="H21" s="8"/>
      <c r="I21" s="8"/>
      <c r="J21" s="2"/>
      <c r="K21" s="101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3"/>
      <c r="F22" s="24"/>
      <c r="G22" s="25"/>
      <c r="H22" s="8"/>
      <c r="I22" s="8"/>
      <c r="J22" s="2"/>
      <c r="K22" s="101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101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101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101"/>
      <c r="L25" s="9"/>
      <c r="M25" s="16"/>
    </row>
    <row r="26" spans="2:18" ht="15.75" x14ac:dyDescent="0.25">
      <c r="B26" s="2"/>
      <c r="C26" s="2"/>
      <c r="D26" s="2"/>
      <c r="E26" s="93"/>
      <c r="F26" s="24"/>
      <c r="G26" s="25"/>
      <c r="H26" s="8"/>
      <c r="I26" s="8"/>
      <c r="J26" s="2"/>
      <c r="K26" s="101"/>
      <c r="L26" s="9"/>
      <c r="M26" s="16"/>
    </row>
    <row r="27" spans="2:18" ht="15.75" x14ac:dyDescent="0.25">
      <c r="B27" s="2"/>
      <c r="C27" s="2"/>
      <c r="D27" s="2"/>
      <c r="E27" s="93"/>
      <c r="F27" s="24"/>
      <c r="G27" s="25"/>
      <c r="H27" s="8"/>
      <c r="I27" s="8"/>
      <c r="J27" s="2"/>
      <c r="K27" s="101"/>
      <c r="L27" s="9"/>
      <c r="M27" s="16"/>
    </row>
    <row r="28" spans="2:18" ht="15.75" x14ac:dyDescent="0.25">
      <c r="B28" s="2"/>
      <c r="C28" s="2"/>
      <c r="D28" s="2"/>
      <c r="E28" s="93"/>
      <c r="F28" s="24"/>
      <c r="G28" s="25"/>
      <c r="H28" s="8"/>
      <c r="I28" s="8"/>
      <c r="J28" s="2"/>
      <c r="K28" s="101"/>
      <c r="L28" s="9"/>
      <c r="M28" s="16"/>
    </row>
    <row r="29" spans="2:18" ht="15.75" x14ac:dyDescent="0.25">
      <c r="B29" s="2"/>
      <c r="C29" s="2"/>
      <c r="D29" s="2"/>
      <c r="E29" s="93"/>
      <c r="F29" s="24"/>
      <c r="G29" s="25"/>
      <c r="H29" s="8"/>
      <c r="I29" s="8"/>
      <c r="J29" s="2"/>
      <c r="K29" s="101"/>
      <c r="L29" s="9"/>
      <c r="M29" s="16"/>
    </row>
    <row r="30" spans="2:18" ht="15.75" x14ac:dyDescent="0.25">
      <c r="B30" s="2"/>
      <c r="C30" s="2"/>
      <c r="D30" s="2"/>
      <c r="E30" s="93"/>
      <c r="F30" s="38"/>
      <c r="G30" s="25"/>
      <c r="H30" s="8"/>
      <c r="I30" s="8"/>
      <c r="J30" s="2"/>
      <c r="K30" s="101"/>
      <c r="L30" s="9"/>
      <c r="M30" s="16"/>
    </row>
    <row r="31" spans="2:18" ht="15.75" x14ac:dyDescent="0.25">
      <c r="B31" s="2"/>
      <c r="C31" s="2"/>
      <c r="D31" s="2"/>
      <c r="E31" s="95"/>
      <c r="F31" s="35"/>
      <c r="G31" s="36"/>
      <c r="H31" s="17"/>
      <c r="I31" s="17"/>
      <c r="J31" s="2"/>
      <c r="K31" s="101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24"/>
      <c r="G35" s="25"/>
      <c r="H35" s="8"/>
      <c r="I35" s="8"/>
      <c r="K35" s="101"/>
      <c r="L35" s="40"/>
      <c r="M35" s="16"/>
    </row>
    <row r="36" spans="2:18" ht="15.75" x14ac:dyDescent="0.25">
      <c r="E36" s="97"/>
      <c r="F36" s="24"/>
      <c r="G36" s="25"/>
      <c r="H36" s="8"/>
      <c r="I36" s="8"/>
      <c r="K36" s="101"/>
      <c r="L36" s="40"/>
      <c r="M36" s="16"/>
    </row>
    <row r="37" spans="2:18" ht="15.75" x14ac:dyDescent="0.25">
      <c r="E37" s="93"/>
      <c r="F37" s="24"/>
      <c r="G37" s="25"/>
      <c r="H37" s="8"/>
      <c r="I37" s="8"/>
      <c r="K37" s="101"/>
      <c r="L37" s="40"/>
      <c r="M37" s="16"/>
    </row>
    <row r="38" spans="2:18" ht="15.75" x14ac:dyDescent="0.25">
      <c r="E38" s="93"/>
      <c r="F38" s="24"/>
      <c r="G38" s="25"/>
      <c r="H38" s="8"/>
      <c r="I38" s="8"/>
      <c r="K38" s="101"/>
      <c r="L38" s="40"/>
      <c r="M38" s="16"/>
    </row>
    <row r="39" spans="2:18" ht="15.75" x14ac:dyDescent="0.25">
      <c r="E39" s="93"/>
      <c r="F39" s="38"/>
      <c r="G39" s="25"/>
      <c r="H39" s="8"/>
      <c r="I39" s="8"/>
      <c r="K39" s="101"/>
      <c r="L39" s="40"/>
      <c r="M39" s="16"/>
    </row>
    <row r="40" spans="2:18" ht="15.75" x14ac:dyDescent="0.25">
      <c r="E40" s="95"/>
      <c r="F40" s="35"/>
      <c r="G40" s="36"/>
      <c r="H40" s="17"/>
      <c r="I40" s="8"/>
      <c r="K40" s="102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6"/>
      <c r="F41" s="38"/>
      <c r="G41" s="25"/>
      <c r="H41" s="8"/>
      <c r="I41" s="8"/>
      <c r="K41" s="101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Junior</cp:lastModifiedBy>
  <cp:revision/>
  <cp:lastPrinted>2024-04-01T15:51:27Z</cp:lastPrinted>
  <dcterms:created xsi:type="dcterms:W3CDTF">2004-04-07T20:43:43Z</dcterms:created>
  <dcterms:modified xsi:type="dcterms:W3CDTF">2024-12-02T19:07:22Z</dcterms:modified>
  <cp:category/>
  <cp:contentStatus/>
</cp:coreProperties>
</file>