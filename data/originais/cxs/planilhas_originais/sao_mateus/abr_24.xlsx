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AO_MATEUS/CAIXA/"/>
    </mc:Choice>
  </mc:AlternateContent>
  <xr:revisionPtr revIDLastSave="692" documentId="13_ncr:1_{0402BA61-346E-4614-9EF8-32644BD0418E}" xr6:coauthVersionLast="47" xr6:coauthVersionMax="47" xr10:uidLastSave="{FE52CB8A-5379-42A9-9198-F05CBB88A5D6}"/>
  <bookViews>
    <workbookView xWindow="-120" yWindow="330" windowWidth="29040" windowHeight="15990" tabRatio="895" activeTab="17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85" l="1"/>
  <c r="C12" i="188" l="1"/>
  <c r="C13" i="188"/>
  <c r="C14" i="188"/>
  <c r="C11" i="188"/>
  <c r="C12" i="178"/>
  <c r="C13" i="178"/>
  <c r="C14" i="178"/>
  <c r="C11" i="178"/>
  <c r="R20" i="175" l="1"/>
  <c r="R19" i="175"/>
  <c r="C18" i="175"/>
  <c r="C19" i="175" s="1"/>
  <c r="B18" i="175"/>
  <c r="R18" i="175"/>
  <c r="R17" i="175"/>
  <c r="R16" i="175"/>
  <c r="R15" i="175"/>
  <c r="C14" i="175"/>
  <c r="R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1" i="175" s="1"/>
  <c r="C12" i="174"/>
  <c r="C13" i="174"/>
  <c r="C14" i="174"/>
  <c r="C12" i="173"/>
  <c r="C13" i="173"/>
  <c r="C14" i="173"/>
  <c r="C12" i="172"/>
  <c r="C13" i="172"/>
  <c r="C14" i="172"/>
  <c r="C12" i="171"/>
  <c r="C13" i="171"/>
  <c r="C14" i="171"/>
  <c r="C12" i="170"/>
  <c r="C13" i="170"/>
  <c r="C14" i="170"/>
  <c r="C12" i="103"/>
  <c r="C13" i="103"/>
  <c r="C14" i="103"/>
  <c r="C12" i="177"/>
  <c r="C13" i="177"/>
  <c r="C14" i="177"/>
  <c r="C12" i="176"/>
  <c r="C13" i="176"/>
  <c r="C14" i="176"/>
  <c r="C12" i="180"/>
  <c r="C13" i="180"/>
  <c r="C14" i="180"/>
  <c r="C12" i="182"/>
  <c r="C13" i="182"/>
  <c r="C14" i="182"/>
  <c r="C12" i="183"/>
  <c r="C13" i="183"/>
  <c r="C14" i="183"/>
  <c r="C12" i="181"/>
  <c r="C13" i="181"/>
  <c r="C14" i="181"/>
  <c r="C12" i="179"/>
  <c r="C13" i="179"/>
  <c r="C14" i="179"/>
  <c r="C12" i="184"/>
  <c r="C13" i="184"/>
  <c r="C14" i="184"/>
  <c r="C12" i="185"/>
  <c r="C14" i="185"/>
  <c r="C12" i="186"/>
  <c r="C13" i="186"/>
  <c r="C14" i="186"/>
  <c r="C12" i="187"/>
  <c r="C13" i="187"/>
  <c r="C14" i="187"/>
  <c r="C12" i="189"/>
  <c r="C13" i="189"/>
  <c r="C14" i="189"/>
  <c r="C12" i="190"/>
  <c r="C13" i="190"/>
  <c r="C14" i="190"/>
  <c r="C12" i="191"/>
  <c r="C13" i="191"/>
  <c r="C14" i="191"/>
  <c r="C12" i="193"/>
  <c r="C13" i="193"/>
  <c r="C14" i="193"/>
  <c r="C12" i="195"/>
  <c r="C13" i="195"/>
  <c r="C14" i="195"/>
  <c r="C12" i="194"/>
  <c r="C13" i="194"/>
  <c r="C14" i="194"/>
  <c r="C12" i="197"/>
  <c r="C13" i="197"/>
  <c r="C14" i="197"/>
  <c r="C12" i="196"/>
  <c r="C13" i="196"/>
  <c r="C14" i="196"/>
  <c r="C12" i="192"/>
  <c r="C13" i="192"/>
  <c r="C14" i="192"/>
  <c r="C12" i="199"/>
  <c r="C13" i="199"/>
  <c r="C14" i="199"/>
  <c r="C12" i="198"/>
  <c r="C13" i="198"/>
  <c r="C14" i="198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1" i="174" s="1"/>
  <c r="C5" i="173"/>
  <c r="C21" i="173" s="1"/>
  <c r="C5" i="172"/>
  <c r="C21" i="172" s="1"/>
  <c r="C5" i="171"/>
  <c r="C21" i="171" s="1"/>
  <c r="C5" i="170"/>
  <c r="C21" i="170" s="1"/>
  <c r="C5" i="103"/>
  <c r="C5" i="178"/>
  <c r="C21" i="178" s="1"/>
  <c r="C5" i="177"/>
  <c r="C21" i="177" s="1"/>
  <c r="C5" i="176"/>
  <c r="C21" i="176" s="1"/>
  <c r="C5" i="180"/>
  <c r="C21" i="180" s="1"/>
  <c r="C5" i="182"/>
  <c r="C21" i="182" s="1"/>
  <c r="C5" i="183"/>
  <c r="C21" i="183" s="1"/>
  <c r="C5" i="181"/>
  <c r="C21" i="181" s="1"/>
  <c r="C5" i="179"/>
  <c r="C21" i="179" s="1"/>
  <c r="C5" i="184"/>
  <c r="C21" i="184" s="1"/>
  <c r="C5" i="185"/>
  <c r="C21" i="185" s="1"/>
  <c r="C5" i="186"/>
  <c r="C21" i="186" s="1"/>
  <c r="C5" i="187"/>
  <c r="C21" i="187" s="1"/>
  <c r="C5" i="189"/>
  <c r="C21" i="189" s="1"/>
  <c r="C5" i="190"/>
  <c r="C21" i="190" s="1"/>
  <c r="C5" i="191"/>
  <c r="C21" i="191" s="1"/>
  <c r="C5" i="188"/>
  <c r="C21" i="188" s="1"/>
  <c r="C5" i="193"/>
  <c r="C21" i="193" s="1"/>
  <c r="C5" i="195"/>
  <c r="C21" i="195" s="1"/>
  <c r="C5" i="194"/>
  <c r="C21" i="194" s="1"/>
  <c r="C5" i="197"/>
  <c r="C21" i="197" s="1"/>
  <c r="C5" i="196"/>
  <c r="C21" i="196" s="1"/>
  <c r="C5" i="192"/>
  <c r="C21" i="192" s="1"/>
  <c r="C5" i="199"/>
  <c r="C21" i="199" s="1"/>
  <c r="C5" i="198"/>
  <c r="C21" i="198" s="1"/>
  <c r="C6" i="174"/>
  <c r="C8" i="174" s="1"/>
  <c r="C6" i="173"/>
  <c r="C6" i="172"/>
  <c r="C8" i="172" s="1"/>
  <c r="C6" i="171"/>
  <c r="C8" i="171" s="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8" i="199"/>
  <c r="C19" i="199" s="1"/>
  <c r="B18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8" i="198"/>
  <c r="C19" i="198" s="1"/>
  <c r="B18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8" i="197"/>
  <c r="C19" i="197" s="1"/>
  <c r="B18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8" i="196"/>
  <c r="C19" i="196" s="1"/>
  <c r="B18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8" i="195"/>
  <c r="C19" i="195" s="1"/>
  <c r="B18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8" i="194"/>
  <c r="C19" i="194" s="1"/>
  <c r="B18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8" i="193"/>
  <c r="C19" i="193" s="1"/>
  <c r="B18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8" i="192"/>
  <c r="C19" i="192" s="1"/>
  <c r="B18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8" i="191"/>
  <c r="C19" i="191" s="1"/>
  <c r="B18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8" i="190"/>
  <c r="C19" i="190" s="1"/>
  <c r="B18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8" i="189"/>
  <c r="C19" i="189" s="1"/>
  <c r="B18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8" i="188"/>
  <c r="C19" i="188" s="1"/>
  <c r="B18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8" i="187"/>
  <c r="C19" i="187" s="1"/>
  <c r="B18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8" i="186"/>
  <c r="C19" i="186" s="1"/>
  <c r="B18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8" i="185"/>
  <c r="C19" i="185" s="1"/>
  <c r="B18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8" i="184"/>
  <c r="C19" i="184" s="1"/>
  <c r="B18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8" i="183"/>
  <c r="C19" i="183" s="1"/>
  <c r="B18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8" i="182"/>
  <c r="C19" i="182" s="1"/>
  <c r="B18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8" i="181"/>
  <c r="C19" i="181" s="1"/>
  <c r="B18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8" i="180"/>
  <c r="C19" i="180" s="1"/>
  <c r="B18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8" i="179"/>
  <c r="C19" i="179" s="1"/>
  <c r="B18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8" i="178"/>
  <c r="C19" i="178" s="1"/>
  <c r="B18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8" i="177"/>
  <c r="C19" i="177" s="1"/>
  <c r="B18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8" i="176"/>
  <c r="C19" i="176" s="1"/>
  <c r="B18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8" i="174"/>
  <c r="C19" i="174" s="1"/>
  <c r="B18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8" i="173"/>
  <c r="C19" i="173" s="1"/>
  <c r="B18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8" i="172"/>
  <c r="C19" i="172" s="1"/>
  <c r="B18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8" i="171"/>
  <c r="C19" i="171" s="1"/>
  <c r="B18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8" i="170"/>
  <c r="C19" i="170" s="1"/>
  <c r="B18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8" i="103"/>
  <c r="B18" i="103"/>
  <c r="B12" i="200" l="1"/>
  <c r="C8" i="180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5" i="170"/>
  <c r="O11" i="170" s="1"/>
  <c r="R40" i="170"/>
  <c r="C15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5" i="171"/>
  <c r="O11" i="171" s="1"/>
  <c r="R40" i="171"/>
  <c r="B13" i="200"/>
  <c r="B5" i="200"/>
  <c r="B11" i="200"/>
  <c r="B10" i="200"/>
  <c r="B9" i="200"/>
  <c r="B3" i="200"/>
  <c r="E7" i="200" s="1"/>
  <c r="F7" i="200" s="1"/>
  <c r="C15" i="196"/>
  <c r="O11" i="196" s="1"/>
  <c r="C15" i="189"/>
  <c r="O11" i="189" s="1"/>
  <c r="C15" i="188"/>
  <c r="O11" i="188" s="1"/>
  <c r="C15" i="185"/>
  <c r="O11" i="185" s="1"/>
  <c r="C8" i="195"/>
  <c r="C8" i="193"/>
  <c r="C8" i="178"/>
  <c r="C8" i="198"/>
  <c r="C8" i="185"/>
  <c r="C8" i="181"/>
  <c r="C8" i="170"/>
  <c r="C8" i="177"/>
  <c r="C8" i="182"/>
  <c r="C15" i="198"/>
  <c r="O11" i="198" s="1"/>
  <c r="C15" i="199"/>
  <c r="O11" i="199" s="1"/>
  <c r="C15" i="192"/>
  <c r="O11" i="192" s="1"/>
  <c r="C15" i="197"/>
  <c r="O11" i="197" s="1"/>
  <c r="C15" i="194"/>
  <c r="O11" i="194" s="1"/>
  <c r="C15" i="195"/>
  <c r="O11" i="195" s="1"/>
  <c r="C15" i="193"/>
  <c r="O11" i="193" s="1"/>
  <c r="C15" i="191"/>
  <c r="O11" i="191" s="1"/>
  <c r="C15" i="190"/>
  <c r="O11" i="190" s="1"/>
  <c r="C15" i="187"/>
  <c r="O11" i="187" s="1"/>
  <c r="C15" i="186"/>
  <c r="O11" i="186" s="1"/>
  <c r="C15" i="184"/>
  <c r="O11" i="184" s="1"/>
  <c r="C8" i="184"/>
  <c r="C15" i="179"/>
  <c r="O11" i="179" s="1"/>
  <c r="C15" i="181"/>
  <c r="O11" i="181" s="1"/>
  <c r="C15" i="183"/>
  <c r="O11" i="183" s="1"/>
  <c r="C15" i="182"/>
  <c r="O11" i="182" s="1"/>
  <c r="C15" i="180"/>
  <c r="O11" i="180" s="1"/>
  <c r="C15" i="176"/>
  <c r="O11" i="176" s="1"/>
  <c r="C15" i="177"/>
  <c r="O11" i="177" s="1"/>
  <c r="C15" i="178"/>
  <c r="O11" i="178" s="1"/>
  <c r="C15" i="172"/>
  <c r="O11" i="172" s="1"/>
  <c r="C15" i="173"/>
  <c r="O11" i="173" s="1"/>
  <c r="C15" i="174"/>
  <c r="O11" i="174" s="1"/>
  <c r="C19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1" i="103"/>
  <c r="B14" i="200" l="1"/>
  <c r="C15" i="103"/>
  <c r="O11" i="103" s="1"/>
  <c r="C8" i="103"/>
  <c r="R40" i="103"/>
  <c r="B4" i="200" l="1"/>
  <c r="B6" i="200" s="1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<sst xmlns="http://schemas.openxmlformats.org/spreadsheetml/2006/main" count="1661" uniqueCount="159">
  <si>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</si>
  <si>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</si>
  <si>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</si>
  <si>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</si>
  <si>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</si>
  <si>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</si>
  <si>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</si>
  <si>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</si>
  <si>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</si>
  <si>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</si>
  <si>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</si>
  <si>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</si>
  <si>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</si>
  <si>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</si>
  <si>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</si>
  <si>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</si>
  <si>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</si>
  <si>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</si>
  <si>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</si>
  <si>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</si>
  <si>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</si>
  <si>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</si>
  <si>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</si>
  <si>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</si>
  <si>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</si>
  <si>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Não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</si>
  <si>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</si>
  <si>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</si>
  <si>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</si>
  <si>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</si>
  <si>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</si>
  <si>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</si>
  <si>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</si>
  <si>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</si>
  <si>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</si>
  <si>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</si>
  <si>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</si>
  <si>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</si>
  <si>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</si>
  <si>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</si>
  <si>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</si>
  <si>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</si>
  <si>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</si>
  <si>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</si>
  <si>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</si>
  <si>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</si>
  <si>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</si>
  <si>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</si>
  <si>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</si>
  <si>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</si>
  <si>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</si>
  <si>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</si>
  <si>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</si>
  <si>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</si>
  <si>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</si>
  <si>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</si>
  <si>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</si>
  <si>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</si>
  <si>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</si>
  <si>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</si>
  <si>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</si>
  <si>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</si>
  <si>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</si>
  <si>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</si>
  <si>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</si>
  <si>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</si>
  <si>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</si>
  <si>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</si>
  <si>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</si>
  <si>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</si>
  <si>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</si>
  <si>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</si>
  <si>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</si>
  <si>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</si>
  <si>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</si>
  <si>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</si>
  <si>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</si>
  <si>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</si>
  <si>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</si>
  <si>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</si>
  <si>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</si>
  <si>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</si>
  <si>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</si>
  <si>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</si>
  <si>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</si>
  <si>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</si>
  <si>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</si>
  <si>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</si>
  <si>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</si>
  <si>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</si>
  <si>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</si>
  <si>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</si>
  <si>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</si>
  <si>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</si>
  <si>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</si>
  <si>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</si>
  <si>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</si>
  <si>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</si>
  <si>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</si>
  <si>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</si>
  <si>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</si>
  <si>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</si>
  <si>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</si>
  <si>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</si>
  <si>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</si>
  <si>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</si>
  <si>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</si>
  <si>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</si>
  <si>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</si>
  <si>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</si>
  <si>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</si>
  <si>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</si>
  <si>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</si>
  <si>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</si>
  <si>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</si>
  <si>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</si>
  <si>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</si>
  <si>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</si>
  <si>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</si>
  <si>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</si>
  <si>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</si>
  <si>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</si>
  <si>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</si>
  <si>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</si>
  <si>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</si>
  <si>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</si>
  <si>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 xml:space="preserve">CLAUDICEIA SOARES </t>
  </si>
  <si>
    <t xml:space="preserve">AURINO FILHO </t>
  </si>
  <si>
    <t>ADEMIR  MOREIRA</t>
  </si>
  <si>
    <t xml:space="preserve">ELIANA APARECIDA </t>
  </si>
  <si>
    <t>MARTA DOS SANTOS</t>
  </si>
  <si>
    <t>ANDREIA EVARISTO</t>
  </si>
  <si>
    <t xml:space="preserve">NELITO AUGUSTO </t>
  </si>
  <si>
    <t xml:space="preserve">BEATRIZ HELENA D S </t>
  </si>
  <si>
    <t>META</t>
  </si>
  <si>
    <t>FALTA</t>
  </si>
  <si>
    <t>POR DIA</t>
  </si>
  <si>
    <t xml:space="preserve">Ennily Santos </t>
  </si>
  <si>
    <t>GERALDO CESAR</t>
  </si>
  <si>
    <t>JOSE CARLOS</t>
  </si>
  <si>
    <t>MARIA DAS DORES</t>
  </si>
  <si>
    <t>ROGÉRIO</t>
  </si>
  <si>
    <t xml:space="preserve">EDGAR BRISOLA </t>
  </si>
  <si>
    <t>MARCELO ROBERTO</t>
  </si>
  <si>
    <t>Sim</t>
  </si>
  <si>
    <t>SILVANO DA CRUZ</t>
  </si>
  <si>
    <t>MARIA ROSEMARY</t>
  </si>
  <si>
    <t>LUANA BARBOSA</t>
  </si>
  <si>
    <t>LUCAS ANTONIO</t>
  </si>
  <si>
    <t>ELIAS MARTINS</t>
  </si>
  <si>
    <t xml:space="preserve">SONIA MARIA </t>
  </si>
  <si>
    <t>GRAZIELLY ROCK</t>
  </si>
  <si>
    <t>LEONOR DA LIMA  DE JESUS</t>
  </si>
  <si>
    <t>WEVILLY</t>
  </si>
  <si>
    <t>Patricia de Oliveira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</si>
  <si>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</si>
  <si>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CLAUDIO LOPES </t>
  </si>
  <si>
    <t>(NÃO FOI LANÇADO CONFORME RECIBO ENVIADO NO CAIXA)</t>
  </si>
  <si>
    <t>Clareonice de Fatima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</si>
</sst>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</font>
    <font>
      <sz val="11"/>
      <name val="Calibri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  <font>
      <sz val="12"/>
      <name val="Arial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17" xfId="0" applyNumberFormat="1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8" fillId="0" borderId="17" xfId="0" applyNumberFormat="1" applyFont="1" applyBorder="1" applyAlignment="1">
      <alignment horizontal="center"/>
    </xf>
    <xf numFmtId="165" fontId="38" fillId="0" borderId="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40" fillId="0" borderId="3" xfId="2" applyFont="1" applyFill="1" applyBorder="1" applyAlignment="1">
      <alignment horizontal="center"/>
    </xf>
    <xf numFmtId="164" fontId="41" fillId="0" borderId="3" xfId="2" applyFont="1" applyFill="1" applyBorder="1" applyAlignment="1">
      <alignment horizontal="center"/>
    </xf>
    <xf numFmtId="165" fontId="41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2" fillId="0" borderId="13" xfId="39" applyFont="1" applyFill="1" applyBorder="1" applyAlignment="1">
      <alignment horizontal="center"/>
    </xf>
    <xf numFmtId="165" fontId="42" fillId="0" borderId="13" xfId="4" applyNumberFormat="1" applyFont="1" applyFill="1" applyBorder="1" applyAlignment="1">
      <alignment horizontal="center"/>
    </xf>
    <xf numFmtId="14" fontId="43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4" fillId="0" borderId="13" xfId="0" applyFont="1" applyBorder="1" applyAlignment="1">
      <alignment horizontal="center"/>
    </xf>
    <xf numFmtId="164" fontId="36" fillId="0" borderId="13" xfId="2" applyFont="1" applyFill="1" applyBorder="1" applyAlignment="1">
      <alignment horizontal="center"/>
    </xf>
    <xf numFmtId="164" fontId="38" fillId="0" borderId="13" xfId="2" applyFont="1" applyFill="1" applyBorder="1" applyAlignment="1">
      <alignment horizontal="center"/>
    </xf>
    <xf numFmtId="165" fontId="38" fillId="0" borderId="13" xfId="4" applyNumberFormat="1" applyFont="1" applyFill="1" applyBorder="1" applyAlignment="1">
      <alignment horizontal="center"/>
    </xf>
    <xf numFmtId="0" fontId="45" fillId="0" borderId="17" xfId="0" applyFont="1" applyBorder="1" applyAlignment="1">
      <alignment horizontal="center"/>
    </xf>
    <xf numFmtId="0" fontId="46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4" fontId="41" fillId="0" borderId="17" xfId="2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5" fontId="41" fillId="0" borderId="17" xfId="4" applyNumberFormat="1" applyFont="1" applyFill="1" applyBorder="1" applyAlignment="1">
      <alignment horizontal="center"/>
    </xf>
    <xf numFmtId="0" fontId="47" fillId="0" borderId="3" xfId="0" applyFont="1" applyBorder="1" applyAlignment="1">
      <alignment horizontal="center"/>
    </xf>
    <xf numFmtId="164" fontId="47" fillId="0" borderId="3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14" fontId="0" fillId="0" borderId="0" xfId="0" applyNumberFormat="1"/>
    <xf numFmtId="2" fontId="0" fillId="0" borderId="0" xfId="0" applyNumberFormat="1"/>
    <xf numFmtId="0" fontId="14" fillId="7" borderId="17" xfId="0" applyFont="1" applyFill="1" applyBorder="1" applyAlignment="1">
      <alignment horizontal="center"/>
    </xf>
    <xf numFmtId="165" fontId="13" fillId="5" borderId="17" xfId="0" applyNumberFormat="1" applyFont="1" applyFill="1" applyBorder="1" applyAlignment="1">
      <alignment horizontal="center"/>
    </xf>
    <xf numFmtId="164" fontId="47" fillId="0" borderId="17" xfId="2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8" totalsRowShown="0" headerRowDxfId="1">
  <autoFilter ref="A1:B8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I18"/>
  <sheetViews>
    <sheetView workbookViewId="0">
      <selection activeCell="F8" sqref="F8"/>
    </sheetView>
  </sheetViews>
  <sheetFormatPr defaultColWidth="21.28515625" defaultRowHeight="12.75" x14ac:dyDescent="0.2"/>
  <cols>
    <col min="2" max="2" width="22.7109375" customWidth="1"/>
  </cols>
  <sheetData>
    <row r="2" spans="1:9" ht="15" x14ac:dyDescent="0.2">
      <c r="A2" s="19" t="s">
        <v>0</v>
      </c>
      <c r="B2" s="81">
        <v>0</v>
      </c>
    </row>
    <row r="3" spans="1:9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6489.19</v>
      </c>
    </row>
    <row r="4" spans="1:9" ht="15" x14ac:dyDescent="0.25">
      <c r="A4" s="23" t="s">
        <v>2</v>
      </c>
      <c r="B4" s="24" t="e">
        <f ca="1">B14</f>
        <v>#VALUE!</v>
      </c>
    </row>
    <row r="5" spans="1:9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</row>
    <row r="6" spans="1:9" ht="15.75" x14ac:dyDescent="0.25">
      <c r="A6" s="28" t="s">
        <v>4</v>
      </c>
      <c r="B6" s="29" t="e">
        <f ca="1">SUM(B4:B5)</f>
        <v>#VALUE!</v>
      </c>
      <c r="D6" s="109" t="s">
        <v>134</v>
      </c>
      <c r="E6" s="109" t="s">
        <v>135</v>
      </c>
      <c r="F6" s="109" t="s">
        <v>136</v>
      </c>
    </row>
    <row r="7" spans="1:9" ht="15" x14ac:dyDescent="0.25">
      <c r="A7" s="2"/>
      <c r="B7" s="2"/>
      <c r="D7" s="110">
        <v>35000</v>
      </c>
      <c r="E7" s="110">
        <f>D7-B3</f>
        <v>28510.81</v>
      </c>
      <c r="F7" s="110">
        <f>E7/9</f>
        <v>3167.867777777778</v>
      </c>
    </row>
    <row r="8" spans="1:9" ht="15" x14ac:dyDescent="0.2">
      <c r="A8" s="112" t="s">
        <v>5</v>
      </c>
      <c r="B8" s="112"/>
      <c r="H8" s="107"/>
      <c r="I8" s="108"/>
    </row>
    <row r="9" spans="1:9" ht="15" x14ac:dyDescent="0.25">
      <c r="A9" s="30" t="s">
        <v>6</v>
      </c>
      <c r="B9" s="24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210</v>
      </c>
    </row>
    <row r="10" spans="1:9" ht="15" x14ac:dyDescent="0.25">
      <c r="A10" s="30" t="s">
        <v>7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1003.38</v>
      </c>
    </row>
    <row r="11" spans="1:9" ht="15" x14ac:dyDescent="0.25">
      <c r="A11" s="30" t="s">
        <v>8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3039.99</v>
      </c>
    </row>
    <row r="12" spans="1:9" ht="15" x14ac:dyDescent="0.25">
      <c r="A12" s="30" t="s">
        <v>8</v>
      </c>
      <c r="B12" s="24">
        <f ca="1">SUM('01:31'!C13)</f>
        <v>3039.99</v>
      </c>
    </row>
    <row r="13" spans="1:9" ht="15" x14ac:dyDescent="0.25">
      <c r="A13" s="30" t="s">
        <v>9</v>
      </c>
      <c r="B13" s="24" t="e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#VALUE!</v>
      </c>
    </row>
    <row r="14" spans="1:9" ht="15.75" x14ac:dyDescent="0.25">
      <c r="A14" s="28" t="s">
        <v>10</v>
      </c>
      <c r="B14" s="82" t="e">
        <f ca="1">SUM(B9:B13)</f>
        <v>#VALUE!</v>
      </c>
    </row>
    <row r="15" spans="1:9" ht="15" x14ac:dyDescent="0.25">
      <c r="A15" s="2"/>
      <c r="B15" s="2"/>
    </row>
    <row r="16" spans="1:9" ht="15" x14ac:dyDescent="0.2">
      <c r="A16" s="112" t="s">
        <v>11</v>
      </c>
      <c r="B16" s="112"/>
    </row>
    <row r="17" spans="1:2" ht="15" x14ac:dyDescent="0.25">
      <c r="A17" s="30">
        <f>COUNT(#REF!)</f>
        <v>0</v>
      </c>
      <c r="B17" s="24">
        <f>SUM('01'!C18,'02'!C18,'03'!C18,'04'!C18,'05'!C18,'06'!C18,'07'!C18,'08'!C18,'09'!C18,'10'!C18,'11'!C18,'12'!C18,'13'!C18,'14'!C18,'15'!C18,'16'!C18,'17'!C18,'18'!C18,'19'!C18,'20'!C18,'21'!C18,'22'!C18,'23'!C18,'24'!C18,'25'!C18,'26'!C18,'27'!C18,'28'!C18,'29'!C18,'30'!C18,'31'!C18)</f>
        <v>3350</v>
      </c>
    </row>
    <row r="18" spans="1:2" ht="15.75" x14ac:dyDescent="0.25">
      <c r="A18" s="28" t="s">
        <v>10</v>
      </c>
      <c r="B18" s="82">
        <f>SUM(B17:B17)</f>
        <v>3350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B1" zoomScale="80" zoomScaleNormal="80" workbookViewId="0">
      <selection activeCell="B14" sqref="B14:C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v>45383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96.5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IF(vend1[[#This Row],[Nº Venda]]&gt;1,1,0)</f>
        <v>0</v>
      </c>
    </row>
    <row r="15" spans="2:18" ht="15.75" x14ac:dyDescent="0.25">
      <c r="B15" s="28" t="s">
        <v>10</v>
      </c>
      <c r="C15" s="32">
        <f>SUM(C11:C14)</f>
        <v>96.5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30">
        <f>COUNT(entr_carn31195[OS])</f>
        <v>0</v>
      </c>
      <c r="C18" s="31">
        <f>SUM(entr_carn31195[Valor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1830</v>
      </c>
      <c r="F35" s="25" t="s">
        <v>126</v>
      </c>
      <c r="G35" s="26" t="s">
        <v>9</v>
      </c>
      <c r="H35" s="8">
        <v>96.5</v>
      </c>
      <c r="I35" s="8" t="s">
        <v>59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D750A6A5-C201-4190-B207-F5C8AA22818D}">
          <x14:formula1>
            <xm:f>base!$A$2:$A$8</xm:f>
          </x14:formula1>
          <xm:sqref>G6:G22</xm:sqref>
        </x14:dataValidation>
        <x14:dataValidation type="list" allowBlank="1" showInputMessage="1" showErrorMessage="1" xr:uid="{01D25F35-F227-438E-85FA-444CACF98FBB}">
          <x14:formula1>
            <xm:f>base!$A$2:$A$5</xm:f>
          </x14:formula1>
          <xm:sqref>G26:G31 G35:G41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2" zoomScale="80" zoomScaleNormal="80" workbookViewId="0">
      <selection activeCell="L15" sqref="L15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9">
        <f>'01'!B1+1</f>
        <v>45384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9"/>
      <c r="F13" s="65"/>
      <c r="G13" s="100"/>
      <c r="H13" s="77"/>
      <c r="I13" s="77"/>
      <c r="J13" s="2"/>
      <c r="K13" s="114" t="s">
        <v>21</v>
      </c>
      <c r="L13" s="115"/>
      <c r="M13" s="116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9"/>
      <c r="F14" s="65"/>
      <c r="G14" s="100"/>
      <c r="H14" s="77"/>
      <c r="I14" s="77"/>
      <c r="J14" s="2"/>
      <c r="K14" s="14" t="s">
        <v>22</v>
      </c>
      <c r="L14" s="6" t="s">
        <v>23</v>
      </c>
      <c r="M14" s="15" t="s">
        <v>24</v>
      </c>
      <c r="R14" s="1">
        <f>IF(vend2[[#This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>
        <v>1944</v>
      </c>
      <c r="L15" s="9" t="s">
        <v>141</v>
      </c>
      <c r="M15" s="16" t="s">
        <v>25</v>
      </c>
      <c r="R15" s="1">
        <f>IF(vend2[[#This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30">
        <f>COUNT(entr_carn2[OS])</f>
        <v>0</v>
      </c>
      <c r="C18" s="31">
        <f>SUM(entr_carn2[Valor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21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21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  <c r="U34" s="1" t="s">
        <v>37</v>
      </c>
    </row>
    <row r="35" spans="5:21" ht="15.75" x14ac:dyDescent="0.25">
      <c r="E35" s="18"/>
      <c r="F35" s="25"/>
      <c r="G35" s="26"/>
      <c r="H35" s="8"/>
      <c r="I35" s="8"/>
      <c r="K35" s="25"/>
      <c r="L35" s="41"/>
      <c r="M35" s="16"/>
    </row>
    <row r="36" spans="5:21" ht="15.75" x14ac:dyDescent="0.25">
      <c r="E36" s="18"/>
      <c r="F36" s="25"/>
      <c r="G36" s="26"/>
      <c r="H36" s="8"/>
      <c r="I36" s="8"/>
      <c r="K36" s="25"/>
      <c r="L36" s="41"/>
      <c r="M36" s="16"/>
    </row>
    <row r="37" spans="5:21" ht="15.75" x14ac:dyDescent="0.25">
      <c r="E37" s="18"/>
      <c r="F37" s="25"/>
      <c r="G37" s="26"/>
      <c r="H37" s="8"/>
      <c r="I37" s="8"/>
      <c r="K37" s="25"/>
      <c r="L37" s="41"/>
      <c r="M37" s="16"/>
    </row>
    <row r="38" spans="5:21" ht="15.75" x14ac:dyDescent="0.25">
      <c r="E38" s="18"/>
      <c r="F38" s="25"/>
      <c r="G38" s="26"/>
      <c r="H38" s="8"/>
      <c r="I38" s="8"/>
      <c r="K38" s="25"/>
      <c r="L38" s="41"/>
      <c r="M38" s="16"/>
    </row>
    <row r="39" spans="5:21" ht="15.75" x14ac:dyDescent="0.25">
      <c r="E39" s="18"/>
      <c r="F39" s="39"/>
      <c r="G39" s="26"/>
      <c r="H39" s="8"/>
      <c r="I39" s="8"/>
      <c r="K39" s="25"/>
      <c r="L39" s="41"/>
      <c r="M39" s="16"/>
    </row>
    <row r="40" spans="5:21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21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7E95BB8A-1768-4CAA-AEF8-5923B3598C9D}">
          <x14:formula1>
            <xm:f>base!$A$2:$A$5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base!$A$2:$A$8</xm:f>
          </x14:formula1>
          <xm:sqref>G6:G22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80" zoomScaleNormal="80" workbookViewId="0">
      <selection activeCell="B14" sqref="B14:C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'02'!B1+1</f>
        <v>45385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83.39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IF(vend3[[#This Row],[Nº Venda]]&gt;1,1,0)</f>
        <v>0</v>
      </c>
    </row>
    <row r="15" spans="2:18" ht="15.75" x14ac:dyDescent="0.25">
      <c r="B15" s="28" t="s">
        <v>10</v>
      </c>
      <c r="C15" s="32">
        <f>SUM(C11:C14)</f>
        <v>83.39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30">
        <f>COUNT(entr_carn3[OS])</f>
        <v>0</v>
      </c>
      <c r="C18" s="31">
        <f>SUM(entr_carn3[Valor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1724</v>
      </c>
      <c r="F35" s="25" t="s">
        <v>127</v>
      </c>
      <c r="G35" s="26" t="s">
        <v>7</v>
      </c>
      <c r="H35" s="8">
        <v>83.39</v>
      </c>
      <c r="I35" s="8" t="s">
        <v>59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627AE46E-77AF-4B05-BD74-FF72E5E2EAE3}">
          <x14:formula1>
            <xm:f>base!$A$2:$A$8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base!$A$2:$A$5</xm:f>
          </x14:formula1>
          <xm:sqref>G26:G31 G35:G41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80" zoomScaleNormal="80" workbookViewId="0">
      <selection activeCell="B14" sqref="B14:C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'03'!B1+1</f>
        <v>45386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2378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1335</v>
      </c>
      <c r="D6" s="2"/>
      <c r="E6" s="18">
        <v>1954</v>
      </c>
      <c r="F6" s="25" t="s">
        <v>128</v>
      </c>
      <c r="G6" s="46" t="s">
        <v>8</v>
      </c>
      <c r="H6" s="8">
        <v>1330</v>
      </c>
      <c r="I6" s="8">
        <v>1330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1955</v>
      </c>
      <c r="F7" s="25" t="s">
        <v>129</v>
      </c>
      <c r="G7" s="46" t="s">
        <v>6</v>
      </c>
      <c r="H7" s="8">
        <v>1048</v>
      </c>
      <c r="I7" s="8">
        <v>5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20</v>
      </c>
      <c r="C8" s="29">
        <f>SUM(C6:C7)</f>
        <v>1335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1330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IF(vend4[[#This Row],[Nº Venda]]&gt;1,1,0)</f>
        <v>0</v>
      </c>
    </row>
    <row r="15" spans="2:18" ht="18.75" x14ac:dyDescent="0.4">
      <c r="B15" s="28" t="s">
        <v>10</v>
      </c>
      <c r="C15" s="32">
        <f>SUM(C11:C14)</f>
        <v>1335</v>
      </c>
      <c r="D15" s="2"/>
      <c r="E15" s="18"/>
      <c r="F15" s="25"/>
      <c r="G15" s="26"/>
      <c r="H15" s="8"/>
      <c r="I15" s="8"/>
      <c r="J15" s="2"/>
      <c r="K15" s="60"/>
      <c r="L15" s="61"/>
      <c r="M15" s="62"/>
      <c r="R15" s="1">
        <f>IF(vend4[[#This Row],[Nº Venda]]&gt;1,1,0)</f>
        <v>0</v>
      </c>
    </row>
    <row r="16" spans="2:18" ht="19.5" x14ac:dyDescent="0.4">
      <c r="B16" s="2"/>
      <c r="C16" s="2"/>
      <c r="D16" s="2"/>
      <c r="E16" s="18"/>
      <c r="F16" s="25"/>
      <c r="G16" s="26"/>
      <c r="H16" s="8"/>
      <c r="I16" s="8"/>
      <c r="J16" s="2"/>
      <c r="K16" s="63"/>
      <c r="L16" s="60"/>
      <c r="M16" s="62"/>
      <c r="R16" s="1">
        <f>IF(vend4[[#This Row],[Nº Venda]]&gt;1,1,0)</f>
        <v>0</v>
      </c>
    </row>
    <row r="17" spans="2:18" ht="18.75" x14ac:dyDescent="0.4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60"/>
      <c r="L17" s="61"/>
      <c r="M17" s="62"/>
      <c r="R17" s="1">
        <f>IF(vend4[[#This Row],[Nº Venda]]&gt;1,1,0)</f>
        <v>0</v>
      </c>
    </row>
    <row r="18" spans="2:18" ht="15.75" x14ac:dyDescent="0.25">
      <c r="B18" s="30">
        <f>COUNT(entr_carn4[OS])</f>
        <v>0</v>
      </c>
      <c r="C18" s="31">
        <f>SUM(entr_carn4[Valor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8" t="s">
        <v>26</v>
      </c>
      <c r="C21" s="32">
        <f>C5</f>
        <v>2378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A86F74FE-C589-48B3-8098-7D63287AC7AD}">
          <x14:formula1>
            <xm:f>base!$A$2:$A$5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base!$A$2:$A$8</xm:f>
          </x14:formula1>
          <xm:sqref>G6:G22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80" zoomScaleNormal="8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9">
        <f>'04'!B1+1</f>
        <v>45387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117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IF(vend5[[#This Row],[Nº Venda]]&gt;1,1,0)</f>
        <v>0</v>
      </c>
    </row>
    <row r="15" spans="2:18" ht="15.75" x14ac:dyDescent="0.25">
      <c r="B15" s="28" t="s">
        <v>10</v>
      </c>
      <c r="C15" s="32">
        <f>SUM(C11:C14)</f>
        <v>117</v>
      </c>
      <c r="D15" s="2"/>
      <c r="E15" s="18"/>
      <c r="F15" s="25"/>
      <c r="G15" s="26"/>
      <c r="H15" s="8"/>
      <c r="I15" s="8"/>
      <c r="J15" s="2"/>
      <c r="K15" s="25"/>
      <c r="L15" s="9"/>
      <c r="M15" s="68"/>
      <c r="N15" s="16"/>
      <c r="R15" s="1">
        <f>IF(vend5[[#This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67"/>
      <c r="N16" s="16"/>
      <c r="R16" s="1">
        <f>IF(vend5[[#This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30">
        <f>COUNT(entr_carn5[OS])</f>
        <v>0</v>
      </c>
      <c r="C18" s="31">
        <f>SUM(entr_carn5[Valor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1564</v>
      </c>
      <c r="F35" s="25" t="s">
        <v>131</v>
      </c>
      <c r="G35" s="26" t="s">
        <v>9</v>
      </c>
      <c r="H35" s="8">
        <v>67</v>
      </c>
      <c r="I35" s="8" t="s">
        <v>91</v>
      </c>
      <c r="K35" s="25"/>
      <c r="L35" s="41"/>
      <c r="M35" s="16"/>
    </row>
    <row r="36" spans="5:18" ht="15.75" x14ac:dyDescent="0.25">
      <c r="E36" s="18">
        <v>1887</v>
      </c>
      <c r="F36" s="25" t="s">
        <v>130</v>
      </c>
      <c r="G36" s="26" t="s">
        <v>9</v>
      </c>
      <c r="H36" s="8">
        <v>50</v>
      </c>
      <c r="I36" s="8" t="s">
        <v>53</v>
      </c>
      <c r="K36" s="25"/>
      <c r="L36" s="41"/>
      <c r="M36" s="16"/>
    </row>
    <row r="37" spans="5:18" ht="15.75" x14ac:dyDescent="0.25">
      <c r="E37" s="96"/>
      <c r="F37" s="95"/>
      <c r="G37" s="97"/>
      <c r="H37" s="98"/>
      <c r="I37" s="9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0B84582F-523D-44A4-9068-CEA44BF623CE}">
          <x14:formula1>
            <xm:f>base!$A$2:$A$8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base!$A$2:$A$5</xm:f>
          </x14:formula1>
          <xm:sqref>G26:G31 G35:G41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zoomScale="80" zoomScaleNormal="80" workbookViewId="0">
      <selection activeCell="L15" sqref="L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'05'!B1+1</f>
        <v>45388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59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67.5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IF(vend[[#This Row],[Nº Venda]]&gt;1,1,0)</f>
        <v>0</v>
      </c>
    </row>
    <row r="15" spans="2:18" ht="15.75" x14ac:dyDescent="0.25">
      <c r="B15" s="28" t="s">
        <v>10</v>
      </c>
      <c r="C15" s="32">
        <f>SUM(C11:C14)</f>
        <v>67.5</v>
      </c>
      <c r="D15" s="2"/>
      <c r="E15" s="18"/>
      <c r="F15" s="25"/>
      <c r="G15" s="26"/>
      <c r="H15" s="8"/>
      <c r="I15" s="8"/>
      <c r="J15" s="2"/>
      <c r="K15" s="18">
        <v>1945</v>
      </c>
      <c r="L15" s="9" t="s">
        <v>141</v>
      </c>
      <c r="M15" s="16" t="s">
        <v>25</v>
      </c>
      <c r="R15" s="1">
        <f>IF(vend[[#This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30">
        <f>COUNT(entr_carn6[OS])</f>
        <v>0</v>
      </c>
      <c r="C18" s="31">
        <f>SUM(entr_carn6[Valor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1630</v>
      </c>
      <c r="F35" s="25" t="s">
        <v>132</v>
      </c>
      <c r="G35" s="26" t="s">
        <v>9</v>
      </c>
      <c r="H35" s="8">
        <v>67.5</v>
      </c>
      <c r="I35" s="8" t="s">
        <v>80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BC348BBC-F96F-469C-BB6E-1E38A0DB31CA}">
          <x14:formula1>
            <xm:f>base!$A$2:$A$5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base!$A$2:$A$8</xm:f>
          </x14:formula1>
          <xm:sqref>G6:G22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zoomScale="80" zoomScaleNormal="80" workbookViewId="0">
      <selection activeCell="B14" sqref="B14:C14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9">
        <f>'06'!B1+1</f>
        <v>45389</v>
      </c>
    </row>
    <row r="2" spans="2:21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  <c r="U4" s="1">
        <v>0</v>
      </c>
    </row>
    <row r="5" spans="2:21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1" ht="15.75" x14ac:dyDescent="0.25">
      <c r="B6" s="23" t="s">
        <v>2</v>
      </c>
      <c r="C6" s="24">
        <f>SUM(I6:I41)</f>
        <v>0</v>
      </c>
      <c r="D6" s="2"/>
      <c r="E6" s="18"/>
      <c r="F6" s="87"/>
      <c r="G6" s="87"/>
      <c r="H6" s="88"/>
      <c r="I6" s="88"/>
      <c r="J6" s="2"/>
      <c r="K6" s="25"/>
      <c r="L6" s="9"/>
      <c r="M6" s="16"/>
      <c r="R6" s="1">
        <f>IF(vend7[[#This Row],[Nº Venda]]&gt;1,1,0)</f>
        <v>0</v>
      </c>
    </row>
    <row r="7" spans="2:21" ht="15.75" x14ac:dyDescent="0.25">
      <c r="B7" s="23" t="s">
        <v>3</v>
      </c>
      <c r="C7" s="24">
        <f>SUM(M6:M11)</f>
        <v>0</v>
      </c>
      <c r="D7" s="2"/>
      <c r="E7" s="18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21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21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21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IF(vend7[[#This Row],[Nº Venda]]&gt;1,1,0)</f>
        <v>0</v>
      </c>
    </row>
    <row r="12" spans="2:21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IF(vend7[[#This Row],[Nº Venda]]&gt;1,1,0)</f>
        <v>0</v>
      </c>
    </row>
    <row r="14" spans="2:21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IF(vend7[[#This Row],[Nº Venda]]&gt;1,1,0)</f>
        <v>0</v>
      </c>
    </row>
    <row r="15" spans="2:21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49"/>
      <c r="L15" s="50"/>
      <c r="M15" s="51"/>
      <c r="R15" s="1">
        <f>IF(vend7[[#This Row],[Nº Venda]]&gt;1,1,0)</f>
        <v>0</v>
      </c>
    </row>
    <row r="16" spans="2:21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30">
        <f>COUNT(entr_carn7[OS])</f>
        <v>0</v>
      </c>
      <c r="C18" s="31">
        <f>SUM(entr_carn7[Valor Total])</f>
        <v>0</v>
      </c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8"/>
      <c r="F26" s="64"/>
      <c r="G26" s="79"/>
      <c r="H26" s="80"/>
      <c r="I26" s="80"/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7:C17"/>
    <mergeCell ref="B2:M2"/>
    <mergeCell ref="E4:I4"/>
    <mergeCell ref="K4:M4"/>
    <mergeCell ref="B10:C10"/>
    <mergeCell ref="E24:I24"/>
    <mergeCell ref="K13:M13"/>
  </mergeCells>
  <dataValidations disablePrompts="1"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00000000-0002-0000-0300-000000000000}">
          <x14:formula1>
            <xm:f>base!$A$2:$A$8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base!$A$2:$A$5</xm:f>
          </x14:formula1>
          <xm:sqref>G26:G31 G35:G41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zoomScale="80" zoomScaleNormal="80" workbookViewId="0">
      <selection activeCell="B14" sqref="B14:C14"/>
    </sheetView>
  </sheetViews>
  <sheetFormatPr defaultColWidth="9.140625" defaultRowHeight="12.75" x14ac:dyDescent="0.2"/>
  <cols>
    <col min="1" max="1" width="1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2" width="22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9">
        <f>'07'!B1+1</f>
        <v>45390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1223.2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10</v>
      </c>
      <c r="D6" s="2"/>
      <c r="E6" s="90">
        <v>1956</v>
      </c>
      <c r="F6" s="8" t="s">
        <v>133</v>
      </c>
      <c r="G6" s="8" t="s">
        <v>50</v>
      </c>
      <c r="H6" s="8" t="s">
        <v>40</v>
      </c>
      <c r="I6" s="8">
        <v>0</v>
      </c>
      <c r="J6" s="2"/>
      <c r="K6" s="25"/>
      <c r="L6" s="9"/>
      <c r="M6" s="16"/>
      <c r="R6" s="1">
        <f>IF(vend8[[#This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0">
        <v>1957</v>
      </c>
      <c r="F7" s="8" t="s">
        <v>130</v>
      </c>
      <c r="G7" s="8" t="s">
        <v>9</v>
      </c>
      <c r="H7" s="8">
        <v>1223.2</v>
      </c>
      <c r="I7" s="8">
        <v>10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20</v>
      </c>
      <c r="C8" s="29">
        <f>SUM(C6:C7)</f>
        <v>10</v>
      </c>
      <c r="D8" s="2"/>
      <c r="E8" s="90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90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86">
        <f>(SUMIF($G$2:$G$31,B11,$I$2:$I$31))+(SUMIF($G$35:$G$42,B11,$H$35:$H$42))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86">
        <f>(SUMIF($G$2:$G$31,B12,$I$2:$I$31))+(SUMIF($G$35:$G$42,B12,$H$35:$H$42))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86">
        <f>(SUMIF($G$2:$G$31,B13,$I$2:$I$31))+(SUMIF($G$35:$G$42,B13,$H$35:$H$42))</f>
        <v>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IF(vend8[[#This Row],[Nº Venda]]&gt;1,1,0)</f>
        <v>0</v>
      </c>
    </row>
    <row r="14" spans="2:18" ht="15.75" x14ac:dyDescent="0.25">
      <c r="B14" s="30" t="s">
        <v>9</v>
      </c>
      <c r="C14" s="86">
        <f>(SUMIF($G$2:$G$31,B14,$I$2:$I$31))+(SUMIF($G$35:$G$42,B14,$H$35:$H$42))</f>
        <v>10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IF(vend8[[#This Row],[Nº Venda]]&gt;1,1,0)</f>
        <v>0</v>
      </c>
    </row>
    <row r="15" spans="2:18" ht="15.75" x14ac:dyDescent="0.25">
      <c r="B15" s="28" t="s">
        <v>10</v>
      </c>
      <c r="C15" s="32">
        <f>SUM(C11:C14)</f>
        <v>10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30">
        <f>COUNT(entr_carn8[OS])</f>
        <v>0</v>
      </c>
      <c r="C18" s="31">
        <f>SUM(entr_carn8[Valor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8" t="s">
        <v>26</v>
      </c>
      <c r="C21" s="32">
        <f>C5</f>
        <v>1223.2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91"/>
      <c r="F26" s="92"/>
      <c r="G26" s="93"/>
      <c r="H26" s="94"/>
      <c r="I26" s="94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5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5:18" ht="15.75" x14ac:dyDescent="0.25">
      <c r="E42" s="35"/>
      <c r="F42" s="83"/>
      <c r="G42" s="84"/>
      <c r="H42" s="85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6DEDD930-861F-47CC-BD5B-46BF4A7AEB54}">
          <x14:formula1>
            <xm:f>base!$A$2:$A$5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base!$A$2:$A$8</xm:f>
          </x14:formula1>
          <xm:sqref>G6:G22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zoomScale="80" zoomScaleNormal="80" workbookViewId="0">
      <selection activeCell="B14" sqref="B14:C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2" width="22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8">
        <f>'08'!B1+1</f>
        <v>45391</v>
      </c>
    </row>
    <row r="2" spans="2:22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22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2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22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22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22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IF(vend9[[#This Row],[Nº Venda]]&gt;1,1,0)</f>
        <v>0</v>
      </c>
    </row>
    <row r="12" spans="2:22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IF(vend9[[#This Row],[Nº Venda]]&gt;1,1,0)</f>
        <v>0</v>
      </c>
    </row>
    <row r="14" spans="2:22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IF(vend9[[#This Row],[Nº Venda]]&gt;1,1,0)</f>
        <v>0</v>
      </c>
    </row>
    <row r="15" spans="2:22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22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30">
        <f>COUNT(entr_carn9[OS])</f>
        <v>0</v>
      </c>
      <c r="C18" s="31">
        <f>SUM(entr_carn9[Valor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"/>
      <c r="C20" s="2"/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22AFCA31-3D3D-4524-8B45-1A8AA92BC219}">
          <x14:formula1>
            <xm:f>base!$A$2:$A$8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base!$A$2:$A$5</xm:f>
          </x14:formula1>
          <xm:sqref>G26:G31 G35:G41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80" zoomScaleNormal="80" workbookViewId="0">
      <selection activeCell="B14" sqref="B14:C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2" width="22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'09'!B1+1</f>
        <v>45392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SUMIF(I6:I32,"&gt;0",H6:H32)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SUM(I6:I42)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(SUMIF($G$2:$G$32,B11,$I$2:$I$32))+(SUMIF($G$36:$G$42,B11,$H$36:$H$42))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IF(vend10[[#This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67"/>
      <c r="R16" s="1">
        <f>IF(vend10[[#This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30">
        <f>COUNT(entr_carn10[OS])</f>
        <v>0</v>
      </c>
      <c r="C18" s="31">
        <f>SUM(entr_carn10[Valor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5:18" ht="15" x14ac:dyDescent="0.25">
      <c r="E33" s="33"/>
      <c r="K33" s="114" t="s">
        <v>11</v>
      </c>
      <c r="L33" s="115"/>
      <c r="M33" s="116"/>
    </row>
    <row r="34" spans="5:18" ht="15" x14ac:dyDescent="0.25">
      <c r="E34" s="113" t="s">
        <v>28</v>
      </c>
      <c r="F34" s="113"/>
      <c r="G34" s="113"/>
      <c r="H34" s="113"/>
      <c r="I34" s="113"/>
      <c r="K34" s="14" t="s">
        <v>22</v>
      </c>
      <c r="L34" s="6" t="s">
        <v>31</v>
      </c>
      <c r="M34" s="15" t="s">
        <v>32</v>
      </c>
    </row>
    <row r="35" spans="5:18" ht="15" x14ac:dyDescent="0.25">
      <c r="E35" s="10" t="s">
        <v>22</v>
      </c>
      <c r="F35" s="10" t="s">
        <v>14</v>
      </c>
      <c r="G35" s="11" t="s">
        <v>15</v>
      </c>
      <c r="H35" s="12" t="s">
        <v>29</v>
      </c>
      <c r="I35" s="13" t="s">
        <v>30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5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5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B80BA27C-92FA-4E44-B45B-142D61BB934F}">
          <x14:formula1>
            <xm:f>base!$A$2:$A$5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base!$A$2:$A$8</xm:f>
          </x14:formula1>
          <xm:sqref>G6:G22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2" width="22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9">
        <f>'10'!B1+1</f>
        <v>45393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800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400</v>
      </c>
      <c r="D6" s="2"/>
      <c r="E6" s="18">
        <v>1958</v>
      </c>
      <c r="F6" s="25" t="s">
        <v>138</v>
      </c>
      <c r="G6" s="26" t="s">
        <v>50</v>
      </c>
      <c r="H6" s="8">
        <v>0</v>
      </c>
      <c r="I6" s="8">
        <v>0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1959</v>
      </c>
      <c r="F7" s="25" t="s">
        <v>139</v>
      </c>
      <c r="G7" s="26" t="s">
        <v>8</v>
      </c>
      <c r="H7" s="8">
        <v>200</v>
      </c>
      <c r="I7" s="8">
        <v>200</v>
      </c>
      <c r="J7" s="2"/>
      <c r="K7" s="25"/>
      <c r="L7" s="9"/>
      <c r="M7" s="16"/>
      <c r="R7" s="1">
        <f>IF(vend11[[#This Row],[Nº Venda]]&gt;1,1,0)</f>
        <v>1</v>
      </c>
    </row>
    <row r="8" spans="2:18" ht="15.75" x14ac:dyDescent="0.25">
      <c r="B8" s="28" t="s">
        <v>20</v>
      </c>
      <c r="C8" s="29">
        <f>SUM(C6:C7)</f>
        <v>400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 t="e">
        <f>IF(C15=0,0,1)</f>
        <v>#VALUE!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200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IF(vend11[[#This Row],[Nº Venda]]&gt;1,1,0)</f>
        <v>0</v>
      </c>
    </row>
    <row r="14" spans="2:18" ht="15.75" x14ac:dyDescent="0.25">
      <c r="B14" s="30" t="s">
        <v>155</v>
      </c>
      <c r="C14" s="31" t="e">
        <f t="shared" si="0"/>
        <v>#VALUE!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IF(vend11[[#This Row],[Nº Venda]]&gt;1,1,0)</f>
        <v>0</v>
      </c>
    </row>
    <row r="15" spans="2:18" ht="15.75" x14ac:dyDescent="0.25">
      <c r="B15" s="28" t="s">
        <v>10</v>
      </c>
      <c r="C15" s="32" t="e">
        <f>SUM(C11:C14)</f>
        <v>#VALUE!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30">
        <f>COUNT(entr_carn11[OS])</f>
        <v>0</v>
      </c>
      <c r="C18" s="31">
        <f>SUM(entr_carn11[Valor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8" t="s">
        <v>26</v>
      </c>
      <c r="C21" s="32">
        <f>C5</f>
        <v>800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1899</v>
      </c>
      <c r="F26" s="25" t="s">
        <v>137</v>
      </c>
      <c r="G26" s="46" t="s">
        <v>9</v>
      </c>
      <c r="H26" s="8">
        <v>600</v>
      </c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2C041720-F84D-4B31-8C64-E922AB78D0E6}">
          <x14:formula1>
            <xm:f>base!$A$2:$A$5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base!$A$2:$A$8</xm:f>
          </x14:formula1>
          <xm:sqref>G6:G22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3" zoomScale="80" zoomScaleNormal="80" workbookViewId="0">
      <selection activeCell="L15" sqref="L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2" width="22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'11'!B1+1</f>
        <v>45394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848.99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" x14ac:dyDescent="0.25">
      <c r="B6" s="23" t="s">
        <v>2</v>
      </c>
      <c r="C6" s="24">
        <f>SUM(I6:I41)</f>
        <v>5</v>
      </c>
      <c r="D6" s="2"/>
      <c r="E6" s="106">
        <v>1960</v>
      </c>
      <c r="F6" s="52" t="s">
        <v>140</v>
      </c>
      <c r="G6" s="52" t="s">
        <v>6</v>
      </c>
      <c r="H6" s="53">
        <v>848.99</v>
      </c>
      <c r="I6" s="53">
        <v>5</v>
      </c>
      <c r="J6" s="2"/>
      <c r="K6" s="25"/>
      <c r="L6" s="9"/>
      <c r="M6" s="16"/>
      <c r="R6" s="1">
        <f>IF(vend12[[#This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7">
        <v>1961</v>
      </c>
      <c r="F7" s="54" t="s">
        <v>143</v>
      </c>
      <c r="G7" s="54" t="s">
        <v>50</v>
      </c>
      <c r="H7" s="55">
        <v>89</v>
      </c>
      <c r="I7" s="55"/>
      <c r="J7" s="2"/>
      <c r="K7" s="25"/>
      <c r="L7" s="9"/>
      <c r="M7" s="16"/>
      <c r="R7" s="1">
        <f>IF(vend12[[#This Row],[Nº Venda]]&gt;1,1,0)</f>
        <v>1</v>
      </c>
    </row>
    <row r="8" spans="2:18" ht="15.75" x14ac:dyDescent="0.25">
      <c r="B8" s="28" t="s">
        <v>20</v>
      </c>
      <c r="C8" s="29">
        <f>SUM(C6:C7)</f>
        <v>5</v>
      </c>
      <c r="D8" s="2"/>
      <c r="E8" s="57"/>
      <c r="F8" s="54"/>
      <c r="G8" s="54"/>
      <c r="H8" s="55"/>
      <c r="I8" s="55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IF(vend12[[#This Row],[Nº Venda]]&gt;1,1,0)</f>
        <v>0</v>
      </c>
    </row>
    <row r="15" spans="2:18" ht="15.75" x14ac:dyDescent="0.25">
      <c r="B15" s="28" t="s">
        <v>10</v>
      </c>
      <c r="C15" s="32">
        <f>SUM(C11:C14)</f>
        <v>5</v>
      </c>
      <c r="D15" s="2"/>
      <c r="E15" s="18"/>
      <c r="F15" s="25"/>
      <c r="G15" s="26"/>
      <c r="H15" s="8"/>
      <c r="I15" s="8"/>
      <c r="J15" s="2"/>
      <c r="K15" s="25">
        <v>1932</v>
      </c>
      <c r="L15" s="9" t="s">
        <v>141</v>
      </c>
      <c r="M15" s="16" t="s">
        <v>25</v>
      </c>
      <c r="R15" s="1">
        <f>IF(vend12[[#This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30">
        <f>COUNT(entr_carn12[OS])</f>
        <v>0</v>
      </c>
      <c r="C18" s="31">
        <f>SUM(entr_carn12[Valor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8" t="s">
        <v>26</v>
      </c>
      <c r="C21" s="32">
        <f>C5</f>
        <v>848.99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56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76DAD829-EB77-41C4-8A8D-E5F987FD24DB}">
          <x14:formula1>
            <xm:f>base!$A$2:$A$5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base!$A$2:$A$8</xm:f>
          </x14:formula1>
          <xm:sqref>G6:G22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80" zoomScaleNormal="80" workbookViewId="0">
      <selection activeCell="L20" sqref="L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2" width="22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'12'!B1+1</f>
        <v>45395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600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20</v>
      </c>
      <c r="C8" s="29">
        <f>SUM(C6:C7)</f>
        <v>600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600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IF(vend13[[#This Row],[Nº Venda]]&gt;1,1,0)</f>
        <v>0</v>
      </c>
    </row>
    <row r="15" spans="2:18" ht="15.75" x14ac:dyDescent="0.25">
      <c r="B15" s="28" t="s">
        <v>10</v>
      </c>
      <c r="C15" s="32">
        <f>SUM(C11:C14)</f>
        <v>600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1953</v>
      </c>
      <c r="L16" s="9" t="s">
        <v>141</v>
      </c>
      <c r="M16" s="16" t="s">
        <v>25</v>
      </c>
      <c r="R16" s="1">
        <f>IF(vend13[[#This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30">
        <f>COUNT(entr_carn13[OS])</f>
        <v>0</v>
      </c>
      <c r="C18" s="31">
        <f>SUM(entr_carn13[Valor Total])</f>
        <v>0</v>
      </c>
      <c r="D18" s="2"/>
      <c r="E18" s="18"/>
      <c r="F18" s="25"/>
      <c r="G18" s="26"/>
      <c r="H18" s="8"/>
      <c r="I18" s="8"/>
      <c r="J18" s="2"/>
      <c r="K18" s="25">
        <v>1954</v>
      </c>
      <c r="L18" s="9" t="s">
        <v>141</v>
      </c>
      <c r="M18" s="16" t="s">
        <v>25</v>
      </c>
      <c r="R18" s="1">
        <f>IF(vend13[[#This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>
        <v>1952</v>
      </c>
      <c r="L19" s="9" t="s">
        <v>141</v>
      </c>
      <c r="M19" s="16" t="s">
        <v>25</v>
      </c>
      <c r="R19" s="1">
        <f>IF(vend13[[#This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>
        <v>1951</v>
      </c>
      <c r="L20" s="9" t="s">
        <v>141</v>
      </c>
      <c r="M20" s="16" t="s">
        <v>25</v>
      </c>
      <c r="R20" s="1">
        <f>IF(vend13[[#This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1953</v>
      </c>
      <c r="F26" s="25" t="s">
        <v>142</v>
      </c>
      <c r="G26" s="26" t="s">
        <v>8</v>
      </c>
      <c r="H26" s="8"/>
      <c r="I26" s="8">
        <v>600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245BDF35-8AB3-43D0-BD06-D449F65BEBB8}">
          <x14:formula1>
            <xm:f>base!$A$2:$A$8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base!$A$2:$A$5</xm:f>
          </x14:formula1>
          <xm:sqref>G26:G31 G35:G41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80" zoomScaleNormal="80" workbookViewId="0">
      <selection activeCell="B14" sqref="B14:C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2" width="22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'13'!B1+1</f>
        <v>45396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IF(vend14[[#This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30">
        <f>COUNT(entr_carn14[OS])</f>
        <v>0</v>
      </c>
      <c r="C18" s="31">
        <f>SUM(entr_carn14[Valor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6A6D97E3-5A16-4AA2-81E6-E08B3CD71B30}">
          <x14:formula1>
            <xm:f>base!$A$2:$A$8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base!$A$2:$A$5</xm:f>
          </x14:formula1>
          <xm:sqref>G26:G31 G35:G41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80" zoomScaleNormal="80" workbookViewId="0">
      <selection activeCell="L15" sqref="L15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2" width="22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9">
        <f>'14'!B1+1</f>
        <v>45397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1963</v>
      </c>
      <c r="F6" s="25" t="s">
        <v>147</v>
      </c>
      <c r="G6" s="46" t="s">
        <v>50</v>
      </c>
      <c r="H6" s="8" t="s">
        <v>40</v>
      </c>
      <c r="I6" s="8">
        <v>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1962</v>
      </c>
      <c r="F7" s="25" t="s">
        <v>148</v>
      </c>
      <c r="G7" s="46" t="s">
        <v>50</v>
      </c>
      <c r="H7" s="8" t="s">
        <v>40</v>
      </c>
      <c r="I7" s="8">
        <v>0</v>
      </c>
      <c r="J7" s="2"/>
      <c r="K7" s="25"/>
      <c r="L7" s="9"/>
      <c r="M7" s="16"/>
      <c r="R7" s="1">
        <f>IF(vend15[[#This Row],[Nº Venda]]&gt;1,1,0)</f>
        <v>1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IF(vend15[[#This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65">
        <v>1950</v>
      </c>
      <c r="L15" s="9" t="s">
        <v>141</v>
      </c>
      <c r="M15" s="74" t="s">
        <v>25</v>
      </c>
      <c r="R15" s="1">
        <f>IF(vend15[[#This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30">
        <f>COUNT(entr_carn15[OS])</f>
        <v>0</v>
      </c>
      <c r="C18" s="31">
        <f>SUM(entr_carn15[Valor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65"/>
      <c r="L19" s="73"/>
      <c r="M19" s="74"/>
      <c r="R19" s="1">
        <f>IF(vend15[[#This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D2E9574C-8978-4987-B70B-5E6645EF0D63}">
          <x14:formula1>
            <xm:f>base!$A$2:$A$8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base!$A$2:$A$5</xm:f>
          </x14:formula1>
          <xm:sqref>G26:G31 G35:G41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2" width="22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9">
        <f>'15'!B1+1</f>
        <v>45398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350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400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20</v>
      </c>
      <c r="C8" s="29">
        <f>SUM(C6:C7)</f>
        <v>400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>(SUMIF($G$2:$G$31,B14,$I$2:$I$31))+(SUMIF($G$35:$G$41,B14,$H$35:$H$41))</f>
        <v>475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IF(vend16[[#This Row],[Nº Venda]]&gt;1,1,0)</f>
        <v>0</v>
      </c>
    </row>
    <row r="15" spans="2:18" ht="15.75" x14ac:dyDescent="0.25">
      <c r="B15" s="28" t="s">
        <v>10</v>
      </c>
      <c r="C15" s="32">
        <f>SUM(C11:C14)</f>
        <v>475</v>
      </c>
      <c r="D15" s="2"/>
      <c r="E15" s="18"/>
      <c r="F15" s="25"/>
      <c r="G15" s="26"/>
      <c r="H15" s="8"/>
      <c r="I15" s="8"/>
      <c r="J15" s="2"/>
      <c r="K15" s="25">
        <v>1868</v>
      </c>
      <c r="L15" s="9" t="s">
        <v>153</v>
      </c>
      <c r="M15" s="16" t="s">
        <v>144</v>
      </c>
      <c r="R15" s="1">
        <f>IF(vend16[[#This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1875</v>
      </c>
      <c r="L16" s="9" t="s">
        <v>153</v>
      </c>
      <c r="M16" s="16" t="s">
        <v>144</v>
      </c>
      <c r="R16" s="1">
        <f>IF(vend16[[#This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65"/>
      <c r="L17" s="73"/>
      <c r="M17" s="74"/>
      <c r="R17" s="1">
        <f>IF(vend16[[#This Row],[Nº Venda]]&gt;1,1,0)</f>
        <v>0</v>
      </c>
    </row>
    <row r="18" spans="2:18" ht="15.75" x14ac:dyDescent="0.25">
      <c r="B18" s="30">
        <f>COUNT(entr_carn16[OS])</f>
        <v>1</v>
      </c>
      <c r="C18" s="31">
        <f>SUM(entr_carn16[Valor Total])</f>
        <v>3150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28" t="s">
        <v>10</v>
      </c>
      <c r="C19" s="32">
        <f>SUM(C18:C18)</f>
        <v>3150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8" t="s">
        <v>26</v>
      </c>
      <c r="C21" s="32">
        <f>C5</f>
        <v>350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1868</v>
      </c>
      <c r="F26" s="25" t="s">
        <v>145</v>
      </c>
      <c r="G26" s="46" t="s">
        <v>9</v>
      </c>
      <c r="H26" s="8">
        <v>175</v>
      </c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1875</v>
      </c>
      <c r="F27" s="25" t="s">
        <v>146</v>
      </c>
      <c r="G27" s="26" t="s">
        <v>9</v>
      </c>
      <c r="H27" s="8">
        <v>175</v>
      </c>
      <c r="I27" s="8">
        <v>200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11"/>
      <c r="F28" s="102"/>
      <c r="G28" s="101"/>
      <c r="H28" s="103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1635</v>
      </c>
      <c r="F35" s="25" t="s">
        <v>149</v>
      </c>
      <c r="G35" s="26" t="s">
        <v>9</v>
      </c>
      <c r="H35" s="8">
        <v>75</v>
      </c>
      <c r="I35" s="8" t="s">
        <v>99</v>
      </c>
      <c r="K35" s="25">
        <v>1868</v>
      </c>
      <c r="L35" s="41">
        <v>9</v>
      </c>
      <c r="M35" s="16">
        <v>3150</v>
      </c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93DBB679-1465-4AE3-9464-4632F880272C}">
          <x14:formula1>
            <xm:f>base!$A$2:$A$5</xm:f>
          </x14:formula1>
          <xm:sqref>G35:G41 G26:G27 G29:G31</xm:sqref>
        </x14:dataValidation>
        <x14:dataValidation type="list" allowBlank="1" showInputMessage="1" showErrorMessage="1" xr:uid="{AC1B8A61-46DA-47D7-8931-52D178371FB1}">
          <x14:formula1>
            <xm:f>base!$A$2:$A$8</xm:f>
          </x14:formula1>
          <xm:sqref>G6:G22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abSelected="1" zoomScale="80" zoomScaleNormal="80" workbookViewId="0">
      <selection activeCell="E4" sqref="E4:I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2" width="22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'16'!B1+1</f>
        <v>45399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199.99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>(SUMIF($G$2:$G$31,B13,$I$2:$I$31))+(SUMIF($G$35:$G$41,B13,$H$35:$H$41))</f>
        <v>410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IF(vend17[[#This Row],[Nº Venda]]&gt;1,1,0)</f>
        <v>0</v>
      </c>
    </row>
    <row r="15" spans="2:18" ht="15.75" x14ac:dyDescent="0.25">
      <c r="B15" s="28" t="s">
        <v>10</v>
      </c>
      <c r="C15" s="32">
        <f>SUM(C11:C14)</f>
        <v>809.99</v>
      </c>
      <c r="D15" s="2"/>
      <c r="E15" s="18"/>
      <c r="F15" s="25"/>
      <c r="G15" s="26"/>
      <c r="H15" s="8"/>
      <c r="I15" s="8"/>
      <c r="J15" s="2"/>
      <c r="K15" s="25">
        <v>1959</v>
      </c>
      <c r="L15" s="9" t="s">
        <v>153</v>
      </c>
      <c r="M15" s="16" t="s">
        <v>25</v>
      </c>
      <c r="R15" s="1">
        <f>IF(vend17[[#This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30">
        <f>COUNT(entr_carn17[OS])</f>
        <v>1</v>
      </c>
      <c r="C18" s="31">
        <f>SUM(entr_carn17[Valor Total])</f>
        <v>200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28" t="s">
        <v>10</v>
      </c>
      <c r="C19" s="32">
        <f>SUM(C18:C18)</f>
        <v>200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43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1610</v>
      </c>
      <c r="F35" s="25" t="s">
        <v>150</v>
      </c>
      <c r="G35" s="26" t="s">
        <v>8</v>
      </c>
      <c r="H35" s="8">
        <v>140</v>
      </c>
      <c r="I35" s="8" t="s">
        <v>98</v>
      </c>
      <c r="K35" s="25">
        <v>1940</v>
      </c>
      <c r="L35" s="41">
        <v>4</v>
      </c>
      <c r="M35" s="16">
        <v>200</v>
      </c>
    </row>
    <row r="36" spans="5:18" ht="15.75" x14ac:dyDescent="0.25">
      <c r="E36" s="18">
        <v>1610</v>
      </c>
      <c r="F36" s="25" t="s">
        <v>150</v>
      </c>
      <c r="G36" s="26" t="s">
        <v>8</v>
      </c>
      <c r="H36" s="8">
        <v>140</v>
      </c>
      <c r="I36" s="8" t="s">
        <v>99</v>
      </c>
      <c r="K36" s="25"/>
      <c r="L36" s="41"/>
      <c r="M36" s="16"/>
    </row>
    <row r="37" spans="5:18" ht="15.75" x14ac:dyDescent="0.25">
      <c r="E37" s="18">
        <v>1610</v>
      </c>
      <c r="F37" s="25" t="s">
        <v>150</v>
      </c>
      <c r="G37" s="26" t="s">
        <v>8</v>
      </c>
      <c r="H37" s="8">
        <v>80</v>
      </c>
      <c r="I37" s="8" t="s">
        <v>100</v>
      </c>
      <c r="K37" s="25"/>
      <c r="L37" s="41"/>
      <c r="M37" s="16"/>
    </row>
    <row r="38" spans="5:18" ht="15.75" x14ac:dyDescent="0.25">
      <c r="E38" s="18">
        <v>1610</v>
      </c>
      <c r="F38" s="25" t="s">
        <v>150</v>
      </c>
      <c r="G38" s="26" t="s">
        <v>6</v>
      </c>
      <c r="H38" s="8">
        <v>60</v>
      </c>
      <c r="I38" s="8" t="s">
        <v>100</v>
      </c>
      <c r="K38" s="25"/>
      <c r="L38" s="41"/>
      <c r="M38" s="16"/>
    </row>
    <row r="39" spans="5:18" ht="15.75" x14ac:dyDescent="0.25">
      <c r="E39" s="18">
        <v>1610</v>
      </c>
      <c r="F39" s="39" t="s">
        <v>150</v>
      </c>
      <c r="G39" s="26" t="s">
        <v>6</v>
      </c>
      <c r="H39" s="8">
        <v>140</v>
      </c>
      <c r="I39" s="8" t="s">
        <v>101</v>
      </c>
      <c r="K39" s="25"/>
      <c r="L39" s="41"/>
      <c r="M39" s="16"/>
    </row>
    <row r="40" spans="5:18" ht="15.75" x14ac:dyDescent="0.25">
      <c r="E40" s="35">
        <v>1940</v>
      </c>
      <c r="F40" s="36" t="s">
        <v>151</v>
      </c>
      <c r="G40" s="37" t="s">
        <v>8</v>
      </c>
      <c r="H40" s="17">
        <v>50</v>
      </c>
      <c r="I40" s="8" t="s">
        <v>52</v>
      </c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35">
        <v>1811</v>
      </c>
      <c r="F41" s="39" t="s">
        <v>152</v>
      </c>
      <c r="G41" s="26" t="s">
        <v>7</v>
      </c>
      <c r="H41" s="8">
        <v>199.99</v>
      </c>
      <c r="I41" s="8" t="s">
        <v>79</v>
      </c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51FDB922-3E57-4990-B691-641DA5F97512}">
          <x14:formula1>
            <xm:f>base!$A$2:$A$8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base!$A$2:$A$5</xm:f>
          </x14:formula1>
          <xm:sqref>G26:G31 G35:G41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80" zoomScaleNormal="80" workbookViewId="0">
      <selection activeCell="H38" sqref="H38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2" width="22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6">
        <f>'17'!B1+1</f>
        <v>45400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9"/>
      <c r="F6" s="65"/>
      <c r="G6" s="100"/>
      <c r="H6" s="77"/>
      <c r="I6" s="77"/>
      <c r="J6" s="2"/>
      <c r="K6" s="25"/>
      <c r="L6" s="71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75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IF(vend18[[#This Row],[Nº Venda]]&gt;1,1,0)</f>
        <v>0</v>
      </c>
    </row>
    <row r="15" spans="2:18" ht="15.75" x14ac:dyDescent="0.25">
      <c r="B15" s="28" t="s">
        <v>10</v>
      </c>
      <c r="C15" s="32">
        <f>SUM(C11:C14)</f>
        <v>75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30">
        <f>COUNT(entr_carn18[OS])</f>
        <v>0</v>
      </c>
      <c r="C18" s="31">
        <f>SUM(entr_carn18[Valor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69"/>
      <c r="F23" s="69"/>
      <c r="G23" s="69"/>
      <c r="H23" s="70"/>
      <c r="I23" s="70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1810</v>
      </c>
      <c r="F35" s="25" t="s">
        <v>154</v>
      </c>
      <c r="G35" s="26" t="s">
        <v>9</v>
      </c>
      <c r="H35" s="8">
        <v>75</v>
      </c>
      <c r="I35" s="8" t="s">
        <v>57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785A6D07-781D-4F76-AFED-B220484140B1}">
          <x14:formula1>
            <xm:f>base!$A$2:$A$5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base!$A$2:$A$8</xm:f>
          </x14:formula1>
          <xm:sqref>G6:G23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2" zoomScale="80" zoomScaleNormal="80" zoomScaleSheetLayoutView="70" workbookViewId="0">
      <selection activeCell="H28" sqref="H28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2" width="22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9">
        <f>'18'!B1+1</f>
        <v>45401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89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89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72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20</v>
      </c>
      <c r="C8" s="29">
        <f>SUM(C6:C7)</f>
        <v>89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99"/>
      <c r="F9" s="65"/>
      <c r="G9" s="100"/>
      <c r="H9" s="77"/>
      <c r="I9" s="77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89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IF(vend19[[#This Row],[Nº Venda]]&gt;1,1,0)</f>
        <v>0</v>
      </c>
    </row>
    <row r="15" spans="2:18" ht="15.75" x14ac:dyDescent="0.25">
      <c r="B15" s="28" t="s">
        <v>10</v>
      </c>
      <c r="C15" s="32">
        <f>SUM(C11:C14)</f>
        <v>89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22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22" ht="15.75" x14ac:dyDescent="0.25">
      <c r="B18" s="30">
        <f>COUNT(entr_carn19[OS])</f>
        <v>0</v>
      </c>
      <c r="C18" s="31">
        <f>SUM(entr_carn19[Valor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22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22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8" t="s">
        <v>26</v>
      </c>
      <c r="C21" s="32">
        <f>C5</f>
        <v>89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>
        <v>1961</v>
      </c>
      <c r="F26" s="39" t="s">
        <v>143</v>
      </c>
      <c r="G26" s="26" t="s">
        <v>9</v>
      </c>
      <c r="H26" s="8">
        <v>89</v>
      </c>
      <c r="I26" s="8">
        <v>89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 t="s">
        <v>157</v>
      </c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101"/>
      <c r="H29" s="26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E55B2DC7-1842-4C90-945B-7820B2C63E70}">
          <x14:formula1>
            <xm:f>base!$A$2:$A$5</xm:f>
          </x14:formula1>
          <xm:sqref>G35:G41 G30:G31 G26:G28 H29</xm:sqref>
        </x14:dataValidation>
        <x14:dataValidation type="list" allowBlank="1" showInputMessage="1" showErrorMessage="1" xr:uid="{E8E38C9D-005E-41B9-810F-BB230AC9AE3C}">
          <x14:formula1>
            <xm:f>base!$A$2:$A$8</xm:f>
          </x14:formula1>
          <xm:sqref>G6:G22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80" zoomScaleNormal="80" workbookViewId="0">
      <selection activeCell="B14" sqref="B14:C14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2" width="22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6">
        <f>'19'!B1+1</f>
        <v>45402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IF(vend20[[#This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65"/>
      <c r="L15" s="9"/>
      <c r="M15" s="16"/>
      <c r="R15" s="1">
        <f>IF(vend20[[#This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65"/>
      <c r="L16" s="73"/>
      <c r="M16" s="74"/>
      <c r="R16" s="1">
        <f>IF(vend20[[#This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30">
        <f>COUNT(entr_carn20[OS])</f>
        <v>0</v>
      </c>
      <c r="C18" s="31">
        <f>SUM(entr_carn20[Valor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74"/>
    </row>
    <row r="36" spans="5:18" ht="15.75" x14ac:dyDescent="0.25">
      <c r="E36" s="18"/>
      <c r="F36" s="25"/>
      <c r="G36" s="26"/>
      <c r="H36" s="8"/>
      <c r="I36" s="8"/>
      <c r="K36" s="65"/>
      <c r="L36" s="75"/>
      <c r="M36" s="74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2C4842A4-1C90-4E23-9C1F-C83AC9F81898}">
          <x14:formula1>
            <xm:f>base!$A$2:$A$5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base!$A$2:$A$8</xm:f>
          </x14:formula1>
          <xm:sqref>G6:G22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80" zoomScaleNormal="80" workbookViewId="0">
      <selection activeCell="B14" sqref="B14:C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2" width="22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'20'!B1+1</f>
        <v>45403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IF(vend21[[#This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30">
        <f>COUNT(entr_carn21[OS])</f>
        <v>0</v>
      </c>
      <c r="C18" s="31">
        <f>SUM(entr_carn21[Valor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112AC7CD-ADD6-4750-8A3B-76F63CB62447}">
          <x14:formula1>
            <xm:f>base!$A$2:$A$8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base!$A$2:$A$5</xm:f>
          </x14:formula1>
          <xm:sqref>G26:G31 G35:G41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80" zoomScaleNormal="80" workbookViewId="0">
      <selection activeCell="B14" sqref="B14:C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2" width="22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'21'!B1+1</f>
        <v>45404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IF(vend22[[#This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30">
        <f>COUNT(entr_carn22[OS])</f>
        <v>0</v>
      </c>
      <c r="C18" s="31">
        <f>SUM(entr_carn22[Valor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8A269FE1-C817-46B6-91D2-B2E7EC645BEF}">
          <x14:formula1>
            <xm:f>base!$A$2:$A$5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base!$A$2:$A$8</xm:f>
          </x14:formula1>
          <xm:sqref>G6:G22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2" zoomScale="80" zoomScaleNormal="80" workbookViewId="0">
      <selection activeCell="I38" sqref="I3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2" width="22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'22'!B1+1</f>
        <v>45405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86">
        <f>(SUMIF($G$2:$G$31,B11,$I$2:$I$31))+(SUMIF($G$35:$G$44,B11,$H$35:$H$44))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86">
        <f>(SUMIF($G$2:$G$31,B12,$I$2:$I$31))+(SUMIF($G$35:$G$44,B12,$H$35:$H$44))</f>
        <v>320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86">
        <f>(SUMIF($G$2:$G$31,B13,$I$2:$I$31))+(SUMIF($G$35:$G$44,B13,$H$35:$H$44))</f>
        <v>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IF(vend23[[#This Row],[Nº Venda]]&gt;1,1,0)</f>
        <v>0</v>
      </c>
    </row>
    <row r="14" spans="2:18" ht="15.75" x14ac:dyDescent="0.25">
      <c r="B14" s="30" t="s">
        <v>9</v>
      </c>
      <c r="C14" s="86">
        <f>(SUMIF($G$2:$G$31,B14,$I$2:$I$31))+(SUMIF($G$35:$G$44,B14,$H$35:$H$44))</f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IF(vend23[[#This Row],[Nº Venda]]&gt;1,1,0)</f>
        <v>0</v>
      </c>
    </row>
    <row r="15" spans="2:18" ht="15.75" x14ac:dyDescent="0.25">
      <c r="B15" s="28" t="s">
        <v>10</v>
      </c>
      <c r="C15" s="32">
        <f>SUM(C11:C14)</f>
        <v>320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30">
        <f>COUNT(entr_carn23[OS])</f>
        <v>0</v>
      </c>
      <c r="C18" s="31">
        <f>SUM(entr_carn23[Valor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1870</v>
      </c>
      <c r="F35" s="25" t="s">
        <v>158</v>
      </c>
      <c r="G35" s="26" t="s">
        <v>7</v>
      </c>
      <c r="H35" s="8">
        <v>270</v>
      </c>
      <c r="I35" s="8" t="s">
        <v>76</v>
      </c>
      <c r="K35" s="25"/>
      <c r="L35" s="41"/>
      <c r="M35" s="16"/>
    </row>
    <row r="36" spans="5:18" ht="15.75" x14ac:dyDescent="0.25">
      <c r="E36" s="18">
        <v>1870</v>
      </c>
      <c r="F36" s="25" t="s">
        <v>158</v>
      </c>
      <c r="G36" s="26" t="s">
        <v>7</v>
      </c>
      <c r="H36" s="103">
        <v>50</v>
      </c>
      <c r="I36" s="8" t="s">
        <v>76</v>
      </c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5:18" ht="15.75" x14ac:dyDescent="0.25">
      <c r="E42" s="104"/>
      <c r="F42" s="83"/>
      <c r="G42" s="84"/>
      <c r="H42" s="85"/>
      <c r="I42" s="17"/>
    </row>
    <row r="43" spans="5:18" ht="15.75" x14ac:dyDescent="0.25">
      <c r="E43" s="104"/>
      <c r="F43" s="102"/>
      <c r="G43" s="101"/>
      <c r="H43" s="103"/>
      <c r="I43" s="8"/>
    </row>
    <row r="44" spans="5:18" ht="15.75" x14ac:dyDescent="0.25">
      <c r="E44" s="105"/>
      <c r="F44" s="83"/>
      <c r="G44" s="84"/>
      <c r="H44" s="85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base!$A$2:$A$8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base!$A$2:$A$5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I37:I44 I35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80" zoomScaleNormal="80" workbookViewId="0">
      <selection activeCell="B14" sqref="B14:C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2" width="22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'23'!B1+1</f>
        <v>45406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IF(vend24[[#This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30">
        <f>COUNT(entr_carn24[OS])</f>
        <v>0</v>
      </c>
      <c r="C18" s="31">
        <f>SUM(entr_carn24[Valor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18A6F7EE-195C-4324-9E05-F5B94E183D0C}">
          <x14:formula1>
            <xm:f>base!$A$2:$A$8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base!$A$2:$A$5</xm:f>
          </x14:formula1>
          <xm:sqref>G26:G31 G35:G41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80" zoomScaleNormal="80" workbookViewId="0">
      <selection activeCell="B14" sqref="B14:C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2" width="22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'24'!B1+1</f>
        <v>45407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 ca="1">(SUMIF($G$2:$G$31,B11,$I$2:$I$31))+(SUMIF($G$35:$G$41,B11,$H$36:$H$41))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 ca="1">IF(C15=0,0,1)</f>
        <v>0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ca="1">(SUMIF($G$2:$G$31,B12,$I$2:$I$31))+(SUMIF($G$35:$G$41,B12,$H$36:$H$41))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ca="1">(SUMIF($G$2:$G$31,B13,$I$2:$I$31))+(SUMIF($G$35:$G$41,B13,$H$36:$H$41))</f>
        <v>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ca="1">(SUMIF($G$2:$G$31,B14,$I$2:$I$31))+(SUMIF($G$35:$G$41,B14,$H$36:$H$41))</f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IF(vend25[[#This Row],[Nº Venda]]&gt;1,1,0)</f>
        <v>0</v>
      </c>
    </row>
    <row r="15" spans="2:18" ht="15.75" x14ac:dyDescent="0.25">
      <c r="B15" s="28" t="s">
        <v>10</v>
      </c>
      <c r="C15" s="32">
        <f ca="1"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30">
        <f>COUNT(entr_carn25[OS])</f>
        <v>0</v>
      </c>
      <c r="C18" s="31">
        <f>SUM(entr_carn25[Valor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0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53CC645E-DE03-4B8F-AE0F-BD5DB3BEFCE4}">
          <x14:formula1>
            <xm:f>base!$A$2:$A$8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base!$A$2:$A$5</xm:f>
          </x14:formula1>
          <xm:sqref>G26:G31 G35:G41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80" zoomScaleNormal="80" workbookViewId="0">
      <selection activeCell="B14" sqref="B14:C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2" width="22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'25'!B1+1</f>
        <v>45408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IF(vend26[[#This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30">
        <f>COUNT(entr_carn26[OS])</f>
        <v>0</v>
      </c>
      <c r="C18" s="31">
        <f>SUM(entr_carn26[Valor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F25EF7E0-5BB3-4CF1-9B17-26FA036353B2}">
          <x14:formula1>
            <xm:f>base!$A$2:$A$5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base!$A$2:$A$8</xm:f>
          </x14:formula1>
          <xm:sqref>G6:G22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80" zoomScaleNormal="80" workbookViewId="0">
      <selection activeCell="H11" sqref="H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2" width="22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'26'!B1+1</f>
        <v>45409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800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800</v>
      </c>
      <c r="D6" s="2"/>
      <c r="E6" s="18">
        <v>1964</v>
      </c>
      <c r="F6" s="25" t="s">
        <v>156</v>
      </c>
      <c r="G6" s="26" t="s">
        <v>7</v>
      </c>
      <c r="H6" s="8">
        <v>800</v>
      </c>
      <c r="I6" s="8">
        <v>400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1964</v>
      </c>
      <c r="F7" s="25" t="s">
        <v>156</v>
      </c>
      <c r="G7" s="26" t="s">
        <v>8</v>
      </c>
      <c r="H7" s="8"/>
      <c r="I7" s="8">
        <v>400</v>
      </c>
      <c r="J7" s="2"/>
      <c r="K7" s="25"/>
      <c r="L7" s="9"/>
      <c r="M7" s="16"/>
      <c r="R7" s="1">
        <f>IF(vend27[[#This Row],[Nº Venda]]&gt;1,1,0)</f>
        <v>1</v>
      </c>
    </row>
    <row r="8" spans="2:18" ht="15.75" x14ac:dyDescent="0.25">
      <c r="B8" s="28" t="s">
        <v>20</v>
      </c>
      <c r="C8" s="29">
        <f>SUM(C6:C7)</f>
        <v>800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400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400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IF(vend27[[#This Row],[Nº Venda]]&gt;1,1,0)</f>
        <v>0</v>
      </c>
    </row>
    <row r="15" spans="2:18" ht="15.75" x14ac:dyDescent="0.25">
      <c r="B15" s="28" t="s">
        <v>10</v>
      </c>
      <c r="C15" s="32">
        <f>SUM(C11:C14)</f>
        <v>800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IF(vend27[[#This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30">
        <f>COUNT(entr_carn27[OS])</f>
        <v>0</v>
      </c>
      <c r="C18" s="31">
        <f>SUM(entr_carn27[Valor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8" t="s">
        <v>26</v>
      </c>
      <c r="C21" s="32">
        <f>C5</f>
        <v>800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C98E5996-9497-4006-B937-DD7511465A6E}">
          <x14:formula1>
            <xm:f>base!$A$2:$A$5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base!$A$2:$A$8</xm:f>
          </x14:formula1>
          <xm:sqref>G6:G22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80" zoomScaleNormal="80" workbookViewId="0">
      <selection activeCell="B14" sqref="B14:C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2" width="22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'27'!B1+1</f>
        <v>45410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IF(vend28[[#This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30">
        <f>COUNT(entr_carn28[OS])</f>
        <v>0</v>
      </c>
      <c r="C18" s="31">
        <f>SUM(entr_carn28[Valor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04CC2420-F7B8-4106-A4AD-F26F4A00FCE6}">
          <x14:formula1>
            <xm:f>base!$A$2:$A$8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base!$A$2:$A$5</xm:f>
          </x14:formula1>
          <xm:sqref>G26:G31 G35:G41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80" zoomScaleNormal="80" workbookViewId="0">
      <selection activeCell="L15" sqref="L15:L19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2" width="22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66">
        <f>'28'!B1+1</f>
        <v>45411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47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IF(vend29[[#This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65">
        <v>1901</v>
      </c>
      <c r="L15" s="9" t="s">
        <v>141</v>
      </c>
      <c r="M15" s="16" t="s">
        <v>144</v>
      </c>
      <c r="R15" s="1">
        <f>IF(vend29[[#This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65">
        <v>1899</v>
      </c>
      <c r="L16" s="9" t="s">
        <v>141</v>
      </c>
      <c r="M16" s="16" t="s">
        <v>144</v>
      </c>
      <c r="R16" s="1">
        <f>IF(vend29[[#This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65">
        <v>1900</v>
      </c>
      <c r="L17" s="9" t="s">
        <v>141</v>
      </c>
      <c r="M17" s="16" t="s">
        <v>144</v>
      </c>
      <c r="R17" s="1">
        <f>IF(vend29[[#This Row],[Nº Venda]]&gt;1,1,0)</f>
        <v>0</v>
      </c>
    </row>
    <row r="18" spans="2:18" ht="15.75" x14ac:dyDescent="0.25">
      <c r="B18" s="30">
        <f>COUNT(entr_carn29[OS])</f>
        <v>0</v>
      </c>
      <c r="C18" s="31">
        <f>SUM(entr_carn29[Valor Total])</f>
        <v>0</v>
      </c>
      <c r="D18" s="2"/>
      <c r="E18" s="18"/>
      <c r="F18" s="25"/>
      <c r="G18" s="26"/>
      <c r="H18" s="8"/>
      <c r="I18" s="8"/>
      <c r="J18" s="2"/>
      <c r="K18" s="25">
        <v>1963</v>
      </c>
      <c r="L18" s="9" t="s">
        <v>141</v>
      </c>
      <c r="M18" s="16" t="s">
        <v>144</v>
      </c>
      <c r="R18" s="1">
        <f>IF(vend29[[#This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>
        <v>1962</v>
      </c>
      <c r="L19" s="9" t="s">
        <v>141</v>
      </c>
      <c r="M19" s="16" t="s">
        <v>144</v>
      </c>
      <c r="R19" s="1">
        <f>IF(vend29[[#This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882420CE-1467-422A-964B-18F1EC928A68}">
          <x14:formula1>
            <xm:f>base!$A$2:$A$5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base!$A$2:$A$8</xm:f>
          </x14:formula1>
          <xm:sqref>G6:G22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zoomScale="80" zoomScaleNormal="80" workbookViewId="0">
      <selection activeCell="E9" sqref="E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2" width="22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'29'!B1+1</f>
        <v>45412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99.99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20</v>
      </c>
      <c r="C8" s="29">
        <f>SUM(C6:C7)</f>
        <v>99.99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99.99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IF(vend30[[#This Row],[Nº Venda]]&gt;1,1,0)</f>
        <v>0</v>
      </c>
    </row>
    <row r="15" spans="2:18" ht="15.75" x14ac:dyDescent="0.25">
      <c r="B15" s="28" t="s">
        <v>10</v>
      </c>
      <c r="C15" s="32">
        <f>SUM(C11:C14)</f>
        <v>99.99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IF(vend30[[#This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22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22" ht="15.75" x14ac:dyDescent="0.25">
      <c r="B18" s="30">
        <f>COUNT(entr_carn30[OS])</f>
        <v>0</v>
      </c>
      <c r="C18" s="31">
        <f>SUM(entr_carn30[Valor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22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22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22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  <c r="V21" s="1" t="s">
        <v>125</v>
      </c>
    </row>
    <row r="22" spans="2:22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>
        <v>1957</v>
      </c>
      <c r="F26" s="25" t="s">
        <v>130</v>
      </c>
      <c r="G26" s="26" t="s">
        <v>8</v>
      </c>
      <c r="H26" s="8"/>
      <c r="I26" s="8">
        <v>99.99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454549B3-C2F1-4A35-B7FA-A3C6892C967B}">
          <x14:formula1>
            <xm:f>base!$A$2:$A$5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base!$A$2:$A$8</xm:f>
          </x14:formula1>
          <xm:sqref>G6:G22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80" zoomScaleNormal="80" workbookViewId="0">
      <selection activeCell="B14" sqref="B14:C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2" width="22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'30'!B1+1</f>
        <v>45413</v>
      </c>
    </row>
    <row r="2" spans="2:18" ht="18.75" x14ac:dyDescent="0.2">
      <c r="B2" s="117" t="s">
        <v>12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0" t="s">
        <v>1</v>
      </c>
      <c r="F4" s="120"/>
      <c r="G4" s="120"/>
      <c r="H4" s="120"/>
      <c r="I4" s="120"/>
      <c r="J4" s="22"/>
      <c r="K4" s="114" t="s">
        <v>3</v>
      </c>
      <c r="L4" s="115"/>
      <c r="M4" s="11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112" t="s">
        <v>5</v>
      </c>
      <c r="C10" s="11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4" t="s">
        <v>21</v>
      </c>
      <c r="L13" s="115"/>
      <c r="M13" s="116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IF(vend31[[#This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112" t="s">
        <v>11</v>
      </c>
      <c r="C17" s="11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30">
        <f>COUNT(entr_carn31[OS])</f>
        <v>0</v>
      </c>
      <c r="C18" s="31">
        <f>SUM(entr_carn31[Valor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13"/>
      <c r="G24" s="113"/>
      <c r="H24" s="113"/>
      <c r="I24" s="11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3" t="s">
        <v>28</v>
      </c>
      <c r="F33" s="113"/>
      <c r="G33" s="113"/>
      <c r="H33" s="113"/>
      <c r="I33" s="113"/>
      <c r="K33" s="114" t="s">
        <v>11</v>
      </c>
      <c r="L33" s="115"/>
      <c r="M33" s="116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disablePrompts="1"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48896A60-CF65-4297-AD79-D88F13BF7A80}">
          <x14:formula1>
            <xm:f>base!$A$2:$A$8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base!$A$2:$A$5</xm:f>
          </x14:formula1>
          <xm:sqref>G26:G31 G35:G41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C20" sqref="C20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62</v>
      </c>
      <c r="B1" s="38" t="s">
        <v>63</v>
      </c>
      <c r="E1" s="38" t="s">
        <v>64</v>
      </c>
    </row>
    <row r="2" spans="1:5" x14ac:dyDescent="0.2">
      <c r="A2" s="38" t="s">
        <v>6</v>
      </c>
      <c r="B2" s="38" t="s">
        <v>65</v>
      </c>
      <c r="E2" t="s">
        <v>46</v>
      </c>
    </row>
    <row r="3" spans="1:5" x14ac:dyDescent="0.2">
      <c r="A3" s="38" t="s">
        <v>7</v>
      </c>
      <c r="B3" s="38" t="s">
        <v>66</v>
      </c>
      <c r="E3" t="s">
        <v>67</v>
      </c>
    </row>
    <row r="4" spans="1:5" x14ac:dyDescent="0.2">
      <c r="A4" s="38" t="s">
        <v>8</v>
      </c>
      <c r="B4" s="38" t="s">
        <v>68</v>
      </c>
      <c r="E4" t="s">
        <v>69</v>
      </c>
    </row>
    <row r="5" spans="1:5" x14ac:dyDescent="0.2">
      <c r="A5" s="38" t="s">
        <v>9</v>
      </c>
      <c r="B5" s="38" t="s">
        <v>9</v>
      </c>
      <c r="E5" t="s">
        <v>70</v>
      </c>
    </row>
    <row r="6" spans="1:5" x14ac:dyDescent="0.2">
      <c r="A6" s="38" t="s">
        <v>50</v>
      </c>
      <c r="B6" s="38" t="s">
        <v>71</v>
      </c>
      <c r="E6" t="s">
        <v>33</v>
      </c>
    </row>
    <row r="7" spans="1:5" x14ac:dyDescent="0.2">
      <c r="A7" t="s">
        <v>24</v>
      </c>
      <c r="B7" t="s">
        <v>73</v>
      </c>
      <c r="E7" t="s">
        <v>72</v>
      </c>
    </row>
    <row r="8" spans="1:5" x14ac:dyDescent="0.2">
      <c r="A8" s="38" t="s">
        <v>40</v>
      </c>
      <c r="B8" s="38" t="s">
        <v>74</v>
      </c>
      <c r="E8" t="s">
        <v>52</v>
      </c>
    </row>
    <row r="9" spans="1:5" x14ac:dyDescent="0.2">
      <c r="E9" t="s">
        <v>75</v>
      </c>
    </row>
    <row r="10" spans="1:5" x14ac:dyDescent="0.2">
      <c r="E10" t="s">
        <v>76</v>
      </c>
    </row>
    <row r="11" spans="1:5" x14ac:dyDescent="0.2">
      <c r="E11" t="s">
        <v>77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78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79</v>
      </c>
    </row>
    <row r="21" spans="5:5" x14ac:dyDescent="0.2">
      <c r="E21" t="s">
        <v>80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81</v>
      </c>
    </row>
    <row r="31" spans="5:5" x14ac:dyDescent="0.2">
      <c r="E31" t="s">
        <v>34</v>
      </c>
    </row>
    <row r="32" spans="5:5" x14ac:dyDescent="0.2">
      <c r="E32" t="s">
        <v>82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83</v>
      </c>
    </row>
    <row r="39" spans="5:5" x14ac:dyDescent="0.2">
      <c r="E39" t="s">
        <v>84</v>
      </c>
    </row>
    <row r="40" spans="5:5" x14ac:dyDescent="0.2">
      <c r="E40" t="s">
        <v>85</v>
      </c>
    </row>
    <row r="41" spans="5:5" x14ac:dyDescent="0.2">
      <c r="E41" t="s">
        <v>86</v>
      </c>
    </row>
    <row r="42" spans="5:5" x14ac:dyDescent="0.2">
      <c r="E42" t="s">
        <v>87</v>
      </c>
    </row>
    <row r="43" spans="5:5" x14ac:dyDescent="0.2">
      <c r="E43" t="s">
        <v>88</v>
      </c>
    </row>
    <row r="44" spans="5:5" x14ac:dyDescent="0.2">
      <c r="E44" t="s">
        <v>89</v>
      </c>
    </row>
    <row r="45" spans="5:5" x14ac:dyDescent="0.2">
      <c r="E45" t="s">
        <v>90</v>
      </c>
    </row>
    <row r="46" spans="5:5" x14ac:dyDescent="0.2">
      <c r="E46" t="s">
        <v>91</v>
      </c>
    </row>
    <row r="47" spans="5:5" x14ac:dyDescent="0.2">
      <c r="E47" t="s">
        <v>92</v>
      </c>
    </row>
    <row r="48" spans="5:5" x14ac:dyDescent="0.2">
      <c r="E48" t="s">
        <v>93</v>
      </c>
    </row>
    <row r="49" spans="5:5" x14ac:dyDescent="0.2">
      <c r="E49" t="s">
        <v>94</v>
      </c>
    </row>
    <row r="50" spans="5:5" x14ac:dyDescent="0.2">
      <c r="E50" t="s">
        <v>95</v>
      </c>
    </row>
    <row r="51" spans="5:5" x14ac:dyDescent="0.2">
      <c r="E51" t="s">
        <v>96</v>
      </c>
    </row>
    <row r="52" spans="5:5" x14ac:dyDescent="0.2">
      <c r="E52" t="s">
        <v>97</v>
      </c>
    </row>
    <row r="53" spans="5:5" x14ac:dyDescent="0.2">
      <c r="E53" t="s">
        <v>98</v>
      </c>
    </row>
    <row r="54" spans="5:5" x14ac:dyDescent="0.2">
      <c r="E54" t="s">
        <v>99</v>
      </c>
    </row>
    <row r="55" spans="5:5" x14ac:dyDescent="0.2">
      <c r="E55" t="s">
        <v>100</v>
      </c>
    </row>
    <row r="56" spans="5:5" x14ac:dyDescent="0.2">
      <c r="E56" t="s">
        <v>101</v>
      </c>
    </row>
    <row r="57" spans="5:5" x14ac:dyDescent="0.2">
      <c r="E57" t="s">
        <v>102</v>
      </c>
    </row>
    <row r="58" spans="5:5" x14ac:dyDescent="0.2">
      <c r="E58" t="s">
        <v>103</v>
      </c>
    </row>
    <row r="59" spans="5:5" x14ac:dyDescent="0.2">
      <c r="E59" t="s">
        <v>104</v>
      </c>
    </row>
    <row r="60" spans="5:5" x14ac:dyDescent="0.2">
      <c r="E60" t="s">
        <v>105</v>
      </c>
    </row>
    <row r="61" spans="5:5" x14ac:dyDescent="0.2">
      <c r="E61" t="s">
        <v>106</v>
      </c>
    </row>
    <row r="62" spans="5:5" x14ac:dyDescent="0.2">
      <c r="E62" t="s">
        <v>107</v>
      </c>
    </row>
    <row r="63" spans="5:5" x14ac:dyDescent="0.2">
      <c r="E63" t="s">
        <v>108</v>
      </c>
    </row>
    <row r="64" spans="5:5" x14ac:dyDescent="0.2">
      <c r="E64" t="s">
        <v>109</v>
      </c>
    </row>
    <row r="65" spans="5:5" x14ac:dyDescent="0.2">
      <c r="E65" t="s">
        <v>110</v>
      </c>
    </row>
    <row r="66" spans="5:5" x14ac:dyDescent="0.2">
      <c r="E66" t="s">
        <v>111</v>
      </c>
    </row>
    <row r="67" spans="5:5" x14ac:dyDescent="0.2">
      <c r="E67" t="s">
        <v>112</v>
      </c>
    </row>
    <row r="68" spans="5:5" x14ac:dyDescent="0.2">
      <c r="E68" t="s">
        <v>113</v>
      </c>
    </row>
    <row r="69" spans="5:5" x14ac:dyDescent="0.2">
      <c r="E69" t="s">
        <v>114</v>
      </c>
    </row>
    <row r="70" spans="5:5" x14ac:dyDescent="0.2">
      <c r="E70" t="s">
        <v>115</v>
      </c>
    </row>
    <row r="71" spans="5:5" x14ac:dyDescent="0.2">
      <c r="E71" t="s">
        <v>116</v>
      </c>
    </row>
    <row r="72" spans="5:5" x14ac:dyDescent="0.2">
      <c r="E72" t="s">
        <v>117</v>
      </c>
    </row>
    <row r="73" spans="5:5" x14ac:dyDescent="0.2">
      <c r="E73" t="s">
        <v>118</v>
      </c>
    </row>
    <row r="74" spans="5:5" x14ac:dyDescent="0.2">
      <c r="E74" t="s">
        <v>119</v>
      </c>
    </row>
    <row r="75" spans="5:5" x14ac:dyDescent="0.2">
      <c r="E75" t="s">
        <v>120</v>
      </c>
    </row>
    <row r="76" spans="5:5" x14ac:dyDescent="0.2">
      <c r="E76" t="s">
        <v>121</v>
      </c>
    </row>
    <row r="77" spans="5:5" x14ac:dyDescent="0.2">
      <c r="E77" t="s">
        <v>122</v>
      </c>
    </row>
    <row r="78" spans="5:5" x14ac:dyDescent="0.2">
      <c r="E78" t="s">
        <v>123</v>
      </c>
    </row>
    <row r="79" spans="5:5" x14ac:dyDescent="0.2">
      <c r="E79" t="s">
        <v>124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5</vt:i4>
      </vt:variant>
    </vt:vector>
  </HeadingPairs>
  <TitlesOfParts>
    <vt:vector size="38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DCL - Oticas Taty Mello</cp:lastModifiedBy>
  <cp:revision/>
  <cp:lastPrinted>2024-05-02T12:23:30Z</cp:lastPrinted>
  <dcterms:created xsi:type="dcterms:W3CDTF">2004-04-07T20:43:43Z</dcterms:created>
  <dcterms:modified xsi:type="dcterms:W3CDTF">2024-06-06T18:50:12Z</dcterms:modified>
  <cp:category/>
  <cp:contentStatus/>
</cp:coreProperties>
</file>