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AO_MATEUS/CAIXA/2023/"/>
    </mc:Choice>
  </mc:AlternateContent>
  <xr:revisionPtr revIDLastSave="2" documentId="13_ncr:1_{EDD47779-F88B-4F02-9D9B-6EC0CCCCB502}" xr6:coauthVersionLast="47" xr6:coauthVersionMax="47" xr10:uidLastSave="{5065F7F5-8F78-4B25-A6B8-B040BF979B72}"/>
  <bookViews>
    <workbookView xWindow="-120" yWindow="330" windowWidth="29040" windowHeight="15990" tabRatio="895" firstSheet="11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92" l="1"/>
  <c r="M35" i="178" l="1"/>
  <c r="C19" i="178"/>
  <c r="C20" i="178" s="1"/>
  <c r="C15" i="178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9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C7" i="175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5" i="197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6" i="184"/>
  <c r="C6" i="185"/>
  <c r="C6" i="186"/>
  <c r="C8" i="186" s="1"/>
  <c r="C6" i="187"/>
  <c r="C6" i="189"/>
  <c r="C6" i="190"/>
  <c r="C6" i="191"/>
  <c r="C6" i="188"/>
  <c r="C6" i="193"/>
  <c r="C6" i="195"/>
  <c r="C6" i="194"/>
  <c r="C8" i="194" s="1"/>
  <c r="C6" i="197"/>
  <c r="C6" i="196"/>
  <c r="C6" i="192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C8" i="197"/>
  <c r="C22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8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8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22" i="170"/>
  <c r="C19" i="103"/>
  <c r="B19" i="103"/>
  <c r="C8" i="179" l="1"/>
  <c r="C8" i="171"/>
  <c r="R40" i="193"/>
  <c r="R40" i="189"/>
  <c r="R40" i="197"/>
  <c r="C8" i="191"/>
  <c r="R40" i="170"/>
  <c r="R40" i="183"/>
  <c r="R40" i="190"/>
  <c r="R40" i="194"/>
  <c r="R40" i="198"/>
  <c r="R40" i="187"/>
  <c r="R40" i="191"/>
  <c r="R40" i="195"/>
  <c r="R40" i="186"/>
  <c r="R40" i="180"/>
  <c r="R40" i="185"/>
  <c r="R40" i="188"/>
  <c r="R40" i="199"/>
  <c r="R40" i="192"/>
  <c r="R40" i="196"/>
  <c r="C8" i="188"/>
  <c r="C16" i="170"/>
  <c r="O11" i="170" s="1"/>
  <c r="C20" i="170"/>
  <c r="B17" i="200"/>
  <c r="B18" i="200" s="1"/>
  <c r="C8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F10" i="200" s="1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E10" i="200" l="1"/>
  <c r="F4" i="200"/>
  <c r="G4" i="200" s="1"/>
  <c r="B14" i="200"/>
  <c r="B4" i="200" s="1"/>
  <c r="C16" i="103"/>
  <c r="O11" i="103" s="1"/>
  <c r="C8" i="103"/>
  <c r="R40" i="103"/>
  <c r="B6" i="200" l="1"/>
  <c r="H10" i="200"/>
  <c r="F5" i="200"/>
  <c r="G5" i="200" s="1"/>
  <c r="G10" i="200"/>
</calcChain>
</file>

<file path=xl/sharedStrings.xml><?xml version="1.0" encoding="utf-8"?>
<sst xmlns="http://schemas.openxmlformats.org/spreadsheetml/2006/main" count="1830" uniqueCount="222">
  <si>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</si>
  <si>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</si>
  <si>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</si>
  <si>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</si>
  <si>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</si>
  <si>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</si>
  <si>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</si>
  <si>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</si>
  <si>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</si>
  <si>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</si>
  <si>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</si>
  <si>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</si>
  <si>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</si>
  <si>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</si>
  <si>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</si>
  <si>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</si>
  <si>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</si>
  <si>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</si>
  <si>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</si>
  <si>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</si>
  <si>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</si>
  <si>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</si>
  <si>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</si>
  <si>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</si>
  <si>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</si>
  <si>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</si>
  <si>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</si>
  <si>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</si>
  <si>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</si>
  <si>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</si>
  <si>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</si>
  <si>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</si>
  <si>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</si>
  <si>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</si>
  <si>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</si>
  <si>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</si>
  <si>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</si>
  <si>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</si>
  <si>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</si>
  <si>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</si>
  <si>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</si>
  <si>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</si>
  <si>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</si>
  <si>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</si>
  <si>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</si>
  <si>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</si>
  <si>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</si>
  <si>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</si>
  <si>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</si>
  <si>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</si>
  <si>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</si>
  <si>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</si>
  <si>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</si>
  <si>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</si>
  <si>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</si>
  <si>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</si>
  <si>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</si>
  <si>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</si>
  <si>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</si>
  <si>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</si>
  <si>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</si>
  <si>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</si>
  <si>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</si>
  <si>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</si>
  <si>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</si>
  <si>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</si>
  <si>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</si>
  <si>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</si>
  <si>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</si>
  <si>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</si>
  <si>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</si>
  <si>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</si>
  <si>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</si>
  <si>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</si>
  <si>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</si>
  <si>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</si>
  <si>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</si>
  <si>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</si>
  <si>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</si>
  <si>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</si>
  <si>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</si>
  <si>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</si>
  <si>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</si>
  <si>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</si>
  <si>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</si>
  <si>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</si>
  <si>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</si>
  <si>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</si>
  <si>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</si>
  <si>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</si>
  <si>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</si>
  <si>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</si>
  <si>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</si>
  <si>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</si>
  <si>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</si>
  <si>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</si>
  <si>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</si>
  <si>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</si>
  <si>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</si>
  <si>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</si>
  <si>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</si>
  <si>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</si>
  <si>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</si>
  <si>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</si>
  <si>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</si>
  <si>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</si>
  <si>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</si>
  <si>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</si>
  <si>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</si>
  <si>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</si>
  <si>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</si>
  <si>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</si>
  <si>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</si>
  <si>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</si>
  <si>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</si>
  <si>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</si>
  <si>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</si>
  <si>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</si>
  <si>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</si>
  <si>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</si>
  <si>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</si>
  <si>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</si>
  <si>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</si>
  <si>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</si>
  <si>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>META</t>
  </si>
  <si>
    <t>FALTA</t>
  </si>
  <si>
    <t>META DIARIA</t>
  </si>
  <si>
    <t>VENDAS</t>
  </si>
  <si>
    <t>ENTRADAS</t>
  </si>
  <si>
    <t>TM DIARIO VENDAS</t>
  </si>
  <si>
    <t>PROJEÇÃO</t>
  </si>
  <si>
    <t>TM DIARIO ENTR</t>
  </si>
  <si>
    <t>DILCEIA DE SANTANA</t>
  </si>
  <si>
    <t>ANDREIA EVARISTO</t>
  </si>
  <si>
    <t>MARCOS ANTONIO</t>
  </si>
  <si>
    <t>EDIIMILSON SOUZA</t>
  </si>
  <si>
    <t>GERALDA GOMES</t>
  </si>
  <si>
    <t>STEPHANI ALVES</t>
  </si>
  <si>
    <t>Wevilly</t>
  </si>
  <si>
    <t>Não</t>
  </si>
  <si>
    <t>1789</t>
  </si>
  <si>
    <t>CICERA REJANE</t>
  </si>
  <si>
    <t>Aurino Filho</t>
  </si>
  <si>
    <t>pix</t>
  </si>
  <si>
    <t>WELLINGTON SANTANA</t>
  </si>
  <si>
    <t>ALINE CRISTINA</t>
  </si>
  <si>
    <t>ELIAS MARTINS</t>
  </si>
  <si>
    <t>WEVILLY</t>
  </si>
  <si>
    <t>Sim</t>
  </si>
  <si>
    <t>MIRIAM S</t>
  </si>
  <si>
    <t>SARAH V</t>
  </si>
  <si>
    <t xml:space="preserve">KAWIN LWIS </t>
  </si>
  <si>
    <t>MARCELLA DE SOUZA</t>
  </si>
  <si>
    <t>ANTONIO PADUA</t>
  </si>
  <si>
    <t>RAIMUNDA MARIA</t>
  </si>
  <si>
    <t>NANCY H</t>
  </si>
  <si>
    <t>EDMILSON SOUZA B</t>
  </si>
  <si>
    <t xml:space="preserve">Maria Madalena Da Fonseca </t>
  </si>
  <si>
    <t xml:space="preserve">Larissa </t>
  </si>
  <si>
    <t>MATHEUS SANTOS</t>
  </si>
  <si>
    <t>Irenilda Gonçalves Bezerra</t>
  </si>
  <si>
    <t>Wevelly</t>
  </si>
  <si>
    <t>NELITO AUGUSTO</t>
  </si>
  <si>
    <t>ANA KAROLINE</t>
  </si>
  <si>
    <t>LUCIA HELENA</t>
  </si>
  <si>
    <t>CINTIA HELENA</t>
  </si>
  <si>
    <t>JOSE INALDO</t>
  </si>
  <si>
    <t>PAULO PEREIRA</t>
  </si>
  <si>
    <t>MARIA</t>
  </si>
  <si>
    <t>Larissa</t>
  </si>
  <si>
    <t>ELANE SAUDE</t>
  </si>
  <si>
    <t>Jose Fernandes</t>
  </si>
  <si>
    <t>Miriam Marcia</t>
  </si>
  <si>
    <t>ss</t>
  </si>
  <si>
    <t>Garantia</t>
  </si>
  <si>
    <t>Cicera Rejane</t>
  </si>
  <si>
    <t>pctc</t>
  </si>
  <si>
    <t>Carla Caroline</t>
  </si>
  <si>
    <t>Pedro Manoel</t>
  </si>
  <si>
    <t>Erica Cristina</t>
  </si>
  <si>
    <t>Thayla Reis</t>
  </si>
  <si>
    <t>Danielle Silva</t>
  </si>
  <si>
    <t>João Guilherme</t>
  </si>
  <si>
    <t>FRANCISCA</t>
  </si>
  <si>
    <t>EVALDO CESAR</t>
  </si>
  <si>
    <t>PAULA ALVES</t>
  </si>
  <si>
    <t>DAMIANA MARIA</t>
  </si>
  <si>
    <t>PATRICIA DE OLIVEIRA</t>
  </si>
  <si>
    <t>AGATHA C</t>
  </si>
  <si>
    <t>JULIETA PALMEIRA</t>
  </si>
  <si>
    <t>LUCILENE PALMEIRA</t>
  </si>
  <si>
    <t>LEONOR DE LIMA</t>
  </si>
  <si>
    <t>ANA ALICE</t>
  </si>
  <si>
    <t>dn</t>
  </si>
  <si>
    <t xml:space="preserve">ALONSO PEDRO </t>
  </si>
  <si>
    <t>ROSINEIDE FERREIRA</t>
  </si>
  <si>
    <t>KAROLAYNE MATIAS</t>
  </si>
  <si>
    <t>ALERANDRA LARISSA</t>
  </si>
  <si>
    <t>ELICA CHIRLEY</t>
  </si>
  <si>
    <t>MARIA REGINA</t>
  </si>
  <si>
    <t>RENATO TEIXEIRA</t>
  </si>
  <si>
    <t>LUCINEIDE DA SILVA</t>
  </si>
  <si>
    <t>RAYSSA V</t>
  </si>
  <si>
    <t>ERICA CRISTINA</t>
  </si>
  <si>
    <t>MARIA LUCIMAR</t>
  </si>
  <si>
    <t>MARCIA REGINA</t>
  </si>
  <si>
    <t>JOSE FERNANDES</t>
  </si>
  <si>
    <t>SEBASTIANA DOS SANTOS</t>
  </si>
  <si>
    <t>Weslley Fonseca</t>
  </si>
  <si>
    <t>VITOR HUGO</t>
  </si>
  <si>
    <t>SKALA BRINI</t>
  </si>
  <si>
    <t>HOSANA BARACHO</t>
  </si>
  <si>
    <t>BENIVAL LOPES</t>
  </si>
  <si>
    <t>SARAH VICTÓRIA</t>
  </si>
  <si>
    <t>VALE TRANSPORTE: Emerson da Rocha (ref. 22/11 - 24/11/2023)</t>
  </si>
  <si>
    <t>VALE TRANSPORTE: Lineth Saraing (ref. 24/11 e 25/11/2023)</t>
  </si>
  <si>
    <t>SALÁRIO: Lineth Saraing (ref. 2 dias de teste)</t>
  </si>
  <si>
    <t>GENI GUERATO</t>
  </si>
  <si>
    <t>Maria</t>
  </si>
  <si>
    <t xml:space="preserve">ANA CELIA </t>
  </si>
  <si>
    <t>CLAUDICEIA SOARES DAS NEVES</t>
  </si>
  <si>
    <t>DIEGO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</si>
</sst>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</font>
    <font>
      <sz val="11"/>
      <name val="Calibri"/>
    </font>
    <font>
      <sz val="11"/>
      <name val="Calibri"/>
      <scheme val="minor"/>
    </font>
    <font>
      <sz val="11"/>
      <name val="Arial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20"/>
      <name val="Arial Black"/>
      <family val="2"/>
    </font>
    <font>
      <b/>
      <sz val="2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65" fontId="14" fillId="7" borderId="17" xfId="0" applyNumberFormat="1" applyFont="1" applyFill="1" applyBorder="1" applyAlignment="1">
      <alignment horizontal="center"/>
    </xf>
    <xf numFmtId="165" fontId="13" fillId="5" borderId="17" xfId="0" applyNumberFormat="1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4" fontId="39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4" dataDxfId="1642" headerRowBorderDxfId="1643" tableBorderDxfId="1641" totalsRowBorderDxfId="16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9" dataCellStyle="Moeda"/>
    <tableColumn id="5" xr3:uid="{4E864FFB-62AE-4C76-999A-80DAC03BA10F}" name="Cliente" dataDxfId="1638" dataCellStyle="Moeda"/>
    <tableColumn id="2" xr3:uid="{39F76C04-E7DF-4C8C-921C-A165689790E9}" name="Forma de Pgto" dataDxfId="1637" dataCellStyle="Moeda"/>
    <tableColumn id="3" xr3:uid="{E9370F52-26BB-4EAF-A1D9-2BD0CAE66157}" name="Valor Venda" dataDxfId="1636" dataCellStyle="Porcentagem"/>
    <tableColumn id="4" xr3:uid="{BA146EFF-288C-407A-B27C-EC83C6C60F64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4" dataDxfId="1632" headerRowBorderDxfId="1633" tableBorderDxfId="1631" totalsRowBorderDxfId="1630">
  <autoFilter ref="K5:M11" xr:uid="{00000000-0009-0000-0100-000015000000}"/>
  <tableColumns count="3">
    <tableColumn id="1" xr3:uid="{0B88E9C0-AB9D-453A-B36F-BD29A8C17D8A}" name="Descrição" dataDxfId="1629"/>
    <tableColumn id="2" xr3:uid="{17C658DA-B17E-40FE-A7BD-DC7D9EC674E9}" name="Tipo de Pagto" dataDxfId="1628"/>
    <tableColumn id="3" xr3:uid="{FF4BC756-9A15-4D47-B863-8A20D3280A08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626" dataDxfId="1624" headerRowBorderDxfId="1625" tableBorderDxfId="1623" totalsRowBorderDxfId="16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621"/>
    <tableColumn id="2" xr3:uid="{47D41B32-D662-49C2-9421-3A125B03A82A}" name="Cliente" dataDxfId="1620"/>
    <tableColumn id="3" xr3:uid="{39E1C509-0A71-43B1-986F-88861123AB80}" name="Forma de Pgto" dataDxfId="1619" dataCellStyle="Moeda"/>
    <tableColumn id="4" xr3:uid="{47286C2F-E1F6-47AA-8494-04DB96C3E6B1}" name="Valor Venda" dataDxfId="1618" dataCellStyle="Porcentagem"/>
    <tableColumn id="5" xr3:uid="{8CC8BB9B-601E-4BB4-B63E-BE429656D172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6" dataDxfId="1614" headerRowBorderDxfId="1615" tableBorderDxfId="1613" totalsRowBorderDxfId="1612">
  <autoFilter ref="K14:M31" xr:uid="{C83FE64B-E221-4DAA-89EA-5307A7BC98B3}"/>
  <tableColumns count="3">
    <tableColumn id="1" xr3:uid="{4F2E3C78-49DF-438D-A2AF-840084C0C05C}" name="OS" dataDxfId="1611"/>
    <tableColumn id="2" xr3:uid="{2EBF3173-B4D7-4BCC-8593-5878D7F40F65}" name="Vendedor" dataDxfId="1610"/>
    <tableColumn id="3" xr3:uid="{BFD4CEE5-C30B-49BA-951C-C0B0CCFBDF6A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608" dataDxfId="1606" headerRowBorderDxfId="1607" tableBorderDxfId="1605" totalsRowBorderDxfId="16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603"/>
    <tableColumn id="2" xr3:uid="{69A152AB-9A1E-4E74-850B-E7190DCBB712}" name="Cliente" dataDxfId="1602"/>
    <tableColumn id="3" xr3:uid="{F918E665-3FA3-4D49-8B7B-662CAB3CB814}" name="Forma de Pgto" dataDxfId="1601" dataCellStyle="Moeda"/>
    <tableColumn id="4" xr3:uid="{31D63A0C-E278-497A-9D40-34077035FD25}" name="Valor Parcela" dataDxfId="1600" dataCellStyle="Porcentagem"/>
    <tableColumn id="5" xr3:uid="{1B552883-A189-4B21-8398-A08FF7756606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8" headerRowBorderDxfId="1597" tableBorderDxfId="1596" totalsRowBorderDxfId="1595">
  <autoFilter ref="K34:M41" xr:uid="{1B8643D4-6AC3-4029-882A-C62E9D7CB225}"/>
  <tableColumns count="3">
    <tableColumn id="1" xr3:uid="{8A794627-537E-47A8-A07A-ED4FE9B7FAEE}" name="OS" dataDxfId="1594"/>
    <tableColumn id="2" xr3:uid="{75A5608F-8F26-4C71-A24D-8E79F737416A}" name="Parcelas" dataDxfId="1593"/>
    <tableColumn id="3" xr3:uid="{405D57D3-4E8E-4A9E-A3A3-7DDC45B62F91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>
      <calculatedColumnFormula>(89.99*entr_carn8[[#This Row],[Parcelas]])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H18"/>
  <sheetViews>
    <sheetView workbookViewId="0">
      <selection activeCell="H11" sqref="H11"/>
    </sheetView>
  </sheetViews>
  <sheetFormatPr defaultColWidth="21.28515625" defaultRowHeight="12.75" x14ac:dyDescent="0.2"/>
  <cols>
    <col min="2" max="2" width="22.7109375" customWidth="1"/>
  </cols>
  <sheetData>
    <row r="2" spans="1:8" ht="15" x14ac:dyDescent="0.2">
      <c r="A2" s="19" t="s">
        <v>1</v>
      </c>
      <c r="B2" s="20">
        <v>0</v>
      </c>
    </row>
    <row r="3" spans="1:8" ht="15.75" x14ac:dyDescent="0.25">
      <c r="A3" s="23" t="s">
        <v>2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22824.240000000002</v>
      </c>
      <c r="E3" s="75" t="s">
        <v>124</v>
      </c>
      <c r="F3" s="75" t="s">
        <v>125</v>
      </c>
      <c r="G3" s="75" t="s">
        <v>126</v>
      </c>
    </row>
    <row r="4" spans="1:8" ht="15.75" x14ac:dyDescent="0.25">
      <c r="A4" s="23" t="s">
        <v>8</v>
      </c>
      <c r="B4" s="24">
        <f>B14</f>
        <v>15987.7</v>
      </c>
      <c r="D4" s="75" t="s">
        <v>127</v>
      </c>
      <c r="E4" s="76">
        <v>40000</v>
      </c>
      <c r="F4" s="76">
        <f>E4-B3</f>
        <v>17175.759999999998</v>
      </c>
      <c r="G4" s="76">
        <f>F4/1</f>
        <v>17175.759999999998</v>
      </c>
    </row>
    <row r="5" spans="1:8" ht="15.7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110</v>
      </c>
      <c r="D5" s="75" t="s">
        <v>128</v>
      </c>
      <c r="E5" s="76">
        <v>38000</v>
      </c>
      <c r="F5" s="76">
        <f>E5-B4</f>
        <v>22012.3</v>
      </c>
      <c r="G5" s="76">
        <f>F5/1</f>
        <v>22012.3</v>
      </c>
    </row>
    <row r="6" spans="1:8" ht="15.75" x14ac:dyDescent="0.25">
      <c r="A6" s="28" t="s">
        <v>123</v>
      </c>
      <c r="B6" s="29">
        <f>SUM(B4:B5)</f>
        <v>16097.7</v>
      </c>
    </row>
    <row r="7" spans="1:8" ht="15" x14ac:dyDescent="0.25">
      <c r="A7" s="2"/>
      <c r="B7" s="2"/>
    </row>
    <row r="8" spans="1:8" ht="15" x14ac:dyDescent="0.2">
      <c r="A8" s="83" t="s">
        <v>16</v>
      </c>
      <c r="B8" s="83"/>
    </row>
    <row r="9" spans="1:8" ht="15.75" x14ac:dyDescent="0.25">
      <c r="A9" s="30" t="s">
        <v>12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1886</v>
      </c>
      <c r="E9" s="75" t="s">
        <v>129</v>
      </c>
      <c r="F9" s="75" t="s">
        <v>130</v>
      </c>
      <c r="G9" s="75" t="s">
        <v>131</v>
      </c>
      <c r="H9" s="75" t="s">
        <v>130</v>
      </c>
    </row>
    <row r="10" spans="1:8" ht="15.75" x14ac:dyDescent="0.25">
      <c r="A10" s="30" t="s">
        <v>17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3113.9</v>
      </c>
      <c r="D10" s="75" t="s">
        <v>130</v>
      </c>
      <c r="E10" s="76">
        <f>B3/20</f>
        <v>1141.212</v>
      </c>
      <c r="F10" s="76">
        <f>B3</f>
        <v>22824.240000000002</v>
      </c>
      <c r="G10" s="76">
        <f>B4/20</f>
        <v>799.38499999999999</v>
      </c>
      <c r="H10" s="76">
        <f>B4</f>
        <v>15987.7</v>
      </c>
    </row>
    <row r="11" spans="1:8" ht="15" x14ac:dyDescent="0.25">
      <c r="A11" s="30" t="s">
        <v>18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400</v>
      </c>
    </row>
    <row r="12" spans="1:8" ht="15" x14ac:dyDescent="0.25">
      <c r="A12" s="30" t="s">
        <v>15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7913.03</v>
      </c>
    </row>
    <row r="13" spans="1:8" ht="15" x14ac:dyDescent="0.25">
      <c r="A13" s="30" t="s">
        <v>13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2674.77</v>
      </c>
    </row>
    <row r="14" spans="1:8" ht="15.75" x14ac:dyDescent="0.25">
      <c r="A14" s="28" t="s">
        <v>19</v>
      </c>
      <c r="B14" s="32">
        <f>SUM(B9:B13)</f>
        <v>15987.7</v>
      </c>
    </row>
    <row r="15" spans="1:8" ht="15" x14ac:dyDescent="0.25">
      <c r="A15" s="2"/>
      <c r="B15" s="2"/>
    </row>
    <row r="16" spans="1:8" ht="15" x14ac:dyDescent="0.2">
      <c r="A16" s="83" t="s">
        <v>35</v>
      </c>
      <c r="B16" s="83"/>
    </row>
    <row r="17" spans="1:2" ht="15" x14ac:dyDescent="0.25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5704.96</v>
      </c>
    </row>
    <row r="18" spans="1:2" ht="15.75" x14ac:dyDescent="0.25">
      <c r="A18" s="28" t="s">
        <v>19</v>
      </c>
      <c r="B18" s="32">
        <f>SUM(B17:B17)</f>
        <v>5704.96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17" zoomScale="80" zoomScaleNormal="8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45231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148.72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74.36</v>
      </c>
      <c r="D6" s="2"/>
      <c r="E6" s="18">
        <v>1785</v>
      </c>
      <c r="F6" s="25" t="s">
        <v>137</v>
      </c>
      <c r="G6" s="48" t="s">
        <v>13</v>
      </c>
      <c r="H6" s="8">
        <v>148.72</v>
      </c>
      <c r="I6" s="8">
        <v>74.36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14</v>
      </c>
      <c r="C8" s="29">
        <f>SUM(C6:C7)</f>
        <v>74.36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74.36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74.36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148.72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25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45232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25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45233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topLeftCell="A25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45234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180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180</v>
      </c>
      <c r="D6" s="2"/>
      <c r="E6" s="18">
        <v>1786</v>
      </c>
      <c r="F6" s="25" t="s">
        <v>132</v>
      </c>
      <c r="G6" s="48" t="s">
        <v>17</v>
      </c>
      <c r="H6" s="8">
        <v>180</v>
      </c>
      <c r="I6" s="8">
        <v>180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14</v>
      </c>
      <c r="C8" s="29">
        <f>SUM(C6:C7)</f>
        <v>180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180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67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247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1764</v>
      </c>
      <c r="F35" s="25" t="s">
        <v>133</v>
      </c>
      <c r="G35" s="26" t="s">
        <v>13</v>
      </c>
      <c r="H35" s="8">
        <v>67</v>
      </c>
      <c r="I35" s="8" t="s">
        <v>84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topLeftCell="A25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45235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25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45236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800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300</v>
      </c>
      <c r="D6" s="2"/>
      <c r="E6" s="18">
        <v>1787</v>
      </c>
      <c r="F6" s="25" t="s">
        <v>134</v>
      </c>
      <c r="G6" s="26" t="s">
        <v>18</v>
      </c>
      <c r="H6" s="8">
        <v>800</v>
      </c>
      <c r="I6" s="8">
        <v>300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118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300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1763</v>
      </c>
      <c r="L15" s="9" t="s">
        <v>138</v>
      </c>
      <c r="M15" s="16" t="s">
        <v>139</v>
      </c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503</v>
      </c>
      <c r="D16" s="2"/>
      <c r="E16" s="18"/>
      <c r="F16" s="25"/>
      <c r="G16" s="26"/>
      <c r="H16" s="8"/>
      <c r="I16" s="8"/>
      <c r="J16" s="2"/>
      <c r="K16" s="25">
        <v>1710</v>
      </c>
      <c r="L16" s="9" t="s">
        <v>138</v>
      </c>
      <c r="M16" s="16" t="s">
        <v>139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1765</v>
      </c>
      <c r="L17" s="9" t="s">
        <v>138</v>
      </c>
      <c r="M17" s="16" t="s">
        <v>139</v>
      </c>
      <c r="R17" s="1">
        <f>IF(vend[[#This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>
        <v>1764</v>
      </c>
      <c r="L18" s="9" t="s">
        <v>138</v>
      </c>
      <c r="M18" s="16" t="s">
        <v>139</v>
      </c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1419</v>
      </c>
      <c r="F35" s="25" t="s">
        <v>135</v>
      </c>
      <c r="G35" s="26" t="s">
        <v>17</v>
      </c>
      <c r="H35" s="8">
        <v>59</v>
      </c>
      <c r="I35" s="8" t="s">
        <v>48</v>
      </c>
      <c r="K35" s="25"/>
      <c r="L35" s="42"/>
      <c r="M35" s="16"/>
    </row>
    <row r="36" spans="2:18" ht="15.75" x14ac:dyDescent="0.25">
      <c r="E36" s="18">
        <v>1419</v>
      </c>
      <c r="F36" s="25" t="s">
        <v>135</v>
      </c>
      <c r="G36" s="26" t="s">
        <v>17</v>
      </c>
      <c r="H36" s="8">
        <v>59</v>
      </c>
      <c r="I36" s="8" t="s">
        <v>49</v>
      </c>
      <c r="K36" s="25"/>
      <c r="L36" s="42"/>
      <c r="M36" s="16"/>
    </row>
    <row r="37" spans="2:18" ht="15.75" x14ac:dyDescent="0.25">
      <c r="E37" s="18">
        <v>1695</v>
      </c>
      <c r="F37" s="25" t="s">
        <v>136</v>
      </c>
      <c r="G37" s="26" t="s">
        <v>12</v>
      </c>
      <c r="H37" s="8">
        <v>85</v>
      </c>
      <c r="I37" s="8" t="s">
        <v>60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25" zoomScale="80" zoomScaleNormal="80" workbookViewId="0">
      <selection activeCell="H7" sqref="H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45237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1250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25</v>
      </c>
      <c r="D6" s="2"/>
      <c r="E6" s="53" t="s">
        <v>140</v>
      </c>
      <c r="F6" s="51" t="s">
        <v>141</v>
      </c>
      <c r="G6" s="51" t="s">
        <v>13</v>
      </c>
      <c r="H6" s="52">
        <v>1250</v>
      </c>
      <c r="I6" s="52">
        <v>25</v>
      </c>
      <c r="J6" s="2"/>
      <c r="K6" s="25"/>
      <c r="L6" s="9"/>
      <c r="M6" s="16"/>
      <c r="R6" s="1">
        <f>IF(vend7[[#This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14</v>
      </c>
      <c r="C8" s="29">
        <f>SUM(C6:C7)</f>
        <v>25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108.39</v>
      </c>
      <c r="D15" s="2"/>
      <c r="E15" s="18"/>
      <c r="F15" s="25"/>
      <c r="G15" s="26"/>
      <c r="H15" s="8"/>
      <c r="I15" s="8"/>
      <c r="J15" s="2"/>
      <c r="K15" s="55">
        <v>1770</v>
      </c>
      <c r="L15" s="60" t="s">
        <v>138</v>
      </c>
      <c r="M15" s="61" t="s">
        <v>139</v>
      </c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108.39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1250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1724</v>
      </c>
      <c r="F35" s="25" t="s">
        <v>142</v>
      </c>
      <c r="G35" s="26" t="s">
        <v>143</v>
      </c>
      <c r="H35" s="8">
        <v>83.39</v>
      </c>
      <c r="I35" s="8" t="s">
        <v>60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topLeftCell="A24" zoomScale="80" zoomScaleNormal="80" workbookViewId="0">
      <selection activeCell="K21" sqref="K2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0">
        <f>'07'!B1+1</f>
        <v>45238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199.9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144.36000000000001</v>
      </c>
      <c r="D6" s="2"/>
      <c r="E6" s="62">
        <v>1788</v>
      </c>
      <c r="F6" s="8" t="s">
        <v>144</v>
      </c>
      <c r="G6" s="8" t="s">
        <v>12</v>
      </c>
      <c r="H6" s="8">
        <v>199.9</v>
      </c>
      <c r="I6" s="8">
        <v>20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14</v>
      </c>
      <c r="C8" s="29">
        <f>SUM(C6:C7)</f>
        <v>144.36000000000001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199.36</v>
      </c>
      <c r="D15" s="2"/>
      <c r="E15" s="18"/>
      <c r="F15" s="25"/>
      <c r="G15" s="26"/>
      <c r="H15" s="8"/>
      <c r="I15" s="8"/>
      <c r="J15" s="2"/>
      <c r="K15" s="25">
        <v>1762</v>
      </c>
      <c r="L15" s="9" t="s">
        <v>147</v>
      </c>
      <c r="M15" s="16" t="s">
        <v>148</v>
      </c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219.36</v>
      </c>
      <c r="D16" s="2"/>
      <c r="E16" s="18"/>
      <c r="F16" s="25"/>
      <c r="G16" s="26"/>
      <c r="H16" s="8"/>
      <c r="I16" s="8"/>
      <c r="J16" s="2"/>
      <c r="K16" s="25">
        <v>1785</v>
      </c>
      <c r="L16" s="9" t="s">
        <v>147</v>
      </c>
      <c r="M16" s="16" t="s">
        <v>139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1</v>
      </c>
      <c r="C19" s="31">
        <f>SUM(entr_carn8[Valor Total])</f>
        <v>269.96999999999997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269.96999999999997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199.9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>
        <v>1785</v>
      </c>
      <c r="F26" s="57" t="s">
        <v>137</v>
      </c>
      <c r="G26" s="58" t="s">
        <v>13</v>
      </c>
      <c r="H26" s="59"/>
      <c r="I26" s="59">
        <v>74.36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65">
        <v>1762</v>
      </c>
      <c r="F27" s="66" t="s">
        <v>145</v>
      </c>
      <c r="G27" s="63" t="s">
        <v>13</v>
      </c>
      <c r="H27" s="64"/>
      <c r="I27" s="64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1635</v>
      </c>
      <c r="F35" s="25" t="s">
        <v>146</v>
      </c>
      <c r="G35" s="26" t="s">
        <v>13</v>
      </c>
      <c r="H35" s="8">
        <v>75</v>
      </c>
      <c r="I35" s="8" t="s">
        <v>92</v>
      </c>
      <c r="K35" s="77">
        <v>1762</v>
      </c>
      <c r="L35" s="78">
        <v>3</v>
      </c>
      <c r="M35" s="79">
        <f>(89.99*entr_carn8[[#This Row],[Parcelas]])</f>
        <v>269.96999999999997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25" zoomScale="80" zoomScaleNormal="80" workbookViewId="0">
      <selection activeCell="M35" sqref="M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45239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1099.9000000000001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110</v>
      </c>
      <c r="D6" s="2"/>
      <c r="E6" s="18">
        <v>1790</v>
      </c>
      <c r="F6" s="25" t="s">
        <v>155</v>
      </c>
      <c r="G6" s="48" t="s">
        <v>17</v>
      </c>
      <c r="H6" s="8">
        <v>799.9</v>
      </c>
      <c r="I6" s="8">
        <v>50</v>
      </c>
      <c r="J6" s="2"/>
      <c r="K6" s="25"/>
      <c r="L6" s="9"/>
      <c r="M6" s="16"/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1791</v>
      </c>
      <c r="F7" s="25" t="s">
        <v>150</v>
      </c>
      <c r="G7" s="26" t="s">
        <v>13</v>
      </c>
      <c r="H7" s="8">
        <v>300</v>
      </c>
      <c r="I7" s="8">
        <v>60</v>
      </c>
      <c r="J7" s="2"/>
      <c r="K7" s="25"/>
      <c r="L7" s="9"/>
      <c r="M7" s="16"/>
      <c r="R7" s="1">
        <f>IF(vend9[[#This Row],[Nº Venda]]&gt;1,1,0)</f>
        <v>1</v>
      </c>
    </row>
    <row r="8" spans="2:18" ht="15.75" x14ac:dyDescent="0.25">
      <c r="B8" s="28" t="s">
        <v>14</v>
      </c>
      <c r="C8" s="29">
        <f>SUM(C6:C7)</f>
        <v>110</v>
      </c>
      <c r="D8" s="2"/>
      <c r="E8" s="18">
        <v>1789</v>
      </c>
      <c r="F8" s="25" t="s">
        <v>149</v>
      </c>
      <c r="G8" s="26" t="s">
        <v>23</v>
      </c>
      <c r="H8" s="8">
        <v>1200</v>
      </c>
      <c r="I8" s="8">
        <v>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135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185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1</v>
      </c>
      <c r="C19" s="31">
        <f>SUM(entr_carn9[Valor Total])</f>
        <v>1075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1075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1099.9000000000001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1743</v>
      </c>
      <c r="F35" s="25" t="s">
        <v>159</v>
      </c>
      <c r="G35" s="26" t="s">
        <v>13</v>
      </c>
      <c r="H35" s="8">
        <v>75</v>
      </c>
      <c r="I35" s="8" t="s">
        <v>60</v>
      </c>
      <c r="K35" s="25">
        <v>1784</v>
      </c>
      <c r="L35" s="42">
        <v>10</v>
      </c>
      <c r="M35" s="16">
        <v>1075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45240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4119.8999999999996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1985.9</v>
      </c>
      <c r="D6" s="2"/>
      <c r="E6" s="18">
        <v>1792</v>
      </c>
      <c r="F6" s="25" t="s">
        <v>156</v>
      </c>
      <c r="G6" s="26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1793</v>
      </c>
      <c r="F7" s="25" t="s">
        <v>151</v>
      </c>
      <c r="G7" s="48" t="s">
        <v>15</v>
      </c>
      <c r="H7" s="8">
        <v>899.9</v>
      </c>
      <c r="I7" s="8">
        <v>899.9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14</v>
      </c>
      <c r="C8" s="29">
        <f>SUM(C6:C7)</f>
        <v>1985.9</v>
      </c>
      <c r="D8" s="2"/>
      <c r="E8" s="18">
        <v>1794</v>
      </c>
      <c r="F8" s="25" t="s">
        <v>153</v>
      </c>
      <c r="G8" s="26" t="s">
        <v>17</v>
      </c>
      <c r="H8" s="8">
        <v>1100</v>
      </c>
      <c r="I8" s="8">
        <v>116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1795</v>
      </c>
      <c r="F9" s="25" t="s">
        <v>152</v>
      </c>
      <c r="G9" s="48" t="s">
        <v>15</v>
      </c>
      <c r="H9" s="8">
        <v>420</v>
      </c>
      <c r="I9" s="8">
        <v>420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83" t="s">
        <v>16</v>
      </c>
      <c r="C10" s="83"/>
      <c r="D10" s="2"/>
      <c r="E10" s="18">
        <v>1796</v>
      </c>
      <c r="F10" s="25" t="s">
        <v>154</v>
      </c>
      <c r="G10" s="26" t="s">
        <v>13</v>
      </c>
      <c r="H10" s="8">
        <v>1000</v>
      </c>
      <c r="I10" s="8">
        <v>25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416</v>
      </c>
      <c r="D11" s="2"/>
      <c r="E11" s="18">
        <v>1797</v>
      </c>
      <c r="F11" s="25" t="s">
        <v>153</v>
      </c>
      <c r="G11" s="26" t="s">
        <v>12</v>
      </c>
      <c r="H11" s="8">
        <v>500</v>
      </c>
      <c r="I11" s="8">
        <v>416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200</v>
      </c>
      <c r="D12" s="2"/>
      <c r="E12" s="18">
        <v>1797</v>
      </c>
      <c r="F12" s="25" t="s">
        <v>153</v>
      </c>
      <c r="G12" s="26" t="s">
        <v>17</v>
      </c>
      <c r="H12" s="8">
        <v>0</v>
      </c>
      <c r="I12" s="8">
        <v>84</v>
      </c>
      <c r="J12" s="2"/>
      <c r="R12" s="1">
        <f>IF(vend10[[#This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>
        <v>1798</v>
      </c>
      <c r="F13" s="25" t="s">
        <v>154</v>
      </c>
      <c r="G13" s="26" t="s">
        <v>13</v>
      </c>
      <c r="H13" s="8">
        <v>200</v>
      </c>
      <c r="I13" s="8">
        <v>25</v>
      </c>
      <c r="J13" s="2"/>
      <c r="K13" s="85" t="s">
        <v>36</v>
      </c>
      <c r="L13" s="86"/>
      <c r="M13" s="87"/>
      <c r="R13" s="1">
        <f>IF(vend10[[#This Row],[Nº Venda]]&gt;1,1,0)</f>
        <v>1</v>
      </c>
    </row>
    <row r="14" spans="2:18" ht="15.75" x14ac:dyDescent="0.25">
      <c r="B14" s="30" t="s">
        <v>15</v>
      </c>
      <c r="C14" s="31">
        <f t="shared" si="0"/>
        <v>1319.9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1985.9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4119.8999999999996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8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45241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1600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14</v>
      </c>
      <c r="C8" s="29">
        <f>SUM(C6:C7)</f>
        <v>1600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580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1100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187.5</v>
      </c>
      <c r="D15" s="2"/>
      <c r="E15" s="18"/>
      <c r="F15" s="25"/>
      <c r="G15" s="26"/>
      <c r="H15" s="8"/>
      <c r="I15" s="8"/>
      <c r="J15" s="2"/>
      <c r="K15" s="25">
        <v>1779</v>
      </c>
      <c r="L15" s="9" t="s">
        <v>158</v>
      </c>
      <c r="M15" s="16" t="s">
        <v>139</v>
      </c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1967.5</v>
      </c>
      <c r="D16" s="2"/>
      <c r="E16" s="18"/>
      <c r="F16" s="25"/>
      <c r="G16" s="26"/>
      <c r="H16" s="8"/>
      <c r="I16" s="8"/>
      <c r="J16" s="2"/>
      <c r="K16" s="25">
        <v>1788</v>
      </c>
      <c r="L16" s="9" t="s">
        <v>161</v>
      </c>
      <c r="M16" s="16" t="s">
        <v>148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1</v>
      </c>
      <c r="C19" s="31">
        <f>SUM(entr_carn11[Valor Total])</f>
        <v>79.989999999999995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79.989999999999995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1779</v>
      </c>
      <c r="F26" s="25" t="s">
        <v>157</v>
      </c>
      <c r="G26" s="48" t="s">
        <v>12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1781</v>
      </c>
      <c r="F27" s="25" t="s">
        <v>164</v>
      </c>
      <c r="G27" s="26" t="s">
        <v>15</v>
      </c>
      <c r="H27" s="8"/>
      <c r="I27" s="8">
        <v>300.10000000000002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1782</v>
      </c>
      <c r="F28" s="25" t="s">
        <v>165</v>
      </c>
      <c r="G28" s="26" t="s">
        <v>15</v>
      </c>
      <c r="H28" s="8"/>
      <c r="I28" s="8">
        <v>799.9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1779</v>
      </c>
      <c r="F29" s="25" t="s">
        <v>157</v>
      </c>
      <c r="G29" s="26" t="s">
        <v>17</v>
      </c>
      <c r="H29" s="8"/>
      <c r="I29" s="8">
        <v>20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1778</v>
      </c>
      <c r="F30" s="39" t="s">
        <v>166</v>
      </c>
      <c r="G30" s="26" t="s">
        <v>17</v>
      </c>
      <c r="H30" s="8"/>
      <c r="I30" s="8">
        <v>380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1520</v>
      </c>
      <c r="F35" s="25" t="s">
        <v>160</v>
      </c>
      <c r="G35" s="26" t="s">
        <v>17</v>
      </c>
      <c r="H35" s="8">
        <v>180</v>
      </c>
      <c r="I35" s="8" t="s">
        <v>59</v>
      </c>
      <c r="K35" s="25">
        <v>1788</v>
      </c>
      <c r="L35" s="42">
        <v>1</v>
      </c>
      <c r="M35" s="16">
        <v>79.989999999999995</v>
      </c>
    </row>
    <row r="36" spans="2:18" ht="15.75" x14ac:dyDescent="0.25">
      <c r="E36" s="18">
        <v>1595</v>
      </c>
      <c r="F36" s="25" t="s">
        <v>162</v>
      </c>
      <c r="G36" s="26" t="s">
        <v>13</v>
      </c>
      <c r="H36" s="8">
        <v>67.5</v>
      </c>
      <c r="I36" s="8" t="s">
        <v>75</v>
      </c>
      <c r="K36" s="25"/>
      <c r="L36" s="42"/>
      <c r="M36" s="16"/>
    </row>
    <row r="37" spans="2:18" ht="15.75" x14ac:dyDescent="0.25">
      <c r="E37" s="18">
        <v>1670</v>
      </c>
      <c r="F37" s="25" t="s">
        <v>163</v>
      </c>
      <c r="G37" s="26" t="s">
        <v>13</v>
      </c>
      <c r="H37" s="8">
        <v>120</v>
      </c>
      <c r="I37" s="8" t="s">
        <v>52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45242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B36" sqref="B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45243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25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480.01</v>
      </c>
      <c r="D6" s="2"/>
      <c r="E6" s="18">
        <v>1800</v>
      </c>
      <c r="F6" s="25" t="s">
        <v>171</v>
      </c>
      <c r="G6" s="26" t="s">
        <v>13</v>
      </c>
      <c r="H6" s="8">
        <v>25</v>
      </c>
      <c r="I6" s="8">
        <v>0.01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1799</v>
      </c>
      <c r="F7" s="25" t="s">
        <v>172</v>
      </c>
      <c r="G7" s="26" t="s">
        <v>173</v>
      </c>
      <c r="H7" s="8" t="s">
        <v>174</v>
      </c>
      <c r="I7" s="8"/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14</v>
      </c>
      <c r="C8" s="29">
        <f>SUM(C6:C7)</f>
        <v>480.01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480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0.01</v>
      </c>
      <c r="D15" s="2"/>
      <c r="E15" s="18"/>
      <c r="F15" s="25"/>
      <c r="G15" s="26"/>
      <c r="H15" s="8"/>
      <c r="I15" s="8"/>
      <c r="J15" s="2"/>
      <c r="K15" s="25">
        <v>1787</v>
      </c>
      <c r="L15" s="9" t="s">
        <v>168</v>
      </c>
      <c r="M15" s="16" t="s">
        <v>148</v>
      </c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480.01</v>
      </c>
      <c r="D16" s="2"/>
      <c r="E16" s="18"/>
      <c r="F16" s="25"/>
      <c r="G16" s="26"/>
      <c r="H16" s="8"/>
      <c r="I16" s="8"/>
      <c r="J16" s="2"/>
      <c r="K16" s="25">
        <v>1776</v>
      </c>
      <c r="L16" s="9" t="s">
        <v>169</v>
      </c>
      <c r="M16" s="16" t="s">
        <v>148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2</v>
      </c>
      <c r="C19" s="31">
        <f>SUM(entr_carn13[Valor Total])</f>
        <v>915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915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1766</v>
      </c>
      <c r="F26" s="25" t="s">
        <v>167</v>
      </c>
      <c r="G26" s="26" t="s">
        <v>17</v>
      </c>
      <c r="H26" s="8"/>
      <c r="I26" s="8">
        <v>380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1776</v>
      </c>
      <c r="F27" s="25" t="s">
        <v>170</v>
      </c>
      <c r="G27" s="26" t="s">
        <v>17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1776</v>
      </c>
      <c r="L35" s="42">
        <v>5</v>
      </c>
      <c r="M35" s="16">
        <v>415</v>
      </c>
    </row>
    <row r="36" spans="2:18" ht="15.75" x14ac:dyDescent="0.25">
      <c r="E36" s="18"/>
      <c r="F36" s="25"/>
      <c r="G36" s="26"/>
      <c r="H36" s="8"/>
      <c r="I36" s="8"/>
      <c r="K36" s="25">
        <v>1787</v>
      </c>
      <c r="L36" s="42">
        <v>2</v>
      </c>
      <c r="M36" s="16">
        <v>500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I28" sqref="I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45244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300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1716</v>
      </c>
      <c r="D6" s="2"/>
      <c r="E6" s="18">
        <v>1801</v>
      </c>
      <c r="F6" s="25" t="s">
        <v>177</v>
      </c>
      <c r="G6" s="48" t="s">
        <v>176</v>
      </c>
      <c r="H6" s="8">
        <v>300</v>
      </c>
      <c r="I6" s="8">
        <v>300</v>
      </c>
      <c r="J6" s="2"/>
      <c r="K6" s="25"/>
      <c r="L6" s="9"/>
      <c r="M6" s="1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14</v>
      </c>
      <c r="C8" s="29">
        <f>SUM(C6:C7)</f>
        <v>1716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1716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1716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1771</v>
      </c>
      <c r="F26" s="25" t="s">
        <v>175</v>
      </c>
      <c r="G26" s="26" t="s">
        <v>176</v>
      </c>
      <c r="H26" s="8"/>
      <c r="I26" s="8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1772</v>
      </c>
      <c r="F27" s="25" t="s">
        <v>175</v>
      </c>
      <c r="G27" s="26" t="s">
        <v>176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1767</v>
      </c>
      <c r="F28" s="25" t="s">
        <v>178</v>
      </c>
      <c r="G28" s="26" t="s">
        <v>176</v>
      </c>
      <c r="H28" s="8"/>
      <c r="I28" s="8">
        <v>726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1768</v>
      </c>
      <c r="F29" s="25" t="s">
        <v>178</v>
      </c>
      <c r="G29" s="26" t="s">
        <v>176</v>
      </c>
      <c r="H29" s="8"/>
      <c r="I29" s="8">
        <v>190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45245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L25" sqref="L2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45246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1050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100</v>
      </c>
      <c r="D6" s="2"/>
      <c r="E6" s="18">
        <v>1803</v>
      </c>
      <c r="F6" s="25" t="s">
        <v>179</v>
      </c>
      <c r="G6" s="48" t="s">
        <v>173</v>
      </c>
      <c r="H6" s="8">
        <v>30</v>
      </c>
      <c r="I6" s="8">
        <v>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1804</v>
      </c>
      <c r="F7" s="25" t="s">
        <v>180</v>
      </c>
      <c r="G7" s="48" t="s">
        <v>13</v>
      </c>
      <c r="H7" s="8">
        <v>470</v>
      </c>
      <c r="I7" s="8">
        <v>50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14</v>
      </c>
      <c r="C8" s="29">
        <f>SUM(C6:C7)</f>
        <v>100</v>
      </c>
      <c r="D8" s="2"/>
      <c r="E8" s="18">
        <v>1802</v>
      </c>
      <c r="F8" s="25" t="s">
        <v>181</v>
      </c>
      <c r="G8" s="26" t="s">
        <v>13</v>
      </c>
      <c r="H8" s="8">
        <v>580</v>
      </c>
      <c r="I8" s="8">
        <v>50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100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2</v>
      </c>
      <c r="C19" s="31">
        <f>SUM(entr_carn16[Valor Total])</f>
        <v>630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630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1050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>
        <v>1804</v>
      </c>
      <c r="L35" s="42">
        <v>3</v>
      </c>
      <c r="M35" s="16">
        <v>378</v>
      </c>
    </row>
    <row r="36" spans="2:18" ht="15.75" x14ac:dyDescent="0.25">
      <c r="E36" s="18"/>
      <c r="F36" s="25"/>
      <c r="G36" s="26"/>
      <c r="H36" s="8"/>
      <c r="I36" s="8"/>
      <c r="K36" s="25">
        <v>1802</v>
      </c>
      <c r="L36" s="42">
        <v>3</v>
      </c>
      <c r="M36" s="16">
        <v>252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45247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290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14</v>
      </c>
      <c r="C8" s="29">
        <f>SUM(C6:C7)</f>
        <v>290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290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1793</v>
      </c>
      <c r="L15" s="9" t="s">
        <v>138</v>
      </c>
      <c r="M15" s="16" t="s">
        <v>139</v>
      </c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290</v>
      </c>
      <c r="D16" s="2"/>
      <c r="E16" s="18"/>
      <c r="F16" s="25"/>
      <c r="G16" s="26"/>
      <c r="H16" s="8"/>
      <c r="I16" s="8"/>
      <c r="J16" s="2"/>
      <c r="K16" s="25">
        <v>1782</v>
      </c>
      <c r="L16" s="9" t="s">
        <v>138</v>
      </c>
      <c r="M16" s="16" t="s">
        <v>139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1782</v>
      </c>
      <c r="F26" s="25" t="s">
        <v>182</v>
      </c>
      <c r="G26" s="26" t="s">
        <v>17</v>
      </c>
      <c r="H26" s="8"/>
      <c r="I26" s="8">
        <v>290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topLeftCell="A4" zoomScale="80" zoomScaleNormal="80" workbookViewId="0">
      <selection activeCell="J28" sqref="J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45248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2549.9899999999998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1600</v>
      </c>
      <c r="D6" s="2"/>
      <c r="E6" s="18">
        <v>1805</v>
      </c>
      <c r="F6" s="25" t="s">
        <v>134</v>
      </c>
      <c r="G6" s="26" t="s">
        <v>23</v>
      </c>
      <c r="H6" s="8" t="s">
        <v>42</v>
      </c>
      <c r="I6" s="8">
        <v>0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1806</v>
      </c>
      <c r="F7" s="25" t="s">
        <v>184</v>
      </c>
      <c r="G7" s="26" t="s">
        <v>15</v>
      </c>
      <c r="H7" s="8">
        <v>750</v>
      </c>
      <c r="I7" s="8">
        <v>600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14</v>
      </c>
      <c r="C8" s="29">
        <f>SUM(C6:C7)</f>
        <v>1600</v>
      </c>
      <c r="D8" s="2"/>
      <c r="E8" s="18">
        <v>1807</v>
      </c>
      <c r="F8" s="25" t="s">
        <v>185</v>
      </c>
      <c r="G8" s="26" t="s">
        <v>15</v>
      </c>
      <c r="H8" s="8">
        <v>750</v>
      </c>
      <c r="I8" s="8">
        <v>600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1808</v>
      </c>
      <c r="F9" s="25" t="s">
        <v>186</v>
      </c>
      <c r="G9" s="26" t="s">
        <v>17</v>
      </c>
      <c r="H9" s="8">
        <v>650</v>
      </c>
      <c r="I9" s="8">
        <v>200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83" t="s">
        <v>16</v>
      </c>
      <c r="C10" s="83"/>
      <c r="D10" s="2"/>
      <c r="E10" s="18">
        <v>1809</v>
      </c>
      <c r="F10" s="25" t="s">
        <v>183</v>
      </c>
      <c r="G10" s="26" t="s">
        <v>13</v>
      </c>
      <c r="H10" s="8">
        <v>399.99</v>
      </c>
      <c r="I10" s="8">
        <v>200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 t="shared" si="0"/>
        <v>1200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1600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2549.9899999999998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5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45249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45250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45251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760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160</v>
      </c>
      <c r="D6" s="2"/>
      <c r="E6" s="18">
        <v>1810</v>
      </c>
      <c r="F6" s="25" t="s">
        <v>187</v>
      </c>
      <c r="G6" s="26" t="s">
        <v>12</v>
      </c>
      <c r="H6" s="8">
        <v>760</v>
      </c>
      <c r="I6" s="8">
        <v>150</v>
      </c>
      <c r="J6" s="2"/>
      <c r="K6" s="25"/>
      <c r="L6" s="9"/>
      <c r="M6" s="1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1810</v>
      </c>
      <c r="F7" s="25" t="s">
        <v>187</v>
      </c>
      <c r="G7" s="26" t="s">
        <v>13</v>
      </c>
      <c r="H7" s="8">
        <v>0</v>
      </c>
      <c r="I7" s="8">
        <v>10</v>
      </c>
      <c r="J7" s="2"/>
      <c r="K7" s="25"/>
      <c r="L7" s="9"/>
      <c r="M7" s="16"/>
      <c r="R7" s="1">
        <f>IF(vend21[[#This Row],[Nº Venda]]&gt;1,1,0)</f>
        <v>1</v>
      </c>
    </row>
    <row r="8" spans="2:18" ht="15.75" x14ac:dyDescent="0.25">
      <c r="B8" s="28" t="s">
        <v>14</v>
      </c>
      <c r="C8" s="29">
        <f>SUM(C6:C7)</f>
        <v>160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133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293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2</v>
      </c>
      <c r="C19" s="31">
        <f>SUM(entr_carn21[Valor Total])</f>
        <v>1200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1200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760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1723</v>
      </c>
      <c r="F35" s="25" t="s">
        <v>188</v>
      </c>
      <c r="G35" s="26" t="s">
        <v>17</v>
      </c>
      <c r="H35" s="8">
        <v>133</v>
      </c>
      <c r="I35" s="8" t="s">
        <v>46</v>
      </c>
      <c r="K35" s="25">
        <v>1789</v>
      </c>
      <c r="L35" s="42">
        <v>10</v>
      </c>
      <c r="M35" s="16">
        <v>600</v>
      </c>
    </row>
    <row r="36" spans="2:18" ht="15.75" x14ac:dyDescent="0.25">
      <c r="E36" s="18"/>
      <c r="F36" s="25"/>
      <c r="G36" s="26"/>
      <c r="H36" s="8"/>
      <c r="I36" s="8"/>
      <c r="K36" s="25">
        <v>1772</v>
      </c>
      <c r="L36" s="42">
        <v>10</v>
      </c>
      <c r="M36" s="16">
        <v>600</v>
      </c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view="pageBreakPreview" zoomScale="60" zoomScaleNormal="8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78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0">
        <f>'21'!B1+1</f>
        <v>45252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3845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450</v>
      </c>
      <c r="D6" s="2"/>
      <c r="E6" s="18">
        <v>1811</v>
      </c>
      <c r="F6" s="25" t="s">
        <v>191</v>
      </c>
      <c r="G6" s="26" t="s">
        <v>12</v>
      </c>
      <c r="H6" s="8">
        <v>1590</v>
      </c>
      <c r="I6" s="8">
        <v>100</v>
      </c>
      <c r="J6" s="2"/>
      <c r="K6" s="77" t="s">
        <v>214</v>
      </c>
      <c r="L6" s="9" t="s">
        <v>193</v>
      </c>
      <c r="M6" s="16">
        <v>30</v>
      </c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30</v>
      </c>
      <c r="D7" s="2"/>
      <c r="E7" s="18">
        <v>1812</v>
      </c>
      <c r="F7" s="25" t="s">
        <v>190</v>
      </c>
      <c r="G7" s="26" t="s">
        <v>12</v>
      </c>
      <c r="H7" s="8">
        <v>1200</v>
      </c>
      <c r="I7" s="8">
        <v>200</v>
      </c>
      <c r="J7" s="2"/>
      <c r="K7" s="25"/>
      <c r="L7" s="9"/>
      <c r="M7" s="16"/>
      <c r="R7" s="1">
        <f>IF(vend22[[#This Row],[Nº Venda]]&gt;1,1,0)</f>
        <v>1</v>
      </c>
    </row>
    <row r="8" spans="2:18" ht="15.75" x14ac:dyDescent="0.25">
      <c r="B8" s="28" t="s">
        <v>14</v>
      </c>
      <c r="C8" s="29">
        <f>SUM(C6:C7)</f>
        <v>480</v>
      </c>
      <c r="D8" s="2"/>
      <c r="E8" s="18">
        <v>1813</v>
      </c>
      <c r="F8" s="25" t="s">
        <v>189</v>
      </c>
      <c r="G8" s="26" t="s">
        <v>12</v>
      </c>
      <c r="H8" s="8">
        <v>790</v>
      </c>
      <c r="I8" s="8">
        <v>100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1814</v>
      </c>
      <c r="F9" s="25" t="s">
        <v>192</v>
      </c>
      <c r="G9" s="26" t="s">
        <v>13</v>
      </c>
      <c r="H9" s="8">
        <v>265</v>
      </c>
      <c r="I9" s="8">
        <v>50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1792</v>
      </c>
      <c r="L15" s="9" t="s">
        <v>138</v>
      </c>
      <c r="M15" s="16" t="s">
        <v>148</v>
      </c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450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3845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4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A4" zoomScale="80" zoomScaleNormal="80" workbookViewId="0">
      <selection activeCell="K52" sqref="K5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45253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590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150</v>
      </c>
      <c r="D6" s="2"/>
      <c r="E6" s="18">
        <v>1815</v>
      </c>
      <c r="F6" s="25" t="s">
        <v>194</v>
      </c>
      <c r="G6" s="26" t="s">
        <v>18</v>
      </c>
      <c r="H6" s="8">
        <v>590</v>
      </c>
      <c r="I6" s="8">
        <v>100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1815</v>
      </c>
      <c r="F7" s="25" t="s">
        <v>194</v>
      </c>
      <c r="G7" s="26" t="s">
        <v>12</v>
      </c>
      <c r="H7" s="8">
        <v>0</v>
      </c>
      <c r="I7" s="8">
        <v>50</v>
      </c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14</v>
      </c>
      <c r="C8" s="29">
        <f>SUM(C6:C7)</f>
        <v>150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135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285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590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1440</v>
      </c>
      <c r="F35" s="25" t="s">
        <v>195</v>
      </c>
      <c r="G35" s="26" t="s">
        <v>13</v>
      </c>
      <c r="H35" s="8">
        <v>135</v>
      </c>
      <c r="I35" s="8" t="s">
        <v>65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D1" zoomScale="80" zoomScaleNormal="80" workbookViewId="0">
      <selection activeCell="G21" sqref="G21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57" style="3" customWidth="1"/>
    <col min="12" max="12" width="19.28515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0">
        <f>'23'!B1+1</f>
        <v>45254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3756.0299999999997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2377.13</v>
      </c>
      <c r="D6" s="2"/>
      <c r="E6" s="18">
        <v>1816</v>
      </c>
      <c r="F6" s="25" t="s">
        <v>200</v>
      </c>
      <c r="G6" s="26" t="s">
        <v>15</v>
      </c>
      <c r="H6" s="8">
        <v>687.2</v>
      </c>
      <c r="I6" s="8">
        <v>687.2</v>
      </c>
      <c r="J6" s="2"/>
      <c r="K6" s="77" t="s">
        <v>215</v>
      </c>
      <c r="L6" s="9" t="s">
        <v>12</v>
      </c>
      <c r="M6" s="16">
        <v>20</v>
      </c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20</v>
      </c>
      <c r="D7" s="2"/>
      <c r="E7" s="18">
        <v>1817</v>
      </c>
      <c r="F7" s="25" t="s">
        <v>198</v>
      </c>
      <c r="G7" s="26" t="s">
        <v>12</v>
      </c>
      <c r="H7" s="8">
        <v>199.9</v>
      </c>
      <c r="I7" s="8">
        <v>50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14</v>
      </c>
      <c r="C8" s="29">
        <f>SUM(C6:C7)</f>
        <v>2397.13</v>
      </c>
      <c r="D8" s="2"/>
      <c r="E8" s="18">
        <v>1818</v>
      </c>
      <c r="F8" s="25" t="s">
        <v>199</v>
      </c>
      <c r="G8" s="26" t="s">
        <v>17</v>
      </c>
      <c r="H8" s="8">
        <v>450</v>
      </c>
      <c r="I8" s="8">
        <v>100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1819</v>
      </c>
      <c r="F9" s="25" t="s">
        <v>197</v>
      </c>
      <c r="G9" s="26" t="s">
        <v>13</v>
      </c>
      <c r="H9" s="8">
        <v>690</v>
      </c>
      <c r="I9" s="8">
        <v>690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83" t="s">
        <v>16</v>
      </c>
      <c r="C10" s="83"/>
      <c r="D10" s="2"/>
      <c r="E10" s="18">
        <v>1820</v>
      </c>
      <c r="F10" s="25" t="s">
        <v>197</v>
      </c>
      <c r="G10" s="26" t="s">
        <v>13</v>
      </c>
      <c r="H10" s="8">
        <v>389</v>
      </c>
      <c r="I10" s="8">
        <v>10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12</v>
      </c>
      <c r="C11" s="31">
        <f>(SUMIF($G$2:$G$31,B11,$I$2:$I$31))+(SUMIF($G$35:$G$41,B11,$H$35:$H$41))</f>
        <v>50</v>
      </c>
      <c r="D11" s="2"/>
      <c r="E11" s="18">
        <v>1821</v>
      </c>
      <c r="F11" s="25" t="s">
        <v>202</v>
      </c>
      <c r="G11" s="26" t="s">
        <v>15</v>
      </c>
      <c r="H11" s="8">
        <v>279</v>
      </c>
      <c r="I11" s="8">
        <v>279</v>
      </c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200</v>
      </c>
      <c r="D12" s="2"/>
      <c r="E12" s="18">
        <v>1822</v>
      </c>
      <c r="F12" s="25" t="s">
        <v>196</v>
      </c>
      <c r="G12" s="26" t="s">
        <v>17</v>
      </c>
      <c r="H12" s="8">
        <v>600</v>
      </c>
      <c r="I12" s="8">
        <v>100</v>
      </c>
      <c r="J12" s="2"/>
      <c r="R12" s="1">
        <f>IF(vend24[[#This Row],[Nº Venda]]&gt;1,1,0)</f>
        <v>1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>
        <v>1823</v>
      </c>
      <c r="F13" s="25" t="s">
        <v>201</v>
      </c>
      <c r="G13" s="26" t="s">
        <v>15</v>
      </c>
      <c r="H13" s="8">
        <v>280.93</v>
      </c>
      <c r="I13" s="8">
        <v>280.93</v>
      </c>
      <c r="J13" s="2"/>
      <c r="K13" s="85" t="s">
        <v>36</v>
      </c>
      <c r="L13" s="86"/>
      <c r="M13" s="87"/>
      <c r="R13" s="1">
        <f>IF(vend24[[#This Row],[Nº Venda]]&gt;1,1,0)</f>
        <v>1</v>
      </c>
    </row>
    <row r="14" spans="2:18" ht="15.75" x14ac:dyDescent="0.25">
      <c r="B14" s="30" t="s">
        <v>15</v>
      </c>
      <c r="C14" s="31">
        <f t="shared" si="0"/>
        <v>1427.13</v>
      </c>
      <c r="D14" s="2"/>
      <c r="E14" s="18">
        <v>1824</v>
      </c>
      <c r="F14" s="25" t="s">
        <v>203</v>
      </c>
      <c r="G14" s="26" t="s">
        <v>15</v>
      </c>
      <c r="H14" s="8">
        <v>150</v>
      </c>
      <c r="I14" s="8">
        <v>150</v>
      </c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1</v>
      </c>
    </row>
    <row r="15" spans="2:18" ht="15.75" x14ac:dyDescent="0.25">
      <c r="B15" s="30" t="s">
        <v>13</v>
      </c>
      <c r="C15" s="31">
        <f t="shared" si="0"/>
        <v>700</v>
      </c>
      <c r="D15" s="2"/>
      <c r="E15" s="18"/>
      <c r="F15" s="25"/>
      <c r="G15" s="26"/>
      <c r="H15" s="8"/>
      <c r="I15" s="8"/>
      <c r="J15" s="2"/>
      <c r="K15" s="25">
        <v>1795</v>
      </c>
      <c r="L15" s="9" t="s">
        <v>147</v>
      </c>
      <c r="M15" s="16" t="s">
        <v>139</v>
      </c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2377.13</v>
      </c>
      <c r="D16" s="2"/>
      <c r="E16" s="18"/>
      <c r="F16" s="25"/>
      <c r="G16" s="26"/>
      <c r="H16" s="8"/>
      <c r="I16" s="8"/>
      <c r="J16" s="2"/>
      <c r="K16" s="25">
        <v>1799</v>
      </c>
      <c r="L16" s="9" t="s">
        <v>147</v>
      </c>
      <c r="M16" s="16" t="s">
        <v>139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3756.0299999999997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1803</v>
      </c>
      <c r="F26" s="25" t="s">
        <v>203</v>
      </c>
      <c r="G26" s="26" t="s">
        <v>15</v>
      </c>
      <c r="H26" s="8">
        <v>30</v>
      </c>
      <c r="I26" s="8">
        <v>30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9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view="pageBreakPreview" zoomScale="6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5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37.14062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1">
        <f>'24'!B1+1</f>
        <v>45255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739.9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339.9</v>
      </c>
      <c r="D6" s="2"/>
      <c r="E6" s="18">
        <v>1825</v>
      </c>
      <c r="F6" s="25" t="s">
        <v>205</v>
      </c>
      <c r="G6" s="26" t="s">
        <v>17</v>
      </c>
      <c r="H6" s="8">
        <v>39.9</v>
      </c>
      <c r="I6" s="8">
        <v>19.899999999999999</v>
      </c>
      <c r="J6" s="2"/>
      <c r="K6" s="77" t="s">
        <v>216</v>
      </c>
      <c r="L6" s="9" t="s">
        <v>13</v>
      </c>
      <c r="M6" s="16">
        <v>60</v>
      </c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60</v>
      </c>
      <c r="D7" s="2"/>
      <c r="E7" s="18">
        <v>1825</v>
      </c>
      <c r="F7" s="25" t="s">
        <v>205</v>
      </c>
      <c r="G7" s="26" t="s">
        <v>12</v>
      </c>
      <c r="H7" s="8">
        <v>0</v>
      </c>
      <c r="I7" s="8">
        <v>20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14</v>
      </c>
      <c r="C8" s="29">
        <f>SUM(C6:C7)</f>
        <v>399.9</v>
      </c>
      <c r="D8" s="2"/>
      <c r="E8" s="18">
        <v>1826</v>
      </c>
      <c r="F8" s="25" t="s">
        <v>204</v>
      </c>
      <c r="G8" s="26" t="s">
        <v>17</v>
      </c>
      <c r="H8" s="8">
        <v>700</v>
      </c>
      <c r="I8" s="8">
        <v>300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105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319.89999999999998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107.5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532.4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739.9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1800</v>
      </c>
      <c r="F35" s="25" t="s">
        <v>206</v>
      </c>
      <c r="G35" s="26" t="s">
        <v>13</v>
      </c>
      <c r="H35" s="8">
        <v>107.5</v>
      </c>
      <c r="I35" s="8" t="s">
        <v>90</v>
      </c>
      <c r="K35" s="25"/>
      <c r="L35" s="42"/>
      <c r="M35" s="16"/>
    </row>
    <row r="36" spans="2:18" ht="15.75" x14ac:dyDescent="0.25">
      <c r="E36" s="18">
        <v>1544</v>
      </c>
      <c r="F36" s="25" t="s">
        <v>207</v>
      </c>
      <c r="G36" s="26" t="s">
        <v>12</v>
      </c>
      <c r="H36" s="8">
        <v>85</v>
      </c>
      <c r="I36" s="8" t="s">
        <v>85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3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45256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'26'!B1+1</f>
        <v>45257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20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20</v>
      </c>
      <c r="D6" s="2"/>
      <c r="E6" s="18">
        <v>1827</v>
      </c>
      <c r="F6" s="25" t="s">
        <v>208</v>
      </c>
      <c r="G6" s="26" t="s">
        <v>12</v>
      </c>
      <c r="H6" s="8">
        <v>20</v>
      </c>
      <c r="I6" s="8">
        <v>20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14</v>
      </c>
      <c r="C8" s="29">
        <f>SUM(C6:C7)</f>
        <v>20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80">
        <f>'27'!B1+1</f>
        <v>45258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39.9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39.9</v>
      </c>
      <c r="D6" s="2"/>
      <c r="E6" s="18">
        <v>1828</v>
      </c>
      <c r="F6" s="25" t="s">
        <v>209</v>
      </c>
      <c r="G6" s="26" t="s">
        <v>13</v>
      </c>
      <c r="H6" s="8">
        <v>19.899999999999999</v>
      </c>
      <c r="I6" s="8">
        <v>19.899999999999999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1829</v>
      </c>
      <c r="F7" s="25" t="s">
        <v>210</v>
      </c>
      <c r="G7" s="26" t="s">
        <v>12</v>
      </c>
      <c r="H7" s="8">
        <v>20</v>
      </c>
      <c r="I7" s="8">
        <v>20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14</v>
      </c>
      <c r="C8" s="29">
        <f>SUM(C6:C7)</f>
        <v>39.9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 t="shared" si="0"/>
        <v>290.64999999999998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310.64999999999998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39.9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1734</v>
      </c>
      <c r="F35" s="25" t="s">
        <v>211</v>
      </c>
      <c r="G35" s="26" t="s">
        <v>13</v>
      </c>
      <c r="H35" s="8">
        <v>129</v>
      </c>
      <c r="I35" s="8" t="s">
        <v>82</v>
      </c>
      <c r="K35" s="25"/>
      <c r="L35" s="42"/>
      <c r="M35" s="16"/>
    </row>
    <row r="36" spans="2:18" ht="15.75" x14ac:dyDescent="0.25">
      <c r="E36" s="18">
        <v>1437</v>
      </c>
      <c r="F36" s="25" t="s">
        <v>212</v>
      </c>
      <c r="G36" s="26" t="s">
        <v>13</v>
      </c>
      <c r="H36" s="82">
        <v>141.75</v>
      </c>
      <c r="I36" s="8" t="s">
        <v>72</v>
      </c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B1" zoomScale="80" zoomScaleNormal="80" workbookViewId="0">
      <selection activeCell="C30" sqref="C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'28'!B1+1</f>
        <v>45259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1210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14</v>
      </c>
      <c r="C8" s="29">
        <f>SUM(C6:C7)</f>
        <v>1210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 t="shared" si="0"/>
        <v>1150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 t="shared" si="0"/>
        <v>180</v>
      </c>
      <c r="D15" s="2"/>
      <c r="E15" s="18"/>
      <c r="F15" s="25"/>
      <c r="G15" s="26"/>
      <c r="H15" s="8"/>
      <c r="I15" s="8"/>
      <c r="J15" s="2"/>
      <c r="K15" s="25">
        <v>1798</v>
      </c>
      <c r="L15" s="9" t="s">
        <v>147</v>
      </c>
      <c r="M15" s="16" t="s">
        <v>139</v>
      </c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1330</v>
      </c>
      <c r="D16" s="2"/>
      <c r="E16" s="18"/>
      <c r="F16" s="25"/>
      <c r="G16" s="26"/>
      <c r="H16" s="8"/>
      <c r="I16" s="8"/>
      <c r="J16" s="2"/>
      <c r="K16" s="25">
        <v>1796</v>
      </c>
      <c r="L16" s="9" t="s">
        <v>147</v>
      </c>
      <c r="M16" s="16" t="s">
        <v>139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1791</v>
      </c>
      <c r="L17" s="9" t="s">
        <v>147</v>
      </c>
      <c r="M17" s="16" t="s">
        <v>148</v>
      </c>
      <c r="R17" s="1">
        <f>IF(vend29[[#This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1</v>
      </c>
      <c r="C19" s="31">
        <f>SUM(entr_carn29[Valor Total])</f>
        <v>195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195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1791</v>
      </c>
      <c r="F26" s="25" t="s">
        <v>213</v>
      </c>
      <c r="G26" s="26" t="s">
        <v>13</v>
      </c>
      <c r="H26" s="8"/>
      <c r="I26" s="8">
        <v>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1798</v>
      </c>
      <c r="F27" s="25" t="s">
        <v>154</v>
      </c>
      <c r="G27" s="26" t="s">
        <v>15</v>
      </c>
      <c r="H27" s="8"/>
      <c r="I27" s="8">
        <v>175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1796</v>
      </c>
      <c r="F28" s="25" t="s">
        <v>154</v>
      </c>
      <c r="G28" s="26" t="s">
        <v>15</v>
      </c>
      <c r="H28" s="8"/>
      <c r="I28" s="8">
        <v>975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1595</v>
      </c>
      <c r="F35" s="25" t="s">
        <v>163</v>
      </c>
      <c r="G35" s="26" t="s">
        <v>13</v>
      </c>
      <c r="H35" s="8">
        <v>120</v>
      </c>
      <c r="I35" s="8" t="s">
        <v>53</v>
      </c>
      <c r="K35" s="25">
        <v>1791</v>
      </c>
      <c r="L35" s="42">
        <v>3</v>
      </c>
      <c r="M35" s="16">
        <v>195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'29'!B1+1</f>
        <v>45260</v>
      </c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1350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830</v>
      </c>
      <c r="D6" s="2"/>
      <c r="E6" s="18">
        <v>1830</v>
      </c>
      <c r="F6" s="25" t="s">
        <v>220</v>
      </c>
      <c r="G6" s="26" t="s">
        <v>13</v>
      </c>
      <c r="H6" s="8">
        <v>850</v>
      </c>
      <c r="I6" s="8">
        <v>80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1831</v>
      </c>
      <c r="F7" s="25" t="s">
        <v>221</v>
      </c>
      <c r="G7" s="26" t="s">
        <v>17</v>
      </c>
      <c r="H7" s="8">
        <v>500</v>
      </c>
      <c r="I7" s="8">
        <v>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14</v>
      </c>
      <c r="C8" s="29">
        <f>SUM(C6:C7)</f>
        <v>830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470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363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80</v>
      </c>
      <c r="D15" s="2"/>
      <c r="E15" s="18"/>
      <c r="F15" s="25"/>
      <c r="G15" s="26"/>
      <c r="H15" s="8"/>
      <c r="I15" s="8"/>
      <c r="J15" s="2"/>
      <c r="K15" s="25">
        <v>1803</v>
      </c>
      <c r="L15" s="9" t="s">
        <v>218</v>
      </c>
      <c r="M15" s="16" t="s">
        <v>139</v>
      </c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913</v>
      </c>
      <c r="D16" s="2"/>
      <c r="E16" s="18"/>
      <c r="F16" s="25"/>
      <c r="G16" s="26"/>
      <c r="H16" s="8"/>
      <c r="I16" s="8"/>
      <c r="J16" s="2"/>
      <c r="K16" s="25">
        <v>1814</v>
      </c>
      <c r="L16" s="9" t="s">
        <v>138</v>
      </c>
      <c r="M16" s="16" t="s">
        <v>139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1783</v>
      </c>
      <c r="L17" s="9" t="s">
        <v>138</v>
      </c>
      <c r="M17" s="16" t="s">
        <v>148</v>
      </c>
      <c r="R17" s="1">
        <f>IF(vend30[[#This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1</v>
      </c>
      <c r="C19" s="31">
        <f>SUM(entr_carn30[Valor Total])</f>
        <v>1340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1340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1783</v>
      </c>
      <c r="F26" s="25" t="s">
        <v>217</v>
      </c>
      <c r="G26" s="26" t="s">
        <v>12</v>
      </c>
      <c r="H26" s="8"/>
      <c r="I26" s="8">
        <v>470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1814</v>
      </c>
      <c r="F27" s="25" t="s">
        <v>219</v>
      </c>
      <c r="G27" s="26" t="s">
        <v>17</v>
      </c>
      <c r="H27" s="8"/>
      <c r="I27" s="8">
        <v>230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1776</v>
      </c>
      <c r="F35" s="25" t="s">
        <v>170</v>
      </c>
      <c r="G35" s="26" t="s">
        <v>17</v>
      </c>
      <c r="H35" s="8">
        <v>83</v>
      </c>
      <c r="I35" s="8" t="s">
        <v>55</v>
      </c>
      <c r="K35" s="25">
        <v>1783</v>
      </c>
      <c r="L35" s="42">
        <v>2</v>
      </c>
      <c r="M35" s="16">
        <v>1340</v>
      </c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C39" sqref="C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/>
    </row>
    <row r="2" spans="2:18" ht="18.75" x14ac:dyDescent="0.2">
      <c r="B2" s="88" t="s">
        <v>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91" t="s">
        <v>2</v>
      </c>
      <c r="F4" s="91"/>
      <c r="G4" s="91"/>
      <c r="H4" s="91"/>
      <c r="I4" s="91"/>
      <c r="J4" s="22"/>
      <c r="K4" s="85" t="s">
        <v>3</v>
      </c>
      <c r="L4" s="86"/>
      <c r="M4" s="87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83" t="s">
        <v>16</v>
      </c>
      <c r="C10" s="8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5" t="s">
        <v>36</v>
      </c>
      <c r="L13" s="86"/>
      <c r="M13" s="87"/>
      <c r="R13" s="1">
        <f>IF(vend31[[#This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83" t="s">
        <v>35</v>
      </c>
      <c r="C18" s="8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4" t="s">
        <v>22</v>
      </c>
      <c r="F24" s="84"/>
      <c r="G24" s="84"/>
      <c r="H24" s="84"/>
      <c r="I24" s="84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4" t="s">
        <v>39</v>
      </c>
      <c r="F33" s="84"/>
      <c r="G33" s="84"/>
      <c r="H33" s="84"/>
      <c r="I33" s="84"/>
      <c r="K33" s="85" t="s">
        <v>35</v>
      </c>
      <c r="L33" s="86"/>
      <c r="M33" s="87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Kayllaine DCL</cp:lastModifiedBy>
  <cp:revision/>
  <cp:lastPrinted>2023-12-01T13:07:58Z</cp:lastPrinted>
  <dcterms:created xsi:type="dcterms:W3CDTF">2004-04-07T20:43:43Z</dcterms:created>
  <dcterms:modified xsi:type="dcterms:W3CDTF">2024-04-05T16:14:48Z</dcterms:modified>
  <cp:category/>
  <cp:contentStatus/>
</cp:coreProperties>
</file>