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277" documentId="13_ncr:1_{FC9B848A-CE07-484F-BEC9-5F0C14EC663A}" xr6:coauthVersionLast="47" xr6:coauthVersionMax="47" xr10:uidLastSave="{52BAA216-6E37-45FC-890D-13E8ADA24FC6}"/>
  <bookViews>
    <workbookView xWindow="-120" yWindow="-120" windowWidth="29040" windowHeight="15840" tabRatio="895" activeTab="2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base" sheetId="36" state="hidden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75"/>
  <c r="C6" i="174"/>
  <c r="C6" i="173"/>
  <c r="C6" i="172"/>
  <c r="C8" i="172" s="1"/>
  <c r="C6" i="171"/>
  <c r="C8" i="171" s="1"/>
  <c r="C6" i="170"/>
  <c r="C6" i="103"/>
  <c r="C6" i="178"/>
  <c r="C6" i="177"/>
  <c r="C6" i="176"/>
  <c r="C8" i="176" s="1"/>
  <c r="C6" i="180"/>
  <c r="C6" i="182"/>
  <c r="C6" i="183"/>
  <c r="C8" i="183" s="1"/>
  <c r="C6" i="181"/>
  <c r="C6" i="179"/>
  <c r="C6" i="184"/>
  <c r="C6" i="185"/>
  <c r="C6" i="186"/>
  <c r="C8" i="186" s="1"/>
  <c r="C6" i="187"/>
  <c r="C6" i="189"/>
  <c r="C8" i="189" s="1"/>
  <c r="C6" i="190"/>
  <c r="C8" i="190" s="1"/>
  <c r="C6" i="191"/>
  <c r="C6" i="188"/>
  <c r="C6" i="193"/>
  <c r="C6" i="195"/>
  <c r="C6" i="194"/>
  <c r="C8" i="194" s="1"/>
  <c r="C6" i="197"/>
  <c r="C6" i="196"/>
  <c r="C8" i="196" s="1"/>
  <c r="C6" i="192"/>
  <c r="C8" i="192" s="1"/>
  <c r="C6" i="175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B9" i="200" l="1"/>
  <c r="R40" i="170"/>
  <c r="R40" i="194"/>
  <c r="C8" i="197"/>
  <c r="C8" i="180"/>
  <c r="C8" i="173"/>
  <c r="R40" i="183"/>
  <c r="R40" i="190"/>
  <c r="R40" i="187"/>
  <c r="R40" i="191"/>
  <c r="R40" i="195"/>
  <c r="B10" i="200"/>
  <c r="R40" i="185"/>
  <c r="R40" i="188"/>
  <c r="R40" i="192"/>
  <c r="R40" i="180"/>
  <c r="R40" i="196"/>
  <c r="R40" i="189"/>
  <c r="R40" i="193"/>
  <c r="B13" i="200"/>
  <c r="B5" i="200"/>
  <c r="R40" i="186"/>
  <c r="R40" i="197"/>
  <c r="C8" i="179"/>
  <c r="B12" i="200"/>
  <c r="B4" i="200"/>
  <c r="B11" i="200"/>
  <c r="C20" i="175"/>
  <c r="B17" i="200"/>
  <c r="B18" i="200" s="1"/>
  <c r="C22" i="175"/>
  <c r="B3" i="200"/>
  <c r="C8" i="188"/>
  <c r="C8" i="19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<sst xmlns="http://schemas.openxmlformats.org/spreadsheetml/2006/main" count="1647" uniqueCount="185">
  <si>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</si>
  <si>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</si>
  <si>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</si>
  <si>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</si>
  <si>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</si>
  <si>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</si>
  <si>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</si>
  <si>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</si>
  <si>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</si>
  <si>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</si>
  <si>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</si>
  <si>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</si>
  <si>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</si>
  <si>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</si>
  <si>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</si>
  <si>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</si>
  <si>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</si>
  <si>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</si>
  <si>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</si>
  <si>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</si>
  <si>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</si>
  <si>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</si>
  <si>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</si>
  <si>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</si>
  <si>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</si>
  <si>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</si>
  <si>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 xml:space="preserve">WEVELLY </t>
  </si>
  <si>
    <t>Não</t>
  </si>
  <si>
    <t xml:space="preserve">MARIA 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</si>
  <si>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</si>
  <si>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</si>
  <si>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</si>
  <si>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</si>
  <si>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</si>
  <si>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</si>
  <si>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</si>
  <si>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 xml:space="preserve">GERALDA GOMES </t>
  </si>
  <si>
    <t>PARC. 4/6</t>
  </si>
  <si>
    <t>Total de OS</t>
  </si>
  <si>
    <t xml:space="preserve">NANCY HIROMI </t>
  </si>
  <si>
    <t>GARANTIA</t>
  </si>
  <si>
    <t>WEVILLY</t>
  </si>
  <si>
    <t xml:space="preserve">ALBERTO SILVESTRE </t>
  </si>
  <si>
    <t>ANDREIA EVARISTO</t>
  </si>
  <si>
    <t>PARC. 6/9</t>
  </si>
  <si>
    <t xml:space="preserve">FLORIANO PERERIRA </t>
  </si>
  <si>
    <t xml:space="preserve">NELSON BONATO </t>
  </si>
  <si>
    <t>SS</t>
  </si>
  <si>
    <t xml:space="preserve">JESSE ALEXANDRE </t>
  </si>
  <si>
    <t>MARIA</t>
  </si>
  <si>
    <t>ROGERIO</t>
  </si>
  <si>
    <t xml:space="preserve">CELIO ALVES </t>
  </si>
  <si>
    <t xml:space="preserve">ELIAS MARTINS </t>
  </si>
  <si>
    <t>PARC. 6/10</t>
  </si>
  <si>
    <t>1918</t>
  </si>
  <si>
    <t xml:space="preserve">REGIANE AMALIA QUEIROZ </t>
  </si>
  <si>
    <t>1919</t>
  </si>
  <si>
    <t xml:space="preserve">FERNANDO TAVARES </t>
  </si>
  <si>
    <t xml:space="preserve">ROSELI MARTINS </t>
  </si>
  <si>
    <t xml:space="preserve">PATRICIA DA SILVA </t>
  </si>
  <si>
    <t xml:space="preserve">JOSINEIDE PAULINO </t>
  </si>
  <si>
    <t>IZEDILMA PEREIRA</t>
  </si>
  <si>
    <t xml:space="preserve">VINICIUS SANTOS </t>
  </si>
  <si>
    <t>PARC. 4/8</t>
  </si>
  <si>
    <t>PARC. 5/8</t>
  </si>
  <si>
    <t xml:space="preserve">CREUSA FERREIRA </t>
  </si>
  <si>
    <t>MARIA JOSÉ</t>
  </si>
  <si>
    <t>AURINO FILHO</t>
  </si>
  <si>
    <t xml:space="preserve">GARANTIA </t>
  </si>
  <si>
    <t xml:space="preserve">ROGERIO </t>
  </si>
  <si>
    <t xml:space="preserve">LUZINELIA MARIA </t>
  </si>
  <si>
    <t xml:space="preserve">ERIKA SOUZA </t>
  </si>
  <si>
    <t xml:space="preserve">LEONOR DE LIMA </t>
  </si>
  <si>
    <t>PARC. 2/6</t>
  </si>
  <si>
    <t>NELITO AUGUSTO</t>
  </si>
  <si>
    <t>PARC. 6/8</t>
  </si>
  <si>
    <t xml:space="preserve">FERNANDO SILVA </t>
  </si>
  <si>
    <t xml:space="preserve">CHINASA DORIS </t>
  </si>
  <si>
    <t xml:space="preserve">LUCILENE PALMEIRA </t>
  </si>
  <si>
    <t xml:space="preserve">PATRICIA DE OLIVEIRA </t>
  </si>
  <si>
    <t>PARC. 2/8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</si>
  <si>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</si>
  <si>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</si>
  <si>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</si>
  <si>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</si>
  <si>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</si>
  <si>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</si>
  <si>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</si>
  <si>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</si>
  <si>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</si>
  <si>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</si>
  <si>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</si>
  <si>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</si>
  <si>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</si>
  <si>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</si>
  <si>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</si>
  <si>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</si>
  <si>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</si>
  <si>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</si>
  <si>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</si>
  <si>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</si>
  <si>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</si>
  <si>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</si>
  <si>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</si>
  <si>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</si>
  <si>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</si>
  <si>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</si>
  <si>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3/6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</si>
  <si>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</si>
  <si>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</si>
  <si>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</si>
  <si>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</si>
  <si>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</si>
  <si>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</si>
  <si>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</si>
  <si>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</si>
  <si>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</si>
  <si>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</si>
  <si>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3/8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</si>
  <si>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</si>
  <si>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</si>
  <si>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</si>
  <si>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</si>
  <si>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</si>
  <si>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</si>
  <si>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</si>
  <si>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</si>
  <si>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</si>
  <si>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</si>
  <si>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</si>
  <si>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</si>
  <si>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</si>
  <si>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</si>
  <si>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</si>
  <si>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</si>
  <si>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</si>
  <si>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</si>
  <si>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</si>
  <si>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</si>
  <si>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</si>
  <si>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</si>
  <si>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</si>
  <si>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</si>
  <si>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</si>
  <si>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</si>
  <si>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</si>
  <si>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</si>
  <si>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</si>
  <si>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</si>
  <si>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</si>
  <si>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</si>
  <si>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</si>
  <si>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</si>
  <si>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</si>
  <si>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</si>
  <si>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</si>
  <si>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</si>
  <si>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</si>
  <si>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</si>
  <si>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</si>
  <si>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</si>
  <si>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DANDARA CAROLINE </t>
  </si>
  <si>
    <t xml:space="preserve">MARTA DOS SANTOS </t>
  </si>
  <si>
    <t>Sim</t>
  </si>
  <si>
    <t>oticastatymellosaomateus@gmail.com</t>
  </si>
  <si>
    <t xml:space="preserve">JOSSILEIDE DOS SANTOS </t>
  </si>
  <si>
    <t xml:space="preserve">RITA ROSA </t>
  </si>
  <si>
    <t xml:space="preserve">CLAREONICE FATIMA </t>
  </si>
  <si>
    <t>SARAH VICTORIA</t>
  </si>
  <si>
    <t>LUIZ ANTONIO</t>
  </si>
  <si>
    <t xml:space="preserve">JAILTON BATISTA </t>
  </si>
  <si>
    <t>NELSON BONATO</t>
  </si>
  <si>
    <t>SEBASTIANA SANTOS</t>
  </si>
  <si>
    <t xml:space="preserve">TEREZA VANESSA </t>
  </si>
  <si>
    <t xml:space="preserve">JOSE FERNANDES </t>
  </si>
  <si>
    <t xml:space="preserve">LEONARDO DE SOUZA </t>
  </si>
  <si>
    <t>Hosana Baracho</t>
  </si>
  <si>
    <t>-</t>
  </si>
  <si>
    <t>rogerio</t>
  </si>
  <si>
    <t>BRIAN LUCCA</t>
  </si>
  <si>
    <t xml:space="preserve">JOSE PAULINO </t>
  </si>
  <si>
    <t xml:space="preserve">RUTH PINHEIRO </t>
  </si>
  <si>
    <t xml:space="preserve">             </t>
  </si>
  <si>
    <t>Nelson Bonato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</si>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</sst>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strike/>
      <sz val="12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  <font>
      <sz val="24"/>
      <name val="Castellar"/>
      <family val="1"/>
    </font>
    <font>
      <b/>
      <sz val="12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0" fillId="0" borderId="13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7" fontId="12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3" dataCellStyle="Moeda"/>
    <tableColumn id="5" xr3:uid="{4E864FFB-62AE-4C76-999A-80DAC03BA10F}" name="Cliente" dataDxfId="1532" dataCellStyle="Moeda"/>
    <tableColumn id="2" xr3:uid="{39F76C04-E7DF-4C8C-921C-A165689790E9}" name="Forma de Pgto" dataDxfId="1531" dataCellStyle="Moeda"/>
    <tableColumn id="3" xr3:uid="{E9370F52-26BB-4EAF-A1D9-2BD0CAE66157}" name="Valor Venda" dataDxfId="1530" dataCellStyle="Porcentagem"/>
    <tableColumn id="4" xr3:uid="{BA146EFF-288C-407A-B27C-EC83C6C60F64}" name="Entrada" dataDxfId="152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0B88E9C0-AB9D-453A-B36F-BD29A8C17D8A}" name="Descrição" dataDxfId="1523"/>
    <tableColumn id="2" xr3:uid="{17C658DA-B17E-40FE-A7BD-DC7D9EC674E9}" name="Tipo de Pagto" dataDxfId="1522"/>
    <tableColumn id="3" xr3:uid="{FF4BC756-9A15-4D47-B863-8A20D3280A08}" name="Valor" dataDxfId="15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5"/>
    <tableColumn id="2" xr3:uid="{47D41B32-D662-49C2-9421-3A125B03A82A}" name="Cliente" dataDxfId="1514"/>
    <tableColumn id="3" xr3:uid="{39E1C509-0A71-43B1-986F-88861123AB80}" name="Forma de Pgto" dataDxfId="1513" dataCellStyle="Moeda"/>
    <tableColumn id="4" xr3:uid="{47286C2F-E1F6-47AA-8494-04DB96C3E6B1}" name="Valor Venda" dataDxfId="1512" dataCellStyle="Porcentagem"/>
    <tableColumn id="5" xr3:uid="{8CC8BB9B-601E-4BB4-B63E-BE429656D172}" name="Entrada" dataDxfId="1511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4F2E3C78-49DF-438D-A2AF-840084C0C05C}" name="OS" dataDxfId="1505"/>
    <tableColumn id="2" xr3:uid="{2EBF3173-B4D7-4BCC-8593-5878D7F40F65}" name="Vendedor" dataDxfId="1504"/>
    <tableColumn id="3" xr3:uid="{BFD4CEE5-C30B-49BA-951C-C0B0CCFBDF6A}" name="CARNE" dataDxfId="15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7"/>
    <tableColumn id="2" xr3:uid="{69A152AB-9A1E-4E74-850B-E7190DCBB712}" name="Cliente" dataDxfId="1496"/>
    <tableColumn id="3" xr3:uid="{F918E665-3FA3-4D49-8B7B-662CAB3CB814}" name="Forma de Pgto" dataDxfId="1495" dataCellStyle="Moeda"/>
    <tableColumn id="4" xr3:uid="{31D63A0C-E278-497A-9D40-34077035FD25}" name="Valor Parcela" dataDxfId="1494" dataCellStyle="Porcentagem"/>
    <tableColumn id="5" xr3:uid="{1B552883-A189-4B21-8398-A08FF7756606}" name="Nº Parcela" dataDxfId="1493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2" headerRowBorderDxfId="1491" tableBorderDxfId="1490" totalsRowBorderDxfId="1489">
  <autoFilter ref="K34:M41" xr:uid="{1B8643D4-6AC3-4029-882A-C62E9D7CB225}"/>
  <tableColumns count="3">
    <tableColumn id="1" xr3:uid="{8A794627-537E-47A8-A07A-ED4FE9B7FAEE}" name="OS" dataDxfId="1488"/>
    <tableColumn id="2" xr3:uid="{75A5608F-8F26-4C71-A24D-8E79F737416A}" name="Parcelas" dataDxfId="1487"/>
    <tableColumn id="3" xr3:uid="{405D57D3-4E8E-4A9E-A3A3-7DDC45B62F91}" name="Valor Total" dataDxfId="14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0" dataCellStyle="Moeda"/>
    <tableColumn id="5" xr3:uid="{62DCD49D-7CD9-4268-A2D5-B3A594E461BB}" name="Cliente" dataDxfId="1479" dataCellStyle="Moeda"/>
    <tableColumn id="2" xr3:uid="{50D45495-B1A2-4885-996A-3E6DD92E280E}" name="Forma de Pgto" dataDxfId="1478" dataCellStyle="Moeda"/>
    <tableColumn id="3" xr3:uid="{DE57E226-692B-42B0-911E-ACCF59BC6D86}" name="Valor Venda" dataDxfId="1477" dataCellStyle="Porcentagem"/>
    <tableColumn id="4" xr3:uid="{CE230B3B-D2C9-4A92-A5F3-A5EE4A74409A}" name="Entrada" dataDxfId="1476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58E2E66D-9AC0-4A69-BF19-1AB9AD59BA2F}" name="Descrição" dataDxfId="1470"/>
    <tableColumn id="2" xr3:uid="{FE1E3124-46C3-49A6-AE83-7C14B341DF59}" name="Tipo de Pagto" dataDxfId="1469"/>
    <tableColumn id="3" xr3:uid="{D8FBF474-04EE-46ED-9B9E-791D937CF715}" name="Valor" dataDxfId="146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2"/>
    <tableColumn id="2" xr3:uid="{595EF087-A3B2-4C2B-AEEA-F930A6C2F5F4}" name="Cliente" dataDxfId="1461"/>
    <tableColumn id="3" xr3:uid="{C5C2BC75-6E8D-4808-A5EE-A5F9251ECE6C}" name="Forma de Pgto" dataDxfId="1460" dataCellStyle="Moeda"/>
    <tableColumn id="4" xr3:uid="{20CF776B-B9F4-48DD-9379-961689B40B71}" name="Valor Venda" dataDxfId="1459" dataCellStyle="Porcentagem"/>
    <tableColumn id="5" xr3:uid="{65177CB6-6D07-42E6-8EFE-435282A2F5BA}" name="Entrada" dataDxfId="1458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B4C5A0E6-F291-4369-998D-321E2024DFE1}" name="OS" dataDxfId="1452"/>
    <tableColumn id="2" xr3:uid="{D1AEFC99-FF9D-4A0D-BE93-D866BDC7A817}" name="Vendedor" dataDxfId="1451"/>
    <tableColumn id="3" xr3:uid="{CA30546E-8A3F-45D5-BE2B-24DCF738F1F2}" name="CARNE" dataDxfId="14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4"/>
    <tableColumn id="2" xr3:uid="{7D38F106-0145-4B73-951B-86BF22EC7FAB}" name="Cliente" dataDxfId="1443"/>
    <tableColumn id="3" xr3:uid="{11A4EEBE-D35C-4719-B2B9-16486260EF79}" name="Forma de Pgto" dataDxfId="1442" dataCellStyle="Moeda"/>
    <tableColumn id="4" xr3:uid="{1BAB2FC5-9F2C-41DD-994A-6BA83A984883}" name="Valor Parcela" dataDxfId="1441" dataCellStyle="Porcentagem"/>
    <tableColumn id="5" xr3:uid="{8C539F89-5F96-4DB9-B7A4-784EA1B5350C}" name="Nº Parcela" dataDxfId="1440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39" headerRowBorderDxfId="1438" tableBorderDxfId="1437" totalsRowBorderDxfId="1436">
  <autoFilter ref="K34:M41" xr:uid="{1B8643D4-6AC3-4029-882A-C62E9D7CB225}"/>
  <tableColumns count="3">
    <tableColumn id="1" xr3:uid="{0B93901B-D681-410F-8B28-E186D9A3CAC3}" name="OS" dataDxfId="1435"/>
    <tableColumn id="2" xr3:uid="{A57C0E02-6258-48F0-9407-2095CD96B2D4}" name="Parcelas" dataDxfId="1434"/>
    <tableColumn id="3" xr3:uid="{1EA087CF-658D-4951-89BB-508667E3BBBE}" name="Valor Total" dataDxfId="14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7" dataCellStyle="Moeda"/>
    <tableColumn id="5" xr3:uid="{98DC42E5-632F-4288-9CC5-1F032859A7E7}" name="Cliente" dataDxfId="1426" dataCellStyle="Moeda"/>
    <tableColumn id="2" xr3:uid="{4AE32B81-9EBD-470B-9ABE-A82D6658F3FE}" name="Forma de Pgto" dataDxfId="1425" dataCellStyle="Moeda"/>
    <tableColumn id="3" xr3:uid="{6E5BAEC1-2689-4ABB-93EC-298595B5C82E}" name="Valor Venda" dataDxfId="1424" dataCellStyle="Porcentagem"/>
    <tableColumn id="4" xr3:uid="{24493E7B-FE77-4A85-8810-0F0A4A84D997}" name="Entrada" dataDxfId="1423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DA50BBFB-ECA9-45DE-9949-F3F90EEC3BA7}" name="Descrição" dataDxfId="1417"/>
    <tableColumn id="2" xr3:uid="{A64D4F88-B62D-440B-BA71-6D7BB28D542E}" name="Tipo de Pagto" dataDxfId="1416"/>
    <tableColumn id="3" xr3:uid="{0406A209-0652-47F9-9AB4-3256B26876D2}" name="Valor" dataDxfId="14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09"/>
    <tableColumn id="2" xr3:uid="{8B8D24E4-1123-478B-838C-FCF56EABBDFD}" name="Cliente" dataDxfId="1408"/>
    <tableColumn id="3" xr3:uid="{8B7DE8DF-8D5D-4245-A63D-EF550AE347E3}" name="Forma de Pgto" dataDxfId="1407" dataCellStyle="Moeda"/>
    <tableColumn id="4" xr3:uid="{95A77C0C-49D0-45A2-8B99-A765C4741CE7}" name="Valor Venda" dataDxfId="1406" dataCellStyle="Porcentagem"/>
    <tableColumn id="5" xr3:uid="{FF4FDD32-DA70-4723-A8FB-07B3FB04B5CD}" name="Entrada" dataDxfId="1405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A31E67F7-E266-4220-8D3F-09556FCE20B1}" name="OS" dataDxfId="1399"/>
    <tableColumn id="2" xr3:uid="{2ED39269-8DA5-4157-9E82-8C8ED0C828A3}" name="Vendedor" dataDxfId="1398"/>
    <tableColumn id="3" xr3:uid="{F550B35D-6F70-4E2E-9037-3A7DF5BB4D86}" name="CARNE" dataDxfId="139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1"/>
    <tableColumn id="2" xr3:uid="{58D563AD-1DCA-4768-9170-A0079A20A1DF}" name="Cliente" dataDxfId="1390"/>
    <tableColumn id="3" xr3:uid="{FE883FCE-942C-4DE5-904D-B12FE6C4992D}" name="Forma de Pgto" dataDxfId="1389" dataCellStyle="Moeda"/>
    <tableColumn id="4" xr3:uid="{21451B08-4DF0-4C35-AC45-94C183AA6A59}" name="Valor Parcela" dataDxfId="1388" dataCellStyle="Porcentagem"/>
    <tableColumn id="5" xr3:uid="{8F93C3AE-47D0-4E55-A038-445341804CE9}" name="Nº Parcela" dataDxfId="1387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6" headerRowBorderDxfId="1385" tableBorderDxfId="1384" totalsRowBorderDxfId="1383">
  <autoFilter ref="K34:M41" xr:uid="{1B8643D4-6AC3-4029-882A-C62E9D7CB225}"/>
  <tableColumns count="3">
    <tableColumn id="1" xr3:uid="{2687574F-C0F9-4AD1-A54B-286C1AE50D97}" name="OS" dataDxfId="1382"/>
    <tableColumn id="2" xr3:uid="{AE623FF4-38C1-45D9-B220-1CD4A553B7C1}" name="Parcelas" dataDxfId="1381"/>
    <tableColumn id="3" xr3:uid="{EEBFC521-3084-43FF-A36B-C25CE198B817}" name="Valor Total" dataDxfId="13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4" dataCellStyle="Moeda"/>
    <tableColumn id="5" xr3:uid="{F5DA840E-A051-4AE4-AE1A-9DAFAF8FFC3B}" name="Cliente" dataDxfId="1373" dataCellStyle="Moeda"/>
    <tableColumn id="2" xr3:uid="{DF65CD3D-444A-4025-B98B-F38F11610432}" name="Forma de Pgto" dataDxfId="1372" dataCellStyle="Moeda"/>
    <tableColumn id="3" xr3:uid="{9A4839DC-9153-466A-B0AF-456FAEF79174}" name="Valor Venda" dataDxfId="1371" dataCellStyle="Porcentagem"/>
    <tableColumn id="4" xr3:uid="{EF410A7C-DBD1-4367-A43B-616826FFEB4F}" name="Entrada" dataDxfId="1370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1C90853-2F5A-4C32-8AC3-18ECE1FDDF43}" name="Descrição" dataDxfId="1364"/>
    <tableColumn id="2" xr3:uid="{DEB32F17-2D52-4FBB-90C4-1C3AE9C104E6}" name="Tipo de Pagto" dataDxfId="1363"/>
    <tableColumn id="3" xr3:uid="{089B3650-C090-496F-BF9A-6E8466DBF76A}" name="Valor" dataDxfId="13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6"/>
    <tableColumn id="2" xr3:uid="{73AEC7DD-005C-4428-9D1D-1A3761F2192B}" name="Cliente" dataDxfId="1355"/>
    <tableColumn id="3" xr3:uid="{FA28017F-3137-49BD-B826-2E261901E543}" name="Forma de Pgto" dataDxfId="1354" dataCellStyle="Moeda"/>
    <tableColumn id="4" xr3:uid="{6030418B-B1EC-4D4D-96DF-0EB78B87F6F9}" name="Valor Venda" dataDxfId="1353" dataCellStyle="Porcentagem"/>
    <tableColumn id="5" xr3:uid="{0576A975-F40D-4463-85C0-76AB6FCD63AC}" name="Entrada" dataDxfId="1352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830E23BA-DE90-49EF-B4EA-89C3276575B2}" name="OS" dataDxfId="1346"/>
    <tableColumn id="2" xr3:uid="{679AF5A0-4545-4316-AD6C-E4B7A7BA099A}" name="Vendedor" dataDxfId="1345"/>
    <tableColumn id="3" xr3:uid="{6B801D58-D05B-4A78-A6FE-BC9EF408DC10}" name="CARNE" dataDxfId="13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38"/>
    <tableColumn id="2" xr3:uid="{953837B7-D16A-40C2-9C83-CD7E7171C88F}" name="Cliente" dataDxfId="1337"/>
    <tableColumn id="3" xr3:uid="{63860264-C651-4A12-8F01-E9F622A843C0}" name="Forma de Pgto" dataDxfId="1336" dataCellStyle="Moeda"/>
    <tableColumn id="4" xr3:uid="{584373BD-23BA-4A1E-A4FC-3D4A594F4148}" name="Valor Parcela" dataDxfId="1335" dataCellStyle="Porcentagem"/>
    <tableColumn id="5" xr3:uid="{7CBAF04B-D82E-4180-A8EA-98461BE41F4A}" name="Nº Parcela" dataDxfId="1334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3" headerRowBorderDxfId="1332" tableBorderDxfId="1331" totalsRowBorderDxfId="1330">
  <autoFilter ref="K34:M41" xr:uid="{1B8643D4-6AC3-4029-882A-C62E9D7CB225}"/>
  <tableColumns count="3">
    <tableColumn id="1" xr3:uid="{F555359C-BC20-4C24-A948-500BDD3B5763}" name="OS" dataDxfId="1329"/>
    <tableColumn id="2" xr3:uid="{B72B4820-B8B5-4F80-83B5-9EC54EF78025}" name="Parcelas" dataDxfId="1328"/>
    <tableColumn id="3" xr3:uid="{893DDBC4-5663-4D63-80CB-4E7482811983}" name="Valor Total" dataDxfId="132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21" dataCellStyle="Moeda"/>
    <tableColumn id="5" xr3:uid="{4F9ED826-A0E1-4FB0-83C6-A561EA7B6750}" name="Cliente" dataDxfId="1320" dataCellStyle="Moeda"/>
    <tableColumn id="2" xr3:uid="{C2B928FE-CB2E-4271-AE3D-2FE26117248E}" name="Forma de Pgto" dataDxfId="1319" dataCellStyle="Moeda"/>
    <tableColumn id="3" xr3:uid="{CE23E3D0-4056-4DCB-83C4-5B94BD49CAAC}" name="Valor Venda" dataDxfId="1318" dataCellStyle="Porcentagem"/>
    <tableColumn id="4" xr3:uid="{1F426340-BFB9-4B9E-B988-7A195156D2F2}" name="Entrada" dataDxfId="1317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4C840DC-E06E-4A51-B1BF-E769E4EC9ACB}" name="Descrição" dataDxfId="1311"/>
    <tableColumn id="2" xr3:uid="{E6DE1F07-CE97-421A-A22A-4B4270DDF46D}" name="Tipo de Pagto" dataDxfId="1310"/>
    <tableColumn id="3" xr3:uid="{D84FBA92-07C5-41FD-BBA2-2AADF245D1D6}" name="Valor" dataDxfId="130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03"/>
    <tableColumn id="2" xr3:uid="{CD77FB12-1DAA-4DAF-B42A-0357959803DD}" name="Cliente" dataDxfId="1302"/>
    <tableColumn id="3" xr3:uid="{5F4C4F5C-C920-452A-B2BA-592AD2C18723}" name="Forma de Pgto" dataDxfId="1301" dataCellStyle="Moeda"/>
    <tableColumn id="4" xr3:uid="{3930B2F0-6049-4E02-92B1-EC55A5330B2C}" name="Valor Venda" dataDxfId="1300" dataCellStyle="Porcentagem"/>
    <tableColumn id="5" xr3:uid="{82EBAE08-64CA-459E-9015-FA8F61210D87}" name="Entrada" dataDxfId="129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0565617-EB8C-486F-838C-B370E84BC8A2}" name="OS" dataDxfId="1293"/>
    <tableColumn id="2" xr3:uid="{EA20833B-67D8-48B8-B6E4-54A10D0969E8}" name="Vendedor" dataDxfId="1292"/>
    <tableColumn id="3" xr3:uid="{8B1F8993-74A4-499F-AD5E-91A6051BA219}" name="CARNE" dataDxfId="12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85"/>
    <tableColumn id="2" xr3:uid="{FB461660-91D6-4E31-81FF-113A17320EED}" name="Cliente" dataDxfId="1284"/>
    <tableColumn id="3" xr3:uid="{0A47D0C3-375B-4E2D-B5E9-2048252BC0D3}" name="Forma de Pgto" dataDxfId="1283" dataCellStyle="Moeda"/>
    <tableColumn id="4" xr3:uid="{F9C62ED5-C18D-465D-B7E4-0729BD7B3A10}" name="Valor Parcela" dataDxfId="1282" dataCellStyle="Porcentagem"/>
    <tableColumn id="5" xr3:uid="{DD9D513B-1645-445F-83E9-DC54C163BD4E}" name="Nº Parcela" dataDxfId="128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0" headerRowBorderDxfId="1279" tableBorderDxfId="1278" totalsRowBorderDxfId="1277">
  <autoFilter ref="K34:M41" xr:uid="{1B8643D4-6AC3-4029-882A-C62E9D7CB225}"/>
  <tableColumns count="3">
    <tableColumn id="1" xr3:uid="{D65B195F-C059-40E5-A4CA-FE91C5DB43DB}" name="OS" dataDxfId="1276"/>
    <tableColumn id="2" xr3:uid="{A2A023CF-C61D-419E-ABB0-2F9CEE35150B}" name="Parcelas" dataDxfId="1275"/>
    <tableColumn id="3" xr3:uid="{F7D650A1-7C3D-42D0-B133-EB49D396C64F}" name="Valor Total" dataDxfId="127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68" dataCellStyle="Moeda"/>
    <tableColumn id="5" xr3:uid="{FF96847D-D5C5-4F73-905C-E549112972E1}" name="Cliente" dataDxfId="1267" dataCellStyle="Moeda"/>
    <tableColumn id="2" xr3:uid="{1B47815A-C2E2-4886-9A6F-B2A7307F901E}" name="Forma de Pgto" dataDxfId="1266" dataCellStyle="Moeda"/>
    <tableColumn id="3" xr3:uid="{FD86C99A-4E69-452A-8D71-B939B84F2B55}" name="Valor Venda" dataDxfId="1265" dataCellStyle="Porcentagem"/>
    <tableColumn id="4" xr3:uid="{49ECBAAC-14EE-43F3-BE6F-974EF5F3E156}" name="Entrada" dataDxfId="126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5236D397-E61A-4AA1-B99C-AD40093239F9}" name="Descrição" dataDxfId="1258"/>
    <tableColumn id="2" xr3:uid="{3341FC2A-819A-41AF-B8A9-B5A195B8D597}" name="Tipo de Pagto" dataDxfId="1257"/>
    <tableColumn id="3" xr3:uid="{D568CA16-B32B-4F86-9DE5-B8B3E9825745}" name="Valor" dataDxfId="125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0"/>
    <tableColumn id="2" xr3:uid="{DEEB020C-2BC4-4E77-9557-B0FDBCF683E9}" name="Cliente" dataDxfId="1249"/>
    <tableColumn id="3" xr3:uid="{FC27FDBE-5194-4E32-AFD1-DB754ECCEF38}" name="Forma de Pgto" dataDxfId="1248" dataCellStyle="Moeda"/>
    <tableColumn id="4" xr3:uid="{489A4CE9-C3F1-4322-9639-D01F0935FB0E}" name="Valor Venda" dataDxfId="1247" dataCellStyle="Porcentagem"/>
    <tableColumn id="5" xr3:uid="{07E5F22F-7782-466E-98DB-48416B35B9C4}" name="Entrada" dataDxfId="124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4926A1A-00A9-4844-90B1-E36D53050FAD}" name="OS" dataDxfId="1240"/>
    <tableColumn id="2" xr3:uid="{CFC62C38-9887-48E6-A3B8-42586D1EC066}" name="Vendedor" dataDxfId="1239"/>
    <tableColumn id="3" xr3:uid="{32577275-2002-496E-8AD4-5FE489DBC179}" name="CARNE" dataDxfId="123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2"/>
    <tableColumn id="2" xr3:uid="{19438CD0-86D0-4CC4-9B41-5D756AC61E4D}" name="Cliente" dataDxfId="1231"/>
    <tableColumn id="3" xr3:uid="{59621200-4821-4583-9D35-A2EA6C27B52D}" name="Forma de Pgto" dataDxfId="1230" dataCellStyle="Moeda"/>
    <tableColumn id="4" xr3:uid="{35A817E7-6B21-48A7-863E-225DFEDD8B2A}" name="Valor Parcela" dataDxfId="1229" dataCellStyle="Porcentagem"/>
    <tableColumn id="5" xr3:uid="{77D80430-C5F8-4582-B3DF-9A9A9350F565}" name="Nº Parcela" dataDxfId="122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7" headerRowBorderDxfId="1226" tableBorderDxfId="1225" totalsRowBorderDxfId="1224">
  <autoFilter ref="K34:M41" xr:uid="{1B8643D4-6AC3-4029-882A-C62E9D7CB225}"/>
  <tableColumns count="3">
    <tableColumn id="1" xr3:uid="{503F9F70-E540-4505-B65D-D233FCB88D5F}" name="OS" dataDxfId="1223"/>
    <tableColumn id="2" xr3:uid="{6A2B4927-D830-4C18-8831-6FE23BFAD877}" name="Parcelas" dataDxfId="1222"/>
    <tableColumn id="3" xr3:uid="{8E06E94A-FF62-4D13-8B11-C6CE2990FCDF}" name="Valor Total" dataDxfId="122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5" dataCellStyle="Moeda"/>
    <tableColumn id="5" xr3:uid="{00000000-0010-0000-0900-000005000000}" name="Cliente" dataDxfId="1214" dataCellStyle="Moeda"/>
    <tableColumn id="2" xr3:uid="{00000000-0010-0000-0900-000002000000}" name="Forma de Pgto" dataDxfId="1213" dataCellStyle="Moeda"/>
    <tableColumn id="3" xr3:uid="{00000000-0010-0000-0900-000003000000}" name="Valor Venda" dataDxfId="1212" dataCellStyle="Porcentagem"/>
    <tableColumn id="4" xr3:uid="{00000000-0010-0000-0900-000004000000}" name="Entrada" dataDxfId="121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00000000-0010-0000-0A00-000001000000}" name="Descrição" dataDxfId="1205"/>
    <tableColumn id="2" xr3:uid="{00000000-0010-0000-0A00-000002000000}" name="Tipo de Pagto" dataDxfId="1204"/>
    <tableColumn id="3" xr3:uid="{00000000-0010-0000-0A00-000003000000}" name="Valor" dataDxfId="120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7"/>
    <tableColumn id="2" xr3:uid="{00000000-0010-0000-0B00-000002000000}" name="Cliente" dataDxfId="1196"/>
    <tableColumn id="3" xr3:uid="{00000000-0010-0000-0B00-000003000000}" name="Forma de Pgto" dataDxfId="1195" dataCellStyle="Moeda"/>
    <tableColumn id="4" xr3:uid="{00000000-0010-0000-0B00-000004000000}" name="Valor Venda" dataDxfId="1194" dataCellStyle="Porcentagem"/>
    <tableColumn id="5" xr3:uid="{00000000-0010-0000-0B00-000005000000}" name="Entrada" dataDxfId="119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5EB8AC8-7F8E-49D1-A903-14124A5BA1B1}" name="OS" dataDxfId="1187"/>
    <tableColumn id="2" xr3:uid="{E1794679-294A-42ED-9D8F-4C0874170BFA}" name="Vendedor" dataDxfId="1186"/>
    <tableColumn id="3" xr3:uid="{CB411C23-941D-4548-984D-68460932D683}" name="CARNE" dataDxfId="1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79"/>
    <tableColumn id="2" xr3:uid="{430FE27E-32BC-43B0-BB6E-CCBAB36B2A5A}" name="Cliente" dataDxfId="1178"/>
    <tableColumn id="3" xr3:uid="{568CECCF-BE0A-4266-A7C7-9359F722EA0F}" name="Forma de Pgto" dataDxfId="1177" dataCellStyle="Moeda"/>
    <tableColumn id="4" xr3:uid="{9CF4291A-8808-43DB-9F83-A7EB463C5F4A}" name="Valor Parcela" dataDxfId="1176" dataCellStyle="Porcentagem"/>
    <tableColumn id="5" xr3:uid="{736EA743-97FA-4800-BEDD-5C07EEB144A8}" name="Nº Parcela" dataDxfId="117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4" headerRowBorderDxfId="1173" tableBorderDxfId="1172" totalsRowBorderDxfId="1171">
  <autoFilter ref="K34:M41" xr:uid="{1B8643D4-6AC3-4029-882A-C62E9D7CB225}"/>
  <tableColumns count="3">
    <tableColumn id="1" xr3:uid="{132FEC50-51B3-4AAA-BF48-63FA39ED861C}" name="OS" dataDxfId="1170"/>
    <tableColumn id="2" xr3:uid="{11276640-1C63-48D7-BE0B-1FE7C736A1A8}" name="Parcelas" dataDxfId="1169"/>
    <tableColumn id="3" xr3:uid="{96591591-9F74-40A6-B0B9-BA6D2106107F}" name="Valor Total" dataDxfId="11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2" dataCellStyle="Moeda"/>
    <tableColumn id="5" xr3:uid="{795F9F6D-AAE5-4C61-A646-82BF506C503E}" name="Cliente" dataDxfId="1161" dataCellStyle="Moeda"/>
    <tableColumn id="2" xr3:uid="{DD13626B-6361-410E-BFB7-9E75436163A4}" name="Forma de Pgto" dataDxfId="1160" dataCellStyle="Moeda"/>
    <tableColumn id="3" xr3:uid="{8939280F-F6DC-4F66-ADDF-59F6A387460C}" name="Valor Venda" dataDxfId="1159" dataCellStyle="Porcentagem"/>
    <tableColumn id="4" xr3:uid="{FFC83B9E-825A-4058-BFEA-DA64D7159065}" name="Entrada" dataDxfId="115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9309A091-2326-4B68-B8C9-B31CF2D72EAF}" name="Descrição" dataDxfId="1152"/>
    <tableColumn id="2" xr3:uid="{910D89CE-506B-440F-8EB2-31633D7CAD51}" name="Tipo de Pagto" dataDxfId="1151"/>
    <tableColumn id="3" xr3:uid="{7155C391-52F1-4F4A-84B1-7BBC44A35A99}" name="Valor" dataDxfId="11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4"/>
    <tableColumn id="2" xr3:uid="{75B601B3-9668-4B1A-ADF2-17DA487A3413}" name="Cliente" dataDxfId="1143"/>
    <tableColumn id="3" xr3:uid="{64F47935-52AF-4AE3-9262-06D7472567D7}" name="Forma de Pgto" dataDxfId="1142" dataCellStyle="Moeda"/>
    <tableColumn id="4" xr3:uid="{9257AA0D-34DE-4B38-8406-BC1F561A53B3}" name="Valor Venda" dataDxfId="1141" dataCellStyle="Porcentagem"/>
    <tableColumn id="5" xr3:uid="{4C98958F-FB27-4968-81B6-D7CC6BBD2DAE}" name="Entrada" dataDxfId="114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5B76297-FCE6-4684-80C4-601E84D95BB4}" name="OS" dataDxfId="1134"/>
    <tableColumn id="2" xr3:uid="{AEB024E2-EB15-40A6-B65B-468339937BD0}" name="Vendedor" dataDxfId="1133"/>
    <tableColumn id="3" xr3:uid="{ACDDDA2A-4116-4E25-B799-0071372A8FAA}" name="CARNE" dataDxfId="113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6"/>
    <tableColumn id="2" xr3:uid="{A06C5B3A-A28C-4563-87C4-B63635D6E7B9}" name="Cliente" dataDxfId="1125"/>
    <tableColumn id="3" xr3:uid="{4AC120F2-6F4A-41F2-87D2-680E8D6F8D96}" name="Forma de Pgto" dataDxfId="1124" dataCellStyle="Moeda"/>
    <tableColumn id="4" xr3:uid="{17DB2EA9-C13D-4AEB-AB97-B4C907D16420}" name="Valor Parcela" dataDxfId="1123" dataCellStyle="Porcentagem"/>
    <tableColumn id="5" xr3:uid="{F6E09F06-2F23-4822-A9B4-D8898604A1E0}" name="Nº Parcela" dataDxfId="112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1" headerRowBorderDxfId="1120" tableBorderDxfId="1119" totalsRowBorderDxfId="1118">
  <autoFilter ref="K34:M41" xr:uid="{1B8643D4-6AC3-4029-882A-C62E9D7CB225}"/>
  <tableColumns count="3">
    <tableColumn id="1" xr3:uid="{D0DE8F47-9BDA-4E4F-92E6-E2404F920F1B}" name="OS" dataDxfId="1117"/>
    <tableColumn id="2" xr3:uid="{43AD47D8-F738-4D39-8B0B-E0AC217D9D32}" name="Parcelas" dataDxfId="1116"/>
    <tableColumn id="3" xr3:uid="{024ED2FF-C4EC-44DC-9129-9BE8032DC4A5}" name="Valor Total" dataDxfId="111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09" dataCellStyle="Moeda"/>
    <tableColumn id="5" xr3:uid="{C13AA79A-76C7-4954-B055-3EC7A6A9008A}" name="Cliente" dataDxfId="1108" dataCellStyle="Moeda"/>
    <tableColumn id="2" xr3:uid="{56D92948-0431-4E11-AC7A-A6D6B6D3D15E}" name="Forma de Pgto" dataDxfId="1107" dataCellStyle="Moeda"/>
    <tableColumn id="3" xr3:uid="{3348DA9C-6AA9-49E4-8450-E8BC22BC5F6C}" name="Valor Venda" dataDxfId="1106" dataCellStyle="Porcentagem"/>
    <tableColumn id="4" xr3:uid="{A03B4BE2-2B4F-4512-98ED-45C3754F4D2A}" name="Entrada" dataDxfId="110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2700D0CD-8906-41BB-B51F-AAECD67A05FE}" name="Descrição" dataDxfId="1099"/>
    <tableColumn id="2" xr3:uid="{00E5FAC2-C7E2-44A6-AA64-460782F41E47}" name="Tipo de Pagto" dataDxfId="1098"/>
    <tableColumn id="3" xr3:uid="{70D30678-03EC-4DC1-BB28-EBD756D1976D}" name="Valor" dataDxfId="109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1"/>
    <tableColumn id="2" xr3:uid="{59310BF7-C6CA-49AF-8D7C-32023868A553}" name="Cliente" dataDxfId="1090"/>
    <tableColumn id="3" xr3:uid="{C13BE163-BA03-41E0-A121-27164C58ABA3}" name="Forma de Pgto" dataDxfId="1089" dataCellStyle="Moeda"/>
    <tableColumn id="4" xr3:uid="{E9797482-8A01-4C8B-8B66-47DE3D38D78F}" name="Valor Venda" dataDxfId="1088" dataCellStyle="Porcentagem"/>
    <tableColumn id="5" xr3:uid="{864D3F67-D199-48BA-8E16-3EFBAC4AF8A2}" name="Entrada" dataDxfId="108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92200504-6651-4517-B155-4C75687BBC1E}" name="OS" dataDxfId="1081"/>
    <tableColumn id="2" xr3:uid="{BE1934F5-5D06-41D6-9394-C4D383C8CD33}" name="Vendedor" dataDxfId="1080"/>
    <tableColumn id="3" xr3:uid="{F504E9B2-856C-4C10-AA72-D7A7B035B330}" name="CARNE" dataDxfId="107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3"/>
    <tableColumn id="2" xr3:uid="{95B09C40-3752-47D7-9085-F5B42BC487DA}" name="Cliente" dataDxfId="1072"/>
    <tableColumn id="3" xr3:uid="{1A0B311C-327A-4C44-9D04-81730B41B9A2}" name="Forma de Pgto" dataDxfId="1071" dataCellStyle="Moeda"/>
    <tableColumn id="4" xr3:uid="{9A802666-F9A1-4EB6-824C-ECF60066044F}" name="Valor Parcela" dataDxfId="1070" dataCellStyle="Porcentagem"/>
    <tableColumn id="5" xr3:uid="{1CC0AF26-B599-4D4F-8BD5-BBE76DBCE085}" name="Nº Parcela" dataDxfId="106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68" headerRowBorderDxfId="1067" tableBorderDxfId="1066" totalsRowBorderDxfId="1065">
  <autoFilter ref="K34:M41" xr:uid="{1B8643D4-6AC3-4029-882A-C62E9D7CB225}"/>
  <tableColumns count="3">
    <tableColumn id="1" xr3:uid="{D712257D-E310-4A34-972E-E8E3502C0E07}" name="OS" dataDxfId="1064"/>
    <tableColumn id="2" xr3:uid="{DE78D123-6817-4646-8C08-920B2F11524F}" name="Parcelas" dataDxfId="1063"/>
    <tableColumn id="3" xr3:uid="{5BFF5A3E-02FE-410E-B1DB-45BB5A31FC42}" name="Valor Total" dataDxfId="106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6" dataCellStyle="Moeda"/>
    <tableColumn id="5" xr3:uid="{A57F8BDB-02F9-493C-AD6D-F47611C369D5}" name="Cliente" dataDxfId="1055" dataCellStyle="Moeda"/>
    <tableColumn id="2" xr3:uid="{3BF4EA26-026F-42E1-9B28-3FCC68B54E9F}" name="Forma de Pgto" dataDxfId="1054" dataCellStyle="Moeda"/>
    <tableColumn id="3" xr3:uid="{FD063076-8462-4774-B716-34AAD1738449}" name="Valor Venda" dataDxfId="1053" dataCellStyle="Porcentagem"/>
    <tableColumn id="4" xr3:uid="{690445E0-65B1-450A-A6D3-179070107086}" name="Entrada" dataDxfId="105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5D510C76-887A-4F0A-A2F3-BD55732E9E85}" name="Descrição" dataDxfId="1046"/>
    <tableColumn id="2" xr3:uid="{F6C1F4A7-28F4-48F8-905E-708FA62EB574}" name="Tipo de Pagto" dataDxfId="1045"/>
    <tableColumn id="3" xr3:uid="{E62B0002-F6CD-4351-A9EA-673FC7C97B03}" name="Valor" dataDxfId="10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38"/>
    <tableColumn id="2" xr3:uid="{822B50C3-46B7-46F0-8829-5293CCAFB21E}" name="Cliente" dataDxfId="1037"/>
    <tableColumn id="3" xr3:uid="{F2A36AB3-30D6-4C43-A466-18FF147EE075}" name="Forma de Pgto" dataDxfId="1036" dataCellStyle="Moeda"/>
    <tableColumn id="4" xr3:uid="{AD829CF8-2271-44F1-A1F1-4928D83ED658}" name="Valor Venda" dataDxfId="1035" dataCellStyle="Porcentagem"/>
    <tableColumn id="5" xr3:uid="{7973C843-3740-4AE2-931D-89DE845BA145}" name="Entrada" dataDxfId="1034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404BEA27-9F48-40AC-AF84-177E7CA2ADEC}" name="OS" dataDxfId="1028"/>
    <tableColumn id="2" xr3:uid="{BC07784A-25E9-4C57-B0FF-1E3D183BCD37}" name="Vendedor" dataDxfId="1027"/>
    <tableColumn id="3" xr3:uid="{EFFF7860-5B35-466B-BA53-4485DC02FB15}" name="CARNE" dataDxfId="102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0"/>
    <tableColumn id="2" xr3:uid="{A8D4686B-F05E-4D96-BDB9-FD354C9E28B8}" name="Cliente" dataDxfId="1019"/>
    <tableColumn id="3" xr3:uid="{0FB871EC-4505-4E7C-A162-0EFDB16AB8E5}" name="Forma de Pgto" dataDxfId="1018" dataCellStyle="Moeda"/>
    <tableColumn id="4" xr3:uid="{41436228-3E61-4F7F-80EF-627B1794150B}" name="Valor Parcela" dataDxfId="1017" dataCellStyle="Porcentagem"/>
    <tableColumn id="5" xr3:uid="{9C580DC7-08E3-4AD7-B73C-C1AA4298633B}" name="Nº Parcela" dataDxfId="1016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5" headerRowBorderDxfId="1014" tableBorderDxfId="1013" totalsRowBorderDxfId="1012">
  <autoFilter ref="K34:M41" xr:uid="{1B8643D4-6AC3-4029-882A-C62E9D7CB225}"/>
  <tableColumns count="3">
    <tableColumn id="1" xr3:uid="{6E774D52-7DFE-4ED1-9F2F-47B5899CBAC1}" name="OS" dataDxfId="1011"/>
    <tableColumn id="2" xr3:uid="{39CE62CA-537C-4DF4-B8D5-281ED0EE57C3}" name="Parcelas" dataDxfId="1010"/>
    <tableColumn id="3" xr3:uid="{830AFF05-9BCF-488F-97F3-8D4378DE4DCB}" name="Valor Total" dataDxfId="1009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3" dataCellStyle="Moeda"/>
    <tableColumn id="5" xr3:uid="{CE0B3E90-9420-4A96-9195-72088311874E}" name="Cliente" dataDxfId="1002" dataCellStyle="Moeda"/>
    <tableColumn id="2" xr3:uid="{3EF1B45D-588D-4066-8ACF-697863B5F984}" name="Forma de Pgto" dataDxfId="1001" dataCellStyle="Moeda"/>
    <tableColumn id="3" xr3:uid="{9ADBAC7B-B04C-4E2B-9C83-E18200698CCE}" name="Valor Venda" dataDxfId="1000" dataCellStyle="Porcentagem"/>
    <tableColumn id="4" xr3:uid="{16823673-1F5B-4F46-A676-8665CF4D02BA}" name="Entrada" dataDxfId="999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A02811B4-F6FA-4EDA-94FE-5EDFE6293B48}" name="Descrição" dataDxfId="993"/>
    <tableColumn id="2" xr3:uid="{39EAD4CE-DDFA-4948-8B1E-10589BABDD84}" name="Tipo de Pagto" dataDxfId="992"/>
    <tableColumn id="3" xr3:uid="{30C3BD81-38C9-4C67-BF45-044DFDDD7A0B}" name="Valor" dataDxfId="99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5"/>
    <tableColumn id="2" xr3:uid="{BE6E3444-490A-4F75-BE63-234EB84D04F7}" name="Cliente" dataDxfId="984"/>
    <tableColumn id="3" xr3:uid="{868472E6-6C45-4AEC-9672-E559CFA15EA7}" name="Forma de Pgto" dataDxfId="983" dataCellStyle="Moeda"/>
    <tableColumn id="4" xr3:uid="{DB2D0AA9-9B1E-4A35-B9B2-8B1052EAD782}" name="Valor Venda" dataDxfId="982" dataCellStyle="Porcentagem"/>
    <tableColumn id="5" xr3:uid="{C23CEEDF-415E-4EFC-ACF7-2661157A84C3}" name="Entrada" dataDxfId="981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BAA11040-DE86-4FBA-899D-4F8D992FF700}" name="OS" dataDxfId="975"/>
    <tableColumn id="2" xr3:uid="{13D709D4-8F81-4D58-95F2-22F1C686CB18}" name="Vendedor" dataDxfId="974"/>
    <tableColumn id="3" xr3:uid="{92130A71-CEC8-4371-B6C9-DA29C0189A09}" name="CARNE" dataDxfId="9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7"/>
    <tableColumn id="2" xr3:uid="{7652DD36-D535-400C-856B-02CB62C18176}" name="Cliente" dataDxfId="966"/>
    <tableColumn id="3" xr3:uid="{129618E1-FDB4-497A-9DB0-29AC7143AF10}" name="Forma de Pgto" dataDxfId="965" dataCellStyle="Moeda"/>
    <tableColumn id="4" xr3:uid="{EC69F906-8001-4D12-8ED6-D597AE23E936}" name="Valor Parcela" dataDxfId="964" dataCellStyle="Porcentagem"/>
    <tableColumn id="5" xr3:uid="{65040BF1-55E0-4DD6-926F-3F0324D47077}" name="Nº Parcela" dataDxfId="963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2" headerRowBorderDxfId="961" tableBorderDxfId="960" totalsRowBorderDxfId="959">
  <autoFilter ref="K34:M41" xr:uid="{1B8643D4-6AC3-4029-882A-C62E9D7CB225}"/>
  <tableColumns count="3">
    <tableColumn id="1" xr3:uid="{710179D9-1888-45A0-96B5-C6E1151FFFF0}" name="OS" dataDxfId="958"/>
    <tableColumn id="2" xr3:uid="{D9D130F4-6D87-4655-90D8-AF3976107C2A}" name="Parcelas" dataDxfId="957"/>
    <tableColumn id="3" xr3:uid="{07DCBA20-7E86-4F99-AED4-2BDCD854B71C}" name="Valor Total" dataDxfId="95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0" dataCellStyle="Moeda"/>
    <tableColumn id="5" xr3:uid="{C388448A-992D-4C2D-8BB2-14D587C7E260}" name="Cliente" dataDxfId="949" dataCellStyle="Moeda"/>
    <tableColumn id="2" xr3:uid="{C66BE185-63F5-4991-91CC-2661F40F891F}" name="Forma de Pgto" dataDxfId="948" dataCellStyle="Moeda"/>
    <tableColumn id="3" xr3:uid="{C86C165C-F04B-4F8A-9769-AE38C03F025E}" name="Valor Venda" dataDxfId="947" dataCellStyle="Porcentagem"/>
    <tableColumn id="4" xr3:uid="{C11C99C9-E646-4417-8698-61AFF55AB567}" name="Entrada" dataDxfId="946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696BC9EF-69BB-4D0D-96DF-B836B5771C08}" name="Descrição" dataDxfId="940"/>
    <tableColumn id="2" xr3:uid="{4F12E940-09E4-4E51-A2A0-CEF5523233E2}" name="Tipo de Pagto" dataDxfId="939"/>
    <tableColumn id="3" xr3:uid="{329E2ABB-99D4-47D1-8CEB-C3F4DE69A1C8}" name="Valor" dataDxfId="938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2"/>
    <tableColumn id="2" xr3:uid="{4745164B-5E29-4C65-87CA-C8C1B31B8272}" name="Cliente" dataDxfId="931"/>
    <tableColumn id="3" xr3:uid="{69D7D490-36CA-4F69-BF76-2ADB810B4F37}" name="Forma de Pgto" dataDxfId="930" dataCellStyle="Moeda"/>
    <tableColumn id="4" xr3:uid="{9B6B365B-42F7-499F-B705-B8F5196F8192}" name="Valor Venda" dataDxfId="929" dataCellStyle="Porcentagem"/>
    <tableColumn id="5" xr3:uid="{7C88B9A2-2920-4AD8-AC1F-7417F3FA8282}" name="Entrada" dataDxfId="928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5740FA63-223C-47B7-8842-178B003DB4BC}" name="OS" dataDxfId="922"/>
    <tableColumn id="2" xr3:uid="{5CCC3C75-C80E-44BB-BC37-80F487481DDA}" name="Vendedor" dataDxfId="921"/>
    <tableColumn id="3" xr3:uid="{585175B8-B982-429E-9344-163CE2687302}" name="CARNE" dataDxfId="920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4"/>
    <tableColumn id="2" xr3:uid="{2540FF22-68AB-4A04-B72D-DDBC8B064A8D}" name="Cliente" dataDxfId="913"/>
    <tableColumn id="3" xr3:uid="{A7CB1680-9636-42C6-8AD9-F68C54BBCE0A}" name="Forma de Pgto" dataDxfId="912" dataCellStyle="Moeda"/>
    <tableColumn id="4" xr3:uid="{727C37A8-450C-4D57-A2C9-396F29733C0A}" name="Valor Parcela" dataDxfId="911" dataCellStyle="Porcentagem"/>
    <tableColumn id="5" xr3:uid="{4B27DCBF-BD8C-46A2-BC12-DE369C458E8A}" name="Nº Parcela" dataDxfId="910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09" headerRowBorderDxfId="908" tableBorderDxfId="907" totalsRowBorderDxfId="906">
  <autoFilter ref="K34:M41" xr:uid="{1B8643D4-6AC3-4029-882A-C62E9D7CB225}"/>
  <tableColumns count="3">
    <tableColumn id="1" xr3:uid="{60FAE849-4EC1-49E6-990F-8A43377EE6C3}" name="OS" dataDxfId="905"/>
    <tableColumn id="2" xr3:uid="{B3127003-34D7-49FE-AFFC-7FA256F8BC3F}" name="Parcelas" dataDxfId="904"/>
    <tableColumn id="3" xr3:uid="{412AC98E-5FB9-4C3C-9FBF-2EBE1631A397}" name="Valor Total" dataDxfId="90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7" dataCellStyle="Moeda"/>
    <tableColumn id="5" xr3:uid="{A1AF61B3-EFAB-450A-92B2-38E357233CD5}" name="Cliente" dataDxfId="896" dataCellStyle="Moeda"/>
    <tableColumn id="2" xr3:uid="{DF277353-579D-439F-85C3-76DEACDE7A39}" name="Forma de Pgto" dataDxfId="895" dataCellStyle="Moeda"/>
    <tableColumn id="3" xr3:uid="{7164D8F5-C0CB-47F7-BD16-B590E7D85EDB}" name="Valor Venda" dataDxfId="894" dataCellStyle="Porcentagem"/>
    <tableColumn id="4" xr3:uid="{065B051D-7958-4E7D-972D-DDB0E8E7D052}" name="Entrada" dataDxfId="893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865498B1-F05E-46C9-B6C1-CCD85D9306C6}" name="Descrição" dataDxfId="887"/>
    <tableColumn id="2" xr3:uid="{37F7AC6A-A7CD-43FB-89B1-5E904BAC1EBD}" name="Tipo de Pagto" dataDxfId="886"/>
    <tableColumn id="3" xr3:uid="{A014E45A-B38A-47C2-A582-411CA2B495EE}" name="Valor" dataDxfId="88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79"/>
    <tableColumn id="2" xr3:uid="{BC7B7FC1-CF4C-42C2-ABD3-DFEEA234B02B}" name="Cliente" dataDxfId="878"/>
    <tableColumn id="3" xr3:uid="{67F17557-E38E-4865-93F5-DCEF4A7ED2C6}" name="Forma de Pgto" dataDxfId="877" dataCellStyle="Moeda"/>
    <tableColumn id="4" xr3:uid="{D2C10329-9C1A-4D0D-BC74-3A320E9B6593}" name="Valor Venda" dataDxfId="876" dataCellStyle="Porcentagem"/>
    <tableColumn id="5" xr3:uid="{82810E21-D152-4A22-94D5-0A28C60F4849}" name="Entrada" dataDxfId="875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7A4CC637-3546-4D1B-9D86-75C6034079BF}" name="OS" dataDxfId="869"/>
    <tableColumn id="2" xr3:uid="{CEB52B1C-2642-45A1-A1EB-26029A9B5402}" name="Vendedor" dataDxfId="868"/>
    <tableColumn id="3" xr3:uid="{8C88CFEB-7155-49BD-9D63-1FCC9096735E}" name="CARNE" dataDxfId="86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1"/>
    <tableColumn id="2" xr3:uid="{7C3577CA-FC44-4DC9-9002-D4EA74DFF73F}" name="Cliente" dataDxfId="860"/>
    <tableColumn id="3" xr3:uid="{77D25058-5D06-4E37-8746-BF184DDEEA81}" name="Forma de Pgto" dataDxfId="859" dataCellStyle="Moeda"/>
    <tableColumn id="4" xr3:uid="{5EDAFC3F-F478-449C-990C-45300A2C66DF}" name="Valor Parcela" dataDxfId="858" dataCellStyle="Porcentagem"/>
    <tableColumn id="5" xr3:uid="{5DBCC805-C046-4526-8886-13334D431CB2}" name="Nº Parcela" dataDxfId="857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6" headerRowBorderDxfId="855" tableBorderDxfId="854" totalsRowBorderDxfId="853">
  <autoFilter ref="K34:M41" xr:uid="{1B8643D4-6AC3-4029-882A-C62E9D7CB225}"/>
  <tableColumns count="3">
    <tableColumn id="1" xr3:uid="{FDFEB034-D746-488E-9611-5C5421DF9812}" name="OS" dataDxfId="852"/>
    <tableColumn id="2" xr3:uid="{AD1C8A9C-91DA-4D2C-A438-9B8648A5521B}" name="Parcelas" dataDxfId="851"/>
    <tableColumn id="3" xr3:uid="{577D3B3F-3A18-4FE3-8E0F-E82C9012821F}" name="Valor Total" dataDxfId="85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4" dataCellStyle="Moeda"/>
    <tableColumn id="5" xr3:uid="{53B9FE46-E769-466F-9757-A5C752203582}" name="Cliente" dataDxfId="843" dataCellStyle="Moeda"/>
    <tableColumn id="2" xr3:uid="{9AFD5C78-132A-4E21-96EC-75882307A334}" name="Forma de Pgto" dataDxfId="842" dataCellStyle="Moeda"/>
    <tableColumn id="3" xr3:uid="{0B7791DE-BC7F-4EA7-87CC-E8588E2F6D00}" name="Valor Venda" dataDxfId="841" dataCellStyle="Porcentagem"/>
    <tableColumn id="4" xr3:uid="{EDACC2B7-28DE-40D1-BC9D-356B5D64934D}" name="Entrada" dataDxfId="840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638F61A-E4B9-4300-BD8D-C0A6A3D7A8E2}" name="Descrição" dataDxfId="834"/>
    <tableColumn id="2" xr3:uid="{9DC04330-37E5-4813-8F2D-4BAA554527A5}" name="Tipo de Pagto" dataDxfId="833"/>
    <tableColumn id="3" xr3:uid="{799A991A-3D2C-4EC1-A2D8-A1F3023DD9AF}" name="Valor" dataDxfId="83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6"/>
    <tableColumn id="2" xr3:uid="{2FD43CA2-90CA-449B-821F-205F1748177C}" name="Cliente" dataDxfId="825"/>
    <tableColumn id="3" xr3:uid="{A5640B64-FD50-49A5-B305-E61D9280F57A}" name="Forma de Pgto" dataDxfId="824" dataCellStyle="Moeda"/>
    <tableColumn id="4" xr3:uid="{26AD2EE8-2400-4B07-A340-99B1BA546B01}" name="Valor Venda" dataDxfId="823" dataCellStyle="Porcentagem"/>
    <tableColumn id="5" xr3:uid="{DF786930-B464-48C0-92C5-A18D129572D3}" name="Entrada" dataDxfId="822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686E8A3B-2CC1-443E-B3F0-07F1D6AF8C19}" name="OS" dataDxfId="816"/>
    <tableColumn id="2" xr3:uid="{1250D1EA-82EB-4EB4-AEDB-99799165C996}" name="Vendedor" dataDxfId="815"/>
    <tableColumn id="3" xr3:uid="{F6A6C0FE-3106-4929-AC63-C2A418BAD9A1}" name="CARNE" dataDxfId="8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08"/>
    <tableColumn id="2" xr3:uid="{6946C657-632E-4A47-A04C-EBD987018798}" name="Cliente" dataDxfId="807"/>
    <tableColumn id="3" xr3:uid="{11747110-E63B-4D92-AE0D-F744DD494204}" name="Forma de Pgto" dataDxfId="806" dataCellStyle="Moeda"/>
    <tableColumn id="4" xr3:uid="{7637A14A-3C11-482C-A77B-09489718F039}" name="Valor Parcela" dataDxfId="805" dataCellStyle="Porcentagem"/>
    <tableColumn id="5" xr3:uid="{E03E863B-EAD4-4137-9B26-2CA0EAC2F09E}" name="Nº Parcela" dataDxfId="804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3" headerRowBorderDxfId="802" tableBorderDxfId="801" totalsRowBorderDxfId="800">
  <autoFilter ref="K34:M41" xr:uid="{1B8643D4-6AC3-4029-882A-C62E9D7CB225}"/>
  <tableColumns count="3">
    <tableColumn id="1" xr3:uid="{6F6F5FBA-037D-4F8B-8355-AC821A55F803}" name="OS" dataDxfId="799"/>
    <tableColumn id="2" xr3:uid="{BEED8472-6636-42D9-A60A-E43C842B7D8F}" name="Parcelas" dataDxfId="798"/>
    <tableColumn id="3" xr3:uid="{0CE64280-F6A9-46AC-8696-F227912F6552}" name="Valor Total" dataDxfId="79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38" dataCellStyle="Moeda"/>
    <tableColumn id="5" xr3:uid="{2B9E675C-5EB2-4EBC-8FDE-19F93E6E7B08}" name="Cliente" dataDxfId="737" dataCellStyle="Moeda"/>
    <tableColumn id="2" xr3:uid="{04A3548D-E88B-4096-85CB-E08243412A85}" name="Forma de Pgto" dataDxfId="736" dataCellStyle="Moeda"/>
    <tableColumn id="3" xr3:uid="{977F794D-E094-4347-935B-1202B7138C52}" name="Valor Venda" dataDxfId="735" dataCellStyle="Porcentagem"/>
    <tableColumn id="4" xr3:uid="{908F3845-FF06-4899-A550-28B1BE92D1A9}" name="Entrada" dataDxfId="734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F9AC75BC-BCF6-4B22-9F75-0F3CC507495B}" name="Descrição" dataDxfId="728"/>
    <tableColumn id="2" xr3:uid="{61D86D1A-7892-4923-9684-5D9A01F0BD5D}" name="Tipo de Pagto" dataDxfId="727"/>
    <tableColumn id="3" xr3:uid="{3F8C718F-C7FE-423F-9F48-66FB2201CFE2}" name="Valor" dataDxfId="726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0"/>
    <tableColumn id="2" xr3:uid="{994EFF98-DD95-4B94-B1C7-D068C1D5212C}" name="Cliente" dataDxfId="719"/>
    <tableColumn id="3" xr3:uid="{7D4E72E0-4CFA-46C9-B3AF-A1654CF194A1}" name="Forma de Pgto" dataDxfId="718" dataCellStyle="Moeda"/>
    <tableColumn id="4" xr3:uid="{EE367263-F1E4-4631-A484-2013B6BA1F27}" name="Valor Venda" dataDxfId="717" dataCellStyle="Porcentagem"/>
    <tableColumn id="5" xr3:uid="{9DA475CB-BD5A-4734-A11F-3BB7DD0D9D7E}" name="Entrada" dataDxfId="716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3DA7B618-15C5-4547-A26D-ABC55A01467A}" name="OS" dataDxfId="710"/>
    <tableColumn id="2" xr3:uid="{9ED68045-86C7-4BE0-8AE0-0417F1DD76FD}" name="Vendedor" dataDxfId="709"/>
    <tableColumn id="3" xr3:uid="{F4076139-8BF9-457D-ADE6-1BCD435E31BB}" name="CARNE" dataDxfId="708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2"/>
    <tableColumn id="2" xr3:uid="{E89F59BF-5F0B-4E4E-B2BE-7B739967886D}" name="Cliente" dataDxfId="701"/>
    <tableColumn id="3" xr3:uid="{B348335B-A485-46BE-AECB-0672679F4468}" name="Forma de Pgto" dataDxfId="700" dataCellStyle="Moeda"/>
    <tableColumn id="4" xr3:uid="{73B13E6E-5431-4E90-9A6E-E15737DDA887}" name="Valor Parcela" dataDxfId="699" dataCellStyle="Porcentagem"/>
    <tableColumn id="5" xr3:uid="{C738A843-A8FD-4CB7-B2C8-59810BA17BF2}" name="Nº Parcela" dataDxfId="698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7" headerRowBorderDxfId="696" tableBorderDxfId="695" totalsRowBorderDxfId="694">
  <autoFilter ref="K34:M41" xr:uid="{1B8643D4-6AC3-4029-882A-C62E9D7CB225}"/>
  <tableColumns count="3">
    <tableColumn id="1" xr3:uid="{3F5F54B7-8999-4296-A374-3780F172D2B8}" name="OS" dataDxfId="693"/>
    <tableColumn id="2" xr3:uid="{5F252D86-495C-4A65-B391-3FF46311DE83}" name="Parcelas" dataDxfId="692"/>
    <tableColumn id="3" xr3:uid="{50E905DA-42A9-43E1-8D51-FD4BDEAB81C8}" name="Valor Total" dataDxfId="691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2" dataCellStyle="Moeda"/>
    <tableColumn id="5" xr3:uid="{60E6A65C-186D-4764-A3E8-74F5C0B0AFC1}" name="Cliente" dataDxfId="631" dataCellStyle="Moeda"/>
    <tableColumn id="2" xr3:uid="{22FA520F-5DA7-46FD-9861-DF942B6D91AB}" name="Forma de Pgto" dataDxfId="630" dataCellStyle="Moeda"/>
    <tableColumn id="3" xr3:uid="{7DEE868C-EA7D-401A-A3DF-4CC64A44467F}" name="Valor Venda" dataDxfId="629" dataCellStyle="Porcentagem"/>
    <tableColumn id="4" xr3:uid="{720D25ED-5FF4-421F-94C6-24275CF94733}" name="Entrada" dataDxfId="62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2FBA0522-04E5-4ED5-94F6-52B232AF2373}" name="Descrição" dataDxfId="622"/>
    <tableColumn id="2" xr3:uid="{DB3FC5DE-C5F6-4B07-A662-D19BD76E91F6}" name="Tipo de Pagto" dataDxfId="621"/>
    <tableColumn id="3" xr3:uid="{A2799F30-0033-4E72-9108-ABF645A8DCD3}" name="Valor" dataDxfId="62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4"/>
    <tableColumn id="2" xr3:uid="{6DECDDC0-CF3A-4677-94C4-62618488FE89}" name="Cliente" dataDxfId="613"/>
    <tableColumn id="3" xr3:uid="{D40EA3F2-0782-4C3D-A060-4DCC1DCF2881}" name="Forma de Pgto" dataDxfId="612" dataCellStyle="Moeda"/>
    <tableColumn id="4" xr3:uid="{A527DD67-780C-4EE1-A7AE-0831114EA80A}" name="Valor Venda" dataDxfId="611" dataCellStyle="Porcentagem"/>
    <tableColumn id="5" xr3:uid="{4082F19A-5570-4E9D-B250-BCD24B16165E}" name="Entrada" dataDxfId="61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CF4CC083-8415-4A42-9102-69414AAB96C8}" name="OS" dataDxfId="604"/>
    <tableColumn id="2" xr3:uid="{AFF5A585-6EEA-427D-B49B-A553763AA94C}" name="Vendedor" dataDxfId="603"/>
    <tableColumn id="3" xr3:uid="{2D8D088A-4AB0-487F-929A-89D197884938}" name="CARNE" dataDxfId="60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6"/>
    <tableColumn id="2" xr3:uid="{71667114-B8E0-4FEE-B3C4-B23C231E71C9}" name="Cliente" dataDxfId="595"/>
    <tableColumn id="3" xr3:uid="{413E4F46-D41F-4D0A-8403-3244651C22ED}" name="Forma de Pgto" dataDxfId="594" dataCellStyle="Moeda"/>
    <tableColumn id="4" xr3:uid="{695A7396-BEC7-498E-8F8D-5C11C17422D0}" name="Valor Parcela" dataDxfId="593" dataCellStyle="Porcentagem"/>
    <tableColumn id="5" xr3:uid="{7D0562F5-5DF1-49C0-BE96-CBD4632BD577}" name="Nº Parcela" dataDxfId="59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1" headerRowBorderDxfId="590" tableBorderDxfId="589" totalsRowBorderDxfId="588">
  <autoFilter ref="K34:M41" xr:uid="{1B8643D4-6AC3-4029-882A-C62E9D7CB225}"/>
  <tableColumns count="3">
    <tableColumn id="1" xr3:uid="{468A4151-2B13-428F-B7B3-DD7850FB056D}" name="OS" dataDxfId="587"/>
    <tableColumn id="2" xr3:uid="{0E5A1628-3806-4E80-9B5C-6CCB43ED7A95}" name="Parcelas" dataDxfId="586"/>
    <tableColumn id="3" xr3:uid="{94527026-C4E7-48B1-ADEC-FAE98EDE2DF7}" name="Valor Total" dataDxfId="585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79" dataCellStyle="Moeda"/>
    <tableColumn id="5" xr3:uid="{B476382F-8FC0-4C4B-904B-9CEC2FD1737F}" name="Cliente" dataDxfId="578" dataCellStyle="Moeda"/>
    <tableColumn id="2" xr3:uid="{9347CB1E-8ECB-4789-B3B3-F0676BCEF308}" name="Forma de Pgto" dataDxfId="577" dataCellStyle="Moeda"/>
    <tableColumn id="3" xr3:uid="{95E7B651-F8E7-4260-A9CD-31524C1AF920}" name="Valor Venda" dataDxfId="576" dataCellStyle="Porcentagem"/>
    <tableColumn id="4" xr3:uid="{E1F36979-874B-46CF-A70F-6769CE2B4972}" name="Entrada" dataDxfId="575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DAF9728-D097-46AC-AFA1-2A7D5A636197}" name="Descrição" dataDxfId="569"/>
    <tableColumn id="2" xr3:uid="{7E14BBAB-F602-43F7-BA75-66182DDDFB5A}" name="Tipo de Pagto" dataDxfId="568"/>
    <tableColumn id="3" xr3:uid="{807C6654-E3F5-4B45-B712-93A22255EE13}" name="Valor" dataDxfId="567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1"/>
    <tableColumn id="2" xr3:uid="{DA2D4CE2-3235-4592-824A-D21C9FEE1324}" name="Cliente" dataDxfId="560"/>
    <tableColumn id="3" xr3:uid="{78436E8E-423C-4634-A0AC-78283D9649B2}" name="Forma de Pgto" dataDxfId="559" dataCellStyle="Moeda"/>
    <tableColumn id="4" xr3:uid="{9B5C140A-AEF6-451D-B599-1B3C00239BF3}" name="Valor Venda" dataDxfId="558" dataCellStyle="Porcentagem"/>
    <tableColumn id="5" xr3:uid="{91C4587E-3C3A-4A8E-B0CF-84D9FBCB29D6}" name="Entrada" dataDxfId="557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50109EEB-FA95-426D-A1C8-873B914A4726}" name="OS" dataDxfId="551"/>
    <tableColumn id="2" xr3:uid="{8A5D657B-8F60-4746-999B-0FA3393A39E9}" name="Vendedor" dataDxfId="550"/>
    <tableColumn id="3" xr3:uid="{496CB9CC-67BF-4541-A109-5F5FF565C716}" name="CARNE" dataDxfId="549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3"/>
    <tableColumn id="2" xr3:uid="{B3362A08-206B-41A8-970B-34C6B8B4C7AA}" name="Cliente" dataDxfId="542"/>
    <tableColumn id="3" xr3:uid="{718A6844-98C1-4F96-8966-19162734BEB9}" name="Forma de Pgto" dataDxfId="541" dataCellStyle="Moeda"/>
    <tableColumn id="4" xr3:uid="{DC15894A-49A7-435B-A661-5666005BEEC8}" name="Valor Parcela" dataDxfId="540" dataCellStyle="Porcentagem"/>
    <tableColumn id="5" xr3:uid="{DE080DD1-0F6B-485E-8515-CE624433C220}" name="Nº Parcela" dataDxfId="539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38" headerRowBorderDxfId="537" tableBorderDxfId="536" totalsRowBorderDxfId="535">
  <autoFilter ref="K34:M41" xr:uid="{1B8643D4-6AC3-4029-882A-C62E9D7CB225}"/>
  <tableColumns count="3">
    <tableColumn id="1" xr3:uid="{DF952D1A-166D-4762-BD7E-3B8C91304310}" name="OS" dataDxfId="534"/>
    <tableColumn id="2" xr3:uid="{4F0F7384-D5B8-477E-9EC7-B82060EBBD78}" name="Parcelas" dataDxfId="533"/>
    <tableColumn id="3" xr3:uid="{8DD00EBF-D0FE-4903-8F44-7064A873609A}" name="Valor Total" dataDxfId="53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6" dataCellStyle="Moeda"/>
    <tableColumn id="5" xr3:uid="{F65697F3-20D0-4B41-BE55-C2885202D924}" name="Cliente" dataDxfId="525" dataCellStyle="Moeda"/>
    <tableColumn id="2" xr3:uid="{11E8E848-C035-46A3-B1AB-9BBD863CA30A}" name="Forma de Pgto" dataDxfId="524" dataCellStyle="Moeda"/>
    <tableColumn id="3" xr3:uid="{CE50BBF0-66D9-4ABB-AD66-D300C740ED4C}" name="Valor Venda" dataDxfId="523" dataCellStyle="Porcentagem"/>
    <tableColumn id="4" xr3:uid="{A6700982-093E-4E60-A8B4-C0EB11A78A03}" name="Entrada" dataDxfId="522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3B1873C-545D-4906-B601-0C81EDA7CFE1}" name="Descrição" dataDxfId="516"/>
    <tableColumn id="2" xr3:uid="{76E6DB40-F96B-4A9C-8632-7103030C72DC}" name="Tipo de Pagto" dataDxfId="515"/>
    <tableColumn id="3" xr3:uid="{C62F93B6-2A0A-47C6-8FF1-E604490619BC}" name="Valor" dataDxfId="514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08"/>
    <tableColumn id="2" xr3:uid="{B806E92F-CE0E-4D07-A956-20D8F2029057}" name="Cliente" dataDxfId="507"/>
    <tableColumn id="3" xr3:uid="{36BDBAFD-E01B-4EEA-BEB0-2FB5914B315B}" name="Forma de Pgto" dataDxfId="506" dataCellStyle="Moeda"/>
    <tableColumn id="4" xr3:uid="{56605023-01AD-4E35-8794-2FCCF14CCA1F}" name="Valor Venda" dataDxfId="505" dataCellStyle="Porcentagem"/>
    <tableColumn id="5" xr3:uid="{C1960D0E-D625-415E-9C4E-608948FC535D}" name="Entrada" dataDxfId="504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6A036C59-7D03-43F7-84CF-EE3CB14BE67B}" name="OS" dataDxfId="498"/>
    <tableColumn id="2" xr3:uid="{C5A126A9-9B7F-4F06-ADC7-ACCED0396BF3}" name="Vendedor" dataDxfId="497"/>
    <tableColumn id="3" xr3:uid="{BA1C7B45-A00B-472E-A02F-25A3DC58D90D}" name="CARNE" dataDxfId="496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0"/>
    <tableColumn id="2" xr3:uid="{2C145274-4831-4FAC-9C72-4EE6C56B54AE}" name="Cliente" dataDxfId="489"/>
    <tableColumn id="3" xr3:uid="{DE981E69-6CF2-49CA-A2F4-E16E28E648B8}" name="Forma de Pgto" dataDxfId="488" dataCellStyle="Moeda"/>
    <tableColumn id="4" xr3:uid="{6444B2E2-EBBD-4AD1-8C9A-93047C0686E8}" name="Valor Parcela" dataDxfId="487" dataCellStyle="Porcentagem"/>
    <tableColumn id="5" xr3:uid="{04528C7F-DC52-411C-A2BF-BF90292C4224}" name="Nº Parcela" dataDxfId="486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5" headerRowBorderDxfId="484" tableBorderDxfId="483" totalsRowBorderDxfId="482">
  <autoFilter ref="K34:M41" xr:uid="{1B8643D4-6AC3-4029-882A-C62E9D7CB225}"/>
  <tableColumns count="3">
    <tableColumn id="1" xr3:uid="{B8F19651-A782-44BC-8BA0-FFD090973F4B}" name="OS" dataDxfId="481"/>
    <tableColumn id="2" xr3:uid="{47E2F01C-C7E6-4997-80A0-4C35FA7B082A}" name="Parcelas" dataDxfId="480"/>
    <tableColumn id="3" xr3:uid="{BBBC80DF-0D25-47A9-9C8A-B68DAC85549A}" name="Valor Total" dataDxfId="479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Valor Parcela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1" dataCellStyle="Moeda"/>
    <tableColumn id="5" xr3:uid="{EA7582FE-FEFF-4011-BD42-218C3664E6AB}" name="Cliente" dataDxfId="260" dataCellStyle="Moeda"/>
    <tableColumn id="2" xr3:uid="{F90F407A-44F2-4B25-95B2-7FFF747C7AA1}" name="Forma de Pgto" dataDxfId="259" dataCellStyle="Moeda"/>
    <tableColumn id="3" xr3:uid="{3ED51D07-27C8-4437-A49E-867C7274BC65}" name="Valor Venda" dataDxfId="258" dataCellStyle="Porcentagem"/>
    <tableColumn id="4" xr3:uid="{42C92817-5DF0-4DE7-B430-03840EF6E852}" name="Entrada" dataDxfId="257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CDA9109-FE1B-43D0-A775-F187BA433103}" name="Descrição" dataDxfId="251"/>
    <tableColumn id="2" xr3:uid="{6200DB38-1340-49E2-8DB4-68F203C169F1}" name="Tipo de Pagto" dataDxfId="250"/>
    <tableColumn id="3" xr3:uid="{27595B27-AB97-40C9-BECE-DEB4EF2576B7}" name="Valor" dataDxfId="249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3"/>
    <tableColumn id="2" xr3:uid="{2547CEAB-188F-4407-8B89-F3536432D0FA}" name="Cliente" dataDxfId="242"/>
    <tableColumn id="3" xr3:uid="{54CBD340-AB1A-4F98-A129-037389C3E236}" name="Forma de Pgto" dataDxfId="241" dataCellStyle="Moeda"/>
    <tableColumn id="4" xr3:uid="{CB0BC571-5837-4C35-AFDD-D5873CE23AE9}" name="Valor Venda" dataDxfId="240" dataCellStyle="Porcentagem"/>
    <tableColumn id="5" xr3:uid="{517A77AC-A76A-4CE7-B5D1-3FEFDF7B8722}" name="Entrada" dataDxfId="239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71C4392B-8887-40B1-9A7B-C600C91C0A9F}" name="OS" dataDxfId="233"/>
    <tableColumn id="2" xr3:uid="{EAC02F14-380C-4B61-8944-E4F1EC6C2572}" name="Vendedor" dataDxfId="232"/>
    <tableColumn id="3" xr3:uid="{04750BAB-2533-45E4-AD1A-4273DBA80CF4}" name="CARNE" dataDxfId="231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5"/>
    <tableColumn id="2" xr3:uid="{C78ED1A0-4ABC-4C46-9011-9E7D40E53828}" name="Cliente" dataDxfId="224"/>
    <tableColumn id="3" xr3:uid="{5CDE3049-7EDA-4337-9E8E-58F0DB4CFDD5}" name="Forma de Pgto" dataDxfId="223" dataCellStyle="Moeda"/>
    <tableColumn id="4" xr3:uid="{7ACCAB16-AFFF-4B9D-A25F-B45F3BBA93B9}" name="Valor Parcela" dataDxfId="222" dataCellStyle="Porcentagem"/>
    <tableColumn id="5" xr3:uid="{15EC4276-5957-4146-877A-2D9AF52832DE}" name="Nº Parcela" dataDxfId="221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0" headerRowBorderDxfId="219" tableBorderDxfId="218" totalsRowBorderDxfId="217">
  <autoFilter ref="K34:M41" xr:uid="{1B8643D4-6AC3-4029-882A-C62E9D7CB225}"/>
  <tableColumns count="3">
    <tableColumn id="1" xr3:uid="{509FE920-B0D4-48CC-8AFC-C231084014ED}" name="OS" dataDxfId="216"/>
    <tableColumn id="2" xr3:uid="{648797DA-323D-4F7C-95F3-3223D3A08821}" name="Parcelas" dataDxfId="215"/>
    <tableColumn id="3" xr3:uid="{0684A7C0-4163-4297-B332-DFFBB65E266D}" name="Valor Total" dataDxfId="21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08" dataCellStyle="Moeda"/>
    <tableColumn id="5" xr3:uid="{FA1FA1DC-5352-4524-9AB2-369222C4BDD1}" name="Cliente" dataDxfId="207" dataCellStyle="Moeda"/>
    <tableColumn id="2" xr3:uid="{A73B5E06-AB1F-48ED-B61C-8853446A4F5E}" name="Forma de Pgto" dataDxfId="206" dataCellStyle="Moeda"/>
    <tableColumn id="3" xr3:uid="{E5231A7F-7D20-4503-A786-BF9FC0E23F42}" name="Valor Venda" dataDxfId="205" dataCellStyle="Porcentagem"/>
    <tableColumn id="4" xr3:uid="{86DAF072-A11E-464D-A335-9A5F5FF09F8D}" name="Entrada" dataDxfId="20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0C299E65-9391-4336-8CF7-2EC1702B221E}" name="Descrição" dataDxfId="198"/>
    <tableColumn id="2" xr3:uid="{45EA8371-50DD-4161-8CE6-AE739B48843A}" name="Tipo de Pagto" dataDxfId="197"/>
    <tableColumn id="3" xr3:uid="{4D98764C-873C-4A32-9ABD-121372723463}" name="Valor" dataDxfId="19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90"/>
    <tableColumn id="2" xr3:uid="{212BE65F-3FA5-419B-B9A4-58240EFDEBFA}" name="Cliente" dataDxfId="189"/>
    <tableColumn id="3" xr3:uid="{1EE1E2AC-25F1-4013-8D38-A0638CF454DB}" name="Forma de Pgto" dataDxfId="188" dataCellStyle="Moeda"/>
    <tableColumn id="4" xr3:uid="{38D98562-880F-4C00-A26B-F40D7F6C9E67}" name="Valor Venda" dataDxfId="187" dataCellStyle="Porcentagem"/>
    <tableColumn id="5" xr3:uid="{183B778F-EB01-4FDA-BD28-D4D361F688C4}" name="Entrada" dataDxfId="18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21BA2342-0EF4-4D12-8CEB-D5F98AF1E43D}" name="OS" dataDxfId="180"/>
    <tableColumn id="2" xr3:uid="{8EC3F5A2-9325-43BD-A364-C3D24B7F492B}" name="Vendedor" dataDxfId="179"/>
    <tableColumn id="3" xr3:uid="{60B7BB21-2E30-4BF0-9109-7C61A6F8023E}" name="CARNE" dataDxfId="17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72"/>
    <tableColumn id="2" xr3:uid="{FEC021D0-C21F-4087-AA46-92F79B0BD15C}" name="Cliente" dataDxfId="171"/>
    <tableColumn id="3" xr3:uid="{B057DFD4-3A13-40AD-95B0-7A4A6D2F12EA}" name="Forma de Pgto" dataDxfId="170" dataCellStyle="Moeda"/>
    <tableColumn id="4" xr3:uid="{8571FA4F-3615-40B7-87DD-4A3572C756ED}" name="Valor Parcela" dataDxfId="169" dataCellStyle="Porcentagem"/>
    <tableColumn id="5" xr3:uid="{32F42922-7FF4-44E6-8FE1-CF1D84ED2607}" name="Nº Parcela" dataDxfId="16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7" headerRowBorderDxfId="166" tableBorderDxfId="165" totalsRowBorderDxfId="164">
  <autoFilter ref="K34:M41" xr:uid="{1B8643D4-6AC3-4029-882A-C62E9D7CB225}"/>
  <tableColumns count="3">
    <tableColumn id="1" xr3:uid="{239C8B86-39AD-48DE-8CD4-9E298F831595}" name="OS" dataDxfId="163"/>
    <tableColumn id="2" xr3:uid="{52A4913C-562E-40FD-8422-19A5A2E9F3E9}" name="Parcelas" dataDxfId="162"/>
    <tableColumn id="3" xr3:uid="{A2980378-BECE-4786-B65D-94F14F69AE6B}" name="Valor Total" dataDxfId="16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5" dataCellStyle="Moeda"/>
    <tableColumn id="5" xr3:uid="{570F0DA8-D686-4E48-AB43-770DB49D735A}" name="Cliente" dataDxfId="154" dataCellStyle="Moeda"/>
    <tableColumn id="2" xr3:uid="{80EB692B-CEF9-4384-93C3-D0C2D659D8B9}" name="Forma de Pgto" dataDxfId="153" dataCellStyle="Moeda"/>
    <tableColumn id="3" xr3:uid="{C072FA33-E65C-46A1-9619-122C55ADB543}" name="Valor Venda" dataDxfId="152" dataCellStyle="Porcentagem"/>
    <tableColumn id="4" xr3:uid="{A6AD7AE2-A356-40B6-8551-4661FBEB3F51}" name="Entrada" dataDxfId="15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B332CB19-9163-40A3-A95C-B96A1582E073}" name="Descrição" dataDxfId="145"/>
    <tableColumn id="2" xr3:uid="{61F5EE7F-73F4-42E2-A9DC-23449B0C3C01}" name="Tipo de Pagto" dataDxfId="144"/>
    <tableColumn id="3" xr3:uid="{DA89D608-9609-4843-A5C1-DE0E1200E4A8}" name="Valor" dataDxfId="14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7"/>
    <tableColumn id="2" xr3:uid="{AC5BDFCE-FCF6-4AAB-9202-5F41FD623E7A}" name="Cliente" dataDxfId="136"/>
    <tableColumn id="3" xr3:uid="{60B29A82-92C4-41E9-85E9-1CB47FDC0F48}" name="Forma de Pgto" dataDxfId="135" dataCellStyle="Moeda"/>
    <tableColumn id="4" xr3:uid="{77AEFEA3-2B2A-45D9-B420-2C503790CB98}" name="Valor Venda" dataDxfId="134" dataCellStyle="Porcentagem"/>
    <tableColumn id="5" xr3:uid="{ADAFB771-5146-4657-B325-26E81CB97F70}" name="Entrada" dataDxfId="13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A681CC1B-EF00-4702-9240-49A1F9CD0ED9}" name="OS" dataDxfId="127"/>
    <tableColumn id="2" xr3:uid="{CACBAC13-6FB8-41CD-B9DA-E0BF6545625A}" name="Vendedor" dataDxfId="126"/>
    <tableColumn id="3" xr3:uid="{62DBFAEA-33ED-481B-88FE-D480C79BD70A}" name="CARNE" dataDxfId="12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19"/>
    <tableColumn id="2" xr3:uid="{84774BA8-817B-4BB4-B330-18FC2D74BEBD}" name="Cliente" dataDxfId="118"/>
    <tableColumn id="3" xr3:uid="{B445E0F1-2EE3-48E4-A8D9-FA43238816EF}" name="Forma de Pgto" dataDxfId="117" dataCellStyle="Moeda"/>
    <tableColumn id="4" xr3:uid="{ABB960AB-65AE-4F15-BF53-C9D07E2FDA8B}" name="Valor Parcela" dataDxfId="116" dataCellStyle="Porcentagem"/>
    <tableColumn id="5" xr3:uid="{89825584-3833-4995-A86E-D7E4080CB9BB}" name="Nº Parcela" dataDxfId="11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4" headerRowBorderDxfId="113" tableBorderDxfId="112" totalsRowBorderDxfId="111">
  <autoFilter ref="K34:M41" xr:uid="{1B8643D4-6AC3-4029-882A-C62E9D7CB225}"/>
  <tableColumns count="3">
    <tableColumn id="1" xr3:uid="{EAA08E73-C7D6-46EB-8CB3-0B41DCC95916}" name="OS" dataDxfId="110"/>
    <tableColumn id="2" xr3:uid="{706D1FAA-0C88-4CDF-B8E1-15AD01A2E582}" name="Parcelas" dataDxfId="109"/>
    <tableColumn id="3" xr3:uid="{98D05923-385E-4F7C-ADF4-C1FB7F5B5CC5}" name="Valor Total" dataDxfId="10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2" dataCellStyle="Moeda"/>
    <tableColumn id="5" xr3:uid="{57575EBC-6B68-41EF-9676-918A4ABDCB4D}" name="Cliente" dataDxfId="101" dataCellStyle="Moeda"/>
    <tableColumn id="2" xr3:uid="{85714B76-869D-4DF7-8709-20EB0FE90848}" name="Forma de Pgto" dataDxfId="100" dataCellStyle="Moeda"/>
    <tableColumn id="3" xr3:uid="{A556487C-0FB8-4138-908B-0692480ED40F}" name="Valor Venda" dataDxfId="99" dataCellStyle="Porcentagem"/>
    <tableColumn id="4" xr3:uid="{2437A1CF-1861-42F2-9B6F-020480542B91}" name="Entrada" dataDxfId="9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A498FD3-4549-4930-A7C5-2A6A697F86CC}" name="Descrição" dataDxfId="92"/>
    <tableColumn id="2" xr3:uid="{8748D917-3F00-4700-B7E5-7700540A331D}" name="Tipo de Pagto" dataDxfId="91"/>
    <tableColumn id="3" xr3:uid="{42A9985B-0743-4482-AA4C-D8FD0E0F72A5}" name="Valor" dataDxfId="9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4"/>
    <tableColumn id="2" xr3:uid="{FE587643-BC52-4E6E-AF00-724AEF5CF68E}" name="Cliente" dataDxfId="83"/>
    <tableColumn id="3" xr3:uid="{7FE7D67C-9631-4982-8037-006DC6383D49}" name="Forma de Pgto" dataDxfId="82" dataCellStyle="Moeda"/>
    <tableColumn id="4" xr3:uid="{F211FF52-FD8A-4441-B1F6-EDB12BA108C0}" name="Valor Venda" dataDxfId="81" dataCellStyle="Porcentagem"/>
    <tableColumn id="5" xr3:uid="{16E4261B-0737-47FE-A7D3-731BFAF25FF7}" name="Entrada" dataDxfId="8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8E54EB92-C776-41FF-A0DB-06AF704A4887}" name="OS" dataDxfId="74"/>
    <tableColumn id="2" xr3:uid="{6868B7F3-9EF7-46C7-BEF9-654E8E36ED1C}" name="Vendedor" dataDxfId="73"/>
    <tableColumn id="3" xr3:uid="{1350521A-D743-40D9-A465-2D8D4BFE6A10}" name="CARNE" dataDxfId="7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6"/>
    <tableColumn id="2" xr3:uid="{85BDCF85-AA6C-42E1-B1B7-C516556DBDB9}" name="Cliente" dataDxfId="65"/>
    <tableColumn id="3" xr3:uid="{9F8DE4E4-D5E2-48B5-8EAA-40EB197D32AC}" name="Forma de Pgto" dataDxfId="64" dataCellStyle="Moeda"/>
    <tableColumn id="4" xr3:uid="{C6290D95-7284-445D-8939-C5FD7951996B}" name="Valor Parcela" dataDxfId="63" dataCellStyle="Porcentagem"/>
    <tableColumn id="5" xr3:uid="{52285BEC-0F7D-418F-A98F-3BC424F4B159}" name="Nº Parcela" dataDxfId="6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1" headerRowBorderDxfId="60" tableBorderDxfId="59" totalsRowBorderDxfId="58">
  <autoFilter ref="K34:M41" xr:uid="{1B8643D4-6AC3-4029-882A-C62E9D7CB225}"/>
  <tableColumns count="3">
    <tableColumn id="1" xr3:uid="{2CBB75AA-30A1-4E7B-931E-A32395F87AA4}" name="OS" dataDxfId="57"/>
    <tableColumn id="2" xr3:uid="{9C8D7AA6-CFE0-4494-82DC-042A052CAAA0}" name="Parcelas" dataDxfId="56"/>
    <tableColumn id="3" xr3:uid="{57D19216-198A-4E06-835D-91E30A9FE599}" name="Valor Total" dataDxfId="55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49" dataCellStyle="Moeda"/>
    <tableColumn id="5" xr3:uid="{B57FE100-D980-4793-9BEF-6EB81A189BDF}" name="Cliente" dataDxfId="48" dataCellStyle="Moeda"/>
    <tableColumn id="2" xr3:uid="{E3E7153F-994D-48FC-90C4-2CBF846DD020}" name="Forma de Pgto" dataDxfId="47" dataCellStyle="Moeda"/>
    <tableColumn id="3" xr3:uid="{665F1580-FA55-4C7F-BD41-C142CAFE3223}" name="Valor Venda" dataDxfId="46" dataCellStyle="Porcentagem"/>
    <tableColumn id="4" xr3:uid="{6F1E523A-10ED-4EDD-B2CA-D0C7AD019914}" name="Entrada" dataDxfId="45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8A51E802-CECA-43FB-B82C-E6736A43EA3D}" name="Descrição" dataDxfId="39"/>
    <tableColumn id="2" xr3:uid="{5BCD8607-AADC-48F8-8E37-0466420D4FCD}" name="Tipo de Pagto" dataDxfId="38"/>
    <tableColumn id="3" xr3:uid="{4723FDE3-A519-42AE-9778-8C9E4D87D4F8}" name="Valor" dataDxfId="3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1"/>
    <tableColumn id="2" xr3:uid="{DD36027F-0205-4159-9C6C-7703DD9F61D1}" name="Cliente" dataDxfId="30"/>
    <tableColumn id="3" xr3:uid="{C8916D40-C533-47FF-A39E-183396744611}" name="Forma de Pgto" dataDxfId="29" dataCellStyle="Moeda"/>
    <tableColumn id="4" xr3:uid="{80EB5638-1F44-4817-8C1B-9EB07004D4CA}" name="Valor Venda" dataDxfId="28" dataCellStyle="Porcentagem"/>
    <tableColumn id="5" xr3:uid="{B4816614-99C6-4C2F-BA88-5290B6B734E3}" name="Entrada" dataDxfId="27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DCFC0FAB-C428-42CC-A79B-6BBC4C4E77BA}" name="OS" dataDxfId="21"/>
    <tableColumn id="2" xr3:uid="{55C72FAB-171A-4E5F-A55F-BBFBE0F4AF66}" name="Vendedor" dataDxfId="20"/>
    <tableColumn id="3" xr3:uid="{DCD6A944-16B4-44C6-9625-37A26D7A1151}" name="CARNE" dataDxfId="19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"/>
    <tableColumn id="2" xr3:uid="{D2E85D99-F671-4642-9D56-7BBD7EADC926}" name="Cliente" dataDxfId="12"/>
    <tableColumn id="3" xr3:uid="{B8D270E5-112A-4D49-B21F-9055AF1F02FC}" name="Forma de Pgto" dataDxfId="11" dataCellStyle="Moeda"/>
    <tableColumn id="4" xr3:uid="{BA14CF36-FD33-4C35-B77D-D8C5207F906C}" name="Valor Parcela" dataDxfId="10" dataCellStyle="Porcentagem"/>
    <tableColumn id="5" xr3:uid="{2E862B2B-4705-4EDB-B528-4C423CDCC317}" name="Nº Parcela" dataDxfId="9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8" headerRowBorderDxfId="7" tableBorderDxfId="6" totalsRowBorderDxfId="5">
  <autoFilter ref="K34:M41" xr:uid="{1B8643D4-6AC3-4029-882A-C62E9D7CB225}"/>
  <tableColumns count="3">
    <tableColumn id="1" xr3:uid="{2092375F-825B-4295-AC07-BBBA3650EB3F}" name="OS" dataDxfId="4"/>
    <tableColumn id="2" xr3:uid="{8614B6AF-F25C-401B-AE51-F9959608EB4A}" name="Parcelas" dataDxfId="3"/>
    <tableColumn id="3" xr3:uid="{9702475E-64D8-4282-B5F4-F45E7E7B1891}" name="Valor Total" dataDxfId="2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15" sqref="D15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6124.4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SUM('01'!C6,'02'!C6,'03'!C6,'04'!C6,'05'!C6,'06'!C6,'07'!C6,'08'!C6,'09'!C6,'10'!C6,'11'!C6,'12'!C6,'13'!C6,'14'!C6,'15'!C6,'16'!C6,'17'!C6,'18'!C6,'19'!C6,'20'!C6,'21'!C6,'22'!C6,'23'!C6,'24'!C6,'25'!C6,'26'!C6,'27'!C6,'28'!C6,'29'!C6)</f>
        <v>5075.3999999999996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0</v>
      </c>
    </row>
    <row r="6" spans="1:2" ht="15.75" x14ac:dyDescent="0.25">
      <c r="A6" s="28" t="s">
        <v>4</v>
      </c>
      <c r="B6" s="29">
        <f>SUM(B4:B5)</f>
        <v>5075.3999999999996</v>
      </c>
    </row>
    <row r="7" spans="1:2" ht="15" x14ac:dyDescent="0.25">
      <c r="A7" s="2"/>
      <c r="B7" s="2"/>
    </row>
    <row r="8" spans="1:2" ht="15" x14ac:dyDescent="0.2">
      <c r="A8" s="84" t="s">
        <v>5</v>
      </c>
      <c r="B8" s="84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850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1565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249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2302.9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2122.89</v>
      </c>
    </row>
    <row r="14" spans="1:2" ht="15.75" x14ac:dyDescent="0.25">
      <c r="A14" s="28" t="s">
        <v>11</v>
      </c>
      <c r="B14" s="32">
        <f>SUM(B9:B13)</f>
        <v>7089.7899999999991</v>
      </c>
    </row>
    <row r="15" spans="1:2" ht="15" x14ac:dyDescent="0.25">
      <c r="A15" s="2"/>
      <c r="B15" s="2"/>
    </row>
    <row r="16" spans="1:2" ht="15" x14ac:dyDescent="0.2">
      <c r="A16" s="84" t="s">
        <v>12</v>
      </c>
      <c r="B16" s="84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800</v>
      </c>
    </row>
    <row r="18" spans="1:2" ht="15.75" x14ac:dyDescent="0.25">
      <c r="A18" s="28" t="s">
        <v>11</v>
      </c>
      <c r="B18" s="32">
        <f>SUM(B17:B17)</f>
        <v>800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1874</v>
      </c>
      <c r="L15" s="9" t="s">
        <v>26</v>
      </c>
      <c r="M15" s="16" t="s">
        <v>27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70</v>
      </c>
      <c r="D16" s="2"/>
      <c r="E16" s="18"/>
      <c r="F16" s="25"/>
      <c r="G16" s="26"/>
      <c r="H16" s="8"/>
      <c r="I16" s="8"/>
      <c r="J16" s="2"/>
      <c r="K16" s="25">
        <v>1893</v>
      </c>
      <c r="L16" s="9" t="s">
        <v>28</v>
      </c>
      <c r="M16" s="16" t="s">
        <v>27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6" t="s">
        <v>23</v>
      </c>
      <c r="L34" s="6" t="s">
        <v>34</v>
      </c>
      <c r="M34" s="6" t="s">
        <v>35</v>
      </c>
    </row>
    <row r="35" spans="2:18" ht="15.75" x14ac:dyDescent="0.25">
      <c r="E35" s="18">
        <v>1695</v>
      </c>
      <c r="F35" s="25" t="s">
        <v>36</v>
      </c>
      <c r="G35" s="26" t="s">
        <v>6</v>
      </c>
      <c r="H35" s="8">
        <v>70</v>
      </c>
      <c r="I35" s="8" t="s">
        <v>37</v>
      </c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1913</v>
      </c>
      <c r="F6" s="25" t="s">
        <v>39</v>
      </c>
      <c r="G6" s="48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1889</v>
      </c>
      <c r="L15" s="9" t="s">
        <v>41</v>
      </c>
      <c r="M15" s="16" t="s">
        <v>27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45325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</v>
      </c>
      <c r="D6" s="2"/>
      <c r="E6" s="18">
        <v>1914</v>
      </c>
      <c r="F6" s="25" t="s">
        <v>42</v>
      </c>
      <c r="G6" s="48" t="s">
        <v>7</v>
      </c>
      <c r="H6" s="8">
        <v>70</v>
      </c>
      <c r="I6" s="8">
        <v>70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67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137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1564</v>
      </c>
      <c r="F35" s="25" t="s">
        <v>43</v>
      </c>
      <c r="G35" s="26" t="s">
        <v>10</v>
      </c>
      <c r="H35" s="8">
        <v>67</v>
      </c>
      <c r="I35" s="8" t="s">
        <v>44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45327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1915</v>
      </c>
      <c r="F6" s="25" t="s">
        <v>45</v>
      </c>
      <c r="G6" s="48" t="s">
        <v>40</v>
      </c>
      <c r="H6" s="8">
        <v>0</v>
      </c>
      <c r="I6" s="8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1916</v>
      </c>
      <c r="F7" s="25" t="s">
        <v>46</v>
      </c>
      <c r="G7" s="48" t="s">
        <v>47</v>
      </c>
      <c r="H7" s="8">
        <v>30</v>
      </c>
      <c r="I7" s="8">
        <v>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50</v>
      </c>
      <c r="D8" s="2"/>
      <c r="E8" s="18">
        <v>1917</v>
      </c>
      <c r="F8" s="25" t="s">
        <v>48</v>
      </c>
      <c r="G8" s="48" t="s">
        <v>47</v>
      </c>
      <c r="H8" s="8">
        <v>349</v>
      </c>
      <c r="I8" s="8">
        <v>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1894</v>
      </c>
      <c r="L15" s="9" t="s">
        <v>49</v>
      </c>
      <c r="M15" s="16" t="s">
        <v>27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1898</v>
      </c>
      <c r="L16" s="9" t="s">
        <v>50</v>
      </c>
      <c r="M16" s="16" t="s">
        <v>27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1898</v>
      </c>
      <c r="F26" s="25" t="s">
        <v>51</v>
      </c>
      <c r="G26" s="48" t="s">
        <v>8</v>
      </c>
      <c r="H26" s="8">
        <v>50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3" zoomScale="80" zoomScaleNormal="8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1904</v>
      </c>
      <c r="L15" s="9" t="s">
        <v>50</v>
      </c>
      <c r="M15" s="16" t="s">
        <v>27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1635</v>
      </c>
      <c r="F35" s="25" t="s">
        <v>52</v>
      </c>
      <c r="G35" s="26" t="s">
        <v>10</v>
      </c>
      <c r="H35" s="8">
        <v>75</v>
      </c>
      <c r="I35" s="8" t="s">
        <v>53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E45" sqref="E4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1349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650</v>
      </c>
      <c r="D6" s="2"/>
      <c r="E6" s="53" t="s">
        <v>54</v>
      </c>
      <c r="F6" s="51" t="s">
        <v>55</v>
      </c>
      <c r="G6" s="51" t="s">
        <v>6</v>
      </c>
      <c r="H6" s="52">
        <v>200</v>
      </c>
      <c r="I6" s="52">
        <v>200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 t="s">
        <v>56</v>
      </c>
      <c r="F7" s="50" t="s">
        <v>57</v>
      </c>
      <c r="G7" s="50" t="s">
        <v>10</v>
      </c>
      <c r="H7" s="49">
        <v>250</v>
      </c>
      <c r="I7" s="49">
        <v>250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21</v>
      </c>
      <c r="C8" s="29">
        <f>SUM(C6:C7)</f>
        <v>650</v>
      </c>
      <c r="D8" s="2"/>
      <c r="E8" s="75">
        <v>1920</v>
      </c>
      <c r="F8" s="76" t="s">
        <v>58</v>
      </c>
      <c r="G8" s="77" t="s">
        <v>47</v>
      </c>
      <c r="H8" s="78">
        <v>599</v>
      </c>
      <c r="I8" s="78">
        <v>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1921</v>
      </c>
      <c r="F9" s="25" t="s">
        <v>59</v>
      </c>
      <c r="G9" s="26" t="s">
        <v>7</v>
      </c>
      <c r="H9" s="8">
        <v>899</v>
      </c>
      <c r="I9" s="8">
        <v>200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650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29</v>
      </c>
      <c r="C22" s="32">
        <f>C5</f>
        <v>1349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9">
        <f>'07'!B1+1</f>
        <v>45330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199</v>
      </c>
      <c r="D6" s="2"/>
      <c r="E6" s="62">
        <v>1922</v>
      </c>
      <c r="F6" s="8" t="s">
        <v>60</v>
      </c>
      <c r="G6" s="8" t="s">
        <v>40</v>
      </c>
      <c r="H6" s="8">
        <v>0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>
        <v>1923</v>
      </c>
      <c r="F7" s="8" t="s">
        <v>61</v>
      </c>
      <c r="G7" s="8" t="s">
        <v>40</v>
      </c>
      <c r="H7" s="8">
        <v>0</v>
      </c>
      <c r="I7" s="8">
        <v>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199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 t="s">
        <v>182</v>
      </c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275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199</v>
      </c>
      <c r="D15" s="2"/>
      <c r="E15" s="18"/>
      <c r="F15" s="25"/>
      <c r="G15" s="26"/>
      <c r="H15" s="8"/>
      <c r="I15" s="8"/>
      <c r="J15" s="2"/>
      <c r="K15" s="25">
        <v>1906</v>
      </c>
      <c r="L15" s="9" t="s">
        <v>50</v>
      </c>
      <c r="M15" s="16" t="s">
        <v>27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474</v>
      </c>
      <c r="D16" s="2"/>
      <c r="E16" s="18"/>
      <c r="F16" s="25"/>
      <c r="G16" s="26"/>
      <c r="H16" s="8"/>
      <c r="I16" s="8"/>
      <c r="J16" s="2"/>
      <c r="K16" s="25">
        <v>1910</v>
      </c>
      <c r="L16" s="9" t="s">
        <v>40</v>
      </c>
      <c r="M16" s="16" t="s">
        <v>27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0">
        <v>1906</v>
      </c>
      <c r="F26" s="81" t="s">
        <v>62</v>
      </c>
      <c r="G26" s="82" t="s">
        <v>10</v>
      </c>
      <c r="H26" s="83"/>
      <c r="I26" s="83">
        <v>199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1580</v>
      </c>
      <c r="F35" s="25" t="s">
        <v>60</v>
      </c>
      <c r="G35" s="26" t="s">
        <v>7</v>
      </c>
      <c r="H35" s="8">
        <v>137.5</v>
      </c>
      <c r="I35" s="8" t="s">
        <v>63</v>
      </c>
      <c r="K35" s="25"/>
      <c r="L35" s="42"/>
      <c r="M35" s="16"/>
    </row>
    <row r="36" spans="2:18" ht="15.75" x14ac:dyDescent="0.25">
      <c r="E36" s="18">
        <v>1580</v>
      </c>
      <c r="F36" s="25" t="s">
        <v>60</v>
      </c>
      <c r="G36" s="26" t="s">
        <v>7</v>
      </c>
      <c r="H36" s="8">
        <v>137.5</v>
      </c>
      <c r="I36" s="8" t="s">
        <v>64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45331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898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898</v>
      </c>
      <c r="D6" s="2"/>
      <c r="E6" s="18">
        <v>1924</v>
      </c>
      <c r="F6" s="25" t="s">
        <v>65</v>
      </c>
      <c r="G6" s="48" t="s">
        <v>9</v>
      </c>
      <c r="H6" s="8">
        <v>149</v>
      </c>
      <c r="I6" s="8">
        <v>149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1925</v>
      </c>
      <c r="F7" s="25" t="s">
        <v>66</v>
      </c>
      <c r="G7" s="26" t="s">
        <v>9</v>
      </c>
      <c r="H7" s="8">
        <v>749</v>
      </c>
      <c r="I7" s="8">
        <v>749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21</v>
      </c>
      <c r="C8" s="29">
        <f>SUM(C6:C7)</f>
        <v>898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898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83.39</v>
      </c>
      <c r="D15" s="2"/>
      <c r="E15" s="18"/>
      <c r="F15" s="25"/>
      <c r="G15" s="26"/>
      <c r="H15" s="8"/>
      <c r="I15" s="8"/>
      <c r="J15" s="2"/>
      <c r="K15" s="25">
        <v>1912</v>
      </c>
      <c r="L15" s="9" t="s">
        <v>50</v>
      </c>
      <c r="M15" s="16" t="s">
        <v>27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981.39</v>
      </c>
      <c r="D16" s="2"/>
      <c r="E16" s="18"/>
      <c r="F16" s="25"/>
      <c r="G16" s="26"/>
      <c r="H16" s="8"/>
      <c r="I16" s="8"/>
      <c r="J16" s="2"/>
      <c r="K16" s="25">
        <v>1909</v>
      </c>
      <c r="L16" s="9" t="s">
        <v>50</v>
      </c>
      <c r="M16" s="16" t="s">
        <v>27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1924</v>
      </c>
      <c r="L17" s="9" t="s">
        <v>50</v>
      </c>
      <c r="M17" s="16" t="s">
        <v>27</v>
      </c>
      <c r="R17" s="1">
        <f>IF(vend9[[#This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898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1724</v>
      </c>
      <c r="F35" s="25" t="s">
        <v>67</v>
      </c>
      <c r="G35" s="26" t="s">
        <v>10</v>
      </c>
      <c r="H35" s="8">
        <v>83.39</v>
      </c>
      <c r="I35" s="8" t="s">
        <v>37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1911</v>
      </c>
      <c r="L15" s="9" t="s">
        <v>68</v>
      </c>
      <c r="M15" s="16" t="s">
        <v>27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45336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297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297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297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1908</v>
      </c>
      <c r="L15" s="9" t="s">
        <v>69</v>
      </c>
      <c r="M15" s="16" t="s">
        <v>27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297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1908</v>
      </c>
      <c r="F26" s="25" t="s">
        <v>70</v>
      </c>
      <c r="G26" s="26" t="s">
        <v>9</v>
      </c>
      <c r="H26" s="8"/>
      <c r="I26" s="8">
        <v>297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45337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1926</v>
      </c>
      <c r="F6" s="25" t="s">
        <v>71</v>
      </c>
      <c r="G6" s="48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1811</v>
      </c>
      <c r="F35" s="25" t="s">
        <v>72</v>
      </c>
      <c r="G35" s="26" t="s">
        <v>7</v>
      </c>
      <c r="H35" s="8">
        <v>200</v>
      </c>
      <c r="I35" s="8" t="s">
        <v>73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45338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67.5</v>
      </c>
      <c r="D15" s="2"/>
      <c r="E15" s="18"/>
      <c r="F15" s="25"/>
      <c r="G15" s="26"/>
      <c r="H15" s="8"/>
      <c r="I15" s="8"/>
      <c r="J15" s="2"/>
      <c r="K15" s="25">
        <v>1922</v>
      </c>
      <c r="L15" s="9" t="s">
        <v>68</v>
      </c>
      <c r="M15" s="16" t="s">
        <v>27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67.5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1630</v>
      </c>
      <c r="F35" s="25" t="s">
        <v>74</v>
      </c>
      <c r="G35" s="26" t="s">
        <v>10</v>
      </c>
      <c r="H35" s="8">
        <v>67.5</v>
      </c>
      <c r="I35" s="8" t="s">
        <v>75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L26" sqref="L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45339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749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1927</v>
      </c>
      <c r="F6" s="25" t="s">
        <v>76</v>
      </c>
      <c r="G6" s="26" t="s">
        <v>10</v>
      </c>
      <c r="H6" s="8">
        <v>749</v>
      </c>
      <c r="I6" s="8">
        <v>350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525</v>
      </c>
      <c r="D15" s="2"/>
      <c r="E15" s="18"/>
      <c r="F15" s="25"/>
      <c r="G15" s="26"/>
      <c r="H15" s="8"/>
      <c r="I15" s="8"/>
      <c r="J15" s="2"/>
      <c r="K15" s="25">
        <v>1895</v>
      </c>
      <c r="L15" s="9" t="s">
        <v>77</v>
      </c>
      <c r="M15" s="16" t="s">
        <v>27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525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749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1812</v>
      </c>
      <c r="F35" s="25" t="s">
        <v>78</v>
      </c>
      <c r="G35" s="26" t="s">
        <v>10</v>
      </c>
      <c r="H35" s="8">
        <v>175</v>
      </c>
      <c r="I35" s="8" t="s">
        <v>73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A4" zoomScale="80" zoomScaleNormal="80" workbookViewId="0">
      <selection activeCell="K10" sqref="K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45341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1919</v>
      </c>
      <c r="L15" s="9" t="s">
        <v>50</v>
      </c>
      <c r="M15" s="16" t="s">
        <v>27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1791</v>
      </c>
      <c r="F35" s="25" t="s">
        <v>79</v>
      </c>
      <c r="G35" s="26" t="s">
        <v>10</v>
      </c>
      <c r="H35" s="8">
        <v>75</v>
      </c>
      <c r="I35" s="8" t="s">
        <v>80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9">
        <f>'19'!B1+1</f>
        <v>45342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93">
        <v>1928</v>
      </c>
      <c r="F6" s="94" t="s">
        <v>183</v>
      </c>
      <c r="G6" s="95" t="s">
        <v>40</v>
      </c>
      <c r="H6" s="96">
        <v>0</v>
      </c>
      <c r="I6" s="96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1929</v>
      </c>
      <c r="F7" s="25" t="s">
        <v>161</v>
      </c>
      <c r="G7" s="26" t="s">
        <v>7</v>
      </c>
      <c r="H7" s="8">
        <v>500</v>
      </c>
      <c r="I7" s="8">
        <v>300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 t="s">
        <v>164</v>
      </c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1887</v>
      </c>
      <c r="L15" s="9" t="s">
        <v>26</v>
      </c>
      <c r="M15" s="16" t="s">
        <v>163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>
        <v>1888</v>
      </c>
      <c r="L16" s="9" t="s">
        <v>26</v>
      </c>
      <c r="M16" s="16" t="s">
        <v>163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250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250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1887</v>
      </c>
      <c r="F26" s="25" t="s">
        <v>162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1887</v>
      </c>
      <c r="L35" s="42">
        <v>5</v>
      </c>
      <c r="M35" s="16">
        <v>250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abSelected="1" zoomScale="80" zoomScaleNormal="8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9">
        <f>'21'!B1+1</f>
        <v>45344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93">
        <v>1930</v>
      </c>
      <c r="F6" s="94" t="s">
        <v>165</v>
      </c>
      <c r="G6" s="95" t="s">
        <v>47</v>
      </c>
      <c r="H6" s="96">
        <v>608.9</v>
      </c>
      <c r="I6" s="96">
        <v>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3"/>
      <c r="F7" s="94"/>
      <c r="G7" s="95"/>
      <c r="H7" s="96"/>
      <c r="I7" s="96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 t="s">
        <v>184</v>
      </c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320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1915</v>
      </c>
      <c r="L15" s="9" t="s">
        <v>68</v>
      </c>
      <c r="M15" s="16" t="s">
        <v>27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580</v>
      </c>
      <c r="D16" s="2"/>
      <c r="E16" s="18"/>
      <c r="F16" s="25"/>
      <c r="G16" s="26"/>
      <c r="H16" s="8"/>
      <c r="I16" s="8"/>
      <c r="J16" s="2"/>
      <c r="K16" s="25">
        <v>1905</v>
      </c>
      <c r="L16" s="9" t="s">
        <v>50</v>
      </c>
      <c r="M16" s="16" t="s">
        <v>27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550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550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1905</v>
      </c>
      <c r="F26" s="25" t="s">
        <v>166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1870</v>
      </c>
      <c r="F35" s="25" t="s">
        <v>167</v>
      </c>
      <c r="G35" s="26" t="s">
        <v>7</v>
      </c>
      <c r="H35" s="8">
        <v>320</v>
      </c>
      <c r="I35" s="8" t="s">
        <v>98</v>
      </c>
      <c r="K35" s="25">
        <v>1905</v>
      </c>
      <c r="L35" s="42">
        <v>5</v>
      </c>
      <c r="M35" s="16">
        <v>550</v>
      </c>
    </row>
    <row r="36" spans="2:18" ht="15.75" x14ac:dyDescent="0.25">
      <c r="E36" s="18">
        <v>1791</v>
      </c>
      <c r="F36" s="25" t="s">
        <v>168</v>
      </c>
      <c r="G36" s="26" t="s">
        <v>6</v>
      </c>
      <c r="H36" s="8">
        <v>60</v>
      </c>
      <c r="I36" s="8" t="s">
        <v>94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77" zoomScaleNormal="77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45345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807.9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807.9</v>
      </c>
      <c r="D6" s="2"/>
      <c r="E6" s="18">
        <v>1931</v>
      </c>
      <c r="F6" s="25" t="s">
        <v>169</v>
      </c>
      <c r="G6" s="26" t="s">
        <v>8</v>
      </c>
      <c r="H6" s="8">
        <v>199</v>
      </c>
      <c r="I6" s="8">
        <v>199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807.9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199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608.9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1926</v>
      </c>
      <c r="L15" s="9" t="s">
        <v>40</v>
      </c>
      <c r="M15" s="16" t="s">
        <v>27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807.9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807.9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1930</v>
      </c>
      <c r="F26" s="25" t="s">
        <v>165</v>
      </c>
      <c r="G26" s="26" t="s">
        <v>9</v>
      </c>
      <c r="H26" s="8">
        <v>608.9</v>
      </c>
      <c r="I26" s="8">
        <v>608.9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45346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429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429</v>
      </c>
      <c r="D6" s="2"/>
      <c r="E6" s="18">
        <v>1932</v>
      </c>
      <c r="F6" s="25" t="s">
        <v>170</v>
      </c>
      <c r="G6" s="26" t="s">
        <v>9</v>
      </c>
      <c r="H6" s="8">
        <v>399</v>
      </c>
      <c r="I6" s="8">
        <v>399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429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399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>
        <v>1928</v>
      </c>
      <c r="L15" s="9" t="s">
        <v>50</v>
      </c>
      <c r="M15" s="16" t="s">
        <v>27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514</v>
      </c>
      <c r="D16" s="2"/>
      <c r="E16" s="18"/>
      <c r="F16" s="25"/>
      <c r="G16" s="26"/>
      <c r="H16" s="8"/>
      <c r="I16" s="8"/>
      <c r="J16" s="2"/>
      <c r="K16" s="25">
        <v>1916</v>
      </c>
      <c r="L16" s="9" t="s">
        <v>50</v>
      </c>
      <c r="M16" s="16" t="s">
        <v>27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429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1928</v>
      </c>
      <c r="F26" s="25" t="s">
        <v>171</v>
      </c>
      <c r="G26" s="26" t="s">
        <v>10</v>
      </c>
      <c r="H26" s="8">
        <v>30</v>
      </c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1544</v>
      </c>
      <c r="F35" s="25" t="s">
        <v>172</v>
      </c>
      <c r="G35" s="26" t="s">
        <v>6</v>
      </c>
      <c r="H35" s="8">
        <v>85</v>
      </c>
      <c r="I35" s="8" t="s">
        <v>127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10" zoomScale="80" zoomScaleNormal="8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174.5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174.5</v>
      </c>
      <c r="D6" s="2"/>
      <c r="E6" s="18">
        <v>1933</v>
      </c>
      <c r="F6" s="25" t="s">
        <v>173</v>
      </c>
      <c r="G6" s="26" t="s">
        <v>10</v>
      </c>
      <c r="H6" s="8">
        <v>74.5</v>
      </c>
      <c r="I6" s="8">
        <v>74.5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1933</v>
      </c>
      <c r="F7" s="25" t="s">
        <v>173</v>
      </c>
      <c r="G7" s="26" t="s">
        <v>9</v>
      </c>
      <c r="H7" s="8">
        <v>100</v>
      </c>
      <c r="I7" s="8">
        <v>100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174.5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74.5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259.5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174.5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 t="s">
        <v>177</v>
      </c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1695</v>
      </c>
      <c r="F35" s="25" t="s">
        <v>36</v>
      </c>
      <c r="G35" s="26" t="s">
        <v>6</v>
      </c>
      <c r="H35" s="8">
        <v>85</v>
      </c>
      <c r="I35" s="8" t="s">
        <v>108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45349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247.5</v>
      </c>
      <c r="D15" s="2"/>
      <c r="E15" s="18"/>
      <c r="F15" s="25"/>
      <c r="G15" s="26"/>
      <c r="H15" s="8"/>
      <c r="I15" s="8"/>
      <c r="J15" s="2"/>
      <c r="K15" s="25">
        <v>1925</v>
      </c>
      <c r="L15" s="9" t="s">
        <v>50</v>
      </c>
      <c r="M15" s="16" t="s">
        <v>27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247.5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1783</v>
      </c>
      <c r="F35" s="25" t="s">
        <v>174</v>
      </c>
      <c r="G35" s="26" t="s">
        <v>10</v>
      </c>
      <c r="H35" s="8">
        <v>107.5</v>
      </c>
      <c r="I35" s="8" t="s">
        <v>132</v>
      </c>
      <c r="K35" s="25"/>
      <c r="L35" s="42"/>
      <c r="M35" s="16"/>
    </row>
    <row r="36" spans="2:18" ht="15.75" x14ac:dyDescent="0.25">
      <c r="E36" s="18">
        <v>1845</v>
      </c>
      <c r="F36" s="25" t="s">
        <v>175</v>
      </c>
      <c r="G36" s="26" t="s">
        <v>10</v>
      </c>
      <c r="H36" s="8">
        <v>140</v>
      </c>
      <c r="I36" s="8" t="s">
        <v>102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129</v>
      </c>
      <c r="D15" s="2"/>
      <c r="E15" s="18"/>
      <c r="F15" s="25"/>
      <c r="G15" s="26"/>
      <c r="H15" s="8"/>
      <c r="I15" s="8"/>
      <c r="J15" s="2"/>
      <c r="K15" s="25">
        <v>1929</v>
      </c>
      <c r="L15" s="9" t="s">
        <v>178</v>
      </c>
      <c r="M15" s="16" t="s">
        <v>27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329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1929</v>
      </c>
      <c r="F26" s="25" t="s">
        <v>161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>
        <v>1734</v>
      </c>
      <c r="F35" s="25" t="s">
        <v>176</v>
      </c>
      <c r="G35" s="26" t="s">
        <v>10</v>
      </c>
      <c r="H35" s="8">
        <v>129</v>
      </c>
      <c r="I35" s="8" t="s">
        <v>113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45351</v>
      </c>
    </row>
    <row r="2" spans="2:18" ht="18.75" x14ac:dyDescent="0.2">
      <c r="B2" s="89" t="s">
        <v>13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2" t="s">
        <v>1</v>
      </c>
      <c r="F4" s="92"/>
      <c r="G4" s="92"/>
      <c r="H4" s="92"/>
      <c r="I4" s="92"/>
      <c r="J4" s="22"/>
      <c r="K4" s="86" t="s">
        <v>3</v>
      </c>
      <c r="L4" s="87"/>
      <c r="M4" s="88"/>
    </row>
    <row r="5" spans="2:18" ht="15" x14ac:dyDescent="0.25">
      <c r="B5" s="23" t="s">
        <v>1</v>
      </c>
      <c r="C5" s="24">
        <f>SUMIF(I6:I31,"&gt;0",H6:H31)</f>
        <v>1097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1934</v>
      </c>
      <c r="F6" s="25" t="s">
        <v>179</v>
      </c>
      <c r="G6" s="26" t="s">
        <v>10</v>
      </c>
      <c r="H6" s="8">
        <v>299</v>
      </c>
      <c r="I6" s="8">
        <v>100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1935</v>
      </c>
      <c r="F7" s="25" t="s">
        <v>180</v>
      </c>
      <c r="G7" s="26" t="s">
        <v>10</v>
      </c>
      <c r="H7" s="8">
        <v>399</v>
      </c>
      <c r="I7" s="8">
        <v>100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300</v>
      </c>
      <c r="D8" s="2"/>
      <c r="E8" s="18">
        <v>1936</v>
      </c>
      <c r="F8" s="25" t="s">
        <v>181</v>
      </c>
      <c r="G8" s="26" t="s">
        <v>10</v>
      </c>
      <c r="H8" s="8">
        <v>399</v>
      </c>
      <c r="I8" s="8">
        <v>100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4" t="s">
        <v>5</v>
      </c>
      <c r="C10" s="8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6" t="s">
        <v>22</v>
      </c>
      <c r="L13" s="87"/>
      <c r="M13" s="8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4" t="s">
        <v>12</v>
      </c>
      <c r="C18" s="8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1097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5" t="s">
        <v>30</v>
      </c>
      <c r="F24" s="85"/>
      <c r="G24" s="85"/>
      <c r="H24" s="85"/>
      <c r="I24" s="8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5" t="s">
        <v>31</v>
      </c>
      <c r="F33" s="85"/>
      <c r="G33" s="85"/>
      <c r="H33" s="85"/>
      <c r="I33" s="85"/>
      <c r="K33" s="86" t="s">
        <v>12</v>
      </c>
      <c r="L33" s="87"/>
      <c r="M33" s="8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23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38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81</v>
      </c>
      <c r="B1" s="38" t="s">
        <v>82</v>
      </c>
      <c r="E1" s="38" t="s">
        <v>83</v>
      </c>
    </row>
    <row r="2" spans="1:5" x14ac:dyDescent="0.2">
      <c r="A2" s="38" t="s">
        <v>6</v>
      </c>
      <c r="B2" s="38" t="s">
        <v>84</v>
      </c>
      <c r="E2" t="s">
        <v>85</v>
      </c>
    </row>
    <row r="3" spans="1:5" x14ac:dyDescent="0.2">
      <c r="A3" s="38" t="s">
        <v>7</v>
      </c>
      <c r="B3" s="38" t="s">
        <v>86</v>
      </c>
      <c r="E3" t="s">
        <v>87</v>
      </c>
    </row>
    <row r="4" spans="1:5" x14ac:dyDescent="0.2">
      <c r="A4" s="38" t="s">
        <v>8</v>
      </c>
      <c r="B4" s="38" t="s">
        <v>88</v>
      </c>
      <c r="E4" t="s">
        <v>89</v>
      </c>
    </row>
    <row r="5" spans="1:5" x14ac:dyDescent="0.2">
      <c r="A5" s="38" t="s">
        <v>9</v>
      </c>
      <c r="B5" s="38" t="s">
        <v>90</v>
      </c>
      <c r="E5" t="s">
        <v>91</v>
      </c>
    </row>
    <row r="6" spans="1:5" x14ac:dyDescent="0.2">
      <c r="A6" s="38" t="s">
        <v>10</v>
      </c>
      <c r="B6" s="38" t="s">
        <v>10</v>
      </c>
      <c r="E6" t="s">
        <v>92</v>
      </c>
    </row>
    <row r="7" spans="1:5" x14ac:dyDescent="0.2">
      <c r="A7" s="38" t="s">
        <v>47</v>
      </c>
      <c r="B7" s="38" t="s">
        <v>93</v>
      </c>
      <c r="E7" t="s">
        <v>94</v>
      </c>
    </row>
    <row r="8" spans="1:5" x14ac:dyDescent="0.2">
      <c r="A8" t="s">
        <v>25</v>
      </c>
      <c r="B8" t="s">
        <v>95</v>
      </c>
      <c r="E8" t="s">
        <v>96</v>
      </c>
    </row>
    <row r="9" spans="1:5" x14ac:dyDescent="0.2">
      <c r="A9" s="38" t="s">
        <v>40</v>
      </c>
      <c r="B9" s="38" t="s">
        <v>97</v>
      </c>
      <c r="E9" t="s">
        <v>98</v>
      </c>
    </row>
    <row r="10" spans="1:5" x14ac:dyDescent="0.2">
      <c r="E10" t="s">
        <v>99</v>
      </c>
    </row>
    <row r="11" spans="1:5" x14ac:dyDescent="0.2">
      <c r="E11" t="s">
        <v>100</v>
      </c>
    </row>
    <row r="12" spans="1:5" x14ac:dyDescent="0.2">
      <c r="E12" t="s">
        <v>101</v>
      </c>
    </row>
    <row r="13" spans="1:5" x14ac:dyDescent="0.2">
      <c r="E13" t="s">
        <v>102</v>
      </c>
    </row>
    <row r="14" spans="1:5" x14ac:dyDescent="0.2">
      <c r="E14" t="s">
        <v>103</v>
      </c>
    </row>
    <row r="15" spans="1:5" x14ac:dyDescent="0.2">
      <c r="E15" t="s">
        <v>104</v>
      </c>
    </row>
    <row r="16" spans="1:5" x14ac:dyDescent="0.2">
      <c r="E16" t="s">
        <v>105</v>
      </c>
    </row>
    <row r="17" spans="5:5" x14ac:dyDescent="0.2">
      <c r="E17" t="s">
        <v>106</v>
      </c>
    </row>
    <row r="18" spans="5:5" x14ac:dyDescent="0.2">
      <c r="E18" t="s">
        <v>73</v>
      </c>
    </row>
    <row r="19" spans="5:5" x14ac:dyDescent="0.2">
      <c r="E19" t="s">
        <v>107</v>
      </c>
    </row>
    <row r="20" spans="5:5" x14ac:dyDescent="0.2">
      <c r="E20" t="s">
        <v>37</v>
      </c>
    </row>
    <row r="21" spans="5:5" x14ac:dyDescent="0.2">
      <c r="E21" t="s">
        <v>108</v>
      </c>
    </row>
    <row r="22" spans="5:5" x14ac:dyDescent="0.2">
      <c r="E22" t="s">
        <v>109</v>
      </c>
    </row>
    <row r="23" spans="5:5" x14ac:dyDescent="0.2">
      <c r="E23" t="s">
        <v>110</v>
      </c>
    </row>
    <row r="24" spans="5:5" x14ac:dyDescent="0.2">
      <c r="E24" t="s">
        <v>111</v>
      </c>
    </row>
    <row r="25" spans="5:5" x14ac:dyDescent="0.2">
      <c r="E25" t="s">
        <v>112</v>
      </c>
    </row>
    <row r="26" spans="5:5" x14ac:dyDescent="0.2">
      <c r="E26" t="s">
        <v>113</v>
      </c>
    </row>
    <row r="27" spans="5:5" x14ac:dyDescent="0.2">
      <c r="E27" t="s">
        <v>114</v>
      </c>
    </row>
    <row r="28" spans="5:5" x14ac:dyDescent="0.2">
      <c r="E28" t="s">
        <v>115</v>
      </c>
    </row>
    <row r="29" spans="5:5" x14ac:dyDescent="0.2">
      <c r="E29" t="s">
        <v>116</v>
      </c>
    </row>
    <row r="30" spans="5:5" x14ac:dyDescent="0.2">
      <c r="E30" t="s">
        <v>117</v>
      </c>
    </row>
    <row r="31" spans="5:5" x14ac:dyDescent="0.2">
      <c r="E31" t="s">
        <v>80</v>
      </c>
    </row>
    <row r="32" spans="5:5" x14ac:dyDescent="0.2">
      <c r="E32" t="s">
        <v>118</v>
      </c>
    </row>
    <row r="33" spans="5:5" x14ac:dyDescent="0.2">
      <c r="E33" t="s">
        <v>63</v>
      </c>
    </row>
    <row r="34" spans="5:5" x14ac:dyDescent="0.2">
      <c r="E34" t="s">
        <v>64</v>
      </c>
    </row>
    <row r="35" spans="5:5" x14ac:dyDescent="0.2">
      <c r="E35" t="s">
        <v>75</v>
      </c>
    </row>
    <row r="36" spans="5:5" x14ac:dyDescent="0.2">
      <c r="E36" t="s">
        <v>119</v>
      </c>
    </row>
    <row r="37" spans="5:5" x14ac:dyDescent="0.2">
      <c r="E37" t="s">
        <v>120</v>
      </c>
    </row>
    <row r="38" spans="5:5" x14ac:dyDescent="0.2">
      <c r="E38" t="s">
        <v>121</v>
      </c>
    </row>
    <row r="39" spans="5:5" x14ac:dyDescent="0.2">
      <c r="E39" t="s">
        <v>122</v>
      </c>
    </row>
    <row r="40" spans="5:5" x14ac:dyDescent="0.2">
      <c r="E40" t="s">
        <v>123</v>
      </c>
    </row>
    <row r="41" spans="5:5" x14ac:dyDescent="0.2">
      <c r="E41" t="s">
        <v>124</v>
      </c>
    </row>
    <row r="42" spans="5:5" x14ac:dyDescent="0.2">
      <c r="E42" t="s">
        <v>125</v>
      </c>
    </row>
    <row r="43" spans="5:5" x14ac:dyDescent="0.2">
      <c r="E43" t="s">
        <v>44</v>
      </c>
    </row>
    <row r="44" spans="5:5" x14ac:dyDescent="0.2">
      <c r="E44" t="s">
        <v>126</v>
      </c>
    </row>
    <row r="45" spans="5:5" x14ac:dyDescent="0.2">
      <c r="E45" t="s">
        <v>127</v>
      </c>
    </row>
    <row r="46" spans="5:5" x14ac:dyDescent="0.2">
      <c r="E46" t="s">
        <v>128</v>
      </c>
    </row>
    <row r="47" spans="5:5" x14ac:dyDescent="0.2">
      <c r="E47" t="s">
        <v>129</v>
      </c>
    </row>
    <row r="48" spans="5:5" x14ac:dyDescent="0.2">
      <c r="E48" t="s">
        <v>130</v>
      </c>
    </row>
    <row r="49" spans="5:5" x14ac:dyDescent="0.2">
      <c r="E49" t="s">
        <v>131</v>
      </c>
    </row>
    <row r="50" spans="5:5" x14ac:dyDescent="0.2">
      <c r="E50" t="s">
        <v>132</v>
      </c>
    </row>
    <row r="51" spans="5:5" x14ac:dyDescent="0.2">
      <c r="E51" t="s">
        <v>133</v>
      </c>
    </row>
    <row r="52" spans="5:5" x14ac:dyDescent="0.2">
      <c r="E52" t="s">
        <v>53</v>
      </c>
    </row>
    <row r="53" spans="5:5" x14ac:dyDescent="0.2">
      <c r="E53" t="s">
        <v>134</v>
      </c>
    </row>
    <row r="54" spans="5:5" x14ac:dyDescent="0.2">
      <c r="E54" t="s">
        <v>135</v>
      </c>
    </row>
    <row r="55" spans="5:5" x14ac:dyDescent="0.2">
      <c r="E55" t="s">
        <v>136</v>
      </c>
    </row>
    <row r="56" spans="5:5" x14ac:dyDescent="0.2">
      <c r="E56" t="s">
        <v>137</v>
      </c>
    </row>
    <row r="57" spans="5:5" x14ac:dyDescent="0.2">
      <c r="E57" t="s">
        <v>138</v>
      </c>
    </row>
    <row r="58" spans="5:5" x14ac:dyDescent="0.2">
      <c r="E58" t="s">
        <v>139</v>
      </c>
    </row>
    <row r="59" spans="5:5" x14ac:dyDescent="0.2">
      <c r="E59" t="s">
        <v>140</v>
      </c>
    </row>
    <row r="60" spans="5:5" x14ac:dyDescent="0.2">
      <c r="E60" t="s">
        <v>141</v>
      </c>
    </row>
    <row r="61" spans="5:5" x14ac:dyDescent="0.2">
      <c r="E61" t="s">
        <v>142</v>
      </c>
    </row>
    <row r="62" spans="5:5" x14ac:dyDescent="0.2">
      <c r="E62" t="s">
        <v>143</v>
      </c>
    </row>
    <row r="63" spans="5:5" x14ac:dyDescent="0.2">
      <c r="E63" t="s">
        <v>144</v>
      </c>
    </row>
    <row r="64" spans="5:5" x14ac:dyDescent="0.2">
      <c r="E64" t="s">
        <v>145</v>
      </c>
    </row>
    <row r="65" spans="5:5" x14ac:dyDescent="0.2">
      <c r="E65" t="s">
        <v>146</v>
      </c>
    </row>
    <row r="66" spans="5:5" x14ac:dyDescent="0.2">
      <c r="E66" t="s">
        <v>147</v>
      </c>
    </row>
    <row r="67" spans="5:5" x14ac:dyDescent="0.2">
      <c r="E67" t="s">
        <v>148</v>
      </c>
    </row>
    <row r="68" spans="5:5" x14ac:dyDescent="0.2">
      <c r="E68" t="s">
        <v>149</v>
      </c>
    </row>
    <row r="69" spans="5:5" x14ac:dyDescent="0.2">
      <c r="E69" t="s">
        <v>150</v>
      </c>
    </row>
    <row r="70" spans="5:5" x14ac:dyDescent="0.2">
      <c r="E70" t="s">
        <v>151</v>
      </c>
    </row>
    <row r="71" spans="5:5" x14ac:dyDescent="0.2">
      <c r="E71" t="s">
        <v>152</v>
      </c>
    </row>
    <row r="72" spans="5:5" x14ac:dyDescent="0.2">
      <c r="E72" t="s">
        <v>153</v>
      </c>
    </row>
    <row r="73" spans="5:5" x14ac:dyDescent="0.2">
      <c r="E73" t="s">
        <v>154</v>
      </c>
    </row>
    <row r="74" spans="5:5" x14ac:dyDescent="0.2">
      <c r="E74" t="s">
        <v>155</v>
      </c>
    </row>
    <row r="75" spans="5:5" x14ac:dyDescent="0.2">
      <c r="E75" t="s">
        <v>156</v>
      </c>
    </row>
    <row r="76" spans="5:5" x14ac:dyDescent="0.2">
      <c r="E76" t="s">
        <v>157</v>
      </c>
    </row>
    <row r="77" spans="5:5" x14ac:dyDescent="0.2">
      <c r="E77" t="s">
        <v>158</v>
      </c>
    </row>
    <row r="78" spans="5:5" x14ac:dyDescent="0.2">
      <c r="E78" t="s">
        <v>159</v>
      </c>
    </row>
    <row r="79" spans="5:5" x14ac:dyDescent="0.2">
      <c r="E79" t="s">
        <v>160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</cp:lastModifiedBy>
  <cp:revision/>
  <cp:lastPrinted>2024-05-22T19:50:19Z</cp:lastPrinted>
  <dcterms:created xsi:type="dcterms:W3CDTF">2004-04-07T20:43:43Z</dcterms:created>
  <dcterms:modified xsi:type="dcterms:W3CDTF">2024-05-22T19:53:26Z</dcterms:modified>
  <cp:category/>
  <cp:contentStatus/>
</cp:coreProperties>
</file>