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\OneDrive\Lojas\SAO_MATEUS\CAIXA\2023\"/>
    </mc:Choice>
  </mc:AlternateContent>
  <xr:revisionPtr revIDLastSave="0" documentId="13_ncr:1_{EE21950A-D263-40C4-B12A-755E215CF8FB}" xr6:coauthVersionLast="47" xr6:coauthVersionMax="47" xr10:uidLastSave="{00000000-0000-0000-0000-000000000000}"/>
  <bookViews>
    <workbookView xWindow="-120" yWindow="-120" windowWidth="29040" windowHeight="15720" tabRatio="895" firstSheet="1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3" sheetId="188" r:id="rId23"/>
    <sheet name="22" sheetId="191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6" i="170" s="1"/>
  <c r="O11" i="170" s="1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8" i="183" s="1"/>
  <c r="C7" i="181"/>
  <c r="C7" i="179"/>
  <c r="C7" i="184"/>
  <c r="C7" i="185"/>
  <c r="C7" i="186"/>
  <c r="C7" i="187"/>
  <c r="C7" i="189"/>
  <c r="C7" i="190"/>
  <c r="C8" i="190" s="1"/>
  <c r="C7" i="191"/>
  <c r="C7" i="188"/>
  <c r="C7" i="193"/>
  <c r="C7" i="195"/>
  <c r="C7" i="194"/>
  <c r="C7" i="197"/>
  <c r="C7" i="196"/>
  <c r="C7" i="192"/>
  <c r="C8" i="192" s="1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5" i="197"/>
  <c r="C5" i="196"/>
  <c r="C22" i="196" s="1"/>
  <c r="C5" i="192"/>
  <c r="C22" i="192" s="1"/>
  <c r="C5" i="199"/>
  <c r="C5" i="198"/>
  <c r="C5" i="175"/>
  <c r="C22" i="175" s="1"/>
  <c r="C6" i="174"/>
  <c r="C8" i="174" s="1"/>
  <c r="C6" i="173"/>
  <c r="C8" i="173" s="1"/>
  <c r="C6" i="172"/>
  <c r="C8" i="172" s="1"/>
  <c r="C6" i="17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8" i="194" s="1"/>
  <c r="C6" i="197"/>
  <c r="C6" i="196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97" l="1"/>
  <c r="R40" i="199"/>
  <c r="C8" i="171"/>
  <c r="R40" i="186"/>
  <c r="R40" i="188"/>
  <c r="R40" i="170"/>
  <c r="R40" i="180"/>
  <c r="R40" i="192"/>
  <c r="R40" i="196"/>
  <c r="R40" i="185"/>
  <c r="R40" i="183"/>
  <c r="R40" i="190"/>
  <c r="R40" i="194"/>
  <c r="R40" i="198"/>
  <c r="C8" i="188"/>
  <c r="C8" i="191"/>
  <c r="C20" i="171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14" i="200" l="1"/>
  <c r="B4" i="200" s="1"/>
  <c r="B6" i="200" s="1"/>
  <c r="C16" i="103"/>
  <c r="O11" i="103" s="1"/>
  <c r="C8" i="103"/>
  <c r="R40" i="103"/>
</calcChain>
</file>

<file path=xl/sharedStrings.xml><?xml version="1.0" encoding="utf-8"?>
<sst xmlns="http://schemas.openxmlformats.org/spreadsheetml/2006/main" count="1842" uniqueCount="206">
  <si>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</si>
  <si>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</si>
  <si>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</si>
  <si>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</si>
  <si>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</si>
  <si>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</si>
  <si>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</si>
  <si>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</si>
  <si>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</si>
  <si>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</si>
  <si>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</si>
  <si>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</si>
  <si>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</si>
  <si>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</si>
  <si>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</si>
  <si>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</si>
  <si>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</si>
  <si>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</si>
  <si>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</si>
  <si>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</si>
  <si>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</si>
  <si>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</si>
  <si>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</si>
  <si>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</si>
  <si>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</si>
  <si>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</si>
  <si>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</si>
  <si>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</si>
  <si>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</si>
  <si>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</si>
  <si>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</si>
  <si>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</si>
  <si>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</si>
  <si>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</si>
  <si>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</si>
  <si>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</si>
  <si>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</si>
  <si>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</si>
  <si>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</si>
  <si>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</si>
  <si>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</si>
  <si>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</si>
  <si>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</si>
  <si>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</si>
  <si>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</si>
  <si>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</si>
  <si>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</si>
  <si>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</si>
  <si>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</si>
  <si>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</si>
  <si>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</si>
  <si>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</si>
  <si>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</si>
  <si>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</si>
  <si>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</si>
  <si>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</si>
  <si>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</si>
  <si>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</si>
  <si>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</si>
  <si>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</si>
  <si>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</si>
  <si>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</si>
  <si>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</si>
  <si>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</si>
  <si>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</si>
  <si>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</si>
  <si>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</si>
  <si>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</si>
  <si>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</si>
  <si>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</si>
  <si>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</si>
  <si>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</si>
  <si>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</si>
  <si>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</si>
  <si>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</si>
  <si>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</si>
  <si>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</si>
  <si>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</si>
  <si>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</si>
  <si>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</si>
  <si>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</si>
  <si>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</si>
  <si>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</si>
  <si>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</si>
  <si>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</si>
  <si>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</si>
  <si>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</si>
  <si>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</si>
  <si>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</si>
  <si>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</si>
  <si>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</si>
  <si>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</si>
  <si>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</si>
  <si>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</si>
  <si>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</si>
  <si>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</si>
  <si>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</si>
  <si>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</si>
  <si>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</si>
  <si>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</si>
  <si>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</si>
  <si>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</si>
  <si>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</si>
  <si>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</si>
  <si>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</si>
  <si>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</si>
  <si>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</si>
  <si>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</si>
  <si>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</si>
  <si>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</si>
  <si>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</si>
  <si>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</si>
  <si>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</si>
  <si>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</si>
  <si>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</si>
  <si>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</si>
  <si>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</si>
  <si>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</si>
  <si>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</si>
  <si>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</si>
  <si>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</si>
  <si>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</si>
  <si>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</si>
  <si>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</si>
  <si>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NANCY H</t>
  </si>
  <si>
    <t>Wevilly</t>
  </si>
  <si>
    <t>Não</t>
  </si>
  <si>
    <t>porta</t>
  </si>
  <si>
    <t>pix</t>
  </si>
  <si>
    <t>MARI NEIDE</t>
  </si>
  <si>
    <t>Maria</t>
  </si>
  <si>
    <t>Taty</t>
  </si>
  <si>
    <t>William</t>
  </si>
  <si>
    <t>MARIA APARECIDA</t>
  </si>
  <si>
    <t>FRANCISCA SANTOS</t>
  </si>
  <si>
    <t>GERALDA GOMES</t>
  </si>
  <si>
    <t>JARDIEL XAVIER</t>
  </si>
  <si>
    <t>Sim</t>
  </si>
  <si>
    <t>LEONOR DE LIMA</t>
  </si>
  <si>
    <t>JULIETA DE LIMA</t>
  </si>
  <si>
    <t>JHONY LUCKIS</t>
  </si>
  <si>
    <t>LEONARDO GUIDINO DE OLIVEIRA</t>
  </si>
  <si>
    <t>MARIA REGINA G</t>
  </si>
  <si>
    <t>AGUA</t>
  </si>
  <si>
    <t>1837</t>
  </si>
  <si>
    <t>1838</t>
  </si>
  <si>
    <t>DAIANE MARTINS</t>
  </si>
  <si>
    <t>JOSENEIDE PAULINO</t>
  </si>
  <si>
    <t>KAROLAYNE MATIAS</t>
  </si>
  <si>
    <t>DANIELE SILVA</t>
  </si>
  <si>
    <t>THAYLA REIS</t>
  </si>
  <si>
    <t>GENI GUERATO</t>
  </si>
  <si>
    <t>ANA C</t>
  </si>
  <si>
    <t>ELIAS MARTINS</t>
  </si>
  <si>
    <t>MARIA NAZARE</t>
  </si>
  <si>
    <t>LEONARDO DE SOUZA</t>
  </si>
  <si>
    <t>WEVILLY</t>
  </si>
  <si>
    <t>PAULA ALVES</t>
  </si>
  <si>
    <t>AURINO FILHO</t>
  </si>
  <si>
    <t>IVONE SIMPLICIO</t>
  </si>
  <si>
    <t>TATYANE BARBOSA SANTOS</t>
  </si>
  <si>
    <t>JAILSON BRAGA</t>
  </si>
  <si>
    <t>DIEGO ANDRADE</t>
  </si>
  <si>
    <t>DAMIANA MARIA</t>
  </si>
  <si>
    <t>JESSICA CRISTINA</t>
  </si>
  <si>
    <t>ROSILENE REGINA</t>
  </si>
  <si>
    <t>RAFAEL DANIEL</t>
  </si>
  <si>
    <t>ALONSO PEDRO</t>
  </si>
  <si>
    <t>RICARDO RIBEIRO</t>
  </si>
  <si>
    <t>EIDELI PEREIRA</t>
  </si>
  <si>
    <t>ELAINE DIAS</t>
  </si>
  <si>
    <t>MARIA ELISA</t>
  </si>
  <si>
    <t>MARIA</t>
  </si>
  <si>
    <t xml:space="preserve">RAIMUNDA MARIA </t>
  </si>
  <si>
    <t>ALEX SANDER CARVALHO</t>
  </si>
  <si>
    <t>ALINE DA SILVA</t>
  </si>
  <si>
    <t>AMISADAI DA SILVA</t>
  </si>
  <si>
    <t>CLAUDICEIA SOARES</t>
  </si>
  <si>
    <t>DENISE PALMEIRA</t>
  </si>
  <si>
    <t>JOHNNY ARAUJO PERES</t>
  </si>
  <si>
    <t>NELSON BONATO</t>
  </si>
  <si>
    <t>DESUITA APARECIDA</t>
  </si>
  <si>
    <t>SANDRA APARECIDA S</t>
  </si>
  <si>
    <t>ANTONIO OZORIO</t>
  </si>
  <si>
    <t>ANTONIO BENEDITO</t>
  </si>
  <si>
    <t>EVALDO CESAR</t>
  </si>
  <si>
    <t>SARAH V</t>
  </si>
  <si>
    <t>MARCOS A</t>
  </si>
  <si>
    <t>SUELY DE ALMEIDA</t>
  </si>
  <si>
    <t>RONIE VON</t>
  </si>
  <si>
    <t>LENISE PALMEIRA</t>
  </si>
  <si>
    <t>HOSANA BARACHO</t>
  </si>
  <si>
    <t>AGATHA CRISTINA</t>
  </si>
  <si>
    <t>MARIA NAZARÉ</t>
  </si>
  <si>
    <t>SILVANO DA CRUZ</t>
  </si>
  <si>
    <t>NELITO AUGUSTO</t>
  </si>
  <si>
    <t>IRAILDES DE SOUZA</t>
  </si>
  <si>
    <t>JHONY LUCKS</t>
  </si>
  <si>
    <t>SEBASTIANA DOS SANTOS</t>
  </si>
  <si>
    <t>IZEDILMA PEREIRA</t>
  </si>
  <si>
    <t>CLAREONICE DE FATIMA</t>
  </si>
  <si>
    <t>NICOLAS SEUER</t>
  </si>
  <si>
    <t>ERIKA SOUZA</t>
  </si>
  <si>
    <t>SANDRA APARECIDA</t>
  </si>
  <si>
    <t>MARIA DA GLORIA</t>
  </si>
  <si>
    <t>MARIA ROSEMARY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</si>
</sst>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526" dataCellStyle="Moeda"/>
    <tableColumn id="5" xr3:uid="{8C950723-3D74-47BB-96EF-8D7D6A2189F6}" name="Cliente" dataDxfId="525" dataCellStyle="Moeda"/>
    <tableColumn id="2" xr3:uid="{891A7678-229E-4FF4-AD78-C00F149C7AB3}" name="Forma de Pgto" dataDxfId="524" dataCellStyle="Moeda"/>
    <tableColumn id="3" xr3:uid="{C1AD64CF-D636-4D0B-90AF-998E65C41E3B}" name="Valor Venda" dataDxfId="523" dataCellStyle="Porcentagem"/>
    <tableColumn id="4" xr3:uid="{4674130B-789D-479A-9F01-407FB3322D27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58DC85F-C627-4F48-82AA-C24727E75A42}" name="Descrição" dataDxfId="516"/>
    <tableColumn id="2" xr3:uid="{8346B0E0-FB0D-4ED3-ABBC-3816B7CB40C9}" name="Tipo de Pagto" dataDxfId="515"/>
    <tableColumn id="3" xr3:uid="{362F9934-CC54-4E70-A26F-6CDF66DEB838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508"/>
    <tableColumn id="2" xr3:uid="{B711E4E6-0AE5-42C8-8015-A72C2855CDFB}" name="Cliente" dataDxfId="507"/>
    <tableColumn id="3" xr3:uid="{016D3713-BA29-48F8-8683-6E42C1C8BDFE}" name="Forma de Pgto" dataDxfId="506" dataCellStyle="Moeda"/>
    <tableColumn id="4" xr3:uid="{66F30211-F047-40DA-B134-05B87A798574}" name="Valor Venda" dataDxfId="505" dataCellStyle="Porcentagem"/>
    <tableColumn id="5" xr3:uid="{2FB6AB3C-AA9E-4034-AF4B-12D9A3ECBBCA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D6DF1477-46D1-47E2-A070-9A33886E6137}" name="OS" dataDxfId="498"/>
    <tableColumn id="2" xr3:uid="{C4215FA6-4F2C-444A-8E0B-4F99AEEE9430}" name="Vendedor" dataDxfId="497"/>
    <tableColumn id="3" xr3:uid="{7B8AD675-F389-4803-BFFB-8166F703E829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90"/>
    <tableColumn id="2" xr3:uid="{45674E96-72EC-433B-9141-E40A07A72A19}" name="Cliente" dataDxfId="489"/>
    <tableColumn id="3" xr3:uid="{22102B96-8607-4584-B5A3-C1EE639E0F4C}" name="Forma de Pgto" dataDxfId="488" dataCellStyle="Moeda"/>
    <tableColumn id="4" xr3:uid="{DC2E9D15-91B3-4478-AA38-B98773D1B0DA}" name="Valor Parcela" dataDxfId="487" dataCellStyle="Porcentagem"/>
    <tableColumn id="5" xr3:uid="{ABCCDEDB-69A0-4492-A24A-12A60E76A2F8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85" headerRowBorderDxfId="484" tableBorderDxfId="483" totalsRowBorderDxfId="482">
  <autoFilter ref="K34:M41" xr:uid="{1B8643D4-6AC3-4029-882A-C62E9D7CB225}"/>
  <tableColumns count="3">
    <tableColumn id="1" xr3:uid="{96E4A694-A16C-4FAB-8484-5D1DCD513FF1}" name="OS" dataDxfId="481"/>
    <tableColumn id="2" xr3:uid="{CEC7F98C-5986-47BB-824E-5616D5A150E4}" name="Parcelas" dataDxfId="480"/>
    <tableColumn id="3" xr3:uid="{A82CBD0B-203D-4ED5-BDE4-3B77ECED5860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73" dataCellStyle="Moeda"/>
    <tableColumn id="5" xr3:uid="{935EFB73-C7DF-4DB2-A9CA-2CCBA3650F22}" name="Cliente" dataDxfId="472" dataCellStyle="Moeda"/>
    <tableColumn id="2" xr3:uid="{869122A0-3CC2-4E92-8EFB-746E8E8CB311}" name="Forma de Pgto" dataDxfId="471" dataCellStyle="Moeda"/>
    <tableColumn id="3" xr3:uid="{6DA3B9FE-BCC2-4503-9E60-EA0ED444B7A6}" name="Valor Venda" dataDxfId="470" dataCellStyle="Porcentagem"/>
    <tableColumn id="4" xr3:uid="{A8A1A79C-5DE2-48A0-9D24-1DA382BBF42E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3E8535D4-7B2A-41EF-B25F-D96FCA746C77}" name="Descrição" dataDxfId="463"/>
    <tableColumn id="2" xr3:uid="{29FD7EBB-FAB4-46A7-8D0C-8DEF811BE03C}" name="Tipo de Pagto" dataDxfId="462"/>
    <tableColumn id="3" xr3:uid="{42A84199-904C-48CF-9EA1-668D5693A5E1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55"/>
    <tableColumn id="2" xr3:uid="{06FD4E8A-ECFC-46A5-9546-F18D5C7CCF46}" name="Cliente" dataDxfId="454"/>
    <tableColumn id="3" xr3:uid="{393434A3-085F-407B-B651-4C537A1C4DCA}" name="Forma de Pgto" dataDxfId="453" dataCellStyle="Moeda"/>
    <tableColumn id="4" xr3:uid="{D08FA6C2-56D1-4A76-94C1-132618C070F2}" name="Valor Venda" dataDxfId="452" dataCellStyle="Porcentagem"/>
    <tableColumn id="5" xr3:uid="{A94780A1-5426-454F-8950-AFE4D356071F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5F81F202-5A63-416E-B66A-BC7A70C51944}" name="OS" dataDxfId="445"/>
    <tableColumn id="2" xr3:uid="{74527326-0E45-44AC-976A-01AD354EEF97}" name="Vendedor" dataDxfId="444"/>
    <tableColumn id="3" xr3:uid="{7E368C39-6290-45A4-8C60-3E0B6BEC860E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37"/>
    <tableColumn id="2" xr3:uid="{5FB18F19-64B5-46AA-955B-A301C651C0F2}" name="Cliente" dataDxfId="436"/>
    <tableColumn id="3" xr3:uid="{51F731CD-986B-4FF6-A861-83997E66998E}" name="Forma de Pgto" dataDxfId="435" dataCellStyle="Moeda"/>
    <tableColumn id="4" xr3:uid="{BD861052-26CD-48E9-91C6-0A6DF7C6A099}" name="Valor Parcela" dataDxfId="434" dataCellStyle="Porcentagem"/>
    <tableColumn id="5" xr3:uid="{8A5D6765-7637-45A4-9660-09EDBB031EC1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32" headerRowBorderDxfId="431" tableBorderDxfId="430" totalsRowBorderDxfId="429">
  <autoFilter ref="K34:M41" xr:uid="{1B8643D4-6AC3-4029-882A-C62E9D7CB225}"/>
  <tableColumns count="3">
    <tableColumn id="1" xr3:uid="{96F2F5A7-6005-4604-8B24-0E2838B4DD29}" name="OS" dataDxfId="428"/>
    <tableColumn id="2" xr3:uid="{ED904B68-5D9C-4B50-96BA-96CAD5E34CF1}" name="Parcelas" dataDxfId="427"/>
    <tableColumn id="3" xr3:uid="{317680F4-80F7-44BC-B3EF-4EFC6A803CAC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20" sqref="B2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1</v>
      </c>
      <c r="B2" s="20">
        <v>0</v>
      </c>
    </row>
    <row r="3" spans="1:2" ht="1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22569.949999999997</v>
      </c>
    </row>
    <row r="4" spans="1:2" ht="15" x14ac:dyDescent="0.25">
      <c r="A4" s="23" t="s">
        <v>8</v>
      </c>
      <c r="B4" s="24">
        <f>B14</f>
        <v>20186.64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1072.5</v>
      </c>
    </row>
    <row r="6" spans="1:2" ht="15.75" x14ac:dyDescent="0.25">
      <c r="A6" s="28" t="s">
        <v>123</v>
      </c>
      <c r="B6" s="29">
        <f>SUM(B4:B5)</f>
        <v>21259.14</v>
      </c>
    </row>
    <row r="7" spans="1:2" ht="15" x14ac:dyDescent="0.25">
      <c r="A7" s="2"/>
      <c r="B7" s="2"/>
    </row>
    <row r="8" spans="1:2" ht="15" x14ac:dyDescent="0.2">
      <c r="A8" s="74" t="s">
        <v>16</v>
      </c>
      <c r="B8" s="74"/>
    </row>
    <row r="9" spans="1:2" ht="15" x14ac:dyDescent="0.2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2892.5</v>
      </c>
    </row>
    <row r="10" spans="1:2" ht="15" x14ac:dyDescent="0.2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3490.38</v>
      </c>
    </row>
    <row r="11" spans="1:2" ht="15" x14ac:dyDescent="0.2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239.8</v>
      </c>
    </row>
    <row r="12" spans="1:2" ht="15" x14ac:dyDescent="0.2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10300.959999999999</v>
      </c>
    </row>
    <row r="13" spans="1:2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3263</v>
      </c>
    </row>
    <row r="14" spans="1:2" ht="15.75" x14ac:dyDescent="0.25">
      <c r="A14" s="28" t="s">
        <v>19</v>
      </c>
      <c r="B14" s="32">
        <f>SUM(B9:B13)</f>
        <v>20186.64</v>
      </c>
    </row>
    <row r="15" spans="1:2" ht="15" x14ac:dyDescent="0.25">
      <c r="A15" s="2"/>
      <c r="B15" s="2"/>
    </row>
    <row r="16" spans="1:2" ht="15" x14ac:dyDescent="0.2">
      <c r="A16" s="74" t="s">
        <v>35</v>
      </c>
      <c r="B16" s="74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2851</v>
      </c>
    </row>
    <row r="18" spans="1:2" ht="15.75" x14ac:dyDescent="0.25">
      <c r="A18" s="28" t="s">
        <v>19</v>
      </c>
      <c r="B18" s="32">
        <f>SUM(B17:B17)</f>
        <v>2851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45261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749.99</v>
      </c>
      <c r="D6" s="2"/>
      <c r="E6" s="18"/>
      <c r="F6" s="25"/>
      <c r="G6" s="48"/>
      <c r="H6" s="8"/>
      <c r="I6" s="8"/>
      <c r="J6" s="2"/>
      <c r="K6" s="25" t="s">
        <v>127</v>
      </c>
      <c r="L6" s="9" t="s">
        <v>128</v>
      </c>
      <c r="M6" s="16">
        <v>100</v>
      </c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100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849.99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749.99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1790</v>
      </c>
      <c r="L15" s="9" t="s">
        <v>125</v>
      </c>
      <c r="M15" s="16" t="s">
        <v>126</v>
      </c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749.99</v>
      </c>
      <c r="D16" s="2"/>
      <c r="E16" s="18"/>
      <c r="F16" s="25"/>
      <c r="G16" s="26"/>
      <c r="H16" s="8"/>
      <c r="I16" s="8"/>
      <c r="J16" s="2"/>
      <c r="K16" s="25">
        <v>1801</v>
      </c>
      <c r="L16" s="9" t="s">
        <v>125</v>
      </c>
      <c r="M16" s="16" t="s">
        <v>126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1790</v>
      </c>
      <c r="F26" s="25" t="s">
        <v>124</v>
      </c>
      <c r="G26" s="26" t="s">
        <v>15</v>
      </c>
      <c r="H26" s="8"/>
      <c r="I26" s="8">
        <v>749.99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45262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30.5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0.5</v>
      </c>
      <c r="D6" s="2"/>
      <c r="E6" s="18">
        <v>1832</v>
      </c>
      <c r="F6" s="25" t="s">
        <v>129</v>
      </c>
      <c r="G6" s="48" t="s">
        <v>12</v>
      </c>
      <c r="H6" s="8">
        <v>30.5</v>
      </c>
      <c r="I6" s="8">
        <v>0.5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1806</v>
      </c>
      <c r="L15" s="9" t="s">
        <v>130</v>
      </c>
      <c r="M15" s="16" t="s">
        <v>126</v>
      </c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30.5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K15" sqref="K15: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45263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6" type="noConversion"/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45264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300</v>
      </c>
      <c r="D6" s="2"/>
      <c r="E6" s="18">
        <v>1833</v>
      </c>
      <c r="F6" s="25" t="s">
        <v>133</v>
      </c>
      <c r="G6" s="48" t="s">
        <v>17</v>
      </c>
      <c r="H6" s="8">
        <v>150</v>
      </c>
      <c r="I6" s="8">
        <v>100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300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1821</v>
      </c>
      <c r="L15" s="9" t="s">
        <v>131</v>
      </c>
      <c r="M15" s="16" t="s">
        <v>126</v>
      </c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385</v>
      </c>
      <c r="D16" s="2"/>
      <c r="E16" s="18"/>
      <c r="F16" s="25"/>
      <c r="G16" s="26"/>
      <c r="H16" s="8"/>
      <c r="I16" s="8"/>
      <c r="J16" s="2"/>
      <c r="K16" s="25">
        <v>1766</v>
      </c>
      <c r="L16" s="9" t="s">
        <v>132</v>
      </c>
      <c r="M16" s="16" t="s">
        <v>126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1804</v>
      </c>
      <c r="F26" s="25" t="s">
        <v>134</v>
      </c>
      <c r="G26" s="48" t="s">
        <v>15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1695</v>
      </c>
      <c r="F35" s="25" t="s">
        <v>135</v>
      </c>
      <c r="G35" s="26" t="s">
        <v>12</v>
      </c>
      <c r="H35" s="8">
        <v>85</v>
      </c>
      <c r="I35" s="8" t="s">
        <v>61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45265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40.5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200.5</v>
      </c>
      <c r="D6" s="2"/>
      <c r="E6" s="18">
        <v>1835</v>
      </c>
      <c r="F6" s="25" t="s">
        <v>136</v>
      </c>
      <c r="G6" s="48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1834</v>
      </c>
      <c r="F7" s="25" t="s">
        <v>140</v>
      </c>
      <c r="G7" s="48" t="s">
        <v>12</v>
      </c>
      <c r="H7" s="8">
        <v>40.5</v>
      </c>
      <c r="I7" s="8">
        <v>0.5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14</v>
      </c>
      <c r="C8" s="29">
        <f>SUM(C6:C7)</f>
        <v>200.5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0.5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1810</v>
      </c>
      <c r="L15" s="9" t="s">
        <v>125</v>
      </c>
      <c r="M15" s="16" t="s">
        <v>137</v>
      </c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200.5</v>
      </c>
      <c r="D16" s="2"/>
      <c r="E16" s="18"/>
      <c r="F16" s="25"/>
      <c r="G16" s="26"/>
      <c r="H16" s="8"/>
      <c r="I16" s="8"/>
      <c r="J16" s="2"/>
      <c r="K16" s="25">
        <v>1811</v>
      </c>
      <c r="L16" s="9" t="s">
        <v>125</v>
      </c>
      <c r="M16" s="16" t="s">
        <v>137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1812</v>
      </c>
      <c r="L17" s="9" t="s">
        <v>125</v>
      </c>
      <c r="M17" s="16" t="s">
        <v>137</v>
      </c>
      <c r="R17" s="1">
        <f>IF(vend5[[#This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>
        <v>1813</v>
      </c>
      <c r="L18" s="9" t="s">
        <v>125</v>
      </c>
      <c r="M18" s="16" t="s">
        <v>137</v>
      </c>
      <c r="R18" s="1">
        <f>IF(vend5[[#This Row],[Nº Venda]]&gt;1,1,0)</f>
        <v>0</v>
      </c>
    </row>
    <row r="19" spans="2:18" ht="15.75" x14ac:dyDescent="0.25">
      <c r="B19" s="30">
        <f>COUNT(entr_carn5[OS])</f>
        <v>4</v>
      </c>
      <c r="C19" s="31">
        <f>SUM(entr_carn5[Valor Total])</f>
        <v>2261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2261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40.5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1811</v>
      </c>
      <c r="F26" s="25" t="s">
        <v>138</v>
      </c>
      <c r="G26" s="48" t="s">
        <v>17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1813</v>
      </c>
      <c r="F27" s="25" t="s">
        <v>139</v>
      </c>
      <c r="G27" s="48" t="s">
        <v>17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1810</v>
      </c>
      <c r="L35" s="42">
        <v>8</v>
      </c>
      <c r="M35" s="16">
        <v>600</v>
      </c>
    </row>
    <row r="36" spans="2:18" ht="15.75" x14ac:dyDescent="0.25">
      <c r="E36" s="18"/>
      <c r="F36" s="25"/>
      <c r="G36" s="26"/>
      <c r="H36" s="8"/>
      <c r="I36" s="8"/>
      <c r="K36" s="25">
        <v>1811</v>
      </c>
      <c r="L36" s="42">
        <v>7</v>
      </c>
      <c r="M36" s="16">
        <v>1393</v>
      </c>
    </row>
    <row r="37" spans="2:18" ht="15.75" x14ac:dyDescent="0.25">
      <c r="E37" s="18"/>
      <c r="F37" s="25"/>
      <c r="G37" s="26"/>
      <c r="H37" s="8"/>
      <c r="I37" s="8"/>
      <c r="K37" s="25">
        <v>1812</v>
      </c>
      <c r="L37" s="42">
        <v>6</v>
      </c>
      <c r="M37" s="16">
        <v>169</v>
      </c>
    </row>
    <row r="38" spans="2:18" ht="15.75" x14ac:dyDescent="0.25">
      <c r="E38" s="18"/>
      <c r="F38" s="25"/>
      <c r="G38" s="26"/>
      <c r="H38" s="8"/>
      <c r="I38" s="8"/>
      <c r="K38" s="25">
        <v>1813</v>
      </c>
      <c r="L38" s="42">
        <v>6</v>
      </c>
      <c r="M38" s="16">
        <v>99</v>
      </c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5.5703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45266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450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450</v>
      </c>
      <c r="D6" s="2"/>
      <c r="E6" s="18">
        <v>1836</v>
      </c>
      <c r="F6" s="25" t="s">
        <v>141</v>
      </c>
      <c r="G6" s="26" t="s">
        <v>15</v>
      </c>
      <c r="H6" s="8">
        <v>450</v>
      </c>
      <c r="I6" s="8">
        <v>450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450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45267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1250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1300</v>
      </c>
      <c r="D6" s="2"/>
      <c r="E6" s="53" t="s">
        <v>144</v>
      </c>
      <c r="F6" s="51" t="s">
        <v>124</v>
      </c>
      <c r="G6" s="51" t="s">
        <v>23</v>
      </c>
      <c r="H6" s="52" t="s">
        <v>42</v>
      </c>
      <c r="I6" s="52">
        <v>0</v>
      </c>
      <c r="J6" s="2"/>
      <c r="K6" s="25" t="s">
        <v>143</v>
      </c>
      <c r="L6" s="9" t="s">
        <v>17</v>
      </c>
      <c r="M6" s="16">
        <v>22.5</v>
      </c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22.5</v>
      </c>
      <c r="D7" s="2"/>
      <c r="E7" s="54" t="s">
        <v>145</v>
      </c>
      <c r="F7" s="50" t="s">
        <v>146</v>
      </c>
      <c r="G7" s="50" t="s">
        <v>12</v>
      </c>
      <c r="H7" s="49">
        <v>1250</v>
      </c>
      <c r="I7" s="49">
        <v>950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14</v>
      </c>
      <c r="C8" s="29">
        <f>SUM(C6:C7)</f>
        <v>1322.5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950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137.5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>
        <v>1823</v>
      </c>
      <c r="L15" s="60" t="s">
        <v>131</v>
      </c>
      <c r="M15" s="61" t="s">
        <v>126</v>
      </c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1437.5</v>
      </c>
      <c r="D16" s="2"/>
      <c r="E16" s="18"/>
      <c r="F16" s="25"/>
      <c r="G16" s="26"/>
      <c r="H16" s="8"/>
      <c r="I16" s="8"/>
      <c r="J16" s="2"/>
      <c r="K16" s="47">
        <v>1818</v>
      </c>
      <c r="L16" s="9" t="s">
        <v>125</v>
      </c>
      <c r="M16" s="16" t="s">
        <v>126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1250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>
        <v>1818</v>
      </c>
      <c r="F26" s="57" t="s">
        <v>142</v>
      </c>
      <c r="G26" s="58" t="s">
        <v>15</v>
      </c>
      <c r="H26" s="59"/>
      <c r="I26" s="59">
        <v>350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1580</v>
      </c>
      <c r="F35" s="25" t="s">
        <v>147</v>
      </c>
      <c r="G35" s="26" t="s">
        <v>17</v>
      </c>
      <c r="H35" s="8">
        <v>137.5</v>
      </c>
      <c r="I35" s="8" t="s">
        <v>76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45268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1739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1729</v>
      </c>
      <c r="D6" s="2"/>
      <c r="E6" s="62">
        <v>1839</v>
      </c>
      <c r="F6" s="8" t="s">
        <v>133</v>
      </c>
      <c r="G6" s="8" t="s">
        <v>17</v>
      </c>
      <c r="H6" s="8">
        <v>839</v>
      </c>
      <c r="I6" s="8">
        <v>80</v>
      </c>
      <c r="J6" s="2"/>
      <c r="K6" s="25" t="s">
        <v>152</v>
      </c>
      <c r="L6" s="9" t="s">
        <v>12</v>
      </c>
      <c r="M6" s="16">
        <v>950</v>
      </c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950</v>
      </c>
      <c r="D7" s="2"/>
      <c r="E7" s="62">
        <v>1840</v>
      </c>
      <c r="F7" s="8" t="s">
        <v>154</v>
      </c>
      <c r="G7" s="8" t="s">
        <v>17</v>
      </c>
      <c r="H7" s="8">
        <v>400</v>
      </c>
      <c r="I7" s="8">
        <v>80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14</v>
      </c>
      <c r="C8" s="29">
        <f>SUM(C6:C7)</f>
        <v>2679</v>
      </c>
      <c r="D8" s="2"/>
      <c r="E8" s="62">
        <v>1841</v>
      </c>
      <c r="F8" s="8" t="s">
        <v>154</v>
      </c>
      <c r="G8" s="8" t="s">
        <v>17</v>
      </c>
      <c r="H8" s="8">
        <v>500</v>
      </c>
      <c r="I8" s="8">
        <v>79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670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239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425</v>
      </c>
      <c r="D15" s="2"/>
      <c r="E15" s="18"/>
      <c r="F15" s="25"/>
      <c r="G15" s="26"/>
      <c r="H15" s="8"/>
      <c r="I15" s="8"/>
      <c r="J15" s="2"/>
      <c r="K15" s="25">
        <v>1524</v>
      </c>
      <c r="L15" s="9" t="s">
        <v>131</v>
      </c>
      <c r="M15" s="16" t="s">
        <v>126</v>
      </c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1834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1739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1822</v>
      </c>
      <c r="F26" s="57" t="s">
        <v>148</v>
      </c>
      <c r="G26" s="58" t="s">
        <v>15</v>
      </c>
      <c r="H26" s="59"/>
      <c r="I26" s="59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>
        <v>1802</v>
      </c>
      <c r="F27" s="66" t="s">
        <v>149</v>
      </c>
      <c r="G27" s="63" t="s">
        <v>13</v>
      </c>
      <c r="H27" s="64"/>
      <c r="I27" s="64">
        <v>160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65">
        <v>1804</v>
      </c>
      <c r="F28" s="66" t="s">
        <v>150</v>
      </c>
      <c r="G28" s="63" t="s">
        <v>13</v>
      </c>
      <c r="H28" s="64"/>
      <c r="I28" s="64">
        <v>160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1783</v>
      </c>
      <c r="F29" s="25" t="s">
        <v>151</v>
      </c>
      <c r="G29" s="26" t="s">
        <v>12</v>
      </c>
      <c r="H29" s="8"/>
      <c r="I29" s="8">
        <v>670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1636</v>
      </c>
      <c r="F35" s="25" t="s">
        <v>153</v>
      </c>
      <c r="G35" s="26" t="s">
        <v>13</v>
      </c>
      <c r="H35" s="8">
        <v>75</v>
      </c>
      <c r="I35" s="8" t="s">
        <v>93</v>
      </c>
      <c r="K35" s="25"/>
      <c r="L35" s="42"/>
      <c r="M35" s="16"/>
    </row>
    <row r="36" spans="2:18" ht="15.75" x14ac:dyDescent="0.25">
      <c r="E36" s="18">
        <v>1776</v>
      </c>
      <c r="F36" s="25" t="s">
        <v>149</v>
      </c>
      <c r="G36" s="26" t="s">
        <v>13</v>
      </c>
      <c r="H36" s="8">
        <v>30</v>
      </c>
      <c r="I36" s="8" t="s">
        <v>48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45269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1159.99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759.99</v>
      </c>
      <c r="D6" s="2"/>
      <c r="E6" s="18">
        <v>1843</v>
      </c>
      <c r="F6" s="25" t="s">
        <v>155</v>
      </c>
      <c r="G6" s="48" t="s">
        <v>15</v>
      </c>
      <c r="H6" s="8">
        <v>400</v>
      </c>
      <c r="I6" s="8">
        <v>100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1844</v>
      </c>
      <c r="F7" s="25" t="s">
        <v>155</v>
      </c>
      <c r="G7" s="26" t="s">
        <v>15</v>
      </c>
      <c r="H7" s="8">
        <v>300</v>
      </c>
      <c r="I7" s="8">
        <v>100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14</v>
      </c>
      <c r="C8" s="29">
        <f>SUM(C6:C7)</f>
        <v>759.99</v>
      </c>
      <c r="D8" s="2"/>
      <c r="E8" s="18">
        <v>1845</v>
      </c>
      <c r="F8" s="25" t="s">
        <v>155</v>
      </c>
      <c r="G8" s="26" t="s">
        <v>15</v>
      </c>
      <c r="H8" s="8">
        <v>300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1842</v>
      </c>
      <c r="F9" s="25" t="s">
        <v>160</v>
      </c>
      <c r="G9" s="26" t="s">
        <v>15</v>
      </c>
      <c r="H9" s="8">
        <v>159.99</v>
      </c>
      <c r="I9" s="8">
        <v>159.99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558.39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459.99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1816</v>
      </c>
      <c r="L15" s="9" t="s">
        <v>156</v>
      </c>
      <c r="M15" s="16" t="s">
        <v>126</v>
      </c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1018.38</v>
      </c>
      <c r="D16" s="2"/>
      <c r="E16" s="18"/>
      <c r="F16" s="25"/>
      <c r="G16" s="26"/>
      <c r="H16" s="8"/>
      <c r="I16" s="8"/>
      <c r="J16" s="2"/>
      <c r="K16" s="25">
        <v>1807</v>
      </c>
      <c r="L16" s="9" t="s">
        <v>156</v>
      </c>
      <c r="M16" s="16" t="s">
        <v>126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1159.99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1807</v>
      </c>
      <c r="F26" s="25" t="s">
        <v>157</v>
      </c>
      <c r="G26" s="48" t="s">
        <v>17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1724</v>
      </c>
      <c r="F35" s="25" t="s">
        <v>158</v>
      </c>
      <c r="G35" s="26" t="s">
        <v>17</v>
      </c>
      <c r="H35" s="8">
        <v>83.39</v>
      </c>
      <c r="I35" s="8" t="s">
        <v>61</v>
      </c>
      <c r="K35" s="25"/>
      <c r="L35" s="42"/>
      <c r="M35" s="16"/>
    </row>
    <row r="36" spans="2:18" ht="15.75" x14ac:dyDescent="0.25">
      <c r="E36" s="18">
        <v>1754</v>
      </c>
      <c r="F36" s="25" t="s">
        <v>159</v>
      </c>
      <c r="G36" s="26" t="s">
        <v>17</v>
      </c>
      <c r="H36" s="8">
        <v>175</v>
      </c>
      <c r="I36" s="8" t="s">
        <v>47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45270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H38" sqref="H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45271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1399.99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2329.9899999999998</v>
      </c>
      <c r="D6" s="2"/>
      <c r="E6" s="18">
        <v>1846</v>
      </c>
      <c r="F6" s="25" t="s">
        <v>161</v>
      </c>
      <c r="G6" s="26" t="s">
        <v>15</v>
      </c>
      <c r="H6" s="8">
        <v>1399.99</v>
      </c>
      <c r="I6" s="8">
        <v>1399.99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14</v>
      </c>
      <c r="C8" s="29">
        <f>SUM(C6:C7)</f>
        <v>2329.9899999999998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450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1849.99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265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2594.9899999999998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1399.99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1831</v>
      </c>
      <c r="F26" s="25" t="s">
        <v>162</v>
      </c>
      <c r="G26" s="48" t="s">
        <v>15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1831</v>
      </c>
      <c r="F27" s="25" t="s">
        <v>162</v>
      </c>
      <c r="G27" s="26" t="s">
        <v>15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1808</v>
      </c>
      <c r="F28" s="25" t="s">
        <v>163</v>
      </c>
      <c r="G28" s="26" t="s">
        <v>12</v>
      </c>
      <c r="H28" s="8"/>
      <c r="I28" s="8">
        <v>450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1832</v>
      </c>
      <c r="F29" s="25" t="s">
        <v>129</v>
      </c>
      <c r="G29" s="26" t="s">
        <v>17</v>
      </c>
      <c r="H29" s="8"/>
      <c r="I29" s="8">
        <v>30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1467</v>
      </c>
      <c r="F35" s="25" t="s">
        <v>164</v>
      </c>
      <c r="G35" s="26" t="s">
        <v>13</v>
      </c>
      <c r="H35" s="8">
        <v>75</v>
      </c>
      <c r="I35" s="8" t="s">
        <v>59</v>
      </c>
      <c r="K35" s="25"/>
      <c r="L35" s="42"/>
      <c r="M35" s="16"/>
    </row>
    <row r="36" spans="2:18" ht="15.75" x14ac:dyDescent="0.25">
      <c r="E36" s="18">
        <v>1704</v>
      </c>
      <c r="F36" s="25" t="s">
        <v>165</v>
      </c>
      <c r="G36" s="26" t="s">
        <v>13</v>
      </c>
      <c r="H36" s="8">
        <v>105</v>
      </c>
      <c r="I36" s="8" t="s">
        <v>91</v>
      </c>
      <c r="K36" s="25"/>
      <c r="L36" s="42"/>
      <c r="M36" s="16"/>
    </row>
    <row r="37" spans="2:18" ht="15.75" x14ac:dyDescent="0.25">
      <c r="E37" s="18">
        <v>1704</v>
      </c>
      <c r="F37" s="25" t="s">
        <v>165</v>
      </c>
      <c r="G37" s="26" t="s">
        <v>13</v>
      </c>
      <c r="H37" s="8">
        <v>85</v>
      </c>
      <c r="I37" s="8" t="s">
        <v>92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45272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1440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1020</v>
      </c>
      <c r="D6" s="2"/>
      <c r="E6" s="73">
        <v>1747</v>
      </c>
      <c r="F6" s="67" t="s">
        <v>168</v>
      </c>
      <c r="G6" s="67" t="s">
        <v>23</v>
      </c>
      <c r="H6" s="68">
        <v>150</v>
      </c>
      <c r="I6" s="68">
        <v>0</v>
      </c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1748</v>
      </c>
      <c r="F7" s="69" t="s">
        <v>166</v>
      </c>
      <c r="G7" s="69" t="s">
        <v>12</v>
      </c>
      <c r="H7" s="70">
        <v>240</v>
      </c>
      <c r="I7" s="70">
        <v>215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14</v>
      </c>
      <c r="C8" s="29">
        <f>SUM(C6:C7)</f>
        <v>1020</v>
      </c>
      <c r="D8" s="2"/>
      <c r="E8" s="18">
        <v>1848</v>
      </c>
      <c r="F8" s="25" t="s">
        <v>166</v>
      </c>
      <c r="G8" s="26" t="s">
        <v>17</v>
      </c>
      <c r="H8" s="8">
        <v>0</v>
      </c>
      <c r="I8" s="8">
        <v>25</v>
      </c>
      <c r="J8" s="2"/>
      <c r="K8" s="25"/>
      <c r="L8" s="9"/>
      <c r="M8" s="16"/>
      <c r="R8" s="1">
        <f>IF(vend12[[#This Row],[Nº Venda]]&gt;1,1,0)</f>
        <v>1</v>
      </c>
    </row>
    <row r="9" spans="2:18" ht="15" x14ac:dyDescent="0.25">
      <c r="B9" s="2"/>
      <c r="C9" s="2"/>
      <c r="D9" s="2"/>
      <c r="E9" s="72">
        <v>1849</v>
      </c>
      <c r="F9" s="69" t="s">
        <v>170</v>
      </c>
      <c r="G9" s="69" t="s">
        <v>15</v>
      </c>
      <c r="H9" s="70">
        <v>320</v>
      </c>
      <c r="I9" s="70">
        <v>320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74" t="s">
        <v>16</v>
      </c>
      <c r="C10" s="74"/>
      <c r="D10" s="2"/>
      <c r="E10" s="18">
        <v>1850</v>
      </c>
      <c r="F10" s="25" t="s">
        <v>173</v>
      </c>
      <c r="G10" s="26" t="s">
        <v>23</v>
      </c>
      <c r="H10" s="8" t="s">
        <v>42</v>
      </c>
      <c r="I10" s="8">
        <v>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235</v>
      </c>
      <c r="D11" s="2"/>
      <c r="E11" s="18">
        <v>1851</v>
      </c>
      <c r="F11" s="25" t="s">
        <v>171</v>
      </c>
      <c r="G11" s="26" t="s">
        <v>12</v>
      </c>
      <c r="H11" s="8">
        <v>880</v>
      </c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465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59.8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320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1717</v>
      </c>
      <c r="L15" s="9" t="s">
        <v>156</v>
      </c>
      <c r="M15" s="16" t="s">
        <v>126</v>
      </c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1079.8</v>
      </c>
      <c r="D16" s="2"/>
      <c r="E16" s="18"/>
      <c r="F16" s="25"/>
      <c r="G16" s="26"/>
      <c r="H16" s="8"/>
      <c r="I16" s="8"/>
      <c r="J16" s="2"/>
      <c r="K16" s="25">
        <v>1819</v>
      </c>
      <c r="L16" s="9" t="s">
        <v>156</v>
      </c>
      <c r="M16" s="16" t="s">
        <v>126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1813</v>
      </c>
      <c r="L17" s="9" t="s">
        <v>156</v>
      </c>
      <c r="M17" s="16" t="s">
        <v>137</v>
      </c>
      <c r="R17" s="1">
        <f>IF(vend12[[#This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>
        <v>1815</v>
      </c>
      <c r="L18" s="9" t="s">
        <v>172</v>
      </c>
      <c r="M18" s="16" t="s">
        <v>126</v>
      </c>
      <c r="R18" s="1">
        <f>IF(vend12[[#This Row],[Nº Venda]]&gt;1,1,0)</f>
        <v>0</v>
      </c>
    </row>
    <row r="19" spans="2:18" ht="15.75" x14ac:dyDescent="0.25">
      <c r="B19" s="30">
        <f>COUNT(entr_carn12[OS])</f>
        <v>1</v>
      </c>
      <c r="C19" s="31">
        <f>SUM(entr_carn12[Valor Total])</f>
        <v>590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590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1440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1815</v>
      </c>
      <c r="F26" s="71" t="s">
        <v>167</v>
      </c>
      <c r="G26" s="48" t="s">
        <v>17</v>
      </c>
      <c r="H26" s="8"/>
      <c r="I26" s="8">
        <v>440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1633</v>
      </c>
      <c r="F35" s="25" t="s">
        <v>169</v>
      </c>
      <c r="G35" s="26" t="s">
        <v>18</v>
      </c>
      <c r="H35" s="8">
        <v>29.9</v>
      </c>
      <c r="I35" s="8" t="s">
        <v>74</v>
      </c>
      <c r="K35" s="25">
        <v>1813</v>
      </c>
      <c r="L35" s="42">
        <v>6</v>
      </c>
      <c r="M35" s="16">
        <v>590</v>
      </c>
    </row>
    <row r="36" spans="2:18" ht="15.75" x14ac:dyDescent="0.25">
      <c r="E36" s="18">
        <v>1633</v>
      </c>
      <c r="F36" s="25" t="s">
        <v>169</v>
      </c>
      <c r="G36" s="26" t="s">
        <v>18</v>
      </c>
      <c r="H36" s="8">
        <v>29.9</v>
      </c>
      <c r="I36" s="8" t="s">
        <v>75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45273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45274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45275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1998.99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1538.99</v>
      </c>
      <c r="D6" s="2"/>
      <c r="E6" s="18">
        <v>1852</v>
      </c>
      <c r="F6" s="25" t="s">
        <v>174</v>
      </c>
      <c r="G6" s="48" t="s">
        <v>13</v>
      </c>
      <c r="H6" s="8">
        <v>899</v>
      </c>
      <c r="I6" s="8">
        <v>899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1854</v>
      </c>
      <c r="F7" s="25" t="s">
        <v>175</v>
      </c>
      <c r="G7" s="48" t="s">
        <v>17</v>
      </c>
      <c r="H7" s="8">
        <v>199.99</v>
      </c>
      <c r="I7" s="8">
        <v>199.99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14</v>
      </c>
      <c r="C8" s="29">
        <f>SUM(C6:C7)</f>
        <v>1538.99</v>
      </c>
      <c r="D8" s="2"/>
      <c r="E8" s="18">
        <v>1853</v>
      </c>
      <c r="F8" s="25" t="s">
        <v>176</v>
      </c>
      <c r="G8" s="26" t="s">
        <v>17</v>
      </c>
      <c r="H8" s="8">
        <v>200</v>
      </c>
      <c r="I8" s="8">
        <v>200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1854</v>
      </c>
      <c r="F9" s="25" t="s">
        <v>178</v>
      </c>
      <c r="G9" s="26" t="s">
        <v>17</v>
      </c>
      <c r="H9" s="8">
        <v>700</v>
      </c>
      <c r="I9" s="8">
        <v>40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639.99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899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1538.99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1998.99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1830</v>
      </c>
      <c r="F26" s="25" t="s">
        <v>177</v>
      </c>
      <c r="G26" s="48" t="s">
        <v>17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45276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3109.99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1461.49</v>
      </c>
      <c r="D6" s="2"/>
      <c r="E6" s="18">
        <v>1856</v>
      </c>
      <c r="F6" s="25" t="s">
        <v>180</v>
      </c>
      <c r="G6" s="26" t="s">
        <v>15</v>
      </c>
      <c r="H6" s="8">
        <v>324.99</v>
      </c>
      <c r="I6" s="8">
        <v>224.99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1856</v>
      </c>
      <c r="F7" s="25" t="s">
        <v>180</v>
      </c>
      <c r="G7" s="26" t="s">
        <v>12</v>
      </c>
      <c r="H7" s="8">
        <v>0</v>
      </c>
      <c r="I7" s="8">
        <v>100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14</v>
      </c>
      <c r="C8" s="29">
        <f>SUM(C6:C7)</f>
        <v>1461.49</v>
      </c>
      <c r="D8" s="2"/>
      <c r="E8" s="18">
        <v>1857</v>
      </c>
      <c r="F8" s="25" t="s">
        <v>182</v>
      </c>
      <c r="G8" s="26" t="s">
        <v>17</v>
      </c>
      <c r="H8" s="8">
        <v>700</v>
      </c>
      <c r="I8" s="8">
        <v>100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1858</v>
      </c>
      <c r="F9" s="25" t="s">
        <v>181</v>
      </c>
      <c r="G9" s="26" t="s">
        <v>13</v>
      </c>
      <c r="H9" s="8">
        <v>690</v>
      </c>
      <c r="I9" s="8">
        <v>500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74" t="s">
        <v>16</v>
      </c>
      <c r="C10" s="74"/>
      <c r="D10" s="2"/>
      <c r="E10" s="18">
        <v>1858</v>
      </c>
      <c r="F10" s="25" t="s">
        <v>181</v>
      </c>
      <c r="G10" s="26" t="s">
        <v>15</v>
      </c>
      <c r="H10" s="8">
        <v>0</v>
      </c>
      <c r="I10" s="8">
        <v>190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101.5</v>
      </c>
      <c r="D11" s="2"/>
      <c r="E11" s="18">
        <v>1859</v>
      </c>
      <c r="F11" s="25" t="s">
        <v>180</v>
      </c>
      <c r="G11" s="48" t="s">
        <v>15</v>
      </c>
      <c r="H11" s="8">
        <v>325</v>
      </c>
      <c r="I11" s="8">
        <v>325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120</v>
      </c>
      <c r="D12" s="2"/>
      <c r="E12" s="18">
        <v>1860</v>
      </c>
      <c r="F12" s="25" t="s">
        <v>185</v>
      </c>
      <c r="G12" s="26" t="s">
        <v>23</v>
      </c>
      <c r="H12" s="8" t="s">
        <v>42</v>
      </c>
      <c r="I12" s="8">
        <v>0</v>
      </c>
      <c r="J12" s="2"/>
      <c r="R12" s="1">
        <f>IF(vend16[[#This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>
        <v>1861</v>
      </c>
      <c r="F13" s="25" t="s">
        <v>184</v>
      </c>
      <c r="G13" s="26" t="s">
        <v>12</v>
      </c>
      <c r="H13" s="8">
        <v>325</v>
      </c>
      <c r="I13" s="8">
        <v>1</v>
      </c>
      <c r="J13" s="2"/>
      <c r="K13" s="76" t="s">
        <v>36</v>
      </c>
      <c r="L13" s="77"/>
      <c r="M13" s="78"/>
      <c r="R13" s="1">
        <f>IF(vend16[[#This Row],[Nº Venda]]&gt;1,1,0)</f>
        <v>1</v>
      </c>
    </row>
    <row r="14" spans="2:18" ht="15.75" x14ac:dyDescent="0.25">
      <c r="B14" s="30" t="s">
        <v>15</v>
      </c>
      <c r="C14" s="31">
        <f t="shared" si="0"/>
        <v>739.99</v>
      </c>
      <c r="D14" s="2"/>
      <c r="E14" s="18">
        <v>1862</v>
      </c>
      <c r="F14" s="25" t="s">
        <v>179</v>
      </c>
      <c r="G14" s="48" t="s">
        <v>12</v>
      </c>
      <c r="H14" s="8">
        <v>325</v>
      </c>
      <c r="I14" s="8">
        <v>0.5</v>
      </c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1</v>
      </c>
    </row>
    <row r="15" spans="2:18" ht="15.75" x14ac:dyDescent="0.25">
      <c r="B15" s="30" t="s">
        <v>13</v>
      </c>
      <c r="C15" s="31">
        <f t="shared" si="0"/>
        <v>500</v>
      </c>
      <c r="D15" s="2"/>
      <c r="E15" s="18">
        <v>1863</v>
      </c>
      <c r="F15" s="25" t="s">
        <v>183</v>
      </c>
      <c r="G15" s="26" t="s">
        <v>17</v>
      </c>
      <c r="H15" s="8">
        <v>420</v>
      </c>
      <c r="I15" s="8">
        <v>20</v>
      </c>
      <c r="J15" s="2"/>
      <c r="K15" s="25"/>
      <c r="L15" s="9"/>
      <c r="M15" s="16"/>
      <c r="R15" s="1">
        <f>IF(vend16[[#This Row],[Nº Venda]]&gt;1,1,0)</f>
        <v>1</v>
      </c>
    </row>
    <row r="16" spans="2:18" ht="15.75" x14ac:dyDescent="0.25">
      <c r="B16" s="28" t="s">
        <v>19</v>
      </c>
      <c r="C16" s="32">
        <f>SUM(C11:C15)</f>
        <v>1461.49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3109.99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45277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45278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45279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1791</v>
      </c>
      <c r="F35" s="25" t="s">
        <v>186</v>
      </c>
      <c r="G35" s="26" t="s">
        <v>13</v>
      </c>
      <c r="H35" s="8">
        <v>60</v>
      </c>
      <c r="I35" s="8" t="s">
        <v>48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45280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150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1836</v>
      </c>
      <c r="L15" s="9" t="s">
        <v>156</v>
      </c>
      <c r="M15" s="16" t="s">
        <v>126</v>
      </c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>
        <v>1</v>
      </c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1847</v>
      </c>
      <c r="F26" s="25" t="s">
        <v>168</v>
      </c>
      <c r="G26" s="26" t="s">
        <v>15</v>
      </c>
      <c r="H26" s="8">
        <v>150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1754</v>
      </c>
      <c r="F35" s="25" t="s">
        <v>187</v>
      </c>
      <c r="G35" s="26" t="s">
        <v>17</v>
      </c>
      <c r="H35" s="8">
        <v>250</v>
      </c>
      <c r="I35" s="8" t="s">
        <v>46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4" zoomScale="80" zoomScaleNormal="80" workbookViewId="0">
      <selection activeCell="K8" sqref="K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45281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561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1221</v>
      </c>
      <c r="D6" s="2"/>
      <c r="E6" s="18">
        <v>1866</v>
      </c>
      <c r="F6" s="25" t="s">
        <v>188</v>
      </c>
      <c r="G6" s="26" t="s">
        <v>15</v>
      </c>
      <c r="H6" s="8">
        <v>381</v>
      </c>
      <c r="I6" s="8">
        <v>381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1865</v>
      </c>
      <c r="F7" s="25" t="s">
        <v>189</v>
      </c>
      <c r="G7" s="26" t="s">
        <v>17</v>
      </c>
      <c r="H7" s="8">
        <v>180</v>
      </c>
      <c r="I7" s="8">
        <v>180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14</v>
      </c>
      <c r="C8" s="29">
        <f>SUM(C6:C7)</f>
        <v>1221</v>
      </c>
      <c r="D8" s="2"/>
      <c r="E8" s="18">
        <v>1864</v>
      </c>
      <c r="F8" s="25" t="s">
        <v>159</v>
      </c>
      <c r="G8" s="26" t="s">
        <v>23</v>
      </c>
      <c r="H8" s="8" t="s">
        <v>42</v>
      </c>
      <c r="I8" s="8">
        <v>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1041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1847</v>
      </c>
      <c r="L15" s="9" t="s">
        <v>156</v>
      </c>
      <c r="M15" s="16" t="s">
        <v>126</v>
      </c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1221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561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1855</v>
      </c>
      <c r="F26" s="25" t="s">
        <v>190</v>
      </c>
      <c r="G26" s="26" t="s">
        <v>15</v>
      </c>
      <c r="H26" s="8"/>
      <c r="I26" s="8">
        <v>660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E30" sqref="E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45283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1800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14</v>
      </c>
      <c r="C8" s="29">
        <f>SUM(C6:C7)</f>
        <v>1800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1500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1800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1841</v>
      </c>
      <c r="F26" s="25" t="s">
        <v>193</v>
      </c>
      <c r="G26" s="26" t="s">
        <v>15</v>
      </c>
      <c r="H26" s="8"/>
      <c r="I26" s="8">
        <v>421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1839</v>
      </c>
      <c r="F27" s="25" t="s">
        <v>133</v>
      </c>
      <c r="G27" s="26" t="s">
        <v>15</v>
      </c>
      <c r="H27" s="8"/>
      <c r="I27" s="8">
        <v>759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1840</v>
      </c>
      <c r="F28" s="25" t="s">
        <v>193</v>
      </c>
      <c r="G28" s="26" t="s">
        <v>15</v>
      </c>
      <c r="H28" s="8"/>
      <c r="I28" s="8">
        <v>320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1838</v>
      </c>
      <c r="F29" s="25" t="s">
        <v>146</v>
      </c>
      <c r="G29" s="26" t="s">
        <v>17</v>
      </c>
      <c r="H29" s="8"/>
      <c r="I29" s="8">
        <v>300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45282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133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129</v>
      </c>
      <c r="D15" s="2"/>
      <c r="E15" s="18"/>
      <c r="F15" s="25"/>
      <c r="G15" s="26"/>
      <c r="H15" s="8"/>
      <c r="I15" s="8"/>
      <c r="J15" s="2"/>
      <c r="K15" s="25">
        <v>1858</v>
      </c>
      <c r="L15" s="9" t="s">
        <v>156</v>
      </c>
      <c r="M15" s="16" t="s">
        <v>126</v>
      </c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262</v>
      </c>
      <c r="D16" s="2"/>
      <c r="E16" s="18"/>
      <c r="F16" s="25"/>
      <c r="G16" s="26"/>
      <c r="H16" s="8"/>
      <c r="I16" s="8"/>
      <c r="J16" s="2"/>
      <c r="K16" s="25">
        <v>1854</v>
      </c>
      <c r="L16" s="9" t="s">
        <v>156</v>
      </c>
      <c r="M16" s="16" t="s">
        <v>126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1842</v>
      </c>
      <c r="L17" s="9" t="s">
        <v>156</v>
      </c>
      <c r="M17" s="16" t="s">
        <v>126</v>
      </c>
      <c r="R17" s="1">
        <f>IF(vend22[[#This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>
        <v>1853</v>
      </c>
      <c r="L18" s="9" t="s">
        <v>156</v>
      </c>
      <c r="M18" s="16" t="s">
        <v>126</v>
      </c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1734</v>
      </c>
      <c r="F35" s="25" t="s">
        <v>191</v>
      </c>
      <c r="G35" s="26" t="s">
        <v>13</v>
      </c>
      <c r="H35" s="8">
        <v>129</v>
      </c>
      <c r="I35" s="8" t="s">
        <v>68</v>
      </c>
      <c r="K35" s="25"/>
      <c r="L35" s="42"/>
      <c r="M35" s="16"/>
    </row>
    <row r="36" spans="2:18" ht="15.75" x14ac:dyDescent="0.25">
      <c r="E36" s="18">
        <v>1723</v>
      </c>
      <c r="F36" s="25" t="s">
        <v>192</v>
      </c>
      <c r="G36" s="26" t="s">
        <v>17</v>
      </c>
      <c r="H36" s="8">
        <v>133</v>
      </c>
      <c r="I36" s="8" t="s">
        <v>47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45284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45285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45286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400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400</v>
      </c>
      <c r="D6" s="2"/>
      <c r="E6" s="18">
        <v>1868</v>
      </c>
      <c r="F6" s="25" t="s">
        <v>194</v>
      </c>
      <c r="G6" s="26" t="s">
        <v>23</v>
      </c>
      <c r="H6" s="8">
        <v>1300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1867</v>
      </c>
      <c r="F7" s="25" t="s">
        <v>196</v>
      </c>
      <c r="G7" s="26" t="s">
        <v>15</v>
      </c>
      <c r="H7" s="8">
        <v>400</v>
      </c>
      <c r="I7" s="8">
        <v>400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14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67.5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467.5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1520</v>
      </c>
      <c r="F35" s="25" t="s">
        <v>195</v>
      </c>
      <c r="G35" s="26" t="s">
        <v>17</v>
      </c>
      <c r="H35" s="8">
        <v>67.5</v>
      </c>
      <c r="I35" s="8" t="s">
        <v>76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10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45287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40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40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1850</v>
      </c>
      <c r="L15" s="9" t="s">
        <v>156</v>
      </c>
      <c r="M15" s="16" t="s">
        <v>126</v>
      </c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40</v>
      </c>
      <c r="D16" s="2"/>
      <c r="E16" s="18"/>
      <c r="F16" s="25"/>
      <c r="G16" s="26"/>
      <c r="H16" s="8"/>
      <c r="I16" s="8"/>
      <c r="J16" s="2"/>
      <c r="K16" s="25">
        <v>1846</v>
      </c>
      <c r="L16" s="9" t="s">
        <v>156</v>
      </c>
      <c r="M16" s="16" t="s">
        <v>126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1834</v>
      </c>
      <c r="F26" s="25" t="s">
        <v>197</v>
      </c>
      <c r="G26" s="26" t="s">
        <v>17</v>
      </c>
      <c r="H26" s="8">
        <v>40</v>
      </c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C13" sqref="C13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45288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4149.99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2700</v>
      </c>
      <c r="D6" s="2"/>
      <c r="E6" s="18">
        <v>1869</v>
      </c>
      <c r="F6" s="25" t="s">
        <v>199</v>
      </c>
      <c r="G6" s="26" t="s">
        <v>18</v>
      </c>
      <c r="H6" s="8">
        <v>679.99</v>
      </c>
      <c r="I6" s="8">
        <v>180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1870</v>
      </c>
      <c r="F7" s="25" t="s">
        <v>200</v>
      </c>
      <c r="G7" s="26" t="s">
        <v>17</v>
      </c>
      <c r="H7" s="8">
        <v>600</v>
      </c>
      <c r="I7" s="8">
        <v>30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2700</v>
      </c>
      <c r="D8" s="2"/>
      <c r="E8" s="18">
        <v>1871</v>
      </c>
      <c r="F8" s="25" t="s">
        <v>200</v>
      </c>
      <c r="G8" s="26" t="s">
        <v>12</v>
      </c>
      <c r="H8" s="8">
        <v>1030</v>
      </c>
      <c r="I8" s="8">
        <v>50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1872</v>
      </c>
      <c r="F9" s="25" t="s">
        <v>201</v>
      </c>
      <c r="G9" s="26" t="s">
        <v>12</v>
      </c>
      <c r="H9" s="8">
        <v>250</v>
      </c>
      <c r="I9" s="8">
        <v>250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74" t="s">
        <v>16</v>
      </c>
      <c r="C10" s="74"/>
      <c r="D10" s="2"/>
      <c r="E10" s="18">
        <v>1873</v>
      </c>
      <c r="F10" s="25" t="s">
        <v>202</v>
      </c>
      <c r="G10" s="26" t="s">
        <v>15</v>
      </c>
      <c r="H10" s="8">
        <v>461</v>
      </c>
      <c r="I10" s="8">
        <v>461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300</v>
      </c>
      <c r="D11" s="2"/>
      <c r="E11" s="18">
        <v>1874</v>
      </c>
      <c r="F11" s="25" t="s">
        <v>202</v>
      </c>
      <c r="G11" s="26" t="s">
        <v>15</v>
      </c>
      <c r="H11" s="8">
        <v>1129</v>
      </c>
      <c r="I11" s="8">
        <v>1129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180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1590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685</v>
      </c>
      <c r="D15" s="2"/>
      <c r="E15" s="18"/>
      <c r="F15" s="25"/>
      <c r="G15" s="26"/>
      <c r="H15" s="8"/>
      <c r="I15" s="8"/>
      <c r="J15" s="2"/>
      <c r="K15" s="25">
        <v>1859</v>
      </c>
      <c r="L15" s="9" t="s">
        <v>156</v>
      </c>
      <c r="M15" s="16" t="s">
        <v>126</v>
      </c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2785</v>
      </c>
      <c r="D16" s="2"/>
      <c r="E16" s="18"/>
      <c r="F16" s="25"/>
      <c r="G16" s="26"/>
      <c r="H16" s="8"/>
      <c r="I16" s="8"/>
      <c r="J16" s="2"/>
      <c r="K16" s="25">
        <v>1849</v>
      </c>
      <c r="L16" s="9" t="s">
        <v>172</v>
      </c>
      <c r="M16" s="16" t="s">
        <v>126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1857</v>
      </c>
      <c r="L17" s="9" t="s">
        <v>156</v>
      </c>
      <c r="M17" s="16" t="s">
        <v>126</v>
      </c>
      <c r="R17" s="1">
        <f>IF(vend28[[#This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4149.99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1857</v>
      </c>
      <c r="F26" s="25" t="s">
        <v>203</v>
      </c>
      <c r="G26" s="26" t="s">
        <v>13</v>
      </c>
      <c r="H26" s="8"/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1544</v>
      </c>
      <c r="F35" s="25" t="s">
        <v>198</v>
      </c>
      <c r="G35" s="26" t="s">
        <v>13</v>
      </c>
      <c r="H35" s="8">
        <v>85</v>
      </c>
      <c r="I35" s="8" t="s">
        <v>86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45289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1000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>
        <v>1874</v>
      </c>
      <c r="F6" s="25" t="s">
        <v>204</v>
      </c>
      <c r="G6" s="26" t="s">
        <v>12</v>
      </c>
      <c r="H6" s="8">
        <v>1000</v>
      </c>
      <c r="I6" s="8">
        <v>100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45290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3500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300</v>
      </c>
      <c r="D6" s="2"/>
      <c r="E6" s="18">
        <v>1875</v>
      </c>
      <c r="F6" s="25" t="s">
        <v>205</v>
      </c>
      <c r="G6" s="26" t="s">
        <v>13</v>
      </c>
      <c r="H6" s="8">
        <v>2200</v>
      </c>
      <c r="I6" s="8">
        <v>150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14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1856</v>
      </c>
      <c r="L15" s="9" t="s">
        <v>156</v>
      </c>
      <c r="M15" s="16" t="s">
        <v>126</v>
      </c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1867</v>
      </c>
      <c r="L16" s="9" t="s">
        <v>156</v>
      </c>
      <c r="M16" s="16" t="s">
        <v>126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1852</v>
      </c>
      <c r="L17" s="9" t="s">
        <v>156</v>
      </c>
      <c r="M17" s="16" t="s">
        <v>126</v>
      </c>
      <c r="R17" s="1">
        <f>IF(vend30[[#This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1868</v>
      </c>
      <c r="F26" s="25" t="s">
        <v>194</v>
      </c>
      <c r="G26" s="26" t="s">
        <v>13</v>
      </c>
      <c r="H26" s="8">
        <v>1300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45291</v>
      </c>
    </row>
    <row r="2" spans="2:18" ht="18.75" x14ac:dyDescent="0.2"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2" t="s">
        <v>2</v>
      </c>
      <c r="F4" s="82"/>
      <c r="G4" s="82"/>
      <c r="H4" s="82"/>
      <c r="I4" s="82"/>
      <c r="J4" s="22"/>
      <c r="K4" s="76" t="s">
        <v>3</v>
      </c>
      <c r="L4" s="77"/>
      <c r="M4" s="78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4" t="s">
        <v>16</v>
      </c>
      <c r="C10" s="7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6" t="s">
        <v>36</v>
      </c>
      <c r="L13" s="77"/>
      <c r="M13" s="78"/>
      <c r="R13" s="1">
        <f>IF(vend31[[#This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4" t="s">
        <v>35</v>
      </c>
      <c r="C18" s="7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5" t="s">
        <v>22</v>
      </c>
      <c r="F24" s="75"/>
      <c r="G24" s="75"/>
      <c r="H24" s="75"/>
      <c r="I24" s="7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5" t="s">
        <v>39</v>
      </c>
      <c r="F33" s="75"/>
      <c r="G33" s="75"/>
      <c r="H33" s="75"/>
      <c r="I33" s="75"/>
      <c r="K33" s="76" t="s">
        <v>35</v>
      </c>
      <c r="L33" s="77"/>
      <c r="M33" s="78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23</vt:lpstr>
      <vt:lpstr>22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cp:lastPrinted>2024-01-05T14:21:57Z</cp:lastPrinted>
  <dcterms:created xsi:type="dcterms:W3CDTF">2004-04-07T20:43:43Z</dcterms:created>
  <dcterms:modified xsi:type="dcterms:W3CDTF">2024-02-11T20:56:18Z</dcterms:modified>
  <cp:category/>
  <cp:contentStatus/>
</cp:coreProperties>
</file>