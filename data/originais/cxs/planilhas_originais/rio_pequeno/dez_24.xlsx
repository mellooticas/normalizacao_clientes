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2024/"/>
    </mc:Choice>
  </mc:AlternateContent>
  <xr:revisionPtr revIDLastSave="415" documentId="8_{20048746-4408-4412-9F4D-B1900827C9FD}" xr6:coauthVersionLast="47" xr6:coauthVersionMax="47" xr10:uidLastSave="{39E61D86-43A0-4B61-8DB9-7AC99AA8EB8D}"/>
  <bookViews>
    <workbookView xWindow="-120" yWindow="-120" windowWidth="20730" windowHeight="11160" tabRatio="895" firstSheet="7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  <definedName name="_xlnm.Print_Area" localSheetId="26">'26'!$A$1:$M$41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83" l="1"/>
  <c r="C6" i="174"/>
  <c r="C6" i="173"/>
  <c r="C6" i="172"/>
  <c r="C6" i="171"/>
  <c r="C6" i="170"/>
  <c r="C6" i="178"/>
  <c r="C6" i="180"/>
  <c r="C6" i="179"/>
  <c r="C6" i="184"/>
  <c r="C6" i="186"/>
  <c r="C6" i="191"/>
  <c r="C6" i="193"/>
  <c r="C6" i="194"/>
  <c r="C6" i="197"/>
  <c r="C6" i="192"/>
  <c r="C6" i="199"/>
  <c r="C6" i="198"/>
  <c r="C6" i="175"/>
  <c r="C7" i="171" l="1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0"/>
  <c r="C7" i="103"/>
  <c r="C7" i="178"/>
  <c r="C7" i="177"/>
  <c r="C7" i="176"/>
  <c r="C7" i="180"/>
  <c r="C7" i="182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4"/>
  <c r="C8" i="172"/>
  <c r="C8" i="171"/>
  <c r="C8" i="179"/>
  <c r="C8" i="194"/>
  <c r="C8" i="197"/>
  <c r="C8" i="199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C19" i="171"/>
  <c r="C20" i="171" s="1"/>
  <c r="B19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92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B13" i="200"/>
  <c r="B5" i="200"/>
  <c r="B11" i="200"/>
  <c r="B10" i="200"/>
  <c r="B9" i="200"/>
  <c r="B3" i="200"/>
  <c r="B12" i="200"/>
  <c r="C16" i="196"/>
  <c r="C16" i="189"/>
  <c r="C16" i="188"/>
  <c r="C16" i="185"/>
  <c r="C8" i="193"/>
  <c r="C8" i="178"/>
  <c r="C8" i="198"/>
  <c r="C8" i="170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C16" i="193"/>
  <c r="O11" i="193" s="1"/>
  <c r="C16" i="191"/>
  <c r="O11" i="191" s="1"/>
  <c r="C16" i="190"/>
  <c r="C16" i="187"/>
  <c r="C16" i="186"/>
  <c r="O11" i="186" s="1"/>
  <c r="C16" i="184"/>
  <c r="O11" i="184" s="1"/>
  <c r="C8" i="184"/>
  <c r="C16" i="179"/>
  <c r="O11" i="179" s="1"/>
  <c r="C16" i="181"/>
  <c r="C16" i="183"/>
  <c r="C16" i="182"/>
  <c r="C16" i="180"/>
  <c r="O11" i="180" s="1"/>
  <c r="C16" i="176"/>
  <c r="C16" i="177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6" l="1"/>
  <c r="C6" i="196"/>
  <c r="C8" i="196" s="1"/>
  <c r="O11" i="188"/>
  <c r="C6" i="188"/>
  <c r="C8" i="188" s="1"/>
  <c r="O11" i="190"/>
  <c r="C6" i="190"/>
  <c r="C8" i="190" s="1"/>
  <c r="O11" i="189"/>
  <c r="C6" i="189"/>
  <c r="C8" i="189" s="1"/>
  <c r="O11" i="187"/>
  <c r="C6" i="187"/>
  <c r="C8" i="187" s="1"/>
  <c r="O11" i="185"/>
  <c r="C6" i="185"/>
  <c r="C8" i="185" s="1"/>
  <c r="O11" i="181"/>
  <c r="C6" i="181"/>
  <c r="C8" i="181" s="1"/>
  <c r="O11" i="183"/>
  <c r="C6" i="183"/>
  <c r="C8" i="183" s="1"/>
  <c r="O11" i="182"/>
  <c r="C6" i="182"/>
  <c r="C8" i="182" s="1"/>
  <c r="O11" i="176"/>
  <c r="C6" i="176"/>
  <c r="C8" i="176" s="1"/>
  <c r="O11" i="177"/>
  <c r="C6" i="177"/>
  <c r="C8" i="177" s="1"/>
  <c r="O11" i="195"/>
  <c r="C6" i="195"/>
  <c r="B14" i="200"/>
  <c r="C16" i="103"/>
  <c r="R40" i="103"/>
  <c r="O11" i="103" l="1"/>
  <c r="C6" i="103"/>
  <c r="C8" i="103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4" i="200" l="1"/>
  <c r="B6" i="200" s="1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<sst xmlns="http://schemas.openxmlformats.org/spreadsheetml/2006/main" count="1740" uniqueCount="185">
  <si>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</si>
  <si>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</si>
  <si>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</si>
  <si>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</si>
  <si>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</si>
  <si>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</si>
  <si>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</si>
  <si>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</si>
  <si>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</si>
  <si>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</si>
  <si>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</si>
  <si>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</si>
  <si>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</si>
  <si>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</si>
  <si>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</si>
  <si>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</si>
  <si>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</si>
  <si>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</si>
  <si>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</si>
  <si>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</si>
  <si>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</si>
  <si>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</si>
  <si>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</si>
  <si>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</si>
  <si>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</si>
  <si>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</si>
  <si>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</si>
  <si>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</si>
  <si>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</si>
  <si>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</si>
  <si>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</si>
  <si>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</si>
  <si>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</si>
  <si>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</si>
  <si>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</si>
  <si>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</si>
  <si>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</si>
  <si>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</si>
  <si>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</si>
  <si>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</si>
  <si>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</si>
  <si>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</si>
  <si>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</si>
  <si>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</si>
  <si>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</si>
  <si>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</si>
  <si>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</si>
  <si>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</si>
  <si>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</si>
  <si>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</si>
  <si>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</si>
  <si>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</si>
  <si>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</si>
  <si>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</si>
  <si>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</si>
  <si>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</si>
  <si>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</si>
  <si>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</si>
  <si>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</si>
  <si>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</si>
  <si>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</si>
  <si>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</si>
  <si>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</si>
  <si>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</si>
  <si>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</si>
  <si>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</si>
  <si>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</si>
  <si>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</si>
  <si>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</si>
  <si>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</si>
  <si>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</si>
  <si>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</si>
  <si>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</si>
  <si>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</si>
  <si>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</si>
  <si>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</si>
  <si>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</si>
  <si>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</si>
  <si>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</si>
  <si>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</si>
  <si>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</si>
  <si>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</si>
  <si>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</si>
  <si>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</si>
  <si>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</si>
  <si>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</si>
  <si>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</si>
  <si>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</si>
  <si>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</si>
  <si>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</si>
  <si>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</si>
  <si>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</si>
  <si>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</si>
  <si>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</si>
  <si>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</si>
  <si>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</si>
  <si>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</si>
  <si>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</si>
  <si>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</si>
  <si>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</si>
  <si>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</si>
  <si>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</si>
  <si>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</si>
  <si>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</si>
  <si>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</si>
  <si>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</si>
  <si>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</si>
  <si>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</si>
  <si>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</si>
  <si>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</si>
  <si>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</si>
  <si>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</si>
  <si>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</si>
  <si>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</si>
  <si>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</si>
  <si>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</si>
  <si>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</si>
  <si>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</si>
  <si>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</si>
  <si>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</si>
  <si>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</si>
  <si>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</si>
  <si>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</si>
  <si>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</si>
  <si>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</si>
  <si>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</si>
  <si>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</si>
  <si>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</si>
  <si>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</si>
  <si>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</si>
  <si>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</si>
  <si>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</si>
  <si>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</si>
  <si>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</si>
  <si>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</si>
  <si>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</si>
  <si>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</si>
  <si>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</si>
  <si>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</si>
  <si>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</si>
  <si>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</si>
  <si>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</si>
  <si>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PEDRO H. DA SILVA</t>
  </si>
  <si>
    <t>ANA LUIZA TOLEDO</t>
  </si>
  <si>
    <t>não</t>
  </si>
  <si>
    <t>EMERSON F. PEREIRA</t>
  </si>
  <si>
    <t>Não</t>
  </si>
  <si>
    <t>MARIA VITORIA  ALMEIDA</t>
  </si>
  <si>
    <t>VITOR SIMPHORO</t>
  </si>
  <si>
    <t>Genivaldo Abade dos Santos</t>
  </si>
  <si>
    <t xml:space="preserve">     </t>
  </si>
  <si>
    <t>CRISTINA DE JESUS</t>
  </si>
  <si>
    <t>WILLIAM DE CAMPOS</t>
  </si>
  <si>
    <t>EDELVITA M. SOARES</t>
  </si>
  <si>
    <t>CLAUDEMIR DE OLIVEIRA</t>
  </si>
  <si>
    <t>SANDY LYTSAN WONG</t>
  </si>
  <si>
    <t>Compra de água</t>
  </si>
  <si>
    <t xml:space="preserve">  </t>
  </si>
  <si>
    <t xml:space="preserve">    </t>
  </si>
  <si>
    <t xml:space="preserve">           </t>
  </si>
  <si>
    <t>FRANCISCO A. IADOCICO</t>
  </si>
  <si>
    <t>FUMIE UMETSU</t>
  </si>
  <si>
    <t>BRUNO JESUS</t>
  </si>
  <si>
    <t xml:space="preserve">MARIA CECILIA </t>
  </si>
  <si>
    <t>DONATO LUIZ ARRUDA</t>
  </si>
  <si>
    <t>MARIA JOSE ARRUDA</t>
  </si>
  <si>
    <t>Água</t>
  </si>
  <si>
    <t>Cabo de carregador V8</t>
  </si>
  <si>
    <t>MARIO CESAR SILVA LEAL</t>
  </si>
  <si>
    <t>)</t>
  </si>
  <si>
    <t>GRACY KELLY STUTZ</t>
  </si>
  <si>
    <t>ANTONIA VITOR DE ARAUJO</t>
  </si>
  <si>
    <t>BEATRIZ MARTELEVIZ</t>
  </si>
  <si>
    <t>Sim</t>
  </si>
  <si>
    <t xml:space="preserve">Raimundo luiz </t>
  </si>
  <si>
    <t>rosangela bastos</t>
  </si>
  <si>
    <t>LEONCIO ALVES DE SOUSA</t>
  </si>
  <si>
    <t xml:space="preserve">WALTER SOARES </t>
  </si>
  <si>
    <t>ELISABETE MARQUES</t>
  </si>
  <si>
    <t>ELIETE G. MARQUES</t>
  </si>
  <si>
    <t>NEUSA GOMES PAULINO</t>
  </si>
  <si>
    <t xml:space="preserve">RAIMUNDO NONATO </t>
  </si>
  <si>
    <t>JORGE NISHIKAWA</t>
  </si>
  <si>
    <t>CICERA VALERIA F.DA SILVA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</si>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</sst>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7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9" fillId="0" borderId="3" xfId="2" applyFont="1" applyFill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1" fillId="0" borderId="13" xfId="39" applyFont="1" applyFill="1" applyBorder="1" applyAlignment="1">
      <alignment horizontal="center"/>
    </xf>
    <xf numFmtId="165" fontId="41" fillId="0" borderId="13" xfId="4" applyNumberFormat="1" applyFont="1" applyFill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164" fontId="35" fillId="0" borderId="13" xfId="2" applyFont="1" applyFill="1" applyBorder="1" applyAlignment="1">
      <alignment horizontal="center"/>
    </xf>
    <xf numFmtId="164" fontId="37" fillId="0" borderId="13" xfId="2" applyFont="1" applyFill="1" applyBorder="1" applyAlignment="1">
      <alignment horizontal="center"/>
    </xf>
    <xf numFmtId="165" fontId="37" fillId="0" borderId="13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45" fillId="0" borderId="3" xfId="0" applyFont="1" applyBorder="1" applyAlignment="1">
      <alignment horizontal="center"/>
    </xf>
    <xf numFmtId="164" fontId="45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43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5" borderId="11" xfId="0" applyNumberForma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2" totalsRowShown="0" headerRowDxfId="1422" dataDxfId="1420" headerRowBorderDxfId="1421" tableBorderDxfId="1419" totalsRowBorderDxfId="1418">
  <autoFilter ref="K5:M12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2" totalsRowShown="0" headerRowDxfId="998" dataDxfId="996" headerRowBorderDxfId="997" tableBorderDxfId="995" totalsRowBorderDxfId="994">
  <autoFilter ref="K5:M12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 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4" totalsRowShown="0" headerRowDxfId="432" headerRowBorderDxfId="431" tableBorderDxfId="430" totalsRowBorderDxfId="429">
  <autoFilter ref="K34:M44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27"/>
  <sheetViews>
    <sheetView workbookViewId="0">
      <selection activeCell="H14" sqref="H1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8" t="s">
        <v>0</v>
      </c>
      <c r="B2" s="70">
        <v>0</v>
      </c>
      <c r="P2" t="s">
        <v>129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10798</v>
      </c>
      <c r="P3" t="s">
        <v>130</v>
      </c>
    </row>
    <row r="4" spans="1:16" ht="15" x14ac:dyDescent="0.25">
      <c r="A4" s="22" t="s">
        <v>2</v>
      </c>
      <c r="B4" s="23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9863.2000000000007</v>
      </c>
      <c r="P4" t="s">
        <v>131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71</v>
      </c>
      <c r="P5" t="s">
        <v>132</v>
      </c>
    </row>
    <row r="6" spans="1:16" ht="15.75" x14ac:dyDescent="0.25">
      <c r="A6" s="27" t="s">
        <v>4</v>
      </c>
      <c r="B6" s="28">
        <f ca="1">SUM(B4:B5)</f>
        <v>9934.2000000000007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07" t="s">
        <v>5</v>
      </c>
      <c r="B8" s="107"/>
      <c r="P8" t="s">
        <v>135</v>
      </c>
    </row>
    <row r="9" spans="1:16" ht="15" x14ac:dyDescent="0.25">
      <c r="A9" s="29" t="s">
        <v>6</v>
      </c>
      <c r="B9" s="23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2992</v>
      </c>
      <c r="P9" t="s">
        <v>136</v>
      </c>
    </row>
    <row r="10" spans="1:16" ht="15" x14ac:dyDescent="0.25">
      <c r="A10" s="29" t="s">
        <v>7</v>
      </c>
      <c r="B10" s="23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1444.33</v>
      </c>
      <c r="P10" t="s">
        <v>137</v>
      </c>
    </row>
    <row r="11" spans="1:16" ht="15" x14ac:dyDescent="0.25">
      <c r="A11" s="29" t="s">
        <v>8</v>
      </c>
      <c r="B11" s="23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4781</v>
      </c>
      <c r="C11" t="s">
        <v>184</v>
      </c>
      <c r="P11" t="s">
        <v>138</v>
      </c>
    </row>
    <row r="12" spans="1:16" ht="15" x14ac:dyDescent="0.25">
      <c r="A12" s="29" t="s">
        <v>9</v>
      </c>
      <c r="B12" s="23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121.62</v>
      </c>
      <c r="P12" t="s">
        <v>139</v>
      </c>
    </row>
    <row r="13" spans="1:16" ht="15" x14ac:dyDescent="0.25">
      <c r="A13" s="29" t="s">
        <v>10</v>
      </c>
      <c r="B13" s="23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524.25</v>
      </c>
      <c r="P13" t="s">
        <v>140</v>
      </c>
    </row>
    <row r="14" spans="1:16" ht="15.75" x14ac:dyDescent="0.25">
      <c r="A14" s="27" t="s">
        <v>11</v>
      </c>
      <c r="B14" s="71">
        <f ca="1">SUM(B9:B13)</f>
        <v>9863.2000000000007</v>
      </c>
    </row>
    <row r="15" spans="1:16" ht="15" x14ac:dyDescent="0.25">
      <c r="A15" s="2"/>
      <c r="B15" s="2"/>
    </row>
    <row r="16" spans="1:16" ht="15" x14ac:dyDescent="0.2">
      <c r="A16" s="107" t="s">
        <v>12</v>
      </c>
      <c r="B16" s="107"/>
    </row>
    <row r="17" spans="1:5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462</v>
      </c>
    </row>
    <row r="18" spans="1:5" ht="15.75" x14ac:dyDescent="0.25">
      <c r="A18" s="27" t="s">
        <v>11</v>
      </c>
      <c r="B18" s="71">
        <f>SUM(B17:B17)</f>
        <v>462</v>
      </c>
    </row>
    <row r="27" spans="1:5" x14ac:dyDescent="0.2">
      <c r="E27" t="s">
        <v>169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21" zoomScale="90" zoomScaleNormal="9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v>45627</v>
      </c>
    </row>
    <row r="2" spans="2:18" ht="18.75" x14ac:dyDescent="0.2">
      <c r="B2" s="112" t="s">
        <v>127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16" zoomScale="90" zoomScaleNormal="90" workbookViewId="0">
      <selection activeCell="M6" sqref="M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'01'!B1+1</f>
        <v>45628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3"/>
      <c r="F6" s="24"/>
      <c r="G6" s="43"/>
      <c r="H6" s="8"/>
      <c r="I6" s="8"/>
      <c r="J6" s="2"/>
      <c r="K6" s="24" t="s">
        <v>156</v>
      </c>
      <c r="L6" s="9" t="s">
        <v>10</v>
      </c>
      <c r="M6" s="16">
        <v>28</v>
      </c>
      <c r="R6" s="1">
        <f>IF(vend2[[#This Row],[Nº Venda]]&gt;1,1,0)</f>
        <v>0</v>
      </c>
    </row>
    <row r="7" spans="2:18" ht="15.75" x14ac:dyDescent="0.25">
      <c r="B7" s="22" t="s">
        <v>3</v>
      </c>
      <c r="C7" s="23">
        <f>SUM(M6:M11)</f>
        <v>28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 x14ac:dyDescent="0.25">
      <c r="B8" s="27" t="s">
        <v>21</v>
      </c>
      <c r="C8" s="28">
        <f>SUM(C6:C7)</f>
        <v>28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56"/>
      <c r="G13" s="85"/>
      <c r="H13" s="67"/>
      <c r="I13" s="67"/>
      <c r="J13" s="2"/>
      <c r="K13" s="109" t="s">
        <v>22</v>
      </c>
      <c r="L13" s="110"/>
      <c r="M13" s="111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56"/>
      <c r="G14" s="85"/>
      <c r="H14" s="67"/>
      <c r="I14" s="67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21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21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21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21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21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21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18" zoomScale="90" zoomScaleNormal="90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'02'!B1+1</f>
        <v>45629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290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290</v>
      </c>
      <c r="D6" s="2"/>
      <c r="E6" s="93">
        <v>3812</v>
      </c>
      <c r="F6" s="24" t="s">
        <v>153</v>
      </c>
      <c r="G6" s="43" t="s">
        <v>8</v>
      </c>
      <c r="H6" s="8">
        <v>290</v>
      </c>
      <c r="I6" s="8">
        <v>290</v>
      </c>
      <c r="J6" s="2"/>
      <c r="K6" s="24"/>
      <c r="L6" s="9"/>
      <c r="M6" s="16"/>
      <c r="R6" s="1">
        <f>IF(vend3[[#This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IF(vend3[[#This Row],[Nº Venda]]&gt;1,1,0)</f>
        <v>0</v>
      </c>
    </row>
    <row r="8" spans="2:18" ht="15.75" x14ac:dyDescent="0.25">
      <c r="B8" s="27" t="s">
        <v>21</v>
      </c>
      <c r="C8" s="28">
        <f>SUM(C6:C7)</f>
        <v>290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290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290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IF(vend3[[#This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290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20" zoomScale="90" zoomScaleNormal="9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'03'!B1+1</f>
        <v>45630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43"/>
      <c r="H8" s="8"/>
      <c r="I8" s="8"/>
      <c r="J8" s="2"/>
      <c r="K8" s="24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43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54"/>
      <c r="R15" s="1">
        <f>IF(vend4[[#This Row],[Nº Venda]]&gt;1,1,0)</f>
        <v>0</v>
      </c>
    </row>
    <row r="16" spans="2:18" ht="18.75" x14ac:dyDescent="0.4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54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54"/>
      <c r="R17" s="1">
        <f>IF(vend4[[#This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S41"/>
  <sheetViews>
    <sheetView showGridLines="0" view="pageBreakPreview" topLeftCell="B16" zoomScale="70" zoomScaleNormal="80" zoomScaleSheetLayoutView="70" workbookViewId="0">
      <selection activeCell="L20" sqref="L20"/>
    </sheetView>
  </sheetViews>
  <sheetFormatPr defaultColWidth="9.140625" defaultRowHeight="12.75" x14ac:dyDescent="0.2"/>
  <cols>
    <col min="1" max="1" width="3.140625" style="1" customWidth="1"/>
    <col min="2" max="2" width="33.5703125" style="1" customWidth="1"/>
    <col min="3" max="3" width="15" style="1" customWidth="1"/>
    <col min="4" max="4" width="3.7109375" style="1" customWidth="1"/>
    <col min="5" max="5" width="16.140625" style="33" customWidth="1"/>
    <col min="6" max="6" width="29" style="33" customWidth="1"/>
    <col min="7" max="7" width="20.140625" style="33" customWidth="1"/>
    <col min="8" max="8" width="18" style="4" customWidth="1"/>
    <col min="9" max="9" width="17.28515625" style="4" customWidth="1"/>
    <col min="10" max="10" width="2.28515625" style="1" customWidth="1"/>
    <col min="11" max="11" width="16" style="3" customWidth="1"/>
    <col min="12" max="12" width="24.28515625" style="3" bestFit="1" customWidth="1"/>
    <col min="13" max="13" width="23.42578125" style="3" customWidth="1"/>
    <col min="14" max="21" width="12.28515625" style="1" customWidth="1"/>
    <col min="22" max="16384" width="9.140625" style="1"/>
  </cols>
  <sheetData>
    <row r="1" spans="2:19" ht="31.5" x14ac:dyDescent="0.5">
      <c r="B1" s="78">
        <f>'04'!B1+1</f>
        <v>45631</v>
      </c>
    </row>
    <row r="2" spans="2:19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9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9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9" ht="15" x14ac:dyDescent="0.25">
      <c r="B5" s="22" t="s">
        <v>1</v>
      </c>
      <c r="C5" s="23">
        <f>SUMIF(I6:I31,"&gt;0",H6:H31)</f>
        <v>866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9" ht="15.75" x14ac:dyDescent="0.25">
      <c r="B6" s="22" t="s">
        <v>2</v>
      </c>
      <c r="C6" s="23">
        <f>C16</f>
        <v>1146</v>
      </c>
      <c r="D6" s="2"/>
      <c r="E6" s="93">
        <v>3813</v>
      </c>
      <c r="F6" s="24" t="s">
        <v>142</v>
      </c>
      <c r="G6" s="43" t="s">
        <v>6</v>
      </c>
      <c r="H6" s="8">
        <v>218</v>
      </c>
      <c r="I6" s="8">
        <v>218</v>
      </c>
      <c r="J6" s="2"/>
      <c r="K6" s="24"/>
      <c r="L6" s="9"/>
      <c r="M6" s="16"/>
    </row>
    <row r="7" spans="2:19" ht="15.75" x14ac:dyDescent="0.25">
      <c r="B7" s="22" t="s">
        <v>3</v>
      </c>
      <c r="C7" s="106">
        <f>SUM(M6:M12)</f>
        <v>0</v>
      </c>
      <c r="D7" s="2"/>
      <c r="E7" s="93">
        <v>3814</v>
      </c>
      <c r="F7" s="24" t="s">
        <v>143</v>
      </c>
      <c r="G7" s="43" t="s">
        <v>6</v>
      </c>
      <c r="H7" s="8">
        <v>399</v>
      </c>
      <c r="I7" s="8">
        <v>399</v>
      </c>
      <c r="J7" s="2"/>
      <c r="K7" s="24"/>
      <c r="L7" s="9"/>
      <c r="M7" s="16"/>
    </row>
    <row r="8" spans="2:19" ht="15.75" x14ac:dyDescent="0.25">
      <c r="B8" s="27" t="s">
        <v>21</v>
      </c>
      <c r="C8" s="28">
        <f>SUM(C6:C7)</f>
        <v>1146</v>
      </c>
      <c r="D8" s="2"/>
      <c r="E8" s="93">
        <v>3815</v>
      </c>
      <c r="F8" s="24" t="s">
        <v>147</v>
      </c>
      <c r="G8" s="43" t="s">
        <v>7</v>
      </c>
      <c r="H8" s="8">
        <v>249</v>
      </c>
      <c r="I8" s="8">
        <v>249</v>
      </c>
      <c r="J8" s="2"/>
      <c r="K8" s="24"/>
      <c r="L8" s="9"/>
      <c r="M8" s="16"/>
    </row>
    <row r="9" spans="2:19" ht="15.75" x14ac:dyDescent="0.25">
      <c r="B9" s="2"/>
      <c r="C9" s="2"/>
      <c r="D9" s="2"/>
      <c r="E9" s="93"/>
      <c r="F9" s="24"/>
      <c r="G9" s="43"/>
      <c r="H9" s="8"/>
      <c r="I9" s="8"/>
      <c r="J9" s="2"/>
      <c r="K9" s="24"/>
      <c r="L9" s="9"/>
      <c r="M9" s="16"/>
    </row>
    <row r="10" spans="2:19" ht="15.75" x14ac:dyDescent="0.25">
      <c r="B10" s="107" t="s">
        <v>5</v>
      </c>
      <c r="C10" s="107"/>
      <c r="D10" s="2"/>
      <c r="E10" s="93"/>
      <c r="F10" s="24"/>
      <c r="G10" s="43"/>
      <c r="H10" s="8"/>
      <c r="I10" s="8"/>
      <c r="J10" s="2"/>
      <c r="K10" s="24"/>
      <c r="L10" s="9" t="s">
        <v>58</v>
      </c>
      <c r="M10" s="16"/>
    </row>
    <row r="11" spans="2:19" ht="15.75" x14ac:dyDescent="0.25">
      <c r="B11" s="29" t="s">
        <v>6</v>
      </c>
      <c r="C11" s="30">
        <f>(SUMIF($G$2:$G$31,B11,$I$2:$I$31))+(SUMIF($G$35:$G$41,B11,$H$35:$H$41))</f>
        <v>897</v>
      </c>
      <c r="D11" s="2"/>
      <c r="E11" s="93"/>
      <c r="F11" s="24"/>
      <c r="G11" s="43"/>
      <c r="H11" s="8"/>
      <c r="I11" s="8"/>
      <c r="J11" s="2"/>
      <c r="K11" s="26"/>
      <c r="L11" s="9"/>
      <c r="M11" s="16"/>
      <c r="N11" s="3"/>
      <c r="O11" s="1" t="s">
        <v>159</v>
      </c>
    </row>
    <row r="12" spans="2:19" ht="15.75" x14ac:dyDescent="0.25">
      <c r="B12" s="29" t="s">
        <v>7</v>
      </c>
      <c r="C12" s="30">
        <f t="shared" ref="C12:C15" si="0">(SUMIF($G$2:$G$31,B12,$I$2:$I$31))+(SUMIF($G$35:$G$41,B12,$H$35:$H$41))</f>
        <v>249</v>
      </c>
      <c r="D12" s="2"/>
      <c r="E12" s="93"/>
      <c r="F12" s="24"/>
      <c r="G12" s="25"/>
      <c r="H12" s="8"/>
      <c r="I12" s="8"/>
      <c r="J12" s="2"/>
      <c r="K12" s="103" t="s">
        <v>158</v>
      </c>
      <c r="L12" s="104"/>
      <c r="M12" s="105"/>
    </row>
    <row r="13" spans="2:19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9" t="s">
        <v>157</v>
      </c>
      <c r="L13" s="110"/>
      <c r="M13" s="111"/>
    </row>
    <row r="14" spans="2:19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</row>
    <row r="15" spans="2:19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3808</v>
      </c>
      <c r="L15" s="9" t="s">
        <v>135</v>
      </c>
      <c r="M15" s="59" t="s">
        <v>144</v>
      </c>
      <c r="N15"/>
      <c r="S15" s="1" t="s">
        <v>150</v>
      </c>
    </row>
    <row r="16" spans="2:19" ht="15.75" x14ac:dyDescent="0.25">
      <c r="B16" s="27" t="s">
        <v>11</v>
      </c>
      <c r="C16" s="31">
        <f>SUM(C11:C15)</f>
        <v>1146</v>
      </c>
      <c r="D16" s="2"/>
      <c r="E16" s="93"/>
      <c r="F16" s="24"/>
      <c r="G16" s="25"/>
      <c r="H16" s="8"/>
      <c r="I16" s="8"/>
      <c r="J16" s="2"/>
      <c r="K16" s="101">
        <v>3813</v>
      </c>
      <c r="L16" s="9" t="s">
        <v>129</v>
      </c>
      <c r="M16" s="16" t="s">
        <v>146</v>
      </c>
      <c r="N16"/>
    </row>
    <row r="17" spans="2:13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3814</v>
      </c>
      <c r="L17" s="9" t="s">
        <v>129</v>
      </c>
      <c r="M17" s="58" t="s">
        <v>144</v>
      </c>
    </row>
    <row r="18" spans="2:13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</row>
    <row r="19" spans="2:13" ht="15.75" x14ac:dyDescent="0.25">
      <c r="B19" s="29">
        <f>COUNT(entr_carn5[OS])</f>
        <v>0</v>
      </c>
      <c r="C19" s="30">
        <f>SUM(entr_carn5[Valor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</row>
    <row r="20" spans="2:13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</row>
    <row r="21" spans="2:13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3" ht="15.75" x14ac:dyDescent="0.25">
      <c r="B22" s="27" t="s">
        <v>26</v>
      </c>
      <c r="C22" s="31">
        <f>C5</f>
        <v>866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3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3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3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3" ht="15.75" x14ac:dyDescent="0.25">
      <c r="B26" s="2"/>
      <c r="C26" s="2"/>
      <c r="D26" s="2"/>
      <c r="E26" s="93">
        <v>3808</v>
      </c>
      <c r="F26" s="24" t="s">
        <v>145</v>
      </c>
      <c r="G26" s="43" t="s">
        <v>6</v>
      </c>
      <c r="H26" s="8"/>
      <c r="I26" s="8">
        <v>280</v>
      </c>
      <c r="J26" s="2"/>
      <c r="K26" s="101"/>
      <c r="L26" s="9"/>
      <c r="M26" s="16"/>
    </row>
    <row r="27" spans="2:13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3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3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3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3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3" ht="15" x14ac:dyDescent="0.25">
      <c r="B32" s="2"/>
      <c r="C32" s="2"/>
      <c r="E32" s="32"/>
    </row>
    <row r="33" spans="2:13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3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3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3" ht="15.75" x14ac:dyDescent="0.25">
      <c r="E36" s="100"/>
      <c r="F36" s="24"/>
      <c r="G36" s="25"/>
      <c r="H36" s="8"/>
      <c r="I36" s="8"/>
      <c r="K36" s="101"/>
      <c r="L36" s="40"/>
      <c r="M36" s="16"/>
    </row>
    <row r="37" spans="2:13" ht="15.75" x14ac:dyDescent="0.25">
      <c r="E37" s="93"/>
      <c r="F37" s="82"/>
      <c r="G37" s="83"/>
      <c r="H37" s="84"/>
      <c r="I37" s="84"/>
      <c r="K37" s="101"/>
      <c r="L37" s="40"/>
      <c r="M37" s="16"/>
    </row>
    <row r="38" spans="2:13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3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3" ht="15.75" x14ac:dyDescent="0.25">
      <c r="E40" s="95"/>
      <c r="F40" s="35"/>
      <c r="G40" s="36"/>
      <c r="H40" s="17"/>
      <c r="I40" s="8"/>
      <c r="K40" s="102"/>
      <c r="L40" s="41"/>
      <c r="M40" s="39"/>
    </row>
    <row r="41" spans="2:13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" xr:uid="{E10E85AF-D37F-4CD4-BB6E-90168B6A68B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841711EC-62B3-4CE9-A44E-0C834F06FCFA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topLeftCell="C21" zoomScale="90" zoomScaleNormal="90" workbookViewId="0">
      <selection activeCell="K14" sqref="K14:M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'05'!B1+1</f>
        <v>45632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108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21</v>
      </c>
      <c r="C8" s="28">
        <f>SUM(C6:C7)</f>
        <v>108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53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75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75">
        <f>(SUMIF($G$2:$G$31,B12,$I$2:$I$31))+(SUMIF($G$35:$G$41,B12,$H$35:$H$41))</f>
        <v>108</v>
      </c>
      <c r="D12" s="2"/>
      <c r="E12" s="93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75">
        <f>(SUMIF($G$2:$G$31,B13,$I$2:$I$31))+(SUMIF($G$35:$G$41,B13,$H$35:$H$41))</f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IF(vend[[#This Row],[Nº Venda]]&gt;1,1,0)</f>
        <v>0</v>
      </c>
    </row>
    <row r="14" spans="2:18" ht="15.75" x14ac:dyDescent="0.25">
      <c r="B14" s="29" t="s">
        <v>9</v>
      </c>
      <c r="C14" s="75">
        <f>(SUMIF($G$2:$G$31,B14,$I$2:$I$31))+(SUMIF($G$35:$G$41,B14,$H$35:$H$41))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75">
        <f>(SUMIF($G$2:$G$31,B15,$I$2:$I$31))+(SUMIF($G$35:$G$41,B15,$H$35:$H$41))</f>
        <v>0</v>
      </c>
      <c r="D15" s="2"/>
      <c r="E15" s="93"/>
      <c r="F15" s="24"/>
      <c r="G15" s="25"/>
      <c r="H15" s="8"/>
      <c r="I15" s="8"/>
      <c r="J15" s="2"/>
      <c r="K15" s="101">
        <v>3815</v>
      </c>
      <c r="L15" s="9" t="s">
        <v>129</v>
      </c>
      <c r="M15" s="16" t="s">
        <v>146</v>
      </c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108</v>
      </c>
      <c r="D16" s="2"/>
      <c r="E16" s="93"/>
      <c r="F16" s="24"/>
      <c r="G16" s="25"/>
      <c r="H16" s="8"/>
      <c r="I16" s="8"/>
      <c r="J16" s="2"/>
      <c r="K16" s="101">
        <v>3794</v>
      </c>
      <c r="L16" s="9" t="s">
        <v>129</v>
      </c>
      <c r="M16" s="16" t="s">
        <v>146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3637</v>
      </c>
      <c r="F35" s="24" t="s">
        <v>148</v>
      </c>
      <c r="G35" s="25" t="s">
        <v>7</v>
      </c>
      <c r="H35" s="8">
        <v>108</v>
      </c>
      <c r="I35" s="8" t="s">
        <v>48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8"/>
      <c r="F41" s="38"/>
      <c r="G41" s="25"/>
      <c r="H41" s="8"/>
      <c r="I41" s="8"/>
      <c r="K41" s="101"/>
      <c r="L41" s="40"/>
      <c r="M41" s="39"/>
    </row>
    <row r="42" spans="2:18" x14ac:dyDescent="0.2">
      <c r="F42" s="92"/>
      <c r="G42" s="92"/>
      <c r="H42" s="91"/>
      <c r="I42" s="9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B25" zoomScale="90" zoomScaleNormal="90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78">
        <f>'06'!B1+1</f>
        <v>45633</v>
      </c>
    </row>
    <row r="2" spans="2:21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  <c r="U4" s="1">
        <v>0</v>
      </c>
    </row>
    <row r="5" spans="2:21" ht="15" x14ac:dyDescent="0.25">
      <c r="B5" s="22" t="s">
        <v>1</v>
      </c>
      <c r="C5" s="23">
        <f>SUMIF(I6:I31,"&gt;0",H6:H31)</f>
        <v>200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C16</f>
        <v>200</v>
      </c>
      <c r="D6" s="2"/>
      <c r="E6" s="93">
        <v>3816</v>
      </c>
      <c r="F6" s="76" t="s">
        <v>149</v>
      </c>
      <c r="G6" s="76" t="s">
        <v>10</v>
      </c>
      <c r="H6" s="77">
        <v>200</v>
      </c>
      <c r="I6" s="77">
        <v>200</v>
      </c>
      <c r="J6" s="2"/>
      <c r="K6" s="24"/>
      <c r="L6" s="9"/>
      <c r="M6" s="16"/>
      <c r="R6" s="1">
        <f>IF(vend7[[#This Row],[Nº Venda]]&gt;1,1,0)</f>
        <v>1</v>
      </c>
    </row>
    <row r="7" spans="2:21" ht="15.75" x14ac:dyDescent="0.25">
      <c r="B7" s="22" t="s">
        <v>3</v>
      </c>
      <c r="C7" s="23">
        <f>SUM(M6:M11)</f>
        <v>0</v>
      </c>
      <c r="D7" s="2"/>
      <c r="E7" s="93"/>
      <c r="F7" s="45"/>
      <c r="G7" s="45"/>
      <c r="H7" s="44"/>
      <c r="I7" s="44"/>
      <c r="J7" s="2"/>
      <c r="K7" s="24"/>
      <c r="L7" s="9"/>
      <c r="M7" s="16"/>
      <c r="R7" s="1">
        <f>IF(vend7[[#This Row],[Nº Venda]]&gt;1,1,0)</f>
        <v>0</v>
      </c>
    </row>
    <row r="8" spans="2:21" ht="15.75" x14ac:dyDescent="0.25">
      <c r="B8" s="27" t="s">
        <v>21</v>
      </c>
      <c r="C8" s="28">
        <f>SUM(C6:C7)</f>
        <v>200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IF(vend7[[#This Row],[Nº Venda]]&gt;1,1,0)</f>
        <v>0</v>
      </c>
    </row>
    <row r="10" spans="2:21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IF(vend7[[#This Row],[Nº Venda]]&gt;1,1,0)</f>
        <v>0</v>
      </c>
    </row>
    <row r="11" spans="2:21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 t="shared" si="0"/>
        <v>200</v>
      </c>
      <c r="D15" s="2"/>
      <c r="E15" s="93"/>
      <c r="F15" s="24"/>
      <c r="G15" s="25"/>
      <c r="H15" s="8"/>
      <c r="I15" s="8"/>
      <c r="J15" s="2"/>
      <c r="K15" s="101">
        <v>3788</v>
      </c>
      <c r="L15" s="9" t="s">
        <v>135</v>
      </c>
      <c r="M15" s="46" t="s">
        <v>146</v>
      </c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200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IF(vend7[[#This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200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55"/>
      <c r="G26" s="68"/>
      <c r="H26" s="69"/>
      <c r="I26" s="69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30" zoomScale="90" zoomScaleNormal="9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'07'!B1+1</f>
        <v>45634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3"/>
      <c r="F6" s="8"/>
      <c r="G6" s="8"/>
      <c r="H6" s="8"/>
      <c r="I6" s="8"/>
      <c r="J6" s="2"/>
      <c r="K6" s="24"/>
      <c r="L6" s="9"/>
      <c r="M6" s="16"/>
      <c r="R6" s="1">
        <f>IF(vend8[[#This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8"/>
      <c r="G7" s="8"/>
      <c r="H7" s="8"/>
      <c r="I7" s="8"/>
      <c r="J7" s="2"/>
      <c r="K7" s="24"/>
      <c r="L7" s="9"/>
      <c r="M7" s="16"/>
      <c r="R7" s="1">
        <f>IF(vend8[[#This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93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6</v>
      </c>
      <c r="C11" s="75">
        <f>(SUMIF($G$2:$G$31,B11,$I$2:$I$31))+(SUMIF($G$35:$G$42,B11,$H$35:$H$42))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29" t="s">
        <v>7</v>
      </c>
      <c r="C12" s="75">
        <f>(SUMIF($G$2:$G$31,B12,$I$2:$I$31))+(SUMIF($G$35:$G$42,B12,$H$35:$H$42))</f>
        <v>0</v>
      </c>
      <c r="D12" s="2"/>
      <c r="E12" s="93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8</v>
      </c>
      <c r="C13" s="75">
        <f>(SUMIF($G$2:$G$31,B13,$I$2:$I$31))+(SUMIF($G$35:$G$42,B13,$H$35:$H$42))</f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IF(vend8[[#This Row],[Nº Venda]]&gt;1,1,0)</f>
        <v>0</v>
      </c>
    </row>
    <row r="14" spans="2:18" ht="15.75" x14ac:dyDescent="0.25">
      <c r="B14" s="29" t="s">
        <v>9</v>
      </c>
      <c r="C14" s="75">
        <f>(SUMIF($G$2:$G$31,B14,$I$2:$I$31))+(SUMIF($G$35:$G$42,B14,$H$35:$H$42))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75">
        <f>(SUMIF($G$2:$G$31,B15,$I$2:$I$31))+(SUMIF($G$35:$G$42,B15,$H$35:$H$42))</f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IF(vend8[[#This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79"/>
      <c r="G26" s="80"/>
      <c r="H26" s="81"/>
      <c r="I26" s="81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43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24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8"/>
      <c r="F41" s="38"/>
      <c r="G41" s="25"/>
      <c r="H41" s="8"/>
      <c r="I41" s="8"/>
      <c r="K41" s="101"/>
      <c r="L41" s="40"/>
      <c r="M41" s="39"/>
    </row>
    <row r="42" spans="2:18" ht="15.75" x14ac:dyDescent="0.25">
      <c r="E42" s="34"/>
      <c r="F42" s="72"/>
      <c r="G42" s="73"/>
      <c r="H42" s="74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26" zoomScale="90" zoomScaleNormal="90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2">
        <f>'08'!B1+1</f>
        <v>45635</v>
      </c>
    </row>
    <row r="2" spans="2:22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22" ht="15" x14ac:dyDescent="0.25">
      <c r="B5" s="22" t="s">
        <v>1</v>
      </c>
      <c r="C5" s="23">
        <f>SUMIF(I6:I31,"&gt;0",H6:H31)</f>
        <v>65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C16</f>
        <v>65</v>
      </c>
      <c r="D6" s="2"/>
      <c r="E6" s="93">
        <v>3817</v>
      </c>
      <c r="F6" s="24" t="s">
        <v>151</v>
      </c>
      <c r="G6" s="43" t="s">
        <v>10</v>
      </c>
      <c r="H6" s="8">
        <v>65</v>
      </c>
      <c r="I6" s="8">
        <v>65</v>
      </c>
      <c r="J6" s="2"/>
      <c r="K6" s="24"/>
      <c r="L6" s="9"/>
      <c r="M6" s="16"/>
      <c r="R6" s="1">
        <f>IF(vend9[[#This Row],[Nº Venda]]&gt;1,1,0)</f>
        <v>1</v>
      </c>
    </row>
    <row r="7" spans="2:22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22" ht="15.75" x14ac:dyDescent="0.25">
      <c r="B8" s="27" t="s">
        <v>21</v>
      </c>
      <c r="C8" s="28">
        <f>SUM(C6:C7)</f>
        <v>65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 t="shared" si="0"/>
        <v>65</v>
      </c>
      <c r="D15" s="2"/>
      <c r="E15" s="93"/>
      <c r="F15" s="24"/>
      <c r="G15" s="25"/>
      <c r="H15" s="8"/>
      <c r="I15" s="8"/>
      <c r="J15" s="2"/>
      <c r="K15" s="101">
        <v>3805</v>
      </c>
      <c r="L15" s="9" t="s">
        <v>135</v>
      </c>
      <c r="M15" s="16" t="s">
        <v>146</v>
      </c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65</v>
      </c>
      <c r="D16" s="2"/>
      <c r="E16" s="93"/>
      <c r="F16" s="24"/>
      <c r="G16" s="25"/>
      <c r="H16" s="8"/>
      <c r="I16" s="8"/>
      <c r="J16" s="2"/>
      <c r="K16" s="101">
        <v>3799</v>
      </c>
      <c r="L16" s="9" t="s">
        <v>129</v>
      </c>
      <c r="M16" s="16" t="s">
        <v>146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3800</v>
      </c>
      <c r="L17" s="9" t="s">
        <v>129</v>
      </c>
      <c r="M17" s="16" t="s">
        <v>146</v>
      </c>
      <c r="R17" s="1">
        <f>IF(vend9[[#This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4"/>
      <c r="G20" s="25"/>
      <c r="H20" s="8"/>
      <c r="I20" s="8"/>
      <c r="J20" s="2"/>
      <c r="K20" s="101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65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B21" zoomScale="90" zoomScaleNormal="9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'09'!B1+1</f>
        <v>45636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SUMIF(I6:I32,"&gt;0",H6:H32)</f>
        <v>1389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1155</v>
      </c>
      <c r="D6" s="2"/>
      <c r="E6" s="93">
        <v>3818</v>
      </c>
      <c r="F6" s="24" t="s">
        <v>152</v>
      </c>
      <c r="G6" s="43" t="s">
        <v>10</v>
      </c>
      <c r="H6" s="8">
        <v>390</v>
      </c>
      <c r="I6" s="8">
        <v>156</v>
      </c>
      <c r="J6" s="2"/>
      <c r="K6" s="24"/>
      <c r="L6" s="9"/>
      <c r="M6" s="16"/>
      <c r="R6" s="1">
        <f>IF(vend10[[#This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3819</v>
      </c>
      <c r="F7" s="24" t="s">
        <v>154</v>
      </c>
      <c r="G7" s="43" t="s">
        <v>8</v>
      </c>
      <c r="H7" s="8">
        <v>999</v>
      </c>
      <c r="I7" s="8">
        <v>999</v>
      </c>
      <c r="J7" s="2"/>
      <c r="K7" s="24"/>
      <c r="L7" s="9"/>
      <c r="M7" s="16"/>
      <c r="R7" s="1">
        <f>IF(vend10[[#This Row],[Nº Venda]]&gt;1,1,0)</f>
        <v>1</v>
      </c>
    </row>
    <row r="8" spans="2:18" ht="15.75" x14ac:dyDescent="0.25">
      <c r="B8" s="27" t="s">
        <v>21</v>
      </c>
      <c r="C8" s="28">
        <f>SUM(C6:C7)</f>
        <v>1155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(SUMIF($G$2:$G$32,B11,$I$2:$I$32))+(SUMIF($G$36:$G$42,B11,$H$36:$H$42))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(SUMIF($G$2:$G$32,B12,$I$2:$I$32))+(SUMIF($G$36:$G$42,B12,$H$36:$H$42))</f>
        <v>0</v>
      </c>
      <c r="D12" s="2"/>
      <c r="E12" s="93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(SUMIF($G$2:$G$32,B13,$I$2:$I$32))+(SUMIF($G$36:$G$42,B13,$H$36:$H$42))</f>
        <v>999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(SUMIF($G$2:$G$32,B14,$I$2:$I$32))+(SUMIF($G$36:$G$42,B14,$H$36:$H$42))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(SUMIF($G$2:$G$32,B15,$I$2:$I$32))+(SUMIF($G$36:$G$42,B15,$H$36:$H$42))</f>
        <v>156</v>
      </c>
      <c r="D15" s="2"/>
      <c r="E15" s="93"/>
      <c r="F15" s="24"/>
      <c r="G15" s="25"/>
      <c r="H15" s="8"/>
      <c r="I15" s="8"/>
      <c r="J15" s="2"/>
      <c r="K15" s="101">
        <v>3812</v>
      </c>
      <c r="L15" s="9" t="s">
        <v>129</v>
      </c>
      <c r="M15" s="16" t="s">
        <v>146</v>
      </c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1155</v>
      </c>
      <c r="D16" s="2"/>
      <c r="E16" s="93"/>
      <c r="F16" s="24"/>
      <c r="G16" s="25"/>
      <c r="H16" s="8"/>
      <c r="I16" s="8"/>
      <c r="J16" s="2"/>
      <c r="K16" s="101"/>
      <c r="L16" s="9"/>
      <c r="M16" s="58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IF(vend10[[#This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1389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09" t="s">
        <v>12</v>
      </c>
      <c r="L33" s="110"/>
      <c r="M33" s="111"/>
    </row>
    <row r="34" spans="2:18" ht="15" x14ac:dyDescent="0.25">
      <c r="E34" s="108" t="s">
        <v>28</v>
      </c>
      <c r="F34" s="108"/>
      <c r="G34" s="108"/>
      <c r="H34" s="108"/>
      <c r="I34" s="108"/>
      <c r="K34" s="14" t="s">
        <v>23</v>
      </c>
      <c r="L34" s="6" t="s">
        <v>31</v>
      </c>
      <c r="M34" s="15" t="s">
        <v>32</v>
      </c>
    </row>
    <row r="35" spans="2:18" ht="15" x14ac:dyDescent="0.25">
      <c r="E35" s="99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7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24"/>
      <c r="G39" s="25"/>
      <c r="H39" s="8"/>
      <c r="I39" s="8"/>
      <c r="K39" s="101"/>
      <c r="L39" s="40"/>
      <c r="M39" s="16"/>
    </row>
    <row r="40" spans="2:18" ht="15.75" x14ac:dyDescent="0.25">
      <c r="E40" s="93"/>
      <c r="F40" s="38"/>
      <c r="G40" s="25"/>
      <c r="H40" s="8"/>
      <c r="I40" s="8"/>
      <c r="K40" s="102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5"/>
      <c r="F41" s="35"/>
      <c r="G41" s="36"/>
      <c r="H41" s="17"/>
      <c r="I41" s="8"/>
      <c r="K41" s="101"/>
      <c r="L41" s="40"/>
      <c r="M41" s="39"/>
    </row>
    <row r="42" spans="2:18" ht="15.75" x14ac:dyDescent="0.25">
      <c r="E42" s="42"/>
      <c r="F42" s="38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18" zoomScale="90" zoomScaleNormal="9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'10'!B1+1</f>
        <v>45637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IF(vend11[[#This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IF(vend11[[#This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IF(vend11[[#This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16" zoomScale="90" zoomScaleNormal="90" workbookViewId="0">
      <selection activeCell="G17" sqref="G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'11'!B1+1</f>
        <v>45638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425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1165</v>
      </c>
      <c r="D6" s="2"/>
      <c r="E6" s="93">
        <v>3820</v>
      </c>
      <c r="F6" s="47" t="s">
        <v>155</v>
      </c>
      <c r="G6" s="47" t="s">
        <v>8</v>
      </c>
      <c r="H6" s="48">
        <v>390</v>
      </c>
      <c r="I6" s="48">
        <v>390</v>
      </c>
      <c r="J6" s="2"/>
      <c r="K6" s="24"/>
      <c r="L6" s="9"/>
      <c r="M6" s="16"/>
      <c r="R6" s="1">
        <f>IF(vend12[[#This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3821</v>
      </c>
      <c r="F7" s="49" t="s">
        <v>155</v>
      </c>
      <c r="G7" s="49" t="s">
        <v>8</v>
      </c>
      <c r="H7" s="50">
        <v>35</v>
      </c>
      <c r="I7" s="50">
        <v>35</v>
      </c>
      <c r="J7" s="2"/>
      <c r="K7" s="24"/>
      <c r="L7" s="9"/>
      <c r="M7" s="16"/>
      <c r="R7" s="1">
        <f>IF(vend12[[#This Row],[Nº Venda]]&gt;1,1,0)</f>
        <v>1</v>
      </c>
    </row>
    <row r="8" spans="2:18" ht="15.75" x14ac:dyDescent="0.25">
      <c r="B8" s="27" t="s">
        <v>21</v>
      </c>
      <c r="C8" s="28">
        <f>SUM(C6:C7)</f>
        <v>1165</v>
      </c>
      <c r="D8" s="2"/>
      <c r="E8" s="93"/>
      <c r="F8" s="49"/>
      <c r="G8" s="49"/>
      <c r="H8" s="50"/>
      <c r="I8" s="50"/>
      <c r="J8" s="2"/>
      <c r="K8" s="24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1165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3796</v>
      </c>
      <c r="L15" s="9" t="s">
        <v>129</v>
      </c>
      <c r="M15" s="16" t="s">
        <v>146</v>
      </c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1165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IF(vend12[[#This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425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3796</v>
      </c>
      <c r="F26" s="51" t="s">
        <v>160</v>
      </c>
      <c r="G26" s="43" t="s">
        <v>8</v>
      </c>
      <c r="H26" s="8"/>
      <c r="I26" s="8">
        <v>740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C21" zoomScale="90" zoomScaleNormal="90" workbookViewId="0">
      <selection activeCell="W11" sqref="W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'12'!B1+1</f>
        <v>45639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150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150</v>
      </c>
      <c r="D6" s="2"/>
      <c r="E6" s="93">
        <v>3822</v>
      </c>
      <c r="F6" s="24" t="s">
        <v>161</v>
      </c>
      <c r="G6" s="25" t="s">
        <v>6</v>
      </c>
      <c r="H6" s="8">
        <v>150</v>
      </c>
      <c r="I6" s="8">
        <v>150</v>
      </c>
      <c r="J6" s="2"/>
      <c r="K6" s="24" t="s">
        <v>166</v>
      </c>
      <c r="L6" s="9" t="s">
        <v>10</v>
      </c>
      <c r="M6" s="16">
        <v>28</v>
      </c>
      <c r="R6" s="1">
        <f>IF(vend13[[#This Row],[Nº Venda]]&gt;1,1,0)</f>
        <v>1</v>
      </c>
    </row>
    <row r="7" spans="2:18" ht="15.75" x14ac:dyDescent="0.25">
      <c r="B7" s="22" t="s">
        <v>3</v>
      </c>
      <c r="C7" s="106">
        <f>SUM(M6:M12)</f>
        <v>43</v>
      </c>
      <c r="D7" s="2"/>
      <c r="E7" s="93"/>
      <c r="F7" s="24"/>
      <c r="G7" s="25"/>
      <c r="H7" s="8"/>
      <c r="I7" s="8"/>
      <c r="J7" s="2"/>
      <c r="K7" s="24" t="s">
        <v>167</v>
      </c>
      <c r="L7" s="9" t="s">
        <v>10</v>
      </c>
      <c r="M7" s="16">
        <v>15</v>
      </c>
      <c r="R7" s="1">
        <f>IF(vend13[[#This Row],[Nº Venda]]&gt;1,1,0)</f>
        <v>0</v>
      </c>
    </row>
    <row r="8" spans="2:18" ht="52.5" customHeight="1" x14ac:dyDescent="0.25">
      <c r="B8" s="27" t="s">
        <v>21</v>
      </c>
      <c r="C8" s="28">
        <f>SUM(C6:C7)</f>
        <v>193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150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K12" s="103" t="s">
        <v>58</v>
      </c>
      <c r="L12" s="104"/>
      <c r="M12" s="105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58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3822</v>
      </c>
      <c r="L15" s="9" t="s">
        <v>135</v>
      </c>
      <c r="M15" s="16" t="s">
        <v>146</v>
      </c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150</v>
      </c>
      <c r="D16" s="2"/>
      <c r="E16" s="93"/>
      <c r="F16" s="24"/>
      <c r="G16" s="25"/>
      <c r="H16" s="8"/>
      <c r="I16" s="8"/>
      <c r="J16" s="2"/>
      <c r="K16" s="101">
        <v>3817</v>
      </c>
      <c r="L16" s="9" t="s">
        <v>129</v>
      </c>
      <c r="M16" s="16" t="s">
        <v>146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3816</v>
      </c>
      <c r="L17" s="9" t="s">
        <v>129</v>
      </c>
      <c r="M17" s="16" t="s">
        <v>146</v>
      </c>
      <c r="R17" s="1">
        <f>IF(vend13[[#This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150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 t="s">
        <v>157</v>
      </c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20" zoomScale="90" zoomScaleNormal="90" workbookViewId="0">
      <selection activeCell="K17" sqref="K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'13'!B1+1</f>
        <v>45640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480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600</v>
      </c>
      <c r="D6" s="2"/>
      <c r="E6" s="93">
        <v>3823</v>
      </c>
      <c r="F6" s="24" t="s">
        <v>163</v>
      </c>
      <c r="G6" s="43" t="s">
        <v>7</v>
      </c>
      <c r="H6" s="8">
        <v>480</v>
      </c>
      <c r="I6" s="8">
        <v>480</v>
      </c>
      <c r="J6" s="2"/>
      <c r="K6" s="24"/>
      <c r="L6" s="9"/>
      <c r="M6" s="16"/>
      <c r="R6" s="1">
        <f>IF(vend14[[#This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IF(vend14[[#This Row],[Nº Venda]]&gt;1,1,0)</f>
        <v>0</v>
      </c>
    </row>
    <row r="8" spans="2:18" ht="15.75" x14ac:dyDescent="0.25">
      <c r="B8" s="27" t="s">
        <v>21</v>
      </c>
      <c r="C8" s="28">
        <f>SUM(C6:C7)</f>
        <v>600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 t="s">
        <v>58</v>
      </c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480</v>
      </c>
      <c r="D12" s="2"/>
      <c r="E12" s="93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120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3806</v>
      </c>
      <c r="L15" s="9" t="s">
        <v>135</v>
      </c>
      <c r="M15" s="16" t="s">
        <v>146</v>
      </c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600</v>
      </c>
      <c r="D16" s="2"/>
      <c r="E16" s="93"/>
      <c r="F16" s="24"/>
      <c r="G16" s="25"/>
      <c r="H16" s="8"/>
      <c r="I16" s="8"/>
      <c r="J16" s="2"/>
      <c r="K16" s="101">
        <v>3791</v>
      </c>
      <c r="L16" s="9" t="s">
        <v>135</v>
      </c>
      <c r="M16" s="16" t="s">
        <v>146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3790</v>
      </c>
      <c r="L17" s="9" t="s">
        <v>135</v>
      </c>
      <c r="M17" s="16" t="s">
        <v>146</v>
      </c>
      <c r="R17" s="1">
        <f>IF(vend14[[#This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>
        <v>3797</v>
      </c>
      <c r="L18" s="9" t="s">
        <v>135</v>
      </c>
      <c r="M18" s="16" t="s">
        <v>146</v>
      </c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93"/>
      <c r="F19" s="24"/>
      <c r="G19" s="25"/>
      <c r="H19" s="8"/>
      <c r="I19" s="8"/>
      <c r="J19" s="2"/>
      <c r="K19" s="101">
        <v>3823</v>
      </c>
      <c r="L19" s="9" t="s">
        <v>135</v>
      </c>
      <c r="M19" s="16" t="s">
        <v>146</v>
      </c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480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3797</v>
      </c>
      <c r="F26" s="24" t="s">
        <v>162</v>
      </c>
      <c r="G26" s="25" t="s">
        <v>8</v>
      </c>
      <c r="H26" s="8"/>
      <c r="I26" s="8">
        <v>120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21" zoomScale="90" zoomScaleNormal="9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'14'!B1+1</f>
        <v>45641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IF(vend15[[#This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64"/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IF(vend15[[#This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64"/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23" zoomScale="90" zoomScaleNormal="9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'15'!B1+1</f>
        <v>45642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IF(vend16[[#This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IF(vend16[[#This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64"/>
      <c r="R17" s="1">
        <f>IF(vend16[[#This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30" zoomScale="90" zoomScaleNormal="90" workbookViewId="0">
      <selection activeCell="B38" sqref="B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'16'!B1+1</f>
        <v>45643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3890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740</v>
      </c>
      <c r="D6" s="2"/>
      <c r="E6" s="93">
        <v>3824</v>
      </c>
      <c r="F6" s="24" t="s">
        <v>164</v>
      </c>
      <c r="G6" s="25" t="s">
        <v>6</v>
      </c>
      <c r="H6" s="8">
        <v>390</v>
      </c>
      <c r="I6" s="8">
        <v>390</v>
      </c>
      <c r="J6" s="2"/>
      <c r="K6" s="24"/>
      <c r="L6" s="9"/>
      <c r="M6" s="16"/>
      <c r="R6" s="1">
        <f>IF(vend17[[#This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3825</v>
      </c>
      <c r="F7" s="24" t="s">
        <v>165</v>
      </c>
      <c r="G7" s="25" t="s">
        <v>6</v>
      </c>
      <c r="H7" s="8">
        <v>2705</v>
      </c>
      <c r="I7" s="8">
        <v>300</v>
      </c>
      <c r="J7" s="2"/>
      <c r="K7" s="24"/>
      <c r="L7" s="9"/>
      <c r="M7" s="16"/>
      <c r="R7" s="1">
        <f>IF(vend17[[#This Row],[Nº Venda]]&gt;1,1,0)</f>
        <v>1</v>
      </c>
    </row>
    <row r="8" spans="2:18" ht="15.75" x14ac:dyDescent="0.25">
      <c r="B8" s="27" t="s">
        <v>21</v>
      </c>
      <c r="C8" s="28">
        <f>SUM(C6:C7)</f>
        <v>740</v>
      </c>
      <c r="D8" s="2"/>
      <c r="E8" s="93">
        <v>3826</v>
      </c>
      <c r="F8" s="24" t="s">
        <v>165</v>
      </c>
      <c r="G8" s="25" t="s">
        <v>6</v>
      </c>
      <c r="H8" s="8">
        <v>795</v>
      </c>
      <c r="I8" s="8">
        <v>50</v>
      </c>
      <c r="J8" s="2"/>
      <c r="K8" s="24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740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740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IF(vend17[[#This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3890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32" zoomScale="90" zoomScaleNormal="90" workbookViewId="0">
      <selection activeCell="B26" sqref="B2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6">
        <f>'17'!B1+1</f>
        <v>45644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3"/>
      <c r="F6" s="56"/>
      <c r="G6" s="85"/>
      <c r="H6" s="67"/>
      <c r="I6" s="67"/>
      <c r="J6" s="2"/>
      <c r="K6" s="24"/>
      <c r="L6" s="62"/>
      <c r="M6" s="16"/>
      <c r="R6" s="1">
        <f>IF(vend18[[#This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IF(vend18[[#This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IF(vend18[[#This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60"/>
      <c r="F23" s="60"/>
      <c r="G23" s="60"/>
      <c r="H23" s="61"/>
      <c r="I23" s="61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B16" zoomScale="90" zoomScaleNormal="90" zoomScaleSheetLayoutView="70" workbookViewId="0">
      <selection activeCell="G16" sqref="G1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'18'!B1+1</f>
        <v>45645</v>
      </c>
      <c r="F1" s="33" t="s">
        <v>158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130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130</v>
      </c>
      <c r="D6" s="2"/>
      <c r="E6" s="93">
        <v>3827</v>
      </c>
      <c r="F6" s="24" t="s">
        <v>168</v>
      </c>
      <c r="G6" s="25" t="s">
        <v>7</v>
      </c>
      <c r="H6" s="8">
        <v>130</v>
      </c>
      <c r="I6" s="8">
        <v>130</v>
      </c>
      <c r="J6" s="2"/>
      <c r="K6" s="24"/>
      <c r="L6" s="9"/>
      <c r="M6" s="16"/>
      <c r="R6" s="1">
        <f>IF(vend19[[#This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63"/>
      <c r="I7" s="8"/>
      <c r="J7" s="2"/>
      <c r="K7" s="24"/>
      <c r="L7" s="9"/>
      <c r="M7" s="16"/>
      <c r="R7" s="1">
        <f>IF(vend19[[#This Row],[Nº Venda]]&gt;1,1,0)</f>
        <v>0</v>
      </c>
    </row>
    <row r="8" spans="2:18" ht="15.75" x14ac:dyDescent="0.25">
      <c r="B8" s="27" t="s">
        <v>21</v>
      </c>
      <c r="C8" s="28">
        <f>SUM(C6:C7)</f>
        <v>130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93"/>
      <c r="F9" s="56"/>
      <c r="G9" s="85"/>
      <c r="H9" s="67"/>
      <c r="I9" s="67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130</v>
      </c>
      <c r="D12" s="2"/>
      <c r="E12" s="93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3819</v>
      </c>
      <c r="L15" s="9" t="s">
        <v>129</v>
      </c>
      <c r="M15" s="16" t="s">
        <v>146</v>
      </c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130</v>
      </c>
      <c r="D16" s="2"/>
      <c r="E16" s="93"/>
      <c r="F16" s="24"/>
      <c r="G16" s="25"/>
      <c r="H16" s="8"/>
      <c r="I16" s="8"/>
      <c r="J16" s="2"/>
      <c r="K16" s="101">
        <v>3804</v>
      </c>
      <c r="L16" s="9" t="s">
        <v>135</v>
      </c>
      <c r="M16" s="16" t="s">
        <v>146</v>
      </c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IF(vend19[[#This Row],[Nº Venda]]&gt;1,1,0)</f>
        <v>0</v>
      </c>
    </row>
    <row r="18" spans="2:22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22" ht="15.75" x14ac:dyDescent="0.25">
      <c r="B22" s="27" t="s">
        <v>26</v>
      </c>
      <c r="C22" s="31">
        <f>C5</f>
        <v>130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22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22" ht="15.75" x14ac:dyDescent="0.25">
      <c r="B26" s="2"/>
      <c r="C26" s="2"/>
      <c r="D26" s="2"/>
      <c r="E26" s="93"/>
      <c r="F26" s="38"/>
      <c r="G26" s="25"/>
      <c r="H26" s="8"/>
      <c r="I26" s="8"/>
      <c r="J26" s="2"/>
      <c r="K26" s="101"/>
      <c r="L26" s="9"/>
      <c r="M26" s="16"/>
    </row>
    <row r="27" spans="2:22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22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22" ht="15.75" x14ac:dyDescent="0.25">
      <c r="B29" s="2"/>
      <c r="C29" s="2"/>
      <c r="D29" s="2"/>
      <c r="E29" s="93"/>
      <c r="F29" s="24"/>
      <c r="G29" s="86"/>
      <c r="H29" s="25"/>
      <c r="I29" s="8"/>
      <c r="J29" s="2"/>
      <c r="K29" s="101"/>
      <c r="L29" s="9"/>
      <c r="M29" s="16"/>
    </row>
    <row r="30" spans="2:22" ht="15.75" x14ac:dyDescent="0.25">
      <c r="B30" s="2"/>
      <c r="C30" s="2"/>
      <c r="D30" s="2"/>
      <c r="E30" s="93"/>
      <c r="F30" s="24"/>
      <c r="G30" s="25"/>
      <c r="H30" s="8"/>
      <c r="I30" s="8"/>
      <c r="J30" s="2"/>
      <c r="K30" s="101"/>
      <c r="L30" s="9"/>
      <c r="M30" s="16"/>
    </row>
    <row r="31" spans="2:22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23" zoomScale="90" zoomScaleNormal="90" workbookViewId="0">
      <selection activeCell="G30" sqref="G30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6">
        <f>'19'!B1+1</f>
        <v>45646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281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1200.58</v>
      </c>
      <c r="D6" s="2"/>
      <c r="E6" s="93">
        <v>3828</v>
      </c>
      <c r="F6" s="24" t="s">
        <v>171</v>
      </c>
      <c r="G6" s="25" t="s">
        <v>6</v>
      </c>
      <c r="H6" s="8">
        <v>90</v>
      </c>
      <c r="I6" s="8">
        <v>90</v>
      </c>
      <c r="J6" s="2"/>
      <c r="K6" s="24"/>
      <c r="L6" s="9"/>
      <c r="M6" s="16"/>
      <c r="R6" s="1">
        <f>IF(vend20[[#This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3829</v>
      </c>
      <c r="F7" s="24" t="s">
        <v>172</v>
      </c>
      <c r="G7" s="25" t="s">
        <v>7</v>
      </c>
      <c r="H7" s="8">
        <v>191</v>
      </c>
      <c r="I7" s="8">
        <v>191</v>
      </c>
      <c r="J7" s="2"/>
      <c r="K7" s="24"/>
      <c r="L7" s="9"/>
      <c r="M7" s="16"/>
      <c r="R7" s="1">
        <f>IF(vend20[[#This Row],[Nº Venda]]&gt;1,1,0)</f>
        <v>1</v>
      </c>
    </row>
    <row r="8" spans="2:18" ht="15.75" x14ac:dyDescent="0.25">
      <c r="B8" s="27" t="s">
        <v>21</v>
      </c>
      <c r="C8" s="28">
        <f>SUM(C6:C7)</f>
        <v>1200.58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790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307.33</v>
      </c>
      <c r="D12" s="2"/>
      <c r="E12" s="93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103.25</v>
      </c>
      <c r="D15" s="2"/>
      <c r="E15" s="93"/>
      <c r="F15" s="24"/>
      <c r="G15" s="25"/>
      <c r="H15" s="8"/>
      <c r="I15" s="8"/>
      <c r="J15" s="2"/>
      <c r="K15" s="101">
        <v>3827</v>
      </c>
      <c r="L15" s="9" t="s">
        <v>129</v>
      </c>
      <c r="M15" s="16" t="s">
        <v>146</v>
      </c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1200.58</v>
      </c>
      <c r="D16" s="2"/>
      <c r="E16" s="93"/>
      <c r="F16" s="24"/>
      <c r="G16" s="25"/>
      <c r="H16" s="8"/>
      <c r="I16" s="8"/>
      <c r="J16" s="2"/>
      <c r="K16" s="101">
        <v>3828</v>
      </c>
      <c r="L16" s="9" t="s">
        <v>129</v>
      </c>
      <c r="M16" s="64" t="s">
        <v>146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3818</v>
      </c>
      <c r="L17" s="9" t="s">
        <v>129</v>
      </c>
      <c r="M17" s="16" t="s">
        <v>173</v>
      </c>
      <c r="R17" s="1">
        <f>IF(vend20[[#This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>
        <v>3809</v>
      </c>
      <c r="L18" s="9" t="s">
        <v>129</v>
      </c>
      <c r="M18" s="16" t="s">
        <v>146</v>
      </c>
      <c r="R18" s="1">
        <f>IF(vend20[[#This Row],[Nº Venda]]&gt;1,1,0)</f>
        <v>0</v>
      </c>
    </row>
    <row r="19" spans="2:18" ht="15.75" x14ac:dyDescent="0.25">
      <c r="B19" s="29">
        <f>COUNT(entr_carn20[OS])</f>
        <v>1</v>
      </c>
      <c r="C19" s="30">
        <f>SUM(entr_carn20[Valor Total])</f>
        <v>234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234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281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3809</v>
      </c>
      <c r="F26" s="24" t="s">
        <v>174</v>
      </c>
      <c r="G26" s="25" t="s">
        <v>6</v>
      </c>
      <c r="H26" s="8"/>
      <c r="I26" s="8">
        <v>700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3752</v>
      </c>
      <c r="F35" s="24" t="s">
        <v>170</v>
      </c>
      <c r="G35" s="25" t="s">
        <v>10</v>
      </c>
      <c r="H35" s="8">
        <v>103.25</v>
      </c>
      <c r="I35" s="8" t="s">
        <v>76</v>
      </c>
      <c r="K35" s="101">
        <v>3818</v>
      </c>
      <c r="L35" s="40">
        <v>3</v>
      </c>
      <c r="M35" s="64">
        <v>234</v>
      </c>
    </row>
    <row r="36" spans="2:18" ht="15.75" x14ac:dyDescent="0.25">
      <c r="E36" s="97">
        <v>3750</v>
      </c>
      <c r="F36" s="24" t="s">
        <v>175</v>
      </c>
      <c r="G36" s="25" t="s">
        <v>7</v>
      </c>
      <c r="H36" s="8">
        <v>116.33</v>
      </c>
      <c r="I36" s="8" t="s">
        <v>33</v>
      </c>
      <c r="K36" s="101"/>
      <c r="L36" s="65"/>
      <c r="M36" s="64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18" zoomScale="90" zoomScaleNormal="90" workbookViewId="0">
      <selection activeCell="H39" sqref="H3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'20'!B1+1</f>
        <v>45647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1290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1681.62</v>
      </c>
      <c r="D6" s="2"/>
      <c r="E6" s="93">
        <v>3830</v>
      </c>
      <c r="F6" s="24" t="s">
        <v>176</v>
      </c>
      <c r="G6" s="25" t="s">
        <v>8</v>
      </c>
      <c r="H6" s="8">
        <v>1290</v>
      </c>
      <c r="I6" s="8">
        <v>1290</v>
      </c>
      <c r="J6" s="2"/>
      <c r="K6" s="24"/>
      <c r="L6" s="9"/>
      <c r="M6" s="16"/>
      <c r="R6" s="1">
        <f>IF(vend21[[#This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IF(vend21[[#This Row],[Nº Venda]]&gt;1,1,0)</f>
        <v>0</v>
      </c>
    </row>
    <row r="8" spans="2:18" ht="15.75" x14ac:dyDescent="0.25">
      <c r="B8" s="27" t="s">
        <v>21</v>
      </c>
      <c r="C8" s="28">
        <f>SUM(C6:C7)</f>
        <v>1681.62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IF(vend21[[#This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100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170</v>
      </c>
      <c r="D12" s="2"/>
      <c r="E12" s="93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 t="shared" si="0"/>
        <v>1290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 t="shared" si="0"/>
        <v>121.62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3811</v>
      </c>
      <c r="L15" s="9" t="s">
        <v>129</v>
      </c>
      <c r="M15" s="16" t="s">
        <v>146</v>
      </c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1681.62</v>
      </c>
      <c r="D16" s="2"/>
      <c r="E16" s="93"/>
      <c r="F16" s="24"/>
      <c r="G16" s="25"/>
      <c r="H16" s="8"/>
      <c r="I16" s="8"/>
      <c r="J16" s="2"/>
      <c r="K16" s="101">
        <v>3824</v>
      </c>
      <c r="L16" s="9" t="s">
        <v>129</v>
      </c>
      <c r="M16" s="16" t="s">
        <v>146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IF(vend21[[#This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1290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3803</v>
      </c>
      <c r="F26" s="24" t="s">
        <v>178</v>
      </c>
      <c r="G26" s="25" t="s">
        <v>7</v>
      </c>
      <c r="H26" s="8">
        <v>0</v>
      </c>
      <c r="I26" s="8">
        <v>170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3733</v>
      </c>
      <c r="F35" s="24" t="s">
        <v>177</v>
      </c>
      <c r="G35" s="25" t="s">
        <v>9</v>
      </c>
      <c r="H35" s="8">
        <v>121.62</v>
      </c>
      <c r="I35" s="8" t="s">
        <v>34</v>
      </c>
      <c r="K35" s="101"/>
      <c r="L35" s="40"/>
      <c r="M35" s="16"/>
    </row>
    <row r="36" spans="2:18" ht="15.75" x14ac:dyDescent="0.25">
      <c r="E36" s="97">
        <v>3773</v>
      </c>
      <c r="F36" s="24" t="s">
        <v>179</v>
      </c>
      <c r="G36" s="25" t="s">
        <v>6</v>
      </c>
      <c r="H36" s="8">
        <v>89.33</v>
      </c>
      <c r="I36" s="8" t="s">
        <v>33</v>
      </c>
      <c r="K36" s="101"/>
      <c r="L36" s="40"/>
      <c r="M36" s="16"/>
    </row>
    <row r="37" spans="2:18" ht="15.75" x14ac:dyDescent="0.25">
      <c r="E37" s="93">
        <v>3733</v>
      </c>
      <c r="F37" s="24" t="s">
        <v>179</v>
      </c>
      <c r="G37" s="25" t="s">
        <v>6</v>
      </c>
      <c r="H37" s="8">
        <v>10.67</v>
      </c>
      <c r="I37" s="8" t="s">
        <v>77</v>
      </c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G35:G41 G26:G31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E35:E41 K15:K31 K35:K41 E26:E31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18" zoomScale="90" zoomScaleNormal="9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'21'!B1+1</f>
        <v>45648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IF(vend22[[#This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18" zoomScale="90" zoomScaleNormal="90" workbookViewId="0">
      <selection activeCell="H37" sqref="H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'22'!B1+1</f>
        <v>45649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115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 x14ac:dyDescent="0.25">
      <c r="B8" s="27" t="s">
        <v>21</v>
      </c>
      <c r="C8" s="28">
        <f>SUM(C6:C7)</f>
        <v>115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75">
        <f>(SUMIF($G$2:$G$31,B11,$I$2:$I$31))+(SUMIF($G$35:$G$44,B11,$H$35:$H$44))</f>
        <v>115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75">
        <f>(SUMIF($G$2:$G$31,B12,$I$2:$I$31))+(SUMIF($G$35:$G$44,B12,$H$35:$H$44))</f>
        <v>0</v>
      </c>
      <c r="D12" s="2"/>
      <c r="E12" s="93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75">
        <f>(SUMIF($G$2:$G$31,B13,$I$2:$I$31))+(SUMIF($G$35:$G$44,B13,$H$35:$H$44))</f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IF(vend23[[#This Row],[Nº Venda]]&gt;1,1,0)</f>
        <v>0</v>
      </c>
    </row>
    <row r="14" spans="2:18" ht="15.75" x14ac:dyDescent="0.25">
      <c r="B14" s="29" t="s">
        <v>9</v>
      </c>
      <c r="C14" s="75">
        <f>(SUMIF($G$2:$G$31,B14,$I$2:$I$31))+(SUMIF($G$35:$G$44,B14,$H$35:$H$44))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75">
        <f>(SUMIF($G$2:$G$31,B15,$I$2:$I$31))+(SUMIF($G$35:$G$44,B15,$H$35:$H$44))</f>
        <v>0</v>
      </c>
      <c r="D15" s="2"/>
      <c r="E15" s="93"/>
      <c r="F15" s="24"/>
      <c r="G15" s="25"/>
      <c r="H15" s="8"/>
      <c r="I15" s="8"/>
      <c r="J15" s="2"/>
      <c r="K15" s="101">
        <v>3821</v>
      </c>
      <c r="L15" s="9" t="s">
        <v>129</v>
      </c>
      <c r="M15" s="16" t="s">
        <v>146</v>
      </c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115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IF(vend23[[#This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3553</v>
      </c>
      <c r="F35" s="24" t="s">
        <v>180</v>
      </c>
      <c r="G35" s="25" t="s">
        <v>6</v>
      </c>
      <c r="H35" s="69">
        <v>115</v>
      </c>
      <c r="I35" s="8" t="s">
        <v>59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2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0"/>
      <c r="M40" s="16"/>
      <c r="Q40" s="1" t="s">
        <v>36</v>
      </c>
      <c r="R40" s="1">
        <f>SUM(R6:R21)</f>
        <v>0</v>
      </c>
    </row>
    <row r="41" spans="2:18" ht="15.75" x14ac:dyDescent="0.25">
      <c r="E41" s="98"/>
      <c r="F41" s="38"/>
      <c r="G41" s="25"/>
      <c r="H41" s="8"/>
      <c r="I41" s="8"/>
      <c r="K41" s="102"/>
      <c r="L41" s="40"/>
      <c r="M41" s="16"/>
    </row>
    <row r="42" spans="2:18" ht="15.75" x14ac:dyDescent="0.25">
      <c r="E42" s="89"/>
      <c r="F42" s="72"/>
      <c r="G42" s="73"/>
      <c r="H42" s="74"/>
      <c r="I42" s="17"/>
      <c r="K42" s="101"/>
      <c r="L42" s="40"/>
      <c r="M42" s="16"/>
    </row>
    <row r="43" spans="2:18" ht="15.75" x14ac:dyDescent="0.25">
      <c r="E43" s="89"/>
      <c r="F43" s="87"/>
      <c r="G43" s="86"/>
      <c r="H43" s="88"/>
      <c r="I43" s="8"/>
      <c r="K43" s="102"/>
      <c r="L43" s="41"/>
      <c r="M43" s="39"/>
    </row>
    <row r="44" spans="2:18" ht="15.75" x14ac:dyDescent="0.25">
      <c r="E44" s="90"/>
      <c r="F44" s="72"/>
      <c r="G44" s="73"/>
      <c r="H44" s="74"/>
      <c r="I44" s="17"/>
      <c r="K44" s="101"/>
      <c r="L44" s="40"/>
      <c r="M44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4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K15:K31 E35:E41 K35:K44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21" zoomScale="90" zoomScaleNormal="90" workbookViewId="0">
      <selection activeCell="H18" sqref="H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'23'!B1+1</f>
        <v>45650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93"/>
      <c r="F17" s="24" t="s">
        <v>58</v>
      </c>
      <c r="G17" s="25"/>
      <c r="H17" s="8"/>
      <c r="I17" s="8"/>
      <c r="J17" s="2"/>
      <c r="K17" s="101"/>
      <c r="L17" s="9"/>
      <c r="M17" s="16"/>
      <c r="R17" s="1">
        <f>IF(vend24[[#This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 t="s">
        <v>157</v>
      </c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26" zoomScale="90" zoomScaleNormal="90" workbookViewId="0">
      <selection activeCell="F47" sqref="F4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'24'!B1+1</f>
        <v>45651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 ca="1">C16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IF(vend25[[#This Row],[Nº Venda]]&gt;1,1,0)</f>
        <v>0</v>
      </c>
    </row>
    <row r="8" spans="2:18" ht="15.75" x14ac:dyDescent="0.25">
      <c r="B8" s="27" t="s">
        <v>21</v>
      </c>
      <c r="C8" s="28">
        <f ca="1"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 ca="1">(SUMIF($G$2:$G$31,B11,$I$2:$I$31))+(SUMIF($G$35:$G$41,B11,$H$36:$H$41))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 ca="1">IF(C16=0,0,1)</f>
        <v>0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 ca="1">(SUMIF($G$2:$G$31,B12,$I$2:$I$31))+(SUMIF($G$35:$G$41,B12,$H$36:$H$41))</f>
        <v>0</v>
      </c>
      <c r="D12" s="2"/>
      <c r="E12" s="93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 ca="1">(SUMIF($G$2:$G$31,B13,$I$2:$I$31))+(SUMIF($G$35:$G$41,B13,$H$36:$H$41))</f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 ca="1">(SUMIF($G$2:$G$31,B14,$I$2:$I$31))+(SUMIF($G$35:$G$41,B14,$H$36:$H$41))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 ca="1">(SUMIF($G$2:$G$31,B15,$I$2:$I$31))+(SUMIF($G$35:$G$41,B15,$H$36:$H$41))</f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 ca="1"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IF(vend25[[#This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69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74"/>
  <sheetViews>
    <sheetView showGridLines="0" topLeftCell="A23" zoomScaleNormal="100" workbookViewId="0">
      <selection activeCell="M36" sqref="M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'25'!B1+1</f>
        <v>45652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3820</v>
      </c>
      <c r="L15" s="9" t="s">
        <v>129</v>
      </c>
      <c r="M15" s="16" t="s">
        <v>146</v>
      </c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>
        <v>3803</v>
      </c>
      <c r="L16" s="9" t="s">
        <v>129</v>
      </c>
      <c r="M16" s="16" t="s">
        <v>173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IF(vend26[[#This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1</v>
      </c>
      <c r="C19" s="30">
        <f>SUM(entr_carn26[Valor Total])</f>
        <v>228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228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>
        <v>3803</v>
      </c>
      <c r="L35" s="40">
        <v>3</v>
      </c>
      <c r="M35" s="16">
        <v>228</v>
      </c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  <row r="57" spans="3:3" x14ac:dyDescent="0.2">
      <c r="C57" s="1">
        <v>3</v>
      </c>
    </row>
    <row r="74" spans="3:3" x14ac:dyDescent="0.2">
      <c r="C74" s="1" t="s">
        <v>157</v>
      </c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26" zoomScale="90" zoomScaleNormal="90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'26'!B1+1</f>
        <v>45653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3829</v>
      </c>
      <c r="L15" s="9" t="s">
        <v>129</v>
      </c>
      <c r="M15" s="16" t="s">
        <v>146</v>
      </c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IF(vend27[[#This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21" zoomScale="90" zoomScaleNormal="90" workbookViewId="0">
      <selection activeCell="G15" sqref="G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'27'!B1+1</f>
        <v>45654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1342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1117</v>
      </c>
      <c r="D6" s="2"/>
      <c r="E6" s="93">
        <v>3831</v>
      </c>
      <c r="F6" s="24" t="s">
        <v>181</v>
      </c>
      <c r="G6" s="25" t="s">
        <v>6</v>
      </c>
      <c r="H6" s="8">
        <v>425</v>
      </c>
      <c r="I6" s="8">
        <v>200</v>
      </c>
      <c r="J6" s="2"/>
      <c r="K6" s="24"/>
      <c r="L6" s="9"/>
      <c r="M6" s="16"/>
      <c r="R6" s="1">
        <f>IF(vend28[[#This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3832</v>
      </c>
      <c r="F7" s="24" t="s">
        <v>182</v>
      </c>
      <c r="G7" s="25" t="s">
        <v>40</v>
      </c>
      <c r="H7" s="8">
        <v>0</v>
      </c>
      <c r="I7" s="8">
        <v>0</v>
      </c>
      <c r="J7" s="2"/>
      <c r="K7" s="24"/>
      <c r="L7" s="9"/>
      <c r="M7" s="16"/>
      <c r="R7" s="1">
        <f>IF(vend28[[#This Row],[Nº Venda]]&gt;1,1,0)</f>
        <v>1</v>
      </c>
    </row>
    <row r="8" spans="2:18" ht="15.75" x14ac:dyDescent="0.25">
      <c r="B8" s="27" t="s">
        <v>21</v>
      </c>
      <c r="C8" s="28">
        <f>SUM(C6:C7)</f>
        <v>1117</v>
      </c>
      <c r="D8" s="2"/>
      <c r="E8" s="93">
        <v>3833</v>
      </c>
      <c r="F8" s="24" t="s">
        <v>183</v>
      </c>
      <c r="G8" s="25" t="s">
        <v>8</v>
      </c>
      <c r="H8" s="8">
        <v>917</v>
      </c>
      <c r="I8" s="8">
        <v>917</v>
      </c>
      <c r="J8" s="2"/>
      <c r="K8" s="24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200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917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1117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IF(vend28[[#This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1342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21" zoomScale="90" zoomScaleNormal="9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7">
        <f>'28'!B1+1</f>
        <v>45655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44"/>
      <c r="I9" s="8"/>
      <c r="J9" s="2"/>
      <c r="K9" s="24"/>
      <c r="L9" s="9"/>
      <c r="M9" s="16"/>
      <c r="R9" s="1">
        <f>IF(vend29[[#This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IF(vend29[[#This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IF(vend29[[#This Row],[Nº Venda]]&gt;1,1,0)</f>
        <v>0</v>
      </c>
    </row>
    <row r="19" spans="2:18" ht="15.75" x14ac:dyDescent="0.25">
      <c r="B19" s="29">
        <f>COUNT(entr_carn29[OS])</f>
        <v>0</v>
      </c>
      <c r="C19" s="30">
        <f>SUM(entr_carn29[Valor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23" zoomScale="90" zoomScaleNormal="9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'29'!B1+1</f>
        <v>45656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IF(vend30[[#This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IF(vend30[[#This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IF(vend30[[#This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IF(vend30[[#This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IF(vend30[[#This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IF(vend30[[#This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IF(vend30[[#This Row],[Nº Venda]]&gt;1,1,0)</f>
        <v>0</v>
      </c>
    </row>
    <row r="18" spans="2:22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IF(vend30[[#This Row],[Nº Venda]]&gt;1,1,0)</f>
        <v>0</v>
      </c>
    </row>
    <row r="19" spans="2:22" ht="15.75" x14ac:dyDescent="0.25">
      <c r="B19" s="29">
        <f>COUNT(entr_carn30[OS])</f>
        <v>0</v>
      </c>
      <c r="C19" s="30">
        <f>SUM(entr_carn30[Valor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  <c r="V21" s="1" t="s">
        <v>126</v>
      </c>
    </row>
    <row r="22" spans="2:22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22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22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22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22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22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22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22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abSelected="1" topLeftCell="A25" zoomScale="90" zoomScaleNormal="9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'30'!B1+1</f>
        <v>45657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IF(vend31[[#This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IF(vend31[[#This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107" t="s">
        <v>5</v>
      </c>
      <c r="C10" s="107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IF(vend31[[#This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IF(vend31[[#This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IF(vend31[[#This Row],[Nº Venda]]&gt;1,1,0)</f>
        <v>0</v>
      </c>
    </row>
    <row r="18" spans="2:18" ht="15.75" x14ac:dyDescent="0.25">
      <c r="B18" s="107" t="s">
        <v>12</v>
      </c>
      <c r="C18" s="107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6</vt:i4>
      </vt:variant>
    </vt:vector>
  </HeadingPairs>
  <TitlesOfParts>
    <vt:vector size="40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  <vt:lpstr>'26'!Area_de_impressao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riopequeno lojas</cp:lastModifiedBy>
  <cp:revision/>
  <cp:lastPrinted>2024-12-30T18:05:46Z</cp:lastPrinted>
  <dcterms:created xsi:type="dcterms:W3CDTF">2004-04-07T20:43:43Z</dcterms:created>
  <dcterms:modified xsi:type="dcterms:W3CDTF">2025-01-08T17:16:58Z</dcterms:modified>
  <cp:category/>
  <cp:contentStatus/>
</cp:coreProperties>
</file>