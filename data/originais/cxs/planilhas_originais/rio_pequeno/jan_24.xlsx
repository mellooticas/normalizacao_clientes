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tables/table183.xml" ContentType="application/vnd.openxmlformats-officedocument.spreadsheetml.table+xml"/>
  <Override PartName="/xl/tables/table184.xml" ContentType="application/vnd.openxmlformats-officedocument.spreadsheetml.table+xml"/>
  <Override PartName="/xl/tables/table185.xml" ContentType="application/vnd.openxmlformats-officedocument.spreadsheetml.table+xml"/>
  <Override PartName="/xl/tables/table186.xml" ContentType="application/vnd.openxmlformats-officedocument.spreadsheetml.table+xml"/>
  <Override PartName="/xl/tables/table187.xml" ContentType="application/vnd.openxmlformats-officedocument.spreadsheetml.table+xml"/>
  <Override PartName="/xl/tables/table188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codeName="EstaPastaDeTrabalho"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RIO_PEQUENO/CAIXA/"/>
    </mc:Choice>
  </mc:AlternateContent>
  <xr:revisionPtr revIDLastSave="4" documentId="13_ncr:1_{33AFA52D-9FC6-4B59-BDC6-894EE0105F7B}" xr6:coauthVersionLast="47" xr6:coauthVersionMax="47" xr10:uidLastSave="{9B874158-EFD9-43F7-88F4-5B749A669558}"/>
  <bookViews>
    <workbookView xWindow="-120" yWindow="-120" windowWidth="29040" windowHeight="15720" tabRatio="895" firstSheet="6" activeTab="6" xr2:uid="{00000000-000D-0000-FFFF-FFFF00000000}"/>
  </bookViews>
  <sheets>
    <sheet name="resumo_cx" sheetId="200" r:id="rId1"/>
    <sheet name="Planilha7" sheetId="207" r:id="rId2"/>
    <sheet name="Planilha6" sheetId="206" r:id="rId3"/>
    <sheet name="01" sheetId="175" r:id="rId4"/>
    <sheet name="02" sheetId="174" r:id="rId5"/>
    <sheet name="03" sheetId="173" r:id="rId6"/>
    <sheet name="04" sheetId="172" r:id="rId7"/>
    <sheet name="05" sheetId="171" r:id="rId8"/>
    <sheet name="06" sheetId="170" r:id="rId9"/>
    <sheet name="07" sheetId="103" r:id="rId10"/>
    <sheet name="08" sheetId="178" r:id="rId11"/>
    <sheet name="09" sheetId="177" r:id="rId12"/>
    <sheet name="10" sheetId="176" r:id="rId13"/>
    <sheet name="11" sheetId="180" r:id="rId14"/>
    <sheet name="12" sheetId="182" r:id="rId15"/>
    <sheet name="13" sheetId="183" r:id="rId16"/>
    <sheet name="14" sheetId="181" r:id="rId17"/>
    <sheet name="15" sheetId="179" r:id="rId18"/>
    <sheet name="16" sheetId="184" r:id="rId19"/>
    <sheet name="17" sheetId="185" r:id="rId20"/>
    <sheet name="18" sheetId="186" r:id="rId21"/>
    <sheet name="19" sheetId="187" r:id="rId22"/>
    <sheet name="20" sheetId="189" r:id="rId23"/>
    <sheet name="21" sheetId="190" r:id="rId24"/>
    <sheet name="22" sheetId="191" r:id="rId25"/>
    <sheet name="23" sheetId="188" r:id="rId26"/>
    <sheet name="24" sheetId="193" r:id="rId27"/>
    <sheet name="25" sheetId="195" r:id="rId28"/>
    <sheet name="26" sheetId="194" r:id="rId29"/>
    <sheet name="27" sheetId="197" r:id="rId30"/>
    <sheet name="28" sheetId="196" r:id="rId31"/>
    <sheet name="29" sheetId="192" r:id="rId32"/>
    <sheet name="30" sheetId="199" r:id="rId33"/>
    <sheet name="31" sheetId="198" r:id="rId34"/>
    <sheet name="Planilha1" sheetId="208" r:id="rId35"/>
    <sheet name="base" sheetId="36" state="hidden" r:id="rId36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97" l="1"/>
  <c r="R20" i="175" l="1"/>
  <c r="R19" i="175"/>
  <c r="C19" i="175"/>
  <c r="C20" i="175" s="1"/>
  <c r="B19" i="175"/>
  <c r="R18" i="175"/>
  <c r="R17" i="175"/>
  <c r="R16" i="175"/>
  <c r="R15" i="175"/>
  <c r="C15" i="175"/>
  <c r="R14" i="175"/>
  <c r="C14" i="175"/>
  <c r="R13" i="175"/>
  <c r="C13" i="175"/>
  <c r="R12" i="175"/>
  <c r="C12" i="175"/>
  <c r="R11" i="175"/>
  <c r="C11" i="175"/>
  <c r="R10" i="175"/>
  <c r="R9" i="175"/>
  <c r="R8" i="175"/>
  <c r="R7" i="175"/>
  <c r="C7" i="175"/>
  <c r="R6" i="175"/>
  <c r="C6" i="175"/>
  <c r="C5" i="175"/>
  <c r="C22" i="175" s="1"/>
  <c r="C12" i="174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98"/>
  <c r="C13" i="198"/>
  <c r="C14" i="198"/>
  <c r="C15" i="198"/>
  <c r="C11" i="174"/>
  <c r="C11" i="173"/>
  <c r="C11" i="172"/>
  <c r="C11" i="171"/>
  <c r="C11" i="170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98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98"/>
  <c r="A17" i="200"/>
  <c r="C5" i="174"/>
  <c r="C22" i="174" s="1"/>
  <c r="C5" i="173"/>
  <c r="C22" i="173" s="1"/>
  <c r="C5" i="172"/>
  <c r="C22" i="172" s="1"/>
  <c r="C5" i="171"/>
  <c r="C22" i="171" s="1"/>
  <c r="C5" i="170"/>
  <c r="C22" i="170" s="1"/>
  <c r="C5" i="103"/>
  <c r="C5" i="178"/>
  <c r="C22" i="178" s="1"/>
  <c r="C5" i="177"/>
  <c r="C22" i="177" s="1"/>
  <c r="C5" i="176"/>
  <c r="C22" i="176" s="1"/>
  <c r="C5" i="180"/>
  <c r="C22" i="180" s="1"/>
  <c r="C5" i="182"/>
  <c r="C22" i="182" s="1"/>
  <c r="C5" i="183"/>
  <c r="C22" i="183" s="1"/>
  <c r="C5" i="181"/>
  <c r="C22" i="181" s="1"/>
  <c r="C5" i="179"/>
  <c r="C22" i="179" s="1"/>
  <c r="C5" i="184"/>
  <c r="C22" i="184" s="1"/>
  <c r="C5" i="185"/>
  <c r="C22" i="185" s="1"/>
  <c r="C5" i="186"/>
  <c r="C22" i="186" s="1"/>
  <c r="C5" i="187"/>
  <c r="C22" i="187" s="1"/>
  <c r="C5" i="189"/>
  <c r="C22" i="189" s="1"/>
  <c r="C5" i="190"/>
  <c r="C22" i="190" s="1"/>
  <c r="C5" i="191"/>
  <c r="C22" i="191" s="1"/>
  <c r="C5" i="188"/>
  <c r="C22" i="188" s="1"/>
  <c r="C5" i="193"/>
  <c r="C22" i="193" s="1"/>
  <c r="C5" i="195"/>
  <c r="C22" i="195" s="1"/>
  <c r="C5" i="194"/>
  <c r="C22" i="194" s="1"/>
  <c r="C5" i="197"/>
  <c r="C22" i="197" s="1"/>
  <c r="C5" i="196"/>
  <c r="C22" i="196" s="1"/>
  <c r="C5" i="192"/>
  <c r="C22" i="192" s="1"/>
  <c r="C5" i="199"/>
  <c r="C22" i="199" s="1"/>
  <c r="C5" i="198"/>
  <c r="C22" i="198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8" i="186" s="1"/>
  <c r="C6" i="187"/>
  <c r="C8" i="187" s="1"/>
  <c r="C6" i="189"/>
  <c r="C8" i="189" s="1"/>
  <c r="C6" i="190"/>
  <c r="C8" i="190" s="1"/>
  <c r="C6" i="191"/>
  <c r="C6" i="188"/>
  <c r="C6" i="193"/>
  <c r="C6" i="195"/>
  <c r="C6" i="194"/>
  <c r="C8" i="194" s="1"/>
  <c r="C6" i="197"/>
  <c r="C8" i="197" s="1"/>
  <c r="C6" i="196"/>
  <c r="C8" i="196" s="1"/>
  <c r="C6" i="192"/>
  <c r="C6" i="199"/>
  <c r="C8" i="199" s="1"/>
  <c r="C6" i="198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8"/>
  <c r="R19" i="198"/>
  <c r="C19" i="198"/>
  <c r="C20" i="198" s="1"/>
  <c r="B19" i="198"/>
  <c r="R18" i="198"/>
  <c r="R17" i="198"/>
  <c r="R16" i="198"/>
  <c r="R15" i="198"/>
  <c r="R14" i="198"/>
  <c r="R13" i="198"/>
  <c r="R12" i="198"/>
  <c r="R11" i="198"/>
  <c r="R10" i="198"/>
  <c r="R9" i="198"/>
  <c r="R8" i="198"/>
  <c r="R7" i="198"/>
  <c r="R6" i="198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C19" i="103"/>
  <c r="B19" i="103"/>
  <c r="C8" i="192" l="1"/>
  <c r="C8" i="183"/>
  <c r="C8" i="175"/>
  <c r="R40" i="194"/>
  <c r="R40" i="190"/>
  <c r="R40" i="183"/>
  <c r="R40" i="192"/>
  <c r="R40" i="196"/>
  <c r="C8" i="191"/>
  <c r="R40" i="198"/>
  <c r="B17" i="200"/>
  <c r="B18" i="200" s="1"/>
  <c r="R40" i="187"/>
  <c r="R40" i="189"/>
  <c r="R40" i="191"/>
  <c r="R40" i="193"/>
  <c r="R40" i="195"/>
  <c r="R40" i="180"/>
  <c r="R40" i="185"/>
  <c r="R40" i="186"/>
  <c r="R40" i="188"/>
  <c r="R40" i="197"/>
  <c r="R40" i="199"/>
  <c r="C8" i="188"/>
  <c r="C16" i="170"/>
  <c r="O11" i="170" s="1"/>
  <c r="R40" i="170"/>
  <c r="C16" i="175"/>
  <c r="O11" i="175" s="1"/>
  <c r="R40" i="175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98"/>
  <c r="C8" i="185"/>
  <c r="C8" i="181"/>
  <c r="C8" i="170"/>
  <c r="C8" i="177"/>
  <c r="C8" i="182"/>
  <c r="C16" i="198"/>
  <c r="O11" i="198" s="1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  <c r="B1" i="174" l="1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B1" i="198" s="1"/>
</calcChain>
</file>

<file path=xl/sharedStrings.xml><?xml version="1.0" encoding="utf-8"?>
<sst xmlns="http://schemas.openxmlformats.org/spreadsheetml/2006/main" count="1899" uniqueCount="221">
  <si>
    <t>Saldo Inicial</t>
  </si>
  <si>
    <t>Vendas</t>
  </si>
  <si>
    <t>Entrada</t>
  </si>
  <si>
    <t>Despesas</t>
  </si>
  <si>
    <t>Entr_Desp</t>
  </si>
  <si>
    <t>Tipos de Pagtos</t>
  </si>
  <si>
    <t>DN</t>
  </si>
  <si>
    <t>CTD</t>
  </si>
  <si>
    <t>CTC</t>
  </si>
  <si>
    <t>PCTC</t>
  </si>
  <si>
    <t>PIX</t>
  </si>
  <si>
    <t>Total</t>
  </si>
  <si>
    <t>Entrega de Carne</t>
  </si>
  <si>
    <t>Fechamento Diário do Caixa</t>
  </si>
  <si>
    <t>Nº Venda</t>
  </si>
  <si>
    <t>Cliente</t>
  </si>
  <si>
    <t>Forma de Pgto</t>
  </si>
  <si>
    <t>Valor Venda</t>
  </si>
  <si>
    <t>Descrição</t>
  </si>
  <si>
    <t>Tipo de Pagto</t>
  </si>
  <si>
    <t>Valor</t>
  </si>
  <si>
    <t>Total  entrada</t>
  </si>
  <si>
    <t>OS Entregue no Dia</t>
  </si>
  <si>
    <t>OS</t>
  </si>
  <si>
    <t>Vendedor</t>
  </si>
  <si>
    <t>CARNE</t>
  </si>
  <si>
    <t>Venda</t>
  </si>
  <si>
    <t>Restante Entrada</t>
  </si>
  <si>
    <t>Recebimento de Carnê</t>
  </si>
  <si>
    <t>Valor Parcela</t>
  </si>
  <si>
    <t>Nº Parcela</t>
  </si>
  <si>
    <t>Parcelas</t>
  </si>
  <si>
    <t>Valor Total</t>
  </si>
  <si>
    <t>Total de OS</t>
  </si>
  <si>
    <t>DEBORA PIMENTEL</t>
  </si>
  <si>
    <t>ROSANGELA</t>
  </si>
  <si>
    <t>Não</t>
  </si>
  <si>
    <t>WALLACE FONSECA</t>
  </si>
  <si>
    <t>PARC. 2/7</t>
  </si>
  <si>
    <t xml:space="preserve">MARIA TEREZA </t>
  </si>
  <si>
    <t>JULIANA PEDROSO</t>
  </si>
  <si>
    <t>JOANA MARIA</t>
  </si>
  <si>
    <t xml:space="preserve"> </t>
  </si>
  <si>
    <t xml:space="preserve">MARIA DE ALMEIDA </t>
  </si>
  <si>
    <t>PARC. 3/8</t>
  </si>
  <si>
    <t xml:space="preserve">rita de cassia </t>
  </si>
  <si>
    <t>PARC. 1/4</t>
  </si>
  <si>
    <t>INGRID SCHULZ</t>
  </si>
  <si>
    <t>LOURIVAL BORGES DA SILVA</t>
  </si>
  <si>
    <t>LARISSA</t>
  </si>
  <si>
    <t xml:space="preserve">RAQUEL CASTRO </t>
  </si>
  <si>
    <t>PARC. 3/3</t>
  </si>
  <si>
    <t>walter trello</t>
  </si>
  <si>
    <t>PARC. 9/10</t>
  </si>
  <si>
    <t>PARC. 10/10</t>
  </si>
  <si>
    <t>ERNESTINA ELIAS</t>
  </si>
  <si>
    <t>RICARDO R. BRAGA</t>
  </si>
  <si>
    <t>TATY</t>
  </si>
  <si>
    <t xml:space="preserve">MARIA DA CONCEIÇÃO </t>
  </si>
  <si>
    <t>ELISIO DE ALMEIDA</t>
  </si>
  <si>
    <t xml:space="preserve">CAMYLLE CARDOSO </t>
  </si>
  <si>
    <t>PARC. 2/2</t>
  </si>
  <si>
    <t>Fernando soares</t>
  </si>
  <si>
    <t>PARC. 2/3</t>
  </si>
  <si>
    <t>Sim</t>
  </si>
  <si>
    <t>NICOLY ARAUJO</t>
  </si>
  <si>
    <t>TAMIRES ARAUJO</t>
  </si>
  <si>
    <t>GENESIO DOS SANTOS</t>
  </si>
  <si>
    <t>PARC. 5/5</t>
  </si>
  <si>
    <t>ELISABETE MORAIS</t>
  </si>
  <si>
    <t>PARC. 7/8</t>
  </si>
  <si>
    <t>PARC. 8/8</t>
  </si>
  <si>
    <t>josefa larissa</t>
  </si>
  <si>
    <t>CHARLENE FERREIRA</t>
  </si>
  <si>
    <t>EDSON CATARINO</t>
  </si>
  <si>
    <t>KELVIN MATSUMOTO</t>
  </si>
  <si>
    <t>MARCIO EIHO</t>
  </si>
  <si>
    <t xml:space="preserve">MARCELO PATEZ </t>
  </si>
  <si>
    <t xml:space="preserve">ADRIA DAIANA </t>
  </si>
  <si>
    <t>MARIA JOSE MARTINS</t>
  </si>
  <si>
    <t>larissa</t>
  </si>
  <si>
    <t>MARCELIA DA CONCEIÇÃO</t>
  </si>
  <si>
    <t>PARC. 3/6</t>
  </si>
  <si>
    <t>3373</t>
  </si>
  <si>
    <t xml:space="preserve">MARIA APARECIDA </t>
  </si>
  <si>
    <t>3374</t>
  </si>
  <si>
    <t>ANTONIA RITA</t>
  </si>
  <si>
    <t>DEBORAH GUTTIEREZ</t>
  </si>
  <si>
    <t xml:space="preserve">ANA PAULA </t>
  </si>
  <si>
    <t xml:space="preserve">         </t>
  </si>
  <si>
    <t>MARCELO PATIZ</t>
  </si>
  <si>
    <t>MAGALI TELES PULIN</t>
  </si>
  <si>
    <t>SUELLEN RIBEIRO</t>
  </si>
  <si>
    <t>PARC. 1/3</t>
  </si>
  <si>
    <t>MATHEUS EMIDIO</t>
  </si>
  <si>
    <t>LAURA BEATRIZ</t>
  </si>
  <si>
    <t>JOAO MARCOS</t>
  </si>
  <si>
    <t>ANA MARIA DE SOUZA</t>
  </si>
  <si>
    <t>VANESSA CAROLINE</t>
  </si>
  <si>
    <t xml:space="preserve">SOLANGE APARECIDA </t>
  </si>
  <si>
    <t>ELENICE FERREIRA MOTA</t>
  </si>
  <si>
    <t>ANTONIA ARIENTE</t>
  </si>
  <si>
    <t>MARTA</t>
  </si>
  <si>
    <t>GARANTIA</t>
  </si>
  <si>
    <t>ALCIONE DE JESUS</t>
  </si>
  <si>
    <t>PARC. 6/6</t>
  </si>
  <si>
    <t>LURDES PEREIRA</t>
  </si>
  <si>
    <t>CAMILA DOS SANTOS</t>
  </si>
  <si>
    <t>ORLANDO FRAGOSO</t>
  </si>
  <si>
    <t>ZILDA SILVA DOS SANTOS</t>
  </si>
  <si>
    <t>ANEXO</t>
  </si>
  <si>
    <t>Rosangela</t>
  </si>
  <si>
    <t>LORRAINE NADINE</t>
  </si>
  <si>
    <t>PARC. 1/5</t>
  </si>
  <si>
    <t>garantia</t>
  </si>
  <si>
    <t>lourival borges</t>
  </si>
  <si>
    <t>RUDSON SANTOS</t>
  </si>
  <si>
    <t>MIRIAM MADEIRA</t>
  </si>
  <si>
    <t>SUELLEN FERREIRA</t>
  </si>
  <si>
    <t>MAURA XAVIER DA MATA</t>
  </si>
  <si>
    <t xml:space="preserve">ROSÃNGELA </t>
  </si>
  <si>
    <t xml:space="preserve">GABRIEL VIGILLATO </t>
  </si>
  <si>
    <t>RICARDO BRAGA</t>
  </si>
  <si>
    <t>ANDREA MARTINS SOUZA</t>
  </si>
  <si>
    <t>MARIA DE FATMA</t>
  </si>
  <si>
    <t>JONATHAN SANTOS</t>
  </si>
  <si>
    <t>PARC. 2/4</t>
  </si>
  <si>
    <t>SILVANA RIBEIRO</t>
  </si>
  <si>
    <t>KEVIN MATSUMOTO</t>
  </si>
  <si>
    <t>RAQUEL MENDONÇA</t>
  </si>
  <si>
    <t>PARC. 4/5</t>
  </si>
  <si>
    <t>RAYSA ALVES</t>
  </si>
  <si>
    <t xml:space="preserve">GABRIEL MESSIAS </t>
  </si>
  <si>
    <t>AMANDA MACEDO</t>
  </si>
  <si>
    <t>ANA PAULA LOPES</t>
  </si>
  <si>
    <t>ROSELI ELIAS</t>
  </si>
  <si>
    <t>JURACY PINHEIRO SILVA</t>
  </si>
  <si>
    <t>MARCELO PATEZ</t>
  </si>
  <si>
    <t>JAQUELINE STEPHANE</t>
  </si>
  <si>
    <t>Tipo Pagto</t>
  </si>
  <si>
    <t>descricao</t>
  </si>
  <si>
    <t xml:space="preserve">Parcelas </t>
  </si>
  <si>
    <t>Dinheiro</t>
  </si>
  <si>
    <t>PARC. 1/1</t>
  </si>
  <si>
    <t>Cartão Débito</t>
  </si>
  <si>
    <t>PARC. 1/2</t>
  </si>
  <si>
    <t>Cartão Crédito</t>
  </si>
  <si>
    <t>Parcelado Cartão Crédito</t>
  </si>
  <si>
    <t>SS</t>
  </si>
  <si>
    <t>Sem Sinal</t>
  </si>
  <si>
    <t xml:space="preserve">Carne </t>
  </si>
  <si>
    <t>Todas as Garantias</t>
  </si>
  <si>
    <t>PARC. 3/4</t>
  </si>
  <si>
    <t>PARC. 4/4</t>
  </si>
  <si>
    <t>PARC. 2/5</t>
  </si>
  <si>
    <t>PARC. 3/5</t>
  </si>
  <si>
    <t>PARC. 1/6</t>
  </si>
  <si>
    <t>PARC. 2/6</t>
  </si>
  <si>
    <t>PARC. 4/6</t>
  </si>
  <si>
    <t>PARC. 5/6</t>
  </si>
  <si>
    <t>PARC. 1/7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</si>
  <si>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</si>
  <si>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</si>
  <si>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</si>
  <si>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</si>
  <si>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</si>
  <si>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</si>
  <si>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</si>
  <si>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4/8</t>
  </si>
  <si>
    <t>PARC. 5/8</t>
  </si>
  <si>
    <t>PARC. 6/8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</si>
  <si>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</si>
  <si>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</si>
  <si>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</si>
  <si>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</si>
  <si>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</si>
  <si>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</si>
  <si>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</si>
  <si>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</si>
  <si>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</si>
  <si>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</si>
  <si>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</si>
  <si>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</si>
  <si>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</si>
  <si>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</si>
  <si>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</si>
  <si>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</si>
  <si>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</si>
  <si>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</si>
  <si>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</si>
  <si>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</si>
  <si>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</si>
  <si>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</si>
  <si>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</si>
  <si>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</si>
  <si>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</si>
  <si>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</si>
  <si>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</si>
  <si>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</si>
  <si>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</si>
  <si>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</si>
  <si>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</si>
  <si>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</si>
  <si>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</si>
  <si>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</si>
  <si>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</si>
  <si>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</si>
  <si>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</si>
  <si>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</si>
  <si>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</si>
  <si>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</si>
  <si>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CECILIA OLIVEIRA DE LIMA</t>
  </si>
  <si>
    <t xml:space="preserve">MARIA DE  ALMEIDA </t>
  </si>
  <si>
    <t>GABRIEL VIGILLATO</t>
  </si>
  <si>
    <t>ELAINE BRENELLE</t>
  </si>
  <si>
    <t>SAMIRA ASAD</t>
  </si>
  <si>
    <t>MARCELA SALES</t>
  </si>
  <si>
    <t xml:space="preserve">ELIANA DOS SANTOS </t>
  </si>
  <si>
    <t>EMERSON BULCAO GOMES</t>
  </si>
  <si>
    <t>LORRANE LOREN</t>
  </si>
  <si>
    <t>Ana Maria de Souza Nascimento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</si>
</sst>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1"/>
      <name val="Arial"/>
      <family val="2"/>
    </font>
    <font>
      <sz val="18"/>
      <name val="Arial Black"/>
      <family val="2"/>
    </font>
    <font>
      <sz val="8"/>
      <name val="Arial"/>
      <family val="2"/>
    </font>
    <font>
      <sz val="11"/>
      <name val="Arial Black"/>
      <family val="2"/>
    </font>
    <font>
      <sz val="12"/>
      <name val="Arial Black"/>
      <family val="2"/>
    </font>
    <font>
      <b/>
      <i/>
      <sz val="11"/>
      <name val="Calibri"/>
      <family val="2"/>
    </font>
    <font>
      <sz val="20"/>
      <name val="Arial Black"/>
      <family val="2"/>
    </font>
    <font>
      <b/>
      <i/>
      <sz val="12"/>
      <name val="Arial"/>
      <family val="2"/>
    </font>
    <font>
      <b/>
      <i/>
      <sz val="11"/>
      <name val="Calibri"/>
      <family val="2"/>
      <scheme val="minor"/>
    </font>
    <font>
      <u/>
      <sz val="24"/>
      <name val="Castellar"/>
      <family val="1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9" fontId="31" fillId="0" borderId="13" xfId="39" applyNumberFormat="1" applyFont="1" applyFill="1" applyBorder="1" applyAlignment="1">
      <alignment horizontal="center"/>
    </xf>
    <xf numFmtId="44" fontId="31" fillId="0" borderId="13" xfId="39" applyFont="1" applyFill="1" applyBorder="1" applyAlignment="1">
      <alignment horizontal="center"/>
    </xf>
    <xf numFmtId="165" fontId="31" fillId="0" borderId="13" xfId="4" applyNumberFormat="1" applyFont="1" applyFill="1" applyBorder="1" applyAlignment="1">
      <alignment horizontal="center"/>
    </xf>
    <xf numFmtId="49" fontId="31" fillId="0" borderId="17" xfId="39" applyNumberFormat="1" applyFont="1" applyFill="1" applyBorder="1" applyAlignment="1">
      <alignment horizontal="center"/>
    </xf>
    <xf numFmtId="44" fontId="31" fillId="0" borderId="17" xfId="39" applyFont="1" applyFill="1" applyBorder="1" applyAlignment="1">
      <alignment horizontal="center"/>
    </xf>
    <xf numFmtId="165" fontId="31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1" fillId="0" borderId="17" xfId="39" applyNumberFormat="1" applyFont="1" applyFill="1" applyBorder="1" applyAlignment="1">
      <alignment horizontal="center"/>
    </xf>
    <xf numFmtId="14" fontId="32" fillId="0" borderId="0" xfId="0" applyNumberFormat="1" applyFont="1" applyAlignment="1">
      <alignment horizontal="center"/>
    </xf>
    <xf numFmtId="164" fontId="0" fillId="0" borderId="17" xfId="2" applyFont="1" applyFill="1" applyBorder="1" applyAlignment="1">
      <alignment horizontal="center"/>
    </xf>
    <xf numFmtId="0" fontId="34" fillId="0" borderId="17" xfId="0" applyFont="1" applyBorder="1" applyAlignment="1">
      <alignment horizontal="center"/>
    </xf>
    <xf numFmtId="165" fontId="34" fillId="0" borderId="17" xfId="0" applyNumberFormat="1" applyFont="1" applyBorder="1" applyAlignment="1">
      <alignment horizontal="center"/>
    </xf>
    <xf numFmtId="165" fontId="34" fillId="0" borderId="6" xfId="0" applyNumberFormat="1" applyFont="1" applyBorder="1" applyAlignment="1">
      <alignment horizontal="center"/>
    </xf>
    <xf numFmtId="0" fontId="35" fillId="0" borderId="17" xfId="0" applyFont="1" applyBorder="1" applyAlignment="1">
      <alignment horizontal="center"/>
    </xf>
    <xf numFmtId="0" fontId="24" fillId="0" borderId="13" xfId="0" applyFont="1" applyBorder="1" applyAlignment="1">
      <alignment horizontal="center"/>
    </xf>
    <xf numFmtId="0" fontId="36" fillId="0" borderId="17" xfId="0" applyFont="1" applyBorder="1" applyAlignment="1">
      <alignment horizontal="center"/>
    </xf>
    <xf numFmtId="14" fontId="37" fillId="0" borderId="0" xfId="0" applyNumberFormat="1" applyFont="1" applyAlignment="1">
      <alignment horizontal="center"/>
    </xf>
    <xf numFmtId="0" fontId="30" fillId="0" borderId="13" xfId="0" applyFont="1" applyBorder="1" applyAlignment="1">
      <alignment horizontal="center"/>
    </xf>
    <xf numFmtId="44" fontId="13" fillId="0" borderId="13" xfId="39" applyFont="1" applyFill="1" applyBorder="1" applyAlignment="1">
      <alignment horizontal="center"/>
    </xf>
    <xf numFmtId="165" fontId="13" fillId="0" borderId="13" xfId="4" applyNumberFormat="1" applyFont="1" applyFill="1" applyBorder="1" applyAlignment="1">
      <alignment horizontal="center"/>
    </xf>
    <xf numFmtId="0" fontId="38" fillId="0" borderId="17" xfId="0" applyFont="1" applyBorder="1" applyAlignment="1">
      <alignment horizontal="center"/>
    </xf>
    <xf numFmtId="164" fontId="39" fillId="0" borderId="17" xfId="2" applyFont="1" applyFill="1" applyBorder="1" applyAlignment="1">
      <alignment horizontal="center"/>
    </xf>
    <xf numFmtId="165" fontId="39" fillId="0" borderId="17" xfId="4" applyNumberFormat="1" applyFont="1" applyFill="1" applyBorder="1" applyAlignment="1">
      <alignment horizontal="center"/>
    </xf>
    <xf numFmtId="14" fontId="40" fillId="0" borderId="0" xfId="0" applyNumberFormat="1" applyFont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6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9" xr:uid="{294C70F8-C43F-4F47-91A4-96C60F098972}" name="vend31190" displayName="vend31190" ref="E5:I22" totalsRowShown="0" headerRowDxfId="1644" dataDxfId="1642" headerRowBorderDxfId="1643" tableBorderDxfId="1641" totalsRowBorderDxfId="1640">
  <autoFilter ref="E5:I22" xr:uid="{294C70F8-C43F-4F47-91A4-96C60F098972}"/>
  <sortState xmlns:xlrd2="http://schemas.microsoft.com/office/spreadsheetml/2017/richdata2" ref="E6:I22">
    <sortCondition ref="E5:E22"/>
  </sortState>
  <tableColumns count="5">
    <tableColumn id="1" xr3:uid="{6E5ED2EF-7EA0-4A87-8110-090EA09B43EC}" name="Nº Venda" dataDxfId="1639" dataCellStyle="Moeda"/>
    <tableColumn id="5" xr3:uid="{45BECD08-8ABE-4A34-BD78-E2D3AFB8C62A}" name="Cliente" dataDxfId="1638" dataCellStyle="Moeda"/>
    <tableColumn id="2" xr3:uid="{A0D6666C-9CF7-4343-AF6B-BDFE62F94469}" name="Forma de Pgto" dataDxfId="1637" dataCellStyle="Moeda"/>
    <tableColumn id="3" xr3:uid="{988F127F-9D83-4428-BB94-C16FBBB1BD89}" name="Valor Venda" dataDxfId="1636" dataCellStyle="Porcentagem"/>
    <tableColumn id="4" xr3:uid="{6A2928C3-17B0-4FA3-B60C-9E1A2C0324E1}" name="Entrada" dataDxfId="1635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0" xr:uid="{DD403130-B35C-452C-92F9-290622D77A3D}" name="desp31191" displayName="desp31191" ref="K5:M11" totalsRowShown="0" headerRowDxfId="1634" dataDxfId="1632" headerRowBorderDxfId="1633" tableBorderDxfId="1631" totalsRowBorderDxfId="1630">
  <autoFilter ref="K5:M11" xr:uid="{DD403130-B35C-452C-92F9-290622D77A3D}"/>
  <tableColumns count="3">
    <tableColumn id="1" xr3:uid="{FAD87634-3375-4B41-BEC0-5B072F6B52CE}" name="Descrição" dataDxfId="1629"/>
    <tableColumn id="2" xr3:uid="{7688071E-9548-4552-8BB1-3BA5128DF645}" name="Tipo de Pagto" dataDxfId="1628"/>
    <tableColumn id="3" xr3:uid="{2B260C33-79A5-4C5D-9195-15780C53A861}" name="Valor" dataDxfId="1627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1" xr:uid="{75B132F8-62F0-47DD-A18D-9304BED6841B}" name="rest_entr31192" displayName="rest_entr31192" ref="E25:I31" totalsRowShown="0" headerRowDxfId="1626" dataDxfId="1624" headerRowBorderDxfId="1625" tableBorderDxfId="1623" totalsRowBorderDxfId="1622">
  <autoFilter ref="E25:I31" xr:uid="{75B132F8-62F0-47DD-A18D-9304BED6841B}"/>
  <sortState xmlns:xlrd2="http://schemas.microsoft.com/office/spreadsheetml/2017/richdata2" ref="E26:I31">
    <sortCondition ref="E25:E31"/>
  </sortState>
  <tableColumns count="5">
    <tableColumn id="1" xr3:uid="{D7F6D48C-C197-417A-AB98-D6FB7CC73F28}" name="Nº Venda" dataDxfId="1621"/>
    <tableColumn id="2" xr3:uid="{606BE417-6802-4580-90D2-86F95EFAAEB7}" name="Cliente" dataDxfId="1620"/>
    <tableColumn id="3" xr3:uid="{2F522A54-F708-4DA3-97E3-CE7C29912E04}" name="Forma de Pgto" dataDxfId="1619" dataCellStyle="Moeda"/>
    <tableColumn id="4" xr3:uid="{7B46EE64-F7F1-4449-A783-67286A94A7C4}" name="Valor Venda" dataDxfId="1618" dataCellStyle="Porcentagem"/>
    <tableColumn id="5" xr3:uid="{389A7D1A-3C35-485E-9958-8A78EF77BE9B}" name="Entrada" dataDxfId="1617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2" xr:uid="{F07D43AD-1A4D-4B31-96B8-824F8623E518}" name="os_entr_dia31193" displayName="os_entr_dia31193" ref="K14:M31" totalsRowShown="0" headerRowDxfId="1616" dataDxfId="1614" headerRowBorderDxfId="1615" tableBorderDxfId="1613" totalsRowBorderDxfId="1612">
  <autoFilter ref="K14:M31" xr:uid="{F07D43AD-1A4D-4B31-96B8-824F8623E518}"/>
  <tableColumns count="3">
    <tableColumn id="1" xr3:uid="{3AF01421-A7B6-4D23-9DA8-C20FAFAFDD9C}" name="OS" dataDxfId="1611"/>
    <tableColumn id="2" xr3:uid="{55DCC30E-EB52-427E-A16A-B2C93A41F1CE}" name="Vendedor" dataDxfId="1610"/>
    <tableColumn id="3" xr3:uid="{23EDA46C-42B4-4F6C-97D9-7040D6B9797C}" name="CARNE" dataDxfId="1609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3" xr:uid="{160070D3-12DB-4B84-9ECC-6FB01084295E}" name="rec_carn31194" displayName="rec_carn31194" ref="E34:I41" totalsRowShown="0" headerRowDxfId="1608" dataDxfId="1606" headerRowBorderDxfId="1607" tableBorderDxfId="1605" totalsRowBorderDxfId="1604">
  <autoFilter ref="E34:I41" xr:uid="{160070D3-12DB-4B84-9ECC-6FB01084295E}"/>
  <sortState xmlns:xlrd2="http://schemas.microsoft.com/office/spreadsheetml/2017/richdata2" ref="E35:I40">
    <sortCondition ref="E25:E31"/>
  </sortState>
  <tableColumns count="5">
    <tableColumn id="1" xr3:uid="{BB49FC7C-C2C1-4464-B507-93763DA8CB96}" name="OS" dataDxfId="1603"/>
    <tableColumn id="2" xr3:uid="{FBA6EA78-F44B-4D22-A27A-92A91C10551F}" name="Cliente" dataDxfId="1602"/>
    <tableColumn id="3" xr3:uid="{749B4D89-29B3-4987-91D3-6BA3C44D9B96}" name="Forma de Pgto" dataDxfId="1601" dataCellStyle="Moeda"/>
    <tableColumn id="4" xr3:uid="{A84A6598-B291-4809-A78D-AB810461733D}" name="Valor Parcela" dataDxfId="1600" dataCellStyle="Porcentagem"/>
    <tableColumn id="5" xr3:uid="{3C45FEEC-5E06-4ED7-87CD-0097DB6BC817}" name="Nº Parcela" dataDxfId="1599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4" xr:uid="{42BA126A-AECD-4CD6-8583-BD2352D82FB9}" name="entr_carn31195" displayName="entr_carn31195" ref="K34:M41" totalsRowShown="0" headerRowDxfId="1598" headerRowBorderDxfId="1597" tableBorderDxfId="1596" totalsRowBorderDxfId="1595">
  <autoFilter ref="K34:M41" xr:uid="{42BA126A-AECD-4CD6-8583-BD2352D82FB9}"/>
  <tableColumns count="3">
    <tableColumn id="1" xr3:uid="{0989D88A-7CB7-4008-94FC-B7FFB3CAE582}" name="OS" dataDxfId="1594"/>
    <tableColumn id="2" xr3:uid="{AC9D76CC-A537-4210-9893-E8C57DA30B4D}" name="Parcelas" dataDxfId="1593"/>
    <tableColumn id="3" xr3:uid="{D4D72E6E-DAE0-4860-8606-BFD8E469AE3D}" name="Valor Total" dataDxfId="1592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86" dataCellStyle="Moeda"/>
    <tableColumn id="5" xr3:uid="{62DCD49D-7CD9-4268-A2D5-B3A594E461BB}" name="Cliente" dataDxfId="1585" dataCellStyle="Moeda"/>
    <tableColumn id="2" xr3:uid="{50D45495-B1A2-4885-996A-3E6DD92E280E}" name="Forma de Pgto" dataDxfId="1584" dataCellStyle="Moeda"/>
    <tableColumn id="3" xr3:uid="{DE57E226-692B-42B0-911E-ACCF59BC6D86}" name="Valor Venda" dataDxfId="1583" dataCellStyle="Porcentagem"/>
    <tableColumn id="4" xr3:uid="{CE230B3B-D2C9-4A92-A5F3-A5EE4A74409A}" name="Entrada" dataDxfId="1582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58E2E66D-9AC0-4A69-BF19-1AB9AD59BA2F}" name="Descrição" dataDxfId="1576"/>
    <tableColumn id="2" xr3:uid="{FE1E3124-46C3-49A6-AE83-7C14B341DF59}" name="Tipo de Pagto" dataDxfId="1575"/>
    <tableColumn id="3" xr3:uid="{D8FBF474-04EE-46ED-9B9E-791D937CF715}" name="Valor" dataDxfId="1574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68"/>
    <tableColumn id="2" xr3:uid="{595EF087-A3B2-4C2B-AEEA-F930A6C2F5F4}" name="Cliente" dataDxfId="1567"/>
    <tableColumn id="3" xr3:uid="{C5C2BC75-6E8D-4808-A5EE-A5F9251ECE6C}" name="Forma de Pgto" dataDxfId="1566" dataCellStyle="Moeda"/>
    <tableColumn id="4" xr3:uid="{20CF776B-B9F4-48DD-9379-961689B40B71}" name="Valor Venda" dataDxfId="1565" dataCellStyle="Porcentagem"/>
    <tableColumn id="5" xr3:uid="{65177CB6-6D07-42E6-8EFE-435282A2F5BA}" name="Entrada" dataDxfId="1564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B4C5A0E6-F291-4369-998D-321E2024DFE1}" name="OS" dataDxfId="1558"/>
    <tableColumn id="2" xr3:uid="{D1AEFC99-FF9D-4A0D-BE93-D866BDC7A817}" name="Vendedor" dataDxfId="1557"/>
    <tableColumn id="3" xr3:uid="{CA30546E-8A3F-45D5-BE2B-24DCF738F1F2}" name="CARNE" dataDxfId="1556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550"/>
    <tableColumn id="2" xr3:uid="{7D38F106-0145-4B73-951B-86BF22EC7FAB}" name="Cliente" dataDxfId="1549"/>
    <tableColumn id="3" xr3:uid="{11A4EEBE-D35C-4719-B2B9-16486260EF79}" name="Forma de Pgto" dataDxfId="1548" dataCellStyle="Moeda"/>
    <tableColumn id="4" xr3:uid="{1BAB2FC5-9F2C-41DD-994A-6BA83A984883}" name="Valor Parcela" dataDxfId="1547" dataCellStyle="Porcentagem"/>
    <tableColumn id="5" xr3:uid="{8C539F89-5F96-4DB9-B7A4-784EA1B5350C}" name="Nº Parcela" dataDxfId="1546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545" headerRowBorderDxfId="1544" tableBorderDxfId="1543" totalsRowBorderDxfId="1542">
  <autoFilter ref="K34:M41" xr:uid="{1B8643D4-6AC3-4029-882A-C62E9D7CB225}"/>
  <tableColumns count="3">
    <tableColumn id="1" xr3:uid="{0B93901B-D681-410F-8B28-E186D9A3CAC3}" name="OS" dataDxfId="1541"/>
    <tableColumn id="2" xr3:uid="{A57C0E02-6258-48F0-9407-2095CD96B2D4}" name="Parcelas" dataDxfId="1540"/>
    <tableColumn id="3" xr3:uid="{1EA087CF-658D-4951-89BB-508667E3BBBE}" name="Valor Total" dataDxfId="1539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533" dataCellStyle="Moeda"/>
    <tableColumn id="5" xr3:uid="{98DC42E5-632F-4288-9CC5-1F032859A7E7}" name="Cliente" dataDxfId="1532" dataCellStyle="Moeda"/>
    <tableColumn id="2" xr3:uid="{4AE32B81-9EBD-470B-9ABE-A82D6658F3FE}" name="Forma de Pgto" dataDxfId="1531" dataCellStyle="Moeda"/>
    <tableColumn id="3" xr3:uid="{6E5BAEC1-2689-4ABB-93EC-298595B5C82E}" name="Valor Venda" dataDxfId="1530" dataCellStyle="Porcentagem"/>
    <tableColumn id="4" xr3:uid="{24493E7B-FE77-4A85-8810-0F0A4A84D997}" name="Entrada" dataDxfId="1529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DA50BBFB-ECA9-45DE-9949-F3F90EEC3BA7}" name="Descrição" dataDxfId="1523"/>
    <tableColumn id="2" xr3:uid="{A64D4F88-B62D-440B-BA71-6D7BB28D542E}" name="Tipo de Pagto" dataDxfId="1522"/>
    <tableColumn id="3" xr3:uid="{0406A209-0652-47F9-9AB4-3256B26876D2}" name="Valor" dataDxfId="1521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515"/>
    <tableColumn id="2" xr3:uid="{8B8D24E4-1123-478B-838C-FCF56EABBDFD}" name="Cliente" dataDxfId="1514"/>
    <tableColumn id="3" xr3:uid="{8B7DE8DF-8D5D-4245-A63D-EF550AE347E3}" name="Forma de Pgto" dataDxfId="1513" dataCellStyle="Moeda"/>
    <tableColumn id="4" xr3:uid="{95A77C0C-49D0-45A2-8B99-A765C4741CE7}" name="Valor Venda" dataDxfId="1512" dataCellStyle="Porcentagem"/>
    <tableColumn id="5" xr3:uid="{FF4FDD32-DA70-4723-A8FB-07B3FB04B5CD}" name="Entrada" dataDxfId="1511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A31E67F7-E266-4220-8D3F-09556FCE20B1}" name="OS" dataDxfId="1505"/>
    <tableColumn id="2" xr3:uid="{2ED39269-8DA5-4157-9E82-8C8ED0C828A3}" name="Vendedor" dataDxfId="1504"/>
    <tableColumn id="3" xr3:uid="{F550B35D-6F70-4E2E-9037-3A7DF5BB4D86}" name="CARNE" dataDxfId="1503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97"/>
    <tableColumn id="2" xr3:uid="{58D563AD-1DCA-4768-9170-A0079A20A1DF}" name="Cliente" dataDxfId="1496"/>
    <tableColumn id="3" xr3:uid="{FE883FCE-942C-4DE5-904D-B12FE6C4992D}" name="Forma de Pgto" dataDxfId="1495" dataCellStyle="Moeda"/>
    <tableColumn id="4" xr3:uid="{21451B08-4DF0-4C35-AC45-94C183AA6A59}" name="Valor Parcela" dataDxfId="1494" dataCellStyle="Porcentagem"/>
    <tableColumn id="5" xr3:uid="{8F93C3AE-47D0-4E55-A038-445341804CE9}" name="Nº Parcela" dataDxfId="1493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92" headerRowBorderDxfId="1491" tableBorderDxfId="1490" totalsRowBorderDxfId="1489">
  <autoFilter ref="K34:M41" xr:uid="{1B8643D4-6AC3-4029-882A-C62E9D7CB225}"/>
  <tableColumns count="3">
    <tableColumn id="1" xr3:uid="{2687574F-C0F9-4AD1-A54B-286C1AE50D97}" name="OS" dataDxfId="1488"/>
    <tableColumn id="2" xr3:uid="{AE623FF4-38C1-45D9-B220-1CD4A553B7C1}" name="Parcelas" dataDxfId="1487"/>
    <tableColumn id="3" xr3:uid="{EEBFC521-3084-43FF-A36B-C25CE198B817}" name="Valor Total" dataDxfId="1486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80" dataCellStyle="Moeda"/>
    <tableColumn id="5" xr3:uid="{F5DA840E-A051-4AE4-AE1A-9DAFAF8FFC3B}" name="Cliente" dataDxfId="1479" dataCellStyle="Moeda"/>
    <tableColumn id="2" xr3:uid="{DF65CD3D-444A-4025-B98B-F38F11610432}" name="Forma de Pgto" dataDxfId="1478" dataCellStyle="Moeda"/>
    <tableColumn id="3" xr3:uid="{9A4839DC-9153-466A-B0AF-456FAEF79174}" name="Valor Venda" dataDxfId="1477" dataCellStyle="Porcentagem"/>
    <tableColumn id="4" xr3:uid="{EF410A7C-DBD1-4367-A43B-616826FFEB4F}" name="Entrada" dataDxfId="1476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F1C90853-2F5A-4C32-8AC3-18ECE1FDDF43}" name="Descrição" dataDxfId="1470"/>
    <tableColumn id="2" xr3:uid="{DEB32F17-2D52-4FBB-90C4-1C3AE9C104E6}" name="Tipo de Pagto" dataDxfId="1469"/>
    <tableColumn id="3" xr3:uid="{089B3650-C090-496F-BF9A-6E8466DBF76A}" name="Valor" dataDxfId="1468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62"/>
    <tableColumn id="2" xr3:uid="{73AEC7DD-005C-4428-9D1D-1A3761F2192B}" name="Cliente" dataDxfId="1461"/>
    <tableColumn id="3" xr3:uid="{FA28017F-3137-49BD-B826-2E261901E543}" name="Forma de Pgto" dataDxfId="1460" dataCellStyle="Moeda"/>
    <tableColumn id="4" xr3:uid="{6030418B-B1EC-4D4D-96DF-0EB78B87F6F9}" name="Valor Venda" dataDxfId="1459" dataCellStyle="Porcentagem"/>
    <tableColumn id="5" xr3:uid="{0576A975-F40D-4463-85C0-76AB6FCD63AC}" name="Entrada" dataDxfId="1458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830E23BA-DE90-49EF-B4EA-89C3276575B2}" name="OS" dataDxfId="1452"/>
    <tableColumn id="2" xr3:uid="{679AF5A0-4545-4316-AD6C-E4B7A7BA099A}" name="Vendedor" dataDxfId="1451"/>
    <tableColumn id="3" xr3:uid="{6B801D58-D05B-4A78-A6FE-BC9EF408DC10}" name="CARNE" dataDxfId="1450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444"/>
    <tableColumn id="2" xr3:uid="{953837B7-D16A-40C2-9C83-CD7E7171C88F}" name="Cliente" dataDxfId="1443"/>
    <tableColumn id="3" xr3:uid="{63860264-C651-4A12-8F01-E9F622A843C0}" name="Forma de Pgto" dataDxfId="1442" dataCellStyle="Moeda"/>
    <tableColumn id="4" xr3:uid="{584373BD-23BA-4A1E-A4FC-3D4A594F4148}" name="Valor Parcela" dataDxfId="1441" dataCellStyle="Porcentagem"/>
    <tableColumn id="5" xr3:uid="{7CBAF04B-D82E-4180-A8EA-98461BE41F4A}" name="Nº Parcela" dataDxfId="1440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439" headerRowBorderDxfId="1438" tableBorderDxfId="1437" totalsRowBorderDxfId="1436">
  <autoFilter ref="K34:M41" xr:uid="{1B8643D4-6AC3-4029-882A-C62E9D7CB225}"/>
  <tableColumns count="3">
    <tableColumn id="1" xr3:uid="{F555359C-BC20-4C24-A948-500BDD3B5763}" name="OS" dataDxfId="1435"/>
    <tableColumn id="2" xr3:uid="{B72B4820-B8B5-4F80-83B5-9EC54EF78025}" name="Parcelas" dataDxfId="1434"/>
    <tableColumn id="3" xr3:uid="{893DDBC4-5663-4D63-80CB-4E7482811983}" name="Valor Total" dataDxfId="1433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427" dataCellStyle="Moeda"/>
    <tableColumn id="5" xr3:uid="{4F9ED826-A0E1-4FB0-83C6-A561EA7B6750}" name="Cliente" dataDxfId="1426" dataCellStyle="Moeda"/>
    <tableColumn id="2" xr3:uid="{C2B928FE-CB2E-4271-AE3D-2FE26117248E}" name="Forma de Pgto" dataDxfId="1425" dataCellStyle="Moeda"/>
    <tableColumn id="3" xr3:uid="{CE23E3D0-4056-4DCB-83C4-5B94BD49CAAC}" name="Valor Venda" dataDxfId="1424" dataCellStyle="Porcentagem"/>
    <tableColumn id="4" xr3:uid="{1F426340-BFB9-4B9E-B988-7A195156D2F2}" name="Entrada" dataDxfId="1423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4C840DC-E06E-4A51-B1BF-E769E4EC9ACB}" name="Descrição" dataDxfId="1417"/>
    <tableColumn id="2" xr3:uid="{E6DE1F07-CE97-421A-A22A-4B4270DDF46D}" name="Tipo de Pagto" dataDxfId="1416"/>
    <tableColumn id="3" xr3:uid="{D84FBA92-07C5-41FD-BBA2-2AADF245D1D6}" name="Valor" dataDxfId="1415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409"/>
    <tableColumn id="2" xr3:uid="{CD77FB12-1DAA-4DAF-B42A-0357959803DD}" name="Cliente" dataDxfId="1408"/>
    <tableColumn id="3" xr3:uid="{5F4C4F5C-C920-452A-B2BA-592AD2C18723}" name="Forma de Pgto" dataDxfId="1407" dataCellStyle="Moeda"/>
    <tableColumn id="4" xr3:uid="{3930B2F0-6049-4E02-92B1-EC55A5330B2C}" name="Valor Venda" dataDxfId="1406" dataCellStyle="Porcentagem"/>
    <tableColumn id="5" xr3:uid="{82EBAE08-64CA-459E-9015-FA8F61210D87}" name="Entrada" dataDxfId="1405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E0565617-EB8C-486F-838C-B370E84BC8A2}" name="OS" dataDxfId="1399"/>
    <tableColumn id="2" xr3:uid="{EA20833B-67D8-48B8-B6E4-54A10D0969E8}" name="Vendedor" dataDxfId="1398"/>
    <tableColumn id="3" xr3:uid="{8B1F8993-74A4-499F-AD5E-91A6051BA219}" name="CARNE" dataDxfId="1397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91"/>
    <tableColumn id="2" xr3:uid="{FB461660-91D6-4E31-81FF-113A17320EED}" name="Cliente" dataDxfId="1390"/>
    <tableColumn id="3" xr3:uid="{0A47D0C3-375B-4E2D-B5E9-2048252BC0D3}" name="Forma de Pgto" dataDxfId="1389" dataCellStyle="Moeda"/>
    <tableColumn id="4" xr3:uid="{F9C62ED5-C18D-465D-B7E4-0729BD7B3A10}" name="Valor Parcela" dataDxfId="1388" dataCellStyle="Porcentagem"/>
    <tableColumn id="5" xr3:uid="{DD9D513B-1645-445F-83E9-DC54C163BD4E}" name="Nº Parcela" dataDxfId="1387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86" headerRowBorderDxfId="1385" tableBorderDxfId="1384" totalsRowBorderDxfId="1383">
  <autoFilter ref="K34:M41" xr:uid="{1B8643D4-6AC3-4029-882A-C62E9D7CB225}"/>
  <tableColumns count="3">
    <tableColumn id="1" xr3:uid="{D65B195F-C059-40E5-A4CA-FE91C5DB43DB}" name="OS" dataDxfId="1382"/>
    <tableColumn id="2" xr3:uid="{A2A023CF-C61D-419E-ABB0-2F9CEE35150B}" name="Parcelas" dataDxfId="1381"/>
    <tableColumn id="3" xr3:uid="{F7D650A1-7C3D-42D0-B133-EB49D396C64F}" name="Valor Total" dataDxfId="1380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74" dataCellStyle="Moeda"/>
    <tableColumn id="5" xr3:uid="{FF96847D-D5C5-4F73-905C-E549112972E1}" name="Cliente" dataDxfId="1373" dataCellStyle="Moeda"/>
    <tableColumn id="2" xr3:uid="{1B47815A-C2E2-4886-9A6F-B2A7307F901E}" name="Forma de Pgto" dataDxfId="1372" dataCellStyle="Moeda"/>
    <tableColumn id="3" xr3:uid="{FD86C99A-4E69-452A-8D71-B939B84F2B55}" name="Valor Venda" dataDxfId="1371" dataCellStyle="Porcentagem"/>
    <tableColumn id="4" xr3:uid="{49ECBAAC-14EE-43F3-BE6F-974EF5F3E156}" name="Entrada" dataDxfId="1370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5236D397-E61A-4AA1-B99C-AD40093239F9}" name="Descrição" dataDxfId="1364"/>
    <tableColumn id="2" xr3:uid="{3341FC2A-819A-41AF-B8A9-B5A195B8D597}" name="Tipo de Pagto" dataDxfId="1363"/>
    <tableColumn id="3" xr3:uid="{D568CA16-B32B-4F86-9DE5-B8B3E9825745}" name="Valor" dataDxfId="1362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56"/>
    <tableColumn id="2" xr3:uid="{DEEB020C-2BC4-4E77-9557-B0FDBCF683E9}" name="Cliente" dataDxfId="1355"/>
    <tableColumn id="3" xr3:uid="{FC27FDBE-5194-4E32-AFD1-DB754ECCEF38}" name="Forma de Pgto" dataDxfId="1354" dataCellStyle="Moeda"/>
    <tableColumn id="4" xr3:uid="{489A4CE9-C3F1-4322-9639-D01F0935FB0E}" name="Valor Venda" dataDxfId="1353" dataCellStyle="Porcentagem"/>
    <tableColumn id="5" xr3:uid="{07E5F22F-7782-466E-98DB-48416B35B9C4}" name="Entrada" dataDxfId="1352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4926A1A-00A9-4844-90B1-E36D53050FAD}" name="OS" dataDxfId="1346"/>
    <tableColumn id="2" xr3:uid="{CFC62C38-9887-48E6-A3B8-42586D1EC066}" name="Vendedor" dataDxfId="1345"/>
    <tableColumn id="3" xr3:uid="{32577275-2002-496E-8AD4-5FE489DBC179}" name="CARNE" dataDxfId="1344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338"/>
    <tableColumn id="2" xr3:uid="{19438CD0-86D0-4CC4-9B41-5D756AC61E4D}" name="Cliente" dataDxfId="1337"/>
    <tableColumn id="3" xr3:uid="{59621200-4821-4583-9D35-A2EA6C27B52D}" name="Forma de Pgto" dataDxfId="1336" dataCellStyle="Moeda"/>
    <tableColumn id="4" xr3:uid="{35A817E7-6B21-48A7-863E-225DFEDD8B2A}" name="Valor Parcela" dataDxfId="1335" dataCellStyle="Porcentagem"/>
    <tableColumn id="5" xr3:uid="{77D80430-C5F8-4582-B3DF-9A9A9350F565}" name="Nº Parcela" dataDxfId="1334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333" headerRowBorderDxfId="1332" tableBorderDxfId="1331" totalsRowBorderDxfId="1330">
  <autoFilter ref="K34:M41" xr:uid="{1B8643D4-6AC3-4029-882A-C62E9D7CB225}"/>
  <tableColumns count="3">
    <tableColumn id="1" xr3:uid="{503F9F70-E540-4505-B65D-D233FCB88D5F}" name="OS" dataDxfId="1329"/>
    <tableColumn id="2" xr3:uid="{6A2B4927-D830-4C18-8831-6FE23BFAD877}" name="Parcelas" dataDxfId="1328"/>
    <tableColumn id="3" xr3:uid="{8E06E94A-FF62-4D13-8B11-C6CE2990FCDF}" name="Valor Total" dataDxfId="1327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321" dataCellStyle="Moeda"/>
    <tableColumn id="5" xr3:uid="{00000000-0010-0000-0900-000005000000}" name="Cliente" dataDxfId="1320" dataCellStyle="Moeda"/>
    <tableColumn id="2" xr3:uid="{00000000-0010-0000-0900-000002000000}" name="Forma de Pgto" dataDxfId="1319" dataCellStyle="Moeda"/>
    <tableColumn id="3" xr3:uid="{00000000-0010-0000-0900-000003000000}" name="Valor Venda" dataDxfId="1318" dataCellStyle="Porcentagem"/>
    <tableColumn id="4" xr3:uid="{00000000-0010-0000-0900-000004000000}" name="Entrada" dataDxfId="1317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00000000-0010-0000-0A00-000001000000}" name="Descrição" dataDxfId="1311"/>
    <tableColumn id="2" xr3:uid="{00000000-0010-0000-0A00-000002000000}" name="Tipo de Pagto" dataDxfId="1310"/>
    <tableColumn id="3" xr3:uid="{00000000-0010-0000-0A00-000003000000}" name="Valor" dataDxfId="1309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303"/>
    <tableColumn id="2" xr3:uid="{00000000-0010-0000-0B00-000002000000}" name="Cliente" dataDxfId="1302"/>
    <tableColumn id="3" xr3:uid="{00000000-0010-0000-0B00-000003000000}" name="Forma de Pgto" dataDxfId="1301" dataCellStyle="Moeda"/>
    <tableColumn id="4" xr3:uid="{00000000-0010-0000-0B00-000004000000}" name="Valor Venda" dataDxfId="1300" dataCellStyle="Porcentagem"/>
    <tableColumn id="5" xr3:uid="{00000000-0010-0000-0B00-000005000000}" name="Entrada" dataDxfId="1299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5EB8AC8-7F8E-49D1-A903-14124A5BA1B1}" name="OS" dataDxfId="1293"/>
    <tableColumn id="2" xr3:uid="{E1794679-294A-42ED-9D8F-4C0874170BFA}" name="Vendedor" dataDxfId="1292"/>
    <tableColumn id="3" xr3:uid="{CB411C23-941D-4548-984D-68460932D683}" name="CARNE" dataDxfId="1291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85"/>
    <tableColumn id="2" xr3:uid="{430FE27E-32BC-43B0-BB6E-CCBAB36B2A5A}" name="Cliente" dataDxfId="1284"/>
    <tableColumn id="3" xr3:uid="{568CECCF-BE0A-4266-A7C7-9359F722EA0F}" name="Forma de Pgto" dataDxfId="1283" dataCellStyle="Moeda"/>
    <tableColumn id="4" xr3:uid="{9CF4291A-8808-43DB-9F83-A7EB463C5F4A}" name="Valor Parcela" dataDxfId="1282" dataCellStyle="Porcentagem"/>
    <tableColumn id="5" xr3:uid="{736EA743-97FA-4800-BEDD-5C07EEB144A8}" name="Nº Parcela" dataDxfId="1281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80" headerRowBorderDxfId="1279" tableBorderDxfId="1278" totalsRowBorderDxfId="1277">
  <autoFilter ref="K34:M41" xr:uid="{1B8643D4-6AC3-4029-882A-C62E9D7CB225}"/>
  <tableColumns count="3">
    <tableColumn id="1" xr3:uid="{132FEC50-51B3-4AAA-BF48-63FA39ED861C}" name="OS" dataDxfId="1276"/>
    <tableColumn id="2" xr3:uid="{11276640-1C63-48D7-BE0B-1FE7C736A1A8}" name="Parcelas" dataDxfId="1275"/>
    <tableColumn id="3" xr3:uid="{96591591-9F74-40A6-B0B9-BA6D2106107F}" name="Valor Total" dataDxfId="1274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68" dataCellStyle="Moeda"/>
    <tableColumn id="5" xr3:uid="{795F9F6D-AAE5-4C61-A646-82BF506C503E}" name="Cliente" dataDxfId="1267" dataCellStyle="Moeda"/>
    <tableColumn id="2" xr3:uid="{DD13626B-6361-410E-BFB7-9E75436163A4}" name="Forma de Pgto" dataDxfId="1266" dataCellStyle="Moeda"/>
    <tableColumn id="3" xr3:uid="{8939280F-F6DC-4F66-ADDF-59F6A387460C}" name="Valor Venda" dataDxfId="1265" dataCellStyle="Porcentagem"/>
    <tableColumn id="4" xr3:uid="{FFC83B9E-825A-4058-BFEA-DA64D7159065}" name="Entrada" dataDxfId="1264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9309A091-2326-4B68-B8C9-B31CF2D72EAF}" name="Descrição" dataDxfId="1258"/>
    <tableColumn id="2" xr3:uid="{910D89CE-506B-440F-8EB2-31633D7CAD51}" name="Tipo de Pagto" dataDxfId="1257"/>
    <tableColumn id="3" xr3:uid="{7155C391-52F1-4F4A-84B1-7BBC44A35A99}" name="Valor" dataDxfId="1256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250"/>
    <tableColumn id="2" xr3:uid="{75B601B3-9668-4B1A-ADF2-17DA487A3413}" name="Cliente" dataDxfId="1249"/>
    <tableColumn id="3" xr3:uid="{64F47935-52AF-4AE3-9262-06D7472567D7}" name="Forma de Pgto" dataDxfId="1248" dataCellStyle="Moeda"/>
    <tableColumn id="4" xr3:uid="{9257AA0D-34DE-4B38-8406-BC1F561A53B3}" name="Valor Venda" dataDxfId="1247" dataCellStyle="Porcentagem"/>
    <tableColumn id="5" xr3:uid="{4C98958F-FB27-4968-81B6-D7CC6BBD2DAE}" name="Entrada" dataDxfId="1246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45B76297-FCE6-4684-80C4-601E84D95BB4}" name="OS" dataDxfId="1240"/>
    <tableColumn id="2" xr3:uid="{AEB024E2-EB15-40A6-B65B-468339937BD0}" name="Vendedor" dataDxfId="1239"/>
    <tableColumn id="3" xr3:uid="{ACDDDA2A-4116-4E25-B799-0071372A8FAA}" name="CARNE" dataDxfId="1238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232"/>
    <tableColumn id="2" xr3:uid="{A06C5B3A-A28C-4563-87C4-B63635D6E7B9}" name="Cliente" dataDxfId="1231"/>
    <tableColumn id="3" xr3:uid="{4AC120F2-6F4A-41F2-87D2-680E8D6F8D96}" name="Forma de Pgto" dataDxfId="1230" dataCellStyle="Moeda"/>
    <tableColumn id="4" xr3:uid="{17DB2EA9-C13D-4AEB-AB97-B4C907D16420}" name="Valor Parcela" dataDxfId="1229" dataCellStyle="Porcentagem"/>
    <tableColumn id="5" xr3:uid="{F6E09F06-2F23-4822-A9B4-D8898604A1E0}" name="Nº Parcela" dataDxfId="1228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227" headerRowBorderDxfId="1226" tableBorderDxfId="1225" totalsRowBorderDxfId="1224">
  <autoFilter ref="K34:M41" xr:uid="{1B8643D4-6AC3-4029-882A-C62E9D7CB225}"/>
  <tableColumns count="3">
    <tableColumn id="1" xr3:uid="{D0DE8F47-9BDA-4E4F-92E6-E2404F920F1B}" name="OS" dataDxfId="1223"/>
    <tableColumn id="2" xr3:uid="{43AD47D8-F738-4D39-8B0B-E0AC217D9D32}" name="Parcelas" dataDxfId="1222"/>
    <tableColumn id="3" xr3:uid="{024ED2FF-C4EC-44DC-9129-9BE8032DC4A5}" name="Valor Total" dataDxfId="1221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215" dataCellStyle="Moeda"/>
    <tableColumn id="5" xr3:uid="{C13AA79A-76C7-4954-B055-3EC7A6A9008A}" name="Cliente" dataDxfId="1214" dataCellStyle="Moeda"/>
    <tableColumn id="2" xr3:uid="{56D92948-0431-4E11-AC7A-A6D6B6D3D15E}" name="Forma de Pgto" dataDxfId="1213" dataCellStyle="Moeda"/>
    <tableColumn id="3" xr3:uid="{3348DA9C-6AA9-49E4-8450-E8BC22BC5F6C}" name="Valor Venda" dataDxfId="1212" dataCellStyle="Porcentagem"/>
    <tableColumn id="4" xr3:uid="{A03B4BE2-2B4F-4512-98ED-45C3754F4D2A}" name="Entrada" dataDxfId="1211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2700D0CD-8906-41BB-B51F-AAECD67A05FE}" name="Descrição" dataDxfId="1205"/>
    <tableColumn id="2" xr3:uid="{00E5FAC2-C7E2-44A6-AA64-460782F41E47}" name="Tipo de Pagto" dataDxfId="1204"/>
    <tableColumn id="3" xr3:uid="{70D30678-03EC-4DC1-BB28-EBD756D1976D}" name="Valor" dataDxfId="1203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97"/>
    <tableColumn id="2" xr3:uid="{59310BF7-C6CA-49AF-8D7C-32023868A553}" name="Cliente" dataDxfId="1196"/>
    <tableColumn id="3" xr3:uid="{C13BE163-BA03-41E0-A121-27164C58ABA3}" name="Forma de Pgto" dataDxfId="1195" dataCellStyle="Moeda"/>
    <tableColumn id="4" xr3:uid="{E9797482-8A01-4C8B-8B66-47DE3D38D78F}" name="Valor Venda" dataDxfId="1194" dataCellStyle="Porcentagem"/>
    <tableColumn id="5" xr3:uid="{864D3F67-D199-48BA-8E16-3EFBAC4AF8A2}" name="Entrada" dataDxfId="1193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92200504-6651-4517-B155-4C75687BBC1E}" name="OS" dataDxfId="1187"/>
    <tableColumn id="2" xr3:uid="{BE1934F5-5D06-41D6-9394-C4D383C8CD33}" name="Vendedor" dataDxfId="1186"/>
    <tableColumn id="3" xr3:uid="{F504E9B2-856C-4C10-AA72-D7A7B035B330}" name="CARNE" dataDxfId="1185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79"/>
    <tableColumn id="2" xr3:uid="{95B09C40-3752-47D7-9085-F5B42BC487DA}" name="Cliente" dataDxfId="1178"/>
    <tableColumn id="3" xr3:uid="{1A0B311C-327A-4C44-9D04-81730B41B9A2}" name="Forma de Pgto" dataDxfId="1177" dataCellStyle="Moeda"/>
    <tableColumn id="4" xr3:uid="{9A802666-F9A1-4EB6-824C-ECF60066044F}" name="Valor Parcela" dataDxfId="1176" dataCellStyle="Porcentagem"/>
    <tableColumn id="5" xr3:uid="{1CC0AF26-B599-4D4F-8BD5-BBE76DBCE085}" name="Nº Parcela" dataDxfId="1175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74" headerRowBorderDxfId="1173" tableBorderDxfId="1172" totalsRowBorderDxfId="1171">
  <autoFilter ref="K34:M41" xr:uid="{1B8643D4-6AC3-4029-882A-C62E9D7CB225}"/>
  <tableColumns count="3">
    <tableColumn id="1" xr3:uid="{D712257D-E310-4A34-972E-E8E3502C0E07}" name="OS" dataDxfId="1170"/>
    <tableColumn id="2" xr3:uid="{DE78D123-6817-4646-8C08-920B2F11524F}" name="Parcelas" dataDxfId="1169"/>
    <tableColumn id="3" xr3:uid="{5BFF5A3E-02FE-410E-B1DB-45BB5A31FC42}" name="Valor Total" dataDxfId="1168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62" dataCellStyle="Moeda"/>
    <tableColumn id="5" xr3:uid="{A57F8BDB-02F9-493C-AD6D-F47611C369D5}" name="Cliente" dataDxfId="1161" dataCellStyle="Moeda"/>
    <tableColumn id="2" xr3:uid="{3BF4EA26-026F-42E1-9B28-3FCC68B54E9F}" name="Forma de Pgto" dataDxfId="1160" dataCellStyle="Moeda"/>
    <tableColumn id="3" xr3:uid="{FD063076-8462-4774-B716-34AAD1738449}" name="Valor Venda" dataDxfId="1159" dataCellStyle="Porcentagem"/>
    <tableColumn id="4" xr3:uid="{690445E0-65B1-450A-A6D3-179070107086}" name="Entrada" dataDxfId="1158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5D510C76-887A-4F0A-A2F3-BD55732E9E85}" name="Descrição" dataDxfId="1152"/>
    <tableColumn id="2" xr3:uid="{F6C1F4A7-28F4-48F8-905E-708FA62EB574}" name="Tipo de Pagto" dataDxfId="1151"/>
    <tableColumn id="3" xr3:uid="{E62B0002-F6CD-4351-A9EA-673FC7C97B03}" name="Valor" dataDxfId="1150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144"/>
    <tableColumn id="2" xr3:uid="{822B50C3-46B7-46F0-8829-5293CCAFB21E}" name="Cliente" dataDxfId="1143"/>
    <tableColumn id="3" xr3:uid="{F2A36AB3-30D6-4C43-A466-18FF147EE075}" name="Forma de Pgto" dataDxfId="1142" dataCellStyle="Moeda"/>
    <tableColumn id="4" xr3:uid="{AD829CF8-2271-44F1-A1F1-4928D83ED658}" name="Valor Venda" dataDxfId="1141" dataCellStyle="Porcentagem"/>
    <tableColumn id="5" xr3:uid="{7973C843-3740-4AE2-931D-89DE845BA145}" name="Entrada" dataDxfId="1140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404BEA27-9F48-40AC-AF84-177E7CA2ADEC}" name="OS" dataDxfId="1134"/>
    <tableColumn id="2" xr3:uid="{BC07784A-25E9-4C57-B0FF-1E3D183BCD37}" name="Vendedor" dataDxfId="1133"/>
    <tableColumn id="3" xr3:uid="{EFFF7860-5B35-466B-BA53-4485DC02FB15}" name="CARNE" dataDxfId="1132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126"/>
    <tableColumn id="2" xr3:uid="{A8D4686B-F05E-4D96-BDB9-FD354C9E28B8}" name="Cliente" dataDxfId="1125"/>
    <tableColumn id="3" xr3:uid="{0FB871EC-4505-4E7C-A162-0EFDB16AB8E5}" name="Forma de Pgto" dataDxfId="1124" dataCellStyle="Moeda"/>
    <tableColumn id="4" xr3:uid="{41436228-3E61-4F7F-80EF-627B1794150B}" name="Valor Parcela" dataDxfId="1123" dataCellStyle="Porcentagem"/>
    <tableColumn id="5" xr3:uid="{9C580DC7-08E3-4AD7-B73C-C1AA4298633B}" name="Nº Parcela" dataDxfId="1122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121" headerRowBorderDxfId="1120" tableBorderDxfId="1119" totalsRowBorderDxfId="1118">
  <autoFilter ref="K34:M41" xr:uid="{1B8643D4-6AC3-4029-882A-C62E9D7CB225}"/>
  <tableColumns count="3">
    <tableColumn id="1" xr3:uid="{6E774D52-7DFE-4ED1-9F2F-47B5899CBAC1}" name="OS" dataDxfId="1117"/>
    <tableColumn id="2" xr3:uid="{39CE62CA-537C-4DF4-B8D5-281ED0EE57C3}" name="Parcelas" dataDxfId="1116"/>
    <tableColumn id="3" xr3:uid="{830AFF05-9BCF-488F-97F3-8D4378DE4DCB}" name="Valor Total" dataDxfId="1115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109" dataCellStyle="Moeda"/>
    <tableColumn id="5" xr3:uid="{CE0B3E90-9420-4A96-9195-72088311874E}" name="Cliente" dataDxfId="1108" dataCellStyle="Moeda"/>
    <tableColumn id="2" xr3:uid="{3EF1B45D-588D-4066-8ACF-697863B5F984}" name="Forma de Pgto" dataDxfId="1107" dataCellStyle="Moeda"/>
    <tableColumn id="3" xr3:uid="{9ADBAC7B-B04C-4E2B-9C83-E18200698CCE}" name="Valor Venda" dataDxfId="1106" dataCellStyle="Porcentagem"/>
    <tableColumn id="4" xr3:uid="{16823673-1F5B-4F46-A676-8665CF4D02BA}" name="Entrada" dataDxfId="1105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A02811B4-F6FA-4EDA-94FE-5EDFE6293B48}" name="Descrição" dataDxfId="1099"/>
    <tableColumn id="2" xr3:uid="{39EAD4CE-DDFA-4948-8B1E-10589BABDD84}" name="Tipo de Pagto" dataDxfId="1098"/>
    <tableColumn id="3" xr3:uid="{30C3BD81-38C9-4C67-BF45-044DFDDD7A0B}" name="Valor" dataDxfId="1097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91"/>
    <tableColumn id="2" xr3:uid="{BE6E3444-490A-4F75-BE63-234EB84D04F7}" name="Cliente" dataDxfId="1090"/>
    <tableColumn id="3" xr3:uid="{868472E6-6C45-4AEC-9672-E559CFA15EA7}" name="Forma de Pgto" dataDxfId="1089" dataCellStyle="Moeda"/>
    <tableColumn id="4" xr3:uid="{DB2D0AA9-9B1E-4A35-B9B2-8B1052EAD782}" name="Valor Venda" dataDxfId="1088" dataCellStyle="Porcentagem"/>
    <tableColumn id="5" xr3:uid="{C23CEEDF-415E-4EFC-ACF7-2661157A84C3}" name="Entrada" dataDxfId="1087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BAA11040-DE86-4FBA-899D-4F8D992FF700}" name="OS" dataDxfId="1081"/>
    <tableColumn id="2" xr3:uid="{13D709D4-8F81-4D58-95F2-22F1C686CB18}" name="Vendedor" dataDxfId="1080"/>
    <tableColumn id="3" xr3:uid="{92130A71-CEC8-4371-B6C9-DA29C0189A09}" name="CARNE" dataDxfId="1079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73"/>
    <tableColumn id="2" xr3:uid="{7652DD36-D535-400C-856B-02CB62C18176}" name="Cliente" dataDxfId="1072"/>
    <tableColumn id="3" xr3:uid="{129618E1-FDB4-497A-9DB0-29AC7143AF10}" name="Forma de Pgto" dataDxfId="1071" dataCellStyle="Moeda"/>
    <tableColumn id="4" xr3:uid="{EC69F906-8001-4D12-8ED6-D597AE23E936}" name="Valor Parcela" dataDxfId="1070" dataCellStyle="Porcentagem"/>
    <tableColumn id="5" xr3:uid="{65040BF1-55E0-4DD6-926F-3F0324D47077}" name="Nº Parcela" dataDxfId="1069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68" headerRowBorderDxfId="1067" tableBorderDxfId="1066" totalsRowBorderDxfId="1065">
  <autoFilter ref="K34:M41" xr:uid="{1B8643D4-6AC3-4029-882A-C62E9D7CB225}"/>
  <tableColumns count="3">
    <tableColumn id="1" xr3:uid="{710179D9-1888-45A0-96B5-C6E1151FFFF0}" name="OS" dataDxfId="1064"/>
    <tableColumn id="2" xr3:uid="{D9D130F4-6D87-4655-90D8-AF3976107C2A}" name="Parcelas" dataDxfId="1063"/>
    <tableColumn id="3" xr3:uid="{07DCBA20-7E86-4F99-AED4-2BDCD854B71C}" name="Valor Total" dataDxfId="1062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56" dataCellStyle="Moeda"/>
    <tableColumn id="5" xr3:uid="{C388448A-992D-4C2D-8BB2-14D587C7E260}" name="Cliente" dataDxfId="1055" dataCellStyle="Moeda"/>
    <tableColumn id="2" xr3:uid="{C66BE185-63F5-4991-91CC-2661F40F891F}" name="Forma de Pgto" dataDxfId="1054" dataCellStyle="Moeda"/>
    <tableColumn id="3" xr3:uid="{C86C165C-F04B-4F8A-9769-AE38C03F025E}" name="Valor Venda" dataDxfId="1053" dataCellStyle="Porcentagem"/>
    <tableColumn id="4" xr3:uid="{C11C99C9-E646-4417-8698-61AFF55AB567}" name="Entrada" dataDxfId="1052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696BC9EF-69BB-4D0D-96DF-B836B5771C08}" name="Descrição" dataDxfId="1046"/>
    <tableColumn id="2" xr3:uid="{4F12E940-09E4-4E51-A2A0-CEF5523233E2}" name="Tipo de Pagto" dataDxfId="1045"/>
    <tableColumn id="3" xr3:uid="{329E2ABB-99D4-47D1-8CEB-C3F4DE69A1C8}" name="Valor" dataDxfId="1044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1038"/>
    <tableColumn id="2" xr3:uid="{4745164B-5E29-4C65-87CA-C8C1B31B8272}" name="Cliente" dataDxfId="1037"/>
    <tableColumn id="3" xr3:uid="{69D7D490-36CA-4F69-BF76-2ADB810B4F37}" name="Forma de Pgto" dataDxfId="1036" dataCellStyle="Moeda"/>
    <tableColumn id="4" xr3:uid="{9B6B365B-42F7-499F-B705-B8F5196F8192}" name="Valor Venda" dataDxfId="1035" dataCellStyle="Porcentagem"/>
    <tableColumn id="5" xr3:uid="{7C88B9A2-2920-4AD8-AC1F-7417F3FA8282}" name="Entrada" dataDxfId="1034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5740FA63-223C-47B7-8842-178B003DB4BC}" name="OS" dataDxfId="1028"/>
    <tableColumn id="2" xr3:uid="{5CCC3C75-C80E-44BB-BC37-80F487481DDA}" name="Vendedor" dataDxfId="1027"/>
    <tableColumn id="3" xr3:uid="{585175B8-B982-429E-9344-163CE2687302}" name="CARNE" dataDxfId="1026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1020"/>
    <tableColumn id="2" xr3:uid="{2540FF22-68AB-4A04-B72D-DDBC8B064A8D}" name="Cliente" dataDxfId="1019"/>
    <tableColumn id="3" xr3:uid="{A7CB1680-9636-42C6-8AD9-F68C54BBCE0A}" name="Forma de Pgto" dataDxfId="1018" dataCellStyle="Moeda"/>
    <tableColumn id="4" xr3:uid="{727C37A8-450C-4D57-A2C9-396F29733C0A}" name="Valor Parcela" dataDxfId="1017" dataCellStyle="Porcentagem"/>
    <tableColumn id="5" xr3:uid="{4B27DCBF-BD8C-46A2-BC12-DE369C458E8A}" name="Nº Parcela" dataDxfId="1016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1015" headerRowBorderDxfId="1014" tableBorderDxfId="1013" totalsRowBorderDxfId="1012">
  <autoFilter ref="K34:M41" xr:uid="{1B8643D4-6AC3-4029-882A-C62E9D7CB225}"/>
  <tableColumns count="3">
    <tableColumn id="1" xr3:uid="{60FAE849-4EC1-49E6-990F-8A43377EE6C3}" name="OS" dataDxfId="1011"/>
    <tableColumn id="2" xr3:uid="{B3127003-34D7-49FE-AFFC-7FA256F8BC3F}" name="Parcelas" dataDxfId="1010"/>
    <tableColumn id="3" xr3:uid="{412AC98E-5FB9-4C3C-9FBF-2EBE1631A397}" name="Valor Total" dataDxfId="1009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1003" dataCellStyle="Moeda"/>
    <tableColumn id="5" xr3:uid="{A1AF61B3-EFAB-450A-92B2-38E357233CD5}" name="Cliente" dataDxfId="1002" dataCellStyle="Moeda"/>
    <tableColumn id="2" xr3:uid="{DF277353-579D-439F-85C3-76DEACDE7A39}" name="Forma de Pgto" dataDxfId="1001" dataCellStyle="Moeda"/>
    <tableColumn id="3" xr3:uid="{7164D8F5-C0CB-47F7-BD16-B590E7D85EDB}" name="Valor Venda" dataDxfId="1000" dataCellStyle="Porcentagem"/>
    <tableColumn id="4" xr3:uid="{065B051D-7958-4E7D-972D-DDB0E8E7D052}" name="Entrada" dataDxfId="999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865498B1-F05E-46C9-B6C1-CCD85D9306C6}" name="Descrição" dataDxfId="993"/>
    <tableColumn id="2" xr3:uid="{37F7AC6A-A7CD-43FB-89B1-5E904BAC1EBD}" name="Tipo de Pagto" dataDxfId="992"/>
    <tableColumn id="3" xr3:uid="{A014E45A-B38A-47C2-A582-411CA2B495EE}" name="Valor" dataDxfId="991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85"/>
    <tableColumn id="2" xr3:uid="{BC7B7FC1-CF4C-42C2-ABD3-DFEEA234B02B}" name="Cliente" dataDxfId="984"/>
    <tableColumn id="3" xr3:uid="{67F17557-E38E-4865-93F5-DCEF4A7ED2C6}" name="Forma de Pgto" dataDxfId="983" dataCellStyle="Moeda"/>
    <tableColumn id="4" xr3:uid="{D2C10329-9C1A-4D0D-BC74-3A320E9B6593}" name="Valor Venda" dataDxfId="982" dataCellStyle="Porcentagem"/>
    <tableColumn id="5" xr3:uid="{82810E21-D152-4A22-94D5-0A28C60F4849}" name="Entrada" dataDxfId="981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7A4CC637-3546-4D1B-9D86-75C6034079BF}" name="OS" dataDxfId="975"/>
    <tableColumn id="2" xr3:uid="{CEB52B1C-2642-45A1-A1EB-26029A9B5402}" name="Vendedor" dataDxfId="974"/>
    <tableColumn id="3" xr3:uid="{8C88CFEB-7155-49BD-9D63-1FCC9096735E}" name="CARNE" dataDxfId="973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67"/>
    <tableColumn id="2" xr3:uid="{7C3577CA-FC44-4DC9-9002-D4EA74DFF73F}" name="Cliente" dataDxfId="966"/>
    <tableColumn id="3" xr3:uid="{77D25058-5D06-4E37-8746-BF184DDEEA81}" name="Forma de Pgto" dataDxfId="965" dataCellStyle="Moeda"/>
    <tableColumn id="4" xr3:uid="{5EDAFC3F-F478-449C-990C-45300A2C66DF}" name="Valor Parcela" dataDxfId="964" dataCellStyle="Porcentagem"/>
    <tableColumn id="5" xr3:uid="{5DBCC805-C046-4526-8886-13334D431CB2}" name="Nº Parcela" dataDxfId="963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62" headerRowBorderDxfId="961" tableBorderDxfId="960" totalsRowBorderDxfId="959">
  <autoFilter ref="K34:M41" xr:uid="{1B8643D4-6AC3-4029-882A-C62E9D7CB225}"/>
  <tableColumns count="3">
    <tableColumn id="1" xr3:uid="{FDFEB034-D746-488E-9611-5C5421DF9812}" name="OS" dataDxfId="958"/>
    <tableColumn id="2" xr3:uid="{AD1C8A9C-91DA-4D2C-A438-9B8648A5521B}" name="Parcelas" dataDxfId="957"/>
    <tableColumn id="3" xr3:uid="{577D3B3F-3A18-4FE3-8E0F-E82C9012821F}" name="Valor Total" dataDxfId="956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950" dataCellStyle="Moeda"/>
    <tableColumn id="5" xr3:uid="{53B9FE46-E769-466F-9757-A5C752203582}" name="Cliente" dataDxfId="949" dataCellStyle="Moeda"/>
    <tableColumn id="2" xr3:uid="{9AFD5C78-132A-4E21-96EC-75882307A334}" name="Forma de Pgto" dataDxfId="948" dataCellStyle="Moeda"/>
    <tableColumn id="3" xr3:uid="{0B7791DE-BC7F-4EA7-87CC-E8588E2F6D00}" name="Valor Venda" dataDxfId="947" dataCellStyle="Porcentagem"/>
    <tableColumn id="4" xr3:uid="{EDACC2B7-28DE-40D1-BC9D-356B5D64934D}" name="Entrada" dataDxfId="946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F638F61A-E4B9-4300-BD8D-C0A6A3D7A8E2}" name="Descrição" dataDxfId="940"/>
    <tableColumn id="2" xr3:uid="{9DC04330-37E5-4813-8F2D-4BAA554527A5}" name="Tipo de Pagto" dataDxfId="939"/>
    <tableColumn id="3" xr3:uid="{799A991A-3D2C-4EC1-A2D8-A1F3023DD9AF}" name="Valor" dataDxfId="938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932"/>
    <tableColumn id="2" xr3:uid="{2FD43CA2-90CA-449B-821F-205F1748177C}" name="Cliente" dataDxfId="931"/>
    <tableColumn id="3" xr3:uid="{A5640B64-FD50-49A5-B305-E61D9280F57A}" name="Forma de Pgto" dataDxfId="930" dataCellStyle="Moeda"/>
    <tableColumn id="4" xr3:uid="{26AD2EE8-2400-4B07-A340-99B1BA546B01}" name="Valor Venda" dataDxfId="929" dataCellStyle="Porcentagem"/>
    <tableColumn id="5" xr3:uid="{DF786930-B464-48C0-92C5-A18D129572D3}" name="Entrada" dataDxfId="928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686E8A3B-2CC1-443E-B3F0-07F1D6AF8C19}" name="OS" dataDxfId="922"/>
    <tableColumn id="2" xr3:uid="{1250D1EA-82EB-4EB4-AEDB-99799165C996}" name="Vendedor" dataDxfId="921"/>
    <tableColumn id="3" xr3:uid="{F6A6C0FE-3106-4929-AC63-C2A418BAD9A1}" name="CARNE" dataDxfId="920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914"/>
    <tableColumn id="2" xr3:uid="{6946C657-632E-4A47-A04C-EBD987018798}" name="Cliente" dataDxfId="913"/>
    <tableColumn id="3" xr3:uid="{11747110-E63B-4D92-AE0D-F744DD494204}" name="Forma de Pgto" dataDxfId="912" dataCellStyle="Moeda"/>
    <tableColumn id="4" xr3:uid="{7637A14A-3C11-482C-A77B-09489718F039}" name="Valor Parcela" dataDxfId="911" dataCellStyle="Porcentagem"/>
    <tableColumn id="5" xr3:uid="{E03E863B-EAD4-4137-9B26-2CA0EAC2F09E}" name="Nº Parcela" dataDxfId="910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909" headerRowBorderDxfId="908" tableBorderDxfId="907" totalsRowBorderDxfId="906">
  <autoFilter ref="K34:M41" xr:uid="{1B8643D4-6AC3-4029-882A-C62E9D7CB225}"/>
  <tableColumns count="3">
    <tableColumn id="1" xr3:uid="{6F6F5FBA-037D-4F8B-8355-AC821A55F803}" name="OS" dataDxfId="905"/>
    <tableColumn id="2" xr3:uid="{BEED8472-6636-42D9-A60A-E43C842B7D8F}" name="Parcelas" dataDxfId="904"/>
    <tableColumn id="3" xr3:uid="{0CE64280-F6A9-46AC-8696-F227912F6552}" name="Valor Total" dataDxfId="903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97" dataCellStyle="Moeda"/>
    <tableColumn id="5" xr3:uid="{864A4F89-382F-4099-9D59-467A7AB12940}" name="Cliente" dataDxfId="896" dataCellStyle="Moeda"/>
    <tableColumn id="2" xr3:uid="{529253EE-0917-4E7A-AA5F-14D2DCAD4080}" name="Forma de Pgto" dataDxfId="895" dataCellStyle="Moeda"/>
    <tableColumn id="3" xr3:uid="{7A07E6EC-5721-4AB5-B7BB-F8D16153B615}" name="Valor Venda" dataDxfId="894" dataCellStyle="Porcentagem"/>
    <tableColumn id="4" xr3:uid="{E3569DCA-7BA5-47A8-9C20-6FB2B553052E}" name="Entrada" dataDxfId="893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95CF041F-F7B4-4974-9B76-66A5C7C3CF1E}" name="Descrição" dataDxfId="887"/>
    <tableColumn id="2" xr3:uid="{010F2147-2B02-4E80-9D4E-E9E6110BD535}" name="Tipo de Pagto" dataDxfId="886"/>
    <tableColumn id="3" xr3:uid="{667C80AD-481C-4689-8F6A-2426991759A7}" name="Valor" dataDxfId="885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79"/>
    <tableColumn id="2" xr3:uid="{A401C727-3942-4BDF-BC32-5D789E1F6979}" name="Cliente" dataDxfId="878"/>
    <tableColumn id="3" xr3:uid="{29237CE2-AC3D-477F-ABA7-60B5DA6F8120}" name="Forma de Pgto" dataDxfId="877" dataCellStyle="Moeda"/>
    <tableColumn id="4" xr3:uid="{A39B1F5A-49E3-45B8-BCA8-E3252A43E2CC}" name="Valor Venda" dataDxfId="876" dataCellStyle="Porcentagem"/>
    <tableColumn id="5" xr3:uid="{A1809E96-D43C-48CA-B4B0-F8952BB21709}" name="Entrada" dataDxfId="875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56C94D3F-8E22-47DC-AA8B-FBABE57C94EE}" name="OS" dataDxfId="869"/>
    <tableColumn id="2" xr3:uid="{61C3945B-58EB-4D02-A420-14D13F69B1FD}" name="Vendedor" dataDxfId="868"/>
    <tableColumn id="3" xr3:uid="{310A696D-E474-4609-8CAC-92E3BC19A517}" name="CARNE" dataDxfId="867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61"/>
    <tableColumn id="2" xr3:uid="{A7114117-5F41-4611-B14C-A3B2F7C35961}" name="Cliente" dataDxfId="860"/>
    <tableColumn id="3" xr3:uid="{3B2F2924-60FC-459E-BAAE-2D26D316360F}" name="Forma de Pgto" dataDxfId="859" dataCellStyle="Moeda"/>
    <tableColumn id="4" xr3:uid="{8C86BF8B-36B7-46FA-B050-2F1437A14710}" name="Valor Parcela" dataDxfId="858" dataCellStyle="Porcentagem"/>
    <tableColumn id="5" xr3:uid="{C429DF1A-E6B0-43DD-A949-A1EBA6DBEC04}" name="Nº Parcela" dataDxfId="857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56" headerRowBorderDxfId="855" tableBorderDxfId="854" totalsRowBorderDxfId="853">
  <autoFilter ref="K34:M41" xr:uid="{1B8643D4-6AC3-4029-882A-C62E9D7CB225}"/>
  <tableColumns count="3">
    <tableColumn id="1" xr3:uid="{182484ED-66B8-43D1-B168-BDEB5996673F}" name="OS" dataDxfId="852"/>
    <tableColumn id="2" xr3:uid="{FC47BB11-B6D3-4928-BFCD-BDAC4B2BDD2F}" name="Parcelas" dataDxfId="851"/>
    <tableColumn id="3" xr3:uid="{F7E0E4E8-A2A1-4513-B1F5-B98008299FD0}" name="Valor Total" dataDxfId="850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844" dataCellStyle="Moeda"/>
    <tableColumn id="5" xr3:uid="{2B9E675C-5EB2-4EBC-8FDE-19F93E6E7B08}" name="Cliente" dataDxfId="843" dataCellStyle="Moeda"/>
    <tableColumn id="2" xr3:uid="{04A3548D-E88B-4096-85CB-E08243412A85}" name="Forma de Pgto" dataDxfId="842" dataCellStyle="Moeda"/>
    <tableColumn id="3" xr3:uid="{977F794D-E094-4347-935B-1202B7138C52}" name="Valor Venda" dataDxfId="841" dataCellStyle="Porcentagem"/>
    <tableColumn id="4" xr3:uid="{908F3845-FF06-4899-A550-28B1BE92D1A9}" name="Entrada" dataDxfId="840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F9AC75BC-BCF6-4B22-9F75-0F3CC507495B}" name="Descrição" dataDxfId="834"/>
    <tableColumn id="2" xr3:uid="{61D86D1A-7892-4923-9684-5D9A01F0BD5D}" name="Tipo de Pagto" dataDxfId="833"/>
    <tableColumn id="3" xr3:uid="{3F8C718F-C7FE-423F-9F48-66FB2201CFE2}" name="Valor" dataDxfId="832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826"/>
    <tableColumn id="2" xr3:uid="{994EFF98-DD95-4B94-B1C7-D068C1D5212C}" name="Cliente" dataDxfId="825"/>
    <tableColumn id="3" xr3:uid="{7D4E72E0-4CFA-46C9-B3AF-A1654CF194A1}" name="Forma de Pgto" dataDxfId="824" dataCellStyle="Moeda"/>
    <tableColumn id="4" xr3:uid="{EE367263-F1E4-4631-A484-2013B6BA1F27}" name="Valor Venda" dataDxfId="823" dataCellStyle="Porcentagem"/>
    <tableColumn id="5" xr3:uid="{9DA475CB-BD5A-4734-A11F-3BB7DD0D9D7E}" name="Entrada" dataDxfId="822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3DA7B618-15C5-4547-A26D-ABC55A01467A}" name="OS" dataDxfId="816"/>
    <tableColumn id="2" xr3:uid="{9ED68045-86C7-4BE0-8AE0-0417F1DD76FD}" name="Vendedor" dataDxfId="815"/>
    <tableColumn id="3" xr3:uid="{F4076139-8BF9-457D-ADE6-1BCD435E31BB}" name="CARNE" dataDxfId="814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808"/>
    <tableColumn id="2" xr3:uid="{E89F59BF-5F0B-4E4E-B2BE-7B739967886D}" name="Cliente" dataDxfId="807"/>
    <tableColumn id="3" xr3:uid="{B348335B-A485-46BE-AECB-0672679F4468}" name="Forma de Pgto" dataDxfId="806" dataCellStyle="Moeda"/>
    <tableColumn id="4" xr3:uid="{73B13E6E-5431-4E90-9A6E-E15737DDA887}" name="Valor Parcela" dataDxfId="805" dataCellStyle="Porcentagem"/>
    <tableColumn id="5" xr3:uid="{C738A843-A8FD-4CB7-B2C8-59810BA17BF2}" name="Nº Parcela" dataDxfId="804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803" headerRowBorderDxfId="802" tableBorderDxfId="801" totalsRowBorderDxfId="800">
  <autoFilter ref="K34:M41" xr:uid="{1B8643D4-6AC3-4029-882A-C62E9D7CB225}"/>
  <tableColumns count="3">
    <tableColumn id="1" xr3:uid="{3F5F54B7-8999-4296-A374-3780F172D2B8}" name="OS" dataDxfId="799"/>
    <tableColumn id="2" xr3:uid="{5F252D86-495C-4A65-B391-3FF46311DE83}" name="Parcelas" dataDxfId="798"/>
    <tableColumn id="3" xr3:uid="{50E905DA-42A9-43E1-8D51-FD4BDEAB81C8}" name="Valor Total" dataDxfId="797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91" dataCellStyle="Moeda"/>
    <tableColumn id="5" xr3:uid="{08C272CC-0220-47BB-9263-1AA910D9829C}" name="Cliente" dataDxfId="790" dataCellStyle="Moeda"/>
    <tableColumn id="2" xr3:uid="{DF276F1F-7FCA-4CE9-AD90-5340B6E688D4}" name="Forma de Pgto" dataDxfId="789" dataCellStyle="Moeda"/>
    <tableColumn id="3" xr3:uid="{CF6FE509-8C51-4621-87DF-AAD8645E20D4}" name="Valor Venda" dataDxfId="788" dataCellStyle="Porcentagem"/>
    <tableColumn id="4" xr3:uid="{5AB6BADB-DBB7-45C0-89E8-2C836C831FCF}" name="Entrada" dataDxfId="787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8CE76670-7409-454F-9B3A-4BD739F5C5E3}" name="Descrição" dataDxfId="781"/>
    <tableColumn id="2" xr3:uid="{B2BAF2DB-A6EF-41C6-8A5D-66027E15C8F8}" name="Tipo de Pagto" dataDxfId="780"/>
    <tableColumn id="3" xr3:uid="{99CFD3BD-FC58-49DA-AC21-ACD3EE40336E}" name="Valor" dataDxfId="779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73"/>
    <tableColumn id="2" xr3:uid="{B886F79B-BD9C-476A-88F8-CB3F80E42FD0}" name="Cliente" dataDxfId="772"/>
    <tableColumn id="3" xr3:uid="{78D9CA4E-E9E8-4359-8144-996DE0EE7A64}" name="Forma de Pgto" dataDxfId="771" dataCellStyle="Moeda"/>
    <tableColumn id="4" xr3:uid="{F327BA72-0013-44A1-B3CE-07FACF46CAC8}" name="Valor Venda" dataDxfId="770" dataCellStyle="Porcentagem"/>
    <tableColumn id="5" xr3:uid="{20494810-9085-4087-A73E-D3FE8DC5C40D}" name="Entrada" dataDxfId="769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40D1E49B-6CB3-409E-AFC1-7315BAF42BBF}" name="OS" dataDxfId="763"/>
    <tableColumn id="2" xr3:uid="{4C8709E7-DDF3-475B-9A19-42E8B9FC587D}" name="Vendedor" dataDxfId="762"/>
    <tableColumn id="3" xr3:uid="{185D4DF1-07D8-4494-B6E4-5B4CFC4E2B4E}" name="CARNE" dataDxfId="761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55"/>
    <tableColumn id="2" xr3:uid="{CA06119C-2085-4F7F-B293-65E2AF15EEE5}" name="Cliente" dataDxfId="754"/>
    <tableColumn id="3" xr3:uid="{BF529E56-33D1-40B5-8E7B-EFBAB59D2A71}" name="Forma de Pgto" dataDxfId="753" dataCellStyle="Moeda"/>
    <tableColumn id="4" xr3:uid="{66CAC967-C216-41AB-BBFE-D7EC8E60B5DB}" name="Valor Parcela" dataDxfId="752" dataCellStyle="Porcentagem"/>
    <tableColumn id="5" xr3:uid="{684E478E-5460-400B-8F1B-2956E3BF42E8}" name="Nº Parcela" dataDxfId="751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750" headerRowBorderDxfId="749" tableBorderDxfId="748" totalsRowBorderDxfId="747">
  <autoFilter ref="K34:M41" xr:uid="{1B8643D4-6AC3-4029-882A-C62E9D7CB225}"/>
  <tableColumns count="3">
    <tableColumn id="1" xr3:uid="{3DD44433-DB26-4FDD-8D11-D1C35C6FECEB}" name="OS" dataDxfId="746"/>
    <tableColumn id="2" xr3:uid="{A9DC5AE8-407E-40E2-8AD6-B02FE1A5CF20}" name="Parcelas" dataDxfId="745"/>
    <tableColumn id="3" xr3:uid="{6A850C65-FE9A-4796-B920-651ED5594439}" name="Valor Total" dataDxfId="744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738" dataCellStyle="Moeda"/>
    <tableColumn id="5" xr3:uid="{60E6A65C-186D-4764-A3E8-74F5C0B0AFC1}" name="Cliente" dataDxfId="737" dataCellStyle="Moeda"/>
    <tableColumn id="2" xr3:uid="{22FA520F-5DA7-46FD-9861-DF942B6D91AB}" name="Forma de Pgto" dataDxfId="736" dataCellStyle="Moeda"/>
    <tableColumn id="3" xr3:uid="{7DEE868C-EA7D-401A-A3DF-4CC64A44467F}" name="Valor Venda" dataDxfId="735" dataCellStyle="Porcentagem"/>
    <tableColumn id="4" xr3:uid="{720D25ED-5FF4-421F-94C6-24275CF94733}" name="Entrada" dataDxfId="734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2FBA0522-04E5-4ED5-94F6-52B232AF2373}" name="Descrição" dataDxfId="728"/>
    <tableColumn id="2" xr3:uid="{DB3FC5DE-C5F6-4B07-A662-D19BD76E91F6}" name="Tipo de Pagto" dataDxfId="727"/>
    <tableColumn id="3" xr3:uid="{A2799F30-0033-4E72-9108-ABF645A8DCD3}" name="Valor" dataDxfId="726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720"/>
    <tableColumn id="2" xr3:uid="{6DECDDC0-CF3A-4677-94C4-62618488FE89}" name="Cliente" dataDxfId="719"/>
    <tableColumn id="3" xr3:uid="{D40EA3F2-0782-4C3D-A060-4DCC1DCF2881}" name="Forma de Pgto" dataDxfId="718" dataCellStyle="Moeda"/>
    <tableColumn id="4" xr3:uid="{A527DD67-780C-4EE1-A7AE-0831114EA80A}" name="Valor Venda" dataDxfId="717" dataCellStyle="Porcentagem"/>
    <tableColumn id="5" xr3:uid="{4082F19A-5570-4E9D-B250-BCD24B16165E}" name="Entrada" dataDxfId="716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CF4CC083-8415-4A42-9102-69414AAB96C8}" name="OS" dataDxfId="710"/>
    <tableColumn id="2" xr3:uid="{AFF5A585-6EEA-427D-B49B-A553763AA94C}" name="Vendedor" dataDxfId="709"/>
    <tableColumn id="3" xr3:uid="{2D8D088A-4AB0-487F-929A-89D197884938}" name="CARNE" dataDxfId="708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702"/>
    <tableColumn id="2" xr3:uid="{71667114-B8E0-4FEE-B3C4-B23C231E71C9}" name="Cliente" dataDxfId="701"/>
    <tableColumn id="3" xr3:uid="{413E4F46-D41F-4D0A-8403-3244651C22ED}" name="Forma de Pgto" dataDxfId="700" dataCellStyle="Moeda"/>
    <tableColumn id="4" xr3:uid="{695A7396-BEC7-498E-8F8D-5C11C17422D0}" name="Valor Parcela" dataDxfId="699" dataCellStyle="Porcentagem"/>
    <tableColumn id="5" xr3:uid="{7D0562F5-5DF1-49C0-BE96-CBD4632BD577}" name="Nº Parcela" dataDxfId="698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97" headerRowBorderDxfId="696" tableBorderDxfId="695" totalsRowBorderDxfId="694">
  <autoFilter ref="K34:M41" xr:uid="{1B8643D4-6AC3-4029-882A-C62E9D7CB225}"/>
  <tableColumns count="3">
    <tableColumn id="1" xr3:uid="{468A4151-2B13-428F-B7B3-DD7850FB056D}" name="OS" dataDxfId="693"/>
    <tableColumn id="2" xr3:uid="{0E5A1628-3806-4E80-9B5C-6CCB43ED7A95}" name="Parcelas" dataDxfId="692"/>
    <tableColumn id="3" xr3:uid="{94527026-C4E7-48B1-ADEC-FAE98EDE2DF7}" name="Valor Total" dataDxfId="691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85" dataCellStyle="Moeda"/>
    <tableColumn id="5" xr3:uid="{B476382F-8FC0-4C4B-904B-9CEC2FD1737F}" name="Cliente" dataDxfId="684" dataCellStyle="Moeda"/>
    <tableColumn id="2" xr3:uid="{9347CB1E-8ECB-4789-B3B3-F0676BCEF308}" name="Forma de Pgto" dataDxfId="683" dataCellStyle="Moeda"/>
    <tableColumn id="3" xr3:uid="{95E7B651-F8E7-4260-A9CD-31524C1AF920}" name="Valor Venda" dataDxfId="682" dataCellStyle="Porcentagem"/>
    <tableColumn id="4" xr3:uid="{E1F36979-874B-46CF-A70F-6769CE2B4972}" name="Entrada" dataDxfId="681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5DAF9728-D097-46AC-AFA1-2A7D5A636197}" name="Descrição" dataDxfId="675"/>
    <tableColumn id="2" xr3:uid="{7E14BBAB-F602-43F7-BA75-66182DDDFB5A}" name="Tipo de Pagto" dataDxfId="674"/>
    <tableColumn id="3" xr3:uid="{807C6654-E3F5-4B45-B712-93A22255EE13}" name="Valor" dataDxfId="673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67"/>
    <tableColumn id="2" xr3:uid="{DA2D4CE2-3235-4592-824A-D21C9FEE1324}" name="Cliente" dataDxfId="666"/>
    <tableColumn id="3" xr3:uid="{78436E8E-423C-4634-A0AC-78283D9649B2}" name="Forma de Pgto" dataDxfId="665" dataCellStyle="Moeda"/>
    <tableColumn id="4" xr3:uid="{9B5C140A-AEF6-451D-B599-1B3C00239BF3}" name="Valor Venda" dataDxfId="664" dataCellStyle="Porcentagem"/>
    <tableColumn id="5" xr3:uid="{91C4587E-3C3A-4A8E-B0CF-84D9FBCB29D6}" name="Entrada" dataDxfId="663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50109EEB-FA95-426D-A1C8-873B914A4726}" name="OS" dataDxfId="657"/>
    <tableColumn id="2" xr3:uid="{8A5D657B-8F60-4746-999B-0FA3393A39E9}" name="Vendedor" dataDxfId="656"/>
    <tableColumn id="3" xr3:uid="{496CB9CC-67BF-4541-A109-5F5FF565C716}" name="CARNE" dataDxfId="655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649"/>
    <tableColumn id="2" xr3:uid="{B3362A08-206B-41A8-970B-34C6B8B4C7AA}" name="Cliente" dataDxfId="648"/>
    <tableColumn id="3" xr3:uid="{718A6844-98C1-4F96-8966-19162734BEB9}" name="Forma de Pgto" dataDxfId="647" dataCellStyle="Moeda"/>
    <tableColumn id="4" xr3:uid="{DC15894A-49A7-435B-A661-5666005BEEC8}" name="Valor Parcela" dataDxfId="646" dataCellStyle="Porcentagem"/>
    <tableColumn id="5" xr3:uid="{DE080DD1-0F6B-485E-8515-CE624433C220}" name="Nº Parcela" dataDxfId="645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644" headerRowBorderDxfId="643" tableBorderDxfId="642" totalsRowBorderDxfId="641">
  <autoFilter ref="K34:M41" xr:uid="{1B8643D4-6AC3-4029-882A-C62E9D7CB225}"/>
  <tableColumns count="3">
    <tableColumn id="1" xr3:uid="{DF952D1A-166D-4762-BD7E-3B8C91304310}" name="OS" dataDxfId="640"/>
    <tableColumn id="2" xr3:uid="{4F0F7384-D5B8-477E-9EC7-B82060EBBD78}" name="Parcelas" dataDxfId="639"/>
    <tableColumn id="3" xr3:uid="{8DD00EBF-D0FE-4903-8F44-7064A873609A}" name="Valor Total" dataDxfId="638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632" dataCellStyle="Moeda"/>
    <tableColumn id="5" xr3:uid="{F65697F3-20D0-4B41-BE55-C2885202D924}" name="Cliente" dataDxfId="631" dataCellStyle="Moeda"/>
    <tableColumn id="2" xr3:uid="{11E8E848-C035-46A3-B1AB-9BBD863CA30A}" name="Forma de Pgto" dataDxfId="630" dataCellStyle="Moeda"/>
    <tableColumn id="3" xr3:uid="{CE50BBF0-66D9-4ABB-AD66-D300C740ED4C}" name="Valor Venda" dataDxfId="629" dataCellStyle="Porcentagem"/>
    <tableColumn id="4" xr3:uid="{A6700982-093E-4E60-A8B4-C0EB11A78A03}" name="Entrada" dataDxfId="628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3B1873C-545D-4906-B601-0C81EDA7CFE1}" name="Descrição" dataDxfId="622"/>
    <tableColumn id="2" xr3:uid="{76E6DB40-F96B-4A9C-8632-7103030C72DC}" name="Tipo de Pagto" dataDxfId="621"/>
    <tableColumn id="3" xr3:uid="{C62F93B6-2A0A-47C6-8FF1-E604490619BC}" name="Valor" dataDxfId="620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614"/>
    <tableColumn id="2" xr3:uid="{B806E92F-CE0E-4D07-A956-20D8F2029057}" name="Cliente" dataDxfId="613"/>
    <tableColumn id="3" xr3:uid="{36BDBAFD-E01B-4EEA-BEB0-2FB5914B315B}" name="Forma de Pgto" dataDxfId="612" dataCellStyle="Moeda"/>
    <tableColumn id="4" xr3:uid="{56605023-01AD-4E35-8794-2FCCF14CCA1F}" name="Valor Venda" dataDxfId="611" dataCellStyle="Porcentagem"/>
    <tableColumn id="5" xr3:uid="{C1960D0E-D625-415E-9C4E-608948FC535D}" name="Entrada" dataDxfId="610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6A036C59-7D03-43F7-84CF-EE3CB14BE67B}" name="OS" dataDxfId="604"/>
    <tableColumn id="2" xr3:uid="{C5A126A9-9B7F-4F06-ADC7-ACCED0396BF3}" name="Vendedor" dataDxfId="603"/>
    <tableColumn id="3" xr3:uid="{BA1C7B45-A00B-472E-A02F-25A3DC58D90D}" name="CARNE" dataDxfId="602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96"/>
    <tableColumn id="2" xr3:uid="{2C145274-4831-4FAC-9C72-4EE6C56B54AE}" name="Cliente" dataDxfId="595"/>
    <tableColumn id="3" xr3:uid="{DE981E69-6CF2-49CA-A2F4-E16E28E648B8}" name="Forma de Pgto" dataDxfId="594" dataCellStyle="Moeda"/>
    <tableColumn id="4" xr3:uid="{6444B2E2-EBBD-4AD1-8C9A-93047C0686E8}" name="Valor Parcela" dataDxfId="593" dataCellStyle="Porcentagem"/>
    <tableColumn id="5" xr3:uid="{04528C7F-DC52-411C-A2BF-BF90292C4224}" name="Nº Parcela" dataDxfId="592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91" headerRowBorderDxfId="590" tableBorderDxfId="589" totalsRowBorderDxfId="588">
  <autoFilter ref="K34:M41" xr:uid="{1B8643D4-6AC3-4029-882A-C62E9D7CB225}"/>
  <tableColumns count="3">
    <tableColumn id="1" xr3:uid="{B8F19651-A782-44BC-8BA0-FFD090973F4B}" name="OS" dataDxfId="587"/>
    <tableColumn id="2" xr3:uid="{47E2F01C-C7E6-4997-80A0-4C35FA7B082A}" name="Parcelas" dataDxfId="586"/>
    <tableColumn id="3" xr3:uid="{BBBC80DF-0D25-47A9-9C8A-B68DAC85549A}" name="Valor Total" dataDxfId="585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79" dataCellStyle="Moeda"/>
    <tableColumn id="5" xr3:uid="{63E5AEF6-80DE-4801-B1C2-914D1F185217}" name="Cliente" dataDxfId="578" dataCellStyle="Moeda"/>
    <tableColumn id="2" xr3:uid="{1109E74A-578C-491B-B35C-C22544718F14}" name="Forma de Pgto" dataDxfId="577" dataCellStyle="Moeda"/>
    <tableColumn id="3" xr3:uid="{5C59392A-0568-4E84-9867-F9DCD09B25B6}" name="Valor Venda" dataDxfId="576" dataCellStyle="Porcentagem"/>
    <tableColumn id="4" xr3:uid="{D2C3A378-8143-432B-A8C6-A6193ABD7662}" name="Entrada" dataDxfId="575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E6962685-66B9-4B52-AFC6-82E1DC5ABF13}" name="Descrição" dataDxfId="569"/>
    <tableColumn id="2" xr3:uid="{632111FE-E109-4AB8-89E6-0435B85BD131}" name="Tipo de Pagto" dataDxfId="568"/>
    <tableColumn id="3" xr3:uid="{E8C5B365-8D2D-4605-8A16-1AB9150BCC44}" name="Valor" dataDxfId="567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61"/>
    <tableColumn id="2" xr3:uid="{C0E81097-83C4-4524-8E34-CEF9787F8A7E}" name="Cliente" dataDxfId="560"/>
    <tableColumn id="3" xr3:uid="{8D59E67E-B452-4F9A-AAE0-36EA95BB6E19}" name="Forma de Pgto" dataDxfId="559" dataCellStyle="Moeda"/>
    <tableColumn id="4" xr3:uid="{F7466880-2D96-46D0-97F5-A0F3057F4B83}" name="Valor Venda" dataDxfId="558" dataCellStyle="Porcentagem"/>
    <tableColumn id="5" xr3:uid="{1C9ACBF3-A8FA-4869-9459-B9FD6EE7CC98}" name="Entrada" dataDxfId="557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B00D0221-B7E2-4319-872F-39A5F278179B}" name="OS" dataDxfId="551"/>
    <tableColumn id="2" xr3:uid="{EB50C8BC-2DB9-4F7B-B612-681BB547926A}" name="Vendedor" dataDxfId="550"/>
    <tableColumn id="3" xr3:uid="{35270191-CAC7-406B-B916-370E9194FBD0}" name="CARNE" dataDxfId="549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543"/>
    <tableColumn id="2" xr3:uid="{D650DC73-190F-4D20-A432-5DFA05B32EBB}" name="Cliente" dataDxfId="542"/>
    <tableColumn id="3" xr3:uid="{B232D3BA-4291-4772-8FA1-966DFC2F6BAD}" name="Forma de Pgto" dataDxfId="541" dataCellStyle="Moeda"/>
    <tableColumn id="4" xr3:uid="{27933DC4-0B14-4F8A-9424-CDECA8B0BE13}" name="Valor Parcela" dataDxfId="540" dataCellStyle="Porcentagem"/>
    <tableColumn id="5" xr3:uid="{812A2DA5-D78D-454A-BF37-5BC7C8B486FB}" name="Nº Parcela" dataDxfId="539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538" headerRowBorderDxfId="537" tableBorderDxfId="536" totalsRowBorderDxfId="535">
  <autoFilter ref="K34:M41" xr:uid="{1B8643D4-6AC3-4029-882A-C62E9D7CB225}"/>
  <tableColumns count="3">
    <tableColumn id="1" xr3:uid="{F3E7E89B-8196-4CDC-A23E-947DB3CEA07C}" name="OS" dataDxfId="534"/>
    <tableColumn id="2" xr3:uid="{D705822D-AFE1-401D-A8C8-7D7BB7A4C86C}" name="Parcelas" dataDxfId="533"/>
    <tableColumn id="3" xr3:uid="{C528E7A1-6466-4E27-8A7C-A46F4678792C}" name="Valor Total" dataDxfId="532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526" dataCellStyle="Moeda"/>
    <tableColumn id="5" xr3:uid="{935EFB73-C7DF-4DB2-A9CA-2CCBA3650F22}" name="Cliente" dataDxfId="525" dataCellStyle="Moeda"/>
    <tableColumn id="2" xr3:uid="{869122A0-3CC2-4E92-8EFB-746E8E8CB311}" name="Forma de Pgto" dataDxfId="524" dataCellStyle="Moeda"/>
    <tableColumn id="3" xr3:uid="{6DA3B9FE-BCC2-4503-9E60-EA0ED444B7A6}" name="Valor Venda" dataDxfId="523" dataCellStyle="Porcentagem"/>
    <tableColumn id="4" xr3:uid="{A8A1A79C-5DE2-48A0-9D24-1DA382BBF42E}" name="Entrada" dataDxfId="522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3E8535D4-7B2A-41EF-B25F-D96FCA746C77}" name="Descrição" dataDxfId="516"/>
    <tableColumn id="2" xr3:uid="{29FD7EBB-FAB4-46A7-8D0C-8DEF811BE03C}" name="Tipo de Pagto" dataDxfId="515"/>
    <tableColumn id="3" xr3:uid="{42A84199-904C-48CF-9EA1-668D5693A5E1}" name="Valor" dataDxfId="514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508"/>
    <tableColumn id="2" xr3:uid="{06FD4E8A-ECFC-46A5-9546-F18D5C7CCF46}" name="Cliente" dataDxfId="507"/>
    <tableColumn id="3" xr3:uid="{393434A3-085F-407B-B651-4C537A1C4DCA}" name="Forma de Pgto" dataDxfId="506" dataCellStyle="Moeda"/>
    <tableColumn id="4" xr3:uid="{D08FA6C2-56D1-4A76-94C1-132618C070F2}" name="Valor Venda" dataDxfId="505" dataCellStyle="Porcentagem"/>
    <tableColumn id="5" xr3:uid="{A94780A1-5426-454F-8950-AFE4D356071F}" name="Entrada" dataDxfId="504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5F81F202-5A63-416E-B66A-BC7A70C51944}" name="OS" dataDxfId="498"/>
    <tableColumn id="2" xr3:uid="{74527326-0E45-44AC-976A-01AD354EEF97}" name="Vendedor" dataDxfId="497"/>
    <tableColumn id="3" xr3:uid="{7E368C39-6290-45A4-8C60-3E0B6BEC860E}" name="CARNE" dataDxfId="496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490"/>
    <tableColumn id="2" xr3:uid="{5FB18F19-64B5-46AA-955B-A301C651C0F2}" name="Cliente" dataDxfId="489"/>
    <tableColumn id="3" xr3:uid="{51F731CD-986B-4FF6-A861-83997E66998E}" name="Forma de Pgto" dataDxfId="488" dataCellStyle="Moeda"/>
    <tableColumn id="4" xr3:uid="{BD861052-26CD-48E9-91C6-0A6DF7C6A099}" name="Valor Parcela" dataDxfId="487" dataCellStyle="Porcentagem"/>
    <tableColumn id="5" xr3:uid="{8A5D6765-7637-45A4-9660-09EDBB031EC1}" name="Nº Parcela" dataDxfId="486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485" headerRowBorderDxfId="484" tableBorderDxfId="483" totalsRowBorderDxfId="482">
  <autoFilter ref="K34:M41" xr:uid="{1B8643D4-6AC3-4029-882A-C62E9D7CB225}"/>
  <tableColumns count="3">
    <tableColumn id="1" xr3:uid="{96F2F5A7-6005-4604-8B24-0E2838B4DD29}" name="OS" dataDxfId="481"/>
    <tableColumn id="2" xr3:uid="{ED904B68-5D9C-4B50-96BA-96CAD5E34CF1}" name="Parcelas" dataDxfId="480"/>
    <tableColumn id="3" xr3:uid="{317680F4-80F7-44BC-B3EF-4EFC6A803CAC}" name="Valor Total" dataDxfId="479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473" dataCellStyle="Moeda"/>
    <tableColumn id="5" xr3:uid="{8C950723-3D74-47BB-96EF-8D7D6A2189F6}" name="Cliente" dataDxfId="472" dataCellStyle="Moeda"/>
    <tableColumn id="2" xr3:uid="{891A7678-229E-4FF4-AD78-C00F149C7AB3}" name="Forma de Pgto" dataDxfId="471" dataCellStyle="Moeda"/>
    <tableColumn id="3" xr3:uid="{C1AD64CF-D636-4D0B-90AF-998E65C41E3B}" name="Valor Venda" dataDxfId="470" dataCellStyle="Porcentagem"/>
    <tableColumn id="4" xr3:uid="{4674130B-789D-479A-9F01-407FB3322D27}" name="Entrada" dataDxfId="469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558DC85F-C627-4F48-82AA-C24727E75A42}" name="Descrição" dataDxfId="463"/>
    <tableColumn id="2" xr3:uid="{8346B0E0-FB0D-4ED3-ABBC-3816B7CB40C9}" name="Tipo de Pagto" dataDxfId="462"/>
    <tableColumn id="3" xr3:uid="{362F9934-CC54-4E70-A26F-6CDF66DEB838}" name="Valor" dataDxfId="461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455"/>
    <tableColumn id="2" xr3:uid="{B711E4E6-0AE5-42C8-8015-A72C2855CDFB}" name="Cliente" dataDxfId="454"/>
    <tableColumn id="3" xr3:uid="{016D3713-BA29-48F8-8683-6E42C1C8BDFE}" name="Forma de Pgto" dataDxfId="453" dataCellStyle="Moeda"/>
    <tableColumn id="4" xr3:uid="{66F30211-F047-40DA-B134-05B87A798574}" name="Valor Venda" dataDxfId="452" dataCellStyle="Porcentagem"/>
    <tableColumn id="5" xr3:uid="{2FB6AB3C-AA9E-4034-AF4B-12D9A3ECBBCA}" name="Entrada" dataDxfId="451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D6DF1477-46D1-47E2-A070-9A33886E6137}" name="OS" dataDxfId="445"/>
    <tableColumn id="2" xr3:uid="{C4215FA6-4F2C-444A-8E0B-4F99AEEE9430}" name="Vendedor" dataDxfId="444"/>
    <tableColumn id="3" xr3:uid="{7B8AD675-F389-4803-BFFB-8166F703E829}" name="CARNE" dataDxfId="443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437"/>
    <tableColumn id="2" xr3:uid="{45674E96-72EC-433B-9141-E40A07A72A19}" name="Cliente" dataDxfId="436"/>
    <tableColumn id="3" xr3:uid="{22102B96-8607-4584-B5A3-C1EE639E0F4C}" name="Forma de Pgto" dataDxfId="435" dataCellStyle="Moeda"/>
    <tableColumn id="4" xr3:uid="{DC2E9D15-91B3-4478-AA38-B98773D1B0DA}" name="Valor Parcela" dataDxfId="434" dataCellStyle="Porcentagem"/>
    <tableColumn id="5" xr3:uid="{ABCCDEDB-69A0-4492-A24A-12A60E76A2F8}" name="Nº Parcela" dataDxfId="433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432" headerRowBorderDxfId="431" tableBorderDxfId="430" totalsRowBorderDxfId="429">
  <autoFilter ref="K34:M41" xr:uid="{1B8643D4-6AC3-4029-882A-C62E9D7CB225}"/>
  <tableColumns count="3">
    <tableColumn id="1" xr3:uid="{96E4A694-A16C-4FAB-8484-5D1DCD513FF1}" name="OS" dataDxfId="428"/>
    <tableColumn id="2" xr3:uid="{CEC7F98C-5986-47BB-824E-5616D5A150E4}" name="Parcelas" dataDxfId="427"/>
    <tableColumn id="3" xr3:uid="{A82CBD0B-203D-4ED5-BDE4-3B77ECED5860}" name="Valor Total" dataDxfId="426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420" dataCellStyle="Moeda"/>
    <tableColumn id="5" xr3:uid="{28960474-C27A-4147-BD99-7BB60462B8B0}" name="Cliente" dataDxfId="419" dataCellStyle="Moeda"/>
    <tableColumn id="2" xr3:uid="{67D37C1F-FE45-48AD-BED8-2CFECE89FEA0}" name="Forma de Pgto" dataDxfId="418" dataCellStyle="Moeda"/>
    <tableColumn id="3" xr3:uid="{9D53CA59-8DC0-45C1-B948-0BC9CE105A46}" name="Valor Venda" dataDxfId="417" dataCellStyle="Porcentagem"/>
    <tableColumn id="4" xr3:uid="{63C5EED9-C4FA-4177-B2B7-18053322A958}" name="Entrada" dataDxfId="416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EA5469B7-1D8E-40E9-95A2-35DAC9D5EC13}" name="Descrição" dataDxfId="410"/>
    <tableColumn id="2" xr3:uid="{6149AE8A-4EBC-4D73-8258-5E25710E3A30}" name="Tipo de Pagto" dataDxfId="409"/>
    <tableColumn id="3" xr3:uid="{6872D867-5B80-4E69-B012-87CC7B75B649}" name="Valor" dataDxfId="408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402"/>
    <tableColumn id="2" xr3:uid="{83BEE3E3-D5E6-4B4E-B0F3-B7D166EBC951}" name="Cliente" dataDxfId="401"/>
    <tableColumn id="3" xr3:uid="{D56D36FF-3364-4C9B-95E8-FF48852EB70B}" name="Forma de Pgto" dataDxfId="400" dataCellStyle="Moeda"/>
    <tableColumn id="4" xr3:uid="{E2E76570-BF3A-47F8-A702-0FE2FE405B33}" name="Valor Venda" dataDxfId="399" dataCellStyle="Porcentagem"/>
    <tableColumn id="5" xr3:uid="{19FD5054-F0CE-4B30-BF14-7D86B666A44E}" name="Entrada" dataDxfId="398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2A900AC2-CDD6-4655-B7AF-13F9A8DDD9FF}" name="OS" dataDxfId="392"/>
    <tableColumn id="2" xr3:uid="{D566D654-CC7D-40A6-874D-6CD6342DEC3B}" name="Vendedor" dataDxfId="391"/>
    <tableColumn id="3" xr3:uid="{E8D97BA9-0913-40AD-B2A5-0F60E6A0BE95}" name="CARNE" dataDxfId="390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384"/>
    <tableColumn id="2" xr3:uid="{CDAD5229-EE1B-4727-8C27-8A17FEDA1C5C}" name="Cliente" dataDxfId="383"/>
    <tableColumn id="3" xr3:uid="{93224419-805E-4D8C-A296-80DA02CCC413}" name="Forma de Pgto" dataDxfId="382" dataCellStyle="Moeda"/>
    <tableColumn id="4" xr3:uid="{40C77CE6-762C-49C9-94EB-7D5AFC9A73A4}" name="Valor Parcela" dataDxfId="381" dataCellStyle="Porcentagem"/>
    <tableColumn id="5" xr3:uid="{8A7914AB-189B-4928-860C-9AB79BAA232D}" name="Nº Parcela" dataDxfId="380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379" headerRowBorderDxfId="378" tableBorderDxfId="377" totalsRowBorderDxfId="376">
  <autoFilter ref="K34:M41" xr:uid="{1B8643D4-6AC3-4029-882A-C62E9D7CB225}"/>
  <tableColumns count="3">
    <tableColumn id="1" xr3:uid="{C92D7BD7-E114-41CE-802D-B41EFFA721F2}" name="OS" dataDxfId="375"/>
    <tableColumn id="2" xr3:uid="{C67ABBBE-4637-4653-928F-36D0678D64F6}" name="Parcelas" dataDxfId="374"/>
    <tableColumn id="3" xr3:uid="{2217F874-8724-4CC1-9542-1585CC1817E3}" name="Valor Total" dataDxfId="373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367" dataCellStyle="Moeda"/>
    <tableColumn id="5" xr3:uid="{EA7582FE-FEFF-4011-BD42-218C3664E6AB}" name="Cliente" dataDxfId="366" dataCellStyle="Moeda"/>
    <tableColumn id="2" xr3:uid="{F90F407A-44F2-4B25-95B2-7FFF747C7AA1}" name="Forma de Pgto" dataDxfId="365" dataCellStyle="Moeda"/>
    <tableColumn id="3" xr3:uid="{3ED51D07-27C8-4437-A49E-867C7274BC65}" name="Valor Venda" dataDxfId="364" dataCellStyle="Porcentagem"/>
    <tableColumn id="4" xr3:uid="{42C92817-5DF0-4DE7-B430-03840EF6E852}" name="Entrada" dataDxfId="363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BCDA9109-FE1B-43D0-A775-F187BA433103}" name="Descrição" dataDxfId="357"/>
    <tableColumn id="2" xr3:uid="{6200DB38-1340-49E2-8DB4-68F203C169F1}" name="Tipo de Pagto" dataDxfId="356"/>
    <tableColumn id="3" xr3:uid="{27595B27-AB97-40C9-BECE-DEB4EF2576B7}" name="Valor" dataDxfId="355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349"/>
    <tableColumn id="2" xr3:uid="{2547CEAB-188F-4407-8B89-F3536432D0FA}" name="Cliente" dataDxfId="348"/>
    <tableColumn id="3" xr3:uid="{54CBD340-AB1A-4F98-A129-037389C3E236}" name="Forma de Pgto" dataDxfId="347" dataCellStyle="Moeda"/>
    <tableColumn id="4" xr3:uid="{CB0BC571-5837-4C35-AFDD-D5873CE23AE9}" name="Valor Venda" dataDxfId="346" dataCellStyle="Porcentagem"/>
    <tableColumn id="5" xr3:uid="{517A77AC-A76A-4CE7-B5D1-3FEFDF7B8722}" name="Entrada" dataDxfId="345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71C4392B-8887-40B1-9A7B-C600C91C0A9F}" name="OS" dataDxfId="339"/>
    <tableColumn id="2" xr3:uid="{EAC02F14-380C-4B61-8944-E4F1EC6C2572}" name="Vendedor" dataDxfId="338"/>
    <tableColumn id="3" xr3:uid="{04750BAB-2533-45E4-AD1A-4273DBA80CF4}" name="CARNE" dataDxfId="337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331"/>
    <tableColumn id="2" xr3:uid="{C78ED1A0-4ABC-4C46-9011-9E7D40E53828}" name="Cliente" dataDxfId="330"/>
    <tableColumn id="3" xr3:uid="{5CDE3049-7EDA-4337-9E8E-58F0DB4CFDD5}" name="Forma de Pgto" dataDxfId="329" dataCellStyle="Moeda"/>
    <tableColumn id="4" xr3:uid="{7ACCAB16-AFFF-4B9D-A25F-B45F3BBA93B9}" name="Valor Parcela" dataDxfId="328" dataCellStyle="Porcentagem"/>
    <tableColumn id="5" xr3:uid="{15EC4276-5957-4146-877A-2D9AF52832DE}" name="Nº Parcela" dataDxfId="327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326" headerRowBorderDxfId="325" tableBorderDxfId="324" totalsRowBorderDxfId="323">
  <autoFilter ref="K34:M41" xr:uid="{1B8643D4-6AC3-4029-882A-C62E9D7CB225}"/>
  <tableColumns count="3">
    <tableColumn id="1" xr3:uid="{509FE920-B0D4-48CC-8AFC-C231084014ED}" name="OS" dataDxfId="322"/>
    <tableColumn id="2" xr3:uid="{648797DA-323D-4F7C-95F3-3223D3A08821}" name="Parcelas" dataDxfId="321"/>
    <tableColumn id="3" xr3:uid="{0684A7C0-4163-4297-B332-DFFBB65E266D}" name="Valor Total" dataDxfId="320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314" dataCellStyle="Moeda"/>
    <tableColumn id="5" xr3:uid="{FA1FA1DC-5352-4524-9AB2-369222C4BDD1}" name="Cliente" dataDxfId="313" dataCellStyle="Moeda"/>
    <tableColumn id="2" xr3:uid="{A73B5E06-AB1F-48ED-B61C-8853446A4F5E}" name="Forma de Pgto" dataDxfId="312" dataCellStyle="Moeda"/>
    <tableColumn id="3" xr3:uid="{E5231A7F-7D20-4503-A786-BF9FC0E23F42}" name="Valor Venda" dataDxfId="311" dataCellStyle="Porcentagem"/>
    <tableColumn id="4" xr3:uid="{86DAF072-A11E-464D-A335-9A5F5FF09F8D}" name="Entrada" dataDxfId="310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0C299E65-9391-4336-8CF7-2EC1702B221E}" name="Descrição" dataDxfId="304"/>
    <tableColumn id="2" xr3:uid="{45EA8371-50DD-4161-8CE6-AE739B48843A}" name="Tipo de Pagto" dataDxfId="303"/>
    <tableColumn id="3" xr3:uid="{4D98764C-873C-4A32-9ABD-121372723463}" name="Valor" dataDxfId="302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96"/>
    <tableColumn id="2" xr3:uid="{212BE65F-3FA5-419B-B9A4-58240EFDEBFA}" name="Cliente" dataDxfId="295"/>
    <tableColumn id="3" xr3:uid="{1EE1E2AC-25F1-4013-8D38-A0638CF454DB}" name="Forma de Pgto" dataDxfId="294" dataCellStyle="Moeda"/>
    <tableColumn id="4" xr3:uid="{38D98562-880F-4C00-A26B-F40D7F6C9E67}" name="Valor Venda" dataDxfId="293" dataCellStyle="Porcentagem"/>
    <tableColumn id="5" xr3:uid="{183B778F-EB01-4FDA-BD28-D4D361F688C4}" name="Entrada" dataDxfId="292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91" dataDxfId="289" headerRowBorderDxfId="290" tableBorderDxfId="288" totalsRowBorderDxfId="287">
  <autoFilter ref="K14:M31" xr:uid="{C83FE64B-E221-4DAA-89EA-5307A7BC98B3}"/>
  <sortState xmlns:xlrd2="http://schemas.microsoft.com/office/spreadsheetml/2017/richdata2" ref="K15:M31">
    <sortCondition ref="K14:K31"/>
  </sortState>
  <tableColumns count="3">
    <tableColumn id="1" xr3:uid="{21BA2342-0EF4-4D12-8CEB-D5F98AF1E43D}" name="OS" dataDxfId="286"/>
    <tableColumn id="2" xr3:uid="{8EC3F5A2-9325-43BD-A364-C3D24B7F492B}" name="Vendedor" dataDxfId="285"/>
    <tableColumn id="3" xr3:uid="{60B7BB21-2E30-4BF0-9109-7C61A6F8023E}" name="CARNE" dataDxfId="284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78"/>
    <tableColumn id="2" xr3:uid="{FEC021D0-C21F-4087-AA46-92F79B0BD15C}" name="Cliente" dataDxfId="277"/>
    <tableColumn id="3" xr3:uid="{B057DFD4-3A13-40AD-95B0-7A4A6D2F12EA}" name="Forma de Pgto" dataDxfId="276" dataCellStyle="Moeda"/>
    <tableColumn id="4" xr3:uid="{8571FA4F-3615-40B7-87DD-4A3572C756ED}" name="Valor Parcela" dataDxfId="275" dataCellStyle="Porcentagem"/>
    <tableColumn id="5" xr3:uid="{32F42922-7FF4-44E6-8FE1-CF1D84ED2607}" name="Nº Parcela" dataDxfId="274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73" headerRowBorderDxfId="272" tableBorderDxfId="271" totalsRowBorderDxfId="270">
  <autoFilter ref="K34:M41" xr:uid="{1B8643D4-6AC3-4029-882A-C62E9D7CB225}"/>
  <tableColumns count="3">
    <tableColumn id="1" xr3:uid="{239C8B86-39AD-48DE-8CD4-9E298F831595}" name="OS" dataDxfId="269"/>
    <tableColumn id="2" xr3:uid="{52A4913C-562E-40FD-8422-19A5A2E9F3E9}" name="Parcelas" dataDxfId="268"/>
    <tableColumn id="3" xr3:uid="{A2980378-BECE-4786-B65D-94F14F69AE6B}" name="Valor Total" dataDxfId="267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61" dataCellStyle="Moeda"/>
    <tableColumn id="5" xr3:uid="{570F0DA8-D686-4E48-AB43-770DB49D735A}" name="Cliente" dataDxfId="260" dataCellStyle="Moeda"/>
    <tableColumn id="2" xr3:uid="{80EB692B-CEF9-4384-93C3-D0C2D659D8B9}" name="Forma de Pgto" dataDxfId="259" dataCellStyle="Moeda"/>
    <tableColumn id="3" xr3:uid="{C072FA33-E65C-46A1-9619-122C55ADB543}" name="Valor Venda" dataDxfId="258" dataCellStyle="Porcentagem"/>
    <tableColumn id="4" xr3:uid="{A6AD7AE2-A356-40B6-8551-4661FBEB3F51}" name="Entrada" dataDxfId="257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B332CB19-9163-40A3-A95C-B96A1582E073}" name="Descrição" dataDxfId="251"/>
    <tableColumn id="2" xr3:uid="{61F5EE7F-73F4-42E2-A9DC-23449B0C3C01}" name="Tipo de Pagto" dataDxfId="250"/>
    <tableColumn id="3" xr3:uid="{DA89D608-9609-4843-A5C1-DE0E1200E4A8}" name="Valor" dataDxfId="249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243"/>
    <tableColumn id="2" xr3:uid="{AC5BDFCE-FCF6-4AAB-9202-5F41FD623E7A}" name="Cliente" dataDxfId="242"/>
    <tableColumn id="3" xr3:uid="{60B29A82-92C4-41E9-85E9-1CB47FDC0F48}" name="Forma de Pgto" dataDxfId="241" dataCellStyle="Moeda"/>
    <tableColumn id="4" xr3:uid="{77AEFEA3-2B2A-45D9-B420-2C503790CB98}" name="Valor Venda" dataDxfId="240" dataCellStyle="Porcentagem"/>
    <tableColumn id="5" xr3:uid="{ADAFB771-5146-4657-B325-26E81CB97F70}" name="Entrada" dataDxfId="239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A681CC1B-EF00-4702-9240-49A1F9CD0ED9}" name="OS" dataDxfId="233"/>
    <tableColumn id="2" xr3:uid="{CACBAC13-6FB8-41CD-B9DA-E0BF6545625A}" name="Vendedor" dataDxfId="232"/>
    <tableColumn id="3" xr3:uid="{62DBFAEA-33ED-481B-88FE-D480C79BD70A}" name="CARNE" dataDxfId="231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225"/>
    <tableColumn id="2" xr3:uid="{84774BA8-817B-4BB4-B330-18FC2D74BEBD}" name="Cliente" dataDxfId="224"/>
    <tableColumn id="3" xr3:uid="{B445E0F1-2EE3-48E4-A8D9-FA43238816EF}" name="Forma de Pgto" dataDxfId="223" dataCellStyle="Moeda"/>
    <tableColumn id="4" xr3:uid="{ABB960AB-65AE-4F15-BF53-C9D07E2FDA8B}" name="Valor Parcela" dataDxfId="222" dataCellStyle="Porcentagem"/>
    <tableColumn id="5" xr3:uid="{89825584-3833-4995-A86E-D7E4080CB9BB}" name="Nº Parcela" dataDxfId="221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220" headerRowBorderDxfId="219" tableBorderDxfId="218" totalsRowBorderDxfId="217">
  <autoFilter ref="K34:M41" xr:uid="{1B8643D4-6AC3-4029-882A-C62E9D7CB225}"/>
  <tableColumns count="3">
    <tableColumn id="1" xr3:uid="{EAA08E73-C7D6-46EB-8CB3-0B41DCC95916}" name="OS" dataDxfId="216"/>
    <tableColumn id="2" xr3:uid="{706D1FAA-0C88-4CDF-B8E1-15AD01A2E582}" name="Parcelas" dataDxfId="215"/>
    <tableColumn id="3" xr3:uid="{98D05923-385E-4F7C-ADF4-C1FB7F5B5CC5}" name="Valor Total" dataDxfId="214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208" dataCellStyle="Moeda"/>
    <tableColumn id="5" xr3:uid="{57575EBC-6B68-41EF-9676-918A4ABDCB4D}" name="Cliente" dataDxfId="207" dataCellStyle="Moeda"/>
    <tableColumn id="2" xr3:uid="{85714B76-869D-4DF7-8709-20EB0FE90848}" name="Forma de Pgto" dataDxfId="206" dataCellStyle="Moeda"/>
    <tableColumn id="3" xr3:uid="{A556487C-0FB8-4138-908B-0692480ED40F}" name="Valor Venda" dataDxfId="205" dataCellStyle="Porcentagem"/>
    <tableColumn id="4" xr3:uid="{2437A1CF-1861-42F2-9B6F-020480542B91}" name="Entrada" dataDxfId="204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EA498FD3-4549-4930-A7C5-2A6A697F86CC}" name="Descrição" dataDxfId="198"/>
    <tableColumn id="2" xr3:uid="{8748D917-3F00-4700-B7E5-7700540A331D}" name="Tipo de Pagto" dataDxfId="197"/>
    <tableColumn id="3" xr3:uid="{42A9985B-0743-4482-AA4C-D8FD0E0F72A5}" name="Valor" dataDxfId="196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90"/>
    <tableColumn id="2" xr3:uid="{FE587643-BC52-4E6E-AF00-724AEF5CF68E}" name="Cliente" dataDxfId="189"/>
    <tableColumn id="3" xr3:uid="{7FE7D67C-9631-4982-8037-006DC6383D49}" name="Forma de Pgto" dataDxfId="188" dataCellStyle="Moeda"/>
    <tableColumn id="4" xr3:uid="{F211FF52-FD8A-4441-B1F6-EDB12BA108C0}" name="Valor Venda" dataDxfId="187" dataCellStyle="Porcentagem"/>
    <tableColumn id="5" xr3:uid="{16E4261B-0737-47FE-A7D3-731BFAF25FF7}" name="Entrada" dataDxfId="186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8E54EB92-C776-41FF-A0DB-06AF704A4887}" name="OS" dataDxfId="180"/>
    <tableColumn id="2" xr3:uid="{6868B7F3-9EF7-46C7-BEF9-654E8E36ED1C}" name="Vendedor" dataDxfId="179"/>
    <tableColumn id="3" xr3:uid="{1350521A-D743-40D9-A465-2D8D4BFE6A10}" name="CARNE" dataDxfId="178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72"/>
    <tableColumn id="2" xr3:uid="{85BDCF85-AA6C-42E1-B1B7-C516556DBDB9}" name="Cliente" dataDxfId="171"/>
    <tableColumn id="3" xr3:uid="{9F8DE4E4-D5E2-48B5-8EAA-40EB197D32AC}" name="Forma de Pgto" dataDxfId="170" dataCellStyle="Moeda"/>
    <tableColumn id="4" xr3:uid="{C6290D95-7284-445D-8939-C5FD7951996B}" name="Valor Parcela" dataDxfId="169" dataCellStyle="Porcentagem"/>
    <tableColumn id="5" xr3:uid="{52285BEC-0F7D-418F-A98F-3BC424F4B159}" name="Nº Parcela" dataDxfId="168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67" headerRowBorderDxfId="166" tableBorderDxfId="165" totalsRowBorderDxfId="164">
  <autoFilter ref="K34:M41" xr:uid="{1B8643D4-6AC3-4029-882A-C62E9D7CB225}"/>
  <tableColumns count="3">
    <tableColumn id="1" xr3:uid="{2CBB75AA-30A1-4E7B-931E-A32395F87AA4}" name="OS" dataDxfId="163"/>
    <tableColumn id="2" xr3:uid="{9C8D7AA6-CFE0-4494-82DC-042A052CAAA0}" name="Parcelas" dataDxfId="162"/>
    <tableColumn id="3" xr3:uid="{57D19216-198A-4E06-835D-91E30A9FE599}" name="Valor Total" dataDxfId="161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55" dataCellStyle="Moeda"/>
    <tableColumn id="5" xr3:uid="{B57FE100-D980-4793-9BEF-6EB81A189BDF}" name="Cliente" dataDxfId="154" dataCellStyle="Moeda"/>
    <tableColumn id="2" xr3:uid="{E3E7153F-994D-48FC-90C4-2CBF846DD020}" name="Forma de Pgto" dataDxfId="153" dataCellStyle="Moeda"/>
    <tableColumn id="3" xr3:uid="{665F1580-FA55-4C7F-BD41-C142CAFE3223}" name="Valor Venda" dataDxfId="152" dataCellStyle="Porcentagem"/>
    <tableColumn id="4" xr3:uid="{6F1E523A-10ED-4EDD-B2CA-D0C7AD019914}" name="Entrada" dataDxfId="151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8A51E802-CECA-43FB-B82C-E6736A43EA3D}" name="Descrição" dataDxfId="145"/>
    <tableColumn id="2" xr3:uid="{5BCD8607-AADC-48F8-8E37-0466420D4FCD}" name="Tipo de Pagto" dataDxfId="144"/>
    <tableColumn id="3" xr3:uid="{4723FDE3-A519-42AE-9778-8C9E4D87D4F8}" name="Valor" dataDxfId="143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137"/>
    <tableColumn id="2" xr3:uid="{DD36027F-0205-4159-9C6C-7703DD9F61D1}" name="Cliente" dataDxfId="136"/>
    <tableColumn id="3" xr3:uid="{C8916D40-C533-47FF-A39E-183396744611}" name="Forma de Pgto" dataDxfId="135" dataCellStyle="Moeda"/>
    <tableColumn id="4" xr3:uid="{80EB5638-1F44-4817-8C1B-9EB07004D4CA}" name="Valor Venda" dataDxfId="134" dataCellStyle="Porcentagem"/>
    <tableColumn id="5" xr3:uid="{B4816614-99C6-4C2F-BA88-5290B6B734E3}" name="Entrada" dataDxfId="133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DCFC0FAB-C428-42CC-A79B-6BBC4C4E77BA}" name="OS" dataDxfId="127"/>
    <tableColumn id="2" xr3:uid="{55C72FAB-171A-4E5F-A55F-BBFBE0F4AF66}" name="Vendedor" dataDxfId="126"/>
    <tableColumn id="3" xr3:uid="{DCD6A944-16B4-44C6-9625-37A26D7A1151}" name="CARNE" dataDxfId="125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119"/>
    <tableColumn id="2" xr3:uid="{D2E85D99-F671-4642-9D56-7BBD7EADC926}" name="Cliente" dataDxfId="118"/>
    <tableColumn id="3" xr3:uid="{B8D270E5-112A-4D49-B21F-9055AF1F02FC}" name="Forma de Pgto" dataDxfId="117" dataCellStyle="Moeda"/>
    <tableColumn id="4" xr3:uid="{BA14CF36-FD33-4C35-B77D-D8C5207F906C}" name="Valor Parcela" dataDxfId="116" dataCellStyle="Porcentagem"/>
    <tableColumn id="5" xr3:uid="{2E862B2B-4705-4EDB-B528-4C423CDCC317}" name="Nº Parcela" dataDxfId="115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114" headerRowBorderDxfId="113" tableBorderDxfId="112" totalsRowBorderDxfId="111">
  <autoFilter ref="K34:M41" xr:uid="{1B8643D4-6AC3-4029-882A-C62E9D7CB225}"/>
  <tableColumns count="3">
    <tableColumn id="1" xr3:uid="{2092375F-825B-4295-AC07-BBBA3650EB3F}" name="OS" dataDxfId="110"/>
    <tableColumn id="2" xr3:uid="{8614B6AF-F25C-401B-AE51-F9959608EB4A}" name="Parcelas" dataDxfId="109"/>
    <tableColumn id="3" xr3:uid="{9702475E-64D8-4282-B5F4-F45E7E7B1891}" name="Valor Total" dataDxfId="108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102" dataCellStyle="Moeda"/>
    <tableColumn id="5" xr3:uid="{6DA19713-2E98-46D3-97C5-9220DCA239CF}" name="Cliente" dataDxfId="101" dataCellStyle="Moeda"/>
    <tableColumn id="2" xr3:uid="{88459FA3-E39A-4E24-BE6F-5B43DDEA2A4A}" name="Forma de Pgto" dataDxfId="100" dataCellStyle="Moeda"/>
    <tableColumn id="3" xr3:uid="{D7168B7C-70C2-4F65-A7A3-4909E88C1A7B}" name="Valor Venda" dataDxfId="99" dataCellStyle="Porcentagem"/>
    <tableColumn id="4" xr3:uid="{ADF4588D-7BC9-4314-A427-3D24958DACCC}" name="Entrada" dataDxfId="98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E442CE4D-8AE5-41ED-A914-7256B88EAC73}" name="Descrição" dataDxfId="92"/>
    <tableColumn id="2" xr3:uid="{1E7FE08B-850F-4E9F-8B47-9536C8F5EC41}" name="Tipo de Pagto" dataDxfId="91"/>
    <tableColumn id="3" xr3:uid="{3DF1C1DC-F67A-43FF-B2A1-DF3622684536}" name="Valor" dataDxfId="90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84"/>
    <tableColumn id="2" xr3:uid="{7751C919-065D-412F-B8A7-F92A54826246}" name="Cliente" dataDxfId="83"/>
    <tableColumn id="3" xr3:uid="{22CEA33D-E4AE-4795-B81E-F00AEE0259C7}" name="Forma de Pgto" dataDxfId="82" dataCellStyle="Moeda"/>
    <tableColumn id="4" xr3:uid="{111A6D3D-9DF3-48E3-B298-6A078CD9958A}" name="Valor Venda" dataDxfId="81" dataCellStyle="Porcentagem"/>
    <tableColumn id="5" xr3:uid="{6FAC4EB6-9A05-4962-BE54-D649C18DF277}" name="Entrada" dataDxfId="80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70EC0554-ECDB-4BBB-8EC8-2A8F33D6CFC6}" name="OS" dataDxfId="74"/>
    <tableColumn id="2" xr3:uid="{7B162083-69E8-4F3B-A78B-AAB824AC7351}" name="Vendedor" dataDxfId="73"/>
    <tableColumn id="3" xr3:uid="{A73D781B-1144-472F-AB4F-C1B60353EA62}" name="CARNE" dataDxfId="72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66"/>
    <tableColumn id="2" xr3:uid="{20C66877-6F9A-47B0-A475-B6BCD966BCDE}" name="Cliente" dataDxfId="65"/>
    <tableColumn id="3" xr3:uid="{0B1C76D4-E380-4017-B2F1-2785D2AA0EB8}" name="Forma de Pgto" dataDxfId="64" dataCellStyle="Moeda"/>
    <tableColumn id="4" xr3:uid="{B7ACF4A8-9732-43AF-BAA1-9675D326ADFE}" name="Valor Parcela" dataDxfId="63" dataCellStyle="Porcentagem"/>
    <tableColumn id="5" xr3:uid="{D3AA6A31-6891-4F0D-A789-213423B77F89}" name="Nº Parcela" dataDxfId="62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61" headerRowBorderDxfId="60" tableBorderDxfId="59" totalsRowBorderDxfId="58">
  <autoFilter ref="K34:M41" xr:uid="{1B8643D4-6AC3-4029-882A-C62E9D7CB225}"/>
  <tableColumns count="3">
    <tableColumn id="1" xr3:uid="{2F82B378-0FB6-4745-B866-67CFE9774172}" name="OS" dataDxfId="57"/>
    <tableColumn id="2" xr3:uid="{BC22F8A2-3A5C-41B3-B76F-5C0070F63051}" name="Parcelas" dataDxfId="56"/>
    <tableColumn id="3" xr3:uid="{4BD95DAA-0D20-4678-8E3E-53FA905C70F9}" name="Valor Total" dataDxfId="55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6" xr:uid="{688F5438-2C4E-400E-8BCD-6FFA28E7593E}" name="vend31" displayName="vend31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04B4AEF-4684-49C9-B752-A5C7DB4E3834}" name="Nº Venda" dataDxfId="49" dataCellStyle="Moeda"/>
    <tableColumn id="5" xr3:uid="{B349F75C-FD83-42BC-AC89-09AA029D8EFE}" name="Cliente" dataDxfId="48" dataCellStyle="Moeda"/>
    <tableColumn id="2" xr3:uid="{5AC8E623-19E4-4450-B04F-87D3C51A3106}" name="Forma de Pgto" dataDxfId="47" dataCellStyle="Moeda"/>
    <tableColumn id="3" xr3:uid="{B508839F-67B8-4567-A0E7-F626D9292F0F}" name="Valor Venda" dataDxfId="46" dataCellStyle="Porcentagem"/>
    <tableColumn id="4" xr3:uid="{EEC337BF-1756-4A9B-AD25-186C19F608E4}" name="Entrada" dataDxfId="45" dataCellStyle="Porcentagem"/>
  </tableColumns>
  <tableStyleInfo name="TableStyleMedium2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7" xr:uid="{802B9C6E-272A-4298-B1D4-50F34EE00E58}" name="desp31" displayName="desp31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3592BEEC-943B-4302-A978-B56ADB08BED9}" name="Descrição" dataDxfId="39"/>
    <tableColumn id="2" xr3:uid="{49221644-AE32-4BF9-BB52-77A3EABD5F0C}" name="Tipo de Pagto" dataDxfId="38"/>
    <tableColumn id="3" xr3:uid="{88361A78-CF3F-4DCF-8424-AE46053C75E6}" name="Valor" dataDxfId="37"/>
  </tableColumns>
  <tableStyleInfo name="TableStyleMedium2" showFirstColumn="0" showLastColumn="0" showRowStripes="1" showColumnStripes="0"/>
</table>
</file>

<file path=xl/tables/table1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8" xr:uid="{53C8B5B1-965F-4FEB-9916-3ECB4201942A}" name="rest_entr31" displayName="rest_entr31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AE46D6A-D209-493D-B582-44349BA9496C}" name="Nº Venda" dataDxfId="31"/>
    <tableColumn id="2" xr3:uid="{97DD3132-3804-4C47-A6DB-7DC40600EC8C}" name="Cliente" dataDxfId="30"/>
    <tableColumn id="3" xr3:uid="{1BC70869-3856-4ED9-8F16-5BD65C3868A7}" name="Forma de Pgto" dataDxfId="29" dataCellStyle="Moeda"/>
    <tableColumn id="4" xr3:uid="{C05A5EE1-AECF-408D-AE83-591D903C7D3B}" name="Valor Venda" dataDxfId="28" dataCellStyle="Porcentagem"/>
    <tableColumn id="5" xr3:uid="{1797FF6E-998A-42EF-B971-6F5AF105380C}" name="Entrada" dataDxfId="27" dataCellStyle="Porcentagem"/>
  </tableColumns>
  <tableStyleInfo name="TableStyleMedium2" showFirstColumn="0" showLastColumn="0" showRowStripes="1" showColumnStripes="0"/>
</table>
</file>

<file path=xl/tables/table1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9" xr:uid="{6564DBE8-CB00-4D15-886D-12F29CC4B2B4}" name="os_entr_dia31" displayName="os_entr_dia31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9DE4A889-248F-459E-8992-681934B06197}" name="OS" dataDxfId="21"/>
    <tableColumn id="2" xr3:uid="{02C1F889-1B21-460D-A9B5-23882A34C610}" name="Vendedor" dataDxfId="20"/>
    <tableColumn id="3" xr3:uid="{7BA38CB9-A108-482C-89FC-5BAC0E16D20B}" name="CARNE" dataDxfId="19"/>
  </tableColumns>
  <tableStyleInfo name="TableStyleMedium2" showFirstColumn="0" showLastColumn="0" showRowStripes="1" showColumnStripes="0"/>
</table>
</file>

<file path=xl/tables/table1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0" xr:uid="{64524176-DCEF-465D-A23E-603D56F6FD7D}" name="rec_carn31" displayName="rec_carn31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EDB42C2-479C-4AED-AA73-EB192F6D526F}" name="OS" dataDxfId="13"/>
    <tableColumn id="2" xr3:uid="{0384488B-A6E8-45B8-95DF-1AFC546D97F7}" name="Cliente" dataDxfId="12"/>
    <tableColumn id="3" xr3:uid="{27D144F0-AF87-462E-9717-001979EED817}" name="Forma de Pgto" dataDxfId="11" dataCellStyle="Moeda"/>
    <tableColumn id="4" xr3:uid="{53029C9F-CBAD-4B52-99B7-2C6ECD96CA7E}" name="Valor Parcela" dataDxfId="10" dataCellStyle="Porcentagem"/>
    <tableColumn id="5" xr3:uid="{6A53694F-D9A9-435C-8BF9-62A66BB6F1AD}" name="Nº Parcela" dataDxfId="9" dataCellStyle="Porcentagem"/>
  </tableColumns>
  <tableStyleInfo name="TableStyleMedium2" showFirstColumn="0" showLastColumn="0" showRowStripes="1" showColumnStripes="0"/>
</table>
</file>

<file path=xl/tables/table1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1" xr:uid="{531258EC-B92C-4244-A9CC-BC354F582B31}" name="entr_carn31" displayName="entr_carn31" ref="K34:M41" totalsRowShown="0" headerRowDxfId="8" headerRowBorderDxfId="7" tableBorderDxfId="6" totalsRowBorderDxfId="5">
  <autoFilter ref="K34:M41" xr:uid="{1B8643D4-6AC3-4029-882A-C62E9D7CB225}"/>
  <tableColumns count="3">
    <tableColumn id="1" xr3:uid="{020197BA-2A99-4121-9009-08C7A97AAB2F}" name="OS" dataDxfId="4"/>
    <tableColumn id="2" xr3:uid="{49A38415-1806-416E-A85E-CB9375CEB636}" name="Parcelas" dataDxfId="3"/>
    <tableColumn id="3" xr3:uid="{C6C0E4B4-CF56-4449-80ED-8D397C1D20D4}" name="Valor Total" dataDxfId="2"/>
  </tableColumns>
  <tableStyleInfo name="TableStyleMedium2" showFirstColumn="0" showLastColumn="0" showRowStripes="1" showColumnStripes="0"/>
</table>
</file>

<file path=xl/tables/table1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82.xml"/><Relationship Id="rId7" Type="http://schemas.openxmlformats.org/officeDocument/2006/relationships/table" Target="../tables/table186.xml"/><Relationship Id="rId2" Type="http://schemas.openxmlformats.org/officeDocument/2006/relationships/table" Target="../tables/table181.xml"/><Relationship Id="rId1" Type="http://schemas.openxmlformats.org/officeDocument/2006/relationships/printerSettings" Target="../printerSettings/printerSettings31.bin"/><Relationship Id="rId6" Type="http://schemas.openxmlformats.org/officeDocument/2006/relationships/table" Target="../tables/table185.xml"/><Relationship Id="rId5" Type="http://schemas.openxmlformats.org/officeDocument/2006/relationships/table" Target="../tables/table184.xml"/><Relationship Id="rId4" Type="http://schemas.openxmlformats.org/officeDocument/2006/relationships/table" Target="../tables/table183.xml"/></Relationships>
</file>

<file path=xl/worksheets/_rels/sheet3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8.xml"/><Relationship Id="rId1" Type="http://schemas.openxmlformats.org/officeDocument/2006/relationships/table" Target="../tables/table18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sheetPr codeName="Planilha1"/>
  <dimension ref="A2:B18"/>
  <sheetViews>
    <sheetView workbookViewId="0">
      <selection activeCell="G20" sqref="G20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0</v>
      </c>
      <c r="B2" s="20">
        <v>0</v>
      </c>
    </row>
    <row r="3" spans="1:2" ht="15" x14ac:dyDescent="0.25">
      <c r="A3" s="23" t="s">
        <v>1</v>
      </c>
      <c r="B3" s="24">
        <f>SUM('01'!C5,'02'!C5,'03'!C5,'04'!C5,'05'!C5,'06'!C5,'07'!C5,'08'!C5,'09'!C5,'10'!C5,'11'!C5,'12'!C5,'13'!C5,'14'!C5,'15'!C5,'16'!C5,'17'!C5,'18'!C5,'19'!C5,'20'!C5,'21'!C5,'22'!C5,'23'!C5,'24'!C5,'25'!C5,'26'!C5,'27'!C5,'28'!C5,'29'!C5,'30'!C5,'31'!C5)</f>
        <v>26007.700000000004</v>
      </c>
    </row>
    <row r="4" spans="1:2" ht="15" x14ac:dyDescent="0.25">
      <c r="A4" s="23" t="s">
        <v>2</v>
      </c>
      <c r="B4" s="24">
        <f>SUM('01'!C6,'02'!C6,'03'!C6,'04'!C6,'05'!C6,'06'!C6,'07'!C6,'08'!C6,'09'!C6,'10'!C6,'11'!C6,'12'!C6,'13'!C6,'14'!C6,'15'!C6,'16'!C6,'17'!C6,'18'!C6,'19'!C6,'20'!C6,'21'!C6,'22'!C6,'23'!C6,'24'!C6,'25'!C6,'26'!C6,'27'!C6,'28'!C6,'29'!C6,'30'!C6,'31'!C6)</f>
        <v>23815.800000000003</v>
      </c>
    </row>
    <row r="5" spans="1:2" ht="15" x14ac:dyDescent="0.25">
      <c r="A5" s="23" t="s">
        <v>3</v>
      </c>
      <c r="B5" s="24">
        <f>SUM('01'!C7,'02'!C7,'03'!C7,'04'!C7,'05'!C7,'06'!C7,'07'!C7,'08'!C7,'09'!C7,'10'!C7,'11'!C7,'12'!C7,'13'!C7,'14'!C7,'15'!C7,'16'!C7,'17'!C7,'18'!C7,'19'!C7,'20'!C7,'21'!C7,'22'!C7,'23'!C7,'24'!C7,'25'!C7,'26'!C7,'27'!C7,'28'!C7,'29'!C7,'30'!C7,'31'!C7)</f>
        <v>0</v>
      </c>
    </row>
    <row r="6" spans="1:2" ht="15.75" x14ac:dyDescent="0.25">
      <c r="A6" s="28" t="s">
        <v>4</v>
      </c>
      <c r="B6" s="29">
        <f>SUM(B4:B5)</f>
        <v>23815.800000000003</v>
      </c>
    </row>
    <row r="7" spans="1:2" ht="15" x14ac:dyDescent="0.25">
      <c r="A7" s="2"/>
      <c r="B7" s="2"/>
    </row>
    <row r="8" spans="1:2" ht="15" x14ac:dyDescent="0.2">
      <c r="A8" s="81" t="s">
        <v>5</v>
      </c>
      <c r="B8" s="81"/>
    </row>
    <row r="9" spans="1:2" ht="15" x14ac:dyDescent="0.25">
      <c r="A9" s="30" t="s">
        <v>6</v>
      </c>
      <c r="B9" s="24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'31'!C11)</f>
        <v>2692.49</v>
      </c>
    </row>
    <row r="10" spans="1:2" ht="15" x14ac:dyDescent="0.25">
      <c r="A10" s="30" t="s">
        <v>7</v>
      </c>
      <c r="B10" s="24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'31'!C12)</f>
        <v>6552.9</v>
      </c>
    </row>
    <row r="11" spans="1:2" ht="15" x14ac:dyDescent="0.25">
      <c r="A11" s="30" t="s">
        <v>8</v>
      </c>
      <c r="B11" s="24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'31'!C13)</f>
        <v>4012</v>
      </c>
    </row>
    <row r="12" spans="1:2" ht="15" x14ac:dyDescent="0.25">
      <c r="A12" s="30" t="s">
        <v>9</v>
      </c>
      <c r="B12" s="24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'31'!C14)</f>
        <v>10809.9</v>
      </c>
    </row>
    <row r="13" spans="1:2" ht="15" x14ac:dyDescent="0.25">
      <c r="A13" s="30" t="s">
        <v>10</v>
      </c>
      <c r="B13" s="24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'31'!C15)</f>
        <v>2940.1299999999997</v>
      </c>
    </row>
    <row r="14" spans="1:2" ht="15.75" x14ac:dyDescent="0.25">
      <c r="A14" s="28" t="s">
        <v>11</v>
      </c>
      <c r="B14" s="32">
        <f>SUM(B9:B13)</f>
        <v>27007.420000000002</v>
      </c>
    </row>
    <row r="15" spans="1:2" ht="15" x14ac:dyDescent="0.25">
      <c r="A15" s="2"/>
      <c r="B15" s="2"/>
    </row>
    <row r="16" spans="1:2" ht="15" x14ac:dyDescent="0.2">
      <c r="A16" s="81" t="s">
        <v>12</v>
      </c>
      <c r="B16" s="81"/>
    </row>
    <row r="17" spans="1:2" ht="15" x14ac:dyDescent="0.25">
      <c r="A17" s="30">
        <f>COUNT(#REF!)</f>
        <v>0</v>
      </c>
      <c r="B17" s="24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'31'!C19)</f>
        <v>349</v>
      </c>
    </row>
    <row r="18" spans="1:2" ht="15.75" x14ac:dyDescent="0.25">
      <c r="A18" s="28" t="s">
        <v>11</v>
      </c>
      <c r="B18" s="32">
        <f>SUM(B17:B17)</f>
        <v>349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E7CA4-BB51-4F38-8AE9-631998617942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AA59-BDDB-40C2-A256-988CB91F1D25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sheetPr codeName="Planilha2"/>
  <dimension ref="B1:R41"/>
  <sheetViews>
    <sheetView showGridLines="0" topLeftCell="A2" zoomScale="80" zoomScaleNormal="80" workbookViewId="0">
      <selection activeCell="B24" sqref="B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v>45292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IF(vend31190[[#This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IF(vend31190[[#This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IF(vend31190[[#This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IF(vend31190[[#This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IF(vend31190[[#This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IF(vend31190[[#This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IF(vend31190[[#This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IF(vend31190[[#This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IF(vend31190[[#This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IF(vend31190[[#This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IF(vend31190[[#This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IF(vend31190[[#This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IF(vend31190[[#This Row],[Nº Venda]]&gt;1,1,0)</f>
        <v>0</v>
      </c>
    </row>
    <row r="19" spans="2:18" ht="15.75" x14ac:dyDescent="0.25">
      <c r="B19" s="30">
        <f>COUNT(entr_carn31195[OS])</f>
        <v>0</v>
      </c>
      <c r="C19" s="31">
        <f>SUM(entr_carn31195[Valor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IF(vend31190[[#This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IF(vend31190[[#This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26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phoneticPr fontId="33" type="noConversion"/>
  <dataValidations disablePrompts="1" count="2">
    <dataValidation type="list" allowBlank="1" showInputMessage="1" showErrorMessage="1" sqref="M15:M31" xr:uid="{41BC2770-4628-466A-8A8E-25736D42D595}">
      <formula1>"Sim, Não"</formula1>
    </dataValidation>
    <dataValidation type="list" allowBlank="1" showInputMessage="1" showErrorMessage="1" sqref="L35:L41" xr:uid="{7C1BE99F-7376-46AC-BCA1-71DA569DC4C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2">
        <x14:dataValidation type="list" allowBlank="1" showInputMessage="1" showErrorMessage="1" xr:uid="{D750A6A5-C201-4190-B207-F5C8AA22818D}">
          <x14:formula1>
            <xm:f>base!$A$2:$A$9</xm:f>
          </x14:formula1>
          <xm:sqref>G6:G22 G35:G41</xm:sqref>
        </x14:dataValidation>
        <x14:dataValidation type="list" allowBlank="1" showInputMessage="1" showErrorMessage="1" xr:uid="{EA02ED54-2EDC-4F48-9411-38520FE9FF7F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sheetPr codeName="Planilha3"/>
  <dimension ref="B1:R41"/>
  <sheetViews>
    <sheetView showGridLines="0" zoomScale="80" zoomScaleNormal="80" workbookViewId="0">
      <selection activeCell="A23" sqref="A23:XFD2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'01'!B1+1</f>
        <v>45293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300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3360</v>
      </c>
      <c r="F6" s="25" t="s">
        <v>34</v>
      </c>
      <c r="G6" s="46" t="s">
        <v>9</v>
      </c>
      <c r="H6" s="8">
        <v>300</v>
      </c>
      <c r="I6" s="8">
        <v>250</v>
      </c>
      <c r="J6" s="2"/>
      <c r="K6" s="25"/>
      <c r="L6" s="9"/>
      <c r="M6" s="16"/>
      <c r="R6" s="1">
        <f>IF(vend2[[#This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3360</v>
      </c>
      <c r="F7" s="25" t="s">
        <v>34</v>
      </c>
      <c r="G7" s="46" t="s">
        <v>7</v>
      </c>
      <c r="H7" s="8">
        <v>0</v>
      </c>
      <c r="I7" s="8">
        <v>50</v>
      </c>
      <c r="J7" s="2"/>
      <c r="K7" s="25"/>
      <c r="L7" s="9"/>
      <c r="M7" s="16"/>
      <c r="R7" s="1">
        <f>IF(vend2[[#This Row],[Nº Venda]]&gt;1,1,0)</f>
        <v>1</v>
      </c>
    </row>
    <row r="8" spans="2:18" ht="15.75" x14ac:dyDescent="0.25">
      <c r="B8" s="28" t="s">
        <v>21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169.99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IF(vend2[[#This Row],[Nº Venda]]&gt;1,1,0)</f>
        <v>0</v>
      </c>
    </row>
    <row r="14" spans="2:18" ht="15.75" x14ac:dyDescent="0.25">
      <c r="B14" s="30" t="s">
        <v>9</v>
      </c>
      <c r="C14" s="31">
        <f t="shared" si="0"/>
        <v>250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3326</v>
      </c>
      <c r="L15" s="9" t="s">
        <v>35</v>
      </c>
      <c r="M15" s="16" t="s">
        <v>36</v>
      </c>
      <c r="R15" s="1">
        <f>IF(vend2[[#This Row],[Nº Venda]]&gt;1,1,0)</f>
        <v>0</v>
      </c>
    </row>
    <row r="16" spans="2:18" ht="15.75" x14ac:dyDescent="0.25">
      <c r="B16" s="28" t="s">
        <v>11</v>
      </c>
      <c r="C16" s="32">
        <f>SUM(C11:C15)</f>
        <v>469.99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300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3175</v>
      </c>
      <c r="F35" s="25" t="s">
        <v>37</v>
      </c>
      <c r="G35" s="26" t="s">
        <v>6</v>
      </c>
      <c r="H35" s="8">
        <v>169.99</v>
      </c>
      <c r="I35" s="8" t="s">
        <v>38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sheetPr codeName="Planilha4"/>
  <dimension ref="B1:R41"/>
  <sheetViews>
    <sheetView showGridLines="0" topLeftCell="A18" zoomScale="80" zoomScaleNormal="80" workbookViewId="0">
      <selection activeCell="C16" sqref="C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'02'!B1+1</f>
        <v>45294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970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270</v>
      </c>
      <c r="D6" s="2"/>
      <c r="E6" s="18">
        <v>3361</v>
      </c>
      <c r="F6" s="25" t="s">
        <v>39</v>
      </c>
      <c r="G6" s="46" t="s">
        <v>6</v>
      </c>
      <c r="H6" s="8">
        <v>50</v>
      </c>
      <c r="I6" s="8">
        <v>50</v>
      </c>
      <c r="J6" s="2"/>
      <c r="K6" s="25"/>
      <c r="L6" s="9"/>
      <c r="M6" s="16"/>
      <c r="R6" s="1">
        <f>IF(vend3[[#This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3362</v>
      </c>
      <c r="F7" s="25" t="s">
        <v>40</v>
      </c>
      <c r="G7" s="26" t="s">
        <v>6</v>
      </c>
      <c r="H7" s="8">
        <v>920</v>
      </c>
      <c r="I7" s="8">
        <v>100</v>
      </c>
      <c r="J7" s="2"/>
      <c r="K7" s="25"/>
      <c r="L7" s="9"/>
      <c r="M7" s="16"/>
      <c r="R7" s="1">
        <f>IF(vend3[[#This Row],[Nº Venda]]&gt;1,1,0)</f>
        <v>1</v>
      </c>
    </row>
    <row r="8" spans="2:18" ht="15.75" x14ac:dyDescent="0.25">
      <c r="B8" s="28" t="s">
        <v>21</v>
      </c>
      <c r="C8" s="29">
        <f>SUM(C6:C7)</f>
        <v>270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270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8</v>
      </c>
      <c r="C13" s="31">
        <f t="shared" si="0"/>
        <v>149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IF(vend3[[#This Row],[Nº Venda]]&gt;1,1,0)</f>
        <v>0</v>
      </c>
    </row>
    <row r="15" spans="2:18" ht="15.75" x14ac:dyDescent="0.25">
      <c r="B15" s="30" t="s">
        <v>10</v>
      </c>
      <c r="C15" s="31">
        <f t="shared" si="0"/>
        <v>128.33000000000001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11</v>
      </c>
      <c r="C16" s="32">
        <f>SUM(C11:C15)</f>
        <v>547.33000000000004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970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3332</v>
      </c>
      <c r="F26" s="25" t="s">
        <v>41</v>
      </c>
      <c r="G26" s="46" t="s">
        <v>6</v>
      </c>
      <c r="H26" s="8"/>
      <c r="I26" s="8">
        <v>120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 t="s">
        <v>42</v>
      </c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3076</v>
      </c>
      <c r="F35" s="25" t="s">
        <v>43</v>
      </c>
      <c r="G35" s="26" t="s">
        <v>8</v>
      </c>
      <c r="H35" s="8">
        <v>149</v>
      </c>
      <c r="I35" s="8" t="s">
        <v>44</v>
      </c>
      <c r="K35" s="25"/>
      <c r="L35" s="41"/>
      <c r="M35" s="16"/>
    </row>
    <row r="36" spans="2:18" ht="15.75" x14ac:dyDescent="0.25">
      <c r="E36" s="18">
        <v>3265</v>
      </c>
      <c r="F36" s="25" t="s">
        <v>45</v>
      </c>
      <c r="G36" s="26" t="s">
        <v>10</v>
      </c>
      <c r="H36" s="8">
        <v>128.33000000000001</v>
      </c>
      <c r="I36" s="8" t="s">
        <v>46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sheetPr codeName="Planilha5"/>
  <dimension ref="B1:R41"/>
  <sheetViews>
    <sheetView showGridLines="0" tabSelected="1" topLeftCell="A4" zoomScale="80" zoomScaleNormal="80" workbookViewId="0">
      <selection activeCell="E38" sqref="E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5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'03'!B1+1</f>
        <v>45295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640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565</v>
      </c>
      <c r="D6" s="2"/>
      <c r="E6" s="18">
        <v>3363</v>
      </c>
      <c r="F6" s="25" t="s">
        <v>47</v>
      </c>
      <c r="G6" s="46" t="s">
        <v>8</v>
      </c>
      <c r="H6" s="8">
        <v>145</v>
      </c>
      <c r="I6" s="8">
        <v>145</v>
      </c>
      <c r="J6" s="2"/>
      <c r="K6" s="25"/>
      <c r="L6" s="9"/>
      <c r="M6" s="16"/>
      <c r="R6" s="1">
        <f>IF(vend4[[#This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3364</v>
      </c>
      <c r="F7" s="25" t="s">
        <v>47</v>
      </c>
      <c r="G7" s="46" t="s">
        <v>8</v>
      </c>
      <c r="H7" s="8">
        <v>145</v>
      </c>
      <c r="I7" s="8">
        <v>145</v>
      </c>
      <c r="J7" s="2"/>
      <c r="K7" s="25"/>
      <c r="L7" s="9"/>
      <c r="M7" s="16"/>
      <c r="R7" s="1">
        <f>IF(vend4[[#This Row],[Nº Venda]]&gt;1,1,0)</f>
        <v>1</v>
      </c>
    </row>
    <row r="8" spans="2:18" ht="15.75" x14ac:dyDescent="0.25">
      <c r="B8" s="28" t="s">
        <v>21</v>
      </c>
      <c r="C8" s="29">
        <f>SUM(C6:C7)</f>
        <v>565</v>
      </c>
      <c r="D8" s="2"/>
      <c r="E8" s="18">
        <v>3365</v>
      </c>
      <c r="F8" s="25" t="s">
        <v>48</v>
      </c>
      <c r="G8" s="46" t="s">
        <v>7</v>
      </c>
      <c r="H8" s="8">
        <v>350</v>
      </c>
      <c r="I8" s="8">
        <v>175</v>
      </c>
      <c r="J8" s="2"/>
      <c r="K8" s="25"/>
      <c r="L8" s="9"/>
      <c r="M8" s="16"/>
      <c r="R8" s="1">
        <f>IF(vend4[[#This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271.60000000000002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8</v>
      </c>
      <c r="C13" s="31">
        <f t="shared" si="0"/>
        <v>290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IF(vend4[[#This Row],[Nº Venda]]&gt;1,1,0)</f>
        <v>0</v>
      </c>
    </row>
    <row r="15" spans="2:18" ht="18.75" x14ac:dyDescent="0.4">
      <c r="B15" s="30" t="s">
        <v>10</v>
      </c>
      <c r="C15" s="31">
        <f t="shared" si="0"/>
        <v>280</v>
      </c>
      <c r="D15" s="2"/>
      <c r="E15" s="18"/>
      <c r="F15" s="25"/>
      <c r="G15" s="26"/>
      <c r="H15" s="8"/>
      <c r="I15" s="8"/>
      <c r="J15" s="2"/>
      <c r="K15" s="67">
        <v>3330</v>
      </c>
      <c r="L15" s="68" t="s">
        <v>49</v>
      </c>
      <c r="M15" s="69" t="s">
        <v>36</v>
      </c>
      <c r="R15" s="1">
        <f>IF(vend4[[#This Row],[Nº Venda]]&gt;1,1,0)</f>
        <v>0</v>
      </c>
    </row>
    <row r="16" spans="2:18" ht="19.5" x14ac:dyDescent="0.4">
      <c r="B16" s="28" t="s">
        <v>11</v>
      </c>
      <c r="C16" s="32">
        <f>SUM(C11:C15)</f>
        <v>941.6</v>
      </c>
      <c r="D16" s="2"/>
      <c r="E16" s="18"/>
      <c r="F16" s="25"/>
      <c r="G16" s="26"/>
      <c r="H16" s="8"/>
      <c r="I16" s="8"/>
      <c r="J16" s="2"/>
      <c r="K16" s="70"/>
      <c r="L16" s="67"/>
      <c r="M16" s="69"/>
      <c r="R16" s="1">
        <f>IF(vend4[[#This Row],[Nº Venda]]&gt;1,1,0)</f>
        <v>0</v>
      </c>
    </row>
    <row r="17" spans="2:18" ht="18.75" x14ac:dyDescent="0.4">
      <c r="B17" s="2"/>
      <c r="C17" s="2"/>
      <c r="D17" s="2"/>
      <c r="E17" s="18"/>
      <c r="F17" s="25"/>
      <c r="G17" s="26"/>
      <c r="H17" s="8"/>
      <c r="I17" s="8"/>
      <c r="J17" s="2"/>
      <c r="K17" s="67"/>
      <c r="L17" s="68"/>
      <c r="M17" s="69"/>
      <c r="R17" s="1">
        <f>IF(vend4[[#This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3362</v>
      </c>
      <c r="F26" s="25" t="s">
        <v>40</v>
      </c>
      <c r="G26" s="46" t="s">
        <v>6</v>
      </c>
      <c r="H26" s="8"/>
      <c r="I26" s="8">
        <v>100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3077</v>
      </c>
      <c r="F35" s="25" t="s">
        <v>50</v>
      </c>
      <c r="G35" s="26" t="s">
        <v>7</v>
      </c>
      <c r="H35" s="8">
        <v>96.6</v>
      </c>
      <c r="I35" s="8" t="s">
        <v>51</v>
      </c>
      <c r="K35" s="25"/>
      <c r="L35" s="41"/>
      <c r="M35" s="16"/>
    </row>
    <row r="36" spans="2:18" ht="15.75" x14ac:dyDescent="0.25">
      <c r="E36" s="18">
        <v>2314</v>
      </c>
      <c r="F36" s="25" t="s">
        <v>52</v>
      </c>
      <c r="G36" s="26" t="s">
        <v>10</v>
      </c>
      <c r="H36" s="8">
        <v>140</v>
      </c>
      <c r="I36" s="8" t="s">
        <v>53</v>
      </c>
      <c r="K36" s="25"/>
      <c r="L36" s="41"/>
      <c r="M36" s="16"/>
    </row>
    <row r="37" spans="2:18" ht="15.75" x14ac:dyDescent="0.25">
      <c r="E37" s="18">
        <v>2314</v>
      </c>
      <c r="F37" s="25" t="s">
        <v>52</v>
      </c>
      <c r="G37" s="26" t="s">
        <v>10</v>
      </c>
      <c r="H37" s="8">
        <v>140</v>
      </c>
      <c r="I37" s="8" t="s">
        <v>54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2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sheetPr codeName="Planilha6"/>
  <dimension ref="B1:R41"/>
  <sheetViews>
    <sheetView showGridLines="0" zoomScale="80" zoomScaleNormal="80" workbookViewId="0">
      <selection activeCell="E17" sqref="E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2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'04'!B1+1</f>
        <v>45296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1750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1070</v>
      </c>
      <c r="D6" s="2"/>
      <c r="E6" s="18">
        <v>3366</v>
      </c>
      <c r="F6" s="25" t="s">
        <v>55</v>
      </c>
      <c r="G6" s="46" t="s">
        <v>7</v>
      </c>
      <c r="H6" s="8">
        <v>60</v>
      </c>
      <c r="I6" s="8">
        <v>60</v>
      </c>
      <c r="J6" s="2"/>
      <c r="K6" s="25"/>
      <c r="L6" s="9"/>
      <c r="M6" s="16"/>
      <c r="R6" s="1">
        <f>IF(vend5[[#This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3367</v>
      </c>
      <c r="F7" s="25" t="s">
        <v>56</v>
      </c>
      <c r="G7" s="46" t="s">
        <v>8</v>
      </c>
      <c r="H7" s="8">
        <v>1690</v>
      </c>
      <c r="I7" s="8">
        <v>480</v>
      </c>
      <c r="J7" s="2"/>
      <c r="K7" s="25"/>
      <c r="L7" s="9"/>
      <c r="M7" s="16"/>
      <c r="R7" s="1">
        <f>IF(vend5[[#This Row],[Nº Venda]]&gt;1,1,0)</f>
        <v>1</v>
      </c>
    </row>
    <row r="8" spans="2:18" ht="15.75" x14ac:dyDescent="0.25">
      <c r="B8" s="28" t="s">
        <v>21</v>
      </c>
      <c r="C8" s="29">
        <f>SUM(C6:C7)</f>
        <v>1070</v>
      </c>
      <c r="D8" s="2"/>
      <c r="E8" s="18"/>
      <c r="F8" s="25"/>
      <c r="G8" s="46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6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46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587</v>
      </c>
      <c r="D11" s="2"/>
      <c r="E11" s="18"/>
      <c r="F11" s="25"/>
      <c r="G11" s="4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60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8</v>
      </c>
      <c r="C13" s="31">
        <f t="shared" si="0"/>
        <v>480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IF(vend5[[#This Row],[Nº Venda]]&gt;1,1,0)</f>
        <v>0</v>
      </c>
    </row>
    <row r="15" spans="2:18" ht="15.75" x14ac:dyDescent="0.25">
      <c r="B15" s="30" t="s">
        <v>10</v>
      </c>
      <c r="C15" s="31">
        <f t="shared" si="0"/>
        <v>130</v>
      </c>
      <c r="D15" s="2"/>
      <c r="E15" s="18"/>
      <c r="F15" s="25"/>
      <c r="G15" s="26"/>
      <c r="H15" s="8"/>
      <c r="I15" s="8"/>
      <c r="J15" s="2"/>
      <c r="K15" s="25">
        <v>3319</v>
      </c>
      <c r="L15" s="9" t="s">
        <v>57</v>
      </c>
      <c r="M15" s="16" t="s">
        <v>36</v>
      </c>
      <c r="R15" s="1">
        <f>IF(vend5[[#This Row],[Nº Venda]]&gt;1,1,0)</f>
        <v>0</v>
      </c>
    </row>
    <row r="16" spans="2:18" ht="15.75" x14ac:dyDescent="0.25">
      <c r="B16" s="28" t="s">
        <v>11</v>
      </c>
      <c r="C16" s="32">
        <f>SUM(C11:C15)</f>
        <v>1257</v>
      </c>
      <c r="D16" s="2"/>
      <c r="E16" s="18"/>
      <c r="F16" s="25"/>
      <c r="G16" s="26"/>
      <c r="H16" s="8"/>
      <c r="I16" s="8"/>
      <c r="J16" s="2"/>
      <c r="K16" s="25">
        <v>3366</v>
      </c>
      <c r="L16" s="9" t="s">
        <v>49</v>
      </c>
      <c r="M16" s="16" t="s">
        <v>36</v>
      </c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3341</v>
      </c>
      <c r="L17" s="9" t="s">
        <v>35</v>
      </c>
      <c r="M17" s="16" t="s">
        <v>36</v>
      </c>
      <c r="R17" s="1">
        <f>IF(vend5[[#This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>
        <v>3354</v>
      </c>
      <c r="L18" s="9" t="s">
        <v>35</v>
      </c>
      <c r="M18" s="16" t="s">
        <v>36</v>
      </c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1750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3319</v>
      </c>
      <c r="F26" s="25" t="s">
        <v>58</v>
      </c>
      <c r="G26" s="46" t="s">
        <v>6</v>
      </c>
      <c r="H26" s="8"/>
      <c r="I26" s="8">
        <v>400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3319</v>
      </c>
      <c r="F27" s="25" t="s">
        <v>58</v>
      </c>
      <c r="G27" s="46" t="s">
        <v>10</v>
      </c>
      <c r="H27" s="8"/>
      <c r="I27" s="8">
        <v>20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3354</v>
      </c>
      <c r="F28" s="25" t="s">
        <v>59</v>
      </c>
      <c r="G28" s="46" t="s">
        <v>6</v>
      </c>
      <c r="H28" s="8"/>
      <c r="I28" s="8">
        <v>110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3053</v>
      </c>
      <c r="F35" s="25" t="s">
        <v>60</v>
      </c>
      <c r="G35" s="26" t="s">
        <v>10</v>
      </c>
      <c r="H35" s="8">
        <v>110</v>
      </c>
      <c r="I35" s="8" t="s">
        <v>61</v>
      </c>
      <c r="K35" s="25"/>
      <c r="L35" s="41"/>
      <c r="M35" s="16"/>
    </row>
    <row r="36" spans="2:18" ht="15.75" x14ac:dyDescent="0.25">
      <c r="E36" s="18">
        <v>3199</v>
      </c>
      <c r="F36" s="25" t="s">
        <v>62</v>
      </c>
      <c r="G36" s="26" t="s">
        <v>6</v>
      </c>
      <c r="H36" s="8">
        <v>77</v>
      </c>
      <c r="I36" s="8" t="s">
        <v>38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sheetPr codeName="Planilha7"/>
  <dimension ref="B1:R41"/>
  <sheetViews>
    <sheetView showGridLines="0" topLeftCell="A2" zoomScale="80" zoomScaleNormal="80" workbookViewId="0">
      <selection activeCell="V13" sqref="V1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4.28515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7.710937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'05'!B1+1</f>
        <v>45297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478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21</v>
      </c>
      <c r="C8" s="29">
        <f>SUM(C6:C7)</f>
        <v>478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" x14ac:dyDescent="0.25">
      <c r="B10" s="81" t="s">
        <v>5</v>
      </c>
      <c r="C10" s="81"/>
      <c r="D10" s="2"/>
      <c r="E10" s="66"/>
      <c r="F10" s="66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228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IF(vend[[#This Row],[Nº Venda]]&gt;1,1,0)</f>
        <v>0</v>
      </c>
    </row>
    <row r="14" spans="2:18" ht="15.75" x14ac:dyDescent="0.25">
      <c r="B14" s="30" t="s">
        <v>9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18">
        <v>3287</v>
      </c>
      <c r="L15" s="25" t="s">
        <v>35</v>
      </c>
      <c r="M15" s="16" t="s">
        <v>36</v>
      </c>
      <c r="R15" s="1">
        <f>IF(vend[[#This Row],[Nº Venda]]&gt;1,1,0)</f>
        <v>0</v>
      </c>
    </row>
    <row r="16" spans="2:18" ht="15.75" x14ac:dyDescent="0.25">
      <c r="B16" s="28" t="s">
        <v>11</v>
      </c>
      <c r="C16" s="32">
        <f>SUM(C11:C15)</f>
        <v>988</v>
      </c>
      <c r="D16" s="2"/>
      <c r="E16" s="18"/>
      <c r="F16" s="25"/>
      <c r="G16" s="26"/>
      <c r="H16" s="8"/>
      <c r="I16" s="8"/>
      <c r="J16" s="2"/>
      <c r="K16" s="25">
        <v>3328</v>
      </c>
      <c r="L16" s="9" t="s">
        <v>57</v>
      </c>
      <c r="M16" s="16" t="s">
        <v>36</v>
      </c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3336</v>
      </c>
      <c r="L17" s="9" t="s">
        <v>35</v>
      </c>
      <c r="M17" s="16" t="s">
        <v>36</v>
      </c>
      <c r="R17" s="1">
        <f>IF(vend[[#This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>
        <v>3331</v>
      </c>
      <c r="L18" s="9" t="s">
        <v>35</v>
      </c>
      <c r="M18" s="16" t="s">
        <v>64</v>
      </c>
      <c r="R18" s="1">
        <f>IF(vend[[#This Row],[Nº Venda]]&gt;1,1,0)</f>
        <v>0</v>
      </c>
    </row>
    <row r="19" spans="2:18" ht="15.75" x14ac:dyDescent="0.25">
      <c r="B19" s="30">
        <f>COUNT(entr_carn6[OS])</f>
        <v>1</v>
      </c>
      <c r="C19" s="31">
        <f>SUM(entr_carn6[Valor Total])</f>
        <v>349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11</v>
      </c>
      <c r="C20" s="32">
        <f>SUM(C19:C19)</f>
        <v>349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3350</v>
      </c>
      <c r="F26" s="25" t="s">
        <v>65</v>
      </c>
      <c r="G26" s="26" t="s">
        <v>9</v>
      </c>
      <c r="H26" s="8"/>
      <c r="I26" s="8">
        <v>329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3351</v>
      </c>
      <c r="F27" s="25" t="s">
        <v>66</v>
      </c>
      <c r="G27" s="26" t="s">
        <v>9</v>
      </c>
      <c r="H27" s="8"/>
      <c r="I27" s="8">
        <v>71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3351</v>
      </c>
      <c r="F28" s="25" t="s">
        <v>66</v>
      </c>
      <c r="G28" s="26" t="s">
        <v>7</v>
      </c>
      <c r="H28" s="8"/>
      <c r="I28" s="8">
        <v>78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2984</v>
      </c>
      <c r="F35" s="25" t="s">
        <v>67</v>
      </c>
      <c r="G35" s="26" t="s">
        <v>6</v>
      </c>
      <c r="H35" s="8">
        <v>360</v>
      </c>
      <c r="I35" s="8" t="s">
        <v>68</v>
      </c>
      <c r="K35" s="25">
        <v>3331</v>
      </c>
      <c r="L35" s="41">
        <v>3</v>
      </c>
      <c r="M35" s="16">
        <v>349</v>
      </c>
    </row>
    <row r="36" spans="2:18" ht="15.75" x14ac:dyDescent="0.25">
      <c r="E36" s="18">
        <v>2587</v>
      </c>
      <c r="F36" s="25" t="s">
        <v>69</v>
      </c>
      <c r="G36" s="26" t="s">
        <v>7</v>
      </c>
      <c r="H36" s="8">
        <v>75</v>
      </c>
      <c r="I36" s="8" t="s">
        <v>70</v>
      </c>
      <c r="K36" s="25"/>
      <c r="L36" s="41"/>
      <c r="M36" s="16"/>
    </row>
    <row r="37" spans="2:18" ht="15.75" x14ac:dyDescent="0.25">
      <c r="E37" s="18">
        <v>2587</v>
      </c>
      <c r="F37" s="25" t="s">
        <v>69</v>
      </c>
      <c r="G37" s="26" t="s">
        <v>7</v>
      </c>
      <c r="H37" s="8">
        <v>75</v>
      </c>
      <c r="I37" s="8" t="s">
        <v>71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1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8"/>
  <dimension ref="B1:R41"/>
  <sheetViews>
    <sheetView showGridLines="0" zoomScale="80" zoomScaleNormal="80" workbookViewId="0">
      <selection activeCell="K6" activeCellId="4" sqref="E26:I31 E35:I41 K35:M41 K15:M31 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'06'!B1+1</f>
        <v>45298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0</v>
      </c>
      <c r="D6" s="2"/>
      <c r="E6" s="51"/>
      <c r="F6" s="49"/>
      <c r="G6" s="49"/>
      <c r="H6" s="50"/>
      <c r="I6" s="50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2"/>
      <c r="F7" s="48"/>
      <c r="G7" s="48"/>
      <c r="H7" s="47"/>
      <c r="I7" s="47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3"/>
      <c r="L15" s="54"/>
      <c r="M15" s="55"/>
      <c r="R15" s="1">
        <f>IF(vend7[[#This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5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5"/>
      <c r="L17" s="9"/>
      <c r="M17" s="16"/>
      <c r="R17" s="1">
        <f>IF(vend7[[#This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45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5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5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4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45"/>
      <c r="L25" s="9"/>
      <c r="M25" s="16"/>
    </row>
    <row r="26" spans="2:18" ht="15.75" x14ac:dyDescent="0.25">
      <c r="B26" s="2"/>
      <c r="C26" s="2"/>
      <c r="D26" s="2"/>
      <c r="E26" s="74"/>
      <c r="F26" s="71"/>
      <c r="G26" s="75"/>
      <c r="H26" s="76"/>
      <c r="I26" s="76"/>
      <c r="J26" s="2"/>
      <c r="K26" s="4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sheetPr codeName="Planilha9"/>
  <dimension ref="B1:R41"/>
  <sheetViews>
    <sheetView showGridLines="0" zoomScale="80" zoomScaleNormal="80" workbookViewId="0">
      <selection activeCell="G20" sqref="G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'07'!B1+1</f>
        <v>45299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490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" x14ac:dyDescent="0.25">
      <c r="B6" s="23" t="s">
        <v>2</v>
      </c>
      <c r="C6" s="24">
        <f>SUM(I6:I41)</f>
        <v>490</v>
      </c>
      <c r="D6" s="2"/>
      <c r="E6" s="56">
        <v>3368</v>
      </c>
      <c r="F6" s="8" t="s">
        <v>72</v>
      </c>
      <c r="G6" s="8" t="s">
        <v>9</v>
      </c>
      <c r="H6" s="8">
        <v>490</v>
      </c>
      <c r="I6" s="8">
        <v>400</v>
      </c>
      <c r="J6" s="2"/>
      <c r="K6" s="25"/>
      <c r="L6" s="9"/>
      <c r="M6" s="16"/>
      <c r="R6" s="1">
        <f>IF(vend8[[#This Row],[Nº Venda]]&gt;1,1,0)</f>
        <v>1</v>
      </c>
    </row>
    <row r="7" spans="2:18" ht="15" x14ac:dyDescent="0.25">
      <c r="B7" s="23" t="s">
        <v>3</v>
      </c>
      <c r="C7" s="24">
        <f>SUM(M6:M11)</f>
        <v>0</v>
      </c>
      <c r="D7" s="2"/>
      <c r="E7" s="56">
        <v>3368</v>
      </c>
      <c r="F7" s="8" t="s">
        <v>72</v>
      </c>
      <c r="G7" s="8" t="s">
        <v>7</v>
      </c>
      <c r="H7" s="8"/>
      <c r="I7" s="8">
        <v>90</v>
      </c>
      <c r="J7" s="2"/>
      <c r="K7" s="25"/>
      <c r="L7" s="9"/>
      <c r="M7" s="16"/>
      <c r="R7" s="1">
        <f>IF(vend8[[#This Row],[Nº Venda]]&gt;1,1,0)</f>
        <v>1</v>
      </c>
    </row>
    <row r="8" spans="2:18" ht="15.75" x14ac:dyDescent="0.25">
      <c r="B8" s="28" t="s">
        <v>21</v>
      </c>
      <c r="C8" s="29">
        <f>SUM(C6:C7)</f>
        <v>490</v>
      </c>
      <c r="D8" s="2"/>
      <c r="E8" s="56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56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IF(vend8[[#This Row],[Nº Venda]]&gt;1,1,0)</f>
        <v>0</v>
      </c>
    </row>
    <row r="14" spans="2:18" ht="15.75" x14ac:dyDescent="0.25">
      <c r="B14" s="30" t="s">
        <v>9</v>
      </c>
      <c r="C14" s="31">
        <f t="shared" si="0"/>
        <v>400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11</v>
      </c>
      <c r="C16" s="32">
        <f>SUM(C11:C15)</f>
        <v>490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74"/>
      <c r="F26" s="71"/>
      <c r="G26" s="75"/>
      <c r="H26" s="76"/>
      <c r="I26" s="76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sheetPr codeName="Planilha10"/>
  <dimension ref="B1:R41"/>
  <sheetViews>
    <sheetView showGridLines="0" zoomScale="80" zoomScaleNormal="80" workbookViewId="0">
      <selection activeCell="G29" sqref="G2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5.28515625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'08'!B1+1</f>
        <v>45300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150.6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IF(vend9[[#This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IF(vend9[[#This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11</v>
      </c>
      <c r="C16" s="32">
        <f>SUM(C11:C15)</f>
        <v>250.6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5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3013</v>
      </c>
      <c r="F35" s="25" t="s">
        <v>73</v>
      </c>
      <c r="G35" s="26" t="s">
        <v>10</v>
      </c>
      <c r="H35" s="8">
        <v>100</v>
      </c>
      <c r="I35" s="8" t="s">
        <v>51</v>
      </c>
      <c r="K35" s="25"/>
      <c r="L35" s="41"/>
      <c r="M35" s="16"/>
    </row>
    <row r="36" spans="2:18" ht="15.75" x14ac:dyDescent="0.25">
      <c r="E36" s="18">
        <v>2716</v>
      </c>
      <c r="F36" s="25" t="s">
        <v>74</v>
      </c>
      <c r="G36" s="26" t="s">
        <v>7</v>
      </c>
      <c r="H36" s="8">
        <v>75</v>
      </c>
      <c r="I36" s="8" t="s">
        <v>53</v>
      </c>
      <c r="K36" s="25"/>
      <c r="L36" s="41"/>
      <c r="M36" s="16"/>
    </row>
    <row r="37" spans="2:18" ht="15.75" x14ac:dyDescent="0.25">
      <c r="E37" s="18">
        <v>2716</v>
      </c>
      <c r="F37" s="25" t="s">
        <v>74</v>
      </c>
      <c r="G37" s="26" t="s">
        <v>7</v>
      </c>
      <c r="H37" s="8">
        <v>75.599999999999994</v>
      </c>
      <c r="I37" s="8" t="s">
        <v>54</v>
      </c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sheetPr codeName="Planilha11"/>
  <dimension ref="B1:R41"/>
  <sheetViews>
    <sheetView showGridLines="0" zoomScale="80" zoomScaleNormal="80" workbookViewId="0">
      <selection activeCell="H22" sqref="H2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'09'!B1+1</f>
        <v>45301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399.9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499</v>
      </c>
      <c r="D6" s="2"/>
      <c r="E6" s="18">
        <v>3369</v>
      </c>
      <c r="F6" s="25" t="s">
        <v>75</v>
      </c>
      <c r="G6" s="46" t="s">
        <v>10</v>
      </c>
      <c r="H6" s="8">
        <v>399.9</v>
      </c>
      <c r="I6" s="8">
        <v>100</v>
      </c>
      <c r="J6" s="2"/>
      <c r="K6" s="25"/>
      <c r="L6" s="9"/>
      <c r="M6" s="16"/>
      <c r="R6" s="1">
        <f>IF(vend10[[#This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21</v>
      </c>
      <c r="C8" s="29">
        <f>SUM(C6:C7)</f>
        <v>499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399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IF(vend10[[#This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IF(vend10[[#This Row],[Nº Venda]]&gt;1,1,0)</f>
        <v>0</v>
      </c>
    </row>
    <row r="15" spans="2:18" ht="15.75" x14ac:dyDescent="0.25">
      <c r="B15" s="30" t="s">
        <v>10</v>
      </c>
      <c r="C15" s="31">
        <f t="shared" si="0"/>
        <v>100</v>
      </c>
      <c r="D15" s="2"/>
      <c r="E15" s="18"/>
      <c r="F15" s="25"/>
      <c r="G15" s="26"/>
      <c r="H15" s="8"/>
      <c r="I15" s="8"/>
      <c r="J15" s="2"/>
      <c r="K15" s="25">
        <v>3346</v>
      </c>
      <c r="L15" s="9" t="s">
        <v>35</v>
      </c>
      <c r="M15" s="16" t="s">
        <v>36</v>
      </c>
      <c r="R15" s="1">
        <f>IF(vend10[[#This Row],[Nº Venda]]&gt;1,1,0)</f>
        <v>0</v>
      </c>
    </row>
    <row r="16" spans="2:18" ht="15.75" x14ac:dyDescent="0.25">
      <c r="B16" s="28" t="s">
        <v>11</v>
      </c>
      <c r="C16" s="32">
        <f>SUM(C11:C15)</f>
        <v>499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399.9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3346</v>
      </c>
      <c r="F26" s="25" t="s">
        <v>76</v>
      </c>
      <c r="G26" s="46" t="s">
        <v>6</v>
      </c>
      <c r="H26" s="8"/>
      <c r="I26" s="8">
        <v>399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sheetPr codeName="Planilha12"/>
  <dimension ref="B1:R41"/>
  <sheetViews>
    <sheetView showGridLines="0" zoomScale="80" zoomScaleNormal="80" workbookViewId="0">
      <selection activeCell="E9" sqref="E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'10'!B1+1</f>
        <v>45302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1608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170</v>
      </c>
      <c r="D6" s="2"/>
      <c r="E6" s="18">
        <v>3370</v>
      </c>
      <c r="F6" s="25" t="s">
        <v>77</v>
      </c>
      <c r="G6" s="26" t="s">
        <v>7</v>
      </c>
      <c r="H6" s="8">
        <v>599</v>
      </c>
      <c r="I6" s="8">
        <v>100</v>
      </c>
      <c r="J6" s="2"/>
      <c r="K6" s="25"/>
      <c r="L6" s="9"/>
      <c r="M6" s="16"/>
      <c r="R6" s="1">
        <f>IF(vend11[[#This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3371</v>
      </c>
      <c r="F7" s="25" t="s">
        <v>78</v>
      </c>
      <c r="G7" s="26" t="s">
        <v>8</v>
      </c>
      <c r="H7" s="8">
        <v>60</v>
      </c>
      <c r="I7" s="8">
        <v>60</v>
      </c>
      <c r="J7" s="2"/>
      <c r="K7" s="25"/>
      <c r="L7" s="9"/>
      <c r="M7" s="16"/>
      <c r="R7" s="1">
        <f>IF(vend11[[#This Row],[Nº Venda]]&gt;1,1,0)</f>
        <v>1</v>
      </c>
    </row>
    <row r="8" spans="2:18" ht="15.75" x14ac:dyDescent="0.25">
      <c r="B8" s="28" t="s">
        <v>21</v>
      </c>
      <c r="C8" s="29">
        <f>SUM(C6:C7)</f>
        <v>170</v>
      </c>
      <c r="D8" s="2"/>
      <c r="E8" s="18">
        <v>3372</v>
      </c>
      <c r="F8" s="25" t="s">
        <v>79</v>
      </c>
      <c r="G8" s="26" t="s">
        <v>10</v>
      </c>
      <c r="H8" s="8">
        <v>949</v>
      </c>
      <c r="I8" s="8">
        <v>10</v>
      </c>
      <c r="J8" s="2"/>
      <c r="K8" s="25"/>
      <c r="L8" s="9"/>
      <c r="M8" s="16"/>
      <c r="R8" s="1">
        <f>IF(vend11[[#This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100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8</v>
      </c>
      <c r="C13" s="31">
        <f t="shared" si="0"/>
        <v>60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IF(vend11[[#This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IF(vend11[[#This Row],[Nº Venda]]&gt;1,1,0)</f>
        <v>0</v>
      </c>
    </row>
    <row r="15" spans="2:18" ht="15.75" x14ac:dyDescent="0.25">
      <c r="B15" s="30" t="s">
        <v>10</v>
      </c>
      <c r="C15" s="31">
        <f t="shared" si="0"/>
        <v>110</v>
      </c>
      <c r="D15" s="2"/>
      <c r="E15" s="18"/>
      <c r="F15" s="25"/>
      <c r="G15" s="26"/>
      <c r="H15" s="8"/>
      <c r="I15" s="8"/>
      <c r="J15" s="2"/>
      <c r="K15" s="25">
        <v>3371</v>
      </c>
      <c r="L15" s="9" t="s">
        <v>80</v>
      </c>
      <c r="M15" s="16" t="s">
        <v>36</v>
      </c>
      <c r="R15" s="1">
        <f>IF(vend11[[#This Row],[Nº Venda]]&gt;1,1,0)</f>
        <v>0</v>
      </c>
    </row>
    <row r="16" spans="2:18" ht="15.75" x14ac:dyDescent="0.25">
      <c r="B16" s="28" t="s">
        <v>11</v>
      </c>
      <c r="C16" s="32">
        <f>SUM(C11:C15)</f>
        <v>270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1608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3075</v>
      </c>
      <c r="F35" s="25" t="s">
        <v>81</v>
      </c>
      <c r="G35" s="26" t="s">
        <v>10</v>
      </c>
      <c r="H35" s="8">
        <v>100</v>
      </c>
      <c r="I35" s="8" t="s">
        <v>82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sheetPr codeName="Planilha13"/>
  <dimension ref="B1:V41"/>
  <sheetViews>
    <sheetView showGridLines="0" topLeftCell="A6" zoomScale="80" zoomScaleNormal="80" workbookViewId="0">
      <selection activeCell="U27" sqref="U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22" ht="27" x14ac:dyDescent="0.5">
      <c r="B1" s="65">
        <f>'11'!B1+1</f>
        <v>45303</v>
      </c>
    </row>
    <row r="2" spans="2:22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22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22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22" ht="15" x14ac:dyDescent="0.25">
      <c r="B5" s="23" t="s">
        <v>1</v>
      </c>
      <c r="C5" s="24">
        <f>SUMIF(I6:I31,"&gt;0",H6:H31)</f>
        <v>2520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22" ht="15" x14ac:dyDescent="0.25">
      <c r="B6" s="23" t="s">
        <v>2</v>
      </c>
      <c r="C6" s="24">
        <f>SUM(I6:I41)</f>
        <v>1874</v>
      </c>
      <c r="D6" s="2"/>
      <c r="E6" s="57" t="s">
        <v>83</v>
      </c>
      <c r="F6" s="58" t="s">
        <v>84</v>
      </c>
      <c r="G6" s="58" t="s">
        <v>10</v>
      </c>
      <c r="H6" s="59">
        <v>1090</v>
      </c>
      <c r="I6" s="59">
        <v>109</v>
      </c>
      <c r="J6" s="2"/>
      <c r="K6" s="25"/>
      <c r="L6" s="9"/>
      <c r="M6" s="16"/>
      <c r="R6" s="1">
        <f>IF(vend12[[#This Row],[Nº Venda]]&gt;1,1,0)</f>
        <v>1</v>
      </c>
    </row>
    <row r="7" spans="2:22" ht="15" x14ac:dyDescent="0.25">
      <c r="B7" s="23" t="s">
        <v>3</v>
      </c>
      <c r="C7" s="24">
        <f>SUM(M6:M11)</f>
        <v>0</v>
      </c>
      <c r="D7" s="2"/>
      <c r="E7" s="60" t="s">
        <v>85</v>
      </c>
      <c r="F7" s="61" t="s">
        <v>86</v>
      </c>
      <c r="G7" s="61" t="s">
        <v>9</v>
      </c>
      <c r="H7" s="62">
        <v>690</v>
      </c>
      <c r="I7" s="62">
        <v>690</v>
      </c>
      <c r="J7" s="2"/>
      <c r="K7" s="25"/>
      <c r="L7" s="9"/>
      <c r="M7" s="16"/>
      <c r="R7" s="1">
        <f>IF(vend12[[#This Row],[Nº Venda]]&gt;1,1,0)</f>
        <v>1</v>
      </c>
    </row>
    <row r="8" spans="2:22" ht="15.75" x14ac:dyDescent="0.25">
      <c r="B8" s="28" t="s">
        <v>21</v>
      </c>
      <c r="C8" s="29">
        <f>SUM(C6:C7)</f>
        <v>1874</v>
      </c>
      <c r="D8" s="2"/>
      <c r="E8" s="64">
        <v>3375</v>
      </c>
      <c r="F8" s="61" t="s">
        <v>87</v>
      </c>
      <c r="G8" s="61" t="s">
        <v>7</v>
      </c>
      <c r="H8" s="62">
        <v>50</v>
      </c>
      <c r="I8" s="62">
        <v>50</v>
      </c>
      <c r="J8" s="2"/>
      <c r="K8" s="25"/>
      <c r="L8" s="9"/>
      <c r="M8" s="16"/>
      <c r="R8" s="1">
        <f>IF(vend12[[#This Row],[Nº Venda]]&gt;1,1,0)</f>
        <v>1</v>
      </c>
    </row>
    <row r="9" spans="2:22" ht="15.75" x14ac:dyDescent="0.25">
      <c r="B9" s="2"/>
      <c r="C9" s="2"/>
      <c r="D9" s="2"/>
      <c r="E9" s="18">
        <v>3376</v>
      </c>
      <c r="F9" s="25" t="s">
        <v>88</v>
      </c>
      <c r="G9" s="26" t="s">
        <v>10</v>
      </c>
      <c r="H9" s="8">
        <v>690</v>
      </c>
      <c r="I9" s="8">
        <v>50</v>
      </c>
      <c r="J9" s="2"/>
      <c r="K9" s="25"/>
      <c r="L9" s="9"/>
      <c r="M9" s="16"/>
      <c r="R9" s="1">
        <f>IF(vend12[[#This Row],[Nº Venda]]&gt;1,1,0)</f>
        <v>1</v>
      </c>
    </row>
    <row r="10" spans="2:22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22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IF(vend12[[#This Row],[Nº Venda]]&gt;1,1,0)</f>
        <v>0</v>
      </c>
    </row>
    <row r="12" spans="2:22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22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IF(vend12[[#This Row],[Nº Venda]]&gt;1,1,0)</f>
        <v>0</v>
      </c>
    </row>
    <row r="14" spans="2:22" ht="15.75" x14ac:dyDescent="0.25">
      <c r="B14" s="30" t="s">
        <v>9</v>
      </c>
      <c r="C14" s="31">
        <f t="shared" si="0"/>
        <v>1465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IF(vend12[[#This Row],[Nº Venda]]&gt;1,1,0)</f>
        <v>0</v>
      </c>
    </row>
    <row r="15" spans="2:22" ht="15.75" x14ac:dyDescent="0.25">
      <c r="B15" s="30" t="s">
        <v>10</v>
      </c>
      <c r="C15" s="31">
        <f t="shared" si="0"/>
        <v>469</v>
      </c>
      <c r="D15" s="2"/>
      <c r="E15" s="18"/>
      <c r="F15" s="25"/>
      <c r="G15" s="26"/>
      <c r="H15" s="8"/>
      <c r="I15" s="8"/>
      <c r="J15" s="2"/>
      <c r="K15" s="25">
        <v>3360</v>
      </c>
      <c r="L15" s="9" t="s">
        <v>35</v>
      </c>
      <c r="M15" s="16" t="s">
        <v>36</v>
      </c>
      <c r="R15" s="1">
        <f>IF(vend12[[#This Row],[Nº Venda]]&gt;1,1,0)</f>
        <v>0</v>
      </c>
      <c r="V15" s="1" t="s">
        <v>89</v>
      </c>
    </row>
    <row r="16" spans="2:22" ht="15.75" x14ac:dyDescent="0.25">
      <c r="B16" s="28" t="s">
        <v>11</v>
      </c>
      <c r="C16" s="32">
        <f>SUM(C11:C15)</f>
        <v>1984</v>
      </c>
      <c r="D16" s="2"/>
      <c r="E16" s="18"/>
      <c r="F16" s="25"/>
      <c r="G16" s="26"/>
      <c r="H16" s="8"/>
      <c r="I16" s="8"/>
      <c r="J16" s="2"/>
      <c r="K16" s="25">
        <v>3296</v>
      </c>
      <c r="L16" s="9" t="s">
        <v>57</v>
      </c>
      <c r="M16" s="16" t="s">
        <v>36</v>
      </c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3297</v>
      </c>
      <c r="L17" s="9" t="s">
        <v>57</v>
      </c>
      <c r="M17" s="16" t="s">
        <v>36</v>
      </c>
      <c r="R17" s="1">
        <f>IF(vend12[[#This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2520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3370</v>
      </c>
      <c r="F26" s="63" t="s">
        <v>90</v>
      </c>
      <c r="G26" s="46" t="s">
        <v>10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3296</v>
      </c>
      <c r="F27" s="25" t="s">
        <v>91</v>
      </c>
      <c r="G27" s="26" t="s">
        <v>9</v>
      </c>
      <c r="H27" s="8"/>
      <c r="I27" s="8">
        <v>682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3297</v>
      </c>
      <c r="F28" s="25" t="s">
        <v>91</v>
      </c>
      <c r="G28" s="26" t="s">
        <v>9</v>
      </c>
      <c r="H28" s="8"/>
      <c r="I28" s="8">
        <v>93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3271</v>
      </c>
      <c r="F35" s="25" t="s">
        <v>92</v>
      </c>
      <c r="G35" s="26" t="s">
        <v>10</v>
      </c>
      <c r="H35" s="8">
        <v>110</v>
      </c>
      <c r="I35" s="8" t="s">
        <v>93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sheetPr codeName="Planilha14"/>
  <dimension ref="B1:R41"/>
  <sheetViews>
    <sheetView showGridLines="0" zoomScale="80" zoomScaleNormal="80" workbookViewId="0">
      <selection activeCell="W17" sqref="W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'12'!B1+1</f>
        <v>45304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2394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300</v>
      </c>
      <c r="D6" s="2"/>
      <c r="E6" s="18">
        <v>3377</v>
      </c>
      <c r="F6" s="25" t="s">
        <v>94</v>
      </c>
      <c r="G6" s="26" t="s">
        <v>10</v>
      </c>
      <c r="H6" s="8">
        <v>1596</v>
      </c>
      <c r="I6" s="8">
        <v>50</v>
      </c>
      <c r="J6" s="2"/>
      <c r="K6" s="25"/>
      <c r="L6" s="9"/>
      <c r="M6" s="16"/>
      <c r="R6" s="1">
        <f>IF(vend13[[#This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3378</v>
      </c>
      <c r="F7" s="25" t="s">
        <v>95</v>
      </c>
      <c r="G7" s="26" t="s">
        <v>10</v>
      </c>
      <c r="H7" s="8">
        <v>798</v>
      </c>
      <c r="I7" s="8">
        <v>250</v>
      </c>
      <c r="J7" s="2"/>
      <c r="K7" s="25"/>
      <c r="L7" s="9"/>
      <c r="M7" s="16"/>
      <c r="R7" s="1">
        <f>IF(vend13[[#This Row],[Nº Venda]]&gt;1,1,0)</f>
        <v>1</v>
      </c>
    </row>
    <row r="8" spans="2:18" ht="15.75" x14ac:dyDescent="0.25">
      <c r="B8" s="28" t="s">
        <v>21</v>
      </c>
      <c r="C8" s="29">
        <f>SUM(C6:C7)</f>
        <v>300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IF(vend13[[#This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IF(vend13[[#This Row],[Nº Venda]]&gt;1,1,0)</f>
        <v>0</v>
      </c>
    </row>
    <row r="15" spans="2:18" ht="15.75" x14ac:dyDescent="0.2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11</v>
      </c>
      <c r="C16" s="32">
        <f>SUM(C11:C15)</f>
        <v>300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2394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sheetPr codeName="Planilha15"/>
  <dimension ref="B1:R41"/>
  <sheetViews>
    <sheetView showGridLines="0" zoomScale="80" zoomScaleNormal="80" workbookViewId="0">
      <selection activeCell="B32" sqref="B3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'13'!B1+1</f>
        <v>45305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46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6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IF(vend14[[#This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sheetPr codeName="Planilha16"/>
  <dimension ref="B1:R41"/>
  <sheetViews>
    <sheetView showGridLines="0" zoomScale="80" zoomScaleNormal="80" workbookViewId="0">
      <selection activeCell="G18" sqref="G1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'14'!B1+1</f>
        <v>45306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2038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1988</v>
      </c>
      <c r="D6" s="2"/>
      <c r="E6" s="18">
        <v>3379</v>
      </c>
      <c r="F6" s="25" t="s">
        <v>96</v>
      </c>
      <c r="G6" s="46" t="s">
        <v>7</v>
      </c>
      <c r="H6" s="8">
        <v>250</v>
      </c>
      <c r="I6" s="8">
        <v>250</v>
      </c>
      <c r="J6" s="2"/>
      <c r="K6" s="25"/>
      <c r="L6" s="9"/>
      <c r="M6" s="16"/>
      <c r="R6" s="1">
        <f>IF(vend15[[#This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3380</v>
      </c>
      <c r="F7" s="25" t="s">
        <v>97</v>
      </c>
      <c r="G7" s="46"/>
      <c r="H7" s="8">
        <v>60</v>
      </c>
      <c r="I7" s="8"/>
      <c r="J7" s="2"/>
      <c r="K7" s="25"/>
      <c r="L7" s="9"/>
      <c r="M7" s="16"/>
      <c r="R7" s="1">
        <f>IF(vend15[[#This Row],[Nº Venda]]&gt;1,1,0)</f>
        <v>1</v>
      </c>
    </row>
    <row r="8" spans="2:18" ht="15.75" x14ac:dyDescent="0.25">
      <c r="B8" s="28" t="s">
        <v>21</v>
      </c>
      <c r="C8" s="29">
        <f>SUM(C6:C7)</f>
        <v>1988</v>
      </c>
      <c r="D8" s="2"/>
      <c r="E8" s="18">
        <v>3381</v>
      </c>
      <c r="F8" s="25" t="s">
        <v>98</v>
      </c>
      <c r="G8" s="46" t="s">
        <v>8</v>
      </c>
      <c r="H8" s="8">
        <v>390</v>
      </c>
      <c r="I8" s="8">
        <v>390</v>
      </c>
      <c r="J8" s="2"/>
      <c r="K8" s="25"/>
      <c r="L8" s="9"/>
      <c r="M8" s="16"/>
      <c r="R8" s="1">
        <f>IF(vend15[[#This Row],[Nº Venda]]&gt;1,1,0)</f>
        <v>1</v>
      </c>
    </row>
    <row r="9" spans="2:18" ht="15.75" x14ac:dyDescent="0.25">
      <c r="B9" s="2"/>
      <c r="C9" s="2"/>
      <c r="D9" s="2"/>
      <c r="E9" s="18">
        <v>3382</v>
      </c>
      <c r="F9" s="25" t="s">
        <v>98</v>
      </c>
      <c r="G9" s="26" t="s">
        <v>8</v>
      </c>
      <c r="H9" s="8">
        <v>250</v>
      </c>
      <c r="I9" s="8">
        <v>250</v>
      </c>
      <c r="J9" s="2"/>
      <c r="K9" s="25"/>
      <c r="L9" s="9"/>
      <c r="M9" s="16"/>
      <c r="R9" s="1">
        <f>IF(vend15[[#This Row],[Nº Venda]]&gt;1,1,0)</f>
        <v>1</v>
      </c>
    </row>
    <row r="10" spans="2:18" ht="15.75" x14ac:dyDescent="0.25">
      <c r="B10" s="81" t="s">
        <v>5</v>
      </c>
      <c r="C10" s="81"/>
      <c r="D10" s="2"/>
      <c r="E10" s="18">
        <v>3383</v>
      </c>
      <c r="F10" s="25" t="s">
        <v>99</v>
      </c>
      <c r="G10" s="26" t="s">
        <v>6</v>
      </c>
      <c r="H10" s="8">
        <v>500</v>
      </c>
      <c r="I10" s="8">
        <v>250</v>
      </c>
      <c r="J10" s="2"/>
      <c r="K10" s="25"/>
      <c r="L10" s="9"/>
      <c r="M10" s="16"/>
      <c r="R10" s="1">
        <f>IF(vend15[[#This Row],[Nº Venda]]&gt;1,1,0)</f>
        <v>1</v>
      </c>
    </row>
    <row r="11" spans="2:18" ht="15.75" x14ac:dyDescent="0.25">
      <c r="B11" s="30" t="s">
        <v>6</v>
      </c>
      <c r="C11" s="31">
        <f>(SUMIF($G$2:$G$31,B11,$I$2:$I$31))+(SUMIF($G$35:$G$41,B11,$H$35:$H$41))</f>
        <v>346.5</v>
      </c>
      <c r="D11" s="2"/>
      <c r="E11" s="18">
        <v>3384</v>
      </c>
      <c r="F11" s="25" t="s">
        <v>100</v>
      </c>
      <c r="G11" s="26" t="s">
        <v>8</v>
      </c>
      <c r="H11" s="8">
        <v>99</v>
      </c>
      <c r="I11" s="8">
        <v>99</v>
      </c>
      <c r="J11" s="2"/>
      <c r="K11" s="27"/>
      <c r="L11" s="9"/>
      <c r="M11" s="16"/>
      <c r="O11" s="1">
        <f>IF(C16=0,0,1)</f>
        <v>1</v>
      </c>
      <c r="R11" s="1">
        <f>IF(vend15[[#This Row],[Nº Venda]]&gt;1,1,0)</f>
        <v>1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450</v>
      </c>
      <c r="D12" s="2"/>
      <c r="E12" s="18">
        <v>3385</v>
      </c>
      <c r="F12" s="25" t="s">
        <v>101</v>
      </c>
      <c r="G12" s="26" t="s">
        <v>8</v>
      </c>
      <c r="H12" s="8">
        <v>549</v>
      </c>
      <c r="I12" s="8">
        <v>549</v>
      </c>
      <c r="J12" s="2"/>
      <c r="R12" s="1">
        <f>IF(vend15[[#This Row],[Nº Venda]]&gt;1,1,0)</f>
        <v>1</v>
      </c>
    </row>
    <row r="13" spans="2:18" ht="15.75" x14ac:dyDescent="0.25">
      <c r="B13" s="30" t="s">
        <v>8</v>
      </c>
      <c r="C13" s="31">
        <f t="shared" si="0"/>
        <v>1288</v>
      </c>
      <c r="D13" s="2"/>
      <c r="E13" s="18">
        <v>3386</v>
      </c>
      <c r="F13" s="25" t="s">
        <v>102</v>
      </c>
      <c r="G13" s="26" t="s">
        <v>103</v>
      </c>
      <c r="H13" s="8">
        <v>0</v>
      </c>
      <c r="I13" s="8">
        <v>0</v>
      </c>
      <c r="J13" s="2"/>
      <c r="K13" s="83" t="s">
        <v>22</v>
      </c>
      <c r="L13" s="84"/>
      <c r="M13" s="85"/>
      <c r="R13" s="1">
        <f>IF(vend15[[#This Row],[Nº Venda]]&gt;1,1,0)</f>
        <v>1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3347</v>
      </c>
      <c r="L15" s="9" t="s">
        <v>35</v>
      </c>
      <c r="M15" s="16" t="s">
        <v>36</v>
      </c>
      <c r="R15" s="1">
        <f>IF(vend15[[#This Row],[Nº Venda]]&gt;1,1,0)</f>
        <v>0</v>
      </c>
    </row>
    <row r="16" spans="2:18" ht="15.75" x14ac:dyDescent="0.25">
      <c r="B16" s="28" t="s">
        <v>11</v>
      </c>
      <c r="C16" s="32">
        <f>SUM(C11:C15)</f>
        <v>2084.5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2038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3362</v>
      </c>
      <c r="F26" s="25" t="s">
        <v>40</v>
      </c>
      <c r="G26" s="26" t="s">
        <v>7</v>
      </c>
      <c r="H26" s="8"/>
      <c r="I26" s="8">
        <v>200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2852</v>
      </c>
      <c r="F35" s="25" t="s">
        <v>104</v>
      </c>
      <c r="G35" s="26" t="s">
        <v>6</v>
      </c>
      <c r="H35" s="8">
        <v>96.5</v>
      </c>
      <c r="I35" s="8" t="s">
        <v>105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8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sheetPr codeName="Planilha17"/>
  <dimension ref="B1:R41"/>
  <sheetViews>
    <sheetView showGridLines="0" topLeftCell="A4" zoomScale="80" zoomScaleNormal="80" workbookViewId="0">
      <selection activeCell="H12" sqref="H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'15'!B1+1</f>
        <v>45307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1980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3526</v>
      </c>
      <c r="D6" s="2"/>
      <c r="E6" s="18">
        <v>3387</v>
      </c>
      <c r="F6" s="25" t="s">
        <v>106</v>
      </c>
      <c r="G6" s="46" t="s">
        <v>7</v>
      </c>
      <c r="H6" s="8">
        <v>990</v>
      </c>
      <c r="I6" s="8">
        <v>990</v>
      </c>
      <c r="J6" s="2"/>
      <c r="K6" s="25"/>
      <c r="L6" s="9"/>
      <c r="M6" s="16"/>
      <c r="R6" s="1">
        <f>IF(vend16[[#This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3388</v>
      </c>
      <c r="F7" s="25" t="s">
        <v>107</v>
      </c>
      <c r="G7" s="46" t="s">
        <v>9</v>
      </c>
      <c r="H7" s="8">
        <v>540</v>
      </c>
      <c r="I7" s="8">
        <v>540</v>
      </c>
      <c r="J7" s="2"/>
      <c r="K7" s="25"/>
      <c r="L7" s="9"/>
      <c r="M7" s="16"/>
      <c r="R7" s="1">
        <f>IF(vend16[[#This Row],[Nº Venda]]&gt;1,1,0)</f>
        <v>1</v>
      </c>
    </row>
    <row r="8" spans="2:18" ht="15.75" x14ac:dyDescent="0.25">
      <c r="B8" s="28" t="s">
        <v>21</v>
      </c>
      <c r="C8" s="29">
        <f>SUM(C6:C7)</f>
        <v>3526</v>
      </c>
      <c r="D8" s="2"/>
      <c r="E8" s="18">
        <v>3389</v>
      </c>
      <c r="F8" s="25" t="s">
        <v>107</v>
      </c>
      <c r="G8" s="26" t="s">
        <v>9</v>
      </c>
      <c r="H8" s="8">
        <v>450</v>
      </c>
      <c r="I8" s="8">
        <v>450</v>
      </c>
      <c r="J8" s="2"/>
      <c r="K8" s="25"/>
      <c r="L8" s="9"/>
      <c r="M8" s="16"/>
      <c r="R8" s="1">
        <f>IF(vend16[[#This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250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990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IF(vend16[[#This Row],[Nº Venda]]&gt;1,1,0)</f>
        <v>0</v>
      </c>
    </row>
    <row r="14" spans="2:18" ht="15.75" x14ac:dyDescent="0.25">
      <c r="B14" s="30" t="s">
        <v>9</v>
      </c>
      <c r="C14" s="31">
        <f t="shared" si="0"/>
        <v>2536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IF(vend16[[#This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11</v>
      </c>
      <c r="C16" s="32">
        <f>SUM(C11:C15)</f>
        <v>3776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1980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3377</v>
      </c>
      <c r="F26" s="25" t="s">
        <v>94</v>
      </c>
      <c r="G26" s="46" t="s">
        <v>9</v>
      </c>
      <c r="H26" s="8"/>
      <c r="I26" s="8">
        <v>1546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2777</v>
      </c>
      <c r="F35" s="25" t="s">
        <v>108</v>
      </c>
      <c r="G35" s="26" t="s">
        <v>6</v>
      </c>
      <c r="H35" s="8">
        <v>250</v>
      </c>
      <c r="I35" s="8" t="s">
        <v>70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sheetPr codeName="Planilha18"/>
  <dimension ref="B1:R41"/>
  <sheetViews>
    <sheetView showGridLines="0" topLeftCell="A4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'16'!B1+1</f>
        <v>45308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1990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110</v>
      </c>
      <c r="D6" s="2"/>
      <c r="E6" s="18">
        <v>3390</v>
      </c>
      <c r="F6" s="25" t="s">
        <v>109</v>
      </c>
      <c r="G6" s="26" t="s">
        <v>10</v>
      </c>
      <c r="H6" s="8">
        <v>990</v>
      </c>
      <c r="I6" s="8">
        <v>10</v>
      </c>
      <c r="J6" s="2"/>
      <c r="K6" s="25"/>
      <c r="L6" s="9"/>
      <c r="M6" s="16"/>
      <c r="R6" s="1">
        <f>IF(vend17[[#This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3392</v>
      </c>
      <c r="F7" s="25" t="s">
        <v>67</v>
      </c>
      <c r="G7" s="26" t="s">
        <v>6</v>
      </c>
      <c r="H7" s="8">
        <v>1000</v>
      </c>
      <c r="I7" s="8">
        <v>100</v>
      </c>
      <c r="J7" s="2"/>
      <c r="K7" s="25"/>
      <c r="L7" s="9"/>
      <c r="M7" s="16"/>
      <c r="R7" s="1">
        <f>IF(vend17[[#This Row],[Nº Venda]]&gt;1,1,0)</f>
        <v>1</v>
      </c>
    </row>
    <row r="8" spans="2:18" ht="15.75" x14ac:dyDescent="0.25">
      <c r="B8" s="28" t="s">
        <v>21</v>
      </c>
      <c r="C8" s="29">
        <f>SUM(C6:C7)</f>
        <v>110</v>
      </c>
      <c r="D8" s="2"/>
      <c r="E8" s="18">
        <v>3391</v>
      </c>
      <c r="F8" s="25" t="s">
        <v>109</v>
      </c>
      <c r="G8" s="26" t="s">
        <v>10</v>
      </c>
      <c r="H8" s="8" t="s">
        <v>110</v>
      </c>
      <c r="I8" s="8"/>
      <c r="J8" s="2"/>
      <c r="K8" s="25"/>
      <c r="L8" s="9"/>
      <c r="M8" s="16"/>
      <c r="R8" s="1">
        <f>IF(vend17[[#This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100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IF(vend17[[#This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IF(vend17[[#This Row],[Nº Venda]]&gt;1,1,0)</f>
        <v>0</v>
      </c>
    </row>
    <row r="15" spans="2:18" ht="15.75" x14ac:dyDescent="0.25">
      <c r="B15" s="30" t="s">
        <v>10</v>
      </c>
      <c r="C15" s="31">
        <f t="shared" si="0"/>
        <v>10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11</v>
      </c>
      <c r="C16" s="32">
        <f>SUM(C11:C15)</f>
        <v>110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1990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sheetPr codeName="Planilha19"/>
  <dimension ref="B1:R41"/>
  <sheetViews>
    <sheetView showGridLines="0" topLeftCell="B1" zoomScale="80" zoomScaleNormal="80" workbookViewId="0">
      <selection activeCell="B33" sqref="B33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'17'!B1+1</f>
        <v>45309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IF(vend18[[#This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IF(vend18[[#This Row],[Nº Venda]]&gt;1,1,0)</f>
        <v>0</v>
      </c>
    </row>
    <row r="15" spans="2:18" ht="15.75" x14ac:dyDescent="0.25">
      <c r="B15" s="30" t="s">
        <v>10</v>
      </c>
      <c r="C15" s="31">
        <f t="shared" si="0"/>
        <v>124.6</v>
      </c>
      <c r="D15" s="2"/>
      <c r="E15" s="18"/>
      <c r="F15" s="25"/>
      <c r="G15" s="26"/>
      <c r="H15" s="8"/>
      <c r="I15" s="8"/>
      <c r="J15" s="2"/>
      <c r="K15" s="25">
        <v>3368</v>
      </c>
      <c r="L15" s="9" t="s">
        <v>111</v>
      </c>
      <c r="M15" s="16" t="s">
        <v>36</v>
      </c>
      <c r="R15" s="1">
        <f>IF(vend18[[#This Row],[Nº Venda]]&gt;1,1,0)</f>
        <v>0</v>
      </c>
    </row>
    <row r="16" spans="2:18" ht="15.75" x14ac:dyDescent="0.25">
      <c r="B16" s="28" t="s">
        <v>11</v>
      </c>
      <c r="C16" s="32">
        <f>SUM(C11:C15)</f>
        <v>124.6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3281</v>
      </c>
      <c r="F35" s="25" t="s">
        <v>112</v>
      </c>
      <c r="G35" s="26" t="s">
        <v>10</v>
      </c>
      <c r="H35" s="8">
        <v>124.6</v>
      </c>
      <c r="I35" s="8" t="s">
        <v>113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sheetPr codeName="Planilha20"/>
  <dimension ref="B1:R41"/>
  <sheetViews>
    <sheetView showGridLines="0" topLeftCell="A4" zoomScale="80" zoomScaleNormal="80" workbookViewId="0">
      <selection activeCell="H16" sqref="H1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'18'!B1+1</f>
        <v>45310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1427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21</v>
      </c>
      <c r="C8" s="29">
        <f>SUM(C6:C7)</f>
        <v>1427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IF(vend19[[#This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IF(vend19[[#This Row],[Nº Venda]]&gt;1,1,0)</f>
        <v>0</v>
      </c>
    </row>
    <row r="14" spans="2:18" ht="15.75" x14ac:dyDescent="0.25">
      <c r="B14" s="30" t="s">
        <v>9</v>
      </c>
      <c r="C14" s="31">
        <f t="shared" si="0"/>
        <v>1252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IF(vend19[[#This Row],[Nº Venda]]&gt;1,1,0)</f>
        <v>0</v>
      </c>
    </row>
    <row r="15" spans="2:18" ht="15.75" x14ac:dyDescent="0.25">
      <c r="B15" s="30" t="s">
        <v>10</v>
      </c>
      <c r="C15" s="31">
        <f t="shared" si="0"/>
        <v>365.2</v>
      </c>
      <c r="D15" s="2"/>
      <c r="E15" s="18"/>
      <c r="F15" s="25"/>
      <c r="G15" s="26"/>
      <c r="H15" s="8"/>
      <c r="I15" s="8"/>
      <c r="J15" s="2"/>
      <c r="K15" s="25">
        <v>3386</v>
      </c>
      <c r="L15" s="9" t="s">
        <v>114</v>
      </c>
      <c r="M15" s="16" t="s">
        <v>36</v>
      </c>
      <c r="R15" s="1">
        <f>IF(vend19[[#This Row],[Nº Venda]]&gt;1,1,0)</f>
        <v>0</v>
      </c>
    </row>
    <row r="16" spans="2:18" ht="15.75" x14ac:dyDescent="0.25">
      <c r="B16" s="28" t="s">
        <v>11</v>
      </c>
      <c r="C16" s="32">
        <f>SUM(C11:C15)</f>
        <v>1617.2</v>
      </c>
      <c r="D16" s="2"/>
      <c r="E16" s="18"/>
      <c r="F16" s="25"/>
      <c r="G16" s="26"/>
      <c r="H16" s="8"/>
      <c r="I16" s="8"/>
      <c r="J16" s="2"/>
      <c r="K16" s="25">
        <v>3379</v>
      </c>
      <c r="L16" s="9" t="s">
        <v>35</v>
      </c>
      <c r="M16" s="16" t="s">
        <v>36</v>
      </c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3293</v>
      </c>
      <c r="L17" s="9" t="s">
        <v>57</v>
      </c>
      <c r="M17" s="16" t="s">
        <v>36</v>
      </c>
      <c r="R17" s="1">
        <f>IF(vend19[[#This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3365</v>
      </c>
      <c r="F26" s="25" t="s">
        <v>115</v>
      </c>
      <c r="G26" s="26" t="s">
        <v>10</v>
      </c>
      <c r="H26" s="8"/>
      <c r="I26" s="8">
        <v>175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3294</v>
      </c>
      <c r="F27" s="25" t="s">
        <v>116</v>
      </c>
      <c r="G27" s="26" t="s">
        <v>9</v>
      </c>
      <c r="H27" s="8"/>
      <c r="I27" s="8">
        <v>90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>
        <v>3293</v>
      </c>
      <c r="F28" s="25" t="s">
        <v>116</v>
      </c>
      <c r="G28" s="26" t="s">
        <v>9</v>
      </c>
      <c r="H28" s="8"/>
      <c r="I28" s="8">
        <v>1162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2603</v>
      </c>
      <c r="F35" s="25" t="s">
        <v>117</v>
      </c>
      <c r="G35" s="26" t="s">
        <v>10</v>
      </c>
      <c r="H35" s="8">
        <v>190.2</v>
      </c>
      <c r="I35" s="8" t="s">
        <v>53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sheetPr codeName="Planilha21"/>
  <dimension ref="B1:R41"/>
  <sheetViews>
    <sheetView showGridLines="0" topLeftCell="A2" zoomScale="80" zoomScaleNormal="80" workbookViewId="0">
      <selection activeCell="H15" sqref="H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'19'!B1+1</f>
        <v>45311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940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2299</v>
      </c>
      <c r="D6" s="2"/>
      <c r="E6" s="18">
        <v>3393</v>
      </c>
      <c r="F6" s="25" t="s">
        <v>118</v>
      </c>
      <c r="G6" s="26" t="s">
        <v>103</v>
      </c>
      <c r="H6" s="8">
        <v>0</v>
      </c>
      <c r="I6" s="8">
        <v>0</v>
      </c>
      <c r="J6" s="2"/>
      <c r="K6" s="25"/>
      <c r="L6" s="9"/>
      <c r="M6" s="16"/>
      <c r="R6" s="1">
        <f>IF(vend20[[#This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3394</v>
      </c>
      <c r="F7" s="25" t="s">
        <v>119</v>
      </c>
      <c r="G7" s="26" t="s">
        <v>9</v>
      </c>
      <c r="H7" s="8">
        <v>940</v>
      </c>
      <c r="I7" s="8">
        <v>940</v>
      </c>
      <c r="J7" s="2"/>
      <c r="K7" s="25"/>
      <c r="L7" s="9"/>
      <c r="M7" s="16"/>
      <c r="R7" s="1">
        <f>IF(vend20[[#This Row],[Nº Venda]]&gt;1,1,0)</f>
        <v>1</v>
      </c>
    </row>
    <row r="8" spans="2:18" ht="15.75" x14ac:dyDescent="0.25">
      <c r="B8" s="28" t="s">
        <v>21</v>
      </c>
      <c r="C8" s="29">
        <f>SUM(C6:C7)</f>
        <v>2299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1359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IF(vend20[[#This Row],[Nº Venda]]&gt;1,1,0)</f>
        <v>0</v>
      </c>
    </row>
    <row r="14" spans="2:18" ht="15.75" x14ac:dyDescent="0.25">
      <c r="B14" s="30" t="s">
        <v>9</v>
      </c>
      <c r="C14" s="31">
        <f t="shared" si="0"/>
        <v>940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IF(vend20[[#This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3353</v>
      </c>
      <c r="L15" s="9" t="s">
        <v>120</v>
      </c>
      <c r="M15" s="16" t="s">
        <v>36</v>
      </c>
      <c r="R15" s="1">
        <f>IF(vend20[[#This Row],[Nº Venda]]&gt;1,1,0)</f>
        <v>0</v>
      </c>
    </row>
    <row r="16" spans="2:18" ht="15.75" x14ac:dyDescent="0.25">
      <c r="B16" s="28" t="s">
        <v>11</v>
      </c>
      <c r="C16" s="32">
        <f>SUM(C11:C15)</f>
        <v>2299</v>
      </c>
      <c r="D16" s="2"/>
      <c r="E16" s="18"/>
      <c r="F16" s="25"/>
      <c r="G16" s="26"/>
      <c r="H16" s="8"/>
      <c r="I16" s="8"/>
      <c r="J16" s="2"/>
      <c r="K16" s="25">
        <v>3367</v>
      </c>
      <c r="L16" s="9" t="s">
        <v>120</v>
      </c>
      <c r="M16" s="16" t="s">
        <v>36</v>
      </c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3363</v>
      </c>
      <c r="L17" s="9" t="s">
        <v>35</v>
      </c>
      <c r="M17" s="16" t="s">
        <v>36</v>
      </c>
      <c r="R17" s="1">
        <f>IF(vend20[[#This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>
        <v>3364</v>
      </c>
      <c r="L18" s="9" t="s">
        <v>35</v>
      </c>
      <c r="M18" s="16" t="s">
        <v>36</v>
      </c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940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3353</v>
      </c>
      <c r="F26" s="25" t="s">
        <v>121</v>
      </c>
      <c r="G26" s="26" t="s">
        <v>7</v>
      </c>
      <c r="H26" s="8"/>
      <c r="I26" s="8">
        <v>149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3367</v>
      </c>
      <c r="F27" s="25" t="s">
        <v>122</v>
      </c>
      <c r="G27" s="26" t="s">
        <v>7</v>
      </c>
      <c r="H27" s="8"/>
      <c r="I27" s="8">
        <v>1210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sheetPr codeName="Planilha22"/>
  <dimension ref="B1:R41"/>
  <sheetViews>
    <sheetView showGridLines="0" topLeftCell="A4" zoomScale="80" zoomScaleNormal="80" workbookViewId="0">
      <selection activeCell="B28" sqref="B2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'20'!B1+1</f>
        <v>45312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IF(vend21[[#This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sheetPr codeName="Planilha23"/>
  <dimension ref="B1:R41"/>
  <sheetViews>
    <sheetView showGridLines="0" zoomScale="80" zoomScaleNormal="80" workbookViewId="0">
      <selection activeCell="K17" sqref="K1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'21'!B1+1</f>
        <v>45313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50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190</v>
      </c>
      <c r="D6" s="2"/>
      <c r="E6" s="18">
        <v>3396</v>
      </c>
      <c r="F6" s="25" t="s">
        <v>123</v>
      </c>
      <c r="G6" s="26" t="s">
        <v>6</v>
      </c>
      <c r="H6" s="8">
        <v>50</v>
      </c>
      <c r="I6" s="8">
        <v>50</v>
      </c>
      <c r="J6" s="2"/>
      <c r="K6" s="25"/>
      <c r="L6" s="9"/>
      <c r="M6" s="16"/>
      <c r="R6" s="1">
        <f>IF(vend22[[#This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21</v>
      </c>
      <c r="C8" s="29">
        <f>SUM(C6:C7)</f>
        <v>190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50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IF(vend22[[#This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IF(vend22[[#This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IF(vend22[[#This Row],[Nº Venda]]&gt;1,1,0)</f>
        <v>0</v>
      </c>
    </row>
    <row r="15" spans="2:18" ht="15.75" x14ac:dyDescent="0.25">
      <c r="B15" s="30" t="s">
        <v>10</v>
      </c>
      <c r="C15" s="31">
        <f t="shared" si="0"/>
        <v>305</v>
      </c>
      <c r="D15" s="2"/>
      <c r="E15" s="18"/>
      <c r="F15" s="25"/>
      <c r="G15" s="26"/>
      <c r="H15" s="8"/>
      <c r="I15" s="8"/>
      <c r="J15" s="2"/>
      <c r="K15" s="25">
        <v>3338</v>
      </c>
      <c r="L15" s="9" t="s">
        <v>35</v>
      </c>
      <c r="M15" s="16" t="s">
        <v>36</v>
      </c>
      <c r="R15" s="1">
        <f>IF(vend22[[#This Row],[Nº Venda]]&gt;1,1,0)</f>
        <v>0</v>
      </c>
    </row>
    <row r="16" spans="2:18" ht="15.75" x14ac:dyDescent="0.25">
      <c r="B16" s="28" t="s">
        <v>11</v>
      </c>
      <c r="C16" s="32">
        <f>SUM(C11:C15)</f>
        <v>355</v>
      </c>
      <c r="D16" s="2"/>
      <c r="E16" s="18"/>
      <c r="F16" s="25"/>
      <c r="G16" s="26"/>
      <c r="H16" s="8"/>
      <c r="I16" s="8"/>
      <c r="J16" s="2"/>
      <c r="K16" s="25">
        <v>3365</v>
      </c>
      <c r="L16" s="9" t="s">
        <v>35</v>
      </c>
      <c r="M16" s="16" t="s">
        <v>36</v>
      </c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3338</v>
      </c>
      <c r="F26" s="25" t="s">
        <v>124</v>
      </c>
      <c r="G26" s="26" t="s">
        <v>10</v>
      </c>
      <c r="H26" s="8"/>
      <c r="I26" s="8">
        <v>140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3218</v>
      </c>
      <c r="F35" s="25" t="s">
        <v>125</v>
      </c>
      <c r="G35" s="26" t="s">
        <v>10</v>
      </c>
      <c r="H35" s="8">
        <v>165</v>
      </c>
      <c r="I35" s="8" t="s">
        <v>126</v>
      </c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sheetPr codeName="Planilha24"/>
  <dimension ref="B1:R41"/>
  <sheetViews>
    <sheetView showGridLines="0" topLeftCell="A2" zoomScale="80" zoomScaleNormal="80" workbookViewId="0">
      <selection activeCell="B37" sqref="B3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'22'!B1+1</f>
        <v>45314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599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898.9</v>
      </c>
      <c r="D6" s="2"/>
      <c r="E6" s="18">
        <v>3395</v>
      </c>
      <c r="F6" s="25" t="s">
        <v>127</v>
      </c>
      <c r="G6" s="26" t="s">
        <v>8</v>
      </c>
      <c r="H6" s="8">
        <v>599</v>
      </c>
      <c r="I6" s="8">
        <v>599</v>
      </c>
      <c r="J6" s="2"/>
      <c r="K6" s="25"/>
      <c r="L6" s="9"/>
      <c r="M6" s="16"/>
      <c r="R6" s="1">
        <f>IF(vend23[[#This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21</v>
      </c>
      <c r="C8" s="29">
        <f>SUM(C6:C7)</f>
        <v>898.9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IF(vend23[[#This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299.89999999999998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8</v>
      </c>
      <c r="C13" s="31">
        <f t="shared" si="0"/>
        <v>599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IF(vend23[[#This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IF(vend23[[#This Row],[Nº Venda]]&gt;1,1,0)</f>
        <v>0</v>
      </c>
    </row>
    <row r="15" spans="2:18" ht="15.75" x14ac:dyDescent="0.25">
      <c r="B15" s="30" t="s">
        <v>10</v>
      </c>
      <c r="C15" s="31">
        <f t="shared" si="0"/>
        <v>168</v>
      </c>
      <c r="D15" s="2"/>
      <c r="E15" s="18"/>
      <c r="F15" s="25"/>
      <c r="G15" s="26"/>
      <c r="H15" s="8"/>
      <c r="I15" s="8"/>
      <c r="J15" s="2"/>
      <c r="K15" s="25">
        <v>3369</v>
      </c>
      <c r="L15" s="9" t="s">
        <v>120</v>
      </c>
      <c r="M15" s="16" t="s">
        <v>36</v>
      </c>
      <c r="R15" s="1">
        <f>IF(vend23[[#This Row],[Nº Venda]]&gt;1,1,0)</f>
        <v>0</v>
      </c>
    </row>
    <row r="16" spans="2:18" ht="15.75" x14ac:dyDescent="0.25">
      <c r="B16" s="28" t="s">
        <v>11</v>
      </c>
      <c r="C16" s="32">
        <f>SUM(C11:C15)</f>
        <v>1066.9000000000001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599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3369</v>
      </c>
      <c r="F26" s="25" t="s">
        <v>128</v>
      </c>
      <c r="G26" s="26" t="s">
        <v>7</v>
      </c>
      <c r="H26" s="8"/>
      <c r="I26" s="8">
        <v>299.89999999999998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2751</v>
      </c>
      <c r="F35" s="25" t="s">
        <v>129</v>
      </c>
      <c r="G35" s="26" t="s">
        <v>10</v>
      </c>
      <c r="H35" s="8">
        <v>85</v>
      </c>
      <c r="I35" s="8" t="s">
        <v>130</v>
      </c>
      <c r="K35" s="25"/>
      <c r="L35" s="41"/>
      <c r="M35" s="16"/>
    </row>
    <row r="36" spans="2:18" ht="15.75" x14ac:dyDescent="0.25">
      <c r="E36" s="18">
        <v>2751</v>
      </c>
      <c r="F36" s="25" t="s">
        <v>129</v>
      </c>
      <c r="G36" s="26" t="s">
        <v>10</v>
      </c>
      <c r="H36" s="8">
        <v>83</v>
      </c>
      <c r="I36" s="8" t="s">
        <v>68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sheetPr codeName="Planilha25"/>
  <dimension ref="B1:R41"/>
  <sheetViews>
    <sheetView showGridLines="0" topLeftCell="A7" zoomScale="80" zoomScaleNormal="80" workbookViewId="0">
      <selection activeCell="G38" sqref="G38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'23'!B1+1</f>
        <v>45315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496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1136</v>
      </c>
      <c r="D6" s="2"/>
      <c r="E6" s="18">
        <v>3397</v>
      </c>
      <c r="F6" s="25" t="s">
        <v>131</v>
      </c>
      <c r="G6" s="26" t="s">
        <v>8</v>
      </c>
      <c r="H6" s="8">
        <v>198</v>
      </c>
      <c r="I6" s="8">
        <v>198</v>
      </c>
      <c r="J6" s="2"/>
      <c r="K6" s="25"/>
      <c r="L6" s="9"/>
      <c r="M6" s="16"/>
      <c r="R6" s="1">
        <f>IF(vend24[[#This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3398</v>
      </c>
      <c r="F7" s="25" t="s">
        <v>132</v>
      </c>
      <c r="G7" s="26" t="s">
        <v>8</v>
      </c>
      <c r="H7" s="8">
        <v>198</v>
      </c>
      <c r="I7" s="8">
        <v>198</v>
      </c>
      <c r="J7" s="2"/>
      <c r="K7" s="25"/>
      <c r="L7" s="9"/>
      <c r="M7" s="16"/>
      <c r="R7" s="1">
        <f>IF(vend24[[#This Row],[Nº Venda]]&gt;1,1,0)</f>
        <v>1</v>
      </c>
    </row>
    <row r="8" spans="2:18" ht="15.75" x14ac:dyDescent="0.25">
      <c r="B8" s="28" t="s">
        <v>21</v>
      </c>
      <c r="C8" s="29">
        <f>SUM(C6:C7)</f>
        <v>1136</v>
      </c>
      <c r="D8" s="2"/>
      <c r="E8" s="18">
        <v>3399</v>
      </c>
      <c r="F8" s="25" t="s">
        <v>133</v>
      </c>
      <c r="G8" s="26" t="s">
        <v>7</v>
      </c>
      <c r="H8" s="8">
        <v>100</v>
      </c>
      <c r="I8" s="8">
        <v>100</v>
      </c>
      <c r="J8" s="2"/>
      <c r="K8" s="25"/>
      <c r="L8" s="9"/>
      <c r="M8" s="16"/>
      <c r="R8" s="1">
        <f>IF(vend24[[#This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IF(vend24[[#This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240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8</v>
      </c>
      <c r="C13" s="31">
        <f t="shared" si="0"/>
        <v>896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IF(vend24[[#This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IF(vend24[[#This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3374</v>
      </c>
      <c r="L15" s="9" t="s">
        <v>35</v>
      </c>
      <c r="M15" s="16" t="s">
        <v>36</v>
      </c>
      <c r="R15" s="1">
        <f>IF(vend24[[#This Row],[Nº Venda]]&gt;1,1,0)</f>
        <v>0</v>
      </c>
    </row>
    <row r="16" spans="2:18" ht="15.75" x14ac:dyDescent="0.25">
      <c r="B16" s="28" t="s">
        <v>11</v>
      </c>
      <c r="C16" s="32">
        <f>SUM(C11:C15)</f>
        <v>1136</v>
      </c>
      <c r="D16" s="2"/>
      <c r="E16" s="18"/>
      <c r="F16" s="25"/>
      <c r="G16" s="26"/>
      <c r="H16" s="8"/>
      <c r="I16" s="8"/>
      <c r="J16" s="2"/>
      <c r="K16" s="25">
        <v>3384</v>
      </c>
      <c r="L16" s="9" t="s">
        <v>49</v>
      </c>
      <c r="M16" s="16" t="s">
        <v>36</v>
      </c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3385</v>
      </c>
      <c r="L17" s="9" t="s">
        <v>49</v>
      </c>
      <c r="M17" s="16" t="s">
        <v>36</v>
      </c>
      <c r="R17" s="1">
        <f>IF(vend24[[#This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>
        <v>3376</v>
      </c>
      <c r="L18" s="9" t="s">
        <v>35</v>
      </c>
      <c r="M18" s="16" t="s">
        <v>36</v>
      </c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496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3376</v>
      </c>
      <c r="F26" s="25" t="s">
        <v>134</v>
      </c>
      <c r="G26" s="26" t="s">
        <v>8</v>
      </c>
      <c r="H26" s="8"/>
      <c r="I26" s="8">
        <v>500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3376</v>
      </c>
      <c r="F27" s="25" t="s">
        <v>134</v>
      </c>
      <c r="G27" s="26" t="s">
        <v>7</v>
      </c>
      <c r="H27" s="8"/>
      <c r="I27" s="8">
        <v>140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sheetPr codeName="Planilha26"/>
  <dimension ref="B1:R41"/>
  <sheetViews>
    <sheetView showGridLines="0" zoomScale="80" zoomScaleNormal="80" workbookViewId="0">
      <selection activeCell="X20" sqref="X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'24'!B1+1</f>
        <v>45316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IF(vend25[[#This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IF(vend25[[#This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sheetPr codeName="Planilha27"/>
  <dimension ref="B1:R41"/>
  <sheetViews>
    <sheetView showGridLines="0" zoomScale="80" zoomScaleNormal="80" workbookViewId="0">
      <selection activeCell="F6" sqref="F6"/>
    </sheetView>
  </sheetViews>
  <sheetFormatPr defaultColWidth="9.140625" defaultRowHeight="12.75" x14ac:dyDescent="0.2"/>
  <cols>
    <col min="1" max="1" width="3.7109375" style="1" customWidth="1"/>
    <col min="2" max="2" width="27.855468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3.57031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7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'25'!B1+1</f>
        <v>45317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1959.9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2408</v>
      </c>
      <c r="D6" s="2"/>
      <c r="E6" s="18">
        <v>3400</v>
      </c>
      <c r="F6" s="25" t="s">
        <v>135</v>
      </c>
      <c r="G6" s="26" t="s">
        <v>8</v>
      </c>
      <c r="H6" s="8">
        <v>499.9</v>
      </c>
      <c r="I6" s="8">
        <v>100</v>
      </c>
      <c r="J6" s="2"/>
      <c r="K6" s="25"/>
      <c r="L6" s="9"/>
      <c r="M6" s="16"/>
      <c r="R6" s="1">
        <f>IF(vend26[[#This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3401</v>
      </c>
      <c r="F7" s="25" t="s">
        <v>136</v>
      </c>
      <c r="G7" s="26" t="s">
        <v>7</v>
      </c>
      <c r="H7" s="8">
        <v>1400</v>
      </c>
      <c r="I7" s="8">
        <v>1400</v>
      </c>
      <c r="J7" s="2"/>
      <c r="K7" s="25"/>
      <c r="L7" s="9"/>
      <c r="M7" s="16"/>
      <c r="R7" s="1">
        <f>IF(vend26[[#This Row],[Nº Venda]]&gt;1,1,0)</f>
        <v>1</v>
      </c>
    </row>
    <row r="8" spans="2:18" ht="15.75" x14ac:dyDescent="0.25">
      <c r="B8" s="28" t="s">
        <v>21</v>
      </c>
      <c r="C8" s="29">
        <f>SUM(C6:C7)</f>
        <v>2408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60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IF(vend26[[#This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1948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IF(vend26[[#This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IF(vend26[[#This Row],[Nº Venda]]&gt;1,1,0)</f>
        <v>0</v>
      </c>
    </row>
    <row r="15" spans="2:18" ht="15.75" x14ac:dyDescent="0.25">
      <c r="B15" s="30" t="s">
        <v>10</v>
      </c>
      <c r="C15" s="31">
        <f t="shared" si="0"/>
        <v>300</v>
      </c>
      <c r="D15" s="2"/>
      <c r="E15" s="18"/>
      <c r="F15" s="25"/>
      <c r="G15" s="26"/>
      <c r="H15" s="8"/>
      <c r="I15" s="8"/>
      <c r="J15" s="2"/>
      <c r="K15" s="25">
        <v>3304</v>
      </c>
      <c r="L15" s="9" t="s">
        <v>120</v>
      </c>
      <c r="M15" s="16" t="s">
        <v>36</v>
      </c>
      <c r="R15" s="1">
        <f>IF(vend26[[#This Row],[Nº Venda]]&gt;1,1,0)</f>
        <v>0</v>
      </c>
    </row>
    <row r="16" spans="2:18" ht="15.75" x14ac:dyDescent="0.25">
      <c r="B16" s="28" t="s">
        <v>11</v>
      </c>
      <c r="C16" s="32">
        <f>SUM(C11:C15)</f>
        <v>2408</v>
      </c>
      <c r="D16" s="2"/>
      <c r="E16" s="18"/>
      <c r="F16" s="25"/>
      <c r="G16" s="26"/>
      <c r="H16" s="8"/>
      <c r="I16" s="8"/>
      <c r="J16" s="2"/>
      <c r="K16" s="25">
        <v>3356</v>
      </c>
      <c r="L16" s="9" t="s">
        <v>103</v>
      </c>
      <c r="M16" s="16" t="s">
        <v>36</v>
      </c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3358</v>
      </c>
      <c r="L17" s="9" t="s">
        <v>35</v>
      </c>
      <c r="M17" s="16" t="s">
        <v>36</v>
      </c>
      <c r="R17" s="1">
        <f>IF(vend26[[#This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>
        <v>3370</v>
      </c>
      <c r="L18" s="9" t="s">
        <v>35</v>
      </c>
      <c r="M18" s="16" t="s">
        <v>36</v>
      </c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>
        <v>3378</v>
      </c>
      <c r="L19" s="9" t="s">
        <v>35</v>
      </c>
      <c r="M19" s="16" t="s">
        <v>36</v>
      </c>
      <c r="R19" s="1">
        <f>IF(vend26[[#This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>
        <v>3380</v>
      </c>
      <c r="L20" s="9" t="s">
        <v>35</v>
      </c>
      <c r="M20" s="16" t="s">
        <v>36</v>
      </c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1959.9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3370</v>
      </c>
      <c r="F26" s="25" t="s">
        <v>137</v>
      </c>
      <c r="G26" s="26" t="s">
        <v>10</v>
      </c>
      <c r="H26" s="8"/>
      <c r="I26" s="8">
        <v>300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3378</v>
      </c>
      <c r="F27" s="25" t="s">
        <v>95</v>
      </c>
      <c r="G27" s="26" t="s">
        <v>7</v>
      </c>
      <c r="H27" s="8"/>
      <c r="I27" s="8">
        <v>548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77">
        <v>3380</v>
      </c>
      <c r="F28" s="72" t="s">
        <v>220</v>
      </c>
      <c r="G28" s="78" t="s">
        <v>6</v>
      </c>
      <c r="H28" s="79">
        <v>60</v>
      </c>
      <c r="I28" s="79">
        <v>60</v>
      </c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sheetPr codeName="Planilha28"/>
  <dimension ref="B1:R41"/>
  <sheetViews>
    <sheetView showGridLines="0" zoomScale="80" zoomScaleNormal="80" workbookViewId="0">
      <selection activeCell="F15" sqref="F15"/>
    </sheetView>
  </sheetViews>
  <sheetFormatPr defaultColWidth="9.140625" defaultRowHeight="12.75" x14ac:dyDescent="0.2"/>
  <cols>
    <col min="1" max="1" width="3.7109375" style="1" customWidth="1"/>
    <col min="2" max="2" width="27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'26'!B1+1</f>
        <v>45318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647.9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647.9</v>
      </c>
      <c r="D6" s="2"/>
      <c r="E6" s="18">
        <v>3402</v>
      </c>
      <c r="F6" s="25" t="s">
        <v>138</v>
      </c>
      <c r="G6" s="78" t="s">
        <v>9</v>
      </c>
      <c r="H6" s="8">
        <v>647.9</v>
      </c>
      <c r="I6" s="8">
        <v>647.9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IF(vend27[[#This Row],[Nº Venda]]&gt;1,1,0)</f>
        <v>0</v>
      </c>
    </row>
    <row r="8" spans="2:18" ht="15.75" x14ac:dyDescent="0.25">
      <c r="B8" s="28" t="s">
        <v>21</v>
      </c>
      <c r="C8" s="29">
        <f>SUM(C6:C7)</f>
        <v>647.9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IF(vend27[[#This Row],[Nº Venda]]&gt;1,1,0)</f>
        <v>0</v>
      </c>
    </row>
    <row r="14" spans="2:18" ht="15.75" x14ac:dyDescent="0.25">
      <c r="B14" s="30" t="s">
        <v>9</v>
      </c>
      <c r="C14" s="31">
        <f>(SUMIF($G$2:$G$31,B14,$I$2:$I$31))+(SUMIF($G$35:$G$41,B14,$H$35:$H$41))</f>
        <v>647.9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IF(vend27[[#This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3388</v>
      </c>
      <c r="L15" s="9" t="s">
        <v>35</v>
      </c>
      <c r="M15" s="16" t="s">
        <v>36</v>
      </c>
      <c r="R15" s="1">
        <f>IF(vend27[[#This Row],[Nº Venda]]&gt;1,1,0)</f>
        <v>0</v>
      </c>
    </row>
    <row r="16" spans="2:18" ht="15.75" x14ac:dyDescent="0.25">
      <c r="B16" s="28" t="s">
        <v>11</v>
      </c>
      <c r="C16" s="32">
        <f>SUM(C11:C15)</f>
        <v>647.9</v>
      </c>
      <c r="D16" s="2"/>
      <c r="E16" s="18"/>
      <c r="F16" s="25"/>
      <c r="G16" s="26"/>
      <c r="H16" s="8"/>
      <c r="I16" s="8"/>
      <c r="J16" s="2"/>
      <c r="K16" s="25">
        <v>3389</v>
      </c>
      <c r="L16" s="9" t="s">
        <v>35</v>
      </c>
      <c r="M16" s="16" t="s">
        <v>36</v>
      </c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>
        <v>3343</v>
      </c>
      <c r="L17" s="9" t="s">
        <v>103</v>
      </c>
      <c r="M17" s="16" t="s">
        <v>36</v>
      </c>
      <c r="R17" s="1">
        <f>IF(vend27[[#This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>
        <v>3342</v>
      </c>
      <c r="L18" s="9" t="s">
        <v>103</v>
      </c>
      <c r="M18" s="16" t="s">
        <v>36</v>
      </c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647.9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1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sheetPr codeName="Planilha29"/>
  <dimension ref="B1:R41"/>
  <sheetViews>
    <sheetView showGridLines="0" zoomScale="80" zoomScaleNormal="80" workbookViewId="0">
      <selection activeCell="K6" activeCellId="4" sqref="E26:I31 E35:I41 K35:M41 K15:M31 K6:M1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'27'!B1+1</f>
        <v>45319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IF(vend28[[#This Row],[Nº Venda]]&gt;1,1,0)</f>
        <v>0</v>
      </c>
    </row>
    <row r="8" spans="2:18" ht="15.75" x14ac:dyDescent="0.25">
      <c r="B8" s="28" t="s">
        <v>21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IF(vend28[[#This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IF(vend28[[#This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IF(vend28[[#This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IF(vend28[[#This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IF(vend28[[#This Row],[Nº Venda]]&gt;1,1,0)</f>
        <v>0</v>
      </c>
    </row>
    <row r="16" spans="2:18" ht="15.75" x14ac:dyDescent="0.25">
      <c r="B16" s="28" t="s">
        <v>11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0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sheetPr codeName="Planilha30"/>
  <dimension ref="B1:R41"/>
  <sheetViews>
    <sheetView showGridLines="0" zoomScale="80" zoomScaleNormal="80" workbookViewId="0">
      <selection activeCell="B25" sqref="B25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3">
        <f>'28'!B1+1</f>
        <v>45320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2139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2139</v>
      </c>
      <c r="D6" s="2"/>
      <c r="E6" s="18">
        <v>3403</v>
      </c>
      <c r="F6" s="25" t="s">
        <v>213</v>
      </c>
      <c r="G6" s="26" t="s">
        <v>103</v>
      </c>
      <c r="H6" s="8">
        <v>0</v>
      </c>
      <c r="I6" s="8">
        <v>0</v>
      </c>
      <c r="J6" s="2"/>
      <c r="K6" s="25"/>
      <c r="L6" s="9"/>
      <c r="M6" s="16"/>
      <c r="R6" s="1">
        <f>IF(vend29[[#This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3404</v>
      </c>
      <c r="F7" s="25" t="s">
        <v>216</v>
      </c>
      <c r="G7" s="26" t="s">
        <v>103</v>
      </c>
      <c r="H7" s="8">
        <v>0</v>
      </c>
      <c r="I7" s="8">
        <v>0</v>
      </c>
      <c r="J7" s="2"/>
      <c r="K7" s="25"/>
      <c r="L7" s="9"/>
      <c r="M7" s="16"/>
      <c r="R7" s="1">
        <f>IF(vend29[[#This Row],[Nº Venda]]&gt;1,1,0)</f>
        <v>1</v>
      </c>
    </row>
    <row r="8" spans="2:18" ht="15.75" x14ac:dyDescent="0.25">
      <c r="B8" s="28" t="s">
        <v>21</v>
      </c>
      <c r="C8" s="29">
        <f>SUM(C6:C7)</f>
        <v>2139</v>
      </c>
      <c r="D8" s="2"/>
      <c r="E8" s="18">
        <v>3405</v>
      </c>
      <c r="F8" s="25" t="s">
        <v>214</v>
      </c>
      <c r="G8" s="26" t="s">
        <v>9</v>
      </c>
      <c r="H8" s="8">
        <v>1090</v>
      </c>
      <c r="I8" s="8">
        <v>1090</v>
      </c>
      <c r="J8" s="2"/>
      <c r="K8" s="25"/>
      <c r="L8" s="9"/>
      <c r="M8" s="16"/>
      <c r="R8" s="1">
        <f>IF(vend29[[#This Row],[Nº Venda]]&gt;1,1,0)</f>
        <v>1</v>
      </c>
    </row>
    <row r="9" spans="2:18" ht="15.75" x14ac:dyDescent="0.25">
      <c r="B9" s="2"/>
      <c r="C9" s="2"/>
      <c r="D9" s="2"/>
      <c r="E9" s="18">
        <v>3406</v>
      </c>
      <c r="F9" s="25" t="s">
        <v>215</v>
      </c>
      <c r="G9" s="26" t="s">
        <v>9</v>
      </c>
      <c r="H9" s="8">
        <v>1049</v>
      </c>
      <c r="I9" s="8">
        <v>1049</v>
      </c>
      <c r="J9" s="2"/>
      <c r="K9" s="25"/>
      <c r="L9" s="9"/>
      <c r="M9" s="16"/>
      <c r="R9" s="1">
        <f>IF(vend29[[#This Row],[Nº Venda]]&gt;1,1,0)</f>
        <v>1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IF(vend29[[#This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215.8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IF(vend29[[#This Row],[Nº Venda]]&gt;1,1,0)</f>
        <v>0</v>
      </c>
    </row>
    <row r="14" spans="2:18" ht="15.75" x14ac:dyDescent="0.25">
      <c r="B14" s="30" t="s">
        <v>9</v>
      </c>
      <c r="C14" s="31">
        <f t="shared" si="0"/>
        <v>2139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IF(vend29[[#This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72">
        <v>3382</v>
      </c>
      <c r="L15" s="9" t="s">
        <v>35</v>
      </c>
      <c r="M15" s="16" t="s">
        <v>36</v>
      </c>
      <c r="R15" s="1">
        <f>IF(vend29[[#This Row],[Nº Venda]]&gt;1,1,0)</f>
        <v>0</v>
      </c>
    </row>
    <row r="16" spans="2:18" ht="15.75" x14ac:dyDescent="0.25">
      <c r="B16" s="28" t="s">
        <v>11</v>
      </c>
      <c r="C16" s="32">
        <f>SUM(C11:C15)</f>
        <v>2354.8000000000002</v>
      </c>
      <c r="D16" s="2"/>
      <c r="E16" s="18"/>
      <c r="F16" s="25"/>
      <c r="G16" s="26"/>
      <c r="H16" s="8"/>
      <c r="I16" s="8"/>
      <c r="J16" s="2"/>
      <c r="K16" s="72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72"/>
      <c r="L17" s="9"/>
      <c r="M17" s="16"/>
      <c r="R17" s="1">
        <f>IF(vend29[[#This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2139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>
        <v>3118</v>
      </c>
      <c r="F35" s="25" t="s">
        <v>211</v>
      </c>
      <c r="G35" s="26" t="s">
        <v>7</v>
      </c>
      <c r="H35" s="8">
        <v>73.8</v>
      </c>
      <c r="I35" s="8" t="s">
        <v>155</v>
      </c>
      <c r="K35" s="25"/>
      <c r="L35" s="41"/>
      <c r="M35" s="16"/>
    </row>
    <row r="36" spans="2:18" ht="15.75" x14ac:dyDescent="0.25">
      <c r="E36" s="18">
        <v>3076</v>
      </c>
      <c r="F36" s="25" t="s">
        <v>212</v>
      </c>
      <c r="G36" s="26" t="s">
        <v>7</v>
      </c>
      <c r="H36" s="8">
        <v>142</v>
      </c>
      <c r="I36" s="8" t="s">
        <v>168</v>
      </c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4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sheetPr codeName="Planilha31"/>
  <dimension ref="B1:R41"/>
  <sheetViews>
    <sheetView showGridLines="0" zoomScale="80" zoomScaleNormal="80" workbookViewId="0">
      <selection activeCell="H18" sqref="H18"/>
    </sheetView>
  </sheetViews>
  <sheetFormatPr defaultColWidth="9.140625" defaultRowHeight="12.75" x14ac:dyDescent="0.2"/>
  <cols>
    <col min="1" max="1" width="3.7109375" style="1" customWidth="1"/>
    <col min="2" max="2" width="28.710937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5">
      <c r="B1" s="80">
        <f>'29'!B1+1</f>
        <v>45321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1466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150</v>
      </c>
      <c r="D6" s="2"/>
      <c r="E6" s="18">
        <v>3407</v>
      </c>
      <c r="F6" s="25" t="s">
        <v>217</v>
      </c>
      <c r="G6" s="26" t="s">
        <v>8</v>
      </c>
      <c r="H6" s="79">
        <v>390</v>
      </c>
      <c r="I6" s="8">
        <v>50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3408</v>
      </c>
      <c r="F7" s="25" t="s">
        <v>217</v>
      </c>
      <c r="G7" s="26" t="s">
        <v>7</v>
      </c>
      <c r="H7" s="79">
        <v>606</v>
      </c>
      <c r="I7" s="8">
        <v>50</v>
      </c>
      <c r="J7" s="2"/>
      <c r="K7" s="25"/>
      <c r="L7" s="9"/>
      <c r="M7" s="16"/>
      <c r="R7" s="1">
        <f>IF(vend30[[#This Row],[Nº Venda]]&gt;1,1,0)</f>
        <v>1</v>
      </c>
    </row>
    <row r="8" spans="2:18" ht="15.75" x14ac:dyDescent="0.25">
      <c r="B8" s="28" t="s">
        <v>21</v>
      </c>
      <c r="C8" s="29">
        <f>SUM(C6:C7)</f>
        <v>150</v>
      </c>
      <c r="D8" s="2"/>
      <c r="E8" s="18">
        <v>3409</v>
      </c>
      <c r="F8" s="25" t="s">
        <v>218</v>
      </c>
      <c r="G8" s="26" t="s">
        <v>10</v>
      </c>
      <c r="H8" s="8">
        <v>470</v>
      </c>
      <c r="I8" s="8">
        <v>50</v>
      </c>
      <c r="J8" s="2"/>
      <c r="K8" s="25"/>
      <c r="L8" s="9"/>
      <c r="M8" s="16"/>
      <c r="R8" s="1">
        <f>IF(vend30[[#This Row],[Nº Venda]]&gt;1,1,0)</f>
        <v>1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50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8</v>
      </c>
      <c r="C13" s="31">
        <f t="shared" si="0"/>
        <v>50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IF(vend30[[#This Row],[Nº Venda]]&gt;1,1,0)</f>
        <v>0</v>
      </c>
    </row>
    <row r="14" spans="2:18" ht="15.75" x14ac:dyDescent="0.25">
      <c r="B14" s="30" t="s">
        <v>9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IF(vend30[[#This Row],[Nº Venda]]&gt;1,1,0)</f>
        <v>0</v>
      </c>
    </row>
    <row r="15" spans="2:18" ht="15.75" x14ac:dyDescent="0.25">
      <c r="B15" s="30" t="s">
        <v>10</v>
      </c>
      <c r="C15" s="31">
        <f t="shared" si="0"/>
        <v>50</v>
      </c>
      <c r="D15" s="2"/>
      <c r="E15" s="18"/>
      <c r="F15" s="25"/>
      <c r="G15" s="26"/>
      <c r="H15" s="8"/>
      <c r="I15" s="8"/>
      <c r="J15" s="2"/>
      <c r="K15" s="25">
        <v>3387</v>
      </c>
      <c r="L15" s="9" t="s">
        <v>35</v>
      </c>
      <c r="M15" s="16" t="s">
        <v>36</v>
      </c>
      <c r="R15" s="1">
        <f>IF(vend30[[#This Row],[Nº Venda]]&gt;1,1,0)</f>
        <v>0</v>
      </c>
    </row>
    <row r="16" spans="2:18" ht="15.75" x14ac:dyDescent="0.25">
      <c r="B16" s="28" t="s">
        <v>11</v>
      </c>
      <c r="C16" s="32">
        <f>SUM(C11:C15)</f>
        <v>150</v>
      </c>
      <c r="D16" s="2"/>
      <c r="E16" s="18"/>
      <c r="F16" s="25"/>
      <c r="G16" s="26"/>
      <c r="H16" s="8"/>
      <c r="I16" s="8"/>
      <c r="J16" s="2"/>
      <c r="K16" s="72">
        <v>3381</v>
      </c>
      <c r="L16" s="9" t="s">
        <v>35</v>
      </c>
      <c r="M16" s="16" t="s">
        <v>36</v>
      </c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1466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3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64775-134F-47AB-9CDF-B43D4A66B632}">
  <sheetPr codeName="Planilha32"/>
  <dimension ref="B1:R41"/>
  <sheetViews>
    <sheetView showGridLines="0" topLeftCell="A4" zoomScale="80" zoomScaleNormal="80" workbookViewId="0">
      <selection activeCell="C27" sqref="C27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65">
        <f>'30'!B1+1</f>
        <v>45322</v>
      </c>
    </row>
    <row r="2" spans="2:18" ht="18.75" x14ac:dyDescent="0.2">
      <c r="B2" s="86" t="s">
        <v>13</v>
      </c>
      <c r="C2" s="87"/>
      <c r="D2" s="87"/>
      <c r="E2" s="87"/>
      <c r="F2" s="87"/>
      <c r="G2" s="87"/>
      <c r="H2" s="87"/>
      <c r="I2" s="87"/>
      <c r="J2" s="87"/>
      <c r="K2" s="87"/>
      <c r="L2" s="87"/>
      <c r="M2" s="88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0</v>
      </c>
      <c r="C4" s="20">
        <v>0</v>
      </c>
      <c r="D4" s="21"/>
      <c r="E4" s="89" t="s">
        <v>1</v>
      </c>
      <c r="F4" s="89"/>
      <c r="G4" s="89"/>
      <c r="H4" s="89"/>
      <c r="I4" s="89"/>
      <c r="J4" s="22"/>
      <c r="K4" s="83" t="s">
        <v>3</v>
      </c>
      <c r="L4" s="84"/>
      <c r="M4" s="85"/>
    </row>
    <row r="5" spans="2:18" ht="15" x14ac:dyDescent="0.25">
      <c r="B5" s="23" t="s">
        <v>1</v>
      </c>
      <c r="C5" s="24">
        <f>SUMIF(I6:I31,"&gt;0",H6:H31)</f>
        <v>630</v>
      </c>
      <c r="D5" s="2"/>
      <c r="E5" s="10" t="s">
        <v>14</v>
      </c>
      <c r="F5" s="10" t="s">
        <v>15</v>
      </c>
      <c r="G5" s="11" t="s">
        <v>16</v>
      </c>
      <c r="H5" s="12" t="s">
        <v>17</v>
      </c>
      <c r="I5" s="13" t="s">
        <v>2</v>
      </c>
      <c r="J5" s="2"/>
      <c r="K5" s="14" t="s">
        <v>18</v>
      </c>
      <c r="L5" s="6" t="s">
        <v>19</v>
      </c>
      <c r="M5" s="15" t="s">
        <v>20</v>
      </c>
    </row>
    <row r="6" spans="2:18" ht="15.75" x14ac:dyDescent="0.25">
      <c r="B6" s="23" t="s">
        <v>2</v>
      </c>
      <c r="C6" s="24">
        <f>SUM(I6:I41)</f>
        <v>880</v>
      </c>
      <c r="D6" s="2"/>
      <c r="E6" s="18">
        <v>3410</v>
      </c>
      <c r="F6" s="25" t="s">
        <v>219</v>
      </c>
      <c r="G6" s="26" t="s">
        <v>8</v>
      </c>
      <c r="H6" s="8">
        <v>315</v>
      </c>
      <c r="I6" s="8">
        <v>50</v>
      </c>
      <c r="J6" s="2"/>
      <c r="K6" s="25"/>
      <c r="L6" s="9"/>
      <c r="M6" s="16"/>
      <c r="R6" s="1">
        <f>IF(vend31[[#This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3411</v>
      </c>
      <c r="F7" s="25" t="s">
        <v>219</v>
      </c>
      <c r="G7" s="26" t="s">
        <v>8</v>
      </c>
      <c r="H7" s="8">
        <v>315</v>
      </c>
      <c r="I7" s="8">
        <v>50</v>
      </c>
      <c r="J7" s="2"/>
      <c r="K7" s="25"/>
      <c r="L7" s="9"/>
      <c r="M7" s="16"/>
      <c r="R7" s="1">
        <f>IF(vend31[[#This Row],[Nº Venda]]&gt;1,1,0)</f>
        <v>1</v>
      </c>
    </row>
    <row r="8" spans="2:18" ht="15.75" x14ac:dyDescent="0.25">
      <c r="B8" s="28" t="s">
        <v>21</v>
      </c>
      <c r="C8" s="29">
        <f>SUM(C6:C7)</f>
        <v>880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IF(vend31[[#This Row],[Nº Venda]]&gt;1,1,0)</f>
        <v>0</v>
      </c>
    </row>
    <row r="10" spans="2:18" ht="15.75" x14ac:dyDescent="0.25">
      <c r="B10" s="81" t="s">
        <v>5</v>
      </c>
      <c r="C10" s="81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IF(vend31[[#This Row],[Nº Venda]]&gt;1,1,0)</f>
        <v>0</v>
      </c>
    </row>
    <row r="11" spans="2:18" ht="15.75" x14ac:dyDescent="0.25">
      <c r="B11" s="30" t="s">
        <v>6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IF(vend31[[#This Row],[Nº Venda]]&gt;1,1,0)</f>
        <v>0</v>
      </c>
    </row>
    <row r="12" spans="2:18" ht="15.75" x14ac:dyDescent="0.25">
      <c r="B12" s="30" t="s">
        <v>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IF(vend31[[#This Row],[Nº Venda]]&gt;1,1,0)</f>
        <v>0</v>
      </c>
    </row>
    <row r="13" spans="2:18" ht="15.75" x14ac:dyDescent="0.25">
      <c r="B13" s="30" t="s">
        <v>8</v>
      </c>
      <c r="C13" s="31">
        <f t="shared" si="0"/>
        <v>100</v>
      </c>
      <c r="D13" s="2"/>
      <c r="E13" s="18"/>
      <c r="F13" s="25"/>
      <c r="G13" s="26"/>
      <c r="H13" s="8"/>
      <c r="I13" s="8"/>
      <c r="J13" s="2"/>
      <c r="K13" s="83" t="s">
        <v>22</v>
      </c>
      <c r="L13" s="84"/>
      <c r="M13" s="85"/>
      <c r="R13" s="1">
        <f>IF(vend31[[#This Row],[Nº Venda]]&gt;1,1,0)</f>
        <v>0</v>
      </c>
    </row>
    <row r="14" spans="2:18" ht="15.75" x14ac:dyDescent="0.25">
      <c r="B14" s="30" t="s">
        <v>9</v>
      </c>
      <c r="C14" s="31">
        <f t="shared" si="0"/>
        <v>780</v>
      </c>
      <c r="D14" s="2"/>
      <c r="E14" s="18"/>
      <c r="F14" s="25"/>
      <c r="G14" s="26"/>
      <c r="H14" s="8"/>
      <c r="I14" s="8"/>
      <c r="J14" s="2"/>
      <c r="K14" s="14" t="s">
        <v>23</v>
      </c>
      <c r="L14" s="6" t="s">
        <v>24</v>
      </c>
      <c r="M14" s="15" t="s">
        <v>25</v>
      </c>
      <c r="R14" s="1">
        <f>IF(vend31[[#This Row],[Nº Venda]]&gt;1,1,0)</f>
        <v>0</v>
      </c>
    </row>
    <row r="15" spans="2:18" ht="15.75" x14ac:dyDescent="0.25">
      <c r="B15" s="30" t="s">
        <v>10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IF(vend31[[#This Row],[Nº Venda]]&gt;1,1,0)</f>
        <v>0</v>
      </c>
    </row>
    <row r="16" spans="2:18" ht="15.75" x14ac:dyDescent="0.25">
      <c r="B16" s="28" t="s">
        <v>11</v>
      </c>
      <c r="C16" s="32">
        <f>SUM(C11:C15)</f>
        <v>880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IF(vend31[[#This Row],[Nº Venda]]&gt;1,1,0)</f>
        <v>0</v>
      </c>
    </row>
    <row r="18" spans="2:18" ht="15.75" x14ac:dyDescent="0.25">
      <c r="B18" s="81" t="s">
        <v>12</v>
      </c>
      <c r="C18" s="81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IF(vend31[[#This Row],[Nº Venda]]&gt;1,1,0)</f>
        <v>0</v>
      </c>
    </row>
    <row r="19" spans="2:18" ht="15.75" x14ac:dyDescent="0.25">
      <c r="B19" s="30">
        <f>COUNT(entr_carn31[OS])</f>
        <v>0</v>
      </c>
      <c r="C19" s="31">
        <f>SUM(entr_carn31[Valor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IF(vend31[[#This Row],[Nº Venda]]&gt;1,1,0)</f>
        <v>0</v>
      </c>
    </row>
    <row r="20" spans="2:18" ht="15.75" x14ac:dyDescent="0.25">
      <c r="B20" s="28" t="s">
        <v>11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26</v>
      </c>
      <c r="C22" s="32">
        <f>C5</f>
        <v>630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2" t="s">
        <v>27</v>
      </c>
      <c r="F24" s="82"/>
      <c r="G24" s="82"/>
      <c r="H24" s="82"/>
      <c r="I24" s="82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14</v>
      </c>
      <c r="F25" s="10" t="s">
        <v>15</v>
      </c>
      <c r="G25" s="11" t="s">
        <v>16</v>
      </c>
      <c r="H25" s="12" t="s">
        <v>17</v>
      </c>
      <c r="I25" s="13" t="s">
        <v>2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3407</v>
      </c>
      <c r="F26" s="25" t="s">
        <v>217</v>
      </c>
      <c r="G26" s="26" t="s">
        <v>9</v>
      </c>
      <c r="H26" s="8"/>
      <c r="I26" s="8">
        <v>440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>
        <v>3408</v>
      </c>
      <c r="F27" s="25" t="s">
        <v>217</v>
      </c>
      <c r="G27" s="26" t="s">
        <v>9</v>
      </c>
      <c r="H27" s="8"/>
      <c r="I27" s="8">
        <v>340</v>
      </c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2" t="s">
        <v>28</v>
      </c>
      <c r="F33" s="82"/>
      <c r="G33" s="82"/>
      <c r="H33" s="82"/>
      <c r="I33" s="82"/>
      <c r="K33" s="83" t="s">
        <v>12</v>
      </c>
      <c r="L33" s="84"/>
      <c r="M33" s="85"/>
    </row>
    <row r="34" spans="2:18" ht="15" x14ac:dyDescent="0.25">
      <c r="E34" s="10" t="s">
        <v>23</v>
      </c>
      <c r="F34" s="10" t="s">
        <v>15</v>
      </c>
      <c r="G34" s="11" t="s">
        <v>16</v>
      </c>
      <c r="H34" s="12" t="s">
        <v>29</v>
      </c>
      <c r="I34" s="13" t="s">
        <v>30</v>
      </c>
      <c r="K34" s="14" t="s">
        <v>23</v>
      </c>
      <c r="L34" s="6" t="s">
        <v>31</v>
      </c>
      <c r="M34" s="15" t="s">
        <v>32</v>
      </c>
    </row>
    <row r="35" spans="2:18" ht="15.75" x14ac:dyDescent="0.25">
      <c r="E35" s="18"/>
      <c r="F35" s="25"/>
      <c r="G35" s="26"/>
      <c r="H35" s="8"/>
      <c r="I35" s="8"/>
      <c r="K35" s="25"/>
      <c r="L35" s="41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1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1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1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1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2"/>
      <c r="M40" s="40"/>
      <c r="Q40" s="1" t="s">
        <v>33</v>
      </c>
      <c r="R40" s="1">
        <f>SUM(R6:R21)</f>
        <v>2</v>
      </c>
    </row>
    <row r="41" spans="2:18" ht="15.75" x14ac:dyDescent="0.25">
      <c r="E41" s="43"/>
      <c r="F41" s="39"/>
      <c r="G41" s="26"/>
      <c r="H41" s="8"/>
      <c r="I41" s="8"/>
      <c r="K41" s="44"/>
      <c r="L41" s="41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disablePrompts="1" count="2">
    <dataValidation type="list" allowBlank="1" showInputMessage="1" showErrorMessage="1" sqref="M15:M31" xr:uid="{6090A6C7-106F-41D7-80FC-EA9E044377F6}">
      <formula1>"Sim, Não"</formula1>
    </dataValidation>
    <dataValidation type="list" allowBlank="1" showInputMessage="1" showErrorMessage="1" sqref="L35:L41" xr:uid="{FEA4CAD7-5B04-4C7E-B1F0-54C6262C867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disablePrompts="1" count="3">
        <x14:dataValidation type="list" allowBlank="1" showInputMessage="1" showErrorMessage="1" xr:uid="{48896A60-CF65-4297-AD79-D88F13BF7A80}">
          <x14:formula1>
            <xm:f>base!$A$2:$A$9</xm:f>
          </x14:formula1>
          <xm:sqref>G6:G22</xm:sqref>
        </x14:dataValidation>
        <x14:dataValidation type="list" allowBlank="1" showInputMessage="1" showErrorMessage="1" xr:uid="{3584BD8C-1C30-4601-B9E9-422089BBF873}">
          <x14:formula1>
            <xm:f>base!$A$2:$A$6</xm:f>
          </x14:formula1>
          <xm:sqref>G26:G31 G35:G41</xm:sqref>
        </x14:dataValidation>
        <x14:dataValidation type="list" allowBlank="1" showInputMessage="1" showErrorMessage="1" xr:uid="{B283B497-8240-4E96-A4F3-AFE85C528C63}">
          <x14:formula1>
            <xm:f>base!$E$2:$E$79</xm:f>
          </x14:formula1>
          <xm:sqref>I35:I41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8A1F0B-85E9-4CD4-B3C9-34570AA8D173}">
  <dimension ref="A1"/>
  <sheetViews>
    <sheetView workbookViewId="0"/>
  </sheetViews>
  <sheetFormatPr defaultRowHeight="12.75" x14ac:dyDescent="0.2"/>
  <sheetData/>
  <pageMargins left="0.511811024" right="0.511811024" top="0.78740157499999996" bottom="0.78740157499999996" header="0.31496062000000002" footer="0.31496062000000002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Planilha34"/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139</v>
      </c>
      <c r="B1" s="38" t="s">
        <v>140</v>
      </c>
      <c r="E1" s="38" t="s">
        <v>141</v>
      </c>
    </row>
    <row r="2" spans="1:5" x14ac:dyDescent="0.2">
      <c r="A2" s="38" t="s">
        <v>6</v>
      </c>
      <c r="B2" s="38" t="s">
        <v>142</v>
      </c>
      <c r="E2" t="s">
        <v>143</v>
      </c>
    </row>
    <row r="3" spans="1:5" x14ac:dyDescent="0.2">
      <c r="A3" s="38" t="s">
        <v>7</v>
      </c>
      <c r="B3" s="38" t="s">
        <v>144</v>
      </c>
      <c r="E3" t="s">
        <v>145</v>
      </c>
    </row>
    <row r="4" spans="1:5" x14ac:dyDescent="0.2">
      <c r="A4" s="38" t="s">
        <v>8</v>
      </c>
      <c r="B4" s="38" t="s">
        <v>146</v>
      </c>
      <c r="E4" t="s">
        <v>61</v>
      </c>
    </row>
    <row r="5" spans="1:5" x14ac:dyDescent="0.2">
      <c r="A5" s="38" t="s">
        <v>9</v>
      </c>
      <c r="B5" s="38" t="s">
        <v>147</v>
      </c>
      <c r="E5" t="s">
        <v>93</v>
      </c>
    </row>
    <row r="6" spans="1:5" x14ac:dyDescent="0.2">
      <c r="A6" s="38" t="s">
        <v>10</v>
      </c>
      <c r="B6" s="38" t="s">
        <v>10</v>
      </c>
      <c r="E6" t="s">
        <v>63</v>
      </c>
    </row>
    <row r="7" spans="1:5" x14ac:dyDescent="0.2">
      <c r="A7" s="38" t="s">
        <v>148</v>
      </c>
      <c r="B7" s="38" t="s">
        <v>149</v>
      </c>
      <c r="E7" t="s">
        <v>51</v>
      </c>
    </row>
    <row r="8" spans="1:5" x14ac:dyDescent="0.2">
      <c r="A8" t="s">
        <v>25</v>
      </c>
      <c r="B8" t="s">
        <v>150</v>
      </c>
      <c r="E8" t="s">
        <v>46</v>
      </c>
    </row>
    <row r="9" spans="1:5" x14ac:dyDescent="0.2">
      <c r="A9" s="38" t="s">
        <v>103</v>
      </c>
      <c r="B9" s="38" t="s">
        <v>151</v>
      </c>
      <c r="E9" t="s">
        <v>126</v>
      </c>
    </row>
    <row r="10" spans="1:5" x14ac:dyDescent="0.2">
      <c r="E10" t="s">
        <v>152</v>
      </c>
    </row>
    <row r="11" spans="1:5" x14ac:dyDescent="0.2">
      <c r="E11" t="s">
        <v>153</v>
      </c>
    </row>
    <row r="12" spans="1:5" x14ac:dyDescent="0.2">
      <c r="E12" t="s">
        <v>113</v>
      </c>
    </row>
    <row r="13" spans="1:5" x14ac:dyDescent="0.2">
      <c r="E13" t="s">
        <v>154</v>
      </c>
    </row>
    <row r="14" spans="1:5" x14ac:dyDescent="0.2">
      <c r="E14" t="s">
        <v>155</v>
      </c>
    </row>
    <row r="15" spans="1:5" x14ac:dyDescent="0.2">
      <c r="E15" t="s">
        <v>130</v>
      </c>
    </row>
    <row r="16" spans="1:5" x14ac:dyDescent="0.2">
      <c r="E16" t="s">
        <v>68</v>
      </c>
    </row>
    <row r="17" spans="5:5" x14ac:dyDescent="0.2">
      <c r="E17" t="s">
        <v>156</v>
      </c>
    </row>
    <row r="18" spans="5:5" x14ac:dyDescent="0.2">
      <c r="E18" t="s">
        <v>157</v>
      </c>
    </row>
    <row r="19" spans="5:5" x14ac:dyDescent="0.2">
      <c r="E19" t="s">
        <v>82</v>
      </c>
    </row>
    <row r="20" spans="5:5" x14ac:dyDescent="0.2">
      <c r="E20" t="s">
        <v>158</v>
      </c>
    </row>
    <row r="21" spans="5:5" x14ac:dyDescent="0.2">
      <c r="E21" t="s">
        <v>159</v>
      </c>
    </row>
    <row r="22" spans="5:5" x14ac:dyDescent="0.2">
      <c r="E22" t="s">
        <v>105</v>
      </c>
    </row>
    <row r="23" spans="5:5" x14ac:dyDescent="0.2">
      <c r="E23" t="s">
        <v>160</v>
      </c>
    </row>
    <row r="24" spans="5:5" x14ac:dyDescent="0.2">
      <c r="E24" t="s">
        <v>38</v>
      </c>
    </row>
    <row r="25" spans="5:5" x14ac:dyDescent="0.2">
      <c r="E25" t="s">
        <v>161</v>
      </c>
    </row>
    <row r="26" spans="5:5" x14ac:dyDescent="0.2">
      <c r="E26" t="s">
        <v>162</v>
      </c>
    </row>
    <row r="27" spans="5:5" x14ac:dyDescent="0.2">
      <c r="E27" t="s">
        <v>163</v>
      </c>
    </row>
    <row r="28" spans="5:5" x14ac:dyDescent="0.2">
      <c r="E28" t="s">
        <v>164</v>
      </c>
    </row>
    <row r="29" spans="5:5" x14ac:dyDescent="0.2">
      <c r="E29" t="s">
        <v>165</v>
      </c>
    </row>
    <row r="30" spans="5:5" x14ac:dyDescent="0.2">
      <c r="E30" t="s">
        <v>166</v>
      </c>
    </row>
    <row r="31" spans="5:5" x14ac:dyDescent="0.2">
      <c r="E31" t="s">
        <v>167</v>
      </c>
    </row>
    <row r="32" spans="5:5" x14ac:dyDescent="0.2">
      <c r="E32" t="s">
        <v>44</v>
      </c>
    </row>
    <row r="33" spans="5:5" x14ac:dyDescent="0.2">
      <c r="E33" t="s">
        <v>168</v>
      </c>
    </row>
    <row r="34" spans="5:5" x14ac:dyDescent="0.2">
      <c r="E34" t="s">
        <v>169</v>
      </c>
    </row>
    <row r="35" spans="5:5" x14ac:dyDescent="0.2">
      <c r="E35" t="s">
        <v>170</v>
      </c>
    </row>
    <row r="36" spans="5:5" x14ac:dyDescent="0.2">
      <c r="E36" t="s">
        <v>70</v>
      </c>
    </row>
    <row r="37" spans="5:5" x14ac:dyDescent="0.2">
      <c r="E37" t="s">
        <v>71</v>
      </c>
    </row>
    <row r="38" spans="5:5" x14ac:dyDescent="0.2">
      <c r="E38" t="s">
        <v>171</v>
      </c>
    </row>
    <row r="39" spans="5:5" x14ac:dyDescent="0.2">
      <c r="E39" t="s">
        <v>172</v>
      </c>
    </row>
    <row r="40" spans="5:5" x14ac:dyDescent="0.2">
      <c r="E40" t="s">
        <v>173</v>
      </c>
    </row>
    <row r="41" spans="5:5" x14ac:dyDescent="0.2">
      <c r="E41" t="s">
        <v>174</v>
      </c>
    </row>
    <row r="42" spans="5:5" x14ac:dyDescent="0.2">
      <c r="E42" t="s">
        <v>175</v>
      </c>
    </row>
    <row r="43" spans="5:5" x14ac:dyDescent="0.2">
      <c r="E43" t="s">
        <v>176</v>
      </c>
    </row>
    <row r="44" spans="5:5" x14ac:dyDescent="0.2">
      <c r="E44" t="s">
        <v>177</v>
      </c>
    </row>
    <row r="45" spans="5:5" x14ac:dyDescent="0.2">
      <c r="E45" t="s">
        <v>178</v>
      </c>
    </row>
    <row r="46" spans="5:5" x14ac:dyDescent="0.2">
      <c r="E46" t="s">
        <v>179</v>
      </c>
    </row>
    <row r="47" spans="5:5" x14ac:dyDescent="0.2">
      <c r="E47" t="s">
        <v>180</v>
      </c>
    </row>
    <row r="48" spans="5:5" x14ac:dyDescent="0.2">
      <c r="E48" t="s">
        <v>181</v>
      </c>
    </row>
    <row r="49" spans="5:5" x14ac:dyDescent="0.2">
      <c r="E49" t="s">
        <v>182</v>
      </c>
    </row>
    <row r="50" spans="5:5" x14ac:dyDescent="0.2">
      <c r="E50" t="s">
        <v>183</v>
      </c>
    </row>
    <row r="51" spans="5:5" x14ac:dyDescent="0.2">
      <c r="E51" t="s">
        <v>184</v>
      </c>
    </row>
    <row r="52" spans="5:5" x14ac:dyDescent="0.2">
      <c r="E52" t="s">
        <v>185</v>
      </c>
    </row>
    <row r="53" spans="5:5" x14ac:dyDescent="0.2">
      <c r="E53" t="s">
        <v>186</v>
      </c>
    </row>
    <row r="54" spans="5:5" x14ac:dyDescent="0.2">
      <c r="E54" t="s">
        <v>187</v>
      </c>
    </row>
    <row r="55" spans="5:5" x14ac:dyDescent="0.2">
      <c r="E55" t="s">
        <v>53</v>
      </c>
    </row>
    <row r="56" spans="5:5" x14ac:dyDescent="0.2">
      <c r="E56" t="s">
        <v>54</v>
      </c>
    </row>
    <row r="57" spans="5:5" x14ac:dyDescent="0.2">
      <c r="E57" t="s">
        <v>188</v>
      </c>
    </row>
    <row r="58" spans="5:5" x14ac:dyDescent="0.2">
      <c r="E58" t="s">
        <v>189</v>
      </c>
    </row>
    <row r="59" spans="5:5" x14ac:dyDescent="0.2">
      <c r="E59" t="s">
        <v>190</v>
      </c>
    </row>
    <row r="60" spans="5:5" x14ac:dyDescent="0.2">
      <c r="E60" t="s">
        <v>191</v>
      </c>
    </row>
    <row r="61" spans="5:5" x14ac:dyDescent="0.2">
      <c r="E61" t="s">
        <v>192</v>
      </c>
    </row>
    <row r="62" spans="5:5" x14ac:dyDescent="0.2">
      <c r="E62" t="s">
        <v>193</v>
      </c>
    </row>
    <row r="63" spans="5:5" x14ac:dyDescent="0.2">
      <c r="E63" t="s">
        <v>194</v>
      </c>
    </row>
    <row r="64" spans="5:5" x14ac:dyDescent="0.2">
      <c r="E64" t="s">
        <v>195</v>
      </c>
    </row>
    <row r="65" spans="5:5" x14ac:dyDescent="0.2">
      <c r="E65" t="s">
        <v>196</v>
      </c>
    </row>
    <row r="66" spans="5:5" x14ac:dyDescent="0.2">
      <c r="E66" t="s">
        <v>197</v>
      </c>
    </row>
    <row r="67" spans="5:5" x14ac:dyDescent="0.2">
      <c r="E67" t="s">
        <v>198</v>
      </c>
    </row>
    <row r="68" spans="5:5" x14ac:dyDescent="0.2">
      <c r="E68" t="s">
        <v>199</v>
      </c>
    </row>
    <row r="69" spans="5:5" x14ac:dyDescent="0.2">
      <c r="E69" t="s">
        <v>200</v>
      </c>
    </row>
    <row r="70" spans="5:5" x14ac:dyDescent="0.2">
      <c r="E70" t="s">
        <v>201</v>
      </c>
    </row>
    <row r="71" spans="5:5" x14ac:dyDescent="0.2">
      <c r="E71" t="s">
        <v>202</v>
      </c>
    </row>
    <row r="72" spans="5:5" x14ac:dyDescent="0.2">
      <c r="E72" t="s">
        <v>203</v>
      </c>
    </row>
    <row r="73" spans="5:5" x14ac:dyDescent="0.2">
      <c r="E73" t="s">
        <v>204</v>
      </c>
    </row>
    <row r="74" spans="5:5" x14ac:dyDescent="0.2">
      <c r="E74" t="s">
        <v>205</v>
      </c>
    </row>
    <row r="75" spans="5:5" x14ac:dyDescent="0.2">
      <c r="E75" t="s">
        <v>206</v>
      </c>
    </row>
    <row r="76" spans="5:5" x14ac:dyDescent="0.2">
      <c r="E76" t="s">
        <v>207</v>
      </c>
    </row>
    <row r="77" spans="5:5" x14ac:dyDescent="0.2">
      <c r="E77" t="s">
        <v>208</v>
      </c>
    </row>
    <row r="78" spans="5:5" x14ac:dyDescent="0.2">
      <c r="E78" t="s">
        <v>209</v>
      </c>
    </row>
    <row r="79" spans="5:5" x14ac:dyDescent="0.2">
      <c r="E79" t="s">
        <v>210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36</vt:i4>
      </vt:variant>
    </vt:vector>
  </HeadingPairs>
  <TitlesOfParts>
    <vt:vector size="36" baseType="lpstr">
      <vt:lpstr>resumo_cx</vt:lpstr>
      <vt:lpstr>Planilha7</vt:lpstr>
      <vt:lpstr>Planilha6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31</vt:lpstr>
      <vt:lpstr>Planilha1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Diretor Gilberto Junior</cp:lastModifiedBy>
  <cp:revision/>
  <cp:lastPrinted>2024-02-06T13:21:44Z</cp:lastPrinted>
  <dcterms:created xsi:type="dcterms:W3CDTF">2004-04-07T20:43:43Z</dcterms:created>
  <dcterms:modified xsi:type="dcterms:W3CDTF">2024-08-20T03:34:17Z</dcterms:modified>
  <cp:category/>
  <cp:contentStatus/>
</cp:coreProperties>
</file>