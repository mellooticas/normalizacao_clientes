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4/"/>
    </mc:Choice>
  </mc:AlternateContent>
  <xr:revisionPtr revIDLastSave="378" documentId="13_ncr:1_{55597A98-B2D5-4117-96A6-1E1950E44F11}" xr6:coauthVersionLast="47" xr6:coauthVersionMax="47" xr10:uidLastSave="{43F329DC-CDF9-4106-80EC-A557DDD4A579}"/>
  <bookViews>
    <workbookView xWindow="-120" yWindow="-120" windowWidth="20730" windowHeight="11160" tabRatio="895" xr2:uid="{00000000-000D-0000-FFFF-FFFF00000000}"/>
  </bookViews>
  <sheets>
    <sheet name="resumo_cx" sheetId="200" r:id="rId1"/>
    <sheet name="Planilha1" sheetId="201" r:id="rId2"/>
    <sheet name="01" sheetId="175" r:id="rId3"/>
    <sheet name="02" sheetId="174" r:id="rId4"/>
    <sheet name="03" sheetId="173" r:id="rId5"/>
    <sheet name="04" sheetId="172" r:id="rId6"/>
    <sheet name="05" sheetId="171" r:id="rId7"/>
    <sheet name="06" sheetId="170" r:id="rId8"/>
    <sheet name="07" sheetId="103" r:id="rId9"/>
    <sheet name="08" sheetId="178" r:id="rId10"/>
    <sheet name="09" sheetId="177" r:id="rId11"/>
    <sheet name="10" sheetId="176" r:id="rId12"/>
    <sheet name="11" sheetId="180" r:id="rId13"/>
    <sheet name="12" sheetId="182" r:id="rId14"/>
    <sheet name="13" sheetId="183" r:id="rId15"/>
    <sheet name="14" sheetId="181" r:id="rId16"/>
    <sheet name="15" sheetId="179" r:id="rId17"/>
    <sheet name="16" sheetId="184" r:id="rId18"/>
    <sheet name="17" sheetId="185" r:id="rId19"/>
    <sheet name="18" sheetId="186" r:id="rId20"/>
    <sheet name="19" sheetId="187" r:id="rId21"/>
    <sheet name="20" sheetId="189" r:id="rId22"/>
    <sheet name="21" sheetId="190" r:id="rId23"/>
    <sheet name="22" sheetId="191" r:id="rId24"/>
    <sheet name="23" sheetId="188" r:id="rId25"/>
    <sheet name="24" sheetId="193" r:id="rId26"/>
    <sheet name="25" sheetId="195" r:id="rId27"/>
    <sheet name="Planilha2" sheetId="203" r:id="rId28"/>
    <sheet name="26" sheetId="194" r:id="rId29"/>
    <sheet name="27" sheetId="197" r:id="rId30"/>
    <sheet name="28" sheetId="196" r:id="rId31"/>
    <sheet name="29" sheetId="192" r:id="rId32"/>
    <sheet name="30" sheetId="199" r:id="rId33"/>
    <sheet name="31" sheetId="202" r:id="rId34"/>
    <sheet name="Planilha3" sheetId="204" r:id="rId35"/>
    <sheet name="base" sheetId="36" state="hidden" r:id="rId36"/>
  </sheets>
  <definedNames>
    <definedName name="_xlnm.Print_Area" localSheetId="3">'02'!$A$1:$M$41</definedName>
    <definedName name="_xlnm.Print_Area" localSheetId="6">'05'!$A$1:$M$41</definedName>
    <definedName name="_xlnm.Print_Area" localSheetId="8">'07'!$A$1:$M$41</definedName>
    <definedName name="_xlnm.Print_Area" localSheetId="19">'18'!$A$1:$M$41</definedName>
    <definedName name="_xlnm.Print_Area" localSheetId="20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2" l="1"/>
  <c r="R20" i="202"/>
  <c r="R19" i="202"/>
  <c r="C19" i="202"/>
  <c r="R18" i="202"/>
  <c r="C18" i="202"/>
  <c r="B18" i="202"/>
  <c r="R17" i="202"/>
  <c r="R16" i="202"/>
  <c r="R15" i="202"/>
  <c r="R14" i="202"/>
  <c r="C14" i="202"/>
  <c r="R13" i="202"/>
  <c r="C13" i="202"/>
  <c r="R12" i="202"/>
  <c r="C12" i="202"/>
  <c r="R11" i="202"/>
  <c r="C11" i="202"/>
  <c r="R10" i="202"/>
  <c r="R9" i="202"/>
  <c r="R8" i="202"/>
  <c r="R7" i="202"/>
  <c r="C7" i="202"/>
  <c r="R6" i="202"/>
  <c r="C6" i="202"/>
  <c r="C8" i="202" s="1"/>
  <c r="C5" i="202"/>
  <c r="C21" i="202" s="1"/>
  <c r="B1" i="191"/>
  <c r="C14" i="195"/>
  <c r="C13" i="195"/>
  <c r="C12" i="195"/>
  <c r="C11" i="195"/>
  <c r="C12" i="188"/>
  <c r="C13" i="188"/>
  <c r="C14" i="188"/>
  <c r="C11" i="188"/>
  <c r="C12" i="178"/>
  <c r="C13" i="178"/>
  <c r="C14" i="178"/>
  <c r="C11" i="178"/>
  <c r="C15" i="202" l="1"/>
  <c r="O11" i="202" s="1"/>
  <c r="R40" i="202"/>
  <c r="R20" i="175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6" i="174"/>
  <c r="C8" i="174" s="1"/>
  <c r="C6" i="173"/>
  <c r="C6" i="172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8" i="194" s="1"/>
  <c r="C6" i="197"/>
  <c r="C8" i="197" s="1"/>
  <c r="C6" i="196"/>
  <c r="C6" i="192"/>
  <c r="C6" i="199"/>
  <c r="C8" i="199" s="1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9" l="1"/>
  <c r="C8" i="190"/>
  <c r="C8" i="196"/>
  <c r="C8" i="189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B13" i="200"/>
  <c r="B5" i="200"/>
  <c r="B11" i="200"/>
  <c r="B10" i="200"/>
  <c r="B9" i="200"/>
  <c r="B3" i="200"/>
  <c r="B4" i="200"/>
  <c r="B12" i="200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85"/>
  <c r="C8" i="181"/>
  <c r="C8" i="170"/>
  <c r="C8" i="177"/>
  <c r="C8" i="182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 l="1"/>
  <c r="B14" i="200"/>
  <c r="C15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88" s="1"/>
  <c r="B1" i="193" s="1"/>
  <c r="B1" i="195" s="1"/>
  <c r="B1" i="194" s="1"/>
  <c r="B1" i="197" s="1"/>
  <c r="B1" i="196" s="1"/>
  <c r="B1" i="192" s="1"/>
  <c r="B1" i="199" s="1"/>
</calcChain>
</file>

<file path=xl/sharedStrings.xml><?xml version="1.0" encoding="utf-8"?>
<sst xmlns="http://schemas.openxmlformats.org/spreadsheetml/2006/main" count="1711" uniqueCount="189">
  <si>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</si>
  <si>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</si>
  <si>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</si>
  <si>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</si>
  <si>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</si>
  <si>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</si>
  <si>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</si>
  <si>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</si>
  <si>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</si>
  <si>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</si>
  <si>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</si>
  <si>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</si>
  <si>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</si>
  <si>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</si>
  <si>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</si>
  <si>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</si>
  <si>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</si>
  <si>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</si>
  <si>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</si>
  <si>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</si>
  <si>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</si>
  <si>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</si>
  <si>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</si>
  <si>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</si>
  <si>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</si>
  <si>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</si>
  <si>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</si>
  <si>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</si>
  <si>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</si>
  <si>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</si>
  <si>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</si>
  <si>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</si>
  <si>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</si>
  <si>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</si>
  <si>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</si>
  <si>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</si>
  <si>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</si>
  <si>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</si>
  <si>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</si>
  <si>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</si>
  <si>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</si>
  <si>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</si>
  <si>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</si>
  <si>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</si>
  <si>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</si>
  <si>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</si>
  <si>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</si>
  <si>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</si>
  <si>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</si>
  <si>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</si>
  <si>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</si>
  <si>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</si>
  <si>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</si>
  <si>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</si>
  <si>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</si>
  <si>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</si>
  <si>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</si>
  <si>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</si>
  <si>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</si>
  <si>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</si>
  <si>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</si>
  <si>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</si>
  <si>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</si>
  <si>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</si>
  <si>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</si>
  <si>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</si>
  <si>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</si>
  <si>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</si>
  <si>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</si>
  <si>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</si>
  <si>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</si>
  <si>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</si>
  <si>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</si>
  <si>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</si>
  <si>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</si>
  <si>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</si>
  <si>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</si>
  <si>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</si>
  <si>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</si>
  <si>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</si>
  <si>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</si>
  <si>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</si>
  <si>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</si>
  <si>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</si>
  <si>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</si>
  <si>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</si>
  <si>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</si>
  <si>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</si>
  <si>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</si>
  <si>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</si>
  <si>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</si>
  <si>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</si>
  <si>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</si>
  <si>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</si>
  <si>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</si>
  <si>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</si>
  <si>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</si>
  <si>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</si>
  <si>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</si>
  <si>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</si>
  <si>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</si>
  <si>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</si>
  <si>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</si>
  <si>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</si>
  <si>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</si>
  <si>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</si>
  <si>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</si>
  <si>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</si>
  <si>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</si>
  <si>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</si>
  <si>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</si>
  <si>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</si>
  <si>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</si>
  <si>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</si>
  <si>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</si>
  <si>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</si>
  <si>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</si>
  <si>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</si>
  <si>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</si>
  <si>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</si>
  <si>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</si>
  <si>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</si>
  <si>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</si>
  <si>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</si>
  <si>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Coluna1</t>
  </si>
  <si>
    <t>Coluna2</t>
  </si>
  <si>
    <t>Coluna3</t>
  </si>
  <si>
    <t>Coluna4</t>
  </si>
  <si>
    <t>Coluna5</t>
  </si>
  <si>
    <t>Fabiana Blatis Bellarmonni</t>
  </si>
  <si>
    <t>Irene Alves de Jesus</t>
  </si>
  <si>
    <t>Jeremias</t>
  </si>
  <si>
    <t>Edilson Araújo</t>
  </si>
  <si>
    <t>Maria Eduarda</t>
  </si>
  <si>
    <t>Rosangela</t>
  </si>
  <si>
    <t>Não</t>
  </si>
  <si>
    <t>Sim</t>
  </si>
  <si>
    <t>Sergio Borges</t>
  </si>
  <si>
    <t>Thays Soares</t>
  </si>
  <si>
    <t>Vinicius Justino</t>
  </si>
  <si>
    <t>Franciele Maria de Lima</t>
  </si>
  <si>
    <t>Eliana</t>
  </si>
  <si>
    <t>Marlene Ferreira</t>
  </si>
  <si>
    <t>Antonio Silva</t>
  </si>
  <si>
    <t>Camila Oliveira</t>
  </si>
  <si>
    <t>Janete Silva</t>
  </si>
  <si>
    <t>Vinicius</t>
  </si>
  <si>
    <t>Francisco R.</t>
  </si>
  <si>
    <t>Monica Cristina Gomes</t>
  </si>
  <si>
    <t>Zenalia Rosa de Oliveira</t>
  </si>
  <si>
    <t>Joice Alves Barreiros</t>
  </si>
  <si>
    <t>Neusa Maria de Almeida</t>
  </si>
  <si>
    <t>Silvania Regiane Pereira da Penha</t>
  </si>
  <si>
    <t>Juvenal Lima</t>
  </si>
  <si>
    <t>Moacir Ribeiro dos Santos</t>
  </si>
  <si>
    <t>Micael Antunes</t>
  </si>
  <si>
    <t>Lilian dos Santos</t>
  </si>
  <si>
    <t xml:space="preserve">Ana Lucia de Silva </t>
  </si>
  <si>
    <t>Maria Virgina de Oliveira</t>
  </si>
  <si>
    <t>ç</t>
  </si>
  <si>
    <t>João Gabriel</t>
  </si>
  <si>
    <t>Maria das Dores</t>
  </si>
  <si>
    <t xml:space="preserve">Rosangela </t>
  </si>
  <si>
    <t>Robson Silva Cruz</t>
  </si>
  <si>
    <t>Sidnéia Rodrigues de Sousa</t>
  </si>
  <si>
    <t>Rogério</t>
  </si>
  <si>
    <t>Roberto Carlos</t>
  </si>
  <si>
    <t>Sebastian Severo</t>
  </si>
  <si>
    <t>Copos</t>
  </si>
  <si>
    <t>a</t>
  </si>
  <si>
    <t>Antonio dos Santos Souza</t>
  </si>
  <si>
    <t>Mateus da Silva Cavalcante</t>
  </si>
  <si>
    <t>Emerson de Souza Mattos</t>
  </si>
  <si>
    <t>Mayara Moreno de Andreia</t>
  </si>
  <si>
    <t>Vanessa Maria da Silva</t>
  </si>
  <si>
    <t>Cristiane Monteiro de Santana</t>
  </si>
  <si>
    <t>Maria José dos Santos Souza Pinto</t>
  </si>
  <si>
    <t>Antonio Silva Gomes</t>
  </si>
  <si>
    <t>rogerio</t>
  </si>
  <si>
    <t>rosangela</t>
  </si>
  <si>
    <t>CHARLES NASCIMENTO</t>
  </si>
  <si>
    <t>EVELYN RODRIGUES</t>
  </si>
  <si>
    <t>JOSE VICTOR</t>
  </si>
  <si>
    <t>JANETE DA SILVA</t>
  </si>
  <si>
    <t xml:space="preserve">NEUSA MARIA </t>
  </si>
  <si>
    <t>MARIA DE ALMEIDA</t>
  </si>
  <si>
    <t>MARIA VIRGINIA</t>
  </si>
  <si>
    <t>MOACIR RIBEIRO</t>
  </si>
  <si>
    <t>JUVENAL GONÇALVES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</si>
</sst>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2" fillId="0" borderId="17" xfId="0" applyFont="1" applyBorder="1" applyAlignment="1">
      <alignment horizontal="center"/>
    </xf>
    <xf numFmtId="165" fontId="42" fillId="0" borderId="17" xfId="0" applyNumberFormat="1" applyFont="1" applyBorder="1" applyAlignment="1">
      <alignment horizontal="center"/>
    </xf>
    <xf numFmtId="165" fontId="42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44" fontId="42" fillId="0" borderId="17" xfId="39" applyFont="1" applyFill="1" applyBorder="1" applyAlignment="1">
      <alignment horizontal="center"/>
    </xf>
    <xf numFmtId="165" fontId="42" fillId="0" borderId="17" xfId="4" applyNumberFormat="1" applyFont="1" applyFill="1" applyBorder="1" applyAlignment="1">
      <alignment horizontal="center"/>
    </xf>
    <xf numFmtId="164" fontId="42" fillId="0" borderId="17" xfId="2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0" fontId="43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65" fontId="42" fillId="0" borderId="5" xfId="0" applyNumberFormat="1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165" fontId="44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165" fontId="42" fillId="0" borderId="3" xfId="4" applyNumberFormat="1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Coluna1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Coluna1" dataDxfId="1126"/>
    <tableColumn id="2" xr3:uid="{A8D4686B-F05E-4D96-BDB9-FD354C9E28B8}" name="Coluna2" dataDxfId="1125"/>
    <tableColumn id="3" xr3:uid="{0FB871EC-4505-4E7C-A162-0EFDB16AB8E5}" name="Coluna3" dataDxfId="1124" dataCellStyle="Moeda"/>
    <tableColumn id="4" xr3:uid="{41436228-3E61-4F7F-80EF-627B1794150B}" name="Coluna4" dataDxfId="1123" dataCellStyle="Porcentagem"/>
    <tableColumn id="5" xr3:uid="{9C580DC7-08E3-4AD7-B73C-C1AA4298633B}" name="Coluna5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9F2B489-8950-42ED-924E-3B3D461FE126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1A6E7572-456D-46D5-9B3B-81CBFFE1AE3D}" name="Nº Venda" dataDxfId="49" dataCellStyle="Moeda"/>
    <tableColumn id="5" xr3:uid="{171F18EC-D510-4E47-8054-D37D1D17C3F7}" name="Cliente" dataDxfId="48" dataCellStyle="Moeda"/>
    <tableColumn id="2" xr3:uid="{E657D2F0-CF1E-487D-817C-B269C377D946}" name="Forma de Pgto" dataDxfId="47" dataCellStyle="Moeda"/>
    <tableColumn id="3" xr3:uid="{4FB3ACDD-49DA-45CD-8136-26EF22312F6D}" name="Valor Venda" dataDxfId="46" dataCellStyle="Porcentagem"/>
    <tableColumn id="4" xr3:uid="{751449F7-DF68-483F-AF2D-014224C01DCF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36CCAC8-BE77-4BB7-948E-578900F1354C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64E2B686-098D-4CA2-8772-EA7AA97A0E59}" name="Descrição" dataDxfId="39"/>
    <tableColumn id="2" xr3:uid="{45AE00E3-59E3-4D07-9666-3A8A17D679A5}" name="Tipo de Pagto" dataDxfId="38"/>
    <tableColumn id="3" xr3:uid="{B20B4FA7-C2C1-4AF6-A658-C63C4FF46DD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F9BABDF-1891-481E-A53E-0A1914087144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155E779-A081-4238-BDB9-EC86BA23AC4B}" name="Nº Venda" dataDxfId="31"/>
    <tableColumn id="2" xr3:uid="{7C24C20F-E99E-4953-9D55-B488C75FF9C2}" name="Cliente" dataDxfId="30"/>
    <tableColumn id="3" xr3:uid="{018286F0-6B1F-4E81-8DA5-E913F57BAB8D}" name="Forma de Pgto" dataDxfId="29" dataCellStyle="Moeda"/>
    <tableColumn id="4" xr3:uid="{77288245-665C-4940-969A-313D7A4E17D0}" name="Valor Venda" dataDxfId="28" dataCellStyle="Porcentagem"/>
    <tableColumn id="5" xr3:uid="{7EB80515-9608-43A6-AE0E-B287371C9087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51A36FD-5D1E-4606-AD73-5CB938677C78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FF1AAE94-2E62-4D6D-96B0-717E6D1FAC0C}" name="OS" dataDxfId="21"/>
    <tableColumn id="2" xr3:uid="{C049374B-BAE7-4522-9A1A-6292F3C4EAE4}" name="Vendedor" dataDxfId="20"/>
    <tableColumn id="3" xr3:uid="{8AB8E5FC-2CC2-4214-9539-926ED3742FF2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448D2E5-9D5D-4B30-9E85-28C64D9F2ED1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5BD92EE-8861-4BA7-A8C3-D5F751073E87}" name="OS" dataDxfId="13"/>
    <tableColumn id="2" xr3:uid="{13C8DED3-FD51-4B62-B539-479B7D6741EE}" name="Cliente" dataDxfId="12"/>
    <tableColumn id="3" xr3:uid="{238BE675-6E08-461C-A214-D5EB7D0A3B5E}" name="Forma de Pgto" dataDxfId="11" dataCellStyle="Moeda"/>
    <tableColumn id="4" xr3:uid="{C803DF98-17CC-45B6-95F0-EC31828C653B}" name="Valor Parcela" dataDxfId="10" dataCellStyle="Porcentagem"/>
    <tableColumn id="5" xr3:uid="{1CA7ADFD-7724-4C8B-AA44-56401564251B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3F19B32-7C77-440F-8FB0-2BC091E59EFD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B39F4D8A-6A13-4E8F-BC6D-75F41C2584AD}" name="OS" dataDxfId="4"/>
    <tableColumn id="2" xr3:uid="{6752F99D-6FFE-4D22-B7F4-236996D3E68F}" name="Parcelas" dataDxfId="3"/>
    <tableColumn id="3" xr3:uid="{36E0441C-3D19-4BDD-91A6-737F86DBA2AF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tabSelected="1" workbookViewId="0">
      <selection activeCell="D9" sqref="D9"/>
    </sheetView>
  </sheetViews>
  <sheetFormatPr defaultColWidth="21.28515625" defaultRowHeight="12.75" x14ac:dyDescent="0.2"/>
  <cols>
    <col min="1" max="1" width="22.7109375" customWidth="1"/>
    <col min="2" max="2" width="27.140625" customWidth="1"/>
  </cols>
  <sheetData>
    <row r="2" spans="1:2" ht="15" x14ac:dyDescent="0.2">
      <c r="A2" s="19" t="s">
        <v>0</v>
      </c>
      <c r="B2" s="75">
        <v>0</v>
      </c>
    </row>
    <row r="3" spans="1:2" ht="15" x14ac:dyDescent="0.25">
      <c r="A3" s="23" t="s">
        <v>1</v>
      </c>
      <c r="B3" s="24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</row>
    <row r="4" spans="1:2" ht="15" x14ac:dyDescent="0.25">
      <c r="A4" s="23" t="s">
        <v>2</v>
      </c>
      <c r="B4" s="24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</row>
    <row r="6" spans="1:2" ht="15.75" x14ac:dyDescent="0.25">
      <c r="A6" s="28" t="s">
        <v>4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119" t="s">
        <v>5</v>
      </c>
      <c r="B8" s="119"/>
    </row>
    <row r="9" spans="1:2" ht="15" x14ac:dyDescent="0.25">
      <c r="A9" s="30" t="s">
        <v>6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</row>
    <row r="10" spans="1:2" ht="15" x14ac:dyDescent="0.25">
      <c r="A10" s="30" t="s">
        <v>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</row>
    <row r="11" spans="1:2" ht="15" x14ac:dyDescent="0.25">
      <c r="A11" s="30" t="s">
        <v>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#REF!)</f>
        <v>#REF!</v>
      </c>
    </row>
    <row r="13" spans="1:2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4" spans="1:2" ht="15.75" x14ac:dyDescent="0.25">
      <c r="A14" s="28" t="s">
        <v>10</v>
      </c>
      <c r="B14" s="76" t="e">
        <f>SUM(B9:B13)</f>
        <v>#REF!</v>
      </c>
    </row>
    <row r="15" spans="1:2" ht="15" x14ac:dyDescent="0.25">
      <c r="A15" s="2"/>
      <c r="B15" s="2"/>
    </row>
    <row r="16" spans="1:2" ht="15" x14ac:dyDescent="0.2">
      <c r="A16" s="119" t="s">
        <v>11</v>
      </c>
      <c r="B16" s="119"/>
    </row>
    <row r="17" spans="1:2" ht="15" x14ac:dyDescent="0.25">
      <c r="A17" s="30">
        <f>COUNT(#REF!)</f>
        <v>0</v>
      </c>
      <c r="B17" s="24" t="e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#REF!)</f>
        <v>#REF!</v>
      </c>
    </row>
    <row r="18" spans="1:2" ht="15.75" x14ac:dyDescent="0.25">
      <c r="A18" s="28" t="s">
        <v>10</v>
      </c>
      <c r="B18" s="76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C820-A79E-40A6-800D-D7FA2FDB42D1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45413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COUNT(entr_carn1[OS])</f>
        <v>0</v>
      </c>
      <c r="C18" s="31">
        <f>SUM(entr_carn1[Valor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2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'01'!B1+1</f>
        <v>45414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3"/>
      <c r="F13" s="64"/>
      <c r="G13" s="84"/>
      <c r="H13" s="71"/>
      <c r="I13" s="71"/>
      <c r="J13" s="2"/>
      <c r="K13" s="121" t="s">
        <v>21</v>
      </c>
      <c r="L13" s="122"/>
      <c r="M13" s="12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3"/>
      <c r="F14" s="64"/>
      <c r="G14" s="84"/>
      <c r="H14" s="71"/>
      <c r="I14" s="71"/>
      <c r="J14" s="2"/>
      <c r="K14" s="14" t="s">
        <v>124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45415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'03'!B1+1</f>
        <v>45416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1626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1626</v>
      </c>
      <c r="D6" s="2"/>
      <c r="E6" s="18">
        <v>3511</v>
      </c>
      <c r="F6" s="25" t="s">
        <v>129</v>
      </c>
      <c r="G6" s="46" t="s">
        <v>9</v>
      </c>
      <c r="H6" s="8">
        <v>1626</v>
      </c>
      <c r="I6" s="8">
        <v>1626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20</v>
      </c>
      <c r="C8" s="29">
        <f>SUM(C6:C7)</f>
        <v>1626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1626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75" x14ac:dyDescent="0.25">
      <c r="B15" s="28" t="s">
        <v>10</v>
      </c>
      <c r="C15" s="32">
        <f>SUM(C11:C14)</f>
        <v>1626</v>
      </c>
      <c r="D15" s="2"/>
      <c r="E15" s="18"/>
      <c r="F15" s="25"/>
      <c r="G15" s="26"/>
      <c r="H15" s="8"/>
      <c r="I15" s="8"/>
      <c r="J15" s="2"/>
      <c r="K15" s="92"/>
      <c r="L15" s="93"/>
      <c r="M15" s="94"/>
      <c r="R15" s="1">
        <f>IF(vend4[[#This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92"/>
      <c r="L16" s="92"/>
      <c r="M16" s="94"/>
      <c r="R16" s="1">
        <f>IF(vend4[[#This Row],[Nº Venda]]&gt;1,1,0)</f>
        <v>0</v>
      </c>
    </row>
    <row r="17" spans="2:18" ht="18.75" x14ac:dyDescent="0.4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25</v>
      </c>
      <c r="C21" s="32">
        <f>C5</f>
        <v>1626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3"/>
      <c r="F26" s="64"/>
      <c r="G26" s="95"/>
      <c r="H26" s="71"/>
      <c r="I26" s="71"/>
      <c r="J26" s="2"/>
      <c r="K26" s="25"/>
      <c r="L26" s="9"/>
      <c r="M26" s="16"/>
    </row>
    <row r="27" spans="2:18" ht="15.75" x14ac:dyDescent="0.25">
      <c r="B27" s="2"/>
      <c r="C27" s="2"/>
      <c r="D27" s="2"/>
      <c r="E27" s="83"/>
      <c r="F27" s="64"/>
      <c r="G27" s="95"/>
      <c r="H27" s="71"/>
      <c r="I27" s="71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'04'!B1+1</f>
        <v>45417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579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</v>
      </c>
      <c r="D6" s="2"/>
      <c r="E6" s="83">
        <v>3510</v>
      </c>
      <c r="F6" s="64" t="s">
        <v>130</v>
      </c>
      <c r="G6" s="95" t="s">
        <v>6</v>
      </c>
      <c r="H6" s="71">
        <v>579</v>
      </c>
      <c r="I6" s="71">
        <v>10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10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97" t="s">
        <v>6</v>
      </c>
      <c r="C11" s="96">
        <f>(SUMIF($G$2:$G$31,B11,$I$2:$I$31))+(SUMIF($G$35:$G$41,B11,$H$35:$H$41))</f>
        <v>10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25</v>
      </c>
      <c r="C21" s="32">
        <f>C5</f>
        <v>579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83"/>
      <c r="F36" s="64"/>
      <c r="G36" s="84"/>
      <c r="H36" s="71"/>
      <c r="I36" s="71"/>
      <c r="K36" s="25"/>
      <c r="L36" s="41"/>
      <c r="M36" s="16"/>
    </row>
    <row r="37" spans="5:18" ht="15.75" x14ac:dyDescent="0.25">
      <c r="E37" s="83"/>
      <c r="F37" s="64"/>
      <c r="G37" s="84"/>
      <c r="H37" s="71"/>
      <c r="I37" s="71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2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'05'!B1+1</f>
        <v>45418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290</v>
      </c>
      <c r="D6" s="2"/>
      <c r="E6" s="83"/>
      <c r="F6" s="64"/>
      <c r="G6" s="84"/>
      <c r="H6" s="71"/>
      <c r="I6" s="71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20</v>
      </c>
      <c r="C8" s="29">
        <f>SUM(C6:C7)</f>
        <v>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290</v>
      </c>
      <c r="D15" s="2"/>
      <c r="E15" s="18"/>
      <c r="F15" s="25"/>
      <c r="G15" s="26"/>
      <c r="H15" s="8"/>
      <c r="I15" s="8"/>
      <c r="J15" s="2"/>
      <c r="K15" s="18">
        <v>3507</v>
      </c>
      <c r="L15" s="25" t="s">
        <v>134</v>
      </c>
      <c r="M15" s="16" t="s">
        <v>135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3">
        <v>3507</v>
      </c>
      <c r="F26" s="64" t="s">
        <v>133</v>
      </c>
      <c r="G26" s="84" t="s">
        <v>6</v>
      </c>
      <c r="H26" s="71"/>
      <c r="I26" s="71">
        <v>290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3"/>
      <c r="F27" s="64"/>
      <c r="G27" s="84"/>
      <c r="H27" s="71"/>
      <c r="I27" s="71"/>
      <c r="J27" s="2"/>
      <c r="K27" s="25"/>
      <c r="L27" s="9"/>
      <c r="M27" s="16"/>
    </row>
    <row r="28" spans="2:18" ht="15.75" x14ac:dyDescent="0.25">
      <c r="B28" s="2"/>
      <c r="C28" s="2"/>
      <c r="D28" s="2"/>
      <c r="E28" s="83"/>
      <c r="F28" s="64"/>
      <c r="G28" s="84"/>
      <c r="H28" s="71"/>
      <c r="I28" s="7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70" zoomScaleNormal="7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1">
        <f>'06'!B1+1</f>
        <v>45419</v>
      </c>
    </row>
    <row r="2" spans="2:21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  <c r="U4" s="1">
        <v>0</v>
      </c>
    </row>
    <row r="5" spans="2:21" ht="15" x14ac:dyDescent="0.25">
      <c r="B5" s="23" t="s">
        <v>1</v>
      </c>
      <c r="C5" s="24">
        <f>SUMIF(I6:I31,"&gt;0",H6:H31)</f>
        <v>1190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300</v>
      </c>
      <c r="D6" s="2"/>
      <c r="E6" s="18">
        <v>3512</v>
      </c>
      <c r="F6" s="117" t="s">
        <v>177</v>
      </c>
      <c r="G6" s="117" t="s">
        <v>9</v>
      </c>
      <c r="H6" s="118">
        <v>1190</v>
      </c>
      <c r="I6" s="118">
        <v>50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 t="s">
        <v>56</v>
      </c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 t="s">
        <v>56</v>
      </c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 t="s">
        <v>56</v>
      </c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 t="s">
        <v>56</v>
      </c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300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25</v>
      </c>
      <c r="C21" s="32">
        <f>C5</f>
        <v>1190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2">
        <v>3392</v>
      </c>
      <c r="F26" s="63" t="s">
        <v>131</v>
      </c>
      <c r="G26" s="73" t="s">
        <v>6</v>
      </c>
      <c r="H26" s="74"/>
      <c r="I26" s="74">
        <v>250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'07'!B1+1</f>
        <v>45420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1490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1490</v>
      </c>
      <c r="D6" s="2"/>
      <c r="E6" s="82">
        <v>3513</v>
      </c>
      <c r="F6" s="8" t="s">
        <v>132</v>
      </c>
      <c r="G6" s="8" t="s">
        <v>8</v>
      </c>
      <c r="H6" s="8">
        <v>1490</v>
      </c>
      <c r="I6" s="8">
        <v>1490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20</v>
      </c>
      <c r="C8" s="29">
        <f>SUM(C6:C7)</f>
        <v>1490</v>
      </c>
      <c r="D8" s="2"/>
      <c r="E8" s="8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(SUMIF($G$2:$G$31,B13,$I$2:$I$31))+(SUMIF($G$35:$G$42,B13,$H$35:$H$42))</f>
        <v>1490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IF(vend8[[#This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1490</v>
      </c>
      <c r="D15" s="2"/>
      <c r="E15" s="18"/>
      <c r="F15" s="25"/>
      <c r="G15" s="26"/>
      <c r="H15" s="8"/>
      <c r="I15" s="8"/>
      <c r="J15" s="2"/>
      <c r="K15" s="25">
        <v>3496</v>
      </c>
      <c r="L15" s="9" t="s">
        <v>134</v>
      </c>
      <c r="M15" s="16" t="s">
        <v>135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4">
        <v>3487</v>
      </c>
      <c r="L16" s="69" t="s">
        <v>134</v>
      </c>
      <c r="M16" s="70" t="s">
        <v>135</v>
      </c>
      <c r="R16" s="1">
        <f>IF(vend8[[#This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>
        <v>3491</v>
      </c>
      <c r="L17" s="9" t="s">
        <v>134</v>
      </c>
      <c r="M17" s="16" t="s">
        <v>136</v>
      </c>
      <c r="R17" s="1">
        <f>IF(vend8[[#This Row],[Nº Venda]]&gt;1,1,0)</f>
        <v>0</v>
      </c>
    </row>
    <row r="18" spans="2:18" ht="15.75" x14ac:dyDescent="0.25">
      <c r="B18" s="30">
        <f>COUNT(entr_carn8[OS])</f>
        <v>1</v>
      </c>
      <c r="C18" s="31">
        <f>SUM(entr_carn8[Valor Total])</f>
        <v>1115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1115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25</v>
      </c>
      <c r="C21" s="32">
        <f>C5</f>
        <v>1490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/>
      <c r="F26" s="98"/>
      <c r="G26" s="99"/>
      <c r="H26" s="74"/>
      <c r="I26" s="74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>
        <v>3491</v>
      </c>
      <c r="L35" s="41">
        <v>2</v>
      </c>
      <c r="M35" s="16">
        <v>1115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91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77"/>
      <c r="G42" s="78"/>
      <c r="H42" s="7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45421</v>
      </c>
    </row>
    <row r="2" spans="2:22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22" ht="15" x14ac:dyDescent="0.25">
      <c r="B5" s="23" t="s">
        <v>1</v>
      </c>
      <c r="C5" s="24">
        <f>SUMIF(I6:I31,"&gt;0",H6:H31)</f>
        <v>790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500</v>
      </c>
      <c r="D6" s="2"/>
      <c r="E6" s="18">
        <v>3514</v>
      </c>
      <c r="F6" s="25"/>
      <c r="G6" s="46" t="s">
        <v>8</v>
      </c>
      <c r="H6" s="8">
        <v>790</v>
      </c>
      <c r="I6" s="8">
        <v>500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20</v>
      </c>
      <c r="C8" s="29">
        <f>SUM(C6:C7)</f>
        <v>500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500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500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25</v>
      </c>
      <c r="C21" s="32">
        <f>C5</f>
        <v>790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70" zoomScaleNormal="70" workbookViewId="0">
      <selection activeCell="G22" sqref="G22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'09'!B1+1</f>
        <v>45422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SUMIF(I6:I32,"&gt;0",H6:H32)</f>
        <v>380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830</v>
      </c>
      <c r="D6" s="2"/>
      <c r="E6" s="18">
        <v>3515</v>
      </c>
      <c r="F6" s="25" t="s">
        <v>139</v>
      </c>
      <c r="G6" s="46" t="s">
        <v>8</v>
      </c>
      <c r="H6" s="8">
        <v>380</v>
      </c>
      <c r="I6" s="8">
        <v>190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830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190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640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830</v>
      </c>
      <c r="D15" s="2"/>
      <c r="E15" s="18"/>
      <c r="F15" s="25"/>
      <c r="G15" s="26"/>
      <c r="H15" s="8"/>
      <c r="I15" s="8"/>
      <c r="J15" s="2"/>
      <c r="K15" s="25">
        <v>3421</v>
      </c>
      <c r="L15" s="9" t="s">
        <v>134</v>
      </c>
      <c r="M15" s="16" t="s">
        <v>135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R16" s="1">
        <f>IF(vend10[[#This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64"/>
      <c r="L17" s="69"/>
      <c r="M17" s="70"/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25</v>
      </c>
      <c r="C21" s="32">
        <f>C5</f>
        <v>380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3421</v>
      </c>
      <c r="F26" s="25" t="s">
        <v>140</v>
      </c>
      <c r="G26" s="46" t="s">
        <v>9</v>
      </c>
      <c r="H26" s="8">
        <v>0</v>
      </c>
      <c r="I26" s="8">
        <v>640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21" t="s">
        <v>11</v>
      </c>
      <c r="L33" s="122"/>
      <c r="M33" s="123"/>
    </row>
    <row r="34" spans="5:18" ht="15" x14ac:dyDescent="0.25">
      <c r="E34" s="120" t="s">
        <v>27</v>
      </c>
      <c r="F34" s="120"/>
      <c r="G34" s="120"/>
      <c r="H34" s="120"/>
      <c r="I34" s="120"/>
      <c r="K34" s="14" t="s">
        <v>22</v>
      </c>
      <c r="L34" s="6" t="s">
        <v>30</v>
      </c>
      <c r="M34" s="15" t="s">
        <v>31</v>
      </c>
    </row>
    <row r="35" spans="5:18" ht="15" x14ac:dyDescent="0.25">
      <c r="E35" s="10" t="s">
        <v>124</v>
      </c>
      <c r="F35" s="10" t="s">
        <v>125</v>
      </c>
      <c r="G35" s="11" t="s">
        <v>126</v>
      </c>
      <c r="H35" s="12" t="s">
        <v>127</v>
      </c>
      <c r="I35" s="13" t="s">
        <v>128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70" zoomScaleNormal="70" workbookViewId="0">
      <selection activeCell="G13" sqref="G13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'10'!B1+1</f>
        <v>45423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1319</v>
      </c>
      <c r="D6" s="2"/>
      <c r="E6" s="18">
        <v>3516</v>
      </c>
      <c r="F6" s="25" t="s">
        <v>141</v>
      </c>
      <c r="G6" s="26" t="s">
        <v>6</v>
      </c>
      <c r="H6" s="8">
        <v>250</v>
      </c>
      <c r="I6" s="8">
        <v>250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20</v>
      </c>
      <c r="C8" s="29">
        <f>SUM(C6:C7)</f>
        <v>1319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1319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1319</v>
      </c>
      <c r="D15" s="2"/>
      <c r="E15" s="18"/>
      <c r="F15" s="25"/>
      <c r="G15" s="26"/>
      <c r="H15" s="8"/>
      <c r="I15" s="8"/>
      <c r="J15" s="2"/>
      <c r="K15" s="25">
        <v>3516</v>
      </c>
      <c r="L15" s="9" t="s">
        <v>134</v>
      </c>
      <c r="M15" s="16" t="s">
        <v>135</v>
      </c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25</v>
      </c>
      <c r="C21" s="32">
        <f>C5</f>
        <v>250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3510</v>
      </c>
      <c r="F26" s="25"/>
      <c r="G26" s="46" t="s">
        <v>6</v>
      </c>
      <c r="H26" s="8">
        <v>0</v>
      </c>
      <c r="I26" s="8">
        <v>569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3512</v>
      </c>
      <c r="F27" s="25"/>
      <c r="G27" s="26" t="s">
        <v>6</v>
      </c>
      <c r="H27" s="8">
        <v>0</v>
      </c>
      <c r="I27" s="8">
        <v>500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4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45424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90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45425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2" zoomScale="70" zoomScaleNormal="7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7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'13'!B1+1</f>
        <v>45426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3718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2873</v>
      </c>
      <c r="D6" s="2"/>
      <c r="E6" s="92">
        <v>3517</v>
      </c>
      <c r="F6" s="92" t="s">
        <v>149</v>
      </c>
      <c r="G6" s="100" t="s">
        <v>7</v>
      </c>
      <c r="H6" s="101">
        <v>249</v>
      </c>
      <c r="I6" s="101">
        <v>249</v>
      </c>
      <c r="J6" s="2"/>
      <c r="K6" s="103"/>
      <c r="L6" s="93"/>
      <c r="M6" s="94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3518</v>
      </c>
      <c r="F7" s="92" t="s">
        <v>150</v>
      </c>
      <c r="G7" s="100" t="s">
        <v>8</v>
      </c>
      <c r="H7" s="101">
        <v>640</v>
      </c>
      <c r="I7" s="101">
        <v>200</v>
      </c>
      <c r="J7" s="2"/>
      <c r="K7" s="103"/>
      <c r="L7" s="93"/>
      <c r="M7" s="94"/>
      <c r="R7" s="1">
        <f>IF(vend14[[#This Row],[Nº Venda]]&gt;1,1,0)</f>
        <v>1</v>
      </c>
    </row>
    <row r="8" spans="2:18" ht="15.75" x14ac:dyDescent="0.25">
      <c r="B8" s="28" t="s">
        <v>20</v>
      </c>
      <c r="C8" s="29">
        <f>SUM(C6:C7)</f>
        <v>2873</v>
      </c>
      <c r="D8" s="2"/>
      <c r="E8" s="92">
        <v>3519</v>
      </c>
      <c r="F8" s="92" t="s">
        <v>150</v>
      </c>
      <c r="G8" s="102" t="s">
        <v>8</v>
      </c>
      <c r="H8" s="101">
        <v>640</v>
      </c>
      <c r="I8" s="101">
        <v>200</v>
      </c>
      <c r="J8" s="2"/>
      <c r="K8" s="103"/>
      <c r="L8" s="93"/>
      <c r="M8" s="94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92">
        <v>3520</v>
      </c>
      <c r="F9" s="92" t="s">
        <v>151</v>
      </c>
      <c r="G9" s="102" t="s">
        <v>8</v>
      </c>
      <c r="H9" s="101">
        <v>1890</v>
      </c>
      <c r="I9" s="101">
        <v>1890</v>
      </c>
      <c r="J9" s="2"/>
      <c r="K9" s="103"/>
      <c r="L9" s="93"/>
      <c r="M9" s="94"/>
      <c r="R9" s="1">
        <f>IF(vend14[[#This Row],[Nº Venda]]&gt;1,1,0)</f>
        <v>1</v>
      </c>
    </row>
    <row r="10" spans="2:18" ht="15.75" x14ac:dyDescent="0.25">
      <c r="B10" s="119" t="s">
        <v>5</v>
      </c>
      <c r="C10" s="119"/>
      <c r="D10" s="2"/>
      <c r="E10" s="92">
        <v>3521</v>
      </c>
      <c r="F10" s="92" t="s">
        <v>152</v>
      </c>
      <c r="G10" s="102" t="s">
        <v>7</v>
      </c>
      <c r="H10" s="101">
        <v>299</v>
      </c>
      <c r="I10" s="101">
        <v>20</v>
      </c>
      <c r="J10" s="2"/>
      <c r="K10" s="103"/>
      <c r="L10" s="93"/>
      <c r="M10" s="94"/>
      <c r="R10" s="1">
        <f>IF(vend14[[#This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269</v>
      </c>
      <c r="D12" s="2"/>
      <c r="E12" s="92"/>
      <c r="F12" s="92"/>
      <c r="G12" s="102"/>
      <c r="H12" s="101"/>
      <c r="I12" s="101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2290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414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2973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IF(vend14[[#This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IF(vend14[[#This Row],[Nº Venda]]&gt;1,1,0)</f>
        <v>0</v>
      </c>
    </row>
    <row r="21" spans="2:18" ht="15.75" x14ac:dyDescent="0.25">
      <c r="B21" s="28" t="s">
        <v>25</v>
      </c>
      <c r="C21" s="32">
        <f>C5</f>
        <v>3718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>
        <v>3509</v>
      </c>
      <c r="F26" s="92" t="s">
        <v>137</v>
      </c>
      <c r="G26" s="102" t="s">
        <v>9</v>
      </c>
      <c r="H26" s="101">
        <v>0</v>
      </c>
      <c r="I26" s="101">
        <v>214</v>
      </c>
      <c r="J26" s="2"/>
      <c r="K26" s="103"/>
      <c r="L26" s="93"/>
      <c r="M26" s="94"/>
    </row>
    <row r="27" spans="2:18" ht="15.75" x14ac:dyDescent="0.25">
      <c r="B27" s="2"/>
      <c r="C27" s="2"/>
      <c r="D27" s="2"/>
      <c r="E27" s="92">
        <v>3509</v>
      </c>
      <c r="F27" s="92" t="s">
        <v>137</v>
      </c>
      <c r="G27" s="102" t="s">
        <v>9</v>
      </c>
      <c r="H27" s="101">
        <v>0</v>
      </c>
      <c r="I27" s="101">
        <v>100</v>
      </c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>
        <v>3486</v>
      </c>
      <c r="F35" s="92" t="s">
        <v>138</v>
      </c>
      <c r="G35" s="102" t="s">
        <v>9</v>
      </c>
      <c r="H35" s="101">
        <v>100</v>
      </c>
      <c r="I35" s="101" t="s">
        <v>68</v>
      </c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5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70" zoomScaleNormal="70" workbookViewId="0">
      <selection activeCell="G22" sqref="G2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'14'!B1+1</f>
        <v>45427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299</v>
      </c>
      <c r="D6" s="2"/>
      <c r="E6" s="92">
        <v>3522</v>
      </c>
      <c r="F6" s="92" t="s">
        <v>142</v>
      </c>
      <c r="G6" s="100" t="s">
        <v>8</v>
      </c>
      <c r="H6" s="101">
        <v>299</v>
      </c>
      <c r="I6" s="101">
        <v>299</v>
      </c>
      <c r="J6" s="2"/>
      <c r="K6" s="103"/>
      <c r="L6" s="93"/>
      <c r="M6" s="94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0"/>
      <c r="H7" s="101"/>
      <c r="I7" s="101"/>
      <c r="J7" s="2"/>
      <c r="K7" s="103"/>
      <c r="L7" s="93"/>
      <c r="M7" s="94"/>
      <c r="R7" s="1">
        <f>IF(vend15[[#This Row],[Nº Venda]]&gt;1,1,0)</f>
        <v>0</v>
      </c>
    </row>
    <row r="8" spans="2:18" ht="15.75" x14ac:dyDescent="0.25">
      <c r="B8" s="28" t="s">
        <v>20</v>
      </c>
      <c r="C8" s="29">
        <f>SUM(C6:C7)</f>
        <v>299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IF(vend15[[#This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299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299</v>
      </c>
      <c r="D15" s="2"/>
      <c r="E15" s="92"/>
      <c r="F15" s="92"/>
      <c r="G15" s="102"/>
      <c r="H15" s="101"/>
      <c r="I15" s="101"/>
      <c r="J15" s="2"/>
      <c r="K15" s="103">
        <v>3509</v>
      </c>
      <c r="L15" s="93" t="s">
        <v>134</v>
      </c>
      <c r="M15" s="94" t="s">
        <v>135</v>
      </c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IF(vend15[[#This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IF(vend15[[#This Row],[Nº Venda]]&gt;1,1,0)</f>
        <v>0</v>
      </c>
    </row>
    <row r="21" spans="2:18" ht="15.75" x14ac:dyDescent="0.25">
      <c r="B21" s="28" t="s">
        <v>25</v>
      </c>
      <c r="C21" s="32">
        <f>C5</f>
        <v>299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0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1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70" zoomScaleNormal="7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'15'!B1+1</f>
        <v>45428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399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740</v>
      </c>
      <c r="D6" s="2"/>
      <c r="E6" s="92">
        <v>3523</v>
      </c>
      <c r="F6" s="92" t="s">
        <v>155</v>
      </c>
      <c r="G6" s="100" t="s">
        <v>48</v>
      </c>
      <c r="H6" s="101">
        <v>648</v>
      </c>
      <c r="I6" s="101">
        <v>0</v>
      </c>
      <c r="J6" s="2"/>
      <c r="K6" s="103"/>
      <c r="L6" s="93"/>
      <c r="M6" s="94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3524</v>
      </c>
      <c r="F7" s="92" t="s">
        <v>156</v>
      </c>
      <c r="G7" s="100" t="s">
        <v>38</v>
      </c>
      <c r="H7" s="101">
        <v>0</v>
      </c>
      <c r="I7" s="101">
        <v>0</v>
      </c>
      <c r="J7" s="2"/>
      <c r="K7" s="103"/>
      <c r="L7" s="93"/>
      <c r="M7" s="94"/>
      <c r="R7" s="1">
        <f>IF(vend16[[#This Row],[Nº Venda]]&gt;1,1,0)</f>
        <v>1</v>
      </c>
    </row>
    <row r="8" spans="2:18" ht="15.75" x14ac:dyDescent="0.25">
      <c r="B8" s="28" t="s">
        <v>20</v>
      </c>
      <c r="C8" s="29">
        <f>SUM(C6:C7)</f>
        <v>740</v>
      </c>
      <c r="D8" s="2"/>
      <c r="E8" s="92">
        <v>3525</v>
      </c>
      <c r="F8" s="92" t="s">
        <v>157</v>
      </c>
      <c r="G8" s="102" t="s">
        <v>48</v>
      </c>
      <c r="H8" s="101">
        <v>1490</v>
      </c>
      <c r="I8" s="101">
        <v>0</v>
      </c>
      <c r="J8" s="2"/>
      <c r="K8" s="103"/>
      <c r="L8" s="93"/>
      <c r="M8" s="94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2">
        <v>3526</v>
      </c>
      <c r="F9" s="92" t="s">
        <v>158</v>
      </c>
      <c r="G9" s="102" t="s">
        <v>6</v>
      </c>
      <c r="H9" s="101">
        <v>399</v>
      </c>
      <c r="I9" s="101">
        <v>100</v>
      </c>
      <c r="J9" s="2"/>
      <c r="K9" s="103"/>
      <c r="L9" s="93"/>
      <c r="M9" s="94"/>
      <c r="R9" s="1">
        <f>IF(vend16[[#This Row],[Nº Venda]]&gt;1,1,0)</f>
        <v>1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740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198.33</v>
      </c>
      <c r="D12" s="2"/>
      <c r="E12" s="92"/>
      <c r="F12" s="92"/>
      <c r="G12" s="102"/>
      <c r="H12" s="101"/>
      <c r="I12" s="101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938.33</v>
      </c>
      <c r="D15" s="2"/>
      <c r="E15" s="92"/>
      <c r="F15" s="92"/>
      <c r="G15" s="102"/>
      <c r="H15" s="101"/>
      <c r="I15" s="101"/>
      <c r="J15" s="2"/>
      <c r="K15" s="103">
        <v>3512</v>
      </c>
      <c r="L15" s="93" t="s">
        <v>134</v>
      </c>
      <c r="M15" s="94" t="s">
        <v>135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>
        <v>3517</v>
      </c>
      <c r="L16" s="93" t="s">
        <v>134</v>
      </c>
      <c r="M16" s="94" t="s">
        <v>135</v>
      </c>
      <c r="R16" s="1">
        <f>IF(vend16[[#This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IF(vend16[[#This Row],[Nº Venda]]&gt;1,1,0)</f>
        <v>0</v>
      </c>
    </row>
    <row r="21" spans="2:18" ht="15.75" x14ac:dyDescent="0.25">
      <c r="B21" s="28" t="s">
        <v>25</v>
      </c>
      <c r="C21" s="32">
        <f>C5</f>
        <v>399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>
        <v>3512</v>
      </c>
      <c r="F26" s="92" t="s">
        <v>143</v>
      </c>
      <c r="G26" s="100" t="s">
        <v>6</v>
      </c>
      <c r="H26" s="101">
        <v>0</v>
      </c>
      <c r="I26" s="101">
        <v>640</v>
      </c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>
        <v>3485</v>
      </c>
      <c r="F35" s="92" t="s">
        <v>144</v>
      </c>
      <c r="G35" s="102" t="s">
        <v>7</v>
      </c>
      <c r="H35" s="101">
        <v>198.33</v>
      </c>
      <c r="I35" s="101" t="s">
        <v>40</v>
      </c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4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70" zoomScaleNormal="7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45429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1500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1690</v>
      </c>
      <c r="D6" s="2"/>
      <c r="E6" s="92">
        <v>3528</v>
      </c>
      <c r="F6" s="92" t="s">
        <v>145</v>
      </c>
      <c r="G6" s="102" t="s">
        <v>7</v>
      </c>
      <c r="H6" s="101">
        <v>950</v>
      </c>
      <c r="I6" s="101">
        <v>950</v>
      </c>
      <c r="J6" s="2"/>
      <c r="K6" s="103"/>
      <c r="L6" s="93"/>
      <c r="M6" s="94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3529</v>
      </c>
      <c r="F7" s="92" t="s">
        <v>145</v>
      </c>
      <c r="G7" s="102" t="s">
        <v>7</v>
      </c>
      <c r="H7" s="101">
        <v>550</v>
      </c>
      <c r="I7" s="101">
        <v>550</v>
      </c>
      <c r="J7" s="2"/>
      <c r="K7" s="103"/>
      <c r="L7" s="93"/>
      <c r="M7" s="94"/>
      <c r="R7" s="1">
        <f>IF(vend17[[#This Row],[Nº Venda]]&gt;1,1,0)</f>
        <v>1</v>
      </c>
    </row>
    <row r="8" spans="2:18" ht="15.75" x14ac:dyDescent="0.25">
      <c r="B8" s="28" t="s">
        <v>20</v>
      </c>
      <c r="C8" s="29">
        <f>SUM(C6:C7)</f>
        <v>1690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IF(vend17[[#This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1500</v>
      </c>
      <c r="D12" s="2"/>
      <c r="E12" s="92"/>
      <c r="F12" s="92"/>
      <c r="G12" s="102"/>
      <c r="H12" s="101"/>
      <c r="I12" s="101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190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1690</v>
      </c>
      <c r="D15" s="2"/>
      <c r="E15" s="92"/>
      <c r="F15" s="92"/>
      <c r="G15" s="102"/>
      <c r="H15" s="101"/>
      <c r="I15" s="101"/>
      <c r="J15" s="2"/>
      <c r="K15" s="103">
        <v>3515</v>
      </c>
      <c r="L15" s="93" t="s">
        <v>134</v>
      </c>
      <c r="M15" s="94" t="s">
        <v>135</v>
      </c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IF(vend17[[#This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 t="s">
        <v>159</v>
      </c>
      <c r="G17" s="102"/>
      <c r="H17" s="101"/>
      <c r="I17" s="101"/>
      <c r="J17" s="2"/>
      <c r="K17" s="103"/>
      <c r="L17" s="93"/>
      <c r="M17" s="94"/>
      <c r="R17" s="1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IF(vend17[[#This Row],[Nº Venda]]&gt;1,1,0)</f>
        <v>0</v>
      </c>
    </row>
    <row r="21" spans="2:18" ht="15.75" x14ac:dyDescent="0.25">
      <c r="B21" s="28" t="s">
        <v>25</v>
      </c>
      <c r="C21" s="32">
        <f>C5</f>
        <v>1500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>
        <v>3515</v>
      </c>
      <c r="F26" s="92" t="s">
        <v>146</v>
      </c>
      <c r="G26" s="102" t="s">
        <v>8</v>
      </c>
      <c r="H26" s="101">
        <v>0</v>
      </c>
      <c r="I26" s="101">
        <v>190</v>
      </c>
      <c r="J26" s="2"/>
      <c r="K26" s="103"/>
      <c r="L26" s="93"/>
      <c r="M26" s="94"/>
    </row>
    <row r="27" spans="2:18" ht="15.75" x14ac:dyDescent="0.25">
      <c r="B27" s="2"/>
      <c r="C27" s="2"/>
      <c r="D27" s="2"/>
      <c r="E27" s="10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2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70" zoomScaleNormal="70" workbookViewId="0">
      <selection activeCell="H13" sqref="H1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'17'!B1+1</f>
        <v>45430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1735.8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1135.8</v>
      </c>
      <c r="D6" s="2"/>
      <c r="E6" s="92">
        <v>3527</v>
      </c>
      <c r="F6" s="92" t="s">
        <v>147</v>
      </c>
      <c r="G6" s="102" t="s">
        <v>7</v>
      </c>
      <c r="H6" s="101">
        <v>635.79999999999995</v>
      </c>
      <c r="I6" s="101">
        <v>635.79999999999995</v>
      </c>
      <c r="J6" s="2"/>
      <c r="K6" s="103"/>
      <c r="L6" s="105"/>
      <c r="M6" s="94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3530</v>
      </c>
      <c r="F7" s="92" t="s">
        <v>148</v>
      </c>
      <c r="G7" s="102" t="s">
        <v>9</v>
      </c>
      <c r="H7" s="101">
        <v>1100</v>
      </c>
      <c r="I7" s="101">
        <v>500</v>
      </c>
      <c r="J7" s="2"/>
      <c r="K7" s="103"/>
      <c r="L7" s="93"/>
      <c r="M7" s="94"/>
      <c r="R7" s="1">
        <f>IF(vend18[[#This Row],[Nº Venda]]&gt;1,1,0)</f>
        <v>1</v>
      </c>
    </row>
    <row r="8" spans="2:18" ht="15.75" x14ac:dyDescent="0.25">
      <c r="B8" s="28" t="s">
        <v>20</v>
      </c>
      <c r="C8" s="29">
        <f>SUM(C6:C7)</f>
        <v>1135.8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IF(vend18[[#This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635.79999999999995</v>
      </c>
      <c r="D12" s="2"/>
      <c r="E12" s="92"/>
      <c r="F12" s="92"/>
      <c r="G12" s="102"/>
      <c r="H12" s="101"/>
      <c r="I12" s="101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500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1135.8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IF(vend18[[#This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IF(vend18[[#This Row],[Nº Venda]]&gt;1,1,0)</f>
        <v>0</v>
      </c>
    </row>
    <row r="18" spans="2:18" ht="15.75" x14ac:dyDescent="0.25">
      <c r="B18" s="30">
        <f>COUNT(entr_carn18[OS])</f>
        <v>0</v>
      </c>
      <c r="C18" s="31">
        <f>SUM(entr_carn18[Valor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IF(vend18[[#This Row],[Nº Venda]]&gt;1,1,0)</f>
        <v>0</v>
      </c>
    </row>
    <row r="21" spans="2:18" ht="15.75" x14ac:dyDescent="0.25">
      <c r="B21" s="28" t="s">
        <v>25</v>
      </c>
      <c r="C21" s="32">
        <f>C5</f>
        <v>1735.8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67"/>
      <c r="F23" s="67"/>
      <c r="G23" s="67"/>
      <c r="H23" s="68"/>
      <c r="I23" s="68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2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70" zoomScaleNormal="70" zoomScaleSheetLayoutView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'18'!B1+1</f>
        <v>45431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2"/>
      <c r="F6" s="92"/>
      <c r="G6" s="102"/>
      <c r="H6" s="101"/>
      <c r="I6" s="101"/>
      <c r="J6" s="2"/>
      <c r="K6" s="103"/>
      <c r="L6" s="93"/>
      <c r="M6" s="94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10"/>
      <c r="F9" s="110"/>
      <c r="G9" s="111"/>
      <c r="H9" s="112"/>
      <c r="I9" s="112"/>
      <c r="J9" s="2"/>
      <c r="K9" s="103"/>
      <c r="L9" s="93"/>
      <c r="M9" s="94"/>
      <c r="R9" s="1">
        <f>IF(vend19[[#This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IF(vend19[[#This Row],[Nº Venda]]&gt;1,1,0)</f>
        <v>0</v>
      </c>
    </row>
    <row r="17" spans="2:22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IF(vend19[[#This Row],[Nº Venda]]&gt;1,1,0)</f>
        <v>0</v>
      </c>
      <c r="V20" s="1" t="s">
        <v>56</v>
      </c>
    </row>
    <row r="21" spans="2:22" ht="15.75" x14ac:dyDescent="0.25">
      <c r="B21" s="28" t="s">
        <v>25</v>
      </c>
      <c r="C21" s="32">
        <f>C5</f>
        <v>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22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22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22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22" ht="15.75" x14ac:dyDescent="0.25">
      <c r="B26" s="2"/>
      <c r="C26" s="2"/>
      <c r="D26" s="2"/>
      <c r="E26" s="92"/>
      <c r="F26" s="102"/>
      <c r="G26" s="102"/>
      <c r="H26" s="101"/>
      <c r="I26" s="101"/>
      <c r="J26" s="2"/>
      <c r="K26" s="103"/>
      <c r="L26" s="93"/>
      <c r="M26" s="94"/>
    </row>
    <row r="27" spans="2:22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22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22" ht="15.75" x14ac:dyDescent="0.25">
      <c r="B29" s="2"/>
      <c r="C29" s="2"/>
      <c r="D29" s="2"/>
      <c r="E29" s="92"/>
      <c r="F29" s="92"/>
      <c r="G29" s="102"/>
      <c r="H29" s="102"/>
      <c r="I29" s="101"/>
      <c r="J29" s="2"/>
      <c r="K29" s="103"/>
      <c r="L29" s="93"/>
      <c r="M29" s="94"/>
    </row>
    <row r="30" spans="2:22" ht="15.75" x14ac:dyDescent="0.25">
      <c r="B30" s="2"/>
      <c r="C30" s="2"/>
      <c r="D30" s="2"/>
      <c r="E30" s="92"/>
      <c r="F30" s="92"/>
      <c r="G30" s="102"/>
      <c r="H30" s="101"/>
      <c r="I30" s="101"/>
      <c r="J30" s="2"/>
      <c r="K30" s="103"/>
      <c r="L30" s="93"/>
      <c r="M30" s="94"/>
    </row>
    <row r="31" spans="2:22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22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0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70" zoomScaleNormal="7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'19'!B1+1</f>
        <v>45432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890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790</v>
      </c>
      <c r="D6" s="2"/>
      <c r="E6" s="92">
        <v>3531</v>
      </c>
      <c r="F6" s="92" t="s">
        <v>153</v>
      </c>
      <c r="G6" s="102" t="s">
        <v>9</v>
      </c>
      <c r="H6" s="101">
        <v>890</v>
      </c>
      <c r="I6" s="101">
        <v>200</v>
      </c>
      <c r="J6" s="2"/>
      <c r="K6" s="103"/>
      <c r="L6" s="93"/>
      <c r="M6" s="94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IF(vend20[[#This Row],[Nº Venda]]&gt;1,1,0)</f>
        <v>0</v>
      </c>
    </row>
    <row r="8" spans="2:18" ht="15.75" x14ac:dyDescent="0.25">
      <c r="B8" s="28" t="s">
        <v>20</v>
      </c>
      <c r="C8" s="29">
        <f>SUM(C6:C7)</f>
        <v>790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IF(vend20[[#This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590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75" x14ac:dyDescent="0.25">
      <c r="B15" s="28" t="s">
        <v>10</v>
      </c>
      <c r="C15" s="32">
        <f>SUM(C11:C14)</f>
        <v>790</v>
      </c>
      <c r="D15" s="2"/>
      <c r="E15" s="92"/>
      <c r="F15" s="92"/>
      <c r="G15" s="102"/>
      <c r="H15" s="101"/>
      <c r="I15" s="101"/>
      <c r="J15" s="2"/>
      <c r="K15" s="103">
        <v>3511</v>
      </c>
      <c r="L15" s="93" t="s">
        <v>134</v>
      </c>
      <c r="M15" s="94" t="s">
        <v>135</v>
      </c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>
        <v>3514</v>
      </c>
      <c r="L16" s="93" t="s">
        <v>134</v>
      </c>
      <c r="M16" s="94" t="s">
        <v>135</v>
      </c>
      <c r="R16" s="1">
        <f>IF(vend20[[#This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IF(vend20[[#This Row],[Nº Venda]]&gt;1,1,0)</f>
        <v>0</v>
      </c>
    </row>
    <row r="21" spans="2:18" ht="15.75" x14ac:dyDescent="0.25">
      <c r="B21" s="28" t="s">
        <v>25</v>
      </c>
      <c r="C21" s="32">
        <f>C5</f>
        <v>890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>
        <v>3514</v>
      </c>
      <c r="F26" s="92"/>
      <c r="G26" s="102" t="s">
        <v>8</v>
      </c>
      <c r="H26" s="101">
        <v>0</v>
      </c>
      <c r="I26" s="101">
        <v>590</v>
      </c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1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70" zoomScaleNormal="7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'20'!B1+1</f>
        <v>45433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1990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500</v>
      </c>
      <c r="D6" s="2"/>
      <c r="E6" s="92">
        <v>3532</v>
      </c>
      <c r="F6" s="92" t="s">
        <v>154</v>
      </c>
      <c r="G6" s="102" t="s">
        <v>7</v>
      </c>
      <c r="H6" s="101">
        <v>1990</v>
      </c>
      <c r="I6" s="101">
        <v>500</v>
      </c>
      <c r="J6" s="2"/>
      <c r="K6" s="103"/>
      <c r="L6" s="93"/>
      <c r="M6" s="94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500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IF(vend21[[#This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500</v>
      </c>
      <c r="D12" s="2"/>
      <c r="E12" s="92"/>
      <c r="F12" s="92"/>
      <c r="G12" s="102"/>
      <c r="H12" s="101"/>
      <c r="I12" s="101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500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IF(vend21[[#This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IF(vend21[[#This Row],[Nº Venda]]&gt;1,1,0)</f>
        <v>0</v>
      </c>
    </row>
    <row r="21" spans="2:18" ht="15.75" x14ac:dyDescent="0.25">
      <c r="B21" s="28" t="s">
        <v>25</v>
      </c>
      <c r="C21" s="32">
        <f>C5</f>
        <v>1990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1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70" zoomScaleNormal="7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7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'21'!B1+1</f>
        <v>45434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2"/>
      <c r="F6" s="92"/>
      <c r="G6" s="102"/>
      <c r="H6" s="101"/>
      <c r="I6" s="101"/>
      <c r="J6" s="2"/>
      <c r="K6" s="103"/>
      <c r="L6" s="93"/>
      <c r="M6" s="94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IF(vend22[[#This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IF(vend22[[#This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IF(vend22[[#This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0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70" zoomScaleNormal="7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45435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240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240</v>
      </c>
      <c r="D6" s="2"/>
      <c r="E6" s="92">
        <v>3533</v>
      </c>
      <c r="F6" s="92" t="s">
        <v>161</v>
      </c>
      <c r="G6" s="102" t="s">
        <v>8</v>
      </c>
      <c r="H6" s="101">
        <v>100</v>
      </c>
      <c r="I6" s="101">
        <v>100</v>
      </c>
      <c r="J6" s="2"/>
      <c r="K6" s="103" t="s">
        <v>168</v>
      </c>
      <c r="L6" s="93" t="s">
        <v>7</v>
      </c>
      <c r="M6" s="94">
        <v>26</v>
      </c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26</v>
      </c>
      <c r="D7" s="2"/>
      <c r="E7" s="92">
        <v>3534</v>
      </c>
      <c r="F7" s="92" t="s">
        <v>160</v>
      </c>
      <c r="G7" s="102" t="s">
        <v>9</v>
      </c>
      <c r="H7" s="101">
        <v>140</v>
      </c>
      <c r="I7" s="101">
        <v>140</v>
      </c>
      <c r="J7" s="2"/>
      <c r="K7" s="103"/>
      <c r="L7" s="93"/>
      <c r="M7" s="94"/>
      <c r="R7" s="1">
        <f>IF(vend23[[#This Row],[Nº Venda]]&gt;1,1,0)</f>
        <v>1</v>
      </c>
    </row>
    <row r="8" spans="2:18" ht="15.75" x14ac:dyDescent="0.25">
      <c r="B8" s="28" t="s">
        <v>20</v>
      </c>
      <c r="C8" s="29">
        <f>SUM(C6:C7)</f>
        <v>266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IF(vend23[[#This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IF(vend23[[#This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(SUMIF($G$2:$G$31,B11,$I$2:$I$31))+(SUMIF($G$35:$G$44,B11,$H$35:$H$44))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(SUMIF($G$2:$G$31,B12,$I$2:$I$31))+(SUMIF($G$35:$G$44,B12,$H$35:$H$44))</f>
        <v>0</v>
      </c>
      <c r="D12" s="2"/>
      <c r="E12" s="92"/>
      <c r="F12" s="92"/>
      <c r="G12" s="102"/>
      <c r="H12" s="101"/>
      <c r="I12" s="101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(SUMIF($G$2:$G$31,B13,$I$2:$I$31))+(SUMIF($G$35:$G$44,B13,$H$35:$H$44))</f>
        <v>100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IF(vend23[[#This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(SUMIF($G$2:$G$31,B14,$I$2:$I$31))+(SUMIF($G$35:$G$44,B14,$H$35:$H$44))</f>
        <v>140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240</v>
      </c>
      <c r="D15" s="2"/>
      <c r="E15" s="92"/>
      <c r="F15" s="92"/>
      <c r="G15" s="102"/>
      <c r="H15" s="101"/>
      <c r="I15" s="101"/>
      <c r="J15" s="2"/>
      <c r="K15" s="103">
        <v>3533</v>
      </c>
      <c r="L15" s="93" t="s">
        <v>134</v>
      </c>
      <c r="M15" s="94" t="s">
        <v>135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92"/>
      <c r="F16" s="92" t="s">
        <v>169</v>
      </c>
      <c r="G16" s="102"/>
      <c r="H16" s="101"/>
      <c r="I16" s="101"/>
      <c r="J16" s="2"/>
      <c r="K16" s="103">
        <v>3524</v>
      </c>
      <c r="L16" s="93" t="s">
        <v>134</v>
      </c>
      <c r="M16" s="94" t="s">
        <v>135</v>
      </c>
      <c r="R16" s="1">
        <f>IF(vend23[[#This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>
        <v>3513</v>
      </c>
      <c r="L17" s="93" t="s">
        <v>134</v>
      </c>
      <c r="M17" s="94" t="s">
        <v>135</v>
      </c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IF(vend23[[#This Row],[Nº Venda]]&gt;1,1,0)</f>
        <v>0</v>
      </c>
    </row>
    <row r="21" spans="2:18" ht="15.75" x14ac:dyDescent="0.25">
      <c r="B21" s="28" t="s">
        <v>25</v>
      </c>
      <c r="C21" s="32">
        <f>C5</f>
        <v>240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2</v>
      </c>
    </row>
    <row r="41" spans="5:18" ht="15.75" x14ac:dyDescent="0.25">
      <c r="E41" s="113"/>
      <c r="F41" s="102"/>
      <c r="G41" s="102"/>
      <c r="H41" s="101"/>
      <c r="I41" s="101"/>
      <c r="K41" s="44"/>
      <c r="L41" s="41"/>
      <c r="M41" s="40"/>
    </row>
    <row r="42" spans="5:18" ht="15.75" x14ac:dyDescent="0.25">
      <c r="E42" s="88"/>
      <c r="F42" s="77"/>
      <c r="G42" s="78"/>
      <c r="H42" s="79"/>
      <c r="I42" s="17"/>
    </row>
    <row r="43" spans="5:18" ht="15.75" x14ac:dyDescent="0.25">
      <c r="E43" s="88"/>
      <c r="F43" s="86"/>
      <c r="G43" s="85"/>
      <c r="H43" s="87"/>
      <c r="I43" s="8"/>
    </row>
    <row r="44" spans="5:18" ht="15.75" x14ac:dyDescent="0.25">
      <c r="E44" s="89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70" zoomScaleNormal="70" workbookViewId="0">
      <selection activeCell="I9" sqref="I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45436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1250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1250</v>
      </c>
      <c r="D6" s="2"/>
      <c r="E6" s="92">
        <v>3535</v>
      </c>
      <c r="F6" s="92" t="s">
        <v>163</v>
      </c>
      <c r="G6" s="102" t="s">
        <v>9</v>
      </c>
      <c r="H6" s="101">
        <v>625</v>
      </c>
      <c r="I6" s="101">
        <v>625</v>
      </c>
      <c r="J6" s="2"/>
      <c r="K6" s="103"/>
      <c r="L6" s="93"/>
      <c r="M6" s="94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3536</v>
      </c>
      <c r="F7" s="92" t="s">
        <v>164</v>
      </c>
      <c r="G7" s="102" t="s">
        <v>9</v>
      </c>
      <c r="H7" s="101">
        <v>625</v>
      </c>
      <c r="I7" s="101">
        <v>625</v>
      </c>
      <c r="J7" s="2"/>
      <c r="K7" s="103"/>
      <c r="L7" s="93"/>
      <c r="M7" s="94"/>
      <c r="R7" s="1">
        <f>IF(vend24[[#This Row],[Nº Venda]]&gt;1,1,0)</f>
        <v>1</v>
      </c>
    </row>
    <row r="8" spans="2:18" ht="15.75" x14ac:dyDescent="0.25">
      <c r="B8" s="28" t="s">
        <v>20</v>
      </c>
      <c r="C8" s="29">
        <f>SUM(C6:C7)</f>
        <v>1250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IF(vend24[[#This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1250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1250</v>
      </c>
      <c r="D15" s="2"/>
      <c r="E15" s="92"/>
      <c r="F15" s="92"/>
      <c r="G15" s="102"/>
      <c r="H15" s="101"/>
      <c r="I15" s="101"/>
      <c r="J15" s="2"/>
      <c r="K15" s="103">
        <v>3522</v>
      </c>
      <c r="L15" s="93" t="s">
        <v>162</v>
      </c>
      <c r="M15" s="94" t="s">
        <v>135</v>
      </c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IF(vend24[[#This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IF(vend24[[#This Row],[Nº Venda]]&gt;1,1,0)</f>
        <v>0</v>
      </c>
    </row>
    <row r="21" spans="2:18" ht="15.75" x14ac:dyDescent="0.25">
      <c r="B21" s="28" t="s">
        <v>25</v>
      </c>
      <c r="C21" s="32">
        <f>C5</f>
        <v>1250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2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R41"/>
  <sheetViews>
    <sheetView showGridLines="0" zoomScale="70" zoomScaleNormal="70" workbookViewId="0">
      <selection activeCell="M6" sqref="M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7" x14ac:dyDescent="0.5">
      <c r="B1" s="58">
        <f>'24'!B1+1</f>
        <v>45437</v>
      </c>
    </row>
    <row r="2" spans="1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1:18" ht="15" x14ac:dyDescent="0.25">
      <c r="B5" s="23" t="s">
        <v>1</v>
      </c>
      <c r="C5" s="24">
        <f>SUMIF(I6:I31,"&gt;0",H6:H31)</f>
        <v>1515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75" x14ac:dyDescent="0.25">
      <c r="A6" s="1">
        <v>67</v>
      </c>
      <c r="B6" s="23" t="s">
        <v>2</v>
      </c>
      <c r="C6" s="24">
        <f>SUM(I6:I41)</f>
        <v>1515</v>
      </c>
      <c r="D6" s="2"/>
      <c r="E6" s="92">
        <v>3537</v>
      </c>
      <c r="F6" s="92" t="s">
        <v>167</v>
      </c>
      <c r="G6" s="102" t="s">
        <v>8</v>
      </c>
      <c r="H6" s="101">
        <v>1500</v>
      </c>
      <c r="I6" s="101">
        <v>1500</v>
      </c>
      <c r="J6" s="2"/>
      <c r="K6" s="103"/>
      <c r="L6" s="93"/>
      <c r="M6" s="94"/>
      <c r="R6" s="1">
        <f>IF(vend25[[#This Row],[Nº Venda]]&gt;1,1,0)</f>
        <v>1</v>
      </c>
    </row>
    <row r="7" spans="1:18" ht="15.75" x14ac:dyDescent="0.25">
      <c r="B7" s="23" t="s">
        <v>3</v>
      </c>
      <c r="C7" s="24">
        <f>SUM(M6:M11)</f>
        <v>0</v>
      </c>
      <c r="D7" s="2"/>
      <c r="E7" s="92">
        <v>3538</v>
      </c>
      <c r="F7" s="92" t="s">
        <v>166</v>
      </c>
      <c r="G7" s="102" t="s">
        <v>7</v>
      </c>
      <c r="H7" s="101">
        <v>15</v>
      </c>
      <c r="I7" s="101">
        <v>15</v>
      </c>
      <c r="J7" s="2"/>
      <c r="K7" s="103"/>
      <c r="L7" s="93"/>
      <c r="M7" s="94"/>
      <c r="R7" s="1">
        <f>IF(vend25[[#This Row],[Nº Venda]]&gt;1,1,0)</f>
        <v>1</v>
      </c>
    </row>
    <row r="8" spans="1:18" ht="15.75" x14ac:dyDescent="0.25">
      <c r="B8" s="28" t="s">
        <v>20</v>
      </c>
      <c r="C8" s="29">
        <f>SUM(C6:C7)</f>
        <v>1515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IF(vend25[[#This Row],[Nº Venda]]&gt;1,1,0)</f>
        <v>0</v>
      </c>
    </row>
    <row r="9" spans="1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IF(vend25[[#This Row],[Nº Venda]]&gt;1,1,0)</f>
        <v>0</v>
      </c>
    </row>
    <row r="10" spans="1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IF(vend25[[#This Row],[Nº Venda]]&gt;1,1,0)</f>
        <v>0</v>
      </c>
    </row>
    <row r="11" spans="1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IF(vend25[[#This Row],[Nº Venda]]&gt;1,1,0)</f>
        <v>0</v>
      </c>
    </row>
    <row r="12" spans="1:18" ht="15.75" x14ac:dyDescent="0.25">
      <c r="B12" s="30" t="s">
        <v>7</v>
      </c>
      <c r="C12" s="31">
        <f>(SUMIF($G$2:$G$31,B12,$I$2:$I$31))+(SUMIF($G$35:$G$41,B12,$H$35:$H$41))</f>
        <v>15</v>
      </c>
      <c r="D12" s="2"/>
      <c r="E12" s="92"/>
      <c r="F12" s="92"/>
      <c r="G12" s="102"/>
      <c r="H12" s="101"/>
      <c r="I12" s="101"/>
      <c r="J12" s="2"/>
      <c r="R12" s="1">
        <f>IF(vend25[[#This Row],[Nº Venda]]&gt;1,1,0)</f>
        <v>0</v>
      </c>
    </row>
    <row r="13" spans="1:18" ht="15.75" x14ac:dyDescent="0.25">
      <c r="B13" s="30" t="s">
        <v>8</v>
      </c>
      <c r="C13" s="31">
        <f>(SUMIF($G$2:$G$31,B13,$I$2:$I$31))+(SUMIF($G$35:$G$41,B13,$H$35:$H$41))</f>
        <v>1500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IF(vend25[[#This Row],[Nº Venda]]&gt;1,1,0)</f>
        <v>0</v>
      </c>
    </row>
    <row r="14" spans="1:18" ht="15.75" x14ac:dyDescent="0.25">
      <c r="B14" s="30" t="s">
        <v>9</v>
      </c>
      <c r="C14" s="31">
        <f>(SUMIF($G$2:$G$31,B14,$I$2:$I$31))+(SUMIF($G$35:$G$41,B14,$H$35:$H$41))</f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75" x14ac:dyDescent="0.25">
      <c r="B15" s="28" t="s">
        <v>10</v>
      </c>
      <c r="C15" s="32">
        <f>SUM(C11:C14)</f>
        <v>1515</v>
      </c>
      <c r="D15" s="2"/>
      <c r="E15" s="92"/>
      <c r="F15" s="92"/>
      <c r="G15" s="102"/>
      <c r="H15" s="101"/>
      <c r="I15" s="101"/>
      <c r="J15" s="2"/>
      <c r="K15" s="103">
        <v>3510</v>
      </c>
      <c r="L15" s="93" t="s">
        <v>165</v>
      </c>
      <c r="M15" s="94" t="s">
        <v>135</v>
      </c>
      <c r="R15" s="1">
        <f>IF(vend25[[#This Row],[Nº Venda]]&gt;1,1,0)</f>
        <v>0</v>
      </c>
    </row>
    <row r="16" spans="1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>
        <v>3538</v>
      </c>
      <c r="L16" s="93" t="s">
        <v>165</v>
      </c>
      <c r="M16" s="94" t="s">
        <v>135</v>
      </c>
      <c r="R16" s="1">
        <f>IF(vend25[[#This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IF(vend25[[#This Row],[Nº Venda]]&gt;1,1,0)</f>
        <v>0</v>
      </c>
    </row>
    <row r="21" spans="2:18" ht="15.75" x14ac:dyDescent="0.25">
      <c r="B21" s="28" t="s">
        <v>25</v>
      </c>
      <c r="C21" s="32">
        <f>C5</f>
        <v>1515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16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2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DBC6-B884-49E3-9CCA-F40ABFED9F27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45438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2"/>
      <c r="F6" s="92"/>
      <c r="G6" s="102"/>
      <c r="H6" s="101"/>
      <c r="I6" s="101"/>
      <c r="J6" s="2"/>
      <c r="K6" s="103"/>
      <c r="L6" s="93"/>
      <c r="M6" s="94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IF(vend26[[#This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IF(vend26[[#This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0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70" zoomScaleNormal="70" workbookViewId="0">
      <selection activeCell="F9" sqref="F9"/>
    </sheetView>
  </sheetViews>
  <sheetFormatPr defaultColWidth="9.140625" defaultRowHeight="12.75" x14ac:dyDescent="0.2"/>
  <cols>
    <col min="1" max="1" width="3.7109375" style="1" customWidth="1"/>
    <col min="2" max="2" width="27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8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1">
        <f>'26'!B1+1</f>
        <v>45439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2844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2190</v>
      </c>
      <c r="D6" s="2"/>
      <c r="E6" s="92">
        <v>3539</v>
      </c>
      <c r="F6" s="92" t="s">
        <v>142</v>
      </c>
      <c r="G6" s="102" t="s">
        <v>38</v>
      </c>
      <c r="H6" s="101">
        <v>0</v>
      </c>
      <c r="I6" s="101">
        <v>0</v>
      </c>
      <c r="J6" s="2"/>
      <c r="K6" s="103"/>
      <c r="L6" s="93"/>
      <c r="M6" s="94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3540</v>
      </c>
      <c r="F7" s="92" t="s">
        <v>170</v>
      </c>
      <c r="G7" s="102" t="s">
        <v>8</v>
      </c>
      <c r="H7" s="101">
        <v>1890</v>
      </c>
      <c r="I7" s="101">
        <v>1890</v>
      </c>
      <c r="J7" s="2"/>
      <c r="K7" s="103"/>
      <c r="L7" s="93"/>
      <c r="M7" s="94"/>
      <c r="R7" s="1">
        <f>IF(vend27[[#This Row],[Nº Venda]]&gt;1,1,0)</f>
        <v>1</v>
      </c>
    </row>
    <row r="8" spans="2:18" ht="15.75" x14ac:dyDescent="0.25">
      <c r="B8" s="28" t="s">
        <v>20</v>
      </c>
      <c r="C8" s="29">
        <f>SUM(C6:C7)</f>
        <v>2190</v>
      </c>
      <c r="D8" s="2"/>
      <c r="E8" s="92">
        <v>3541</v>
      </c>
      <c r="F8" s="92" t="s">
        <v>171</v>
      </c>
      <c r="G8" s="102" t="s">
        <v>6</v>
      </c>
      <c r="H8" s="101">
        <v>954</v>
      </c>
      <c r="I8" s="101">
        <v>300</v>
      </c>
      <c r="J8" s="2"/>
      <c r="K8" s="103"/>
      <c r="L8" s="93"/>
      <c r="M8" s="94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IF(vend27[[#This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1890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2190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IF(vend27[[#This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IF(vend27[[#This Row],[Nº Venda]]&gt;1,1,0)</f>
        <v>0</v>
      </c>
    </row>
    <row r="21" spans="2:18" ht="15.75" x14ac:dyDescent="0.25">
      <c r="B21" s="28" t="s">
        <v>25</v>
      </c>
      <c r="C21" s="32">
        <f>C5</f>
        <v>2844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3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B2" zoomScale="70" zoomScaleNormal="70" workbookViewId="0">
      <selection activeCell="AB14" sqref="AB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45440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2791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1213</v>
      </c>
      <c r="D6" s="2"/>
      <c r="E6" s="92">
        <v>3542</v>
      </c>
      <c r="F6" s="92" t="s">
        <v>172</v>
      </c>
      <c r="G6" s="102" t="s">
        <v>7</v>
      </c>
      <c r="H6" s="101">
        <v>579</v>
      </c>
      <c r="I6" s="101">
        <v>100</v>
      </c>
      <c r="J6" s="2"/>
      <c r="K6" s="103"/>
      <c r="L6" s="93"/>
      <c r="M6" s="94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3543</v>
      </c>
      <c r="F7" s="92" t="s">
        <v>173</v>
      </c>
      <c r="G7" s="102" t="s">
        <v>7</v>
      </c>
      <c r="H7" s="101">
        <v>599</v>
      </c>
      <c r="I7" s="101">
        <v>599</v>
      </c>
      <c r="J7" s="2"/>
      <c r="K7" s="103"/>
      <c r="L7" s="93"/>
      <c r="M7" s="94"/>
      <c r="R7" s="1">
        <f>IF(vend28[[#This Row],[Nº Venda]]&gt;1,1,0)</f>
        <v>1</v>
      </c>
    </row>
    <row r="8" spans="2:18" ht="15.75" x14ac:dyDescent="0.25">
      <c r="B8" s="28" t="s">
        <v>20</v>
      </c>
      <c r="C8" s="29">
        <f>SUM(C6:C7)</f>
        <v>1213</v>
      </c>
      <c r="D8" s="2"/>
      <c r="E8" s="92">
        <v>3544</v>
      </c>
      <c r="F8" s="92" t="s">
        <v>174</v>
      </c>
      <c r="G8" s="102" t="s">
        <v>9</v>
      </c>
      <c r="H8" s="101">
        <v>299</v>
      </c>
      <c r="I8" s="101">
        <v>299</v>
      </c>
      <c r="J8" s="2"/>
      <c r="K8" s="103"/>
      <c r="L8" s="93"/>
      <c r="M8" s="94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92">
        <v>3545</v>
      </c>
      <c r="F9" s="92" t="s">
        <v>175</v>
      </c>
      <c r="G9" s="102" t="s">
        <v>8</v>
      </c>
      <c r="H9" s="101">
        <v>1299</v>
      </c>
      <c r="I9" s="101">
        <v>200</v>
      </c>
      <c r="J9" s="2"/>
      <c r="K9" s="103"/>
      <c r="L9" s="93"/>
      <c r="M9" s="94"/>
      <c r="R9" s="1">
        <f>IF(vend28[[#This Row],[Nº Venda]]&gt;1,1,0)</f>
        <v>1</v>
      </c>
    </row>
    <row r="10" spans="2:18" ht="15.75" x14ac:dyDescent="0.25">
      <c r="B10" s="119" t="s">
        <v>5</v>
      </c>
      <c r="C10" s="119"/>
      <c r="D10" s="2"/>
      <c r="E10" s="92">
        <v>3546</v>
      </c>
      <c r="F10" s="92" t="s">
        <v>176</v>
      </c>
      <c r="G10" s="102" t="s">
        <v>6</v>
      </c>
      <c r="H10" s="101">
        <v>15</v>
      </c>
      <c r="I10" s="101">
        <v>15</v>
      </c>
      <c r="J10" s="2"/>
      <c r="K10" s="103"/>
      <c r="L10" s="93"/>
      <c r="M10" s="94"/>
      <c r="R10" s="1">
        <f>IF(vend28[[#This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699</v>
      </c>
      <c r="D12" s="2"/>
      <c r="E12" s="92"/>
      <c r="F12" s="92"/>
      <c r="G12" s="102"/>
      <c r="H12" s="101"/>
      <c r="I12" s="101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299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1213</v>
      </c>
      <c r="D15" s="2"/>
      <c r="E15" s="92"/>
      <c r="F15" s="92"/>
      <c r="G15" s="102"/>
      <c r="H15" s="101"/>
      <c r="I15" s="101"/>
      <c r="J15" s="2"/>
      <c r="K15" s="103">
        <v>3527</v>
      </c>
      <c r="L15" s="93" t="s">
        <v>165</v>
      </c>
      <c r="M15" s="94" t="s">
        <v>135</v>
      </c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>
        <v>3546</v>
      </c>
      <c r="L16" s="93" t="s">
        <v>165</v>
      </c>
      <c r="M16" s="94" t="s">
        <v>135</v>
      </c>
      <c r="R16" s="1">
        <f>IF(vend28[[#This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IF(vend28[[#This Row],[Nº Venda]]&gt;1,1,0)</f>
        <v>0</v>
      </c>
    </row>
    <row r="21" spans="2:18" ht="15.75" x14ac:dyDescent="0.25">
      <c r="B21" s="28" t="s">
        <v>25</v>
      </c>
      <c r="C21" s="32">
        <f>C5</f>
        <v>2791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5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'28'!B1+1</f>
        <v>45441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2"/>
      <c r="F6" s="92"/>
      <c r="G6" s="102"/>
      <c r="H6" s="101"/>
      <c r="I6" s="101"/>
      <c r="J6" s="2"/>
      <c r="K6" s="103"/>
      <c r="L6" s="93"/>
      <c r="M6" s="94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IF(vend29[[#This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IF(vend29[[#This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IF(vend29[[#This Row],[Nº Venda]]&gt;1,1,0)</f>
        <v>0</v>
      </c>
    </row>
    <row r="17" spans="2:18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IF(vend29[[#This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</row>
    <row r="22" spans="2:18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18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18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18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18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18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18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18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18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18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0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70" zoomScaleNormal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45442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2"/>
      <c r="F6" s="92"/>
      <c r="G6" s="102"/>
      <c r="H6" s="101"/>
      <c r="I6" s="101"/>
      <c r="J6" s="2"/>
      <c r="K6" s="103"/>
      <c r="L6" s="93"/>
      <c r="M6" s="94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2"/>
      <c r="F7" s="92"/>
      <c r="G7" s="102"/>
      <c r="H7" s="101"/>
      <c r="I7" s="101"/>
      <c r="J7" s="2"/>
      <c r="K7" s="103"/>
      <c r="L7" s="93"/>
      <c r="M7" s="94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2"/>
      <c r="F8" s="92"/>
      <c r="G8" s="102"/>
      <c r="H8" s="101"/>
      <c r="I8" s="101"/>
      <c r="J8" s="2"/>
      <c r="K8" s="103"/>
      <c r="L8" s="93"/>
      <c r="M8" s="94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2"/>
      <c r="F9" s="92"/>
      <c r="G9" s="102"/>
      <c r="H9" s="101"/>
      <c r="I9" s="101"/>
      <c r="J9" s="2"/>
      <c r="K9" s="103"/>
      <c r="L9" s="93"/>
      <c r="M9" s="94"/>
      <c r="R9" s="1">
        <f>IF(vend30[[#This Row],[Nº Venda]]&gt;1,1,0)</f>
        <v>0</v>
      </c>
    </row>
    <row r="10" spans="2:18" ht="15.75" x14ac:dyDescent="0.25">
      <c r="B10" s="119" t="s">
        <v>5</v>
      </c>
      <c r="C10" s="119"/>
      <c r="D10" s="2"/>
      <c r="E10" s="92"/>
      <c r="F10" s="92"/>
      <c r="G10" s="102"/>
      <c r="H10" s="101"/>
      <c r="I10" s="101"/>
      <c r="J10" s="2"/>
      <c r="K10" s="103"/>
      <c r="L10" s="93"/>
      <c r="M10" s="94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2"/>
      <c r="F15" s="92"/>
      <c r="G15" s="102"/>
      <c r="H15" s="101"/>
      <c r="I15" s="101"/>
      <c r="J15" s="2"/>
      <c r="K15" s="103"/>
      <c r="L15" s="93"/>
      <c r="M15" s="94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/>
      <c r="L16" s="93"/>
      <c r="M16" s="94"/>
      <c r="R16" s="1">
        <f>IF(vend30[[#This Row],[Nº Venda]]&gt;1,1,0)</f>
        <v>0</v>
      </c>
    </row>
    <row r="17" spans="2:22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/>
      <c r="L17" s="93"/>
      <c r="M17" s="94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92"/>
      <c r="F18" s="92"/>
      <c r="G18" s="102"/>
      <c r="H18" s="101"/>
      <c r="I18" s="101"/>
      <c r="J18" s="2"/>
      <c r="K18" s="103"/>
      <c r="L18" s="93"/>
      <c r="M18" s="94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IF(vend30[[#This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  <c r="V21" s="1" t="s">
        <v>123</v>
      </c>
    </row>
    <row r="22" spans="2:22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22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22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22" ht="15.75" x14ac:dyDescent="0.25">
      <c r="B26" s="2"/>
      <c r="C26" s="2"/>
      <c r="D26" s="2"/>
      <c r="E26" s="92"/>
      <c r="F26" s="92"/>
      <c r="G26" s="102"/>
      <c r="H26" s="101"/>
      <c r="I26" s="101"/>
      <c r="J26" s="2"/>
      <c r="K26" s="103"/>
      <c r="L26" s="93"/>
      <c r="M26" s="94"/>
    </row>
    <row r="27" spans="2:22" ht="15.75" x14ac:dyDescent="0.25">
      <c r="B27" s="2"/>
      <c r="C27" s="2"/>
      <c r="D27" s="2"/>
      <c r="E27" s="92"/>
      <c r="F27" s="92"/>
      <c r="G27" s="102"/>
      <c r="H27" s="101"/>
      <c r="I27" s="101"/>
      <c r="J27" s="2"/>
      <c r="K27" s="103"/>
      <c r="L27" s="93"/>
      <c r="M27" s="94"/>
    </row>
    <row r="28" spans="2:22" ht="15.75" x14ac:dyDescent="0.25">
      <c r="B28" s="2"/>
      <c r="C28" s="2"/>
      <c r="D28" s="2"/>
      <c r="E28" s="92"/>
      <c r="F28" s="92"/>
      <c r="G28" s="102"/>
      <c r="H28" s="101"/>
      <c r="I28" s="101"/>
      <c r="J28" s="2"/>
      <c r="K28" s="103"/>
      <c r="L28" s="93"/>
      <c r="M28" s="94"/>
    </row>
    <row r="29" spans="2:22" ht="15.75" x14ac:dyDescent="0.25">
      <c r="B29" s="2"/>
      <c r="C29" s="2"/>
      <c r="D29" s="2"/>
      <c r="E29" s="92"/>
      <c r="F29" s="92"/>
      <c r="G29" s="102"/>
      <c r="H29" s="101"/>
      <c r="I29" s="101"/>
      <c r="J29" s="2"/>
      <c r="K29" s="103"/>
      <c r="L29" s="93"/>
      <c r="M29" s="94"/>
    </row>
    <row r="30" spans="2:22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22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22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/>
      <c r="F35" s="92"/>
      <c r="G35" s="102"/>
      <c r="H35" s="101"/>
      <c r="I35" s="101"/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0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2F9F-E844-45DB-B097-57A0D740A5AA}">
  <dimension ref="B1:V41"/>
  <sheetViews>
    <sheetView showGridLines="0" zoomScale="70" zoomScaleNormal="7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45443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2639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4828</v>
      </c>
      <c r="D6" s="2"/>
      <c r="E6" s="92">
        <v>3547</v>
      </c>
      <c r="F6" s="92" t="s">
        <v>183</v>
      </c>
      <c r="G6" s="102" t="s">
        <v>6</v>
      </c>
      <c r="H6" s="101">
        <v>60</v>
      </c>
      <c r="I6" s="101">
        <v>10</v>
      </c>
      <c r="J6" s="2"/>
      <c r="K6" s="103"/>
      <c r="L6" s="93"/>
      <c r="M6" s="94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2">
        <v>3548</v>
      </c>
      <c r="F7" s="92" t="s">
        <v>182</v>
      </c>
      <c r="G7" s="102" t="s">
        <v>8</v>
      </c>
      <c r="H7" s="101">
        <v>1290</v>
      </c>
      <c r="I7" s="101">
        <v>1290</v>
      </c>
      <c r="J7" s="2"/>
      <c r="K7" s="103"/>
      <c r="L7" s="93"/>
      <c r="M7" s="94"/>
      <c r="R7" s="1">
        <f>IF(vend31[[#This Row],[Nº Venda]]&gt;1,1,0)</f>
        <v>1</v>
      </c>
    </row>
    <row r="8" spans="2:18" ht="15.75" x14ac:dyDescent="0.25">
      <c r="B8" s="28" t="s">
        <v>20</v>
      </c>
      <c r="C8" s="29">
        <f>SUM(C6:C7)</f>
        <v>4828</v>
      </c>
      <c r="D8" s="2"/>
      <c r="E8" s="92">
        <v>3549</v>
      </c>
      <c r="F8" s="92" t="s">
        <v>184</v>
      </c>
      <c r="G8" s="102" t="s">
        <v>38</v>
      </c>
      <c r="H8" s="101">
        <v>0</v>
      </c>
      <c r="I8" s="101">
        <v>0</v>
      </c>
      <c r="J8" s="2"/>
      <c r="K8" s="103"/>
      <c r="L8" s="93"/>
      <c r="M8" s="94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92">
        <v>3550</v>
      </c>
      <c r="F9" s="92" t="s">
        <v>180</v>
      </c>
      <c r="G9" s="102" t="s">
        <v>8</v>
      </c>
      <c r="H9" s="101">
        <v>990</v>
      </c>
      <c r="I9" s="101">
        <v>990</v>
      </c>
      <c r="J9" s="2"/>
      <c r="K9" s="103"/>
      <c r="L9" s="93"/>
      <c r="M9" s="94"/>
      <c r="R9" s="1">
        <f>IF(vend31[[#This Row],[Nº Venda]]&gt;1,1,0)</f>
        <v>1</v>
      </c>
    </row>
    <row r="10" spans="2:18" ht="15.75" x14ac:dyDescent="0.25">
      <c r="B10" s="119" t="s">
        <v>5</v>
      </c>
      <c r="C10" s="119"/>
      <c r="D10" s="2"/>
      <c r="E10" s="92">
        <v>3551</v>
      </c>
      <c r="F10" s="92" t="s">
        <v>181</v>
      </c>
      <c r="G10" s="102" t="s">
        <v>8</v>
      </c>
      <c r="H10" s="101">
        <v>299</v>
      </c>
      <c r="I10" s="101">
        <v>50</v>
      </c>
      <c r="J10" s="2"/>
      <c r="K10" s="103"/>
      <c r="L10" s="93"/>
      <c r="M10" s="94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309</v>
      </c>
      <c r="D11" s="2"/>
      <c r="E11" s="92"/>
      <c r="F11" s="92"/>
      <c r="G11" s="102"/>
      <c r="H11" s="101"/>
      <c r="I11" s="101"/>
      <c r="J11" s="2"/>
      <c r="K11" s="104"/>
      <c r="L11" s="93"/>
      <c r="M11" s="94"/>
      <c r="O11" s="1">
        <f>IF(C15=0,0,1)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2"/>
      <c r="F12" s="92"/>
      <c r="G12" s="102"/>
      <c r="H12" s="101"/>
      <c r="I12" s="101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4229</v>
      </c>
      <c r="D13" s="2"/>
      <c r="E13" s="92"/>
      <c r="F13" s="92"/>
      <c r="G13" s="102"/>
      <c r="H13" s="101"/>
      <c r="I13" s="101"/>
      <c r="J13" s="2"/>
      <c r="K13" s="121" t="s">
        <v>21</v>
      </c>
      <c r="L13" s="122"/>
      <c r="M13" s="123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432</v>
      </c>
      <c r="D14" s="2"/>
      <c r="E14" s="92"/>
      <c r="F14" s="92"/>
      <c r="G14" s="102"/>
      <c r="H14" s="101"/>
      <c r="I14" s="101"/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0</v>
      </c>
    </row>
    <row r="15" spans="2:18" ht="15.75" x14ac:dyDescent="0.25">
      <c r="B15" s="28" t="s">
        <v>10</v>
      </c>
      <c r="C15" s="32">
        <f>SUM(C11:C14)</f>
        <v>4970</v>
      </c>
      <c r="D15" s="2"/>
      <c r="E15" s="92"/>
      <c r="F15" s="92"/>
      <c r="G15" s="102"/>
      <c r="H15" s="101"/>
      <c r="I15" s="101"/>
      <c r="J15" s="2"/>
      <c r="K15" s="103">
        <v>3526</v>
      </c>
      <c r="L15" s="93" t="s">
        <v>178</v>
      </c>
      <c r="M15" s="94" t="s">
        <v>135</v>
      </c>
      <c r="R15" s="1">
        <f>IF(vend31[[#This Row],[Nº Venda]]&gt;1,1,0)</f>
        <v>0</v>
      </c>
    </row>
    <row r="16" spans="2:18" ht="15.75" x14ac:dyDescent="0.25">
      <c r="B16" s="2"/>
      <c r="C16" s="2"/>
      <c r="D16" s="2"/>
      <c r="E16" s="92"/>
      <c r="F16" s="92"/>
      <c r="G16" s="102"/>
      <c r="H16" s="101"/>
      <c r="I16" s="101"/>
      <c r="J16" s="2"/>
      <c r="K16" s="103">
        <v>3532</v>
      </c>
      <c r="L16" s="93" t="s">
        <v>178</v>
      </c>
      <c r="M16" s="94" t="s">
        <v>135</v>
      </c>
      <c r="R16" s="1">
        <f>IF(vend31[[#This Row],[Nº Venda]]&gt;1,1,0)</f>
        <v>0</v>
      </c>
    </row>
    <row r="17" spans="2:22" ht="15.75" x14ac:dyDescent="0.25">
      <c r="B17" s="119" t="s">
        <v>11</v>
      </c>
      <c r="C17" s="119"/>
      <c r="D17" s="2"/>
      <c r="E17" s="92"/>
      <c r="F17" s="92"/>
      <c r="G17" s="102"/>
      <c r="H17" s="101"/>
      <c r="I17" s="101"/>
      <c r="J17" s="2"/>
      <c r="K17" s="103">
        <v>3531</v>
      </c>
      <c r="L17" s="93" t="s">
        <v>178</v>
      </c>
      <c r="M17" s="94" t="s">
        <v>135</v>
      </c>
      <c r="R17" s="1">
        <f>IF(vend31[[#This Row],[Nº Venda]]&gt;1,1,0)</f>
        <v>0</v>
      </c>
    </row>
    <row r="18" spans="2:22" ht="15.75" x14ac:dyDescent="0.25">
      <c r="B18" s="30">
        <f>COUNT(entr_carn31[OS])</f>
        <v>0</v>
      </c>
      <c r="C18" s="31">
        <f>SUM(entr_carn31[Valor Total])</f>
        <v>0</v>
      </c>
      <c r="D18" s="2"/>
      <c r="E18" s="92"/>
      <c r="F18" s="92"/>
      <c r="G18" s="102"/>
      <c r="H18" s="101"/>
      <c r="I18" s="101"/>
      <c r="J18" s="2"/>
      <c r="K18" s="103">
        <v>3528</v>
      </c>
      <c r="L18" s="93" t="s">
        <v>179</v>
      </c>
      <c r="M18" s="94" t="s">
        <v>135</v>
      </c>
      <c r="R18" s="1">
        <f>IF(vend31[[#This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2"/>
      <c r="F19" s="92"/>
      <c r="G19" s="102"/>
      <c r="H19" s="101"/>
      <c r="I19" s="101"/>
      <c r="J19" s="2"/>
      <c r="K19" s="103"/>
      <c r="L19" s="93"/>
      <c r="M19" s="94"/>
      <c r="R19" s="1">
        <f>IF(vend31[[#This Row],[Nº Venda]]&gt;1,1,0)</f>
        <v>0</v>
      </c>
    </row>
    <row r="20" spans="2:22" ht="15.75" x14ac:dyDescent="0.25">
      <c r="B20" s="2"/>
      <c r="C20" s="2"/>
      <c r="D20" s="2"/>
      <c r="E20" s="92"/>
      <c r="F20" s="102"/>
      <c r="G20" s="102"/>
      <c r="H20" s="101"/>
      <c r="I20" s="101"/>
      <c r="J20" s="2"/>
      <c r="K20" s="103"/>
      <c r="L20" s="93"/>
      <c r="M20" s="94"/>
      <c r="R20" s="1">
        <f>IF(vend31[[#This Row],[Nº Venda]]&gt;1,1,0)</f>
        <v>0</v>
      </c>
    </row>
    <row r="21" spans="2:22" ht="15.75" x14ac:dyDescent="0.25">
      <c r="B21" s="28" t="s">
        <v>25</v>
      </c>
      <c r="C21" s="32">
        <f>C5</f>
        <v>2639</v>
      </c>
      <c r="D21" s="2"/>
      <c r="E21" s="92"/>
      <c r="F21" s="92"/>
      <c r="G21" s="102"/>
      <c r="H21" s="101"/>
      <c r="I21" s="101"/>
      <c r="J21" s="2"/>
      <c r="K21" s="103"/>
      <c r="L21" s="93"/>
      <c r="M21" s="94"/>
      <c r="V21" s="1" t="s">
        <v>123</v>
      </c>
    </row>
    <row r="22" spans="2:22" ht="15.75" x14ac:dyDescent="0.25">
      <c r="B22" s="2"/>
      <c r="C22" s="2"/>
      <c r="D22" s="2"/>
      <c r="E22" s="92"/>
      <c r="F22" s="92"/>
      <c r="G22" s="102"/>
      <c r="H22" s="101"/>
      <c r="I22" s="101"/>
      <c r="J22" s="2"/>
      <c r="K22" s="103"/>
      <c r="L22" s="93"/>
      <c r="M22" s="94"/>
    </row>
    <row r="23" spans="2:22" ht="15.75" x14ac:dyDescent="0.25">
      <c r="B23" s="2"/>
      <c r="C23" s="2"/>
      <c r="D23" s="2"/>
      <c r="E23" s="33"/>
      <c r="H23" s="7"/>
      <c r="J23" s="2"/>
      <c r="K23" s="103"/>
      <c r="L23" s="93"/>
      <c r="M23" s="94"/>
    </row>
    <row r="24" spans="2:22" ht="15.75" x14ac:dyDescent="0.25">
      <c r="B24" s="2"/>
      <c r="C24" s="2"/>
      <c r="D24" s="2"/>
      <c r="E24" s="120" t="s">
        <v>26</v>
      </c>
      <c r="F24" s="120"/>
      <c r="G24" s="120"/>
      <c r="H24" s="120"/>
      <c r="I24" s="120"/>
      <c r="J24" s="2"/>
      <c r="K24" s="103"/>
      <c r="L24" s="93"/>
      <c r="M24" s="94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3"/>
      <c r="L25" s="93"/>
      <c r="M25" s="94"/>
    </row>
    <row r="26" spans="2:22" ht="15.75" x14ac:dyDescent="0.25">
      <c r="B26" s="2"/>
      <c r="C26" s="2"/>
      <c r="D26" s="2"/>
      <c r="E26" s="92">
        <v>3526</v>
      </c>
      <c r="F26" s="92" t="s">
        <v>186</v>
      </c>
      <c r="G26" s="102" t="s">
        <v>6</v>
      </c>
      <c r="H26" s="101"/>
      <c r="I26" s="101">
        <v>299</v>
      </c>
      <c r="J26" s="2"/>
      <c r="K26" s="103"/>
      <c r="L26" s="93"/>
      <c r="M26" s="94"/>
    </row>
    <row r="27" spans="2:22" ht="15.75" x14ac:dyDescent="0.25">
      <c r="B27" s="2"/>
      <c r="C27" s="2"/>
      <c r="D27" s="2"/>
      <c r="E27" s="92">
        <v>3532</v>
      </c>
      <c r="F27" s="92" t="s">
        <v>187</v>
      </c>
      <c r="G27" s="102" t="s">
        <v>8</v>
      </c>
      <c r="H27" s="101"/>
      <c r="I27" s="101">
        <v>1499</v>
      </c>
      <c r="J27" s="2"/>
      <c r="K27" s="103"/>
      <c r="L27" s="93"/>
      <c r="M27" s="94"/>
    </row>
    <row r="28" spans="2:22" ht="15.75" x14ac:dyDescent="0.25">
      <c r="B28" s="2"/>
      <c r="C28" s="2"/>
      <c r="D28" s="2"/>
      <c r="E28" s="92">
        <v>3531</v>
      </c>
      <c r="F28" s="92" t="s">
        <v>188</v>
      </c>
      <c r="G28" s="102" t="s">
        <v>9</v>
      </c>
      <c r="H28" s="101"/>
      <c r="I28" s="101">
        <v>290</v>
      </c>
      <c r="J28" s="2"/>
      <c r="K28" s="103"/>
      <c r="L28" s="93"/>
      <c r="M28" s="94"/>
    </row>
    <row r="29" spans="2:22" ht="15.75" x14ac:dyDescent="0.25">
      <c r="B29" s="2"/>
      <c r="C29" s="2"/>
      <c r="D29" s="2"/>
      <c r="E29" s="92">
        <v>3531</v>
      </c>
      <c r="F29" s="92" t="s">
        <v>188</v>
      </c>
      <c r="G29" s="102" t="s">
        <v>8</v>
      </c>
      <c r="H29" s="101"/>
      <c r="I29" s="101">
        <v>400</v>
      </c>
      <c r="J29" s="2"/>
      <c r="K29" s="103"/>
      <c r="L29" s="93"/>
      <c r="M29" s="94"/>
    </row>
    <row r="30" spans="2:22" ht="15.75" x14ac:dyDescent="0.25">
      <c r="B30" s="2"/>
      <c r="C30" s="2"/>
      <c r="D30" s="2"/>
      <c r="E30" s="92"/>
      <c r="F30" s="102"/>
      <c r="G30" s="102"/>
      <c r="H30" s="101"/>
      <c r="I30" s="101"/>
      <c r="J30" s="2"/>
      <c r="K30" s="103"/>
      <c r="L30" s="93"/>
      <c r="M30" s="94"/>
    </row>
    <row r="31" spans="2:22" ht="15.75" x14ac:dyDescent="0.25">
      <c r="B31" s="2"/>
      <c r="C31" s="2"/>
      <c r="D31" s="2"/>
      <c r="E31" s="113"/>
      <c r="F31" s="113"/>
      <c r="G31" s="114"/>
      <c r="H31" s="115"/>
      <c r="I31" s="115"/>
      <c r="J31" s="2"/>
      <c r="K31" s="103"/>
      <c r="L31" s="93"/>
      <c r="M31" s="94"/>
    </row>
    <row r="32" spans="2:22" ht="15" x14ac:dyDescent="0.25">
      <c r="B32" s="2"/>
      <c r="C32" s="2"/>
      <c r="E32" s="33"/>
    </row>
    <row r="33" spans="5:18" ht="15" x14ac:dyDescent="0.25">
      <c r="E33" s="120" t="s">
        <v>27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2">
        <v>3076</v>
      </c>
      <c r="F35" s="92" t="s">
        <v>185</v>
      </c>
      <c r="G35" s="102" t="s">
        <v>9</v>
      </c>
      <c r="H35" s="101">
        <v>142</v>
      </c>
      <c r="I35" s="101" t="s">
        <v>49</v>
      </c>
      <c r="K35" s="103"/>
      <c r="L35" s="106"/>
      <c r="M35" s="94"/>
    </row>
    <row r="36" spans="5:18" ht="15.75" x14ac:dyDescent="0.25">
      <c r="E36" s="92"/>
      <c r="F36" s="92"/>
      <c r="G36" s="102"/>
      <c r="H36" s="101"/>
      <c r="I36" s="101"/>
      <c r="K36" s="103"/>
      <c r="L36" s="106"/>
      <c r="M36" s="94"/>
    </row>
    <row r="37" spans="5:18" ht="15.75" x14ac:dyDescent="0.25">
      <c r="E37" s="92"/>
      <c r="F37" s="92"/>
      <c r="G37" s="102"/>
      <c r="H37" s="101"/>
      <c r="I37" s="101"/>
      <c r="K37" s="103"/>
      <c r="L37" s="106"/>
      <c r="M37" s="94"/>
    </row>
    <row r="38" spans="5:18" ht="15.75" x14ac:dyDescent="0.25">
      <c r="E38" s="92"/>
      <c r="F38" s="92"/>
      <c r="G38" s="102"/>
      <c r="H38" s="101"/>
      <c r="I38" s="101"/>
      <c r="K38" s="103"/>
      <c r="L38" s="106"/>
      <c r="M38" s="94"/>
    </row>
    <row r="39" spans="5:18" ht="15.75" x14ac:dyDescent="0.25">
      <c r="E39" s="92"/>
      <c r="F39" s="102"/>
      <c r="G39" s="102"/>
      <c r="H39" s="101"/>
      <c r="I39" s="101"/>
      <c r="K39" s="103"/>
      <c r="L39" s="106"/>
      <c r="M39" s="94"/>
    </row>
    <row r="40" spans="5:18" ht="15.75" x14ac:dyDescent="0.25">
      <c r="E40" s="113"/>
      <c r="F40" s="113"/>
      <c r="G40" s="114"/>
      <c r="H40" s="115"/>
      <c r="I40" s="101"/>
      <c r="K40" s="107"/>
      <c r="L40" s="108"/>
      <c r="M40" s="109"/>
      <c r="Q40" s="1" t="s">
        <v>35</v>
      </c>
      <c r="R40" s="1">
        <f>SUM(R6:R21)</f>
        <v>5</v>
      </c>
    </row>
    <row r="41" spans="5:18" ht="15.75" x14ac:dyDescent="0.25">
      <c r="E41" s="102"/>
      <c r="F41" s="102"/>
      <c r="G41" s="102"/>
      <c r="H41" s="101"/>
      <c r="I41" s="101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29603CE-D960-4172-948A-5D164C1BCC78}">
      <formula1>"Sim, Não"</formula1>
    </dataValidation>
    <dataValidation type="list" allowBlank="1" showInputMessage="1" showErrorMessage="1" sqref="L35:L41" xr:uid="{51C224BB-6EFE-4683-B3CD-44AA4A1A3EA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D2BAD8-D739-4277-83EC-A7AB1EABF705}">
          <x14:formula1>
            <xm:f>base!$A$2:$A$8</xm:f>
          </x14:formula1>
          <xm:sqref>G6:G22</xm:sqref>
        </x14:dataValidation>
        <x14:dataValidation type="list" allowBlank="1" showInputMessage="1" showErrorMessage="1" xr:uid="{39D59931-2791-4A7A-9C07-D21255F154EF}">
          <x14:formula1>
            <xm:f>base!$A$2:$A$5</xm:f>
          </x14:formula1>
          <xm:sqref>G26:G31 G35:G41</xm:sqref>
        </x14:dataValidation>
        <x14:dataValidation type="list" allowBlank="1" showInputMessage="1" showErrorMessage="1" xr:uid="{8C844CAF-6FBF-4BE1-A02E-E0EE606A7E11}">
          <x14:formula1>
            <xm:f>base!$E$2:$E$79</xm:f>
          </x14:formula1>
          <xm:sqref>I35:I41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5ED1-1FB2-4C1D-9835-9B7FB64F49DE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60</v>
      </c>
      <c r="B1" s="38" t="s">
        <v>61</v>
      </c>
      <c r="E1" s="38" t="s">
        <v>62</v>
      </c>
    </row>
    <row r="2" spans="1:5" x14ac:dyDescent="0.2">
      <c r="A2" s="38" t="s">
        <v>6</v>
      </c>
      <c r="B2" s="38" t="s">
        <v>63</v>
      </c>
      <c r="E2" t="s">
        <v>44</v>
      </c>
    </row>
    <row r="3" spans="1:5" x14ac:dyDescent="0.2">
      <c r="A3" s="38" t="s">
        <v>7</v>
      </c>
      <c r="B3" s="38" t="s">
        <v>64</v>
      </c>
      <c r="E3" t="s">
        <v>65</v>
      </c>
    </row>
    <row r="4" spans="1:5" x14ac:dyDescent="0.2">
      <c r="A4" s="38" t="s">
        <v>8</v>
      </c>
      <c r="B4" s="38" t="s">
        <v>66</v>
      </c>
      <c r="E4" t="s">
        <v>67</v>
      </c>
    </row>
    <row r="5" spans="1:5" x14ac:dyDescent="0.2">
      <c r="A5" s="38" t="s">
        <v>9</v>
      </c>
      <c r="B5" s="38" t="s">
        <v>9</v>
      </c>
      <c r="E5" t="s">
        <v>68</v>
      </c>
    </row>
    <row r="6" spans="1:5" x14ac:dyDescent="0.2">
      <c r="A6" s="38" t="s">
        <v>48</v>
      </c>
      <c r="B6" s="38" t="s">
        <v>69</v>
      </c>
      <c r="E6" t="s">
        <v>32</v>
      </c>
    </row>
    <row r="7" spans="1:5" x14ac:dyDescent="0.2">
      <c r="A7" t="s">
        <v>24</v>
      </c>
      <c r="B7" t="s">
        <v>71</v>
      </c>
      <c r="E7" t="s">
        <v>70</v>
      </c>
    </row>
    <row r="8" spans="1:5" x14ac:dyDescent="0.2">
      <c r="A8" s="38" t="s">
        <v>38</v>
      </c>
      <c r="B8" s="38" t="s">
        <v>72</v>
      </c>
      <c r="E8" t="s">
        <v>50</v>
      </c>
    </row>
    <row r="9" spans="1:5" x14ac:dyDescent="0.2">
      <c r="E9" t="s">
        <v>73</v>
      </c>
    </row>
    <row r="10" spans="1:5" x14ac:dyDescent="0.2">
      <c r="E10" t="s">
        <v>74</v>
      </c>
    </row>
    <row r="11" spans="1:5" x14ac:dyDescent="0.2">
      <c r="E11" t="s">
        <v>75</v>
      </c>
    </row>
    <row r="12" spans="1:5" x14ac:dyDescent="0.2">
      <c r="E12" t="s">
        <v>37</v>
      </c>
    </row>
    <row r="13" spans="1:5" x14ac:dyDescent="0.2">
      <c r="E13" t="s">
        <v>51</v>
      </c>
    </row>
    <row r="14" spans="1:5" x14ac:dyDescent="0.2">
      <c r="E14" t="s">
        <v>45</v>
      </c>
    </row>
    <row r="15" spans="1:5" x14ac:dyDescent="0.2">
      <c r="E15" t="s">
        <v>76</v>
      </c>
    </row>
    <row r="16" spans="1:5" x14ac:dyDescent="0.2">
      <c r="E16" t="s">
        <v>46</v>
      </c>
    </row>
    <row r="17" spans="5:5" x14ac:dyDescent="0.2">
      <c r="E17" t="s">
        <v>40</v>
      </c>
    </row>
    <row r="18" spans="5:5" x14ac:dyDescent="0.2">
      <c r="E18" t="s">
        <v>52</v>
      </c>
    </row>
    <row r="19" spans="5:5" x14ac:dyDescent="0.2">
      <c r="E19" t="s">
        <v>43</v>
      </c>
    </row>
    <row r="20" spans="5:5" x14ac:dyDescent="0.2">
      <c r="E20" t="s">
        <v>77</v>
      </c>
    </row>
    <row r="21" spans="5:5" x14ac:dyDescent="0.2">
      <c r="E21" t="s">
        <v>78</v>
      </c>
    </row>
    <row r="22" spans="5:5" x14ac:dyDescent="0.2">
      <c r="E22" t="s">
        <v>57</v>
      </c>
    </row>
    <row r="23" spans="5:5" x14ac:dyDescent="0.2">
      <c r="E23" t="s">
        <v>34</v>
      </c>
    </row>
    <row r="24" spans="5:5" x14ac:dyDescent="0.2">
      <c r="E24" t="s">
        <v>53</v>
      </c>
    </row>
    <row r="25" spans="5:5" x14ac:dyDescent="0.2">
      <c r="E25" t="s">
        <v>47</v>
      </c>
    </row>
    <row r="26" spans="5:5" x14ac:dyDescent="0.2">
      <c r="E26" t="s">
        <v>39</v>
      </c>
    </row>
    <row r="27" spans="5:5" x14ac:dyDescent="0.2">
      <c r="E27" t="s">
        <v>42</v>
      </c>
    </row>
    <row r="28" spans="5:5" x14ac:dyDescent="0.2">
      <c r="E28" t="s">
        <v>58</v>
      </c>
    </row>
    <row r="29" spans="5:5" x14ac:dyDescent="0.2">
      <c r="E29" t="s">
        <v>59</v>
      </c>
    </row>
    <row r="30" spans="5:5" x14ac:dyDescent="0.2">
      <c r="E30" t="s">
        <v>79</v>
      </c>
    </row>
    <row r="31" spans="5:5" x14ac:dyDescent="0.2">
      <c r="E31" t="s">
        <v>33</v>
      </c>
    </row>
    <row r="32" spans="5:5" x14ac:dyDescent="0.2">
      <c r="E32" t="s">
        <v>80</v>
      </c>
    </row>
    <row r="33" spans="5:5" x14ac:dyDescent="0.2">
      <c r="E33" t="s">
        <v>55</v>
      </c>
    </row>
    <row r="34" spans="5:5" x14ac:dyDescent="0.2">
      <c r="E34" t="s">
        <v>36</v>
      </c>
    </row>
    <row r="35" spans="5:5" x14ac:dyDescent="0.2">
      <c r="E35" t="s">
        <v>54</v>
      </c>
    </row>
    <row r="36" spans="5:5" x14ac:dyDescent="0.2">
      <c r="E36" t="s">
        <v>41</v>
      </c>
    </row>
    <row r="37" spans="5:5" x14ac:dyDescent="0.2">
      <c r="E37" t="s">
        <v>49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36</vt:i4>
      </vt:variant>
      <vt:variant>
        <vt:lpstr>Intervalos Nomeados</vt:lpstr>
      </vt:variant>
      <vt:variant>
        <vt:i4>5</vt:i4>
      </vt:variant>
    </vt:vector>
  </HeadingPairs>
  <TitlesOfParts>
    <vt:vector size="41" baseType="lpstr">
      <vt:lpstr>resumo_cx</vt:lpstr>
      <vt:lpstr>Planilha1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Planilha2</vt:lpstr>
      <vt:lpstr>26</vt:lpstr>
      <vt:lpstr>27</vt:lpstr>
      <vt:lpstr>28</vt:lpstr>
      <vt:lpstr>29</vt:lpstr>
      <vt:lpstr>30</vt:lpstr>
      <vt:lpstr>31</vt:lpstr>
      <vt:lpstr>Planilha3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riopequeno lojas</cp:lastModifiedBy>
  <cp:revision/>
  <cp:lastPrinted>2024-05-29T16:26:52Z</cp:lastPrinted>
  <dcterms:created xsi:type="dcterms:W3CDTF">2004-04-07T20:43:43Z</dcterms:created>
  <dcterms:modified xsi:type="dcterms:W3CDTF">2025-01-06T18:19:57Z</dcterms:modified>
  <cp:category/>
  <cp:contentStatus/>
</cp:coreProperties>
</file>