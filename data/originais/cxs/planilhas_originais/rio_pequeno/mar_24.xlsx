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4/"/>
    </mc:Choice>
  </mc:AlternateContent>
  <xr:revisionPtr revIDLastSave="726" documentId="13_ncr:1_{7412B4C8-BAC3-4E56-8244-DAC76CBDF892}" xr6:coauthVersionLast="47" xr6:coauthVersionMax="47" xr10:uidLastSave="{9B2ECB91-B2AD-48E8-9335-ABF7927F8950}"/>
  <bookViews>
    <workbookView xWindow="-120" yWindow="-120" windowWidth="20730" windowHeight="11160" tabRatio="89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Gráfico1" sheetId="201" r:id="rId33"/>
    <sheet name="base" sheetId="36" state="hidden" r:id="rId34"/>
  </sheets>
  <definedNames>
    <definedName name="_xlnm.Print_Area" localSheetId="9">'09'!$A$1:$M$41</definedName>
    <definedName name="_xlnm.Print_Area" localSheetId="18">'18'!$A$1:$M$41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81" l="1"/>
  <c r="C11" i="181"/>
  <c r="C12" i="181"/>
  <c r="C13" i="181"/>
  <c r="R20" i="175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8" i="180" s="1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79" s="1"/>
  <c r="B1" i="185" s="1"/>
  <c r="B1" i="187" s="1"/>
  <c r="B1" i="189" s="1"/>
  <c r="B1" i="190" s="1"/>
  <c r="B1" i="191" s="1"/>
  <c r="B1" i="188" s="1"/>
  <c r="B1" i="193" s="1"/>
  <c r="B1" i="195" s="1"/>
  <c r="B1" i="194" l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<sst xmlns="http://schemas.openxmlformats.org/spreadsheetml/2006/main" count="1731" uniqueCount="168">
  <si>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</si>
  <si>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</si>
  <si>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</si>
  <si>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</si>
  <si>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</si>
  <si>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</si>
  <si>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</si>
  <si>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</si>
  <si>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</si>
  <si>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</si>
  <si>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</si>
  <si>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</si>
  <si>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</si>
  <si>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</si>
  <si>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</si>
  <si>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</si>
  <si>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</si>
  <si>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</si>
  <si>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</si>
  <si>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</si>
  <si>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</si>
  <si>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</si>
  <si>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</si>
  <si>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</si>
  <si>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</si>
  <si>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</si>
  <si>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</si>
  <si>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</si>
  <si>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</si>
  <si>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</si>
  <si>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</si>
  <si>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</si>
  <si>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</si>
  <si>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</si>
  <si>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JOSÉ COSTA DA SILVA </t>
  </si>
  <si>
    <t>ARIANE EVELYN APARECIDA FARIAS</t>
  </si>
  <si>
    <t>Rosângela</t>
  </si>
  <si>
    <t>Não</t>
  </si>
  <si>
    <t>Beatriz Cabral de Franca</t>
  </si>
  <si>
    <t>ROSÂNGELA</t>
  </si>
  <si>
    <t>SILVIA SIMÔES FERREIRA CARDOSO</t>
  </si>
  <si>
    <t>PARC. 2/3</t>
  </si>
  <si>
    <t>BENEDITO FERREIRA DA SILVA DANTAS</t>
  </si>
  <si>
    <t>ZILA FONSECA VIEIRA</t>
  </si>
  <si>
    <t xml:space="preserve">LUCIA HELENA </t>
  </si>
  <si>
    <t>GARANTIA</t>
  </si>
  <si>
    <t>FERNANDA GALLO</t>
  </si>
  <si>
    <t>RITA DE CASSIA</t>
  </si>
  <si>
    <t>Gleiton Silva Maia</t>
  </si>
  <si>
    <t xml:space="preserve"> </t>
  </si>
  <si>
    <t>Celma Pires de Queiroz</t>
  </si>
  <si>
    <t>ORLANDO RODRIGUES F</t>
  </si>
  <si>
    <t>PARC. 8/8</t>
  </si>
  <si>
    <t>i</t>
  </si>
  <si>
    <t>MARIA DE ALMEIDA DA COSTA</t>
  </si>
  <si>
    <t>Juliana Pedroso</t>
  </si>
  <si>
    <t>PARC. 1/5</t>
  </si>
  <si>
    <t xml:space="preserve">Jonathas Silas dos Santos </t>
  </si>
  <si>
    <t>Marcos José Albino</t>
  </si>
  <si>
    <t>Letícia Silva Aragão</t>
  </si>
  <si>
    <t>Água</t>
  </si>
  <si>
    <t>Rosangela</t>
  </si>
  <si>
    <t>Rosemary Carlos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</si>
  <si>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</si>
  <si>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</si>
  <si>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</si>
  <si>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</si>
  <si>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</si>
  <si>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</si>
  <si>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</si>
  <si>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</si>
  <si>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</si>
  <si>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</si>
  <si>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</si>
  <si>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SS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</si>
  <si>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</si>
  <si>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</si>
  <si>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</si>
  <si>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</si>
  <si>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</si>
  <si>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</si>
  <si>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</si>
  <si>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</si>
  <si>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</si>
  <si>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</si>
  <si>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</si>
  <si>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</si>
  <si>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</si>
  <si>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</si>
  <si>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</si>
  <si>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</si>
  <si>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</si>
  <si>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</si>
  <si>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</si>
  <si>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</si>
  <si>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</si>
  <si>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</si>
  <si>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</si>
  <si>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</si>
  <si>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</si>
  <si>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</si>
  <si>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</si>
  <si>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</si>
  <si>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</si>
  <si>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</si>
  <si>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</si>
  <si>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</si>
  <si>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</si>
  <si>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</si>
  <si>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</si>
  <si>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</si>
  <si>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</si>
  <si>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</si>
  <si>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</si>
  <si>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</si>
  <si>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</si>
  <si>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</si>
  <si>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</si>
  <si>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</si>
  <si>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</si>
  <si>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</si>
  <si>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</si>
  <si>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</si>
  <si>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</si>
  <si>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</si>
  <si>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</si>
  <si>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</si>
  <si>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</si>
  <si>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</si>
  <si>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</si>
  <si>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</si>
  <si>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</si>
  <si>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</si>
  <si>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</si>
  <si>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</si>
  <si>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</si>
  <si>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</si>
  <si>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</si>
  <si>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</si>
  <si>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</si>
  <si>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</si>
  <si>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</si>
  <si>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</si>
  <si>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</si>
  <si>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</si>
  <si>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</si>
  <si>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</si>
  <si>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</si>
  <si>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</si>
  <si>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Maria Pereira da Silva</t>
  </si>
  <si>
    <t>Claudia Oliveira Lago</t>
  </si>
  <si>
    <t>Vitalina de Oliveira Nunes</t>
  </si>
  <si>
    <t>.</t>
  </si>
  <si>
    <t>Samira Asad Suleiman Samara</t>
  </si>
  <si>
    <t>Vera Lucia de Souza</t>
  </si>
  <si>
    <t>Vanessa P. Santos</t>
  </si>
  <si>
    <t>Giovanna Belluomini Mello</t>
  </si>
  <si>
    <t>Sim</t>
  </si>
  <si>
    <t xml:space="preserve">Maria de Fátima Lima </t>
  </si>
  <si>
    <t xml:space="preserve">                                                                                                         </t>
  </si>
  <si>
    <t xml:space="preserve">   </t>
  </si>
  <si>
    <t xml:space="preserve">Jonathas Silas dos Santos  </t>
  </si>
  <si>
    <t>Marcelia da Conceição</t>
  </si>
  <si>
    <t>José Costa da Silva</t>
  </si>
  <si>
    <t>Cecília Oliveira de Lima</t>
  </si>
  <si>
    <t>Isabel Cristina de Oliveira Santos Silva</t>
  </si>
  <si>
    <t>Margarida Gomes Soares</t>
  </si>
  <si>
    <t>ROSELI 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</si>
</sst>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Arial  "/>
    </font>
    <font>
      <sz val="12"/>
      <name val="Arial  "/>
    </font>
    <font>
      <sz val="24"/>
      <name val="Castellar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" fontId="34" fillId="0" borderId="10" xfId="0" applyNumberFormat="1" applyFont="1" applyBorder="1" applyAlignment="1">
      <alignment horizontal="center"/>
    </xf>
    <xf numFmtId="1" fontId="34" fillId="0" borderId="8" xfId="0" applyNumberFormat="1" applyFont="1" applyBorder="1" applyAlignment="1">
      <alignment horizontal="center"/>
    </xf>
    <xf numFmtId="1" fontId="24" fillId="0" borderId="8" xfId="0" applyNumberFormat="1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4" fontId="5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rial  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auto="1"/>
        <name val="Arial  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auto="1"/>
        <name val="Arial  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Arial  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hartsheet" Target="chartsheets/sheet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'13'!$E$5</c:f>
              <c:strCache>
                <c:ptCount val="1"/>
                <c:pt idx="0">
                  <c:v> Nº Venda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'13'!$E$6:$E$22</c:f>
              <c:numCache>
                <c:formatCode>General</c:formatCode>
                <c:ptCount val="17"/>
                <c:pt idx="0">
                  <c:v>3459</c:v>
                </c:pt>
                <c:pt idx="1">
                  <c:v>3460</c:v>
                </c:pt>
                <c:pt idx="2">
                  <c:v>3461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4-4BEC-BC37-C2CDC4A6B032}"/>
            </c:ext>
          </c:extLst>
        </c:ser>
        <c:ser>
          <c:idx val="1"/>
          <c:order val="1"/>
          <c:tx>
            <c:strRef>
              <c:f>'13'!$F$5</c:f>
              <c:strCache>
                <c:ptCount val="1"/>
                <c:pt idx="0">
                  <c:v> Cliente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'13'!$F$6:$F$22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4-4BEC-BC37-C2CDC4A6B032}"/>
            </c:ext>
          </c:extLst>
        </c:ser>
        <c:ser>
          <c:idx val="2"/>
          <c:order val="2"/>
          <c:tx>
            <c:strRef>
              <c:f>'13'!$G$5</c:f>
              <c:strCache>
                <c:ptCount val="1"/>
                <c:pt idx="0">
                  <c:v> Forma de Pgto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'13'!$G$6:$G$22</c:f>
              <c:numCache>
                <c:formatCode>_("R$"* #,##0.00_);_("R$"* \(#,##0.00\);_("R$"* "-"??_);_(@_)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A4-4BEC-BC37-C2CDC4A6B032}"/>
            </c:ext>
          </c:extLst>
        </c:ser>
        <c:ser>
          <c:idx val="3"/>
          <c:order val="3"/>
          <c:tx>
            <c:strRef>
              <c:f>'13'!$H$5</c:f>
              <c:strCache>
                <c:ptCount val="1"/>
                <c:pt idx="0">
                  <c:v>Valor Venda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'13'!$H$6:$H$22</c:f>
              <c:numCache>
                <c:formatCode>"R$"\ #,##0.00</c:formatCode>
                <c:ptCount val="17"/>
                <c:pt idx="0">
                  <c:v>2900</c:v>
                </c:pt>
                <c:pt idx="1">
                  <c:v>300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A4-4BEC-BC37-C2CDC4A6B032}"/>
            </c:ext>
          </c:extLst>
        </c:ser>
        <c:ser>
          <c:idx val="4"/>
          <c:order val="4"/>
          <c:tx>
            <c:strRef>
              <c:f>'13'!$I$5</c:f>
              <c:strCache>
                <c:ptCount val="1"/>
                <c:pt idx="0">
                  <c:v>Entrada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'13'!$I$6:$I$22</c:f>
              <c:numCache>
                <c:formatCode>"R$"\ #,##0.00</c:formatCode>
                <c:ptCount val="17"/>
                <c:pt idx="0">
                  <c:v>2900</c:v>
                </c:pt>
                <c:pt idx="1">
                  <c:v>300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A4-4BEC-BC37-C2CDC4A6B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32320"/>
        <c:axId val="106332800"/>
      </c:barChart>
      <c:catAx>
        <c:axId val="106332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332800"/>
        <c:crosses val="autoZero"/>
        <c:auto val="1"/>
        <c:lblAlgn val="ctr"/>
        <c:lblOffset val="100"/>
        <c:noMultiLvlLbl val="0"/>
      </c:catAx>
      <c:valAx>
        <c:axId val="1063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3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052B05-A468-4E9C-ABE6-843E811E4227}">
  <sheetPr codeName="Gráfico1"/>
  <sheetViews>
    <sheetView zoomScale="12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9918" cy="60116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8E6EF5-CFC2-05F7-58C4-E7686E9047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18" totalsRowShown="0" headerRowDxfId="955" dataDxfId="953" headerRowBorderDxfId="954" tableBorderDxfId="952" totalsRowBorderDxfId="951">
  <autoFilter ref="E5:I18" xr:uid="{00000000-0009-0000-0100-000014000000}"/>
  <sortState xmlns:xlrd2="http://schemas.microsoft.com/office/spreadsheetml/2017/richdata2" ref="E6:I18">
    <sortCondition ref="E5:E18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1:I27" totalsRowShown="0" headerRowDxfId="937" dataDxfId="935" headerRowBorderDxfId="936" tableBorderDxfId="934" totalsRowBorderDxfId="933">
  <autoFilter ref="E21:I27" xr:uid="{00000000-0009-0000-0100-000016000000}"/>
  <sortState xmlns:xlrd2="http://schemas.microsoft.com/office/spreadsheetml/2017/richdata2" ref="E22:I27">
    <sortCondition ref="E21:E27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0:I37" totalsRowShown="0" headerRowDxfId="919" dataDxfId="917" headerRowBorderDxfId="918" tableBorderDxfId="916" totalsRowBorderDxfId="915">
  <autoFilter ref="E30:I37" xr:uid="{B9E2F984-8588-4F2C-9FB9-680284154679}"/>
  <sortState xmlns:xlrd2="http://schemas.microsoft.com/office/spreadsheetml/2017/richdata2" ref="E31:I36">
    <sortCondition ref="E21:E27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tabSelected="1" workbookViewId="0">
      <selection activeCell="D10" sqref="D10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79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30852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26491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26</v>
      </c>
    </row>
    <row r="6" spans="1:2" ht="15.75">
      <c r="A6" s="28" t="s">
        <v>4</v>
      </c>
      <c r="B6" s="29">
        <f>SUM(B4:B5)</f>
        <v>26517</v>
      </c>
    </row>
    <row r="7" spans="1:2" ht="15">
      <c r="A7" s="2"/>
      <c r="B7" s="2"/>
    </row>
    <row r="8" spans="1:2" ht="15">
      <c r="A8" s="92" t="s">
        <v>5</v>
      </c>
      <c r="B8" s="92"/>
    </row>
    <row r="9" spans="1:2" ht="1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1810</v>
      </c>
    </row>
    <row r="10" spans="1:2" ht="1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2303.8000000000002</v>
      </c>
    </row>
    <row r="11" spans="1:2" ht="1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1790</v>
      </c>
    </row>
    <row r="12" spans="1:2" ht="1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20212</v>
      </c>
    </row>
    <row r="13" spans="1:2" ht="1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1284.33</v>
      </c>
    </row>
    <row r="14" spans="1:2" ht="15.75">
      <c r="A14" s="28" t="s">
        <v>11</v>
      </c>
      <c r="B14" s="80">
        <f ca="1">SUM(B9:B13)</f>
        <v>27400.129999999997</v>
      </c>
    </row>
    <row r="15" spans="1:2" ht="15">
      <c r="A15" s="2"/>
      <c r="B15" s="2"/>
    </row>
    <row r="16" spans="1:2" ht="15">
      <c r="A16" s="92" t="s">
        <v>12</v>
      </c>
      <c r="B16" s="92"/>
    </row>
    <row r="17" spans="1:2" ht="1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1134</v>
      </c>
    </row>
    <row r="18" spans="1:2" ht="15.75">
      <c r="A18" s="28" t="s">
        <v>11</v>
      </c>
      <c r="B18" s="80">
        <f>SUM(B17:B17)</f>
        <v>1134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view="pageBreakPreview" zoomScale="60" zoomScaleNormal="70" workbookViewId="0">
      <selection activeCell="B1" sqref="B1"/>
    </sheetView>
  </sheetViews>
  <sheetFormatPr defaultColWidth="9.140625" defaultRowHeight="12.75"/>
  <cols>
    <col min="1" max="1" width="3.7109375" style="1" customWidth="1"/>
    <col min="2" max="2" width="28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v>45352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view="pageBreakPreview" zoomScale="80" zoomScaleNormal="80" zoomScaleSheetLayoutView="80" workbookViewId="0">
      <selection activeCell="F29" sqref="F2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42578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'01'!B1+1</f>
        <v>45353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4090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1850</v>
      </c>
      <c r="D6" s="2"/>
      <c r="E6" s="18">
        <v>3449</v>
      </c>
      <c r="F6" s="25" t="s">
        <v>34</v>
      </c>
      <c r="G6" s="46" t="s">
        <v>6</v>
      </c>
      <c r="H6" s="8">
        <v>2100</v>
      </c>
      <c r="I6" s="8">
        <v>700</v>
      </c>
      <c r="J6" s="2"/>
      <c r="K6" s="25"/>
      <c r="L6" s="9"/>
      <c r="M6" s="16"/>
      <c r="R6" s="1">
        <f>IF(vend2[[#This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3450</v>
      </c>
      <c r="F7" s="25" t="s">
        <v>35</v>
      </c>
      <c r="G7" s="46" t="s">
        <v>9</v>
      </c>
      <c r="H7" s="8">
        <v>1400</v>
      </c>
      <c r="I7" s="8">
        <v>100</v>
      </c>
      <c r="J7" s="2"/>
      <c r="K7" s="25"/>
      <c r="L7" s="9"/>
      <c r="M7" s="16"/>
      <c r="R7" s="1">
        <f>IF(vend2[[#This Row],[Nº Venda]]&gt;1,1,0)</f>
        <v>1</v>
      </c>
    </row>
    <row r="8" spans="2:18" ht="15.75">
      <c r="B8" s="28" t="s">
        <v>21</v>
      </c>
      <c r="C8" s="29">
        <f>SUM(C6:C7)</f>
        <v>1850</v>
      </c>
      <c r="D8" s="2"/>
      <c r="E8" s="18">
        <v>3451</v>
      </c>
      <c r="F8" s="25" t="s">
        <v>35</v>
      </c>
      <c r="G8" s="46" t="s">
        <v>9</v>
      </c>
      <c r="H8" s="8">
        <v>590</v>
      </c>
      <c r="I8" s="8">
        <v>100</v>
      </c>
      <c r="J8" s="2"/>
      <c r="K8" s="25"/>
      <c r="L8" s="9"/>
      <c r="M8" s="16"/>
      <c r="R8" s="1">
        <f>IF(vend2[[#This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6</v>
      </c>
      <c r="C11" s="88">
        <f>(SUMIF($G$2:$G$31,B11,$I$2:$I$31))+(SUMIF($G$35:$G$41,B11,$H$35:$H$41))</f>
        <v>700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IF(vend2[[#This Row],[Nº Venda]]&gt;1,1,0)</f>
        <v>0</v>
      </c>
    </row>
    <row r="14" spans="2:18" ht="15.75">
      <c r="B14" s="30" t="s">
        <v>9</v>
      </c>
      <c r="C14" s="31">
        <f t="shared" si="0"/>
        <v>1150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81">
        <v>3433</v>
      </c>
      <c r="L15" s="54" t="s">
        <v>36</v>
      </c>
      <c r="M15" s="55" t="s">
        <v>37</v>
      </c>
      <c r="R15" s="1">
        <f>IF(vend2[[#This Row],[Nº Venda]]&gt;1,1,0)</f>
        <v>0</v>
      </c>
    </row>
    <row r="16" spans="2:18" ht="15.75">
      <c r="B16" s="28" t="s">
        <v>11</v>
      </c>
      <c r="C16" s="32">
        <f>SUM(C11:C15)</f>
        <v>1850</v>
      </c>
      <c r="D16" s="2"/>
      <c r="E16" s="18"/>
      <c r="F16" s="25"/>
      <c r="G16" s="26"/>
      <c r="H16" s="8"/>
      <c r="I16" s="8"/>
      <c r="J16" s="2"/>
      <c r="K16" s="82">
        <v>3428</v>
      </c>
      <c r="L16" s="54" t="s">
        <v>36</v>
      </c>
      <c r="M16" s="55" t="s">
        <v>37</v>
      </c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82">
        <v>3405</v>
      </c>
      <c r="L17" s="54" t="s">
        <v>36</v>
      </c>
      <c r="M17" s="55" t="s">
        <v>37</v>
      </c>
      <c r="R17" s="1">
        <f>IF(vend2[[#This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83">
        <v>3439</v>
      </c>
      <c r="L18" s="54" t="s">
        <v>36</v>
      </c>
      <c r="M18" s="55" t="s">
        <v>37</v>
      </c>
      <c r="R18" s="1">
        <f>IF(vend2[[#This Row],[Nº Venda]]&gt;1,1,0)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>
      <c r="B22" s="28" t="s">
        <v>26</v>
      </c>
      <c r="C22" s="32">
        <f>C5</f>
        <v>4090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3433</v>
      </c>
      <c r="F26" s="25" t="s">
        <v>38</v>
      </c>
      <c r="G26" s="26" t="s">
        <v>9</v>
      </c>
      <c r="H26" s="8">
        <v>0</v>
      </c>
      <c r="I26" s="8">
        <v>950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E41" sqref="E4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'02'!B1+1</f>
        <v>45354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'03'!B1+1</f>
        <v>45355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117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84">
        <v>3441</v>
      </c>
      <c r="L15" s="85" t="s">
        <v>39</v>
      </c>
      <c r="M15" s="86" t="s">
        <v>37</v>
      </c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117</v>
      </c>
      <c r="D16" s="2"/>
      <c r="E16" s="18"/>
      <c r="F16" s="25"/>
      <c r="G16" s="26"/>
      <c r="H16" s="8"/>
      <c r="I16" s="8"/>
      <c r="J16" s="2"/>
      <c r="K16" s="87">
        <v>3442</v>
      </c>
      <c r="L16" s="85" t="s">
        <v>39</v>
      </c>
      <c r="M16" s="86" t="s">
        <v>37</v>
      </c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84"/>
      <c r="L17" s="85"/>
      <c r="M17" s="86"/>
      <c r="R17" s="1">
        <f>IF(vend4[[#This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84"/>
      <c r="L18" s="85"/>
      <c r="M18" s="8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84"/>
      <c r="L19" s="85"/>
      <c r="M19" s="8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84"/>
      <c r="L20" s="85"/>
      <c r="M20" s="8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84"/>
      <c r="L21" s="85"/>
      <c r="M21" s="8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84"/>
      <c r="L22" s="85"/>
      <c r="M22" s="86"/>
    </row>
    <row r="23" spans="2:18" ht="15">
      <c r="B23" s="2"/>
      <c r="C23" s="2"/>
      <c r="D23" s="2"/>
      <c r="E23" s="33"/>
      <c r="H23" s="7"/>
      <c r="J23" s="2"/>
      <c r="K23" s="84"/>
      <c r="L23" s="85"/>
      <c r="M23" s="8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84"/>
      <c r="L24" s="85"/>
      <c r="M24" s="8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4"/>
      <c r="L25" s="85"/>
      <c r="M25" s="86"/>
    </row>
    <row r="26" spans="2:18" ht="15.75">
      <c r="B26" s="2"/>
      <c r="C26" s="2"/>
      <c r="D26" s="2"/>
      <c r="E26" s="18"/>
      <c r="F26" s="25"/>
      <c r="G26" s="46"/>
      <c r="H26" s="8"/>
      <c r="I26" s="8"/>
      <c r="J26" s="2"/>
      <c r="K26" s="84"/>
      <c r="L26" s="85"/>
      <c r="M26" s="86"/>
    </row>
    <row r="27" spans="2:18" ht="15.75">
      <c r="B27" s="2"/>
      <c r="C27" s="2"/>
      <c r="D27" s="2"/>
      <c r="E27" s="18"/>
      <c r="F27" s="25"/>
      <c r="G27" s="46"/>
      <c r="H27" s="8"/>
      <c r="I27" s="8"/>
      <c r="J27" s="2"/>
      <c r="K27" s="84"/>
      <c r="L27" s="85"/>
      <c r="M27" s="86"/>
    </row>
    <row r="28" spans="2:18" ht="15.75">
      <c r="B28" s="2"/>
      <c r="C28" s="2"/>
      <c r="D28" s="2"/>
      <c r="E28" s="18"/>
      <c r="F28" s="25"/>
      <c r="G28" s="46"/>
      <c r="H28" s="8"/>
      <c r="I28" s="8"/>
      <c r="J28" s="2"/>
      <c r="K28" s="84"/>
      <c r="L28" s="85"/>
      <c r="M28" s="8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84"/>
      <c r="L29" s="85"/>
      <c r="M29" s="8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84"/>
      <c r="L30" s="85"/>
      <c r="M30" s="8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84"/>
      <c r="L31" s="85"/>
      <c r="M31" s="8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3331</v>
      </c>
      <c r="F35" s="25" t="s">
        <v>40</v>
      </c>
      <c r="G35" s="26" t="s">
        <v>7</v>
      </c>
      <c r="H35" s="8">
        <v>117</v>
      </c>
      <c r="I35" s="8" t="s">
        <v>41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zoomScale="60" zoomScaleNormal="80" workbookViewId="0">
      <selection activeCell="K16" sqref="K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8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'04'!B1+1</f>
        <v>45356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4189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3180</v>
      </c>
      <c r="D6" s="2"/>
      <c r="E6" s="18">
        <v>3452</v>
      </c>
      <c r="F6" s="25" t="s">
        <v>42</v>
      </c>
      <c r="G6" s="26" t="s">
        <v>7</v>
      </c>
      <c r="H6" s="8">
        <v>1890</v>
      </c>
      <c r="I6" s="8">
        <v>756</v>
      </c>
      <c r="J6" s="2"/>
      <c r="K6" s="25"/>
      <c r="L6" s="9"/>
      <c r="M6" s="16"/>
      <c r="R6" s="1">
        <f>IF(vend5[[#This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3453</v>
      </c>
      <c r="F7" s="25" t="s">
        <v>43</v>
      </c>
      <c r="G7" s="46" t="s">
        <v>9</v>
      </c>
      <c r="H7" s="8">
        <v>2299</v>
      </c>
      <c r="I7" s="8">
        <v>2299</v>
      </c>
      <c r="J7" s="2"/>
      <c r="K7" s="25"/>
      <c r="L7" s="9"/>
      <c r="M7" s="16"/>
      <c r="R7" s="1">
        <f>IF(vend5[[#This Row],[Nº Venda]]&gt;1,1,0)</f>
        <v>1</v>
      </c>
    </row>
    <row r="8" spans="2:18" ht="15.75">
      <c r="B8" s="28" t="s">
        <v>21</v>
      </c>
      <c r="C8" s="29">
        <f>SUM(C6:C7)</f>
        <v>3180</v>
      </c>
      <c r="D8" s="2"/>
      <c r="E8" s="18">
        <v>3454</v>
      </c>
      <c r="F8" s="25" t="s">
        <v>44</v>
      </c>
      <c r="G8" s="46" t="s">
        <v>45</v>
      </c>
      <c r="H8" s="8">
        <v>0</v>
      </c>
      <c r="I8" s="8">
        <v>0</v>
      </c>
      <c r="J8" s="2"/>
      <c r="K8" s="25"/>
      <c r="L8" s="9"/>
      <c r="M8" s="16"/>
      <c r="R8" s="1">
        <f>IF(vend5[[#This Row],[Nº Venda]]&gt;1,1,0)</f>
        <v>1</v>
      </c>
    </row>
    <row r="9" spans="2:18" ht="15.7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881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2299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128.33000000000001</v>
      </c>
      <c r="D15" s="2"/>
      <c r="E15" s="18"/>
      <c r="F15" s="25"/>
      <c r="G15" s="26"/>
      <c r="H15" s="8"/>
      <c r="I15" s="8"/>
      <c r="J15" s="2"/>
      <c r="K15" s="25">
        <v>3444</v>
      </c>
      <c r="L15" s="9" t="s">
        <v>39</v>
      </c>
      <c r="M15" s="16" t="s">
        <v>37</v>
      </c>
      <c r="N15" s="16"/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3308.33</v>
      </c>
      <c r="D16" s="2"/>
      <c r="E16" s="18"/>
      <c r="F16" s="25"/>
      <c r="G16" s="26"/>
      <c r="H16" s="8"/>
      <c r="I16" s="8"/>
      <c r="J16" s="2"/>
      <c r="K16" s="25">
        <v>3438</v>
      </c>
      <c r="L16" s="9" t="s">
        <v>39</v>
      </c>
      <c r="M16" s="16" t="s">
        <v>37</v>
      </c>
      <c r="N16" s="16"/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3445</v>
      </c>
      <c r="L17" s="9" t="s">
        <v>39</v>
      </c>
      <c r="M17" s="16" t="s">
        <v>37</v>
      </c>
      <c r="R17" s="1">
        <f>IF(vend5[[#This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4189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3444</v>
      </c>
      <c r="F26" s="25" t="s">
        <v>46</v>
      </c>
      <c r="G26" s="46" t="s">
        <v>7</v>
      </c>
      <c r="H26" s="8">
        <v>0</v>
      </c>
      <c r="I26" s="8">
        <v>125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3265</v>
      </c>
      <c r="F35" s="25" t="s">
        <v>47</v>
      </c>
      <c r="G35" s="26" t="s">
        <v>10</v>
      </c>
      <c r="H35" s="8">
        <v>128.33000000000001</v>
      </c>
      <c r="I35" s="8" t="s">
        <v>41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N15:N16 M15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view="pageBreakPreview" topLeftCell="A2" zoomScale="60" zoomScaleNormal="80" workbookViewId="0">
      <selection activeCell="B1" sqref="B1"/>
    </sheetView>
  </sheetViews>
  <sheetFormatPr defaultColWidth="9.140625" defaultRowHeight="12.75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'05'!B1+1</f>
        <v>45357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>
      <c r="B10" s="92" t="s">
        <v>5</v>
      </c>
      <c r="C10" s="92"/>
      <c r="D10" s="2"/>
      <c r="E10" s="64"/>
      <c r="F10" s="64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view="pageBreakPreview" topLeftCell="A6" zoomScale="60" zoomScaleNormal="80" workbookViewId="0">
      <selection activeCell="B1" sqref="B1"/>
    </sheetView>
  </sheetViews>
  <sheetFormatPr defaultColWidth="9.140625" defaultRowHeight="12.75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'06'!B1+1</f>
        <v>45358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>
      <c r="B23" s="2"/>
      <c r="C23" s="2"/>
      <c r="D23" s="2"/>
      <c r="E23" s="33"/>
      <c r="H23" s="7"/>
      <c r="J23" s="2"/>
      <c r="K23" s="4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4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>
      <c r="B26" s="2"/>
      <c r="C26" s="2"/>
      <c r="D26" s="2"/>
      <c r="E26" s="76"/>
      <c r="F26" s="65"/>
      <c r="G26" s="77"/>
      <c r="H26" s="78"/>
      <c r="I26" s="78"/>
      <c r="J26" s="2"/>
      <c r="K26" s="4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M16" sqref="M16"/>
    </sheetView>
  </sheetViews>
  <sheetFormatPr defaultColWidth="9.140625" defaultRowHeight="12.75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'07'!B1+1</f>
        <v>45359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1080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1130</v>
      </c>
      <c r="D6" s="2"/>
      <c r="E6" s="56">
        <v>3455</v>
      </c>
      <c r="F6" s="8" t="s">
        <v>48</v>
      </c>
      <c r="G6" s="8" t="s">
        <v>9</v>
      </c>
      <c r="H6" s="8">
        <v>840</v>
      </c>
      <c r="I6" s="8">
        <v>840</v>
      </c>
      <c r="J6" s="2"/>
      <c r="K6" s="25"/>
      <c r="L6" s="9"/>
      <c r="M6" s="16"/>
      <c r="R6" s="1">
        <f>IF(vend8[[#This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56">
        <v>3456</v>
      </c>
      <c r="F7" s="8" t="s">
        <v>48</v>
      </c>
      <c r="G7" s="8" t="s">
        <v>9</v>
      </c>
      <c r="H7" s="8">
        <v>240</v>
      </c>
      <c r="I7" s="8">
        <v>240</v>
      </c>
      <c r="J7" s="2"/>
      <c r="K7" s="25"/>
      <c r="L7" s="9"/>
      <c r="M7" s="16"/>
      <c r="R7" s="1">
        <f>IF(vend8[[#This Row],[Nº Venda]]&gt;1,1,0)</f>
        <v>1</v>
      </c>
    </row>
    <row r="8" spans="2:18" ht="15.75">
      <c r="B8" s="28" t="s">
        <v>21</v>
      </c>
      <c r="C8" s="29">
        <f>SUM(C6:C7)</f>
        <v>1130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 t="s">
        <v>49</v>
      </c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1080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3443</v>
      </c>
      <c r="L15" s="9" t="s">
        <v>39</v>
      </c>
      <c r="M15" s="16" t="s">
        <v>37</v>
      </c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1380</v>
      </c>
      <c r="D16" s="2"/>
      <c r="E16" s="18"/>
      <c r="F16" s="25"/>
      <c r="G16" s="26"/>
      <c r="H16" s="8"/>
      <c r="I16" s="8"/>
      <c r="J16" s="2"/>
      <c r="K16" s="25">
        <v>3420</v>
      </c>
      <c r="L16" s="9" t="s">
        <v>39</v>
      </c>
      <c r="M16" s="16" t="s">
        <v>37</v>
      </c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3294</v>
      </c>
      <c r="L17" s="9" t="s">
        <v>39</v>
      </c>
      <c r="M17" s="16" t="s">
        <v>37</v>
      </c>
      <c r="R17" s="1">
        <f>IF(vend8[[#This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1080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76">
        <v>3447</v>
      </c>
      <c r="F26" s="65" t="s">
        <v>50</v>
      </c>
      <c r="G26" s="77" t="s">
        <v>10</v>
      </c>
      <c r="H26" s="78">
        <v>0</v>
      </c>
      <c r="I26" s="78">
        <v>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2777</v>
      </c>
      <c r="F35" s="25" t="s">
        <v>51</v>
      </c>
      <c r="G35" s="26" t="s">
        <v>10</v>
      </c>
      <c r="H35" s="8">
        <v>250</v>
      </c>
      <c r="I35" s="8" t="s">
        <v>52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Z41"/>
  <sheetViews>
    <sheetView showGridLines="0" view="pageBreakPreview" zoomScale="60" zoomScaleNormal="80" workbookViewId="0">
      <selection activeCell="AA29" sqref="AA29"/>
    </sheetView>
  </sheetViews>
  <sheetFormatPr defaultColWidth="9.140625" defaultRowHeight="12.75"/>
  <cols>
    <col min="1" max="1" width="3.7109375" style="1" customWidth="1"/>
    <col min="2" max="2" width="29.57031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34.42578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'08'!B1+1</f>
        <v>45360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1540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1840</v>
      </c>
      <c r="D6" s="2"/>
      <c r="E6" s="18">
        <v>3457</v>
      </c>
      <c r="F6" s="25" t="s">
        <v>153</v>
      </c>
      <c r="G6" s="46" t="s">
        <v>45</v>
      </c>
      <c r="H6" s="8">
        <v>0</v>
      </c>
      <c r="I6" s="8">
        <v>0</v>
      </c>
      <c r="J6" s="2"/>
      <c r="K6" s="25"/>
      <c r="L6" s="9"/>
      <c r="M6" s="16"/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3460</v>
      </c>
      <c r="F7" s="25"/>
      <c r="G7" s="46" t="s">
        <v>10</v>
      </c>
      <c r="H7" s="8">
        <v>1540</v>
      </c>
      <c r="I7" s="8">
        <v>50</v>
      </c>
      <c r="J7" s="2"/>
      <c r="K7" s="25"/>
      <c r="L7" s="9"/>
      <c r="M7" s="16"/>
      <c r="R7" s="1">
        <f>IF(vend9[[#This Row],[Nº Venda]]&gt;1,1,0)</f>
        <v>1</v>
      </c>
    </row>
    <row r="8" spans="2:18" ht="15.75">
      <c r="B8" s="28" t="s">
        <v>21</v>
      </c>
      <c r="C8" s="29">
        <f>SUM(C6:C7)</f>
        <v>1840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142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8</v>
      </c>
      <c r="C13" s="31">
        <f t="shared" si="0"/>
        <v>1790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3450</v>
      </c>
      <c r="L15" s="9" t="s">
        <v>61</v>
      </c>
      <c r="M15" s="16" t="s">
        <v>37</v>
      </c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1982</v>
      </c>
      <c r="D16" s="2"/>
      <c r="E16" s="18"/>
      <c r="F16" s="25"/>
      <c r="G16" s="26"/>
      <c r="H16" s="8"/>
      <c r="I16" s="8"/>
      <c r="J16" s="2"/>
      <c r="K16" s="25">
        <v>3451</v>
      </c>
      <c r="L16" s="9" t="s">
        <v>61</v>
      </c>
      <c r="M16" s="16" t="s">
        <v>37</v>
      </c>
      <c r="R16" s="1">
        <f>IF(vend9[[#This Row],[Nº Venda]]&gt;1,1,0)</f>
        <v>0</v>
      </c>
    </row>
    <row r="17" spans="2:26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26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26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26" ht="15.7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26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6" ht="15.75">
      <c r="B22" s="28" t="s">
        <v>26</v>
      </c>
      <c r="C22" s="32">
        <f>C5</f>
        <v>1540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6" ht="15">
      <c r="B23" s="2"/>
      <c r="C23" s="2"/>
      <c r="D23" s="2"/>
      <c r="E23" s="33"/>
      <c r="H23" s="7"/>
      <c r="J23" s="2"/>
      <c r="K23" s="25"/>
      <c r="L23" s="9"/>
      <c r="M23" s="16"/>
    </row>
    <row r="24" spans="2:26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26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6" ht="15.75">
      <c r="B26" s="2"/>
      <c r="C26" s="2"/>
      <c r="D26" s="2"/>
      <c r="E26" s="18">
        <v>3450</v>
      </c>
      <c r="F26" s="25" t="s">
        <v>35</v>
      </c>
      <c r="G26" s="46" t="s">
        <v>8</v>
      </c>
      <c r="H26" s="8">
        <v>0</v>
      </c>
      <c r="I26" s="8">
        <v>1300</v>
      </c>
      <c r="J26" s="2"/>
      <c r="K26" s="25"/>
      <c r="L26" s="9"/>
      <c r="M26" s="16"/>
      <c r="Z26" s="1" t="s">
        <v>53</v>
      </c>
    </row>
    <row r="27" spans="2:26" ht="15.75">
      <c r="B27" s="2"/>
      <c r="C27" s="2"/>
      <c r="D27" s="2"/>
      <c r="E27" s="18">
        <v>3451</v>
      </c>
      <c r="F27" s="25" t="s">
        <v>35</v>
      </c>
      <c r="G27" s="46" t="s">
        <v>8</v>
      </c>
      <c r="H27" s="8">
        <v>0</v>
      </c>
      <c r="I27" s="8">
        <v>490</v>
      </c>
      <c r="J27" s="2"/>
      <c r="K27" s="25"/>
      <c r="L27" s="9"/>
      <c r="M27" s="16"/>
    </row>
    <row r="28" spans="2:26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6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6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6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6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3076</v>
      </c>
      <c r="F35" s="25" t="s">
        <v>54</v>
      </c>
      <c r="G35" s="26" t="s">
        <v>7</v>
      </c>
      <c r="H35" s="8">
        <v>142</v>
      </c>
      <c r="I35" s="8" t="s">
        <v>104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4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 G26:G27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G35:G41 G28:G31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I41" sqref="E36:I4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'09'!B1+1</f>
        <v>45361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IF(vend10[[#This Row],[Nº Venda]]&gt;1,1,0)</f>
        <v>0</v>
      </c>
    </row>
    <row r="14" spans="2:18" ht="15.7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68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>
      <c r="B32" s="2"/>
      <c r="C32" s="2"/>
      <c r="E32" s="18"/>
      <c r="F32" s="39"/>
      <c r="G32" s="26"/>
      <c r="H32" s="8"/>
      <c r="I32" s="8"/>
    </row>
    <row r="33" spans="2:18" ht="15">
      <c r="B33" s="2"/>
      <c r="C33" s="2"/>
      <c r="E33" s="33"/>
      <c r="K33" s="94" t="s">
        <v>12</v>
      </c>
      <c r="L33" s="95"/>
      <c r="M33" s="96"/>
    </row>
    <row r="34" spans="2:18" ht="15">
      <c r="E34" s="93" t="s">
        <v>28</v>
      </c>
      <c r="F34" s="93"/>
      <c r="G34" s="93"/>
      <c r="H34" s="93"/>
      <c r="I34" s="93"/>
      <c r="K34" s="14" t="s">
        <v>23</v>
      </c>
      <c r="L34" s="6" t="s">
        <v>31</v>
      </c>
      <c r="M34" s="15" t="s">
        <v>32</v>
      </c>
    </row>
    <row r="35" spans="2:18" ht="1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25"/>
      <c r="G39" s="26"/>
      <c r="H39" s="8"/>
      <c r="I39" s="8"/>
      <c r="K39" s="25"/>
      <c r="L39" s="41"/>
      <c r="M39" s="16"/>
    </row>
    <row r="40" spans="2:18" ht="15.75">
      <c r="E40" s="18"/>
      <c r="F40" s="39"/>
      <c r="G40" s="26"/>
      <c r="H40" s="8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35"/>
      <c r="F41" s="36"/>
      <c r="G41" s="37"/>
      <c r="H41" s="17"/>
      <c r="I41" s="8"/>
      <c r="K41" s="44"/>
      <c r="L41" s="41"/>
      <c r="M41" s="40"/>
    </row>
    <row r="42" spans="2:18" ht="15.7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L20" sqref="L2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'10'!B1+1</f>
        <v>45362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>
      <c r="B15" s="30" t="s">
        <v>10</v>
      </c>
      <c r="C15" s="31">
        <f t="shared" si="0"/>
        <v>148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>
      <c r="B16" s="28" t="s">
        <v>11</v>
      </c>
      <c r="C16" s="32">
        <f>SUM(C11:C15)</f>
        <v>148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3447</v>
      </c>
      <c r="F26" s="25" t="s">
        <v>50</v>
      </c>
      <c r="G26" s="46" t="s">
        <v>10</v>
      </c>
      <c r="H26" s="8">
        <v>0</v>
      </c>
      <c r="I26" s="8">
        <v>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3362</v>
      </c>
      <c r="F35" s="25" t="s">
        <v>55</v>
      </c>
      <c r="G35" s="26" t="s">
        <v>10</v>
      </c>
      <c r="H35" s="8">
        <v>98</v>
      </c>
      <c r="I35" s="8" t="s">
        <v>56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view="pageBreakPreview" zoomScale="60" zoomScaleNormal="80" workbookViewId="0">
      <selection activeCell="E21" sqref="E21:I21"/>
    </sheetView>
  </sheetViews>
  <sheetFormatPr defaultColWidth="9.140625" defaultRowHeight="12.75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'11'!B1+1</f>
        <v>45363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1890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2300</v>
      </c>
      <c r="D6" s="2"/>
      <c r="E6" s="90">
        <v>3458</v>
      </c>
      <c r="F6" s="57" t="s">
        <v>57</v>
      </c>
      <c r="G6" s="57" t="s">
        <v>9</v>
      </c>
      <c r="H6" s="58">
        <v>1890</v>
      </c>
      <c r="I6" s="58">
        <v>1800</v>
      </c>
      <c r="J6" s="2"/>
      <c r="K6" s="25"/>
      <c r="L6" s="9"/>
      <c r="M6" s="16"/>
      <c r="R6" s="1">
        <f>IF(vend12[[#This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62">
        <v>3464</v>
      </c>
      <c r="F7" s="59"/>
      <c r="G7" s="59" t="s">
        <v>45</v>
      </c>
      <c r="H7" s="60">
        <v>0</v>
      </c>
      <c r="I7" s="60">
        <v>0</v>
      </c>
      <c r="J7" s="2"/>
      <c r="K7" s="25"/>
      <c r="L7" s="9"/>
      <c r="M7" s="16"/>
      <c r="R7" s="1">
        <f>IF(vend12[[#This Row],[Nº Venda]]&gt;1,1,0)</f>
        <v>1</v>
      </c>
    </row>
    <row r="8" spans="2:18" ht="15.75">
      <c r="B8" s="28" t="s">
        <v>21</v>
      </c>
      <c r="C8" s="29">
        <f>SUM(C6:C7)</f>
        <v>2300</v>
      </c>
      <c r="D8" s="2"/>
      <c r="E8" s="62"/>
      <c r="F8" s="59"/>
      <c r="G8" s="59"/>
      <c r="H8" s="60"/>
      <c r="I8" s="60"/>
      <c r="J8" s="2"/>
      <c r="K8" s="25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 t="s">
        <v>49</v>
      </c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1800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2300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3449</v>
      </c>
      <c r="F26" s="61" t="s">
        <v>163</v>
      </c>
      <c r="G26" s="46" t="s">
        <v>6</v>
      </c>
      <c r="H26" s="8">
        <v>0</v>
      </c>
      <c r="I26" s="8">
        <v>500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'12'!B1+1</f>
        <v>45364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3500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3500</v>
      </c>
      <c r="D6" s="2"/>
      <c r="E6" s="18">
        <v>3459</v>
      </c>
      <c r="F6" s="25" t="s">
        <v>58</v>
      </c>
      <c r="G6" s="26" t="s">
        <v>9</v>
      </c>
      <c r="H6" s="8">
        <v>2900</v>
      </c>
      <c r="I6" s="8">
        <v>2900</v>
      </c>
      <c r="J6" s="2"/>
      <c r="K6" s="25"/>
      <c r="L6" s="9"/>
      <c r="M6" s="16"/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3460</v>
      </c>
      <c r="F7" s="25" t="s">
        <v>58</v>
      </c>
      <c r="G7" s="26" t="s">
        <v>9</v>
      </c>
      <c r="H7" s="8">
        <v>300</v>
      </c>
      <c r="I7" s="8">
        <v>300</v>
      </c>
      <c r="J7" s="2"/>
      <c r="K7" s="25"/>
      <c r="L7" s="9"/>
      <c r="M7" s="16"/>
      <c r="R7" s="1">
        <f>IF(vend13[[#This Row],[Nº Venda]]&gt;1,1,0)</f>
        <v>1</v>
      </c>
    </row>
    <row r="8" spans="2:18" ht="15.75">
      <c r="B8" s="28" t="s">
        <v>21</v>
      </c>
      <c r="C8" s="29">
        <f>SUM(C6:C7)</f>
        <v>3500</v>
      </c>
      <c r="D8" s="2"/>
      <c r="E8" s="18">
        <v>3461</v>
      </c>
      <c r="F8" s="25" t="s">
        <v>58</v>
      </c>
      <c r="G8" s="26" t="s">
        <v>9</v>
      </c>
      <c r="H8" s="8">
        <v>300</v>
      </c>
      <c r="I8" s="8">
        <v>300</v>
      </c>
      <c r="J8" s="2"/>
      <c r="K8" s="25"/>
      <c r="L8" s="9"/>
      <c r="M8" s="16"/>
      <c r="R8" s="1">
        <f>IF(vend13[[#This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7</v>
      </c>
      <c r="C12" s="31">
        <f>(SUMIF($G$2:$G$31,B12,$I$2:$I$31))+(SUMIF($G$35:$G$41,B12,$H$35:$H$41))</f>
        <v>0</v>
      </c>
      <c r="D12" s="2"/>
      <c r="E12" s="18" t="s">
        <v>160</v>
      </c>
      <c r="F12" s="25" t="s">
        <v>159</v>
      </c>
      <c r="G12" s="26"/>
      <c r="H12" s="8"/>
      <c r="I12" s="8"/>
      <c r="J12" s="2"/>
      <c r="R12" s="1">
        <f>IF(vend13[[#This Row],[Nº Venda]]&gt;1,1,0)</f>
        <v>1</v>
      </c>
    </row>
    <row r="13" spans="2:18" ht="15.7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IF(vend13[[#This Row],[Nº Venda]]&gt;1,1,0)</f>
        <v>0</v>
      </c>
    </row>
    <row r="14" spans="2:18" ht="15">
      <c r="B14" s="30" t="s">
        <v>9</v>
      </c>
      <c r="C14" s="31">
        <f>(SUMIF($G$2:$G$31,B14,$I$2:$I$31))+(SUMIF($G$35:$G$41,B14,$H$35:$H$41))</f>
        <v>3500</v>
      </c>
      <c r="D14" s="2"/>
      <c r="E14" s="91"/>
      <c r="F14" s="91"/>
      <c r="G14" s="91"/>
      <c r="H14" s="72"/>
      <c r="I14" s="72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">
      <c r="B15" s="30" t="s">
        <v>10</v>
      </c>
      <c r="C15" s="31">
        <f>(SUMIF($G$2:$G$31,B15,$I$2:$I$31))+(SUMIF($G$35:$G$41,B15,$H$35:$H$41))</f>
        <v>0</v>
      </c>
      <c r="D15" s="2"/>
      <c r="E15" s="91"/>
      <c r="F15" s="91"/>
      <c r="G15" s="91"/>
      <c r="H15" s="72"/>
      <c r="I15" s="72"/>
      <c r="J15" s="2"/>
      <c r="K15" s="25"/>
      <c r="L15" s="9"/>
      <c r="M15" s="16"/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3500</v>
      </c>
      <c r="D16" s="2"/>
      <c r="E16" s="91"/>
      <c r="F16" s="91"/>
      <c r="G16" s="91"/>
      <c r="H16" s="72"/>
      <c r="I16" s="72"/>
      <c r="J16" s="2"/>
      <c r="K16" s="25"/>
      <c r="L16" s="9"/>
      <c r="M16" s="16"/>
      <c r="R16" s="1">
        <f>IF(vend13[[#This Row],[Nº Venda]]&gt;1,1,0)</f>
        <v>0</v>
      </c>
    </row>
    <row r="17" spans="2:18" ht="15">
      <c r="B17" s="2"/>
      <c r="C17" s="2"/>
      <c r="D17" s="2"/>
      <c r="E17" s="91"/>
      <c r="F17" s="91"/>
      <c r="G17" s="91"/>
      <c r="H17" s="72"/>
      <c r="I17" s="72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3500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F13" sqref="F13"/>
    </sheetView>
  </sheetViews>
  <sheetFormatPr defaultColWidth="9.140625" defaultRowHeight="12.75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'13'!B1+1</f>
        <v>45365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SUMIF(I6:I27,"&gt;0",H6:H27)</f>
        <v>3500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SUM(I6:I37)</f>
        <v>3560</v>
      </c>
      <c r="D6" s="2"/>
      <c r="E6" s="18">
        <v>3462</v>
      </c>
      <c r="F6" s="25" t="s">
        <v>59</v>
      </c>
      <c r="G6" s="46" t="s">
        <v>9</v>
      </c>
      <c r="H6" s="8">
        <v>3000</v>
      </c>
      <c r="I6" s="8">
        <v>3000</v>
      </c>
      <c r="J6" s="2"/>
      <c r="K6" s="25" t="s">
        <v>60</v>
      </c>
      <c r="L6" s="9" t="s">
        <v>10</v>
      </c>
      <c r="M6" s="16">
        <v>26</v>
      </c>
      <c r="R6" s="1">
        <f>IF(vend14[[#This Row],[Nº Venda]]&gt;1,1,0)</f>
        <v>1</v>
      </c>
    </row>
    <row r="7" spans="2:18" ht="15.75">
      <c r="B7" s="23" t="s">
        <v>3</v>
      </c>
      <c r="C7" s="24">
        <f>SUM(M6:M11)</f>
        <v>26</v>
      </c>
      <c r="D7" s="2"/>
      <c r="E7" s="18">
        <v>3463</v>
      </c>
      <c r="F7" s="25" t="s">
        <v>59</v>
      </c>
      <c r="G7" s="46" t="s">
        <v>9</v>
      </c>
      <c r="H7" s="8">
        <v>500</v>
      </c>
      <c r="I7" s="8">
        <v>500</v>
      </c>
      <c r="J7" s="2"/>
      <c r="K7" s="25"/>
      <c r="L7" s="9"/>
      <c r="M7" s="16"/>
      <c r="R7" s="1">
        <f>IF(vend14[[#This Row],[Nº Venda]]&gt;1,1,0)</f>
        <v>1</v>
      </c>
    </row>
    <row r="8" spans="2:18" ht="15.75">
      <c r="B8" s="28" t="s">
        <v>21</v>
      </c>
      <c r="C8" s="29">
        <f>SUM(C6:C7)</f>
        <v>3586</v>
      </c>
      <c r="D8" s="2"/>
      <c r="E8" s="18">
        <v>3464</v>
      </c>
      <c r="F8" s="25" t="s">
        <v>167</v>
      </c>
      <c r="G8" s="26" t="s">
        <v>45</v>
      </c>
      <c r="H8" s="8">
        <v>0</v>
      </c>
      <c r="I8" s="8">
        <v>0</v>
      </c>
      <c r="J8" s="2"/>
      <c r="K8" s="25"/>
      <c r="L8" s="9"/>
      <c r="M8" s="16"/>
      <c r="R8" s="1">
        <f>IF(vend14[[#This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6</v>
      </c>
      <c r="C11" s="31">
        <f>(SUMIF($G$2:$G$27,B11,$I$2:$I$27))+(SUMIF($G$31:$G$37,B11,$H$31:$H$37))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>
      <c r="B12" s="30" t="s">
        <v>7</v>
      </c>
      <c r="C12" s="31">
        <f>(SUMIF($G$2:$G$27,B12,$I$2:$I$27))+(SUMIF($G$31:$G$37,B12,$H$31:$H$37))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>(SUMIF($G$2:$G$27,B13,$I$2:$I$27))+(SUMIF($G$31:$G$37,B13,$H$31:$H$37))</f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IF(vend14[[#This Row],[Nº Venda]]&gt;1,1,0)</f>
        <v>0</v>
      </c>
    </row>
    <row r="14" spans="2:18" ht="15.75">
      <c r="B14" s="30" t="s">
        <v>9</v>
      </c>
      <c r="C14" s="31">
        <f>(SUMIF($G$2:$G$27,B14,$I$2:$I$27))+(SUMIF($G$31:$G$37,B14,$H$31:$H$37))</f>
        <v>3500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>
      <c r="B15" s="30" t="s">
        <v>10</v>
      </c>
      <c r="C15" s="31">
        <f>(SUMIF($G$2:$G$27,B15,$I$2:$I$27))+(SUMIF($G$31:$G$37,B15,$H$31:$H$37))</f>
        <v>50</v>
      </c>
      <c r="D15" s="2"/>
      <c r="E15" s="18"/>
      <c r="F15" s="25"/>
      <c r="G15" s="26"/>
      <c r="H15" s="8"/>
      <c r="I15" s="8"/>
      <c r="J15" s="2"/>
      <c r="K15" s="25">
        <v>3440</v>
      </c>
      <c r="L15" s="9" t="s">
        <v>61</v>
      </c>
      <c r="M15" s="16" t="s">
        <v>37</v>
      </c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3560</v>
      </c>
      <c r="D16" s="2"/>
      <c r="E16" s="18"/>
      <c r="F16" s="26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">
      <c r="B19" s="30">
        <f>COUNT(entr_carn14[OS])</f>
        <v>0</v>
      </c>
      <c r="C19" s="31">
        <f>SUM(entr_carn14[Valor Total])</f>
        <v>0</v>
      </c>
      <c r="D19" s="2"/>
      <c r="E19" s="33"/>
      <c r="H19" s="7"/>
      <c r="J19" s="2"/>
      <c r="K19" s="25"/>
      <c r="L19" s="9"/>
      <c r="M19" s="16"/>
      <c r="R19" s="1" t="e">
        <f>IF(vend14[[#This Row],[Nº Venda]]&gt;1,1,0)</f>
        <v>#VALUE!</v>
      </c>
    </row>
    <row r="20" spans="2:18" ht="15.75">
      <c r="B20" s="28" t="s">
        <v>11</v>
      </c>
      <c r="C20" s="32">
        <f>SUM(C19:C19)</f>
        <v>0</v>
      </c>
      <c r="D20" s="2"/>
      <c r="E20" s="93" t="s">
        <v>27</v>
      </c>
      <c r="F20" s="93"/>
      <c r="G20" s="93"/>
      <c r="H20" s="93"/>
      <c r="I20" s="93"/>
      <c r="J20" s="2"/>
      <c r="K20" s="25"/>
      <c r="L20" s="9"/>
      <c r="M20" s="16"/>
      <c r="R20" s="1" t="e">
        <f>IF(vend14[[#This Row],[Nº Venda]]&gt;1,1,0)</f>
        <v>#VALUE!</v>
      </c>
    </row>
    <row r="21" spans="2:18" ht="15">
      <c r="B21" s="2"/>
      <c r="C21" s="2"/>
      <c r="D21" s="2"/>
      <c r="E21" s="10" t="s">
        <v>14</v>
      </c>
      <c r="F21" s="10" t="s">
        <v>15</v>
      </c>
      <c r="G21" s="11" t="s">
        <v>16</v>
      </c>
      <c r="H21" s="12" t="s">
        <v>17</v>
      </c>
      <c r="I21" s="13" t="s">
        <v>2</v>
      </c>
      <c r="J21" s="2"/>
      <c r="K21" s="25"/>
      <c r="L21" s="9"/>
      <c r="M21" s="16"/>
    </row>
    <row r="22" spans="2:18" ht="15.75">
      <c r="B22" s="28" t="s">
        <v>26</v>
      </c>
      <c r="C22" s="32">
        <f>C5</f>
        <v>3500</v>
      </c>
      <c r="D22" s="2"/>
      <c r="E22" s="18">
        <v>3440</v>
      </c>
      <c r="F22" s="25" t="s">
        <v>62</v>
      </c>
      <c r="G22" s="26" t="s">
        <v>6</v>
      </c>
      <c r="H22" s="8">
        <v>0</v>
      </c>
      <c r="I22" s="8">
        <v>10</v>
      </c>
      <c r="J22" s="2"/>
      <c r="K22" s="25"/>
      <c r="L22" s="9"/>
      <c r="M22" s="16"/>
    </row>
    <row r="23" spans="2:18" ht="15.75">
      <c r="B23" s="2"/>
      <c r="C23" s="2"/>
      <c r="D23" s="2"/>
      <c r="E23" s="18">
        <v>3447</v>
      </c>
      <c r="F23" s="25" t="s">
        <v>50</v>
      </c>
      <c r="G23" s="26" t="s">
        <v>10</v>
      </c>
      <c r="H23" s="8">
        <v>0</v>
      </c>
      <c r="I23" s="8">
        <v>50</v>
      </c>
      <c r="J23" s="2"/>
      <c r="K23" s="25"/>
      <c r="L23" s="9"/>
      <c r="M23" s="16"/>
    </row>
    <row r="24" spans="2:18" ht="15.75">
      <c r="B24" s="2"/>
      <c r="C24" s="2"/>
      <c r="D24" s="2"/>
      <c r="E24" s="18"/>
      <c r="F24" s="25"/>
      <c r="G24" s="26"/>
      <c r="H24" s="8"/>
      <c r="I24" s="8"/>
      <c r="J24" s="2"/>
      <c r="K24" s="25"/>
      <c r="L24" s="9"/>
      <c r="M24" s="16"/>
    </row>
    <row r="25" spans="2:18" ht="15.75">
      <c r="B25" s="2"/>
      <c r="C25" s="2"/>
      <c r="D25" s="2"/>
      <c r="E25" s="18"/>
      <c r="F25" s="25"/>
      <c r="G25" s="26"/>
      <c r="H25" s="8"/>
      <c r="I25" s="8"/>
      <c r="J25" s="2"/>
      <c r="K25" s="25"/>
      <c r="L25" s="9"/>
      <c r="M25" s="16"/>
    </row>
    <row r="26" spans="2:18" ht="15.7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35"/>
      <c r="F27" s="36"/>
      <c r="G27" s="37"/>
      <c r="H27" s="17"/>
      <c r="I27" s="17"/>
      <c r="J27" s="2"/>
      <c r="K27" s="25"/>
      <c r="L27" s="9"/>
      <c r="M27" s="16"/>
    </row>
    <row r="28" spans="2:18" ht="15">
      <c r="B28" s="2"/>
      <c r="C28" s="2"/>
      <c r="D28" s="2"/>
      <c r="E28" s="33"/>
      <c r="J28" s="2"/>
      <c r="K28" s="25"/>
      <c r="L28" s="9"/>
      <c r="M28" s="16"/>
    </row>
    <row r="29" spans="2:18" ht="15">
      <c r="B29" s="2"/>
      <c r="C29" s="2"/>
      <c r="D29" s="2"/>
      <c r="E29" s="93" t="s">
        <v>28</v>
      </c>
      <c r="F29" s="93"/>
      <c r="G29" s="93"/>
      <c r="H29" s="93"/>
      <c r="I29" s="93"/>
      <c r="J29" s="2"/>
      <c r="K29" s="25"/>
      <c r="L29" s="9"/>
      <c r="M29" s="16"/>
    </row>
    <row r="30" spans="2:18" ht="15">
      <c r="B30" s="2"/>
      <c r="C30" s="2"/>
      <c r="D30" s="2"/>
      <c r="E30" s="10" t="s">
        <v>23</v>
      </c>
      <c r="F30" s="10" t="s">
        <v>15</v>
      </c>
      <c r="G30" s="11" t="s">
        <v>16</v>
      </c>
      <c r="H30" s="12" t="s">
        <v>29</v>
      </c>
      <c r="I30" s="13" t="s">
        <v>30</v>
      </c>
      <c r="J30" s="2"/>
      <c r="K30" s="25"/>
      <c r="L30" s="9"/>
      <c r="M30" s="16"/>
    </row>
    <row r="31" spans="2:18" ht="15.75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75">
      <c r="B32" s="2"/>
      <c r="C32" s="2"/>
      <c r="E32" s="18"/>
      <c r="F32" s="25"/>
      <c r="G32" s="26"/>
      <c r="H32" s="8"/>
      <c r="I32" s="8"/>
    </row>
    <row r="33" spans="2:18" ht="15.75">
      <c r="B33" s="2"/>
      <c r="C33" s="2"/>
      <c r="E33" s="18"/>
      <c r="F33" s="25"/>
      <c r="G33" s="26"/>
      <c r="H33" s="8"/>
      <c r="I33" s="8"/>
      <c r="K33" s="94" t="s">
        <v>12</v>
      </c>
      <c r="L33" s="95"/>
      <c r="M33" s="96"/>
    </row>
    <row r="34" spans="2:18" ht="15.75">
      <c r="E34" s="18"/>
      <c r="F34" s="25"/>
      <c r="G34" s="26"/>
      <c r="H34" s="8"/>
      <c r="I34" s="8"/>
      <c r="K34" s="14" t="s">
        <v>23</v>
      </c>
      <c r="L34" s="6" t="s">
        <v>31</v>
      </c>
      <c r="M34" s="15" t="s">
        <v>32</v>
      </c>
    </row>
    <row r="35" spans="2:18" ht="15.75">
      <c r="E35" s="18"/>
      <c r="F35" s="39"/>
      <c r="G35" s="26"/>
      <c r="H35" s="8"/>
      <c r="I35" s="8"/>
      <c r="K35" s="25"/>
      <c r="L35" s="41"/>
      <c r="M35" s="16"/>
    </row>
    <row r="36" spans="2:18" ht="15.75">
      <c r="E36" s="35"/>
      <c r="F36" s="36"/>
      <c r="G36" s="37"/>
      <c r="H36" s="17"/>
      <c r="I36" s="8"/>
      <c r="K36" s="25"/>
      <c r="L36" s="41"/>
      <c r="M36" s="16"/>
    </row>
    <row r="37" spans="2:18" ht="15.75">
      <c r="E37" s="43"/>
      <c r="F37" s="39"/>
      <c r="G37" s="26"/>
      <c r="H37" s="8"/>
      <c r="I37" s="8"/>
      <c r="K37" s="25"/>
      <c r="L37" s="41"/>
      <c r="M37" s="16"/>
    </row>
    <row r="38" spans="2:18" ht="15">
      <c r="K38" s="25"/>
      <c r="L38" s="41"/>
      <c r="M38" s="16"/>
    </row>
    <row r="39" spans="2:18" ht="15">
      <c r="K39" s="25"/>
      <c r="L39" s="41"/>
      <c r="M39" s="16"/>
    </row>
    <row r="40" spans="2:18" ht="15">
      <c r="K40" s="36"/>
      <c r="L40" s="42"/>
      <c r="M40" s="40"/>
      <c r="Q40" s="1" t="s">
        <v>33</v>
      </c>
      <c r="R40" s="1" t="e">
        <f>SUM(R6:R21)</f>
        <v>#VALUE!</v>
      </c>
    </row>
    <row r="41" spans="2:18" ht="15">
      <c r="K41" s="44"/>
      <c r="L41" s="41"/>
      <c r="M41" s="40"/>
    </row>
  </sheetData>
  <mergeCells count="9">
    <mergeCell ref="E20:I20"/>
    <mergeCell ref="E29:I29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BE837E2-14B1-4046-BA1C-EBF965C29AA9}">
          <x14:formula1>
            <xm:f>base!$A$2:$A$6</xm:f>
          </x14:formula1>
          <xm:sqref>G22:G27 G31:G37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I31:I37</xm:sqref>
        </x14:dataValidation>
        <x14:dataValidation type="list" allowBlank="1" showInputMessage="1" showErrorMessage="1" xr:uid="{6A6D97E3-5A16-4AA2-81E6-E08B3CD71B30}">
          <x14:formula1>
            <xm:f>base!$A$2:$A$9</xm:f>
          </x14:formula1>
          <xm:sqref>G6:G18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'14'!B1+1</f>
        <v>45366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7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 t="s">
        <v>152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4863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4863</v>
      </c>
      <c r="D6" s="2"/>
      <c r="E6" s="18">
        <v>3465</v>
      </c>
      <c r="F6" s="25" t="s">
        <v>150</v>
      </c>
      <c r="G6" s="46" t="s">
        <v>9</v>
      </c>
      <c r="H6" s="8">
        <v>3973</v>
      </c>
      <c r="I6" s="8">
        <v>3973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3466</v>
      </c>
      <c r="F7" s="25" t="s">
        <v>151</v>
      </c>
      <c r="G7" s="46" t="s">
        <v>9</v>
      </c>
      <c r="H7" s="8">
        <v>890</v>
      </c>
      <c r="I7" s="8">
        <v>890</v>
      </c>
      <c r="J7" s="2"/>
      <c r="K7" s="25"/>
      <c r="L7" s="9"/>
      <c r="M7" s="16"/>
      <c r="R7" s="1">
        <f>IF(vend16[[#This Row],[Nº Venda]]&gt;1,1,0)</f>
        <v>1</v>
      </c>
    </row>
    <row r="8" spans="2:18" ht="15.75">
      <c r="B8" s="28" t="s">
        <v>21</v>
      </c>
      <c r="C8" s="29">
        <f>SUM(C6:C7)</f>
        <v>4863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IF(vend16[[#This Row],[Nº Venda]]&gt;1,1,0)</f>
        <v>0</v>
      </c>
    </row>
    <row r="14" spans="2:18" ht="15.75">
      <c r="B14" s="30" t="s">
        <v>9</v>
      </c>
      <c r="C14" s="31">
        <f t="shared" si="0"/>
        <v>4863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3457</v>
      </c>
      <c r="L15" s="9" t="s">
        <v>61</v>
      </c>
      <c r="M15" s="16" t="s">
        <v>37</v>
      </c>
      <c r="R15" s="1">
        <f>IF(vend16[[#This Row],[Nº Venda]]&gt;1,1,0)</f>
        <v>0</v>
      </c>
    </row>
    <row r="16" spans="2:18" ht="15.75">
      <c r="B16" s="28" t="s">
        <v>11</v>
      </c>
      <c r="C16" s="32">
        <f>SUM(C11:C15)</f>
        <v>4863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4863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E35" sqref="E35:I3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 t="e">
        <f>'16'!B1+1</f>
        <v>#VALUE!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2" zoomScale="80" zoomScaleNormal="80" workbookViewId="0">
      <selection activeCell="K15" sqref="K15"/>
    </sheetView>
  </sheetViews>
  <sheetFormatPr defaultColWidth="9.140625" defaultRowHeight="12.75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5">
        <v>45369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200</v>
      </c>
      <c r="D6" s="2"/>
      <c r="E6" s="18">
        <v>3467</v>
      </c>
      <c r="F6" s="25" t="s">
        <v>149</v>
      </c>
      <c r="G6" s="26" t="s">
        <v>10</v>
      </c>
      <c r="H6" s="8">
        <v>390</v>
      </c>
      <c r="I6" s="8">
        <v>200</v>
      </c>
      <c r="J6" s="2"/>
      <c r="K6" s="25"/>
      <c r="L6" s="71"/>
      <c r="M6" s="16"/>
      <c r="R6" s="1">
        <f>IF(vend18[[#This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3454</v>
      </c>
      <c r="L15" s="9" t="s">
        <v>61</v>
      </c>
      <c r="M15" s="16" t="s">
        <v>37</v>
      </c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69"/>
      <c r="F23" s="69"/>
      <c r="G23" s="69"/>
      <c r="H23" s="70"/>
      <c r="I23" s="70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topLeftCell="A9" zoomScale="80" zoomScaleNormal="80" workbookViewId="0">
      <selection activeCell="G14" sqref="G14"/>
    </sheetView>
  </sheetViews>
  <sheetFormatPr defaultColWidth="9.140625" defaultRowHeight="12.75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'18'!B1+1</f>
        <v>45370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250</v>
      </c>
      <c r="D6" s="2"/>
      <c r="E6" s="18">
        <v>3468</v>
      </c>
      <c r="F6" s="25" t="s">
        <v>154</v>
      </c>
      <c r="G6" s="26" t="s">
        <v>9</v>
      </c>
      <c r="H6" s="8">
        <v>250</v>
      </c>
      <c r="I6" s="8">
        <v>250</v>
      </c>
      <c r="J6" s="2"/>
      <c r="K6" s="25"/>
      <c r="L6" s="9"/>
      <c r="M6" s="16"/>
      <c r="R6" s="1">
        <f>IF(vend19[[#This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72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>
      <c r="B8" s="28" t="s">
        <v>21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3468</v>
      </c>
      <c r="L15" s="9" t="s">
        <v>61</v>
      </c>
      <c r="M15" s="16" t="s">
        <v>37</v>
      </c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view="pageBreakPreview" zoomScale="60" zoomScaleNormal="80" workbookViewId="0">
      <selection activeCell="F7" sqref="F7"/>
    </sheetView>
  </sheetViews>
  <sheetFormatPr defaultColWidth="9.140625" defaultRowHeight="12.75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8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5">
        <f>'19'!B1+1</f>
        <v>45371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2580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1149</v>
      </c>
      <c r="D6" s="2"/>
      <c r="E6" s="18">
        <v>3469</v>
      </c>
      <c r="F6" s="25" t="s">
        <v>155</v>
      </c>
      <c r="G6" s="26" t="s">
        <v>9</v>
      </c>
      <c r="H6" s="8">
        <v>990</v>
      </c>
      <c r="I6" s="8">
        <v>990</v>
      </c>
      <c r="J6" s="2"/>
      <c r="K6" s="25"/>
      <c r="L6" s="9"/>
      <c r="M6" s="16"/>
      <c r="R6" s="1">
        <f>IF(vend20[[#This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3470</v>
      </c>
      <c r="F7" s="25" t="s">
        <v>156</v>
      </c>
      <c r="G7" s="26" t="s">
        <v>10</v>
      </c>
      <c r="H7" s="8">
        <v>1590</v>
      </c>
      <c r="I7" s="8">
        <v>159</v>
      </c>
      <c r="J7" s="2"/>
      <c r="K7" s="25"/>
      <c r="L7" s="9"/>
      <c r="M7" s="16"/>
      <c r="R7" s="1">
        <f>IF(vend20[[#This Row],[Nº Venda]]&gt;1,1,0)</f>
        <v>1</v>
      </c>
    </row>
    <row r="8" spans="2:18" ht="15.75">
      <c r="B8" s="28" t="s">
        <v>21</v>
      </c>
      <c r="C8" s="29">
        <f>SUM(C6:C7)</f>
        <v>1149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990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159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1149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2580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73"/>
    </row>
    <row r="36" spans="2:18" ht="15.75">
      <c r="E36" s="18"/>
      <c r="F36" s="25"/>
      <c r="G36" s="26"/>
      <c r="H36" s="8"/>
      <c r="I36" s="8"/>
      <c r="K36" s="66"/>
      <c r="L36" s="74"/>
      <c r="M36" s="73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7" zoomScale="80" zoomScaleNormal="80" workbookViewId="0">
      <selection activeCell="F45" sqref="F45"/>
    </sheetView>
  </sheetViews>
  <sheetFormatPr defaultColWidth="9.140625" defaultRowHeight="12.75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8.42578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'20'!B1+1</f>
        <v>45372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90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>
      <c r="B8" s="28" t="s">
        <v>21</v>
      </c>
      <c r="C8" s="29">
        <f>SUM(C6:C7)</f>
        <v>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90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3458</v>
      </c>
      <c r="L15" s="9" t="s">
        <v>61</v>
      </c>
      <c r="M15" s="16" t="s">
        <v>37</v>
      </c>
      <c r="R15" s="1">
        <f>IF(vend21[[#This Row],[Nº Venda]]&gt;1,1,0)</f>
        <v>0</v>
      </c>
    </row>
    <row r="16" spans="2:18" ht="15.75">
      <c r="B16" s="28" t="s">
        <v>11</v>
      </c>
      <c r="C16" s="32">
        <f>SUM(C11:C15)</f>
        <v>190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3458</v>
      </c>
      <c r="F26" s="25" t="s">
        <v>161</v>
      </c>
      <c r="G26" s="26" t="s">
        <v>7</v>
      </c>
      <c r="H26" s="8">
        <v>0</v>
      </c>
      <c r="I26" s="8">
        <v>90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3075</v>
      </c>
      <c r="F35" s="25" t="s">
        <v>162</v>
      </c>
      <c r="G35" s="26" t="s">
        <v>10</v>
      </c>
      <c r="H35" s="8">
        <v>100</v>
      </c>
      <c r="I35" s="8" t="s">
        <v>91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7" zoomScale="80" zoomScaleNormal="80" workbookViewId="0">
      <selection activeCell="K15" sqref="K15"/>
    </sheetView>
  </sheetViews>
  <sheetFormatPr defaultColWidth="9.140625" defaultRowHeight="12.75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'21'!B1+1</f>
        <v>45373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3452</v>
      </c>
      <c r="L15" s="9" t="s">
        <v>61</v>
      </c>
      <c r="M15" s="16" t="s">
        <v>157</v>
      </c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3460</v>
      </c>
      <c r="L16" s="9" t="s">
        <v>61</v>
      </c>
      <c r="M16" s="16" t="s">
        <v>37</v>
      </c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3461</v>
      </c>
      <c r="L17" s="9" t="s">
        <v>61</v>
      </c>
      <c r="M17" s="16" t="s">
        <v>37</v>
      </c>
      <c r="R17" s="1">
        <f>IF(vend22[[#This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1</v>
      </c>
      <c r="C19" s="31">
        <f>SUM(entr_carn22[Valor Total])</f>
        <v>1134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1134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3452</v>
      </c>
      <c r="L35" s="41">
        <v>6</v>
      </c>
      <c r="M35" s="16">
        <v>1134</v>
      </c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'22'!B1+1</f>
        <v>45374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780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780</v>
      </c>
      <c r="D6" s="2"/>
      <c r="E6" s="18">
        <v>3471</v>
      </c>
      <c r="F6" s="25" t="s">
        <v>158</v>
      </c>
      <c r="G6" s="26" t="s">
        <v>9</v>
      </c>
      <c r="H6" s="8">
        <v>390</v>
      </c>
      <c r="I6" s="8">
        <v>390</v>
      </c>
      <c r="J6" s="2"/>
      <c r="K6" s="25"/>
      <c r="L6" s="9"/>
      <c r="M6" s="16"/>
      <c r="R6" s="1">
        <f>IF(vend23[[#This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3472</v>
      </c>
      <c r="F7" s="25" t="s">
        <v>158</v>
      </c>
      <c r="G7" s="26" t="s">
        <v>9</v>
      </c>
      <c r="H7" s="8">
        <v>390</v>
      </c>
      <c r="I7" s="8">
        <v>390</v>
      </c>
      <c r="J7" s="2"/>
      <c r="K7" s="25"/>
      <c r="L7" s="9"/>
      <c r="M7" s="16"/>
      <c r="R7" s="1">
        <f>IF(vend23[[#This Row],[Nº Venda]]&gt;1,1,0)</f>
        <v>1</v>
      </c>
    </row>
    <row r="8" spans="2:18" ht="15.75">
      <c r="B8" s="28" t="s">
        <v>21</v>
      </c>
      <c r="C8" s="29">
        <f>SUM(C6:C7)</f>
        <v>780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780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780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780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K15" sqref="K15:M1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'23'!B1+1</f>
        <v>45375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view="pageBreakPreview" zoomScale="60" zoomScaleNormal="80" workbookViewId="0">
      <selection activeCell="E26" sqref="E26"/>
    </sheetView>
  </sheetViews>
  <sheetFormatPr defaultColWidth="9.140625" defaultRowHeight="12.75"/>
  <cols>
    <col min="1" max="1" width="3.7109375" style="1" customWidth="1"/>
    <col min="2" max="2" width="28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40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'24'!B1+1</f>
        <v>45376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2200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1649</v>
      </c>
      <c r="D6" s="2"/>
      <c r="E6" s="18">
        <v>3473</v>
      </c>
      <c r="F6" s="25" t="s">
        <v>166</v>
      </c>
      <c r="G6" s="26" t="s">
        <v>7</v>
      </c>
      <c r="H6" s="8">
        <v>2100</v>
      </c>
      <c r="I6" s="8">
        <v>1000</v>
      </c>
      <c r="J6" s="2"/>
      <c r="K6" s="25"/>
      <c r="L6" s="9"/>
      <c r="M6" s="16"/>
      <c r="R6" s="1">
        <f>IF(vend25[[#This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3474</v>
      </c>
      <c r="F7" s="25" t="s">
        <v>165</v>
      </c>
      <c r="G7" s="26" t="s">
        <v>6</v>
      </c>
      <c r="H7" s="8">
        <v>100</v>
      </c>
      <c r="I7" s="8">
        <v>100</v>
      </c>
      <c r="J7" s="2"/>
      <c r="K7" s="25"/>
      <c r="L7" s="9"/>
      <c r="M7" s="16"/>
      <c r="R7" s="1">
        <f>IF(vend25[[#This Row],[Nº Venda]]&gt;1,1,0)</f>
        <v>1</v>
      </c>
    </row>
    <row r="8" spans="2:18" ht="15.75">
      <c r="B8" s="28" t="s">
        <v>21</v>
      </c>
      <c r="C8" s="29">
        <f>SUM(C6:C7)</f>
        <v>1649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6</v>
      </c>
      <c r="C11" s="31">
        <f ca="1">(SUMIF($G$2:$G$31,B11,$I$2:$I$31))+(SUMIF($G$35:$G$41,B11,$H$36:$H$41))</f>
        <v>600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>
      <c r="B12" s="30" t="s">
        <v>7</v>
      </c>
      <c r="C12" s="31">
        <f ca="1">(SUMIF($G$2:$G$31,B12,$I$2:$I$31))+(SUMIF($G$35:$G$41,B12,$H$36:$H$41))</f>
        <v>1000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IF(vend25[[#This Row],[Nº Venda]]&gt;1,1,0)</f>
        <v>0</v>
      </c>
    </row>
    <row r="14" spans="2:18" ht="15.7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>
      <c r="B15" s="30" t="s">
        <v>10</v>
      </c>
      <c r="C15" s="31">
        <f ca="1">(SUMIF($G$2:$G$31,B15,$I$2:$I$31))+(SUMIF($G$35:$G$41,B15,$H$36:$H$41))</f>
        <v>49</v>
      </c>
      <c r="D15" s="2"/>
      <c r="E15" s="18"/>
      <c r="F15" s="25"/>
      <c r="G15" s="26"/>
      <c r="H15" s="8"/>
      <c r="I15" s="8"/>
      <c r="J15" s="2"/>
      <c r="K15" s="25">
        <v>3455</v>
      </c>
      <c r="L15" s="9" t="s">
        <v>61</v>
      </c>
      <c r="M15" s="16" t="s">
        <v>37</v>
      </c>
      <c r="R15" s="1">
        <f>IF(vend25[[#This Row],[Nº Venda]]&gt;1,1,0)</f>
        <v>0</v>
      </c>
    </row>
    <row r="16" spans="2:18" ht="15.75">
      <c r="B16" s="28" t="s">
        <v>11</v>
      </c>
      <c r="C16" s="32">
        <f ca="1">SUM(C11:C15)</f>
        <v>1649</v>
      </c>
      <c r="D16" s="2"/>
      <c r="E16" s="18"/>
      <c r="F16" s="25"/>
      <c r="G16" s="26"/>
      <c r="H16" s="8"/>
      <c r="I16" s="8"/>
      <c r="J16" s="2"/>
      <c r="K16" s="25">
        <v>3456</v>
      </c>
      <c r="L16" s="9" t="s">
        <v>61</v>
      </c>
      <c r="M16" s="16" t="s">
        <v>37</v>
      </c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3463</v>
      </c>
      <c r="L17" s="9" t="s">
        <v>61</v>
      </c>
      <c r="M17" s="16" t="s">
        <v>37</v>
      </c>
      <c r="R17" s="1">
        <f>IF(vend25[[#This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>
        <v>3474</v>
      </c>
      <c r="L18" s="9" t="s">
        <v>61</v>
      </c>
      <c r="M18" s="16" t="s">
        <v>37</v>
      </c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2200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3449</v>
      </c>
      <c r="F26" s="25" t="s">
        <v>163</v>
      </c>
      <c r="G26" s="26" t="s">
        <v>6</v>
      </c>
      <c r="H26" s="8">
        <v>0</v>
      </c>
      <c r="I26" s="8">
        <v>500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3447</v>
      </c>
      <c r="F27" s="25" t="s">
        <v>50</v>
      </c>
      <c r="G27" s="26" t="s">
        <v>10</v>
      </c>
      <c r="H27" s="8">
        <v>0</v>
      </c>
      <c r="I27" s="8">
        <v>49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7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'25'!B1+1</f>
        <v>45377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73.8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73.8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>
        <v>3118</v>
      </c>
      <c r="F35" s="25" t="s">
        <v>164</v>
      </c>
      <c r="G35" s="26" t="s">
        <v>7</v>
      </c>
      <c r="H35" s="8">
        <v>73.8</v>
      </c>
      <c r="I35" s="8" t="s">
        <v>86</v>
      </c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V1" sqref="V1:W1"/>
    </sheetView>
  </sheetViews>
  <sheetFormatPr defaultColWidth="9.140625" defaultRowHeight="12.75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'26'!B1+1</f>
        <v>45378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3447</v>
      </c>
      <c r="F26" s="25" t="s">
        <v>50</v>
      </c>
      <c r="G26" s="26" t="s">
        <v>10</v>
      </c>
      <c r="H26" s="8">
        <v>0</v>
      </c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2" zoomScale="80" zoomScaleNormal="80" workbookViewId="0">
      <selection activeCell="B1" sqref="B1"/>
    </sheetView>
  </sheetViews>
  <sheetFormatPr defaultColWidth="9.140625" defaultRowHeight="12.75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89">
        <f>'27'!B1+1</f>
        <v>45379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3469</v>
      </c>
      <c r="L15" s="9" t="s">
        <v>61</v>
      </c>
      <c r="M15" s="16" t="s">
        <v>37</v>
      </c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7" zoomScale="80" zoomScaleNormal="80" workbookViewId="0">
      <selection activeCell="K15" sqref="K15:M18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67">
        <f>'28'!B1+1</f>
        <v>45380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R17" s="1">
        <f>IF(vend29[[#This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9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zoomScale="80" zoomScaleNormal="80" workbookViewId="0">
      <selection activeCell="Z25" sqref="Z23:Z2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'29'!B1+1</f>
        <v>45381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IF(vend30[[#This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E35" sqref="E35:I3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3">
        <f>'30'!B1+1</f>
        <v>45382</v>
      </c>
    </row>
    <row r="2" spans="2:18" ht="18.75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100" t="s">
        <v>1</v>
      </c>
      <c r="F4" s="100"/>
      <c r="G4" s="100"/>
      <c r="H4" s="100"/>
      <c r="I4" s="100"/>
      <c r="J4" s="22"/>
      <c r="K4" s="94" t="s">
        <v>3</v>
      </c>
      <c r="L4" s="95"/>
      <c r="M4" s="9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92" t="s">
        <v>5</v>
      </c>
      <c r="C10" s="9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4" t="s">
        <v>22</v>
      </c>
      <c r="L13" s="95"/>
      <c r="M13" s="96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92" t="s">
        <v>12</v>
      </c>
      <c r="C18" s="9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1"/>
      <c r="M35" s="16"/>
    </row>
    <row r="36" spans="2:18" ht="15.75">
      <c r="E36" s="18"/>
      <c r="F36" s="25"/>
      <c r="G36" s="26"/>
      <c r="H36" s="8"/>
      <c r="I36" s="8"/>
      <c r="K36" s="25"/>
      <c r="L36" s="41"/>
      <c r="M36" s="16"/>
    </row>
    <row r="37" spans="2:18" ht="15.75">
      <c r="E37" s="18"/>
      <c r="F37" s="25"/>
      <c r="G37" s="26"/>
      <c r="H37" s="8"/>
      <c r="I37" s="8"/>
      <c r="K37" s="25"/>
      <c r="L37" s="41"/>
      <c r="M37" s="16"/>
    </row>
    <row r="38" spans="2:18" ht="15.75">
      <c r="E38" s="18"/>
      <c r="F38" s="25"/>
      <c r="G38" s="26"/>
      <c r="H38" s="8"/>
      <c r="I38" s="8"/>
      <c r="K38" s="25"/>
      <c r="L38" s="41"/>
      <c r="M38" s="16"/>
    </row>
    <row r="39" spans="2:18" ht="15.75">
      <c r="E39" s="18"/>
      <c r="F39" s="39"/>
      <c r="G39" s="26"/>
      <c r="H39" s="8"/>
      <c r="I39" s="8"/>
      <c r="K39" s="25"/>
      <c r="L39" s="41"/>
      <c r="M39" s="16"/>
    </row>
    <row r="40" spans="2:18" ht="15.7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63</v>
      </c>
      <c r="B1" s="38" t="s">
        <v>64</v>
      </c>
      <c r="E1" s="38" t="s">
        <v>65</v>
      </c>
    </row>
    <row r="2" spans="1:5">
      <c r="A2" s="38" t="s">
        <v>6</v>
      </c>
      <c r="B2" s="38" t="s">
        <v>66</v>
      </c>
      <c r="E2" t="s">
        <v>67</v>
      </c>
    </row>
    <row r="3" spans="1:5">
      <c r="A3" s="38" t="s">
        <v>7</v>
      </c>
      <c r="B3" s="38" t="s">
        <v>68</v>
      </c>
      <c r="E3" t="s">
        <v>69</v>
      </c>
    </row>
    <row r="4" spans="1:5">
      <c r="A4" s="38" t="s">
        <v>8</v>
      </c>
      <c r="B4" s="38" t="s">
        <v>70</v>
      </c>
      <c r="E4" t="s">
        <v>71</v>
      </c>
    </row>
    <row r="5" spans="1:5">
      <c r="A5" s="38" t="s">
        <v>9</v>
      </c>
      <c r="B5" s="38" t="s">
        <v>72</v>
      </c>
      <c r="E5" t="s">
        <v>73</v>
      </c>
    </row>
    <row r="6" spans="1:5">
      <c r="A6" s="38" t="s">
        <v>10</v>
      </c>
      <c r="B6" s="38" t="s">
        <v>10</v>
      </c>
      <c r="E6" t="s">
        <v>41</v>
      </c>
    </row>
    <row r="7" spans="1:5">
      <c r="A7" s="38" t="s">
        <v>74</v>
      </c>
      <c r="B7" s="38" t="s">
        <v>75</v>
      </c>
      <c r="E7" t="s">
        <v>76</v>
      </c>
    </row>
    <row r="8" spans="1:5">
      <c r="A8" t="s">
        <v>25</v>
      </c>
      <c r="B8" t="s">
        <v>77</v>
      </c>
      <c r="E8" t="s">
        <v>78</v>
      </c>
    </row>
    <row r="9" spans="1:5">
      <c r="A9" s="38" t="s">
        <v>45</v>
      </c>
      <c r="B9" s="38" t="s">
        <v>79</v>
      </c>
      <c r="E9" t="s">
        <v>80</v>
      </c>
    </row>
    <row r="10" spans="1:5">
      <c r="E10" t="s">
        <v>81</v>
      </c>
    </row>
    <row r="11" spans="1:5">
      <c r="E11" t="s">
        <v>82</v>
      </c>
    </row>
    <row r="12" spans="1:5">
      <c r="E12" t="s">
        <v>56</v>
      </c>
    </row>
    <row r="13" spans="1:5">
      <c r="E13" t="s">
        <v>83</v>
      </c>
    </row>
    <row r="14" spans="1:5">
      <c r="E14" t="s">
        <v>84</v>
      </c>
    </row>
    <row r="15" spans="1:5">
      <c r="E15" t="s">
        <v>85</v>
      </c>
    </row>
    <row r="16" spans="1:5">
      <c r="E16" t="s">
        <v>86</v>
      </c>
    </row>
    <row r="17" spans="5:5">
      <c r="E17" t="s">
        <v>87</v>
      </c>
    </row>
    <row r="18" spans="5:5">
      <c r="E18" t="s">
        <v>88</v>
      </c>
    </row>
    <row r="19" spans="5:5">
      <c r="E19" t="s">
        <v>89</v>
      </c>
    </row>
    <row r="20" spans="5:5">
      <c r="E20" t="s">
        <v>90</v>
      </c>
    </row>
    <row r="21" spans="5:5">
      <c r="E21" t="s">
        <v>91</v>
      </c>
    </row>
    <row r="22" spans="5:5">
      <c r="E22" t="s">
        <v>92</v>
      </c>
    </row>
    <row r="23" spans="5:5">
      <c r="E23" t="s">
        <v>93</v>
      </c>
    </row>
    <row r="24" spans="5:5">
      <c r="E24" t="s">
        <v>94</v>
      </c>
    </row>
    <row r="25" spans="5:5">
      <c r="E25" t="s">
        <v>95</v>
      </c>
    </row>
    <row r="26" spans="5:5">
      <c r="E26" t="s">
        <v>96</v>
      </c>
    </row>
    <row r="27" spans="5:5">
      <c r="E27" t="s">
        <v>97</v>
      </c>
    </row>
    <row r="28" spans="5:5">
      <c r="E28" t="s">
        <v>98</v>
      </c>
    </row>
    <row r="29" spans="5:5">
      <c r="E29" t="s">
        <v>99</v>
      </c>
    </row>
    <row r="30" spans="5:5">
      <c r="E30" t="s">
        <v>100</v>
      </c>
    </row>
    <row r="31" spans="5:5">
      <c r="E31" t="s">
        <v>101</v>
      </c>
    </row>
    <row r="32" spans="5:5">
      <c r="E32" t="s">
        <v>102</v>
      </c>
    </row>
    <row r="33" spans="5:5">
      <c r="E33" t="s">
        <v>103</v>
      </c>
    </row>
    <row r="34" spans="5:5">
      <c r="E34" t="s">
        <v>104</v>
      </c>
    </row>
    <row r="35" spans="5:5">
      <c r="E35" t="s">
        <v>105</v>
      </c>
    </row>
    <row r="36" spans="5:5">
      <c r="E36" t="s">
        <v>106</v>
      </c>
    </row>
    <row r="37" spans="5:5">
      <c r="E37" t="s">
        <v>52</v>
      </c>
    </row>
    <row r="38" spans="5:5">
      <c r="E38" t="s">
        <v>107</v>
      </c>
    </row>
    <row r="39" spans="5:5">
      <c r="E39" t="s">
        <v>108</v>
      </c>
    </row>
    <row r="40" spans="5:5">
      <c r="E40" t="s">
        <v>109</v>
      </c>
    </row>
    <row r="41" spans="5:5">
      <c r="E41" t="s">
        <v>110</v>
      </c>
    </row>
    <row r="42" spans="5:5">
      <c r="E42" t="s">
        <v>111</v>
      </c>
    </row>
    <row r="43" spans="5:5">
      <c r="E43" t="s">
        <v>112</v>
      </c>
    </row>
    <row r="44" spans="5:5">
      <c r="E44" t="s">
        <v>113</v>
      </c>
    </row>
    <row r="45" spans="5:5">
      <c r="E45" t="s">
        <v>114</v>
      </c>
    </row>
    <row r="46" spans="5:5">
      <c r="E46" t="s">
        <v>115</v>
      </c>
    </row>
    <row r="47" spans="5:5">
      <c r="E47" t="s">
        <v>116</v>
      </c>
    </row>
    <row r="48" spans="5:5">
      <c r="E48" t="s">
        <v>117</v>
      </c>
    </row>
    <row r="49" spans="5:5">
      <c r="E49" t="s">
        <v>118</v>
      </c>
    </row>
    <row r="50" spans="5:5">
      <c r="E50" t="s">
        <v>119</v>
      </c>
    </row>
    <row r="51" spans="5:5">
      <c r="E51" t="s">
        <v>120</v>
      </c>
    </row>
    <row r="52" spans="5:5">
      <c r="E52" t="s">
        <v>121</v>
      </c>
    </row>
    <row r="53" spans="5:5">
      <c r="E53" t="s">
        <v>122</v>
      </c>
    </row>
    <row r="54" spans="5:5">
      <c r="E54" t="s">
        <v>123</v>
      </c>
    </row>
    <row r="55" spans="5:5">
      <c r="E55" t="s">
        <v>124</v>
      </c>
    </row>
    <row r="56" spans="5:5">
      <c r="E56" t="s">
        <v>125</v>
      </c>
    </row>
    <row r="57" spans="5:5">
      <c r="E57" t="s">
        <v>126</v>
      </c>
    </row>
    <row r="58" spans="5:5">
      <c r="E58" t="s">
        <v>127</v>
      </c>
    </row>
    <row r="59" spans="5:5">
      <c r="E59" t="s">
        <v>128</v>
      </c>
    </row>
    <row r="60" spans="5:5">
      <c r="E60" t="s">
        <v>129</v>
      </c>
    </row>
    <row r="61" spans="5:5">
      <c r="E61" t="s">
        <v>130</v>
      </c>
    </row>
    <row r="62" spans="5:5">
      <c r="E62" t="s">
        <v>131</v>
      </c>
    </row>
    <row r="63" spans="5:5">
      <c r="E63" t="s">
        <v>132</v>
      </c>
    </row>
    <row r="64" spans="5:5">
      <c r="E64" t="s">
        <v>133</v>
      </c>
    </row>
    <row r="65" spans="5:5">
      <c r="E65" t="s">
        <v>134</v>
      </c>
    </row>
    <row r="66" spans="5:5">
      <c r="E66" t="s">
        <v>135</v>
      </c>
    </row>
    <row r="67" spans="5:5">
      <c r="E67" t="s">
        <v>136</v>
      </c>
    </row>
    <row r="68" spans="5:5">
      <c r="E68" t="s">
        <v>137</v>
      </c>
    </row>
    <row r="69" spans="5:5">
      <c r="E69" t="s">
        <v>138</v>
      </c>
    </row>
    <row r="70" spans="5:5">
      <c r="E70" t="s">
        <v>139</v>
      </c>
    </row>
    <row r="71" spans="5:5">
      <c r="E71" t="s">
        <v>140</v>
      </c>
    </row>
    <row r="72" spans="5:5">
      <c r="E72" t="s">
        <v>141</v>
      </c>
    </row>
    <row r="73" spans="5:5">
      <c r="E73" t="s">
        <v>142</v>
      </c>
    </row>
    <row r="74" spans="5:5">
      <c r="E74" t="s">
        <v>143</v>
      </c>
    </row>
    <row r="75" spans="5:5">
      <c r="E75" t="s">
        <v>144</v>
      </c>
    </row>
    <row r="76" spans="5:5">
      <c r="E76" t="s">
        <v>145</v>
      </c>
    </row>
    <row r="77" spans="5:5">
      <c r="E77" t="s">
        <v>146</v>
      </c>
    </row>
    <row r="78" spans="5:5">
      <c r="E78" t="s">
        <v>147</v>
      </c>
    </row>
    <row r="79" spans="5:5">
      <c r="E79" t="s">
        <v>148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6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Gráfico1</vt:lpstr>
      <vt:lpstr>'09'!Area_de_impressao</vt:lpstr>
      <vt:lpstr>'18'!Area_de_impressao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2024-05-23T15:13:11Z</cp:lastPrinted>
  <dcterms:created xsi:type="dcterms:W3CDTF">2004-04-07T20:43:43Z</dcterms:created>
  <dcterms:modified xsi:type="dcterms:W3CDTF">2024-12-20T13:21:19Z</dcterms:modified>
  <cp:category/>
  <cp:contentStatus/>
</cp:coreProperties>
</file>