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3/"/>
    </mc:Choice>
  </mc:AlternateContent>
  <xr:revisionPtr revIDLastSave="31" documentId="13_ncr:1_{FA6CA665-8FAA-4642-A6DD-419F138C01C4}" xr6:coauthVersionLast="47" xr6:coauthVersionMax="47" xr10:uidLastSave="{7DA3455D-3464-41EA-9915-01D3B1B5C104}"/>
  <bookViews>
    <workbookView xWindow="-108" yWindow="-108" windowWidth="15576" windowHeight="8400" tabRatio="895" firstSheet="12" activeTab="1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204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6" l="1"/>
  <c r="B1" i="204"/>
  <c r="B1" i="194"/>
  <c r="B1" i="193"/>
  <c r="B1" i="195"/>
  <c r="B1" i="189"/>
  <c r="R20" i="204"/>
  <c r="C20" i="204"/>
  <c r="R19" i="204"/>
  <c r="C19" i="204"/>
  <c r="B19" i="204"/>
  <c r="R18" i="204"/>
  <c r="R17" i="204"/>
  <c r="R16" i="204"/>
  <c r="R15" i="204"/>
  <c r="C15" i="204"/>
  <c r="R14" i="204"/>
  <c r="R13" i="204"/>
  <c r="C13" i="204"/>
  <c r="R12" i="204"/>
  <c r="C12" i="204"/>
  <c r="R11" i="204"/>
  <c r="C11" i="204"/>
  <c r="C16" i="204" s="1"/>
  <c r="O11" i="204" s="1"/>
  <c r="R10" i="204"/>
  <c r="R9" i="204"/>
  <c r="R8" i="204"/>
  <c r="R7" i="204"/>
  <c r="C7" i="204"/>
  <c r="R6" i="204"/>
  <c r="R40" i="204" s="1"/>
  <c r="C6" i="204"/>
  <c r="C8" i="204" s="1"/>
  <c r="C5" i="204"/>
  <c r="C22" i="204" s="1"/>
  <c r="C15" i="193"/>
  <c r="C12" i="193"/>
  <c r="C13" i="193"/>
  <c r="C14" i="193"/>
  <c r="C11" i="193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5"/>
  <c r="C13" i="195"/>
  <c r="C14" i="195"/>
  <c r="C15" i="195"/>
  <c r="C12" i="194"/>
  <c r="C13" i="194"/>
  <c r="C14" i="194"/>
  <c r="C15" i="194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5"/>
  <c r="C11" i="194"/>
  <c r="C11" i="196"/>
  <c r="C11" i="192"/>
  <c r="C11" i="199"/>
  <c r="C11" i="198"/>
  <c r="C11" i="175"/>
  <c r="B1" i="184"/>
  <c r="B1" i="185" s="1"/>
  <c r="B1" i="186" s="1"/>
  <c r="B1" i="187" s="1"/>
  <c r="B1" i="190" s="1"/>
  <c r="B1" i="191" s="1"/>
  <c r="B1" i="188" s="1"/>
  <c r="B1" i="179"/>
  <c r="B1" i="181"/>
  <c r="B1" i="183"/>
  <c r="B1" i="182"/>
  <c r="B1" i="180"/>
  <c r="B1" i="176"/>
  <c r="B1" i="177"/>
  <c r="B1" i="178"/>
  <c r="B1" i="103"/>
  <c r="B1" i="170"/>
  <c r="B1" i="171"/>
  <c r="B1" i="172"/>
  <c r="B1" i="173"/>
  <c r="B1" i="174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6" i="189"/>
  <c r="C6" i="190"/>
  <c r="C8" i="190" s="1"/>
  <c r="C6" i="191"/>
  <c r="C6" i="188"/>
  <c r="C6" i="193"/>
  <c r="C6" i="195"/>
  <c r="C6" i="194"/>
  <c r="C6" i="196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22" i="170"/>
  <c r="C19" i="103"/>
  <c r="B19" i="103"/>
  <c r="B5" i="200" l="1"/>
  <c r="C8" i="174"/>
  <c r="C8" i="175"/>
  <c r="R40" i="198"/>
  <c r="B17" i="200"/>
  <c r="B18" i="200" s="1"/>
  <c r="R40" i="199"/>
  <c r="B9" i="200"/>
  <c r="B11" i="200"/>
  <c r="B10" i="200"/>
  <c r="B13" i="200"/>
  <c r="B12" i="200"/>
  <c r="B1" i="192"/>
  <c r="B1" i="199" s="1"/>
  <c r="B1" i="198" s="1"/>
  <c r="B4" i="200"/>
  <c r="B3" i="200"/>
  <c r="R40" i="196"/>
  <c r="R40" i="192"/>
  <c r="R40" i="194"/>
  <c r="C8" i="194"/>
  <c r="R40" i="195"/>
  <c r="R40" i="193"/>
  <c r="R40" i="188"/>
  <c r="C8" i="188"/>
  <c r="R40" i="191"/>
  <c r="C8" i="191"/>
  <c r="R40" i="190"/>
  <c r="R40" i="187"/>
  <c r="R40" i="186"/>
  <c r="C20" i="185"/>
  <c r="R40" i="185"/>
  <c r="R40" i="180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<sst xmlns="http://schemas.openxmlformats.org/spreadsheetml/2006/main" count="1847" uniqueCount="218">
  <si>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</si>
  <si>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</si>
  <si>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</si>
  <si>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</si>
  <si>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</si>
  <si>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</si>
  <si>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</si>
  <si>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</si>
  <si>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</si>
  <si>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</si>
  <si>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</si>
  <si>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</si>
  <si>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</si>
  <si>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</si>
  <si>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</si>
  <si>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</si>
  <si>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</si>
  <si>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</si>
  <si>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</si>
  <si>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</si>
  <si>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</si>
  <si>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SS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</si>
  <si>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</si>
  <si>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</si>
  <si>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</si>
  <si>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</si>
  <si>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</si>
  <si>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</si>
  <si>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</si>
  <si>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</si>
  <si>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</si>
  <si>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</si>
  <si>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</si>
  <si>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</si>
  <si>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</si>
  <si>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Sim</t>
  </si>
  <si>
    <t>BRUNO</t>
  </si>
  <si>
    <t>SAMANTA ROSA</t>
  </si>
  <si>
    <t>EDNEIDE MARIA</t>
  </si>
  <si>
    <t>FERNANDA FIGUEIREDO</t>
  </si>
  <si>
    <t>SABRINA EDUARDA</t>
  </si>
  <si>
    <t>VILMA APARECIDA</t>
  </si>
  <si>
    <t>JOELMA JESUS</t>
  </si>
  <si>
    <t>SONIA REGINA</t>
  </si>
  <si>
    <t>MARIA DO CARMO</t>
  </si>
  <si>
    <t>bruno</t>
  </si>
  <si>
    <t>JORGE SILVA</t>
  </si>
  <si>
    <t>EDSON CATARINO</t>
  </si>
  <si>
    <t>MIRIAM MADEIRA</t>
  </si>
  <si>
    <t>VALDELICE RIBEIRO</t>
  </si>
  <si>
    <t>ALCIONE DE JESUS</t>
  </si>
  <si>
    <t xml:space="preserve">JOSEFA ALVES </t>
  </si>
  <si>
    <t>WALTER TELLO</t>
  </si>
  <si>
    <t>JOANA DAMASCENO</t>
  </si>
  <si>
    <t>GENESIO  (ANEXO 2984)</t>
  </si>
  <si>
    <t>DIONE ALVES</t>
  </si>
  <si>
    <t>FERNANDA FIORELLI</t>
  </si>
  <si>
    <t>JULIANA CRISTINA</t>
  </si>
  <si>
    <t>ELAINE CRISTINA</t>
  </si>
  <si>
    <t>ELAINE CRISTINA (ANEXO 2997)</t>
  </si>
  <si>
    <t>CILENE MARIA</t>
  </si>
  <si>
    <t>Elaine Xavier de Oliveira</t>
  </si>
  <si>
    <t xml:space="preserve">Felipe Cabral </t>
  </si>
  <si>
    <t>Edna Martins</t>
  </si>
  <si>
    <t>Talita Gomes</t>
  </si>
  <si>
    <t>Luciene Viera</t>
  </si>
  <si>
    <t>Rosângela</t>
  </si>
  <si>
    <t>Não</t>
  </si>
  <si>
    <t>ARIANA MONTEIRO</t>
  </si>
  <si>
    <t>PARC. 2/5</t>
  </si>
  <si>
    <t>GIOVANA PEREIRA</t>
  </si>
  <si>
    <t>PARC. 5/7</t>
  </si>
  <si>
    <t>RAFAEL HENRIQUE</t>
  </si>
  <si>
    <t>RAQUEL MENDONÇA</t>
  </si>
  <si>
    <t>PARC. 3/5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</si>
  <si>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</si>
  <si>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</si>
  <si>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</si>
  <si>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</si>
  <si>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</si>
  <si>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</si>
  <si>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</si>
  <si>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</si>
  <si>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</si>
  <si>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</si>
  <si>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</si>
  <si>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</si>
  <si>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</si>
  <si>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</si>
  <si>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</si>
  <si>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</si>
  <si>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</si>
  <si>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</si>
  <si>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</si>
  <si>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</si>
  <si>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</si>
  <si>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</si>
  <si>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</si>
  <si>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</si>
  <si>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</si>
  <si>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</si>
  <si>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</si>
  <si>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</si>
  <si>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</si>
  <si>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</si>
  <si>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</si>
  <si>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</si>
  <si>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</si>
  <si>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</si>
  <si>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</si>
  <si>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</si>
  <si>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</si>
  <si>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</si>
  <si>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</si>
  <si>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</si>
  <si>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</si>
  <si>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</si>
  <si>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</si>
  <si>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</si>
  <si>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</si>
  <si>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</si>
  <si>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</si>
  <si>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</si>
  <si>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</si>
  <si>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</si>
  <si>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</si>
  <si>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</si>
  <si>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</si>
  <si>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</si>
  <si>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</si>
  <si>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</si>
  <si>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</si>
  <si>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</si>
  <si>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</si>
  <si>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</si>
  <si>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</si>
  <si>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</si>
  <si>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</si>
  <si>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</si>
  <si>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</si>
  <si>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</si>
  <si>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</si>
  <si>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</si>
  <si>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</si>
  <si>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</si>
  <si>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</si>
  <si>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</si>
  <si>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</si>
  <si>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</si>
  <si>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</si>
  <si>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</si>
  <si>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</si>
  <si>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</si>
  <si>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</si>
  <si>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</si>
  <si>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</si>
  <si>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</si>
  <si>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</si>
  <si>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</si>
  <si>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</si>
  <si>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</si>
  <si>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HELENA MARIA</t>
  </si>
  <si>
    <t>Bruno</t>
  </si>
  <si>
    <t>ELAINE XAVIER</t>
  </si>
  <si>
    <t>EDICARLOS GONÇALVES</t>
  </si>
  <si>
    <t>AUREA ROSA</t>
  </si>
  <si>
    <t>LUCIMA IZQUIERDO P</t>
  </si>
  <si>
    <t>JANE SOARES</t>
  </si>
  <si>
    <t>JOÃO GOMES</t>
  </si>
  <si>
    <t>Marcelo Patiz</t>
  </si>
  <si>
    <t>RONALD FLAUSINO</t>
  </si>
  <si>
    <t>ANA PAULA</t>
  </si>
  <si>
    <t>ROSANGELA</t>
  </si>
  <si>
    <t>CARLOS PEDROSO</t>
  </si>
  <si>
    <t>CHARLENE FERREIRA</t>
  </si>
  <si>
    <t>EUNISE PEREIRA</t>
  </si>
  <si>
    <t>ELENILTON DOS SANTOS</t>
  </si>
  <si>
    <t>KAWÃ OLIVEIRA</t>
  </si>
  <si>
    <t>ROSANA COUTINHO</t>
  </si>
  <si>
    <t>PERMUTA</t>
  </si>
  <si>
    <t>permuta com prestadores  de serviço</t>
  </si>
  <si>
    <t>ROSIMA MOREIRA</t>
  </si>
  <si>
    <t>ANTONIA ELIANE</t>
  </si>
  <si>
    <t>SAMARA MARIA</t>
  </si>
  <si>
    <t>ERICA OLIVEIRA</t>
  </si>
  <si>
    <t>SILVANA NASCIMENTO</t>
  </si>
  <si>
    <t>MARIA APARECIDA PAES</t>
  </si>
  <si>
    <t>MARIA APARECIDA (ANEXO 3017)</t>
  </si>
  <si>
    <t>REGINA KIYOKO</t>
  </si>
  <si>
    <t>REGINA KIYOKO (ANEXO 3019)</t>
  </si>
  <si>
    <t>LUCIANA MORAES</t>
  </si>
  <si>
    <t>SARAH KOSHIYAMA</t>
  </si>
  <si>
    <t>ANDREY FERREIRA</t>
  </si>
  <si>
    <t>FERNANDA MARTINS</t>
  </si>
  <si>
    <t>EUNICE PEREIRA</t>
  </si>
  <si>
    <t>PATRICIA GODY</t>
  </si>
  <si>
    <t>MELLANIE CRISTINE</t>
  </si>
  <si>
    <t>IVANA CRISTINE (VERIFICAÇÃO)</t>
  </si>
  <si>
    <t>CREONICE CHAGAS</t>
  </si>
  <si>
    <t>FERNANDA FIGUEIREDO (GARANTIA)</t>
  </si>
  <si>
    <t>ROSÂNGELA</t>
  </si>
  <si>
    <t>FRANCINEIDE MARIA</t>
  </si>
  <si>
    <t>LUCIANA GUIMARÃES</t>
  </si>
  <si>
    <t xml:space="preserve">IVANETE MARIA </t>
  </si>
  <si>
    <t>KRYSNA FERREIRA</t>
  </si>
  <si>
    <t>ELAINE REGINA</t>
  </si>
  <si>
    <t>EDSON MINORU</t>
  </si>
  <si>
    <t>JOSE JACEBSON</t>
  </si>
  <si>
    <t xml:space="preserve">CLAUDENISE PEREIRA </t>
  </si>
  <si>
    <t>MARIA LUCIA MARTINS</t>
  </si>
  <si>
    <t>MARIA DE LURDES</t>
  </si>
  <si>
    <t xml:space="preserve">ELIZABETE MARIA </t>
  </si>
  <si>
    <t>IRENE MARQUES</t>
  </si>
  <si>
    <t>LUCIANA IZQUIERDO (GARANTIA)</t>
  </si>
  <si>
    <t xml:space="preserve">WILSON PEREIRA </t>
  </si>
  <si>
    <t>LILA MARIA</t>
  </si>
  <si>
    <t>GIOVANA JUSTINO</t>
  </si>
  <si>
    <t>LUCIENE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</si>
</sst>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14" fillId="0" borderId="17" xfId="39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44" fontId="14" fillId="0" borderId="17" xfId="68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44" fontId="14" fillId="0" borderId="17" xfId="83" applyFont="1" applyFill="1" applyBorder="1" applyAlignment="1">
      <alignment horizontal="center"/>
    </xf>
    <xf numFmtId="44" fontId="14" fillId="0" borderId="3" xfId="83" applyFont="1" applyFill="1" applyBorder="1" applyAlignment="1">
      <alignment horizontal="center"/>
    </xf>
    <xf numFmtId="44" fontId="25" fillId="0" borderId="17" xfId="83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9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2 2" xfId="87" xr:uid="{CD7A9DF9-6CAA-445E-B40F-82280809B556}"/>
    <cellStyle name="Moeda 2 2 2 3" xfId="72" xr:uid="{6D16C14B-46BE-4A8B-9F75-BDC22C69B2AA}"/>
    <cellStyle name="Moeda 2 2 3" xfId="59" xr:uid="{15876CAD-A58A-417E-942B-B75CA4D12C4A}"/>
    <cellStyle name="Moeda 2 2 3 2" xfId="80" xr:uid="{8D4900A9-8AC3-40C3-BEE9-00E83EC162E2}"/>
    <cellStyle name="Moeda 2 2 4" xfId="65" xr:uid="{8065D580-179B-477E-87DC-913946A8FD9E}"/>
    <cellStyle name="Moeda 2 3" xfId="44" xr:uid="{018D7EC2-457E-4352-8B9D-D98BC95BBE55}"/>
    <cellStyle name="Moeda 2 3 2" xfId="85" xr:uid="{6BCD22B4-C852-4EA5-8932-B68C91C18BDB}"/>
    <cellStyle name="Moeda 2 3 3" xfId="70" xr:uid="{7CC0A578-38B4-4512-8257-AD6B118BB3D0}"/>
    <cellStyle name="Moeda 2 4" xfId="57" xr:uid="{60314F40-4D14-4914-B2FB-F0EF8809BFDC}"/>
    <cellStyle name="Moeda 2 4 2" xfId="78" xr:uid="{9E28F3B5-118E-44BA-8152-9D9920C4D393}"/>
    <cellStyle name="Moeda 2 5" xfId="63" xr:uid="{31872977-5AAF-4354-9B2F-13AFA82D76D8}"/>
    <cellStyle name="Moeda 3" xfId="39" xr:uid="{7AB823BE-4C0E-4C74-AC9F-2ADAE4FB907E}"/>
    <cellStyle name="Moeda 3 2" xfId="83" xr:uid="{1B93A609-08DC-4596-928A-689F28EF63ED}"/>
    <cellStyle name="Moeda 3 3" xfId="68" xr:uid="{1B52ADA3-15E5-46AE-B21C-BBB001F43A69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3 2" xfId="88" xr:uid="{FB1AF633-AA39-4E57-BD9C-CAC3CE8A50EE}"/>
    <cellStyle name="Normal 4 3 3" xfId="73" xr:uid="{B883533A-59A2-46EB-B6BB-9B633EDF75BF}"/>
    <cellStyle name="Normal 4 4" xfId="60" xr:uid="{AF296A9E-05F1-4EBF-B3A5-6D6A1B6677AA}"/>
    <cellStyle name="Normal 4 4 2" xfId="81" xr:uid="{F1F56DDE-461F-4237-A4AC-3AC7E47A394C}"/>
    <cellStyle name="Normal 4 5" xfId="66" xr:uid="{DE79D2D2-441D-493E-9B47-47ADFEC9E8FE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2 2" xfId="84" xr:uid="{F69DD2B8-09D9-4EBC-8BF9-8D7EDB453D67}"/>
    <cellStyle name="Separador de milhares 2 2 3" xfId="69" xr:uid="{1AD819CB-0E12-4037-8FAC-89BDEE80F86F}"/>
    <cellStyle name="Separador de milhares 2 3" xfId="56" xr:uid="{1CEB6C10-8A7B-4609-8DF5-0B2F3DA67C9A}"/>
    <cellStyle name="Separador de milhares 2 3 2" xfId="77" xr:uid="{4B5E399E-86AA-4228-99A5-56BB3EF9AE72}"/>
    <cellStyle name="Separador de milhares 2 4" xfId="62" xr:uid="{9A263C74-5D06-4A52-84F8-3C2B833B38C8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5 2 2" xfId="89" xr:uid="{42AB6CE5-136F-41A7-8475-9EAFE82210B8}"/>
    <cellStyle name="Separador de milhares 5 2 3" xfId="74" xr:uid="{CF994B4F-91BF-412F-BAE2-D44275397AF4}"/>
    <cellStyle name="Separador de milhares 6" xfId="35" xr:uid="{00000000-0005-0000-0000-000020000000}"/>
    <cellStyle name="Separador de milhares 6 2" xfId="54" xr:uid="{24CAB0AE-3C7D-4F02-905C-447EEBCEA0E5}"/>
    <cellStyle name="Separador de milhares 6 2 2" xfId="90" xr:uid="{009FAD2C-95AD-415B-80FE-27961D325D48}"/>
    <cellStyle name="Separador de milhares 6 2 3" xfId="75" xr:uid="{9C62D7A3-8A2A-486A-A9D7-C19BC42B70F3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2 2" xfId="86" xr:uid="{BD3E627B-3986-430B-A60D-1864996C5FE9}"/>
    <cellStyle name="Vírgula 10 2 3" xfId="71" xr:uid="{06E302B4-3DE3-4840-92D7-B3508459CB0D}"/>
    <cellStyle name="Vírgula 10 3" xfId="58" xr:uid="{ED20D7A7-29F8-43B5-8992-FFA42C90A8C0}"/>
    <cellStyle name="Vírgula 10 3 2" xfId="79" xr:uid="{0D768A1A-1DDB-49F7-A348-C26F6CB943FA}"/>
    <cellStyle name="Vírgula 10 4" xfId="64" xr:uid="{2FCA6D16-2866-48C6-B008-01CE1C4916E1}"/>
    <cellStyle name="Vírgula 2" xfId="38" xr:uid="{00000000-0005-0000-0000-000027000000}"/>
    <cellStyle name="Vírgula 2 2" xfId="55" xr:uid="{CB37DB63-E913-4772-B017-FD8345B858C4}"/>
    <cellStyle name="Vírgula 2 2 2" xfId="91" xr:uid="{040CEAD6-1377-4C75-B7B6-0EF4F242A69F}"/>
    <cellStyle name="Vírgula 2 2 3" xfId="76" xr:uid="{05C00FC3-9DD9-4563-B3B5-898CC39061DE}"/>
    <cellStyle name="Vírgula 2 3" xfId="61" xr:uid="{79463D6F-D2DA-4A6C-9918-0EF0B9E007F0}"/>
    <cellStyle name="Vírgula 2 3 2" xfId="82" xr:uid="{83D4D31D-7207-44BB-BB7D-B2F02CE0581E}"/>
    <cellStyle name="Vírgula 2 4" xfId="67" xr:uid="{E5B570DE-825B-4152-89DB-977D66DF7158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2" totalsRowShown="0" headerRowDxfId="884" dataDxfId="882" headerRowBorderDxfId="883" tableBorderDxfId="881" totalsRowBorderDxfId="880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5:I42" totalsRowShown="0" headerRowDxfId="866" dataDxfId="864" headerRowBorderDxfId="865" tableBorderDxfId="863" totalsRowBorderDxfId="862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A62AF445-786E-438C-9775-AFF0F398BC0D}" name="vend31171" displayName="vend31171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6827AAF-4B01-4BCB-8866-0CCAD1D5972A}" name="Nº Venda" dataDxfId="261" dataCellStyle="Moeda"/>
    <tableColumn id="5" xr3:uid="{934334EC-375A-413B-A7D5-81641CCBFC66}" name="Cliente" dataDxfId="260" dataCellStyle="Moeda"/>
    <tableColumn id="2" xr3:uid="{961FF824-33FB-417C-BF08-0E390EC90780}" name="Forma de Pgto" dataDxfId="259" dataCellStyle="Moeda"/>
    <tableColumn id="3" xr3:uid="{82D37B12-136C-4D92-9D16-2BEA4D0E52E0}" name="Valor Venda" dataDxfId="258" dataCellStyle="Porcentagem"/>
    <tableColumn id="4" xr3:uid="{BAD1C12B-7DC4-40A9-AC7E-91B5E591B54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11B3F0E6-6A66-40F8-BAC4-CB5234ABC1A4}" name="desp31172" displayName="desp31172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C790A76D-F6C0-4AEA-A3A6-F63844CBE94A}" name="Descrição" dataDxfId="251"/>
    <tableColumn id="2" xr3:uid="{DB6302C2-2FF4-4334-A5E5-F0A062B081F3}" name="Tipo de Pagto" dataDxfId="250"/>
    <tableColumn id="3" xr3:uid="{2CAAF1F1-1882-453F-B654-501B7022CF2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ED674284-1722-4050-BB97-12B1C267C270}" name="rest_entr31173" displayName="rest_entr31173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FA4388B1-0DBA-458D-B494-C147E231D3B6}" name="Nº Venda" dataDxfId="243"/>
    <tableColumn id="2" xr3:uid="{2B1CF1E2-A750-4249-BFF7-73E895F73EAA}" name="Cliente" dataDxfId="242"/>
    <tableColumn id="3" xr3:uid="{A12BD29C-5D84-4A92-A1EA-E09E71F2A256}" name="Forma de Pgto" dataDxfId="241" dataCellStyle="Moeda"/>
    <tableColumn id="4" xr3:uid="{6951261A-7F3E-4C2F-A6F2-61FD59221AD7}" name="Valor Venda" dataDxfId="240" dataCellStyle="Porcentagem"/>
    <tableColumn id="5" xr3:uid="{DC8FD531-BF77-4FFC-B1C7-281C5C4590B4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4081DBCF-A839-4B8F-A831-A39AA3A0947F}" name="os_entr_dia31174" displayName="os_entr_dia31174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8ACFBEE6-B2AF-439A-B6A0-531A2C58CEEB}" name="OS" dataDxfId="233"/>
    <tableColumn id="2" xr3:uid="{C81129B2-EC0B-41A5-8CC6-D9F1053CDE69}" name="Vendedor" dataDxfId="232"/>
    <tableColumn id="3" xr3:uid="{38DC80F3-B759-4C3F-865B-E60E0FFB08A2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564EA1B3-CA68-479F-A6FD-951161B7EE48}" name="rec_carn31175" displayName="rec_carn31175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E9F0875-0F63-41DF-B1B9-29E598ED58C7}" name="OS" dataDxfId="225"/>
    <tableColumn id="2" xr3:uid="{979FC187-4967-458C-9EAA-E5D93E454C67}" name="Cliente" dataDxfId="224"/>
    <tableColumn id="3" xr3:uid="{058FCF52-EC06-45CB-AD9B-6D8E6CBB3677}" name="Forma de Pgto" dataDxfId="223" dataCellStyle="Moeda"/>
    <tableColumn id="4" xr3:uid="{9CF725A9-8B81-4F40-8473-45B906A024CB}" name="Valor Parcela" dataDxfId="222" dataCellStyle="Porcentagem"/>
    <tableColumn id="5" xr3:uid="{CF07CE20-D6B2-4253-883E-E93D7BEBDF94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B3E0B86-3A4E-44C3-8451-4CC38323ACAE}" name="entr_carn31176" displayName="entr_carn31176" ref="K34:M41" totalsRowShown="0" headerRowDxfId="220" headerRowBorderDxfId="219" tableBorderDxfId="218" totalsRowBorderDxfId="217">
  <autoFilter ref="K34:M41" xr:uid="{1B8643D4-6AC3-4029-882A-C62E9D7CB225}"/>
  <tableColumns count="3">
    <tableColumn id="1" xr3:uid="{7233A26E-C475-4FE9-9B53-C261053C2BC8}" name="OS" dataDxfId="216"/>
    <tableColumn id="2" xr3:uid="{4CB561F3-BE4E-430C-A415-A6E6C307FF2C}" name="Parcelas" dataDxfId="215"/>
    <tableColumn id="3" xr3:uid="{A6A3A1D2-B5F6-4C44-AC08-C8407BF4F801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10" totalsRowShown="0" headerRowDxfId="1">
  <autoFilter ref="A1:B10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3" sqref="B3"/>
    </sheetView>
  </sheetViews>
  <sheetFormatPr defaultColWidth="21.33203125" defaultRowHeight="13.2" x14ac:dyDescent="0.25"/>
  <cols>
    <col min="2" max="2" width="22.6640625" customWidth="1"/>
  </cols>
  <sheetData>
    <row r="2" spans="1:2" ht="14.4" x14ac:dyDescent="0.25">
      <c r="A2" s="19" t="s">
        <v>0</v>
      </c>
      <c r="B2" s="20">
        <v>0</v>
      </c>
    </row>
    <row r="3" spans="1:2" ht="14.4" x14ac:dyDescent="0.3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24562.5</v>
      </c>
    </row>
    <row r="4" spans="1:2" ht="14.4" x14ac:dyDescent="0.3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20414.2</v>
      </c>
    </row>
    <row r="5" spans="1:2" ht="14.4" x14ac:dyDescent="0.3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6" x14ac:dyDescent="0.3">
      <c r="A6" s="28" t="s">
        <v>4</v>
      </c>
      <c r="B6" s="29">
        <f>SUM(B4:B5)</f>
        <v>20414.2</v>
      </c>
    </row>
    <row r="7" spans="1:2" ht="14.4" x14ac:dyDescent="0.3">
      <c r="A7" s="2"/>
      <c r="B7" s="2"/>
    </row>
    <row r="8" spans="1:2" ht="14.4" x14ac:dyDescent="0.25">
      <c r="A8" s="61" t="s">
        <v>5</v>
      </c>
      <c r="B8" s="61"/>
    </row>
    <row r="9" spans="1:2" ht="14.4" x14ac:dyDescent="0.3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1501.5</v>
      </c>
    </row>
    <row r="10" spans="1:2" ht="14.4" x14ac:dyDescent="0.3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3791</v>
      </c>
    </row>
    <row r="11" spans="1:2" ht="14.4" x14ac:dyDescent="0.3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343.5</v>
      </c>
    </row>
    <row r="12" spans="1:2" ht="14.4" x14ac:dyDescent="0.3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12527</v>
      </c>
    </row>
    <row r="13" spans="1:2" ht="14.4" x14ac:dyDescent="0.3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4185.2</v>
      </c>
    </row>
    <row r="14" spans="1:2" ht="15.6" x14ac:dyDescent="0.3">
      <c r="A14" s="28" t="s">
        <v>11</v>
      </c>
      <c r="B14" s="32">
        <f>SUM(B9:B13)</f>
        <v>22348.2</v>
      </c>
    </row>
    <row r="15" spans="1:2" ht="14.4" x14ac:dyDescent="0.3">
      <c r="A15" s="2"/>
      <c r="B15" s="2"/>
    </row>
    <row r="16" spans="1:2" ht="14.4" x14ac:dyDescent="0.25">
      <c r="A16" s="61" t="s">
        <v>12</v>
      </c>
      <c r="B16" s="61"/>
    </row>
    <row r="17" spans="1:2" ht="14.4" x14ac:dyDescent="0.3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2350</v>
      </c>
    </row>
    <row r="18" spans="1:2" ht="15.6" x14ac:dyDescent="0.3">
      <c r="A18" s="28" t="s">
        <v>11</v>
      </c>
      <c r="B18" s="32">
        <f>SUM(B17:B17)</f>
        <v>2350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E26" sqref="E26:I2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45139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3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3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3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53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53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53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6" x14ac:dyDescent="0.3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6" t="s">
        <v>24</v>
      </c>
      <c r="L34" s="6" t="s">
        <v>32</v>
      </c>
      <c r="M34" s="6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9"/>
    </row>
    <row r="36" spans="2:18" ht="15.6" x14ac:dyDescent="0.3">
      <c r="E36" s="18"/>
      <c r="F36" s="25"/>
      <c r="G36" s="26"/>
      <c r="H36" s="8"/>
      <c r="I36" s="8"/>
      <c r="K36" s="25"/>
      <c r="L36" s="42"/>
      <c r="M36" s="9"/>
    </row>
    <row r="37" spans="2:18" ht="15.6" x14ac:dyDescent="0.3">
      <c r="E37" s="18"/>
      <c r="F37" s="25"/>
      <c r="G37" s="26"/>
      <c r="H37" s="8"/>
      <c r="I37" s="8"/>
      <c r="K37" s="25"/>
      <c r="L37" s="42"/>
      <c r="M37" s="9"/>
    </row>
    <row r="38" spans="2:18" ht="15.6" x14ac:dyDescent="0.3">
      <c r="E38" s="18"/>
      <c r="F38" s="25"/>
      <c r="G38" s="26"/>
      <c r="H38" s="8"/>
      <c r="I38" s="8"/>
      <c r="K38" s="25"/>
      <c r="L38" s="42"/>
      <c r="M38" s="9"/>
    </row>
    <row r="39" spans="2:18" ht="15.6" x14ac:dyDescent="0.3">
      <c r="E39" s="18"/>
      <c r="F39" s="39"/>
      <c r="G39" s="26"/>
      <c r="H39" s="8"/>
      <c r="I39" s="8"/>
      <c r="K39" s="25"/>
      <c r="L39" s="42"/>
      <c r="M39" s="9"/>
    </row>
    <row r="40" spans="2:18" ht="15.6" x14ac:dyDescent="0.3">
      <c r="E40" s="35"/>
      <c r="F40" s="36"/>
      <c r="G40" s="37"/>
      <c r="H40" s="17"/>
      <c r="I40" s="8"/>
      <c r="K40" s="36"/>
      <c r="L40" s="43"/>
      <c r="M40" s="46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E26" sqref="E26:I28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'01'!B1+1</f>
        <v>45140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6" x14ac:dyDescent="0.3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K15" sqref="K15:M1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'02'!B1+1</f>
        <v>45141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6" x14ac:dyDescent="0.3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F11" sqref="F1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'03'!B1+1</f>
        <v>45142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55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55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6" x14ac:dyDescent="0.3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E26" sqref="E26:I30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'04'!B1+1</f>
        <v>45143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55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55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55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55"/>
      <c r="H12" s="8"/>
      <c r="I12" s="8"/>
      <c r="J12" s="2"/>
      <c r="R12" s="1">
        <f>IF(vend5[[#This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55"/>
      <c r="H13" s="8"/>
      <c r="I13" s="8"/>
      <c r="J13" s="2"/>
      <c r="K13" s="63" t="s">
        <v>23</v>
      </c>
      <c r="L13" s="64"/>
      <c r="M13" s="65"/>
      <c r="R13" s="1">
        <f>IF(vend5[[#This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55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6" x14ac:dyDescent="0.3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C14" sqref="C14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'05'!B1+1</f>
        <v>45144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6" x14ac:dyDescent="0.3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K9" sqref="K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'06'!B1+1</f>
        <v>45145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IF(vend7[[#This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IF(vend7[[#This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IF(vend7[[#This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IF(vend7[[#This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6" x14ac:dyDescent="0.3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47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47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47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47"/>
      <c r="L27" s="9"/>
      <c r="M27" s="16"/>
    </row>
    <row r="28" spans="2:18" ht="15.6" x14ac:dyDescent="0.3">
      <c r="B28" s="2"/>
      <c r="C28" s="2"/>
      <c r="D28" s="2"/>
      <c r="E28" s="18"/>
      <c r="F28" s="25"/>
      <c r="G28" s="55"/>
      <c r="H28" s="8"/>
      <c r="I28" s="8"/>
      <c r="J28" s="2"/>
      <c r="K28" s="47"/>
      <c r="L28" s="9"/>
      <c r="M28" s="16"/>
    </row>
    <row r="29" spans="2:18" ht="15.6" x14ac:dyDescent="0.3">
      <c r="B29" s="2"/>
      <c r="C29" s="2"/>
      <c r="D29" s="2"/>
      <c r="E29" s="18"/>
      <c r="F29" s="25"/>
      <c r="G29" s="55"/>
      <c r="H29" s="8"/>
      <c r="I29" s="8"/>
      <c r="J29" s="2"/>
      <c r="K29" s="47"/>
      <c r="L29" s="9"/>
      <c r="M29" s="16"/>
    </row>
    <row r="30" spans="2:18" ht="15.6" x14ac:dyDescent="0.3">
      <c r="B30" s="2"/>
      <c r="C30" s="2"/>
      <c r="D30" s="2"/>
      <c r="E30" s="18"/>
      <c r="F30" s="57"/>
      <c r="G30" s="55"/>
      <c r="H30" s="8"/>
      <c r="I30" s="8"/>
      <c r="J30" s="2"/>
      <c r="K30" s="47"/>
      <c r="L30" s="9"/>
      <c r="M30" s="16"/>
    </row>
    <row r="31" spans="2:18" ht="15.6" x14ac:dyDescent="0.3">
      <c r="B31" s="2"/>
      <c r="C31" s="2"/>
      <c r="D31" s="2"/>
      <c r="E31" s="18"/>
      <c r="F31" s="57"/>
      <c r="G31" s="56"/>
      <c r="H31" s="17"/>
      <c r="I31" s="17"/>
      <c r="J31" s="2"/>
      <c r="K31" s="47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E26" sqref="E26:I3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'07'!B1+1</f>
        <v>45146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4.4" x14ac:dyDescent="0.3">
      <c r="B6" s="23" t="s">
        <v>2</v>
      </c>
      <c r="C6" s="24">
        <f>SUM(I6:I41)</f>
        <v>0</v>
      </c>
      <c r="D6" s="2"/>
      <c r="E6" s="5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4.4" x14ac:dyDescent="0.3">
      <c r="B7" s="23" t="s">
        <v>3</v>
      </c>
      <c r="C7" s="24">
        <f>SUM(M6:M11)</f>
        <v>0</v>
      </c>
      <c r="D7" s="2"/>
      <c r="E7" s="5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5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4.4" x14ac:dyDescent="0.3">
      <c r="B9" s="2"/>
      <c r="C9" s="2"/>
      <c r="D9" s="2"/>
      <c r="E9" s="5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4.4" x14ac:dyDescent="0.3">
      <c r="B10" s="61" t="s">
        <v>5</v>
      </c>
      <c r="C10" s="61"/>
      <c r="D10" s="2"/>
      <c r="E10" s="58"/>
      <c r="F10" s="8"/>
      <c r="G10" s="8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4.4" x14ac:dyDescent="0.3">
      <c r="B11" s="30" t="s">
        <v>6</v>
      </c>
      <c r="C11" s="31">
        <f>(SUMIF($G$2:$G$31,B11,$I$2:$I$31))+(SUMIF($G$35:$G$41,B11,$H$35:$H$41))</f>
        <v>0</v>
      </c>
      <c r="D11" s="2"/>
      <c r="E11" s="58"/>
      <c r="F11" s="8"/>
      <c r="G11" s="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4.4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58"/>
      <c r="F12" s="8"/>
      <c r="G12" s="8"/>
      <c r="H12" s="8"/>
      <c r="I12" s="8"/>
      <c r="J12" s="2"/>
      <c r="R12" s="1">
        <f>IF(vend8[[#This Row],[Nº Venda]]&gt;1,1,0)</f>
        <v>0</v>
      </c>
    </row>
    <row r="13" spans="2:18" ht="14.4" x14ac:dyDescent="0.3">
      <c r="B13" s="30" t="s">
        <v>8</v>
      </c>
      <c r="C13" s="31">
        <f t="shared" si="0"/>
        <v>0</v>
      </c>
      <c r="D13" s="2"/>
      <c r="E13" s="58"/>
      <c r="F13" s="8"/>
      <c r="G13" s="8"/>
      <c r="H13" s="8"/>
      <c r="I13" s="8"/>
      <c r="J13" s="2"/>
      <c r="K13" s="63" t="s">
        <v>23</v>
      </c>
      <c r="L13" s="64"/>
      <c r="M13" s="65"/>
      <c r="R13" s="1">
        <f>IF(vend8[[#This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6" x14ac:dyDescent="0.3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51"/>
      <c r="F28" s="52"/>
      <c r="G28" s="49"/>
      <c r="H28" s="50"/>
      <c r="I28" s="50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K15" sqref="K15:M1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'08'!B1+1</f>
        <v>45147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IF(vend9[[#This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6" x14ac:dyDescent="0.3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55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K15" sqref="K15:M18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'09'!B1+1</f>
        <v>45148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55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IF(vend10[[#This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6" x14ac:dyDescent="0.3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M15" sqref="M15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'10'!B1+1</f>
        <v>45149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55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55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55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9"/>
      <c r="M15" s="16"/>
      <c r="R15" s="1">
        <f>IF(vend11[[#This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18"/>
      <c r="L16" s="9"/>
      <c r="M16" s="16"/>
      <c r="R16" s="1">
        <f>IF(vend11[[#This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6" x14ac:dyDescent="0.3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55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/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'11'!B1+1</f>
        <v>45150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IF(vend12[[#This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IF(vend12[[#This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IF(vend12[[#This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55"/>
      <c r="H9" s="59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55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55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55"/>
      <c r="H12" s="8"/>
      <c r="I12" s="8"/>
      <c r="J12" s="2"/>
      <c r="R12" s="1">
        <f>IF(vend12[[#This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55"/>
      <c r="H13" s="8"/>
      <c r="I13" s="8"/>
      <c r="J13" s="2"/>
      <c r="K13" s="63" t="s">
        <v>23</v>
      </c>
      <c r="L13" s="64"/>
      <c r="M13" s="65"/>
      <c r="R13" s="1">
        <f>IF(vend12[[#This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6" x14ac:dyDescent="0.3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55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C14" sqref="C14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'12'!B1+1</f>
        <v>45151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6" x14ac:dyDescent="0.3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abSelected="1" zoomScale="80" zoomScaleNormal="80" workbookViewId="0">
      <selection activeCell="E6" sqref="E6:I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'13'!B1+1</f>
        <v>45152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6" x14ac:dyDescent="0.3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2"/>
  <sheetViews>
    <sheetView showGridLines="0" zoomScale="80" zoomScaleNormal="80" workbookViewId="0">
      <selection activeCell="C14" sqref="C14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'14'!B1+1</f>
        <v>45153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740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SUM(I6:I42)</f>
        <v>2136.6999999999998</v>
      </c>
      <c r="D6" s="2"/>
      <c r="E6" s="18">
        <v>2989</v>
      </c>
      <c r="F6" s="25" t="s">
        <v>42</v>
      </c>
      <c r="G6" s="55" t="s">
        <v>7</v>
      </c>
      <c r="H6" s="8">
        <v>540</v>
      </c>
      <c r="I6" s="8">
        <v>540</v>
      </c>
      <c r="J6" s="2"/>
      <c r="K6" s="25"/>
      <c r="L6" s="9"/>
      <c r="M6" s="16"/>
      <c r="R6" s="1">
        <f>IF(vend15[[#This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2990</v>
      </c>
      <c r="F7" s="25" t="s">
        <v>43</v>
      </c>
      <c r="G7" s="55" t="s">
        <v>21</v>
      </c>
      <c r="H7" s="8">
        <v>0</v>
      </c>
      <c r="I7" s="8">
        <v>0</v>
      </c>
      <c r="J7" s="2"/>
      <c r="K7" s="25"/>
      <c r="L7" s="9"/>
      <c r="M7" s="16"/>
      <c r="R7" s="1">
        <f>IF(vend15[[#This Row],[Nº Venda]]&gt;1,1,0)</f>
        <v>1</v>
      </c>
    </row>
    <row r="8" spans="2:18" ht="15.6" x14ac:dyDescent="0.3">
      <c r="B8" s="28" t="s">
        <v>22</v>
      </c>
      <c r="C8" s="29">
        <f>SUM(C6:C7)</f>
        <v>2136.6999999999998</v>
      </c>
      <c r="D8" s="2"/>
      <c r="E8" s="18">
        <v>2991</v>
      </c>
      <c r="F8" s="25" t="s">
        <v>44</v>
      </c>
      <c r="G8" s="55" t="s">
        <v>10</v>
      </c>
      <c r="H8" s="8">
        <v>100</v>
      </c>
      <c r="I8" s="8">
        <v>100</v>
      </c>
      <c r="J8" s="2"/>
      <c r="K8" s="25"/>
      <c r="L8" s="9"/>
      <c r="M8" s="16"/>
      <c r="R8" s="1">
        <f>IF(vend15[[#This Row],[Nº Venda]]&gt;1,1,0)</f>
        <v>1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591.5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615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IF(vend15[[#This Row],[Nº Venda]]&gt;1,1,0)</f>
        <v>0</v>
      </c>
    </row>
    <row r="14" spans="2:18" ht="15.6" x14ac:dyDescent="0.3">
      <c r="B14" s="30" t="s">
        <v>9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6" x14ac:dyDescent="0.3">
      <c r="B15" s="30" t="s">
        <v>10</v>
      </c>
      <c r="C15" s="31">
        <f t="shared" si="0"/>
        <v>290.2</v>
      </c>
      <c r="D15" s="2"/>
      <c r="E15" s="18"/>
      <c r="F15" s="25"/>
      <c r="G15" s="26"/>
      <c r="H15" s="8"/>
      <c r="I15" s="8"/>
      <c r="J15" s="2"/>
      <c r="K15" s="25">
        <v>2716</v>
      </c>
      <c r="L15" s="9" t="s">
        <v>45</v>
      </c>
      <c r="M15" s="16" t="s">
        <v>35</v>
      </c>
      <c r="R15" s="1">
        <f>IF(vend15[[#This Row],[Nº Venda]]&gt;1,1,0)</f>
        <v>0</v>
      </c>
    </row>
    <row r="16" spans="2:18" ht="15.6" x14ac:dyDescent="0.3">
      <c r="B16" s="28" t="s">
        <v>11</v>
      </c>
      <c r="C16" s="32">
        <f>SUM(C11:C15)</f>
        <v>1996.7</v>
      </c>
      <c r="D16" s="2"/>
      <c r="E16" s="18"/>
      <c r="F16" s="25"/>
      <c r="G16" s="26"/>
      <c r="H16" s="8"/>
      <c r="I16" s="8"/>
      <c r="J16" s="2"/>
      <c r="K16" s="25">
        <v>2603</v>
      </c>
      <c r="L16" s="9" t="s">
        <v>45</v>
      </c>
      <c r="M16" s="16" t="s">
        <v>35</v>
      </c>
      <c r="R16" s="1">
        <f>IF(vend15[[#This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2852</v>
      </c>
      <c r="L17" s="9" t="s">
        <v>45</v>
      </c>
      <c r="M17" s="16" t="s">
        <v>35</v>
      </c>
      <c r="R17" s="1">
        <f>IF(vend15[[#This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6" x14ac:dyDescent="0.3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740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2988</v>
      </c>
      <c r="F26" s="25" t="s">
        <v>46</v>
      </c>
      <c r="G26" s="55" t="s">
        <v>6</v>
      </c>
      <c r="H26" s="8">
        <v>100</v>
      </c>
      <c r="I26" s="8">
        <v>100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2716</v>
      </c>
      <c r="F27" s="25" t="s">
        <v>47</v>
      </c>
      <c r="G27" s="55" t="s">
        <v>7</v>
      </c>
      <c r="H27" s="8"/>
      <c r="I27" s="8">
        <v>75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2603</v>
      </c>
      <c r="F28" s="25" t="s">
        <v>48</v>
      </c>
      <c r="G28" s="55" t="s">
        <v>10</v>
      </c>
      <c r="H28" s="8"/>
      <c r="I28" s="8">
        <v>190.2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>
        <v>2867</v>
      </c>
      <c r="F29" s="25" t="s">
        <v>49</v>
      </c>
      <c r="G29" s="55" t="s">
        <v>9</v>
      </c>
      <c r="H29" s="8"/>
      <c r="I29" s="8">
        <v>500</v>
      </c>
      <c r="J29" s="2"/>
      <c r="K29" s="25"/>
      <c r="L29" s="9"/>
      <c r="M29" s="16"/>
    </row>
    <row r="30" spans="2:18" ht="15.6" x14ac:dyDescent="0.3">
      <c r="B30" s="2"/>
      <c r="C30" s="2"/>
      <c r="D30" s="2"/>
      <c r="E30" s="18">
        <v>2852</v>
      </c>
      <c r="F30" s="57" t="s">
        <v>50</v>
      </c>
      <c r="G30" s="55" t="s">
        <v>6</v>
      </c>
      <c r="H30" s="8"/>
      <c r="I30" s="8">
        <v>96.5</v>
      </c>
      <c r="J30" s="2"/>
      <c r="K30" s="25"/>
      <c r="L30" s="9"/>
      <c r="M30" s="16"/>
    </row>
    <row r="31" spans="2:18" ht="15.6" x14ac:dyDescent="0.3">
      <c r="B31" s="2"/>
      <c r="C31" s="2"/>
      <c r="D31" s="2"/>
      <c r="E31" s="35">
        <v>2946</v>
      </c>
      <c r="F31" s="36" t="s">
        <v>51</v>
      </c>
      <c r="G31" s="56" t="s">
        <v>6</v>
      </c>
      <c r="H31" s="17"/>
      <c r="I31" s="17">
        <v>395</v>
      </c>
      <c r="J31" s="2"/>
      <c r="K31" s="25"/>
      <c r="L31" s="9"/>
      <c r="M31" s="16"/>
    </row>
    <row r="32" spans="2:18" ht="15.6" x14ac:dyDescent="0.3">
      <c r="B32" s="2"/>
      <c r="C32" s="2"/>
      <c r="E32" s="51">
        <v>2314</v>
      </c>
      <c r="F32" s="52" t="s">
        <v>52</v>
      </c>
      <c r="G32" s="54" t="s">
        <v>10</v>
      </c>
      <c r="H32" s="50"/>
      <c r="I32" s="50">
        <v>140</v>
      </c>
    </row>
    <row r="33" spans="2:18" ht="14.4" x14ac:dyDescent="0.3">
      <c r="B33" s="2"/>
      <c r="C33" s="2"/>
      <c r="E33" s="33"/>
      <c r="K33" s="63" t="s">
        <v>12</v>
      </c>
      <c r="L33" s="64"/>
      <c r="M33" s="65"/>
    </row>
    <row r="34" spans="2:18" ht="14.4" x14ac:dyDescent="0.3">
      <c r="E34" s="62" t="s">
        <v>29</v>
      </c>
      <c r="F34" s="62"/>
      <c r="G34" s="62"/>
      <c r="H34" s="62"/>
      <c r="I34" s="62"/>
      <c r="K34" s="14" t="s">
        <v>24</v>
      </c>
      <c r="L34" s="6" t="s">
        <v>32</v>
      </c>
      <c r="M34" s="15" t="s">
        <v>33</v>
      </c>
    </row>
    <row r="35" spans="2:18" ht="14.4" x14ac:dyDescent="0.3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25"/>
      <c r="G39" s="26"/>
      <c r="H39" s="8"/>
      <c r="I39" s="8"/>
      <c r="K39" s="25"/>
      <c r="L39" s="42"/>
      <c r="M39" s="16"/>
    </row>
    <row r="40" spans="2:18" ht="15.6" x14ac:dyDescent="0.3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6" x14ac:dyDescent="0.3">
      <c r="E41" s="35"/>
      <c r="F41" s="36"/>
      <c r="G41" s="37"/>
      <c r="H41" s="17"/>
      <c r="I41" s="8"/>
      <c r="K41" s="45"/>
      <c r="L41" s="42"/>
      <c r="M41" s="40"/>
    </row>
    <row r="42" spans="2:18" ht="15.6" x14ac:dyDescent="0.3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G36:G42 G26:G32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I36:I42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U16" sqref="U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'15'!B1+1</f>
        <v>45154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4560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1970</v>
      </c>
      <c r="D6" s="2"/>
      <c r="E6" s="18">
        <v>2992</v>
      </c>
      <c r="F6" s="25" t="s">
        <v>53</v>
      </c>
      <c r="G6" s="55" t="s">
        <v>7</v>
      </c>
      <c r="H6" s="8">
        <v>1350</v>
      </c>
      <c r="I6" s="8">
        <v>100</v>
      </c>
      <c r="J6" s="2"/>
      <c r="K6" s="25"/>
      <c r="L6" s="9"/>
      <c r="M6" s="16"/>
      <c r="R6" s="1">
        <f>IF(vend16[[#This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2993</v>
      </c>
      <c r="F7" s="25" t="s">
        <v>54</v>
      </c>
      <c r="G7" s="55" t="s">
        <v>21</v>
      </c>
      <c r="H7" s="8">
        <v>0</v>
      </c>
      <c r="I7" s="8">
        <v>0</v>
      </c>
      <c r="J7" s="2"/>
      <c r="K7" s="25"/>
      <c r="L7" s="9"/>
      <c r="M7" s="16"/>
      <c r="R7" s="1">
        <f>IF(vend16[[#This Row],[Nº Venda]]&gt;1,1,0)</f>
        <v>1</v>
      </c>
    </row>
    <row r="8" spans="2:18" ht="15.6" x14ac:dyDescent="0.3">
      <c r="B8" s="28" t="s">
        <v>22</v>
      </c>
      <c r="C8" s="29">
        <f>SUM(C6:C7)</f>
        <v>1970</v>
      </c>
      <c r="D8" s="2"/>
      <c r="E8" s="18">
        <v>2994</v>
      </c>
      <c r="F8" s="25" t="s">
        <v>55</v>
      </c>
      <c r="G8" s="55" t="s">
        <v>9</v>
      </c>
      <c r="H8" s="8">
        <v>450</v>
      </c>
      <c r="I8" s="8">
        <v>450</v>
      </c>
      <c r="J8" s="2"/>
      <c r="K8" s="25"/>
      <c r="L8" s="9"/>
      <c r="M8" s="16"/>
      <c r="R8" s="1">
        <f>IF(vend16[[#This Row],[Nº Venda]]&gt;1,1,0)</f>
        <v>1</v>
      </c>
    </row>
    <row r="9" spans="2:18" ht="15.6" x14ac:dyDescent="0.3">
      <c r="B9" s="2"/>
      <c r="C9" s="2"/>
      <c r="D9" s="2"/>
      <c r="E9" s="18">
        <v>2995</v>
      </c>
      <c r="F9" s="25" t="s">
        <v>56</v>
      </c>
      <c r="G9" s="55" t="s">
        <v>9</v>
      </c>
      <c r="H9" s="8">
        <v>370</v>
      </c>
      <c r="I9" s="8">
        <v>370</v>
      </c>
      <c r="J9" s="2"/>
      <c r="K9" s="25"/>
      <c r="L9" s="9"/>
      <c r="M9" s="16"/>
      <c r="R9" s="1">
        <f>IF(vend16[[#This Row],[Nº Venda]]&gt;1,1,0)</f>
        <v>1</v>
      </c>
    </row>
    <row r="10" spans="2:18" ht="15.6" x14ac:dyDescent="0.3">
      <c r="B10" s="61" t="s">
        <v>5</v>
      </c>
      <c r="C10" s="61"/>
      <c r="D10" s="2"/>
      <c r="E10" s="18">
        <v>2996</v>
      </c>
      <c r="F10" s="25" t="s">
        <v>57</v>
      </c>
      <c r="G10" s="55" t="s">
        <v>9</v>
      </c>
      <c r="H10" s="8">
        <v>700</v>
      </c>
      <c r="I10" s="8">
        <v>700</v>
      </c>
      <c r="J10" s="2"/>
      <c r="K10" s="25"/>
      <c r="L10" s="9"/>
      <c r="M10" s="16"/>
      <c r="R10" s="1">
        <f>IF(vend16[[#This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>
        <v>2997</v>
      </c>
      <c r="F11" s="25" t="s">
        <v>58</v>
      </c>
      <c r="G11" s="55" t="s">
        <v>10</v>
      </c>
      <c r="H11" s="8">
        <v>1390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>
        <v>2998</v>
      </c>
      <c r="F12" s="25" t="s">
        <v>59</v>
      </c>
      <c r="G12" s="55" t="s">
        <v>21</v>
      </c>
      <c r="H12" s="8">
        <v>0</v>
      </c>
      <c r="I12" s="8">
        <v>0</v>
      </c>
      <c r="J12" s="2"/>
      <c r="R12" s="1">
        <f>IF(vend16[[#This Row],[Nº Venda]]&gt;1,1,0)</f>
        <v>1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>
        <v>2999</v>
      </c>
      <c r="F13" s="25" t="s">
        <v>60</v>
      </c>
      <c r="G13" s="55" t="s">
        <v>9</v>
      </c>
      <c r="H13" s="8">
        <v>300</v>
      </c>
      <c r="I13" s="8">
        <v>300</v>
      </c>
      <c r="J13" s="2"/>
      <c r="K13" s="63" t="s">
        <v>23</v>
      </c>
      <c r="L13" s="64"/>
      <c r="M13" s="65"/>
      <c r="R13" s="1">
        <f>IF(vend16[[#This Row],[Nº Venda]]&gt;1,1,0)</f>
        <v>1</v>
      </c>
    </row>
    <row r="14" spans="2:18" ht="15.6" x14ac:dyDescent="0.3">
      <c r="B14" s="30" t="s">
        <v>9</v>
      </c>
      <c r="C14" s="31">
        <f t="shared" si="0"/>
        <v>1820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6" x14ac:dyDescent="0.3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2941</v>
      </c>
      <c r="L15" s="9" t="s">
        <v>66</v>
      </c>
      <c r="M15" s="16" t="s">
        <v>67</v>
      </c>
      <c r="R15" s="1">
        <f>IF(vend16[[#This Row],[Nº Venda]]&gt;1,1,0)</f>
        <v>0</v>
      </c>
    </row>
    <row r="16" spans="2:18" ht="15.6" x14ac:dyDescent="0.3">
      <c r="B16" s="28" t="s">
        <v>11</v>
      </c>
      <c r="C16" s="32">
        <f>SUM(C11:C15)</f>
        <v>1970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6" x14ac:dyDescent="0.3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4560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8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K17" sqref="K1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'16'!B1+1</f>
        <v>45155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3740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3930</v>
      </c>
      <c r="D6" s="2"/>
      <c r="E6" s="18">
        <v>3000</v>
      </c>
      <c r="F6" s="25" t="s">
        <v>61</v>
      </c>
      <c r="G6" s="26" t="s">
        <v>10</v>
      </c>
      <c r="H6" s="8">
        <v>450</v>
      </c>
      <c r="I6" s="8">
        <v>50</v>
      </c>
      <c r="J6" s="2"/>
      <c r="K6" s="25"/>
      <c r="L6" s="9"/>
      <c r="M6" s="16"/>
      <c r="R6" s="1">
        <f>IF(vend17[[#This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3001</v>
      </c>
      <c r="F7" s="25" t="s">
        <v>62</v>
      </c>
      <c r="G7" s="26" t="s">
        <v>9</v>
      </c>
      <c r="H7" s="8">
        <v>1490</v>
      </c>
      <c r="I7" s="8">
        <v>1490</v>
      </c>
      <c r="J7" s="2"/>
      <c r="K7" s="25"/>
      <c r="L7" s="9"/>
      <c r="M7" s="16"/>
      <c r="R7" s="1">
        <f>IF(vend17[[#This Row],[Nº Venda]]&gt;1,1,0)</f>
        <v>1</v>
      </c>
    </row>
    <row r="8" spans="2:18" ht="15.6" x14ac:dyDescent="0.3">
      <c r="B8" s="28" t="s">
        <v>22</v>
      </c>
      <c r="C8" s="29">
        <f>SUM(C6:C7)</f>
        <v>3930</v>
      </c>
      <c r="D8" s="2"/>
      <c r="E8" s="18">
        <v>3002</v>
      </c>
      <c r="F8" s="25" t="s">
        <v>63</v>
      </c>
      <c r="G8" s="26" t="s">
        <v>9</v>
      </c>
      <c r="H8" s="8">
        <v>750</v>
      </c>
      <c r="I8" s="8">
        <v>750</v>
      </c>
      <c r="J8" s="2"/>
      <c r="K8" s="25"/>
      <c r="L8" s="9"/>
      <c r="M8" s="16"/>
      <c r="R8" s="1">
        <f>IF(vend17[[#This Row],[Nº Venda]]&gt;1,1,0)</f>
        <v>1</v>
      </c>
    </row>
    <row r="9" spans="2:18" ht="15.6" x14ac:dyDescent="0.3">
      <c r="B9" s="2"/>
      <c r="C9" s="2"/>
      <c r="D9" s="2"/>
      <c r="E9" s="18">
        <v>3003</v>
      </c>
      <c r="F9" s="25" t="s">
        <v>64</v>
      </c>
      <c r="G9" s="26" t="s">
        <v>6</v>
      </c>
      <c r="H9" s="8">
        <v>550</v>
      </c>
      <c r="I9" s="8">
        <v>200</v>
      </c>
      <c r="J9" s="2"/>
      <c r="K9" s="25"/>
      <c r="L9" s="9"/>
      <c r="M9" s="16"/>
      <c r="R9" s="1">
        <f>IF(vend17[[#This Row],[Nº Venda]]&gt;1,1,0)</f>
        <v>1</v>
      </c>
    </row>
    <row r="10" spans="2:18" ht="15.6" x14ac:dyDescent="0.3">
      <c r="B10" s="61" t="s">
        <v>5</v>
      </c>
      <c r="C10" s="61"/>
      <c r="D10" s="2"/>
      <c r="E10" s="18">
        <v>3004</v>
      </c>
      <c r="F10" s="25" t="s">
        <v>65</v>
      </c>
      <c r="G10" s="26" t="s">
        <v>7</v>
      </c>
      <c r="H10" s="8">
        <v>500</v>
      </c>
      <c r="I10" s="8">
        <v>100</v>
      </c>
      <c r="J10" s="2"/>
      <c r="K10" s="25"/>
      <c r="L10" s="9"/>
      <c r="M10" s="16"/>
      <c r="R10" s="1">
        <f>IF(vend17[[#This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337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IF(vend17[[#This Row],[Nº Venda]]&gt;1,1,0)</f>
        <v>0</v>
      </c>
    </row>
    <row r="14" spans="2:18" ht="15.6" x14ac:dyDescent="0.3">
      <c r="B14" s="30" t="s">
        <v>9</v>
      </c>
      <c r="C14" s="31">
        <f t="shared" si="0"/>
        <v>3580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6" x14ac:dyDescent="0.3">
      <c r="B15" s="30" t="s">
        <v>10</v>
      </c>
      <c r="C15" s="31">
        <f t="shared" si="0"/>
        <v>126</v>
      </c>
      <c r="D15" s="2"/>
      <c r="E15" s="18"/>
      <c r="F15" s="25"/>
      <c r="G15" s="26"/>
      <c r="H15" s="8"/>
      <c r="I15" s="8"/>
      <c r="J15" s="2"/>
      <c r="K15" s="25">
        <v>2965</v>
      </c>
      <c r="L15" s="9" t="s">
        <v>66</v>
      </c>
      <c r="M15" s="16" t="s">
        <v>67</v>
      </c>
      <c r="R15" s="1">
        <f>IF(vend17[[#This Row],[Nº Venda]]&gt;1,1,0)</f>
        <v>0</v>
      </c>
    </row>
    <row r="16" spans="2:18" ht="15.6" x14ac:dyDescent="0.3">
      <c r="B16" s="28" t="s">
        <v>11</v>
      </c>
      <c r="C16" s="32">
        <f>SUM(C11:C15)</f>
        <v>4243</v>
      </c>
      <c r="D16" s="2"/>
      <c r="E16" s="18"/>
      <c r="F16" s="25"/>
      <c r="G16" s="26"/>
      <c r="H16" s="8"/>
      <c r="I16" s="8"/>
      <c r="J16" s="2"/>
      <c r="K16" s="25">
        <v>2938</v>
      </c>
      <c r="L16" s="9" t="s">
        <v>66</v>
      </c>
      <c r="M16" s="16" t="s">
        <v>67</v>
      </c>
      <c r="R16" s="1">
        <f>IF(vend17[[#This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6" x14ac:dyDescent="0.3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3740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2997</v>
      </c>
      <c r="F26" s="25" t="s">
        <v>58</v>
      </c>
      <c r="G26" s="26" t="s">
        <v>9</v>
      </c>
      <c r="H26" s="8"/>
      <c r="I26" s="8">
        <v>1340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2717</v>
      </c>
      <c r="F35" s="25" t="s">
        <v>68</v>
      </c>
      <c r="G35" s="26" t="s">
        <v>7</v>
      </c>
      <c r="H35" s="8">
        <v>237</v>
      </c>
      <c r="I35" s="8" t="s">
        <v>69</v>
      </c>
      <c r="K35" s="25"/>
      <c r="L35" s="42"/>
      <c r="M35" s="16"/>
    </row>
    <row r="36" spans="2:18" ht="15.6" x14ac:dyDescent="0.3">
      <c r="E36" s="18">
        <v>2233</v>
      </c>
      <c r="F36" s="25" t="s">
        <v>70</v>
      </c>
      <c r="G36" s="26" t="s">
        <v>10</v>
      </c>
      <c r="H36" s="8">
        <v>76</v>
      </c>
      <c r="I36" s="8" t="s">
        <v>71</v>
      </c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U16" sqref="U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'17'!B1+1</f>
        <v>45156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99.5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99.5</v>
      </c>
      <c r="D6" s="2"/>
      <c r="E6" s="18">
        <v>3005</v>
      </c>
      <c r="F6" s="25" t="s">
        <v>72</v>
      </c>
      <c r="G6" s="26" t="s">
        <v>8</v>
      </c>
      <c r="H6" s="8">
        <v>99.5</v>
      </c>
      <c r="I6" s="8">
        <v>99.5</v>
      </c>
      <c r="J6" s="2"/>
      <c r="K6" s="25"/>
      <c r="L6" s="9"/>
      <c r="M6" s="16"/>
      <c r="R6" s="1">
        <f>IF(vend18[[#This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6" x14ac:dyDescent="0.3">
      <c r="B8" s="28" t="s">
        <v>22</v>
      </c>
      <c r="C8" s="29">
        <f>SUM(C6:C7)</f>
        <v>99.5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80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6" x14ac:dyDescent="0.3">
      <c r="B13" s="30" t="s">
        <v>8</v>
      </c>
      <c r="C13" s="31">
        <f t="shared" si="0"/>
        <v>99.5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2953</v>
      </c>
      <c r="L15" s="9" t="s">
        <v>66</v>
      </c>
      <c r="M15" s="16" t="s">
        <v>67</v>
      </c>
      <c r="R15" s="1">
        <f>IF(vend18[[#This Row],[Nº Venda]]&gt;1,1,0)</f>
        <v>0</v>
      </c>
    </row>
    <row r="16" spans="2:18" ht="15.6" x14ac:dyDescent="0.3">
      <c r="B16" s="28" t="s">
        <v>11</v>
      </c>
      <c r="C16" s="32">
        <f>SUM(C11:C15)</f>
        <v>179.5</v>
      </c>
      <c r="D16" s="2"/>
      <c r="E16" s="18"/>
      <c r="F16" s="25"/>
      <c r="G16" s="26"/>
      <c r="H16" s="8"/>
      <c r="I16" s="8"/>
      <c r="J16" s="2"/>
      <c r="K16" s="25">
        <v>2943</v>
      </c>
      <c r="L16" s="9" t="s">
        <v>66</v>
      </c>
      <c r="M16" s="16" t="s">
        <v>67</v>
      </c>
      <c r="R16" s="1">
        <f>IF(vend18[[#This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6" x14ac:dyDescent="0.3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99.5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2751</v>
      </c>
      <c r="F35" s="25" t="s">
        <v>73</v>
      </c>
      <c r="G35" s="26" t="s">
        <v>7</v>
      </c>
      <c r="H35" s="8">
        <v>80</v>
      </c>
      <c r="I35" s="8" t="s">
        <v>74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C28" sqref="C28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'18'!B1+1</f>
        <v>45157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1320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2050</v>
      </c>
      <c r="D6" s="2"/>
      <c r="E6" s="18">
        <v>3006</v>
      </c>
      <c r="F6" s="25" t="s">
        <v>38</v>
      </c>
      <c r="G6" s="26" t="s">
        <v>6</v>
      </c>
      <c r="H6" s="8">
        <v>20</v>
      </c>
      <c r="I6" s="8">
        <v>20</v>
      </c>
      <c r="J6" s="2"/>
      <c r="K6" s="25"/>
      <c r="L6" s="9"/>
      <c r="M6" s="16"/>
      <c r="R6" s="1">
        <f>IF(vend19[[#This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3007</v>
      </c>
      <c r="F7" s="25" t="s">
        <v>164</v>
      </c>
      <c r="G7" s="26" t="s">
        <v>9</v>
      </c>
      <c r="H7" s="8">
        <v>1300</v>
      </c>
      <c r="I7" s="8">
        <v>1300</v>
      </c>
      <c r="J7" s="2"/>
      <c r="K7" s="25"/>
      <c r="L7" s="9"/>
      <c r="M7" s="16"/>
      <c r="R7" s="1">
        <f>IF(vend19[[#This Row],[Nº Venda]]&gt;1,1,0)</f>
        <v>1</v>
      </c>
    </row>
    <row r="8" spans="2:18" ht="15.6" x14ac:dyDescent="0.3">
      <c r="B8" s="28" t="s">
        <v>22</v>
      </c>
      <c r="C8" s="29">
        <f>SUM(C6:C7)</f>
        <v>2050</v>
      </c>
      <c r="D8" s="2"/>
      <c r="E8" s="18">
        <v>3008</v>
      </c>
      <c r="F8" s="25" t="s">
        <v>166</v>
      </c>
      <c r="G8" s="26" t="s">
        <v>21</v>
      </c>
      <c r="H8" s="8">
        <v>0</v>
      </c>
      <c r="I8" s="8">
        <v>0</v>
      </c>
      <c r="J8" s="2"/>
      <c r="K8" s="25"/>
      <c r="L8" s="9"/>
      <c r="M8" s="16"/>
      <c r="R8" s="1">
        <f>IF(vend19[[#This Row],[Nº Venda]]&gt;1,1,0)</f>
        <v>1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229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IF(vend19[[#This Row],[Nº Venda]]&gt;1,1,0)</f>
        <v>0</v>
      </c>
    </row>
    <row r="14" spans="2:18" ht="15.6" x14ac:dyDescent="0.3">
      <c r="B14" s="30" t="s">
        <v>9</v>
      </c>
      <c r="C14" s="31">
        <f t="shared" si="0"/>
        <v>1300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6" x14ac:dyDescent="0.3">
      <c r="B15" s="30" t="s">
        <v>10</v>
      </c>
      <c r="C15" s="31">
        <f t="shared" si="0"/>
        <v>630</v>
      </c>
      <c r="D15" s="2"/>
      <c r="E15" s="18"/>
      <c r="F15" s="25"/>
      <c r="G15" s="26"/>
      <c r="H15" s="8"/>
      <c r="I15" s="8"/>
      <c r="J15" s="2"/>
      <c r="K15" s="25">
        <v>2987</v>
      </c>
      <c r="L15" s="9" t="s">
        <v>162</v>
      </c>
      <c r="M15" s="16" t="s">
        <v>67</v>
      </c>
      <c r="R15" s="1">
        <f>IF(vend19[[#This Row],[Nº Venda]]&gt;1,1,0)</f>
        <v>0</v>
      </c>
    </row>
    <row r="16" spans="2:18" ht="15.6" x14ac:dyDescent="0.3">
      <c r="B16" s="28" t="s">
        <v>11</v>
      </c>
      <c r="C16" s="32">
        <f>SUM(C11:C15)</f>
        <v>2179</v>
      </c>
      <c r="D16" s="2"/>
      <c r="E16" s="18"/>
      <c r="F16" s="25"/>
      <c r="G16" s="26"/>
      <c r="H16" s="8"/>
      <c r="I16" s="8"/>
      <c r="J16" s="2"/>
      <c r="K16" s="25">
        <v>2982</v>
      </c>
      <c r="L16" s="9" t="s">
        <v>162</v>
      </c>
      <c r="M16" s="16" t="s">
        <v>67</v>
      </c>
      <c r="R16" s="1">
        <f>IF(vend19[[#This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2971</v>
      </c>
      <c r="L17" s="9" t="s">
        <v>162</v>
      </c>
      <c r="M17" s="16" t="s">
        <v>67</v>
      </c>
      <c r="R17" s="1">
        <f>IF(vend19[[#This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>
        <v>2950</v>
      </c>
      <c r="L18" s="9" t="s">
        <v>66</v>
      </c>
      <c r="M18" s="16" t="s">
        <v>67</v>
      </c>
      <c r="R18" s="1">
        <f>IF(vend19[[#This Row],[Nº Venda]]&gt;1,1,0)</f>
        <v>0</v>
      </c>
    </row>
    <row r="19" spans="2:18" ht="15.6" x14ac:dyDescent="0.3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1320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2987</v>
      </c>
      <c r="F26" s="25" t="s">
        <v>161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3000</v>
      </c>
      <c r="F27" s="25" t="s">
        <v>163</v>
      </c>
      <c r="G27" s="26" t="s">
        <v>10</v>
      </c>
      <c r="H27" s="8"/>
      <c r="I27" s="8">
        <v>400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2982</v>
      </c>
      <c r="F28" s="25" t="s">
        <v>40</v>
      </c>
      <c r="G28" s="26" t="s">
        <v>10</v>
      </c>
      <c r="H28" s="8"/>
      <c r="I28" s="8">
        <v>230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2372</v>
      </c>
      <c r="F35" s="25" t="s">
        <v>165</v>
      </c>
      <c r="G35" s="26" t="s">
        <v>7</v>
      </c>
      <c r="H35" s="8">
        <v>129</v>
      </c>
      <c r="I35" s="8" t="s">
        <v>94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B1" sqref="B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'19'!B1+1</f>
        <v>45158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IF(vend20[[#This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6" x14ac:dyDescent="0.3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W15" sqref="W15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'20'!B1+1</f>
        <v>45159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420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340</v>
      </c>
      <c r="D6" s="2"/>
      <c r="E6" s="18">
        <v>3009</v>
      </c>
      <c r="F6" s="25" t="s">
        <v>167</v>
      </c>
      <c r="G6" s="26" t="s">
        <v>6</v>
      </c>
      <c r="H6" s="8">
        <v>20</v>
      </c>
      <c r="I6" s="8">
        <v>20</v>
      </c>
      <c r="J6" s="2"/>
      <c r="K6" s="25"/>
      <c r="L6" s="9"/>
      <c r="M6" s="16"/>
      <c r="R6" s="1">
        <f>IF(vend21[[#This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3010</v>
      </c>
      <c r="F7" s="25" t="s">
        <v>168</v>
      </c>
      <c r="G7" s="26" t="s">
        <v>6</v>
      </c>
      <c r="H7" s="8">
        <v>400</v>
      </c>
      <c r="I7" s="8">
        <v>20</v>
      </c>
      <c r="J7" s="2"/>
      <c r="K7" s="25"/>
      <c r="L7" s="9"/>
      <c r="M7" s="16"/>
      <c r="R7" s="1">
        <f>IF(vend21[[#This Row],[Nº Venda]]&gt;1,1,0)</f>
        <v>1</v>
      </c>
    </row>
    <row r="8" spans="2:18" ht="15.6" x14ac:dyDescent="0.3">
      <c r="B8" s="28" t="s">
        <v>22</v>
      </c>
      <c r="C8" s="29">
        <f>SUM(C6:C7)</f>
        <v>340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340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2969</v>
      </c>
      <c r="L15" s="9" t="s">
        <v>162</v>
      </c>
      <c r="M15" s="16" t="s">
        <v>67</v>
      </c>
      <c r="R15" s="1">
        <f>IF(vend21[[#This Row],[Nº Venda]]&gt;1,1,0)</f>
        <v>0</v>
      </c>
    </row>
    <row r="16" spans="2:18" ht="15.6" x14ac:dyDescent="0.3">
      <c r="B16" s="28" t="s">
        <v>11</v>
      </c>
      <c r="C16" s="32">
        <f>SUM(C11:C15)</f>
        <v>340</v>
      </c>
      <c r="D16" s="2"/>
      <c r="E16" s="18"/>
      <c r="F16" s="25"/>
      <c r="G16" s="26"/>
      <c r="H16" s="8"/>
      <c r="I16" s="8"/>
      <c r="J16" s="2"/>
      <c r="K16" s="25">
        <v>2973</v>
      </c>
      <c r="L16" s="9" t="s">
        <v>162</v>
      </c>
      <c r="M16" s="16" t="s">
        <v>67</v>
      </c>
      <c r="R16" s="1">
        <f>IF(vend21[[#This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2846</v>
      </c>
      <c r="L17" s="9" t="s">
        <v>162</v>
      </c>
      <c r="M17" s="16" t="s">
        <v>67</v>
      </c>
      <c r="R17" s="1">
        <f>IF(vend21[[#This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6" x14ac:dyDescent="0.3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420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2846</v>
      </c>
      <c r="F26" s="25" t="s">
        <v>169</v>
      </c>
      <c r="G26" s="26" t="s">
        <v>6</v>
      </c>
      <c r="H26" s="8"/>
      <c r="I26" s="8">
        <v>300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topLeftCell="A9" zoomScale="80" zoomScaleNormal="80" workbookViewId="0">
      <selection activeCell="C14" sqref="C14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'21'!B1+1</f>
        <v>45160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940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640</v>
      </c>
      <c r="D6" s="2"/>
      <c r="E6" s="18">
        <v>3011</v>
      </c>
      <c r="F6" s="25" t="s">
        <v>170</v>
      </c>
      <c r="G6" s="26" t="s">
        <v>9</v>
      </c>
      <c r="H6" s="8">
        <v>390</v>
      </c>
      <c r="I6" s="8">
        <v>390</v>
      </c>
      <c r="J6" s="2"/>
      <c r="K6" s="25"/>
      <c r="L6" s="9"/>
      <c r="M6" s="16"/>
      <c r="R6" s="1">
        <f>IF(vend22[[#This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3012</v>
      </c>
      <c r="F7" s="25" t="s">
        <v>173</v>
      </c>
      <c r="G7" s="26" t="s">
        <v>8</v>
      </c>
      <c r="H7" s="8">
        <v>50</v>
      </c>
      <c r="I7" s="8">
        <v>50</v>
      </c>
      <c r="J7" s="2"/>
      <c r="K7" s="25"/>
      <c r="L7" s="9"/>
      <c r="M7" s="16"/>
      <c r="R7" s="1">
        <f>IF(vend22[[#This Row],[Nº Venda]]&gt;1,1,0)</f>
        <v>1</v>
      </c>
    </row>
    <row r="8" spans="2:18" ht="15.6" x14ac:dyDescent="0.3">
      <c r="B8" s="28" t="s">
        <v>22</v>
      </c>
      <c r="C8" s="29">
        <f>SUM(C6:C7)</f>
        <v>640</v>
      </c>
      <c r="D8" s="2"/>
      <c r="E8" s="18">
        <v>3013</v>
      </c>
      <c r="F8" s="25" t="s">
        <v>174</v>
      </c>
      <c r="G8" s="26" t="s">
        <v>10</v>
      </c>
      <c r="H8" s="8">
        <v>500</v>
      </c>
      <c r="I8" s="8">
        <v>100</v>
      </c>
      <c r="J8" s="2"/>
      <c r="K8" s="25"/>
      <c r="L8" s="9"/>
      <c r="M8" s="16"/>
      <c r="R8" s="1">
        <f>IF(vend22[[#This Row],[Nº Venda]]&gt;1,1,0)</f>
        <v>1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6" x14ac:dyDescent="0.3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IF(vend22[[#This Row],[Nº Venda]]&gt;1,1,0)</f>
        <v>0</v>
      </c>
    </row>
    <row r="14" spans="2:18" ht="15.6" x14ac:dyDescent="0.3">
      <c r="B14" s="30" t="s">
        <v>9</v>
      </c>
      <c r="C14" s="31">
        <f t="shared" si="0"/>
        <v>390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6" x14ac:dyDescent="0.3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2939</v>
      </c>
      <c r="L15" s="9" t="s">
        <v>172</v>
      </c>
      <c r="M15" s="16" t="s">
        <v>67</v>
      </c>
      <c r="R15" s="1">
        <f>IF(vend22[[#This Row],[Nº Venda]]&gt;1,1,0)</f>
        <v>0</v>
      </c>
    </row>
    <row r="16" spans="2:18" ht="15.6" x14ac:dyDescent="0.3">
      <c r="B16" s="28" t="s">
        <v>11</v>
      </c>
      <c r="C16" s="32">
        <f>SUM(C11:C15)</f>
        <v>640</v>
      </c>
      <c r="D16" s="2"/>
      <c r="E16" s="18"/>
      <c r="F16" s="25"/>
      <c r="G16" s="26"/>
      <c r="H16" s="8"/>
      <c r="I16" s="8"/>
      <c r="J16" s="2"/>
      <c r="K16" s="25">
        <v>2962</v>
      </c>
      <c r="L16" s="9" t="s">
        <v>36</v>
      </c>
      <c r="M16" s="16" t="s">
        <v>67</v>
      </c>
      <c r="R16" s="1">
        <f>IF(vend22[[#This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2985</v>
      </c>
      <c r="L17" s="9" t="s">
        <v>172</v>
      </c>
      <c r="M17" s="16" t="s">
        <v>67</v>
      </c>
      <c r="R17" s="1">
        <f>IF(vend22[[#This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6" x14ac:dyDescent="0.3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940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2962</v>
      </c>
      <c r="F26" s="25" t="s">
        <v>171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L19" sqref="L1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'22'!B1+1</f>
        <v>45161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1900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430</v>
      </c>
      <c r="D6" s="2"/>
      <c r="E6" s="18">
        <v>3014</v>
      </c>
      <c r="F6" s="25" t="s">
        <v>175</v>
      </c>
      <c r="G6" s="26" t="s">
        <v>6</v>
      </c>
      <c r="H6" s="8">
        <v>700</v>
      </c>
      <c r="I6" s="8">
        <v>100</v>
      </c>
      <c r="J6" s="2"/>
      <c r="K6" s="25"/>
      <c r="L6" s="9"/>
      <c r="M6" s="16"/>
      <c r="R6" s="1">
        <f>IF(vend23[[#This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3015</v>
      </c>
      <c r="F7" s="25" t="s">
        <v>176</v>
      </c>
      <c r="G7" s="26" t="s">
        <v>6</v>
      </c>
      <c r="H7" s="8">
        <v>800</v>
      </c>
      <c r="I7" s="8">
        <v>100</v>
      </c>
      <c r="J7" s="2"/>
      <c r="K7" s="25"/>
      <c r="L7" s="9"/>
      <c r="M7" s="16"/>
      <c r="R7" s="1">
        <f>IF(vend23[[#This Row],[Nº Venda]]&gt;1,1,0)</f>
        <v>1</v>
      </c>
    </row>
    <row r="8" spans="2:18" ht="15.6" x14ac:dyDescent="0.3">
      <c r="B8" s="28" t="s">
        <v>22</v>
      </c>
      <c r="C8" s="29">
        <f>SUM(C6:C7)</f>
        <v>430</v>
      </c>
      <c r="D8" s="2"/>
      <c r="E8" s="18">
        <v>3016</v>
      </c>
      <c r="F8" s="25" t="s">
        <v>178</v>
      </c>
      <c r="G8" s="26" t="s">
        <v>179</v>
      </c>
      <c r="H8" s="8">
        <v>400</v>
      </c>
      <c r="I8" s="8">
        <v>200</v>
      </c>
      <c r="J8" s="2"/>
      <c r="K8" s="25"/>
      <c r="L8" s="9"/>
      <c r="M8" s="16"/>
      <c r="R8" s="1">
        <f>IF(vend23[[#This Row],[Nº Venda]]&gt;1,1,0)</f>
        <v>1</v>
      </c>
    </row>
    <row r="9" spans="2:18" ht="15.6" x14ac:dyDescent="0.3">
      <c r="B9" s="2"/>
      <c r="C9" s="2"/>
      <c r="D9" s="2"/>
      <c r="E9" s="18">
        <v>3016</v>
      </c>
      <c r="F9" s="25" t="s">
        <v>178</v>
      </c>
      <c r="G9" s="26" t="s">
        <v>7</v>
      </c>
      <c r="H9" s="8">
        <v>0</v>
      </c>
      <c r="I9" s="8">
        <v>30</v>
      </c>
      <c r="J9" s="2"/>
      <c r="K9" s="25"/>
      <c r="L9" s="9"/>
      <c r="M9" s="16"/>
      <c r="R9" s="1">
        <f>IF(vend23[[#This Row],[Nº Venda]]&gt;1,1,0)</f>
        <v>1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6" x14ac:dyDescent="0.3">
      <c r="B13" s="30" t="s">
        <v>8</v>
      </c>
      <c r="C13" s="31">
        <f t="shared" si="0"/>
        <v>194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2983</v>
      </c>
      <c r="L15" s="9" t="s">
        <v>172</v>
      </c>
      <c r="M15" s="16" t="s">
        <v>67</v>
      </c>
      <c r="R15" s="1">
        <f>IF(vend23[[#This Row],[Nº Venda]]&gt;1,1,0)</f>
        <v>0</v>
      </c>
    </row>
    <row r="16" spans="2:18" ht="15.6" x14ac:dyDescent="0.3">
      <c r="B16" s="28" t="s">
        <v>11</v>
      </c>
      <c r="C16" s="32">
        <f>SUM(C11:C15)</f>
        <v>424</v>
      </c>
      <c r="D16" s="2"/>
      <c r="E16" s="18"/>
      <c r="F16" s="25"/>
      <c r="G16" s="26"/>
      <c r="H16" s="8"/>
      <c r="I16" s="8"/>
      <c r="J16" s="2"/>
      <c r="K16" s="25">
        <v>2986</v>
      </c>
      <c r="L16" s="9" t="s">
        <v>172</v>
      </c>
      <c r="M16" s="16" t="s">
        <v>67</v>
      </c>
      <c r="R16" s="1">
        <f>IF(vend23[[#This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2974</v>
      </c>
      <c r="L17" s="9" t="s">
        <v>172</v>
      </c>
      <c r="M17" s="16" t="s">
        <v>67</v>
      </c>
      <c r="R17" s="1">
        <f>IF(vend23[[#This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>
        <v>2959</v>
      </c>
      <c r="L18" s="9" t="s">
        <v>172</v>
      </c>
      <c r="M18" s="16" t="s">
        <v>67</v>
      </c>
      <c r="R18" s="1">
        <f>IF(vend23[[#This Row],[Nº Venda]]&gt;1,1,0)</f>
        <v>0</v>
      </c>
    </row>
    <row r="19" spans="2:18" ht="15.6" x14ac:dyDescent="0.3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1900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2329</v>
      </c>
      <c r="F35" s="25" t="s">
        <v>177</v>
      </c>
      <c r="G35" s="26" t="s">
        <v>8</v>
      </c>
      <c r="H35" s="8">
        <v>97</v>
      </c>
      <c r="I35" s="8" t="s">
        <v>109</v>
      </c>
      <c r="K35" s="25"/>
      <c r="L35" s="42"/>
      <c r="M35" s="16"/>
    </row>
    <row r="36" spans="2:18" ht="15.6" x14ac:dyDescent="0.3">
      <c r="E36" s="18">
        <v>2329</v>
      </c>
      <c r="F36" s="25" t="s">
        <v>177</v>
      </c>
      <c r="G36" s="26" t="s">
        <v>8</v>
      </c>
      <c r="H36" s="8">
        <v>97</v>
      </c>
      <c r="I36" s="8" t="s">
        <v>110</v>
      </c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4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base!$A$2:$A$10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B1" sqref="B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'23'!B1+1</f>
        <v>45162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6" x14ac:dyDescent="0.3">
      <c r="B8" s="28" t="s">
        <v>22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6" x14ac:dyDescent="0.3">
      <c r="B11" s="30" t="s">
        <v>6</v>
      </c>
      <c r="C11" s="60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6" x14ac:dyDescent="0.3">
      <c r="B12" s="30" t="s">
        <v>7</v>
      </c>
      <c r="C12" s="60">
        <f>(SUMIF($G$2:$G$31,B12,$I$2:$I$31))+(SUMIF($G$35:$G$41,B12,$H$35:$H$41))</f>
        <v>225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6" x14ac:dyDescent="0.3">
      <c r="B13" s="30" t="s">
        <v>8</v>
      </c>
      <c r="C13" s="60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IF(vend24[[#This Row],[Nº Venda]]&gt;1,1,0)</f>
        <v>0</v>
      </c>
    </row>
    <row r="14" spans="2:18" ht="15.6" x14ac:dyDescent="0.3">
      <c r="B14" s="30" t="s">
        <v>9</v>
      </c>
      <c r="C14" s="60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6" x14ac:dyDescent="0.3">
      <c r="B15" s="30" t="s">
        <v>10</v>
      </c>
      <c r="C15" s="60">
        <f>(SUMIF($G$2:$G$31,B15,$I$2:$I$31))+(SUMIF($G$35:$G$41,B15,$H$35:$H$41))</f>
        <v>620</v>
      </c>
      <c r="D15" s="2"/>
      <c r="E15" s="18"/>
      <c r="F15" s="25"/>
      <c r="G15" s="26"/>
      <c r="H15" s="8"/>
      <c r="I15" s="8"/>
      <c r="J15" s="2"/>
      <c r="K15" s="25">
        <v>2979</v>
      </c>
      <c r="L15" s="9" t="s">
        <v>36</v>
      </c>
      <c r="M15" s="16" t="s">
        <v>35</v>
      </c>
      <c r="R15" s="1">
        <f>IF(vend24[[#This Row],[Nº Venda]]&gt;1,1,0)</f>
        <v>0</v>
      </c>
    </row>
    <row r="16" spans="2:18" ht="15.6" x14ac:dyDescent="0.3">
      <c r="B16" s="28" t="s">
        <v>11</v>
      </c>
      <c r="C16" s="32">
        <f>SUM(C11:C15)</f>
        <v>845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6" x14ac:dyDescent="0.3">
      <c r="B19" s="30">
        <f>COUNT(entr_carn24[OS])</f>
        <v>1</v>
      </c>
      <c r="C19" s="31">
        <f>SUM(entr_carn24[Valor Total])</f>
        <v>550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6" x14ac:dyDescent="0.3">
      <c r="B20" s="28" t="s">
        <v>11</v>
      </c>
      <c r="C20" s="32">
        <f>SUM(C19:C19)</f>
        <v>550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2979</v>
      </c>
      <c r="F26" s="25" t="s">
        <v>39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2864</v>
      </c>
      <c r="F35" s="25" t="s">
        <v>181</v>
      </c>
      <c r="G35" s="26" t="s">
        <v>10</v>
      </c>
      <c r="H35" s="8">
        <v>100</v>
      </c>
      <c r="I35" s="8" t="s">
        <v>90</v>
      </c>
      <c r="K35" s="25">
        <v>2979</v>
      </c>
      <c r="L35" s="42">
        <v>5</v>
      </c>
      <c r="M35" s="16">
        <v>550</v>
      </c>
    </row>
    <row r="36" spans="2:18" ht="15.6" x14ac:dyDescent="0.3">
      <c r="E36" s="18">
        <v>2691</v>
      </c>
      <c r="F36" s="25" t="s">
        <v>182</v>
      </c>
      <c r="G36" s="26" t="s">
        <v>10</v>
      </c>
      <c r="H36" s="8">
        <v>250</v>
      </c>
      <c r="I36" s="8" t="s">
        <v>86</v>
      </c>
      <c r="K36" s="25"/>
      <c r="L36" s="42"/>
      <c r="M36" s="16"/>
    </row>
    <row r="37" spans="2:18" ht="15.6" x14ac:dyDescent="0.3">
      <c r="E37" s="18">
        <v>2310</v>
      </c>
      <c r="F37" s="25" t="s">
        <v>183</v>
      </c>
      <c r="G37" s="26" t="s">
        <v>7</v>
      </c>
      <c r="H37" s="8">
        <v>12.5</v>
      </c>
      <c r="I37" s="8" t="s">
        <v>116</v>
      </c>
      <c r="K37" s="25"/>
      <c r="L37" s="42"/>
      <c r="M37" s="16"/>
    </row>
    <row r="38" spans="2:18" ht="15.6" x14ac:dyDescent="0.3">
      <c r="E38" s="18">
        <v>2310</v>
      </c>
      <c r="F38" s="25" t="s">
        <v>183</v>
      </c>
      <c r="G38" s="26" t="s">
        <v>7</v>
      </c>
      <c r="H38" s="8">
        <v>56.25</v>
      </c>
      <c r="I38" s="8" t="s">
        <v>117</v>
      </c>
      <c r="K38" s="25"/>
      <c r="L38" s="42"/>
      <c r="M38" s="16"/>
    </row>
    <row r="39" spans="2:18" ht="15.6" x14ac:dyDescent="0.3">
      <c r="E39" s="18">
        <v>2310</v>
      </c>
      <c r="F39" s="39" t="s">
        <v>183</v>
      </c>
      <c r="G39" s="26" t="s">
        <v>7</v>
      </c>
      <c r="H39" s="8">
        <v>56.25</v>
      </c>
      <c r="I39" s="8" t="s">
        <v>118</v>
      </c>
      <c r="K39" s="25"/>
      <c r="L39" s="42"/>
      <c r="M39" s="16"/>
    </row>
    <row r="40" spans="2:18" ht="15.6" x14ac:dyDescent="0.3">
      <c r="E40" s="35">
        <v>2611</v>
      </c>
      <c r="F40" s="36" t="s">
        <v>184</v>
      </c>
      <c r="G40" s="37" t="s">
        <v>10</v>
      </c>
      <c r="H40" s="17">
        <v>150</v>
      </c>
      <c r="I40" s="8" t="s">
        <v>88</v>
      </c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35">
        <v>2635</v>
      </c>
      <c r="F41" s="39" t="s">
        <v>185</v>
      </c>
      <c r="G41" s="26" t="s">
        <v>10</v>
      </c>
      <c r="H41" s="8">
        <v>120</v>
      </c>
      <c r="I41" s="8" t="s">
        <v>86</v>
      </c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I10" sqref="I10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2.3320312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'24'!B1+1</f>
        <v>45163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3449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1849</v>
      </c>
      <c r="D6" s="2"/>
      <c r="E6" s="18">
        <v>3017</v>
      </c>
      <c r="F6" s="25" t="s">
        <v>186</v>
      </c>
      <c r="G6" s="26" t="s">
        <v>7</v>
      </c>
      <c r="H6" s="8">
        <v>900</v>
      </c>
      <c r="I6" s="8">
        <v>400</v>
      </c>
      <c r="J6" s="2"/>
      <c r="K6" s="25"/>
      <c r="L6" s="9"/>
      <c r="M6" s="16"/>
      <c r="R6" s="1">
        <f>IF(vend25[[#This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3018</v>
      </c>
      <c r="F7" s="25" t="s">
        <v>187</v>
      </c>
      <c r="G7" s="26" t="s">
        <v>21</v>
      </c>
      <c r="H7" s="8" t="s">
        <v>21</v>
      </c>
      <c r="I7" s="8">
        <v>0</v>
      </c>
      <c r="J7" s="2"/>
      <c r="K7" s="25"/>
      <c r="L7" s="9"/>
      <c r="M7" s="16"/>
      <c r="R7" s="1">
        <f>IF(vend25[[#This Row],[Nº Venda]]&gt;1,1,0)</f>
        <v>1</v>
      </c>
    </row>
    <row r="8" spans="2:18" ht="15.6" x14ac:dyDescent="0.3">
      <c r="B8" s="28" t="s">
        <v>22</v>
      </c>
      <c r="C8" s="29">
        <f>SUM(C6:C7)</f>
        <v>1849</v>
      </c>
      <c r="D8" s="2"/>
      <c r="E8" s="18">
        <v>3019</v>
      </c>
      <c r="F8" s="25" t="s">
        <v>188</v>
      </c>
      <c r="G8" s="26" t="s">
        <v>7</v>
      </c>
      <c r="H8" s="8">
        <v>1349</v>
      </c>
      <c r="I8" s="8">
        <v>1349</v>
      </c>
      <c r="J8" s="2"/>
      <c r="K8" s="25"/>
      <c r="L8" s="9"/>
      <c r="M8" s="16"/>
      <c r="R8" s="1">
        <f>IF(vend25[[#This Row],[Nº Venda]]&gt;1,1,0)</f>
        <v>1</v>
      </c>
    </row>
    <row r="9" spans="2:18" ht="15.6" x14ac:dyDescent="0.3">
      <c r="B9" s="2"/>
      <c r="C9" s="2"/>
      <c r="D9" s="2"/>
      <c r="E9" s="18">
        <v>3020</v>
      </c>
      <c r="F9" s="25" t="s">
        <v>189</v>
      </c>
      <c r="G9" s="26" t="s">
        <v>21</v>
      </c>
      <c r="H9" s="8">
        <v>0</v>
      </c>
      <c r="I9" s="8">
        <v>0</v>
      </c>
      <c r="J9" s="2"/>
      <c r="K9" s="25"/>
      <c r="L9" s="9"/>
      <c r="M9" s="16"/>
      <c r="R9" s="1">
        <f>IF(vend25[[#This Row],[Nº Venda]]&gt;1,1,0)</f>
        <v>1</v>
      </c>
    </row>
    <row r="10" spans="2:18" ht="15.6" x14ac:dyDescent="0.3">
      <c r="B10" s="61" t="s">
        <v>5</v>
      </c>
      <c r="C10" s="61"/>
      <c r="D10" s="2"/>
      <c r="E10" s="18">
        <v>3021</v>
      </c>
      <c r="F10" s="25" t="s">
        <v>190</v>
      </c>
      <c r="G10" s="26" t="s">
        <v>6</v>
      </c>
      <c r="H10" s="8">
        <v>1150</v>
      </c>
      <c r="I10" s="8">
        <v>50</v>
      </c>
      <c r="J10" s="2"/>
      <c r="K10" s="25"/>
      <c r="L10" s="9"/>
      <c r="M10" s="16"/>
      <c r="R10" s="1">
        <f>IF(vend25[[#This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50</v>
      </c>
      <c r="D11" s="2"/>
      <c r="E11" s="18">
        <v>3022</v>
      </c>
      <c r="F11" s="25" t="s">
        <v>192</v>
      </c>
      <c r="G11" s="26" t="s">
        <v>7</v>
      </c>
      <c r="H11" s="8">
        <v>50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1799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IF(vend25[[#This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6" x14ac:dyDescent="0.3">
      <c r="B15" s="30" t="s">
        <v>10</v>
      </c>
      <c r="C15" s="31">
        <f t="shared" si="0"/>
        <v>142</v>
      </c>
      <c r="D15" s="2"/>
      <c r="E15" s="18"/>
      <c r="F15" s="25"/>
      <c r="G15" s="26"/>
      <c r="H15" s="8"/>
      <c r="I15" s="8"/>
      <c r="J15" s="2"/>
      <c r="K15" s="25">
        <v>2963</v>
      </c>
      <c r="L15" s="9" t="s">
        <v>36</v>
      </c>
      <c r="M15" s="16" t="s">
        <v>67</v>
      </c>
      <c r="R15" s="1">
        <f>IF(vend25[[#This Row],[Nº Venda]]&gt;1,1,0)</f>
        <v>0</v>
      </c>
    </row>
    <row r="16" spans="2:18" ht="15.6" x14ac:dyDescent="0.3">
      <c r="B16" s="28" t="s">
        <v>11</v>
      </c>
      <c r="C16" s="32">
        <f>SUM(C11:C15)</f>
        <v>1991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6" x14ac:dyDescent="0.3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3449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2703</v>
      </c>
      <c r="F35" s="25" t="s">
        <v>191</v>
      </c>
      <c r="G35" s="26" t="s">
        <v>10</v>
      </c>
      <c r="H35" s="8">
        <v>60</v>
      </c>
      <c r="I35" s="8" t="s">
        <v>74</v>
      </c>
      <c r="K35" s="25"/>
      <c r="L35" s="42"/>
      <c r="M35" s="16"/>
    </row>
    <row r="36" spans="2:18" ht="15.6" x14ac:dyDescent="0.3">
      <c r="E36" s="18">
        <v>2967</v>
      </c>
      <c r="F36" s="25" t="s">
        <v>37</v>
      </c>
      <c r="G36" s="26" t="s">
        <v>10</v>
      </c>
      <c r="H36" s="8">
        <v>82</v>
      </c>
      <c r="I36" s="8" t="s">
        <v>97</v>
      </c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6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B2" sqref="B2:M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'25'!B1+1</f>
        <v>45164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980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1380</v>
      </c>
      <c r="D6" s="2"/>
      <c r="E6" s="18">
        <v>3023</v>
      </c>
      <c r="F6" s="25" t="s">
        <v>195</v>
      </c>
      <c r="G6" s="26" t="s">
        <v>9</v>
      </c>
      <c r="H6" s="8">
        <v>600</v>
      </c>
      <c r="I6" s="8">
        <v>200</v>
      </c>
      <c r="J6" s="2"/>
      <c r="K6" s="25"/>
      <c r="L6" s="9"/>
      <c r="M6" s="16"/>
      <c r="R6" s="1">
        <f>IF(vend26[[#This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3024</v>
      </c>
      <c r="F7" s="25" t="s">
        <v>193</v>
      </c>
      <c r="G7" s="26" t="s">
        <v>9</v>
      </c>
      <c r="H7" s="8">
        <v>380</v>
      </c>
      <c r="I7" s="8">
        <v>380</v>
      </c>
      <c r="J7" s="2"/>
      <c r="K7" s="25"/>
      <c r="L7" s="9"/>
      <c r="M7" s="16"/>
      <c r="R7" s="1">
        <f>IF(vend26[[#This Row],[Nº Venda]]&gt;1,1,0)</f>
        <v>1</v>
      </c>
    </row>
    <row r="8" spans="2:18" ht="15.6" x14ac:dyDescent="0.3">
      <c r="B8" s="28" t="s">
        <v>22</v>
      </c>
      <c r="C8" s="29">
        <f>SUM(C6:C7)</f>
        <v>1380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IF(vend26[[#This Row],[Nº Venda]]&gt;1,1,0)</f>
        <v>0</v>
      </c>
    </row>
    <row r="14" spans="2:18" ht="15.6" x14ac:dyDescent="0.3">
      <c r="B14" s="30" t="s">
        <v>9</v>
      </c>
      <c r="C14" s="31">
        <f t="shared" si="0"/>
        <v>580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6" x14ac:dyDescent="0.3">
      <c r="B15" s="30" t="s">
        <v>10</v>
      </c>
      <c r="C15" s="31">
        <f t="shared" si="0"/>
        <v>800</v>
      </c>
      <c r="D15" s="2"/>
      <c r="E15" s="18"/>
      <c r="F15" s="25"/>
      <c r="G15" s="26"/>
      <c r="H15" s="8"/>
      <c r="I15" s="8"/>
      <c r="J15" s="2"/>
      <c r="K15" s="25">
        <v>2960</v>
      </c>
      <c r="L15" s="9" t="s">
        <v>36</v>
      </c>
      <c r="M15" s="16" t="s">
        <v>67</v>
      </c>
      <c r="R15" s="1">
        <f>IF(vend26[[#This Row],[Nº Venda]]&gt;1,1,0)</f>
        <v>0</v>
      </c>
    </row>
    <row r="16" spans="2:18" ht="15.6" x14ac:dyDescent="0.3">
      <c r="B16" s="28" t="s">
        <v>11</v>
      </c>
      <c r="C16" s="32">
        <f>SUM(C11:C15)</f>
        <v>1380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6" x14ac:dyDescent="0.3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980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3014</v>
      </c>
      <c r="F26" s="25" t="s">
        <v>194</v>
      </c>
      <c r="G26" s="26" t="s">
        <v>10</v>
      </c>
      <c r="H26" s="8"/>
      <c r="I26" s="8">
        <v>600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3015</v>
      </c>
      <c r="F27" s="25" t="s">
        <v>176</v>
      </c>
      <c r="G27" s="26" t="s">
        <v>10</v>
      </c>
      <c r="H27" s="8"/>
      <c r="I27" s="8">
        <v>200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4B92-8D4A-45C2-9A3E-DC6979332D7C}">
  <dimension ref="B1:R41"/>
  <sheetViews>
    <sheetView showGridLines="0" zoomScale="80" zoomScaleNormal="80" workbookViewId="0">
      <selection activeCell="B2" sqref="B2:M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'26'!B1+1</f>
        <v>45165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IF(vend31171[[#This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IF(vend31171[[#This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IF(vend31171[[#This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IF(vend31171[[#This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IF(vend31171[[#This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IF(vend31171[[#This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IF(vend31171[[#This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IF(vend31171[[#This Row],[Nº Venda]]&gt;1,1,0)</f>
        <v>0</v>
      </c>
    </row>
    <row r="14" spans="2:18" ht="15.6" x14ac:dyDescent="0.3">
      <c r="B14" s="30" t="s">
        <v>9</v>
      </c>
      <c r="C14" s="31">
        <v>3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IF(vend31171[[#This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IF(vend31171[[#This Row],[Nº Venda]]&gt;1,1,0)</f>
        <v>0</v>
      </c>
    </row>
    <row r="16" spans="2:18" ht="15.6" x14ac:dyDescent="0.3">
      <c r="B16" s="28" t="s">
        <v>11</v>
      </c>
      <c r="C16" s="32">
        <f>SUM(C11:C15)</f>
        <v>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IF(vend31171[[#This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IF(vend31171[[#This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IF(vend31171[[#This Row],[Nº Venda]]&gt;1,1,0)</f>
        <v>0</v>
      </c>
    </row>
    <row r="19" spans="2:18" ht="15.6" x14ac:dyDescent="0.3">
      <c r="B19" s="30">
        <f>COUNT(entr_carn31176[OS])</f>
        <v>0</v>
      </c>
      <c r="C19" s="31">
        <f>SUM(entr_carn31176[Valor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IF(vend31171[[#This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IF(vend31171[[#This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49DF8CB-0505-481C-AF41-2240B541C2A8}">
      <formula1>"1,2,3,4,5,6,7,8,9,10"</formula1>
    </dataValidation>
    <dataValidation type="list" allowBlank="1" showInputMessage="1" showErrorMessage="1" sqref="M15:M31" xr:uid="{15C85B5A-9155-4575-A8F2-D3A15F934CB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2AC6C1-626C-455F-8608-FB4C5E0C2E7E}">
          <x14:formula1>
            <xm:f>base!$E$2:$E$79</xm:f>
          </x14:formula1>
          <xm:sqref>I35:I41</xm:sqref>
        </x14:dataValidation>
        <x14:dataValidation type="list" allowBlank="1" showInputMessage="1" showErrorMessage="1" xr:uid="{FD3DB8CA-3F82-4544-8A6A-4BE84FFE483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B71D89A-B1DA-4EB1-8505-D66A8BE2E67A}">
          <x14:formula1>
            <xm:f>base!$A$2:$A$9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B2" sqref="B2:M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6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'27'!B1+1</f>
        <v>45166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500</v>
      </c>
      <c r="D6" s="2"/>
      <c r="E6" s="18">
        <v>3025</v>
      </c>
      <c r="F6" s="25" t="s">
        <v>196</v>
      </c>
      <c r="G6" s="26" t="s">
        <v>10</v>
      </c>
      <c r="H6" s="8">
        <v>350</v>
      </c>
      <c r="I6" s="8">
        <v>200</v>
      </c>
      <c r="J6" s="2"/>
      <c r="K6" s="25"/>
      <c r="L6" s="9"/>
      <c r="M6" s="16"/>
      <c r="R6" s="1">
        <f>IF(vend28[[#This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3026</v>
      </c>
      <c r="F7" s="25" t="s">
        <v>197</v>
      </c>
      <c r="G7" s="26" t="s">
        <v>21</v>
      </c>
      <c r="H7" s="8">
        <v>0</v>
      </c>
      <c r="I7" s="8">
        <v>0</v>
      </c>
      <c r="J7" s="2"/>
      <c r="K7" s="25"/>
      <c r="L7" s="9"/>
      <c r="M7" s="16"/>
      <c r="R7" s="1">
        <f>IF(vend28[[#This Row],[Nº Venda]]&gt;1,1,0)</f>
        <v>1</v>
      </c>
    </row>
    <row r="8" spans="2:18" ht="15.6" x14ac:dyDescent="0.3">
      <c r="B8" s="28" t="s">
        <v>22</v>
      </c>
      <c r="C8" s="29">
        <f>SUM(C6:C7)</f>
        <v>500</v>
      </c>
      <c r="D8" s="2"/>
      <c r="E8" s="18">
        <v>3027</v>
      </c>
      <c r="F8" s="25" t="s">
        <v>198</v>
      </c>
      <c r="G8" s="26" t="s">
        <v>9</v>
      </c>
      <c r="H8" s="8">
        <v>300</v>
      </c>
      <c r="I8" s="8">
        <v>300</v>
      </c>
      <c r="J8" s="2"/>
      <c r="K8" s="25"/>
      <c r="L8" s="9"/>
      <c r="M8" s="16"/>
      <c r="R8" s="1">
        <f>IF(vend28[[#This Row],[Nº Venda]]&gt;1,1,0)</f>
        <v>1</v>
      </c>
    </row>
    <row r="9" spans="2:18" ht="15.6" x14ac:dyDescent="0.3">
      <c r="B9" s="2"/>
      <c r="C9" s="2"/>
      <c r="D9" s="2"/>
      <c r="E9" s="18">
        <v>3028</v>
      </c>
      <c r="F9" s="25" t="s">
        <v>199</v>
      </c>
      <c r="G9" s="26" t="s">
        <v>21</v>
      </c>
      <c r="H9" s="8">
        <v>0</v>
      </c>
      <c r="I9" s="8">
        <v>0</v>
      </c>
      <c r="J9" s="2"/>
      <c r="K9" s="25"/>
      <c r="L9" s="9"/>
      <c r="M9" s="16"/>
      <c r="R9" s="1">
        <f>IF(vend28[[#This Row],[Nº Venda]]&gt;1,1,0)</f>
        <v>1</v>
      </c>
    </row>
    <row r="10" spans="2:18" ht="15.6" x14ac:dyDescent="0.3">
      <c r="B10" s="61" t="s">
        <v>5</v>
      </c>
      <c r="C10" s="61"/>
      <c r="D10" s="2"/>
      <c r="E10" s="18">
        <v>3029</v>
      </c>
      <c r="F10" s="25" t="s">
        <v>199</v>
      </c>
      <c r="G10" s="26" t="s">
        <v>21</v>
      </c>
      <c r="H10" s="8">
        <v>0</v>
      </c>
      <c r="I10" s="8">
        <v>0</v>
      </c>
      <c r="J10" s="2"/>
      <c r="K10" s="25"/>
      <c r="L10" s="9"/>
      <c r="M10" s="16"/>
      <c r="R10" s="1">
        <f>IF(vend28[[#This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116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IF(vend28[[#This Row],[Nº Venda]]&gt;1,1,0)</f>
        <v>0</v>
      </c>
    </row>
    <row r="14" spans="2:18" ht="15.6" x14ac:dyDescent="0.3">
      <c r="B14" s="30" t="s">
        <v>9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6" x14ac:dyDescent="0.3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2955</v>
      </c>
      <c r="L15" s="9" t="s">
        <v>200</v>
      </c>
      <c r="M15" s="16" t="s">
        <v>67</v>
      </c>
      <c r="R15" s="1">
        <f>IF(vend28[[#This Row],[Nº Venda]]&gt;1,1,0)</f>
        <v>0</v>
      </c>
    </row>
    <row r="16" spans="2:18" ht="15.6" x14ac:dyDescent="0.3">
      <c r="B16" s="28" t="s">
        <v>11</v>
      </c>
      <c r="C16" s="32">
        <f>SUM(C11:C15)</f>
        <v>616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6" x14ac:dyDescent="0.3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2665</v>
      </c>
      <c r="F35" s="25" t="s">
        <v>201</v>
      </c>
      <c r="G35" s="26" t="s">
        <v>7</v>
      </c>
      <c r="H35" s="8">
        <v>116</v>
      </c>
      <c r="I35" s="8" t="s">
        <v>74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F13" sqref="F1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9.441406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'28'!B1+1</f>
        <v>45167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500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6" x14ac:dyDescent="0.3">
      <c r="B8" s="28" t="s">
        <v>22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6" x14ac:dyDescent="0.3">
      <c r="B10" s="61" t="s">
        <v>5</v>
      </c>
      <c r="C10" s="6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IF(vend29[[#This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6" x14ac:dyDescent="0.3">
      <c r="B15" s="30" t="s">
        <v>10</v>
      </c>
      <c r="C15" s="31">
        <f t="shared" si="0"/>
        <v>500</v>
      </c>
      <c r="D15" s="2"/>
      <c r="E15" s="18"/>
      <c r="F15" s="25"/>
      <c r="G15" s="26"/>
      <c r="H15" s="8"/>
      <c r="I15" s="8"/>
      <c r="J15" s="2"/>
      <c r="K15" s="25">
        <v>3002</v>
      </c>
      <c r="L15" s="9" t="s">
        <v>36</v>
      </c>
      <c r="M15" s="16" t="s">
        <v>67</v>
      </c>
      <c r="R15" s="1">
        <f>IF(vend29[[#This Row],[Nº Venda]]&gt;1,1,0)</f>
        <v>0</v>
      </c>
    </row>
    <row r="16" spans="2:18" ht="15.6" x14ac:dyDescent="0.3">
      <c r="B16" s="28" t="s">
        <v>11</v>
      </c>
      <c r="C16" s="32">
        <f>SUM(C11:C15)</f>
        <v>600</v>
      </c>
      <c r="D16" s="2"/>
      <c r="E16" s="18"/>
      <c r="F16" s="25"/>
      <c r="G16" s="26"/>
      <c r="H16" s="8"/>
      <c r="I16" s="8"/>
      <c r="J16" s="2"/>
      <c r="K16" s="25">
        <v>3000</v>
      </c>
      <c r="L16" s="9" t="s">
        <v>36</v>
      </c>
      <c r="M16" s="16" t="s">
        <v>67</v>
      </c>
      <c r="R16" s="1">
        <f>IF(vend29[[#This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3008</v>
      </c>
      <c r="L17" s="9" t="s">
        <v>36</v>
      </c>
      <c r="M17" s="16" t="s">
        <v>67</v>
      </c>
      <c r="R17" s="1">
        <f>IF(vend29[[#This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>
        <v>2995</v>
      </c>
      <c r="L18" s="9" t="s">
        <v>36</v>
      </c>
      <c r="M18" s="16" t="s">
        <v>67</v>
      </c>
      <c r="R18" s="1">
        <f>IF(vend29[[#This Row],[Nº Venda]]&gt;1,1,0)</f>
        <v>0</v>
      </c>
    </row>
    <row r="19" spans="2:18" ht="15.6" x14ac:dyDescent="0.3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3021</v>
      </c>
      <c r="F26" s="25" t="s">
        <v>202</v>
      </c>
      <c r="G26" s="26" t="s">
        <v>10</v>
      </c>
      <c r="H26" s="8"/>
      <c r="I26" s="8">
        <v>500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2287</v>
      </c>
      <c r="F35" s="25" t="s">
        <v>203</v>
      </c>
      <c r="G35" s="26" t="s">
        <v>6</v>
      </c>
      <c r="H35" s="8">
        <v>100</v>
      </c>
      <c r="I35" s="8" t="s">
        <v>104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M19" sqref="M1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'29'!B1+1</f>
        <v>45168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2764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1639</v>
      </c>
      <c r="D6" s="2"/>
      <c r="E6" s="18">
        <v>3030</v>
      </c>
      <c r="F6" s="25" t="s">
        <v>204</v>
      </c>
      <c r="G6" s="26" t="s">
        <v>21</v>
      </c>
      <c r="H6" s="8">
        <v>299</v>
      </c>
      <c r="I6" s="8">
        <v>0</v>
      </c>
      <c r="J6" s="2"/>
      <c r="K6" s="25"/>
      <c r="L6" s="9"/>
      <c r="M6" s="16"/>
      <c r="R6" s="1">
        <f>IF(vend30[[#This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3031</v>
      </c>
      <c r="F7" s="25" t="s">
        <v>205</v>
      </c>
      <c r="G7" s="26" t="s">
        <v>9</v>
      </c>
      <c r="H7" s="8">
        <v>350</v>
      </c>
      <c r="I7" s="8">
        <v>350</v>
      </c>
      <c r="J7" s="2"/>
      <c r="K7" s="25"/>
      <c r="L7" s="9"/>
      <c r="M7" s="16"/>
      <c r="R7" s="1">
        <f>IF(vend30[[#This Row],[Nº Venda]]&gt;1,1,0)</f>
        <v>1</v>
      </c>
    </row>
    <row r="8" spans="2:18" ht="15.6" x14ac:dyDescent="0.3">
      <c r="B8" s="28" t="s">
        <v>22</v>
      </c>
      <c r="C8" s="29">
        <f>SUM(C6:C7)</f>
        <v>1639</v>
      </c>
      <c r="D8" s="2"/>
      <c r="E8" s="18">
        <v>3032</v>
      </c>
      <c r="F8" s="25" t="s">
        <v>206</v>
      </c>
      <c r="G8" s="26" t="s">
        <v>7</v>
      </c>
      <c r="H8" s="8">
        <v>950</v>
      </c>
      <c r="I8" s="8">
        <v>100</v>
      </c>
      <c r="J8" s="2"/>
      <c r="K8" s="25"/>
      <c r="L8" s="9"/>
      <c r="M8" s="16"/>
      <c r="R8" s="1">
        <f>IF(vend30[[#This Row],[Nº Venda]]&gt;1,1,0)</f>
        <v>1</v>
      </c>
    </row>
    <row r="9" spans="2:18" ht="15.6" x14ac:dyDescent="0.3">
      <c r="B9" s="2"/>
      <c r="C9" s="2"/>
      <c r="D9" s="2"/>
      <c r="E9" s="18">
        <v>3033</v>
      </c>
      <c r="F9" s="25" t="s">
        <v>207</v>
      </c>
      <c r="G9" s="26" t="s">
        <v>9</v>
      </c>
      <c r="H9" s="8">
        <v>650</v>
      </c>
      <c r="I9" s="8">
        <v>650</v>
      </c>
      <c r="J9" s="2"/>
      <c r="K9" s="25"/>
      <c r="L9" s="9"/>
      <c r="M9" s="16"/>
      <c r="R9" s="1">
        <f>IF(vend30[[#This Row],[Nº Venda]]&gt;1,1,0)</f>
        <v>1</v>
      </c>
    </row>
    <row r="10" spans="2:18" ht="15.6" x14ac:dyDescent="0.3">
      <c r="B10" s="61" t="s">
        <v>5</v>
      </c>
      <c r="C10" s="61"/>
      <c r="D10" s="2"/>
      <c r="E10" s="18">
        <v>3034</v>
      </c>
      <c r="F10" s="25" t="s">
        <v>208</v>
      </c>
      <c r="G10" s="26" t="s">
        <v>9</v>
      </c>
      <c r="H10" s="8">
        <v>264</v>
      </c>
      <c r="I10" s="8">
        <v>264</v>
      </c>
      <c r="J10" s="2"/>
      <c r="K10" s="25"/>
      <c r="L10" s="9"/>
      <c r="M10" s="16"/>
      <c r="R10" s="1">
        <f>IF(vend30[[#This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>
        <v>3035</v>
      </c>
      <c r="F11" s="25" t="s">
        <v>209</v>
      </c>
      <c r="G11" s="26" t="s">
        <v>10</v>
      </c>
      <c r="H11" s="8">
        <v>550</v>
      </c>
      <c r="I11" s="8">
        <v>275</v>
      </c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>
        <v>3036</v>
      </c>
      <c r="F12" s="25" t="s">
        <v>210</v>
      </c>
      <c r="G12" s="26" t="s">
        <v>21</v>
      </c>
      <c r="H12" s="8">
        <v>0</v>
      </c>
      <c r="I12" s="8">
        <v>0</v>
      </c>
      <c r="J12" s="2"/>
      <c r="R12" s="1">
        <f>IF(vend30[[#This Row],[Nº Venda]]&gt;1,1,0)</f>
        <v>1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IF(vend30[[#This Row],[Nº Venda]]&gt;1,1,0)</f>
        <v>0</v>
      </c>
    </row>
    <row r="14" spans="2:18" ht="15.6" x14ac:dyDescent="0.3">
      <c r="B14" s="30" t="s">
        <v>9</v>
      </c>
      <c r="C14" s="31">
        <f t="shared" si="0"/>
        <v>1264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6" x14ac:dyDescent="0.3">
      <c r="B15" s="30" t="s">
        <v>10</v>
      </c>
      <c r="C15" s="31">
        <f t="shared" si="0"/>
        <v>395</v>
      </c>
      <c r="D15" s="2"/>
      <c r="E15" s="18"/>
      <c r="F15" s="25"/>
      <c r="G15" s="26"/>
      <c r="H15" s="8"/>
      <c r="I15" s="8"/>
      <c r="J15" s="2"/>
      <c r="K15" s="25">
        <v>2966</v>
      </c>
      <c r="L15" s="9" t="s">
        <v>36</v>
      </c>
      <c r="M15" s="16" t="s">
        <v>67</v>
      </c>
      <c r="R15" s="1">
        <f>IF(vend30[[#This Row],[Nº Venda]]&gt;1,1,0)</f>
        <v>0</v>
      </c>
    </row>
    <row r="16" spans="2:18" ht="15.6" x14ac:dyDescent="0.3">
      <c r="B16" s="28" t="s">
        <v>11</v>
      </c>
      <c r="C16" s="32">
        <f>SUM(C11:C15)</f>
        <v>1759</v>
      </c>
      <c r="D16" s="2"/>
      <c r="E16" s="18"/>
      <c r="F16" s="25"/>
      <c r="G16" s="26"/>
      <c r="H16" s="8"/>
      <c r="I16" s="8"/>
      <c r="J16" s="2"/>
      <c r="K16" s="25">
        <v>2991</v>
      </c>
      <c r="L16" s="9" t="s">
        <v>36</v>
      </c>
      <c r="M16" s="16" t="s">
        <v>67</v>
      </c>
      <c r="R16" s="1">
        <f>IF(vend30[[#This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3014</v>
      </c>
      <c r="L17" s="9" t="s">
        <v>36</v>
      </c>
      <c r="M17" s="16" t="s">
        <v>67</v>
      </c>
      <c r="R17" s="1">
        <f>IF(vend30[[#This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>
        <v>2990</v>
      </c>
      <c r="L18" s="9" t="s">
        <v>36</v>
      </c>
      <c r="M18" s="16" t="s">
        <v>67</v>
      </c>
      <c r="R18" s="1">
        <f>IF(vend30[[#This Row],[Nº Venda]]&gt;1,1,0)</f>
        <v>0</v>
      </c>
    </row>
    <row r="19" spans="2:18" ht="15.6" x14ac:dyDescent="0.3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2764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2635</v>
      </c>
      <c r="F35" s="25" t="s">
        <v>185</v>
      </c>
      <c r="G35" s="26" t="s">
        <v>10</v>
      </c>
      <c r="H35" s="8">
        <v>120</v>
      </c>
      <c r="I35" s="8" t="s">
        <v>88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7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opLeftCell="A2" zoomScale="80" zoomScaleNormal="80" workbookViewId="0">
      <selection activeCell="I27" sqref="I2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1.10937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'30'!B1+1</f>
        <v>45169</v>
      </c>
    </row>
    <row r="2" spans="2:18" ht="18" x14ac:dyDescent="0.25">
      <c r="B2" s="66" t="s">
        <v>13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69" t="s">
        <v>1</v>
      </c>
      <c r="F4" s="69"/>
      <c r="G4" s="69"/>
      <c r="H4" s="69"/>
      <c r="I4" s="69"/>
      <c r="J4" s="22"/>
      <c r="K4" s="63" t="s">
        <v>3</v>
      </c>
      <c r="L4" s="64"/>
      <c r="M4" s="65"/>
    </row>
    <row r="5" spans="2:18" ht="14.4" x14ac:dyDescent="0.3">
      <c r="B5" s="23" t="s">
        <v>1</v>
      </c>
      <c r="C5" s="24">
        <f>SUMIF(I6:I31,"&gt;0",H6:H31)</f>
        <v>3000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2850</v>
      </c>
      <c r="D6" s="2"/>
      <c r="E6" s="18">
        <v>3037</v>
      </c>
      <c r="F6" s="25" t="s">
        <v>215</v>
      </c>
      <c r="G6" s="26" t="s">
        <v>21</v>
      </c>
      <c r="H6" s="8">
        <v>0</v>
      </c>
      <c r="I6" s="8">
        <v>0</v>
      </c>
      <c r="J6" s="2"/>
      <c r="K6" s="25"/>
      <c r="L6" s="9"/>
      <c r="M6" s="16"/>
      <c r="R6" s="1">
        <f>IF(vend31[[#This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3038</v>
      </c>
      <c r="F7" s="25" t="s">
        <v>212</v>
      </c>
      <c r="G7" s="26" t="s">
        <v>7</v>
      </c>
      <c r="H7" s="8">
        <v>120</v>
      </c>
      <c r="I7" s="8">
        <v>60</v>
      </c>
      <c r="J7" s="2"/>
      <c r="K7" s="25"/>
      <c r="L7" s="9"/>
      <c r="M7" s="16"/>
      <c r="R7" s="1">
        <f>IF(vend31[[#This Row],[Nº Venda]]&gt;1,1,0)</f>
        <v>1</v>
      </c>
    </row>
    <row r="8" spans="2:18" ht="15.6" x14ac:dyDescent="0.3">
      <c r="B8" s="28" t="s">
        <v>22</v>
      </c>
      <c r="C8" s="29">
        <f>SUM(C6:C7)</f>
        <v>2850</v>
      </c>
      <c r="D8" s="2"/>
      <c r="E8" s="18">
        <v>3039</v>
      </c>
      <c r="F8" s="25" t="s">
        <v>213</v>
      </c>
      <c r="G8" s="26" t="s">
        <v>21</v>
      </c>
      <c r="H8" s="8">
        <v>0</v>
      </c>
      <c r="I8" s="8">
        <v>0</v>
      </c>
      <c r="J8" s="2"/>
      <c r="K8" s="25"/>
      <c r="L8" s="9"/>
      <c r="M8" s="16"/>
      <c r="R8" s="1">
        <f>IF(vend31[[#This Row],[Nº Venda]]&gt;1,1,0)</f>
        <v>1</v>
      </c>
    </row>
    <row r="9" spans="2:18" ht="15.6" x14ac:dyDescent="0.3">
      <c r="B9" s="2"/>
      <c r="C9" s="2"/>
      <c r="D9" s="2"/>
      <c r="E9" s="18">
        <v>3040</v>
      </c>
      <c r="F9" s="25" t="s">
        <v>214</v>
      </c>
      <c r="G9" s="26" t="s">
        <v>9</v>
      </c>
      <c r="H9" s="8">
        <v>1490</v>
      </c>
      <c r="I9" s="8">
        <v>1000</v>
      </c>
      <c r="J9" s="2"/>
      <c r="K9" s="25"/>
      <c r="L9" s="9"/>
      <c r="M9" s="16"/>
      <c r="R9" s="1">
        <f>IF(vend31[[#This Row],[Nº Venda]]&gt;1,1,0)</f>
        <v>1</v>
      </c>
    </row>
    <row r="10" spans="2:18" ht="15.6" x14ac:dyDescent="0.3">
      <c r="B10" s="61" t="s">
        <v>5</v>
      </c>
      <c r="C10" s="61"/>
      <c r="D10" s="2"/>
      <c r="E10" s="18">
        <v>3041</v>
      </c>
      <c r="F10" s="25" t="s">
        <v>216</v>
      </c>
      <c r="G10" s="26" t="s">
        <v>9</v>
      </c>
      <c r="H10" s="8">
        <v>1390</v>
      </c>
      <c r="I10" s="8">
        <v>1390</v>
      </c>
      <c r="J10" s="2"/>
      <c r="K10" s="25"/>
      <c r="L10" s="9"/>
      <c r="M10" s="16"/>
      <c r="R10" s="1">
        <f>IF(vend31[[#This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60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3" t="s">
        <v>23</v>
      </c>
      <c r="L13" s="64"/>
      <c r="M13" s="65"/>
      <c r="R13" s="1">
        <f>IF(vend31[[#This Row],[Nº Venda]]&gt;1,1,0)</f>
        <v>0</v>
      </c>
    </row>
    <row r="14" spans="2:18" ht="15.6" x14ac:dyDescent="0.3">
      <c r="B14" s="30" t="s">
        <v>9</v>
      </c>
      <c r="C14" s="31">
        <f t="shared" si="0"/>
        <v>2790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6" x14ac:dyDescent="0.3">
      <c r="B15" s="30" t="s">
        <v>10</v>
      </c>
      <c r="C15" s="31">
        <f t="shared" si="0"/>
        <v>332</v>
      </c>
      <c r="D15" s="2"/>
      <c r="E15" s="18"/>
      <c r="F15" s="25"/>
      <c r="G15" s="26"/>
      <c r="H15" s="8"/>
      <c r="I15" s="8"/>
      <c r="J15" s="2"/>
      <c r="K15" s="25">
        <v>2984</v>
      </c>
      <c r="L15" s="9" t="s">
        <v>36</v>
      </c>
      <c r="M15" s="16" t="s">
        <v>35</v>
      </c>
      <c r="R15" s="1">
        <f>IF(vend31[[#This Row],[Nº Venda]]&gt;1,1,0)</f>
        <v>0</v>
      </c>
    </row>
    <row r="16" spans="2:18" ht="15.6" x14ac:dyDescent="0.3">
      <c r="B16" s="28" t="s">
        <v>11</v>
      </c>
      <c r="C16" s="32">
        <f>SUM(C11:C15)</f>
        <v>3182</v>
      </c>
      <c r="D16" s="2"/>
      <c r="E16" s="18"/>
      <c r="F16" s="25"/>
      <c r="G16" s="26"/>
      <c r="H16" s="8"/>
      <c r="I16" s="8"/>
      <c r="J16" s="2"/>
      <c r="K16" s="25">
        <v>3004</v>
      </c>
      <c r="L16" s="9" t="s">
        <v>36</v>
      </c>
      <c r="M16" s="16" t="s">
        <v>67</v>
      </c>
      <c r="R16" s="1">
        <f>IF(vend31[[#This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6" x14ac:dyDescent="0.3">
      <c r="B18" s="61" t="s">
        <v>12</v>
      </c>
      <c r="C18" s="6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6" x14ac:dyDescent="0.3">
      <c r="B19" s="30">
        <f>COUNT(entr_carn31[OS])</f>
        <v>1</v>
      </c>
      <c r="C19" s="31">
        <f>SUM(entr_carn31[Valor Total])</f>
        <v>1800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6" x14ac:dyDescent="0.3">
      <c r="B20" s="28" t="s">
        <v>11</v>
      </c>
      <c r="C20" s="32">
        <f>SUM(C19:C19)</f>
        <v>1800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3000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62" t="s">
        <v>28</v>
      </c>
      <c r="F24" s="62"/>
      <c r="G24" s="62"/>
      <c r="H24" s="62"/>
      <c r="I24" s="62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3004</v>
      </c>
      <c r="F26" s="25" t="s">
        <v>217</v>
      </c>
      <c r="G26" s="26" t="s">
        <v>9</v>
      </c>
      <c r="H26" s="8"/>
      <c r="I26" s="8">
        <v>400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62" t="s">
        <v>29</v>
      </c>
      <c r="F33" s="62"/>
      <c r="G33" s="62"/>
      <c r="H33" s="62"/>
      <c r="I33" s="62"/>
      <c r="K33" s="63" t="s">
        <v>12</v>
      </c>
      <c r="L33" s="64"/>
      <c r="M33" s="65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>
        <v>2418</v>
      </c>
      <c r="F35" s="25" t="s">
        <v>211</v>
      </c>
      <c r="G35" s="26" t="s">
        <v>10</v>
      </c>
      <c r="H35" s="8">
        <v>82</v>
      </c>
      <c r="I35" s="8" t="s">
        <v>115</v>
      </c>
      <c r="K35" s="25">
        <v>2984</v>
      </c>
      <c r="L35" s="42">
        <v>5</v>
      </c>
      <c r="M35" s="16">
        <v>1800</v>
      </c>
    </row>
    <row r="36" spans="2:18" ht="15.6" x14ac:dyDescent="0.3">
      <c r="E36" s="18">
        <v>2618</v>
      </c>
      <c r="F36" s="25" t="s">
        <v>41</v>
      </c>
      <c r="G36" s="26" t="s">
        <v>10</v>
      </c>
      <c r="H36" s="8">
        <v>250</v>
      </c>
      <c r="I36" s="8" t="s">
        <v>90</v>
      </c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B11" sqref="B11"/>
    </sheetView>
  </sheetViews>
  <sheetFormatPr defaultRowHeight="13.2" x14ac:dyDescent="0.25"/>
  <cols>
    <col min="1" max="1" width="13.109375" bestFit="1" customWidth="1"/>
    <col min="2" max="2" width="22.109375" bestFit="1" customWidth="1"/>
    <col min="5" max="5" width="11.5546875" customWidth="1"/>
  </cols>
  <sheetData>
    <row r="1" spans="1:5" x14ac:dyDescent="0.25">
      <c r="A1" s="38" t="s">
        <v>75</v>
      </c>
      <c r="B1" s="38" t="s">
        <v>76</v>
      </c>
      <c r="E1" s="38" t="s">
        <v>77</v>
      </c>
    </row>
    <row r="2" spans="1:5" x14ac:dyDescent="0.25">
      <c r="A2" s="38" t="s">
        <v>6</v>
      </c>
      <c r="B2" s="38" t="s">
        <v>78</v>
      </c>
      <c r="E2" t="s">
        <v>79</v>
      </c>
    </row>
    <row r="3" spans="1:5" x14ac:dyDescent="0.25">
      <c r="A3" s="38" t="s">
        <v>7</v>
      </c>
      <c r="B3" s="38" t="s">
        <v>80</v>
      </c>
      <c r="E3" t="s">
        <v>81</v>
      </c>
    </row>
    <row r="4" spans="1:5" x14ac:dyDescent="0.25">
      <c r="A4" s="38" t="s">
        <v>8</v>
      </c>
      <c r="B4" s="38" t="s">
        <v>82</v>
      </c>
      <c r="E4" t="s">
        <v>83</v>
      </c>
    </row>
    <row r="5" spans="1:5" x14ac:dyDescent="0.25">
      <c r="A5" s="38" t="s">
        <v>9</v>
      </c>
      <c r="B5" s="38" t="s">
        <v>84</v>
      </c>
      <c r="E5" t="s">
        <v>85</v>
      </c>
    </row>
    <row r="6" spans="1:5" x14ac:dyDescent="0.25">
      <c r="A6" s="38" t="s">
        <v>10</v>
      </c>
      <c r="B6" s="38" t="s">
        <v>10</v>
      </c>
      <c r="E6" t="s">
        <v>86</v>
      </c>
    </row>
    <row r="7" spans="1:5" x14ac:dyDescent="0.25">
      <c r="A7" s="38" t="s">
        <v>21</v>
      </c>
      <c r="B7" s="38" t="s">
        <v>87</v>
      </c>
      <c r="E7" t="s">
        <v>88</v>
      </c>
    </row>
    <row r="8" spans="1:5" x14ac:dyDescent="0.25">
      <c r="A8" t="s">
        <v>26</v>
      </c>
      <c r="B8" t="s">
        <v>89</v>
      </c>
      <c r="E8" t="s">
        <v>90</v>
      </c>
    </row>
    <row r="9" spans="1:5" x14ac:dyDescent="0.25">
      <c r="A9" s="38" t="s">
        <v>91</v>
      </c>
      <c r="B9" s="38" t="s">
        <v>92</v>
      </c>
      <c r="E9" t="s">
        <v>93</v>
      </c>
    </row>
    <row r="10" spans="1:5" x14ac:dyDescent="0.25">
      <c r="A10" t="s">
        <v>179</v>
      </c>
      <c r="B10" t="s">
        <v>180</v>
      </c>
      <c r="E10" t="s">
        <v>94</v>
      </c>
    </row>
    <row r="11" spans="1:5" x14ac:dyDescent="0.25">
      <c r="E11" t="s">
        <v>95</v>
      </c>
    </row>
    <row r="12" spans="1:5" x14ac:dyDescent="0.25">
      <c r="E12" t="s">
        <v>96</v>
      </c>
    </row>
    <row r="13" spans="1:5" x14ac:dyDescent="0.25">
      <c r="E13" t="s">
        <v>69</v>
      </c>
    </row>
    <row r="14" spans="1:5" x14ac:dyDescent="0.25">
      <c r="E14" t="s">
        <v>74</v>
      </c>
    </row>
    <row r="15" spans="1:5" x14ac:dyDescent="0.25">
      <c r="E15" t="s">
        <v>97</v>
      </c>
    </row>
    <row r="16" spans="1:5" x14ac:dyDescent="0.25">
      <c r="E16" t="s">
        <v>98</v>
      </c>
    </row>
    <row r="17" spans="5:5" x14ac:dyDescent="0.25">
      <c r="E17" t="s">
        <v>99</v>
      </c>
    </row>
    <row r="18" spans="5:5" x14ac:dyDescent="0.25">
      <c r="E18" t="s">
        <v>100</v>
      </c>
    </row>
    <row r="19" spans="5:5" x14ac:dyDescent="0.25">
      <c r="E19" t="s">
        <v>101</v>
      </c>
    </row>
    <row r="20" spans="5:5" x14ac:dyDescent="0.25">
      <c r="E20" t="s">
        <v>102</v>
      </c>
    </row>
    <row r="21" spans="5:5" x14ac:dyDescent="0.25">
      <c r="E21" t="s">
        <v>103</v>
      </c>
    </row>
    <row r="22" spans="5:5" x14ac:dyDescent="0.25">
      <c r="E22" t="s">
        <v>104</v>
      </c>
    </row>
    <row r="23" spans="5:5" x14ac:dyDescent="0.25">
      <c r="E23" t="s">
        <v>105</v>
      </c>
    </row>
    <row r="24" spans="5:5" x14ac:dyDescent="0.25">
      <c r="E24" t="s">
        <v>106</v>
      </c>
    </row>
    <row r="25" spans="5:5" x14ac:dyDescent="0.25">
      <c r="E25" t="s">
        <v>107</v>
      </c>
    </row>
    <row r="26" spans="5:5" x14ac:dyDescent="0.25">
      <c r="E26" t="s">
        <v>108</v>
      </c>
    </row>
    <row r="27" spans="5:5" x14ac:dyDescent="0.25">
      <c r="E27" t="s">
        <v>71</v>
      </c>
    </row>
    <row r="28" spans="5:5" x14ac:dyDescent="0.25">
      <c r="E28" t="s">
        <v>109</v>
      </c>
    </row>
    <row r="29" spans="5:5" x14ac:dyDescent="0.25">
      <c r="E29" t="s">
        <v>110</v>
      </c>
    </row>
    <row r="30" spans="5:5" x14ac:dyDescent="0.25">
      <c r="E30" t="s">
        <v>111</v>
      </c>
    </row>
    <row r="31" spans="5:5" x14ac:dyDescent="0.25">
      <c r="E31" t="s">
        <v>112</v>
      </c>
    </row>
    <row r="32" spans="5:5" x14ac:dyDescent="0.25">
      <c r="E32" t="s">
        <v>113</v>
      </c>
    </row>
    <row r="33" spans="5:5" x14ac:dyDescent="0.25">
      <c r="E33" t="s">
        <v>114</v>
      </c>
    </row>
    <row r="34" spans="5:5" x14ac:dyDescent="0.25">
      <c r="E34" t="s">
        <v>115</v>
      </c>
    </row>
    <row r="35" spans="5:5" x14ac:dyDescent="0.25">
      <c r="E35" t="s">
        <v>116</v>
      </c>
    </row>
    <row r="36" spans="5:5" x14ac:dyDescent="0.25">
      <c r="E36" t="s">
        <v>117</v>
      </c>
    </row>
    <row r="37" spans="5:5" x14ac:dyDescent="0.25">
      <c r="E37" t="s">
        <v>118</v>
      </c>
    </row>
    <row r="38" spans="5:5" x14ac:dyDescent="0.25">
      <c r="E38" t="s">
        <v>119</v>
      </c>
    </row>
    <row r="39" spans="5:5" x14ac:dyDescent="0.25">
      <c r="E39" t="s">
        <v>120</v>
      </c>
    </row>
    <row r="40" spans="5:5" x14ac:dyDescent="0.25">
      <c r="E40" t="s">
        <v>121</v>
      </c>
    </row>
    <row r="41" spans="5:5" x14ac:dyDescent="0.25">
      <c r="E41" t="s">
        <v>122</v>
      </c>
    </row>
    <row r="42" spans="5:5" x14ac:dyDescent="0.25">
      <c r="E42" t="s">
        <v>123</v>
      </c>
    </row>
    <row r="43" spans="5:5" x14ac:dyDescent="0.25">
      <c r="E43" t="s">
        <v>124</v>
      </c>
    </row>
    <row r="44" spans="5:5" x14ac:dyDescent="0.25">
      <c r="E44" t="s">
        <v>125</v>
      </c>
    </row>
    <row r="45" spans="5:5" x14ac:dyDescent="0.25">
      <c r="E45" t="s">
        <v>126</v>
      </c>
    </row>
    <row r="46" spans="5:5" x14ac:dyDescent="0.25">
      <c r="E46" t="s">
        <v>127</v>
      </c>
    </row>
    <row r="47" spans="5:5" x14ac:dyDescent="0.25">
      <c r="E47" t="s">
        <v>128</v>
      </c>
    </row>
    <row r="48" spans="5:5" x14ac:dyDescent="0.25">
      <c r="E48" t="s">
        <v>129</v>
      </c>
    </row>
    <row r="49" spans="5:5" x14ac:dyDescent="0.25">
      <c r="E49" t="s">
        <v>130</v>
      </c>
    </row>
    <row r="50" spans="5:5" x14ac:dyDescent="0.25">
      <c r="E50" t="s">
        <v>131</v>
      </c>
    </row>
    <row r="51" spans="5:5" x14ac:dyDescent="0.25">
      <c r="E51" t="s">
        <v>132</v>
      </c>
    </row>
    <row r="52" spans="5:5" x14ac:dyDescent="0.25">
      <c r="E52" t="s">
        <v>133</v>
      </c>
    </row>
    <row r="53" spans="5:5" x14ac:dyDescent="0.25">
      <c r="E53" t="s">
        <v>134</v>
      </c>
    </row>
    <row r="54" spans="5:5" x14ac:dyDescent="0.25">
      <c r="E54" t="s">
        <v>135</v>
      </c>
    </row>
    <row r="55" spans="5:5" x14ac:dyDescent="0.25">
      <c r="E55" t="s">
        <v>136</v>
      </c>
    </row>
    <row r="56" spans="5:5" x14ac:dyDescent="0.25">
      <c r="E56" t="s">
        <v>137</v>
      </c>
    </row>
    <row r="57" spans="5:5" x14ac:dyDescent="0.25">
      <c r="E57" t="s">
        <v>138</v>
      </c>
    </row>
    <row r="58" spans="5:5" x14ac:dyDescent="0.25">
      <c r="E58" t="s">
        <v>139</v>
      </c>
    </row>
    <row r="59" spans="5:5" x14ac:dyDescent="0.25">
      <c r="E59" t="s">
        <v>140</v>
      </c>
    </row>
    <row r="60" spans="5:5" x14ac:dyDescent="0.25">
      <c r="E60" t="s">
        <v>141</v>
      </c>
    </row>
    <row r="61" spans="5:5" x14ac:dyDescent="0.25">
      <c r="E61" t="s">
        <v>142</v>
      </c>
    </row>
    <row r="62" spans="5:5" x14ac:dyDescent="0.25">
      <c r="E62" t="s">
        <v>143</v>
      </c>
    </row>
    <row r="63" spans="5:5" x14ac:dyDescent="0.25">
      <c r="E63" t="s">
        <v>144</v>
      </c>
    </row>
    <row r="64" spans="5:5" x14ac:dyDescent="0.25">
      <c r="E64" t="s">
        <v>145</v>
      </c>
    </row>
    <row r="65" spans="5:5" x14ac:dyDescent="0.25">
      <c r="E65" t="s">
        <v>146</v>
      </c>
    </row>
    <row r="66" spans="5:5" x14ac:dyDescent="0.25">
      <c r="E66" t="s">
        <v>147</v>
      </c>
    </row>
    <row r="67" spans="5:5" x14ac:dyDescent="0.25">
      <c r="E67" t="s">
        <v>148</v>
      </c>
    </row>
    <row r="68" spans="5:5" x14ac:dyDescent="0.25">
      <c r="E68" t="s">
        <v>149</v>
      </c>
    </row>
    <row r="69" spans="5:5" x14ac:dyDescent="0.25">
      <c r="E69" t="s">
        <v>150</v>
      </c>
    </row>
    <row r="70" spans="5:5" x14ac:dyDescent="0.25">
      <c r="E70" t="s">
        <v>151</v>
      </c>
    </row>
    <row r="71" spans="5:5" x14ac:dyDescent="0.25">
      <c r="E71" t="s">
        <v>152</v>
      </c>
    </row>
    <row r="72" spans="5:5" x14ac:dyDescent="0.25">
      <c r="E72" t="s">
        <v>153</v>
      </c>
    </row>
    <row r="73" spans="5:5" x14ac:dyDescent="0.25">
      <c r="E73" t="s">
        <v>154</v>
      </c>
    </row>
    <row r="74" spans="5:5" x14ac:dyDescent="0.25">
      <c r="E74" t="s">
        <v>155</v>
      </c>
    </row>
    <row r="75" spans="5:5" x14ac:dyDescent="0.25">
      <c r="E75" t="s">
        <v>156</v>
      </c>
    </row>
    <row r="76" spans="5:5" x14ac:dyDescent="0.25">
      <c r="E76" t="s">
        <v>157</v>
      </c>
    </row>
    <row r="77" spans="5:5" x14ac:dyDescent="0.25">
      <c r="E77" t="s">
        <v>158</v>
      </c>
    </row>
    <row r="78" spans="5:5" x14ac:dyDescent="0.25">
      <c r="E78" t="s">
        <v>159</v>
      </c>
    </row>
    <row r="79" spans="5:5" x14ac:dyDescent="0.25">
      <c r="E79" t="s">
        <v>160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controles de lojas</cp:lastModifiedBy>
  <cp:revision/>
  <cp:lastPrinted>2023-08-31T13:25:47Z</cp:lastPrinted>
  <dcterms:created xsi:type="dcterms:W3CDTF">2004-04-07T20:43:43Z</dcterms:created>
  <dcterms:modified xsi:type="dcterms:W3CDTF">2024-02-17T12:13:27Z</dcterms:modified>
  <cp:category/>
  <cp:contentStatus/>
</cp:coreProperties>
</file>