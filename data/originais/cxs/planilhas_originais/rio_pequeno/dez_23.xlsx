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13" documentId="13_ncr:1_{3F9C8D0F-1653-4A0B-A550-A81B328539CF}" xr6:coauthVersionLast="47" xr6:coauthVersionMax="47" xr10:uidLastSave="{8C7246D3-B220-471C-9BB2-128D3C9DA4D8}"/>
  <bookViews>
    <workbookView xWindow="-120" yWindow="-120" windowWidth="29040" windowHeight="15720" tabRatio="895" activeTab="2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5" i="175"/>
  <c r="C22" i="175" s="1"/>
  <c r="C6" i="174"/>
  <c r="C8" i="174" s="1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40" i="198" s="1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9" l="1"/>
  <c r="R40" i="192"/>
  <c r="R40" i="196"/>
  <c r="R40" i="197"/>
  <c r="R40" i="194"/>
  <c r="R40" i="188"/>
  <c r="C8" i="188"/>
  <c r="R40" i="191"/>
  <c r="C8" i="191"/>
  <c r="R40" i="190"/>
  <c r="R40" i="189"/>
  <c r="R40" i="186"/>
  <c r="R40" i="187"/>
  <c r="R40" i="183"/>
  <c r="R40" i="180"/>
  <c r="R40" i="170"/>
  <c r="C16" i="170"/>
  <c r="O11" i="170" s="1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<sst xmlns="http://schemas.openxmlformats.org/spreadsheetml/2006/main" count="2062" uniqueCount="265">
  <si>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</si>
  <si>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</si>
  <si>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</si>
  <si>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</si>
  <si>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</si>
  <si>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</si>
  <si>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</si>
  <si>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</si>
  <si>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</si>
  <si>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</si>
  <si>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</si>
  <si>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</si>
  <si>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</si>
  <si>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</si>
  <si>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</si>
  <si>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</si>
  <si>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</si>
  <si>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</si>
  <si>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</si>
  <si>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</si>
  <si>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</si>
  <si>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 xml:space="preserve">DAIANE VEZERRA </t>
  </si>
  <si>
    <t xml:space="preserve">JUCILENE DA ROCHA </t>
  </si>
  <si>
    <t>Total  entrada</t>
  </si>
  <si>
    <t>OS Entregue no Dia</t>
  </si>
  <si>
    <t>OS</t>
  </si>
  <si>
    <t>Vendedor</t>
  </si>
  <si>
    <t>CARNE</t>
  </si>
  <si>
    <t>ROGERIO</t>
  </si>
  <si>
    <t>Não</t>
  </si>
  <si>
    <t>ROSANGELA</t>
  </si>
  <si>
    <t>Sim</t>
  </si>
  <si>
    <t>Venda</t>
  </si>
  <si>
    <t>Restante Entrada</t>
  </si>
  <si>
    <t>ANDRE RODRIGUES</t>
  </si>
  <si>
    <t>CECILIA TEIXEIRA</t>
  </si>
  <si>
    <t>Recebimento de Carnê</t>
  </si>
  <si>
    <t>Valor Parcela</t>
  </si>
  <si>
    <t>Nº Parcela</t>
  </si>
  <si>
    <t>Parcelas</t>
  </si>
  <si>
    <t>Valor Total</t>
  </si>
  <si>
    <t>MARIA LUCIA</t>
  </si>
  <si>
    <t>PARC. 3/3</t>
  </si>
  <si>
    <t>Total de OS</t>
  </si>
  <si>
    <t xml:space="preserve">MARTA SUELI </t>
  </si>
  <si>
    <t xml:space="preserve">MARIA APARECIDA </t>
  </si>
  <si>
    <t>PARC. 1/1</t>
  </si>
  <si>
    <t xml:space="preserve">MARIA DE ALMEIDA </t>
  </si>
  <si>
    <t>PARC. 2/8</t>
  </si>
  <si>
    <t>WALLACE R.FONSECA</t>
  </si>
  <si>
    <t>PARC. 1/7</t>
  </si>
  <si>
    <t>DAIANA SOARES DA SILVA</t>
  </si>
  <si>
    <t xml:space="preserve">RITA DE CASSIA COELHO  </t>
  </si>
  <si>
    <t xml:space="preserve">VICTOR ALEXANDRE </t>
  </si>
  <si>
    <t>EVELYN R. DE SOUZA</t>
  </si>
  <si>
    <t xml:space="preserve">NATALIA APARECIDA </t>
  </si>
  <si>
    <t>AKILA RODRIGO RUIZ</t>
  </si>
  <si>
    <t>ROGÉRIO</t>
  </si>
  <si>
    <t>MARCELA FERREIRA</t>
  </si>
  <si>
    <t>SUELLEN RIBEIRO</t>
  </si>
  <si>
    <t>DOMENICA GLORIA</t>
  </si>
  <si>
    <t>RITA DE CASSIA</t>
  </si>
  <si>
    <t>FRANCISCA ANTONIA</t>
  </si>
  <si>
    <t>JOAO SOARES</t>
  </si>
  <si>
    <t>THALITA GABRIELLY</t>
  </si>
  <si>
    <t>MARIA AURICELIA</t>
  </si>
  <si>
    <t>GARANTIA</t>
  </si>
  <si>
    <t>ROSANGELA DANTAS</t>
  </si>
  <si>
    <t xml:space="preserve">LUCIANA </t>
  </si>
  <si>
    <t>DOMENICA LORENÇO</t>
  </si>
  <si>
    <t>3278</t>
  </si>
  <si>
    <t>JOSE AUGUSTO</t>
  </si>
  <si>
    <t>SALDO SALARIO LARISSA</t>
  </si>
  <si>
    <t>3279</t>
  </si>
  <si>
    <t>ELIANE SOARES</t>
  </si>
  <si>
    <t>ELENICIA LEAO DANTAS</t>
  </si>
  <si>
    <t>GENESIO DOS SANTOS</t>
  </si>
  <si>
    <t>PARC. 4/5</t>
  </si>
  <si>
    <t xml:space="preserve">Anessa </t>
  </si>
  <si>
    <t>JOSE LIMBENBERG</t>
  </si>
  <si>
    <t>JOSE RODOLFO</t>
  </si>
  <si>
    <t>LARISSA</t>
  </si>
  <si>
    <t>ORLANDO FRAGOSO</t>
  </si>
  <si>
    <t>PARC. 6/8</t>
  </si>
  <si>
    <t>FERNANDO SOARES</t>
  </si>
  <si>
    <t>PARC. 1/3</t>
  </si>
  <si>
    <t>MARIA DAS DORES</t>
  </si>
  <si>
    <t>PARC. 2/3</t>
  </si>
  <si>
    <t xml:space="preserve">CLEUZA FERNANDES </t>
  </si>
  <si>
    <t>GULILIANA LEONCIO</t>
  </si>
  <si>
    <t>MARIA DONATO</t>
  </si>
  <si>
    <t>CREONICE CHAGAS</t>
  </si>
  <si>
    <t>VIRGINIA PATRICIO</t>
  </si>
  <si>
    <t>LORRAINY NADINE</t>
  </si>
  <si>
    <t xml:space="preserve">MARCELIA CONCEIÇÃO </t>
  </si>
  <si>
    <t>PARC. 2/6</t>
  </si>
  <si>
    <t xml:space="preserve">ROGÉRIO </t>
  </si>
  <si>
    <t xml:space="preserve">Rosagela </t>
  </si>
  <si>
    <t xml:space="preserve">PAULA CLAUDIA SILVA PADROES </t>
  </si>
  <si>
    <t xml:space="preserve">CHARLENE FERREIRA DE GOIS </t>
  </si>
  <si>
    <t xml:space="preserve">valdeci marques </t>
  </si>
  <si>
    <t xml:space="preserve">RUDSON SILVA </t>
  </si>
  <si>
    <t xml:space="preserve">MARIA DAS DORES </t>
  </si>
  <si>
    <t xml:space="preserve">MAGALI TELES </t>
  </si>
  <si>
    <t xml:space="preserve">GLAUCIA CRISTINA </t>
  </si>
  <si>
    <t xml:space="preserve">LEDYLA  NASCIMENTO </t>
  </si>
  <si>
    <t xml:space="preserve">ROSANGELA </t>
  </si>
  <si>
    <t>CAROLINE NETTO NASCIMENTO</t>
  </si>
  <si>
    <t>PARC. 8/8</t>
  </si>
  <si>
    <t xml:space="preserve">EDSON CATARINO </t>
  </si>
  <si>
    <t>PARC. 7/10</t>
  </si>
  <si>
    <t>PARC. 8/10</t>
  </si>
  <si>
    <t xml:space="preserve">Zuleide Ventura </t>
  </si>
  <si>
    <t xml:space="preserve">CAROLINE AGUIAR </t>
  </si>
  <si>
    <t>CAIO PETRONILHO AMORIM</t>
  </si>
  <si>
    <t xml:space="preserve">JULIA VITORIA </t>
  </si>
  <si>
    <t>JULIANA ALVES</t>
  </si>
  <si>
    <t>ANTONIO CARLOS</t>
  </si>
  <si>
    <t xml:space="preserve">LARISSA </t>
  </si>
  <si>
    <t xml:space="preserve">MIRIAN MADEIRA DOMINGUES </t>
  </si>
  <si>
    <t xml:space="preserve">ALCIONE DE JESUS </t>
  </si>
  <si>
    <t xml:space="preserve">DINHEIRO </t>
  </si>
  <si>
    <t>PARC. 5/6</t>
  </si>
  <si>
    <t xml:space="preserve">EVERTON CRISTINA </t>
  </si>
  <si>
    <t>LUCIANA NUNES</t>
  </si>
  <si>
    <t>larissa</t>
  </si>
  <si>
    <t>TATY</t>
  </si>
  <si>
    <t>AKILA RUIZ</t>
  </si>
  <si>
    <t>LAIDYLA NASCIEMNTO</t>
  </si>
  <si>
    <t>maria aparecida</t>
  </si>
  <si>
    <t>PARC. 5/5</t>
  </si>
  <si>
    <t>SUZANA PAMELA</t>
  </si>
  <si>
    <t xml:space="preserve">ANGELA MARIA </t>
  </si>
  <si>
    <t>INDAIA LUANA</t>
  </si>
  <si>
    <t>LUANA PATRICIA</t>
  </si>
  <si>
    <t>DIVA VIEIRA</t>
  </si>
  <si>
    <t xml:space="preserve">SERGIO DOS SANTOS </t>
  </si>
  <si>
    <t xml:space="preserve">HELEN RAISSA </t>
  </si>
  <si>
    <t>JOYCE CARLA SANTOS</t>
  </si>
  <si>
    <t>PARC. 1/4</t>
  </si>
  <si>
    <t xml:space="preserve">MARIA DA CONCEIÇÃO </t>
  </si>
  <si>
    <t>condução Taty</t>
  </si>
  <si>
    <t>dn</t>
  </si>
  <si>
    <t xml:space="preserve">lubrificação da porta </t>
  </si>
  <si>
    <t>YUNG SOOK</t>
  </si>
  <si>
    <t>ROSANGELA 13</t>
  </si>
  <si>
    <t xml:space="preserve">SILVIA RENATA </t>
  </si>
  <si>
    <t>DERVAIL ALVES</t>
  </si>
  <si>
    <t>LARISSA 13</t>
  </si>
  <si>
    <t>Dn</t>
  </si>
  <si>
    <t>leonel vital</t>
  </si>
  <si>
    <t>SS</t>
  </si>
  <si>
    <t>ricardo tavares</t>
  </si>
  <si>
    <t>luiz  rodrigues</t>
  </si>
  <si>
    <t>alberto norimassa</t>
  </si>
  <si>
    <t xml:space="preserve">jose augusto </t>
  </si>
  <si>
    <t>nayane ferreira</t>
  </si>
  <si>
    <t>silvia santos</t>
  </si>
  <si>
    <t xml:space="preserve">joana maria </t>
  </si>
  <si>
    <t>THALITA GABRIELY</t>
  </si>
  <si>
    <t xml:space="preserve">CECILIA TEIXEIRA </t>
  </si>
  <si>
    <t xml:space="preserve">MARILDA  DA GLORIA </t>
  </si>
  <si>
    <t>RAUL MESQUITA</t>
  </si>
  <si>
    <t>TAMIRES BOSIO</t>
  </si>
  <si>
    <t>BERNARDETE</t>
  </si>
  <si>
    <t>GIRLENE GOMES</t>
  </si>
  <si>
    <t>ARIANA LIMA</t>
  </si>
  <si>
    <t>MARTA SUELI</t>
  </si>
  <si>
    <t>LORRAINE NADINE</t>
  </si>
  <si>
    <t>MARIA DE FATIMA</t>
  </si>
  <si>
    <t xml:space="preserve">PAULO CESAR DE LIMA </t>
  </si>
  <si>
    <t>ALEXANDRE TADEU</t>
  </si>
  <si>
    <t>ANEXO</t>
  </si>
  <si>
    <t>ROGILDA ARAUJO</t>
  </si>
  <si>
    <t>CECILIA BISPO</t>
  </si>
  <si>
    <t>MARCIO ASATO</t>
  </si>
  <si>
    <t>NILVANIA OLIVEIRA</t>
  </si>
  <si>
    <t>LETICIA PORFILIO</t>
  </si>
  <si>
    <t>CECILIA OLIVEIRA</t>
  </si>
  <si>
    <t>PARC. 2/5</t>
  </si>
  <si>
    <t>SONIA MARIA</t>
  </si>
  <si>
    <t>NICOLY  SANTOS</t>
  </si>
  <si>
    <t>TAMIRES SANTOS</t>
  </si>
  <si>
    <t xml:space="preserve">GABRIEL VIGILATTO </t>
  </si>
  <si>
    <t>ELISIO ALMEIDA</t>
  </si>
  <si>
    <t>Coluna1</t>
  </si>
  <si>
    <t>Coluna2</t>
  </si>
  <si>
    <t>Coluna3</t>
  </si>
  <si>
    <t>maria de fatima</t>
  </si>
  <si>
    <t xml:space="preserve">Eliana Machado </t>
  </si>
  <si>
    <t>julia cristina</t>
  </si>
  <si>
    <t xml:space="preserve">ROSILDA PEREIRA </t>
  </si>
  <si>
    <t>DIVAB FRANCISCA FARIAS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</si>
  <si>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</si>
  <si>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</si>
  <si>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</si>
  <si>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</si>
  <si>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</si>
  <si>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</si>
  <si>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</si>
  <si>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</si>
  <si>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</si>
  <si>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Sem Sinal</t>
  </si>
  <si>
    <t xml:space="preserve">Carne </t>
  </si>
  <si>
    <t>Todas as Garantias</t>
  </si>
  <si>
    <t>PARC. 2/4</t>
  </si>
  <si>
    <t>PARC. 3/4</t>
  </si>
  <si>
    <t>PARC. 4/4</t>
  </si>
  <si>
    <t>PARC. 1/5</t>
  </si>
  <si>
    <t>PARC. 3/5</t>
  </si>
  <si>
    <t>PARC. 1/6</t>
  </si>
  <si>
    <t>PARC. 3/6</t>
  </si>
  <si>
    <t>PARC. 4/6</t>
  </si>
  <si>
    <t>PARC. 6/6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</si>
  <si>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</si>
  <si>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</si>
  <si>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</si>
  <si>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</si>
  <si>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</si>
  <si>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</si>
  <si>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</si>
  <si>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3/8</t>
  </si>
  <si>
    <t>PARC. 4/8</t>
  </si>
  <si>
    <t>PARC. 5/8</t>
  </si>
  <si>
    <t>PARC. 7/8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</si>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</sst>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2" fillId="0" borderId="13" xfId="39" applyNumberFormat="1" applyFont="1" applyFill="1" applyBorder="1" applyAlignment="1">
      <alignment horizontal="center"/>
    </xf>
    <xf numFmtId="44" fontId="32" fillId="0" borderId="13" xfId="39" applyFont="1" applyFill="1" applyBorder="1" applyAlignment="1">
      <alignment horizontal="center"/>
    </xf>
    <xf numFmtId="165" fontId="32" fillId="0" borderId="13" xfId="4" applyNumberFormat="1" applyFont="1" applyFill="1" applyBorder="1" applyAlignment="1">
      <alignment horizontal="center"/>
    </xf>
    <xf numFmtId="49" fontId="32" fillId="0" borderId="17" xfId="39" applyNumberFormat="1" applyFont="1" applyFill="1" applyBorder="1" applyAlignment="1">
      <alignment horizontal="center"/>
    </xf>
    <xf numFmtId="44" fontId="32" fillId="0" borderId="17" xfId="39" applyFont="1" applyFill="1" applyBorder="1" applyAlignment="1">
      <alignment horizontal="center"/>
    </xf>
    <xf numFmtId="165" fontId="32" fillId="0" borderId="17" xfId="4" applyNumberFormat="1" applyFont="1" applyFill="1" applyBorder="1" applyAlignment="1">
      <alignment horizontal="center"/>
    </xf>
    <xf numFmtId="0" fontId="32" fillId="0" borderId="17" xfId="39" applyNumberFormat="1" applyFont="1" applyFill="1" applyBorder="1" applyAlignment="1">
      <alignment horizontal="center"/>
    </xf>
    <xf numFmtId="164" fontId="33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43" totalsRowShown="0" headerRowDxfId="185" dataDxfId="183" headerRowBorderDxfId="184" tableBorderDxfId="182" totalsRowBorderDxfId="181">
  <autoFilter ref="K14:M43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45:M52" totalsRowShown="0" headerRowDxfId="167" headerRowBorderDxfId="166" tableBorderDxfId="165" totalsRowBorderDxfId="164">
  <autoFilter ref="K45:M52" xr:uid="{1B8643D4-6AC3-4029-882A-C62E9D7CB225}"/>
  <tableColumns count="3">
    <tableColumn id="1" xr3:uid="{2CBB75AA-30A1-4E7B-931E-A32395F87AA4}" name="Coluna1" dataDxfId="163"/>
    <tableColumn id="2" xr3:uid="{9C8D7AA6-CFE0-4494-82DC-042A052CAAA0}" name="Coluna2" dataDxfId="162"/>
    <tableColumn id="3" xr3:uid="{57D19216-198A-4E06-835D-91E30A9FE599}" name="Coluna3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D21" sqref="D21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42100.79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40373.79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1188</v>
      </c>
    </row>
    <row r="6" spans="1:2" ht="15.75" x14ac:dyDescent="0.25">
      <c r="A6" s="28" t="s">
        <v>4</v>
      </c>
      <c r="B6" s="29">
        <f>SUM(B4:B5)</f>
        <v>41561.79</v>
      </c>
    </row>
    <row r="7" spans="1:2" ht="15" x14ac:dyDescent="0.25">
      <c r="A7" s="2"/>
      <c r="B7" s="2"/>
    </row>
    <row r="8" spans="1:2" ht="15" x14ac:dyDescent="0.2">
      <c r="A8" s="78" t="s">
        <v>5</v>
      </c>
      <c r="B8" s="78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3871.99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10044.089999999998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9453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12669.5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6997.7</v>
      </c>
    </row>
    <row r="14" spans="1:2" ht="15.75" x14ac:dyDescent="0.25">
      <c r="A14" s="28" t="s">
        <v>11</v>
      </c>
      <c r="B14" s="32">
        <f>SUM(B9:B13)</f>
        <v>43036.28</v>
      </c>
    </row>
    <row r="15" spans="1:2" ht="15" x14ac:dyDescent="0.25">
      <c r="A15" s="2"/>
      <c r="B15" s="2"/>
    </row>
    <row r="16" spans="1:2" ht="15" x14ac:dyDescent="0.2">
      <c r="A16" s="78" t="s">
        <v>12</v>
      </c>
      <c r="B16" s="78"/>
    </row>
    <row r="17" spans="1:2" ht="15" x14ac:dyDescent="0.25">
      <c r="A17" s="30">
        <f>COUNT(entr_carn1[OS])</f>
        <v>1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2276</v>
      </c>
    </row>
    <row r="18" spans="1:2" ht="15.75" x14ac:dyDescent="0.25">
      <c r="A18" s="28" t="s">
        <v>11</v>
      </c>
      <c r="B18" s="32">
        <f>SUM(B17:B17)</f>
        <v>2276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6" zoomScale="91" zoomScaleNormal="91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45261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1388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2339</v>
      </c>
      <c r="D6" s="2"/>
      <c r="E6" s="18">
        <v>3261</v>
      </c>
      <c r="F6" s="25" t="s">
        <v>21</v>
      </c>
      <c r="G6" s="48" t="s">
        <v>9</v>
      </c>
      <c r="H6" s="8">
        <v>789</v>
      </c>
      <c r="I6" s="8">
        <v>789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3262</v>
      </c>
      <c r="F7" s="25" t="s">
        <v>22</v>
      </c>
      <c r="G7" s="48" t="s">
        <v>9</v>
      </c>
      <c r="H7" s="8">
        <v>599</v>
      </c>
      <c r="I7" s="8">
        <v>400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23</v>
      </c>
      <c r="C8" s="29">
        <f>SUM(C6:C7)</f>
        <v>2339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342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1189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3237</v>
      </c>
      <c r="L15" s="9" t="s">
        <v>28</v>
      </c>
      <c r="M15" s="16" t="s">
        <v>29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2431</v>
      </c>
      <c r="D16" s="2"/>
      <c r="E16" s="18"/>
      <c r="F16" s="25"/>
      <c r="G16" s="26"/>
      <c r="H16" s="8"/>
      <c r="I16" s="8"/>
      <c r="J16" s="2"/>
      <c r="K16" s="25">
        <v>3260</v>
      </c>
      <c r="L16" s="9" t="s">
        <v>28</v>
      </c>
      <c r="M16" s="16" t="s">
        <v>29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3179</v>
      </c>
      <c r="L17" s="9" t="s">
        <v>30</v>
      </c>
      <c r="M17" s="16" t="s">
        <v>31</v>
      </c>
      <c r="R17" s="1">
        <f>IF(vend1[[#This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1</v>
      </c>
      <c r="C19" s="31">
        <f>SUM(entr_carn1[Valor Total])</f>
        <v>399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399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1388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3237</v>
      </c>
      <c r="F26" s="25" t="s">
        <v>34</v>
      </c>
      <c r="G26" s="26" t="s">
        <v>6</v>
      </c>
      <c r="H26" s="8"/>
      <c r="I26" s="8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3179</v>
      </c>
      <c r="F27" s="25" t="s">
        <v>35</v>
      </c>
      <c r="G27" s="26" t="s">
        <v>7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6" t="s">
        <v>25</v>
      </c>
      <c r="L34" s="6" t="s">
        <v>39</v>
      </c>
      <c r="M34" s="6" t="s">
        <v>40</v>
      </c>
    </row>
    <row r="35" spans="2:18" ht="15.75" x14ac:dyDescent="0.25">
      <c r="E35" s="18">
        <v>3035</v>
      </c>
      <c r="F35" s="25" t="s">
        <v>41</v>
      </c>
      <c r="G35" s="26" t="s">
        <v>7</v>
      </c>
      <c r="H35" s="8">
        <v>92</v>
      </c>
      <c r="I35" s="8" t="s">
        <v>42</v>
      </c>
      <c r="K35" s="25">
        <v>3179</v>
      </c>
      <c r="L35" s="42">
        <v>4</v>
      </c>
      <c r="M35" s="9">
        <v>399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43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7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45262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499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</v>
      </c>
      <c r="D6" s="2"/>
      <c r="E6" s="18">
        <v>3263</v>
      </c>
      <c r="F6" s="25" t="s">
        <v>44</v>
      </c>
      <c r="G6" s="48" t="s">
        <v>10</v>
      </c>
      <c r="H6" s="8">
        <v>499</v>
      </c>
      <c r="I6" s="8">
        <v>30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23</v>
      </c>
      <c r="C8" s="29">
        <f>SUM(C6:C7)</f>
        <v>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169.99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242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30</v>
      </c>
      <c r="D15" s="2"/>
      <c r="E15" s="18"/>
      <c r="F15" s="25"/>
      <c r="G15" s="26"/>
      <c r="H15" s="8"/>
      <c r="I15" s="8"/>
      <c r="J15" s="2"/>
      <c r="K15" s="25">
        <v>3232</v>
      </c>
      <c r="L15" s="9" t="s">
        <v>28</v>
      </c>
      <c r="M15" s="16" t="s">
        <v>29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441.99</v>
      </c>
      <c r="D16" s="2"/>
      <c r="E16" s="18"/>
      <c r="F16" s="25"/>
      <c r="G16" s="26"/>
      <c r="H16" s="8"/>
      <c r="I16" s="8"/>
      <c r="J16" s="2"/>
      <c r="K16" s="25">
        <v>3218</v>
      </c>
      <c r="L16" s="9" t="s">
        <v>28</v>
      </c>
      <c r="M16" s="16" t="s">
        <v>31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499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3017</v>
      </c>
      <c r="F35" s="25" t="s">
        <v>45</v>
      </c>
      <c r="G35" s="26" t="s">
        <v>7</v>
      </c>
      <c r="H35" s="8">
        <v>100</v>
      </c>
      <c r="I35" s="8" t="s">
        <v>46</v>
      </c>
      <c r="K35" s="25"/>
      <c r="L35" s="42"/>
      <c r="M35" s="16"/>
    </row>
    <row r="36" spans="2:18" ht="15.75" x14ac:dyDescent="0.25">
      <c r="E36" s="18">
        <v>3076</v>
      </c>
      <c r="F36" s="25" t="s">
        <v>47</v>
      </c>
      <c r="G36" s="26" t="s">
        <v>7</v>
      </c>
      <c r="H36" s="8">
        <v>142</v>
      </c>
      <c r="I36" s="8" t="s">
        <v>48</v>
      </c>
      <c r="K36" s="25"/>
      <c r="L36" s="42"/>
      <c r="M36" s="16"/>
    </row>
    <row r="37" spans="2:18" ht="15.75" x14ac:dyDescent="0.25">
      <c r="E37" s="18">
        <v>3175</v>
      </c>
      <c r="F37" s="25" t="s">
        <v>49</v>
      </c>
      <c r="G37" s="26" t="s">
        <v>6</v>
      </c>
      <c r="H37" s="8">
        <v>169.99</v>
      </c>
      <c r="I37" s="8" t="s">
        <v>50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45263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topLeftCell="A2" zoomScale="80" zoomScaleNormal="80" workbookViewId="0">
      <selection activeCell="W22" sqref="W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45264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3486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1973.5</v>
      </c>
      <c r="D6" s="2"/>
      <c r="E6" s="18">
        <v>3264</v>
      </c>
      <c r="F6" s="25" t="s">
        <v>51</v>
      </c>
      <c r="G6" s="48" t="s">
        <v>7</v>
      </c>
      <c r="H6" s="8">
        <v>950</v>
      </c>
      <c r="I6" s="8">
        <v>950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3265</v>
      </c>
      <c r="F7" s="25" t="s">
        <v>52</v>
      </c>
      <c r="G7" s="48" t="s">
        <v>10</v>
      </c>
      <c r="H7" s="8">
        <v>550</v>
      </c>
      <c r="I7" s="8">
        <v>100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23</v>
      </c>
      <c r="C8" s="29">
        <f>SUM(C6:C7)</f>
        <v>1973.5</v>
      </c>
      <c r="D8" s="2"/>
      <c r="E8" s="18">
        <v>3266</v>
      </c>
      <c r="F8" s="25" t="s">
        <v>53</v>
      </c>
      <c r="G8" s="48" t="s">
        <v>10</v>
      </c>
      <c r="H8" s="8">
        <v>299</v>
      </c>
      <c r="I8" s="8">
        <v>160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3266</v>
      </c>
      <c r="F9" s="25" t="s">
        <v>53</v>
      </c>
      <c r="G9" s="48" t="s">
        <v>6</v>
      </c>
      <c r="H9" s="8">
        <v>0</v>
      </c>
      <c r="I9" s="8">
        <v>60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3267</v>
      </c>
      <c r="F10" s="25" t="s">
        <v>54</v>
      </c>
      <c r="G10" s="26" t="s">
        <v>7</v>
      </c>
      <c r="H10" s="8">
        <v>299</v>
      </c>
      <c r="I10" s="8">
        <v>299</v>
      </c>
      <c r="J10" s="2"/>
      <c r="K10" s="25"/>
      <c r="L10" s="9"/>
      <c r="M10" s="16"/>
      <c r="R10" s="1">
        <f>IF(vend4[[#This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>
        <v>3268</v>
      </c>
      <c r="F11" s="25" t="s">
        <v>55</v>
      </c>
      <c r="G11" s="26" t="s">
        <v>6</v>
      </c>
      <c r="H11" s="8">
        <v>899</v>
      </c>
      <c r="I11" s="8">
        <v>160</v>
      </c>
      <c r="J11" s="2"/>
      <c r="K11" s="27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1493.5</v>
      </c>
      <c r="D12" s="2"/>
      <c r="E12" s="18">
        <v>3269</v>
      </c>
      <c r="F12" s="25" t="s">
        <v>56</v>
      </c>
      <c r="G12" s="26" t="s">
        <v>7</v>
      </c>
      <c r="H12" s="8">
        <v>489</v>
      </c>
      <c r="I12" s="8">
        <v>244.5</v>
      </c>
      <c r="J12" s="2"/>
      <c r="R12" s="1">
        <f>IF(vend4[[#This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260</v>
      </c>
      <c r="D15" s="2"/>
      <c r="E15" s="18"/>
      <c r="F15" s="25"/>
      <c r="G15" s="26"/>
      <c r="H15" s="8"/>
      <c r="I15" s="8"/>
      <c r="J15" s="2"/>
      <c r="K15" s="25">
        <v>3214</v>
      </c>
      <c r="L15" s="9" t="s">
        <v>57</v>
      </c>
      <c r="M15" s="16" t="s">
        <v>29</v>
      </c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1973.5</v>
      </c>
      <c r="D16" s="2"/>
      <c r="E16" s="18"/>
      <c r="F16" s="25"/>
      <c r="G16" s="26"/>
      <c r="H16" s="8"/>
      <c r="I16" s="8"/>
      <c r="J16" s="2"/>
      <c r="K16" s="25">
        <v>3259</v>
      </c>
      <c r="L16" s="9" t="s">
        <v>57</v>
      </c>
      <c r="M16" s="16" t="s">
        <v>29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3486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V20" sqref="V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45265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1548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665</v>
      </c>
      <c r="D6" s="2"/>
      <c r="E6" s="18">
        <v>3270</v>
      </c>
      <c r="F6" s="25" t="s">
        <v>58</v>
      </c>
      <c r="G6" s="48" t="s">
        <v>7</v>
      </c>
      <c r="H6" s="8">
        <v>499</v>
      </c>
      <c r="I6" s="8">
        <v>200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3271</v>
      </c>
      <c r="F7" s="25" t="s">
        <v>59</v>
      </c>
      <c r="G7" s="48" t="s">
        <v>7</v>
      </c>
      <c r="H7" s="8">
        <v>550</v>
      </c>
      <c r="I7" s="8">
        <v>100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23</v>
      </c>
      <c r="C8" s="29">
        <f>SUM(C6:C7)</f>
        <v>665</v>
      </c>
      <c r="D8" s="2"/>
      <c r="E8" s="18">
        <v>3272</v>
      </c>
      <c r="F8" s="25" t="s">
        <v>60</v>
      </c>
      <c r="G8" s="48" t="s">
        <v>10</v>
      </c>
      <c r="H8" s="8">
        <v>499</v>
      </c>
      <c r="I8" s="8">
        <v>150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215</v>
      </c>
      <c r="D15" s="2"/>
      <c r="E15" s="18"/>
      <c r="F15" s="25"/>
      <c r="G15" s="26"/>
      <c r="H15" s="8"/>
      <c r="I15" s="8"/>
      <c r="J15" s="2"/>
      <c r="K15" s="25">
        <v>3206</v>
      </c>
      <c r="L15" s="9" t="s">
        <v>28</v>
      </c>
      <c r="M15" s="16" t="s">
        <v>29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665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1548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3265</v>
      </c>
      <c r="F26" s="25" t="s">
        <v>61</v>
      </c>
      <c r="G26" s="48" t="s">
        <v>10</v>
      </c>
      <c r="H26" s="8"/>
      <c r="I26" s="8">
        <v>65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3206</v>
      </c>
      <c r="F27" s="25" t="s">
        <v>62</v>
      </c>
      <c r="G27" s="48" t="s">
        <v>6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G14" sqref="G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45266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2228</v>
      </c>
      <c r="D6" s="2"/>
      <c r="E6" s="18">
        <v>3273</v>
      </c>
      <c r="F6" s="25" t="s">
        <v>63</v>
      </c>
      <c r="G6" s="26" t="s">
        <v>10</v>
      </c>
      <c r="H6" s="8">
        <v>790</v>
      </c>
      <c r="I6" s="8">
        <v>790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3274</v>
      </c>
      <c r="F7" s="25" t="s">
        <v>64</v>
      </c>
      <c r="G7" s="26" t="s">
        <v>10</v>
      </c>
      <c r="H7" s="8">
        <v>790</v>
      </c>
      <c r="I7" s="8">
        <v>100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23</v>
      </c>
      <c r="C8" s="29">
        <f>SUM(C6:C7)</f>
        <v>2228</v>
      </c>
      <c r="D8" s="2"/>
      <c r="E8" s="18">
        <v>3275</v>
      </c>
      <c r="F8" s="25" t="s">
        <v>65</v>
      </c>
      <c r="G8" s="26" t="s">
        <v>66</v>
      </c>
      <c r="H8" s="8">
        <v>0</v>
      </c>
      <c r="I8" s="8">
        <v>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3276</v>
      </c>
      <c r="F9" s="25" t="s">
        <v>67</v>
      </c>
      <c r="G9" s="26" t="s">
        <v>10</v>
      </c>
      <c r="H9" s="8">
        <v>690</v>
      </c>
      <c r="I9" s="8">
        <v>690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3277</v>
      </c>
      <c r="F10" s="25" t="s">
        <v>68</v>
      </c>
      <c r="G10" s="26" t="s">
        <v>9</v>
      </c>
      <c r="H10" s="8">
        <v>220</v>
      </c>
      <c r="I10" s="8">
        <v>220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220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2008</v>
      </c>
      <c r="D15" s="2"/>
      <c r="E15" s="18"/>
      <c r="F15" s="25"/>
      <c r="G15" s="26"/>
      <c r="H15" s="8"/>
      <c r="I15" s="8"/>
      <c r="J15" s="2"/>
      <c r="K15" s="25">
        <v>3172</v>
      </c>
      <c r="L15" s="9" t="s">
        <v>30</v>
      </c>
      <c r="M15" s="16" t="s">
        <v>29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2228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3266</v>
      </c>
      <c r="F26" s="25" t="s">
        <v>53</v>
      </c>
      <c r="G26" s="26" t="s">
        <v>10</v>
      </c>
      <c r="H26" s="8"/>
      <c r="I26" s="8">
        <v>79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6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3272</v>
      </c>
      <c r="F28" s="25" t="s">
        <v>69</v>
      </c>
      <c r="G28" s="26" t="s">
        <v>10</v>
      </c>
      <c r="H28" s="8"/>
      <c r="I28" s="8">
        <v>349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45267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1830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5729</v>
      </c>
      <c r="D6" s="2"/>
      <c r="E6" s="53" t="s">
        <v>70</v>
      </c>
      <c r="F6" s="51" t="s">
        <v>71</v>
      </c>
      <c r="G6" s="51" t="s">
        <v>9</v>
      </c>
      <c r="H6" s="52">
        <v>1100</v>
      </c>
      <c r="I6" s="52">
        <v>1100</v>
      </c>
      <c r="J6" s="2"/>
      <c r="K6" s="25" t="s">
        <v>72</v>
      </c>
      <c r="L6" s="9" t="s">
        <v>6</v>
      </c>
      <c r="M6" s="16">
        <v>360</v>
      </c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360</v>
      </c>
      <c r="D7" s="2"/>
      <c r="E7" s="54" t="s">
        <v>73</v>
      </c>
      <c r="F7" s="50" t="s">
        <v>74</v>
      </c>
      <c r="G7" s="50" t="s">
        <v>10</v>
      </c>
      <c r="H7" s="49">
        <v>490</v>
      </c>
      <c r="I7" s="49">
        <v>490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23</v>
      </c>
      <c r="C8" s="29">
        <f>SUM(C6:C7)</f>
        <v>6089</v>
      </c>
      <c r="D8" s="2"/>
      <c r="E8" s="18">
        <v>3280</v>
      </c>
      <c r="F8" s="25" t="s">
        <v>74</v>
      </c>
      <c r="G8" s="26" t="s">
        <v>10</v>
      </c>
      <c r="H8" s="8">
        <v>240</v>
      </c>
      <c r="I8" s="8">
        <v>240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899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3000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1100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730</v>
      </c>
      <c r="D15" s="2"/>
      <c r="E15" s="18"/>
      <c r="F15" s="25"/>
      <c r="G15" s="26"/>
      <c r="H15" s="8"/>
      <c r="I15" s="8"/>
      <c r="J15" s="2"/>
      <c r="K15" s="55">
        <v>3241</v>
      </c>
      <c r="L15" s="56" t="s">
        <v>28</v>
      </c>
      <c r="M15" s="57" t="s">
        <v>29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6089</v>
      </c>
      <c r="D16" s="2"/>
      <c r="E16" s="18"/>
      <c r="F16" s="25"/>
      <c r="G16" s="26"/>
      <c r="H16" s="8"/>
      <c r="I16" s="8"/>
      <c r="J16" s="2"/>
      <c r="K16" s="47">
        <v>3197</v>
      </c>
      <c r="L16" s="9" t="s">
        <v>30</v>
      </c>
      <c r="M16" s="16" t="s">
        <v>29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>
        <v>3198</v>
      </c>
      <c r="L17" s="9" t="s">
        <v>30</v>
      </c>
      <c r="M17" s="16" t="s">
        <v>29</v>
      </c>
      <c r="R17" s="1">
        <f>IF(vend7[[#This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32</v>
      </c>
      <c r="C22" s="32">
        <f>C5</f>
        <v>1830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75">
        <v>3197</v>
      </c>
      <c r="F26" s="67" t="s">
        <v>75</v>
      </c>
      <c r="G26" s="76" t="s">
        <v>7</v>
      </c>
      <c r="H26" s="77"/>
      <c r="I26" s="77">
        <v>899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>
        <v>3197</v>
      </c>
      <c r="F27" s="25" t="s">
        <v>75</v>
      </c>
      <c r="G27" s="48" t="s">
        <v>8</v>
      </c>
      <c r="H27" s="8"/>
      <c r="I27" s="8">
        <v>3000</v>
      </c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2984</v>
      </c>
      <c r="F35" s="25" t="s">
        <v>76</v>
      </c>
      <c r="G35" s="26" t="s">
        <v>6</v>
      </c>
      <c r="H35" s="8">
        <v>360</v>
      </c>
      <c r="I35" s="8" t="s">
        <v>77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G35:G41 G26:G31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topLeftCell="A2" zoomScale="80" zoomScaleNormal="80" workbookViewId="0">
      <selection activeCell="I27" sqref="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45268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1888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2087</v>
      </c>
      <c r="D6" s="2"/>
      <c r="E6" s="58">
        <v>3281</v>
      </c>
      <c r="F6" s="8" t="s">
        <v>78</v>
      </c>
      <c r="G6" s="8" t="s">
        <v>7</v>
      </c>
      <c r="H6" s="8">
        <v>99</v>
      </c>
      <c r="I6" s="8">
        <v>99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8">
        <v>3282</v>
      </c>
      <c r="F7" s="8" t="s">
        <v>79</v>
      </c>
      <c r="G7" s="8" t="s">
        <v>9</v>
      </c>
      <c r="H7" s="8">
        <v>899</v>
      </c>
      <c r="I7" s="8">
        <v>899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23</v>
      </c>
      <c r="C8" s="29">
        <f>SUM(C6:C7)</f>
        <v>2087</v>
      </c>
      <c r="D8" s="2"/>
      <c r="E8" s="58">
        <v>3283</v>
      </c>
      <c r="F8" s="8" t="s">
        <v>80</v>
      </c>
      <c r="G8" s="8" t="s">
        <v>9</v>
      </c>
      <c r="H8" s="8">
        <v>890</v>
      </c>
      <c r="I8" s="8">
        <v>890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5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327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99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1988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3240</v>
      </c>
      <c r="L15" s="9" t="s">
        <v>28</v>
      </c>
      <c r="M15" s="16" t="s">
        <v>29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2554</v>
      </c>
      <c r="D16" s="2"/>
      <c r="E16" s="18"/>
      <c r="F16" s="25"/>
      <c r="G16" s="26"/>
      <c r="H16" s="8"/>
      <c r="I16" s="8"/>
      <c r="J16" s="2"/>
      <c r="K16" s="25">
        <v>3262</v>
      </c>
      <c r="L16" s="9" t="s">
        <v>28</v>
      </c>
      <c r="M16" s="16" t="s">
        <v>29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3281</v>
      </c>
      <c r="L17" s="9" t="s">
        <v>81</v>
      </c>
      <c r="M17" s="16" t="s">
        <v>29</v>
      </c>
      <c r="R17" s="1">
        <f>IF(vend8[[#This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3250</v>
      </c>
      <c r="L18" s="9" t="s">
        <v>28</v>
      </c>
      <c r="M18" s="16" t="s">
        <v>29</v>
      </c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1888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5">
        <v>3262</v>
      </c>
      <c r="F26" s="67" t="s">
        <v>22</v>
      </c>
      <c r="G26" s="76" t="s">
        <v>9</v>
      </c>
      <c r="H26" s="77"/>
      <c r="I26" s="77">
        <v>199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2777</v>
      </c>
      <c r="F35" s="25" t="s">
        <v>82</v>
      </c>
      <c r="G35" s="26" t="s">
        <v>6</v>
      </c>
      <c r="H35" s="8">
        <v>250</v>
      </c>
      <c r="I35" s="8" t="s">
        <v>83</v>
      </c>
      <c r="K35" s="25"/>
      <c r="L35" s="42"/>
      <c r="M35" s="16"/>
    </row>
    <row r="36" spans="2:18" ht="15.75" x14ac:dyDescent="0.25">
      <c r="E36" s="18">
        <v>3199</v>
      </c>
      <c r="F36" s="25" t="s">
        <v>84</v>
      </c>
      <c r="G36" s="26" t="s">
        <v>6</v>
      </c>
      <c r="H36" s="8">
        <v>77</v>
      </c>
      <c r="I36" s="8" t="s">
        <v>50</v>
      </c>
      <c r="K36" s="25"/>
      <c r="L36" s="42"/>
      <c r="M36" s="16"/>
    </row>
    <row r="37" spans="2:18" ht="15.75" x14ac:dyDescent="0.25">
      <c r="E37" s="18">
        <v>3141</v>
      </c>
      <c r="F37" s="25" t="s">
        <v>86</v>
      </c>
      <c r="G37" s="26" t="s">
        <v>10</v>
      </c>
      <c r="H37" s="8">
        <v>140</v>
      </c>
      <c r="I37" s="8" t="s">
        <v>87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B26" sqref="B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45269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2988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2988</v>
      </c>
      <c r="D6" s="2"/>
      <c r="E6" s="18">
        <v>3285</v>
      </c>
      <c r="F6" s="25" t="s">
        <v>88</v>
      </c>
      <c r="G6" s="48" t="s">
        <v>10</v>
      </c>
      <c r="H6" s="8">
        <v>360</v>
      </c>
      <c r="I6" s="8">
        <v>360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3286</v>
      </c>
      <c r="F7" s="25" t="s">
        <v>89</v>
      </c>
      <c r="G7" s="26" t="s">
        <v>8</v>
      </c>
      <c r="H7" s="8">
        <v>528</v>
      </c>
      <c r="I7" s="8">
        <v>528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23</v>
      </c>
      <c r="C8" s="29">
        <f>SUM(C6:C7)</f>
        <v>2988</v>
      </c>
      <c r="D8" s="2"/>
      <c r="E8" s="18">
        <v>3287</v>
      </c>
      <c r="F8" s="25" t="s">
        <v>90</v>
      </c>
      <c r="G8" s="26" t="s">
        <v>7</v>
      </c>
      <c r="H8" s="8">
        <v>1050</v>
      </c>
      <c r="I8" s="8">
        <v>1050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3288</v>
      </c>
      <c r="F9" s="25" t="s">
        <v>90</v>
      </c>
      <c r="G9" s="26" t="s">
        <v>7</v>
      </c>
      <c r="H9" s="8">
        <v>1050</v>
      </c>
      <c r="I9" s="8">
        <v>1050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528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360</v>
      </c>
      <c r="D15" s="2"/>
      <c r="E15" s="18"/>
      <c r="F15" s="25"/>
      <c r="G15" s="26"/>
      <c r="H15" s="8"/>
      <c r="I15" s="8"/>
      <c r="J15" s="2"/>
      <c r="K15" s="25">
        <v>3261</v>
      </c>
      <c r="L15" s="9" t="s">
        <v>28</v>
      </c>
      <c r="M15" s="16" t="s">
        <v>29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2988</v>
      </c>
      <c r="D16" s="2"/>
      <c r="E16" s="18"/>
      <c r="F16" s="25"/>
      <c r="G16" s="26"/>
      <c r="H16" s="8"/>
      <c r="I16" s="8"/>
      <c r="J16" s="2"/>
      <c r="K16" s="25">
        <v>3233</v>
      </c>
      <c r="L16" s="9" t="s">
        <v>30</v>
      </c>
      <c r="M16" s="16" t="s">
        <v>29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3285</v>
      </c>
      <c r="L17" s="9" t="s">
        <v>30</v>
      </c>
      <c r="M17" s="16" t="s">
        <v>29</v>
      </c>
      <c r="R17" s="1">
        <f>IF(vend9[[#This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2988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45270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60" zoomScaleNormal="60" workbookViewId="0">
      <selection activeCell="B34" sqref="B34"/>
    </sheetView>
  </sheetViews>
  <sheetFormatPr defaultColWidth="9.140625" defaultRowHeight="12.75" x14ac:dyDescent="0.2"/>
  <cols>
    <col min="1" max="1" width="9.42578125" style="1" customWidth="1"/>
    <col min="2" max="2" width="23.28515625" style="1" bestFit="1" customWidth="1"/>
    <col min="3" max="3" width="25.28515625" style="1" customWidth="1"/>
    <col min="4" max="4" width="21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27.7109375" style="4" customWidth="1"/>
    <col min="10" max="10" width="17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19" width="0" style="1" hidden="1" customWidth="1"/>
    <col min="20" max="20" width="10.28515625" style="1" customWidth="1"/>
    <col min="21" max="16384" width="9.140625" style="1"/>
  </cols>
  <sheetData>
    <row r="1" spans="2:18" ht="23.25" x14ac:dyDescent="0.35">
      <c r="B1" s="41">
        <f>'10'!B1+1</f>
        <v>45271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1390</v>
      </c>
      <c r="D6" s="2"/>
      <c r="E6" s="18">
        <v>3289</v>
      </c>
      <c r="F6" s="25" t="s">
        <v>91</v>
      </c>
      <c r="G6" s="26" t="s">
        <v>9</v>
      </c>
      <c r="H6" s="8">
        <v>990</v>
      </c>
      <c r="I6" s="8">
        <v>990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3290</v>
      </c>
      <c r="F7" s="25" t="s">
        <v>92</v>
      </c>
      <c r="G7" s="26" t="s">
        <v>6</v>
      </c>
      <c r="H7" s="8">
        <v>300</v>
      </c>
      <c r="I7" s="8">
        <v>300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23</v>
      </c>
      <c r="C8" s="29">
        <f>SUM(C6:C7)</f>
        <v>1390</v>
      </c>
      <c r="D8" s="2"/>
      <c r="E8" s="18">
        <v>3284</v>
      </c>
      <c r="F8" s="25" t="s">
        <v>93</v>
      </c>
      <c r="G8" s="26" t="s">
        <v>7</v>
      </c>
      <c r="H8" s="8">
        <v>890</v>
      </c>
      <c r="I8" s="8">
        <v>100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990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3242</v>
      </c>
      <c r="L15" s="9" t="s">
        <v>57</v>
      </c>
      <c r="M15" s="16" t="s">
        <v>29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1490</v>
      </c>
      <c r="D16" s="2"/>
      <c r="E16" s="18"/>
      <c r="F16" s="25"/>
      <c r="G16" s="26"/>
      <c r="H16" s="8"/>
      <c r="I16" s="8"/>
      <c r="J16" s="2"/>
      <c r="K16" s="25">
        <v>3243</v>
      </c>
      <c r="L16" s="9" t="s">
        <v>57</v>
      </c>
      <c r="M16" s="16" t="s">
        <v>29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3244</v>
      </c>
      <c r="L17" s="9" t="s">
        <v>57</v>
      </c>
      <c r="M17" s="16" t="s">
        <v>29</v>
      </c>
      <c r="R17" s="1">
        <f>IF(vend11[[#This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3187</v>
      </c>
      <c r="L18" s="9" t="s">
        <v>57</v>
      </c>
      <c r="M18" s="16" t="s">
        <v>29</v>
      </c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>
        <v>3251</v>
      </c>
      <c r="L19" s="9" t="s">
        <v>66</v>
      </c>
      <c r="M19" s="16" t="s">
        <v>29</v>
      </c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3075</v>
      </c>
      <c r="F35" s="25" t="s">
        <v>94</v>
      </c>
      <c r="G35" s="26" t="s">
        <v>10</v>
      </c>
      <c r="H35" s="8">
        <v>100</v>
      </c>
      <c r="I35" s="8" t="s">
        <v>95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2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45272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598</v>
      </c>
      <c r="D6" s="2"/>
      <c r="E6" s="59"/>
      <c r="F6" s="60"/>
      <c r="G6" s="60"/>
      <c r="H6" s="61"/>
      <c r="I6" s="61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63"/>
      <c r="G7" s="63"/>
      <c r="H7" s="64"/>
      <c r="I7" s="6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23</v>
      </c>
      <c r="C8" s="29">
        <f>SUM(C6:C7)</f>
        <v>598</v>
      </c>
      <c r="D8" s="2"/>
      <c r="E8" s="65"/>
      <c r="F8" s="63"/>
      <c r="G8" s="63"/>
      <c r="H8" s="64"/>
      <c r="I8" s="6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598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3253</v>
      </c>
      <c r="L15" s="9" t="s">
        <v>96</v>
      </c>
      <c r="M15" s="16" t="s">
        <v>29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698</v>
      </c>
      <c r="D16" s="2"/>
      <c r="E16" s="18"/>
      <c r="F16" s="25"/>
      <c r="G16" s="26"/>
      <c r="H16" s="8"/>
      <c r="I16" s="8"/>
      <c r="J16" s="2"/>
      <c r="K16" s="25">
        <v>3277</v>
      </c>
      <c r="L16" s="9" t="s">
        <v>96</v>
      </c>
      <c r="M16" s="16" t="s">
        <v>29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3275</v>
      </c>
      <c r="L17" s="9" t="s">
        <v>97</v>
      </c>
      <c r="M17" s="16" t="s">
        <v>29</v>
      </c>
      <c r="R17" s="1">
        <f>IF(vend12[[#This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3255</v>
      </c>
      <c r="F26" s="25" t="s">
        <v>98</v>
      </c>
      <c r="G26" s="48" t="s">
        <v>8</v>
      </c>
      <c r="H26" s="8"/>
      <c r="I26" s="8">
        <v>299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3256</v>
      </c>
      <c r="F27" s="68" t="s">
        <v>98</v>
      </c>
      <c r="G27" s="26" t="s">
        <v>8</v>
      </c>
      <c r="H27" s="8"/>
      <c r="I27" s="8">
        <v>299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3013</v>
      </c>
      <c r="F35" s="25" t="s">
        <v>99</v>
      </c>
      <c r="G35" s="26" t="s">
        <v>10</v>
      </c>
      <c r="H35" s="8">
        <v>100</v>
      </c>
      <c r="I35" s="8" t="s">
        <v>87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B35" sqref="B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45273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3779.9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1126.9000000000001</v>
      </c>
      <c r="D6" s="2"/>
      <c r="E6" s="18">
        <v>3292</v>
      </c>
      <c r="F6" s="25" t="s">
        <v>100</v>
      </c>
      <c r="G6" s="26" t="s">
        <v>8</v>
      </c>
      <c r="H6" s="8">
        <v>490</v>
      </c>
      <c r="I6" s="8">
        <v>490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3293</v>
      </c>
      <c r="F7" s="25" t="s">
        <v>101</v>
      </c>
      <c r="G7" s="26" t="s">
        <v>8</v>
      </c>
      <c r="H7" s="8">
        <v>1252</v>
      </c>
      <c r="I7" s="8">
        <v>90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23</v>
      </c>
      <c r="C8" s="29">
        <f>SUM(C6:C7)</f>
        <v>1126.9000000000001</v>
      </c>
      <c r="D8" s="2"/>
      <c r="E8" s="18">
        <v>3294</v>
      </c>
      <c r="F8" s="25" t="s">
        <v>101</v>
      </c>
      <c r="G8" s="26" t="s">
        <v>8</v>
      </c>
      <c r="H8" s="8">
        <v>100</v>
      </c>
      <c r="I8" s="8">
        <v>10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3295</v>
      </c>
      <c r="F9" s="25" t="s">
        <v>102</v>
      </c>
      <c r="G9" s="26" t="s">
        <v>10</v>
      </c>
      <c r="H9" s="8">
        <v>350</v>
      </c>
      <c r="I9" s="8">
        <v>100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3296</v>
      </c>
      <c r="F10" s="25" t="s">
        <v>103</v>
      </c>
      <c r="G10" s="26" t="s">
        <v>6</v>
      </c>
      <c r="H10" s="8">
        <v>699</v>
      </c>
      <c r="I10" s="8">
        <v>10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17</v>
      </c>
      <c r="D11" s="2"/>
      <c r="E11" s="18">
        <v>3297</v>
      </c>
      <c r="F11" s="25" t="s">
        <v>103</v>
      </c>
      <c r="G11" s="26" t="s">
        <v>6</v>
      </c>
      <c r="H11" s="8">
        <v>100</v>
      </c>
      <c r="I11" s="8">
        <v>7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169.9</v>
      </c>
      <c r="D12" s="2"/>
      <c r="E12" s="18">
        <v>3298</v>
      </c>
      <c r="F12" s="25" t="s">
        <v>104</v>
      </c>
      <c r="G12" s="26" t="s">
        <v>7</v>
      </c>
      <c r="H12" s="8">
        <v>19.899999999999999</v>
      </c>
      <c r="I12" s="8">
        <v>19.899999999999999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 t="shared" si="0"/>
        <v>590</v>
      </c>
      <c r="D13" s="2"/>
      <c r="E13" s="18">
        <v>3299</v>
      </c>
      <c r="F13" s="25" t="s">
        <v>105</v>
      </c>
      <c r="G13" s="26" t="s">
        <v>10</v>
      </c>
      <c r="H13" s="8">
        <v>769</v>
      </c>
      <c r="I13" s="8">
        <v>400</v>
      </c>
      <c r="J13" s="2"/>
      <c r="K13" s="80" t="s">
        <v>24</v>
      </c>
      <c r="L13" s="81"/>
      <c r="M13" s="82"/>
      <c r="R13" s="1">
        <f>IF(vend13[[#This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625</v>
      </c>
      <c r="D15" s="2"/>
      <c r="E15" s="18"/>
      <c r="F15" s="25"/>
      <c r="G15" s="26"/>
      <c r="H15" s="8"/>
      <c r="I15" s="8"/>
      <c r="J15" s="2"/>
      <c r="K15" s="25">
        <v>3265</v>
      </c>
      <c r="L15" s="9" t="s">
        <v>106</v>
      </c>
      <c r="M15" s="16" t="s">
        <v>31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1401.9</v>
      </c>
      <c r="D16" s="2"/>
      <c r="E16" s="18"/>
      <c r="F16" s="25"/>
      <c r="G16" s="26"/>
      <c r="H16" s="8"/>
      <c r="I16" s="8"/>
      <c r="J16" s="2"/>
      <c r="K16" s="25">
        <v>3264</v>
      </c>
      <c r="L16" s="9" t="s">
        <v>81</v>
      </c>
      <c r="M16" s="16" t="s">
        <v>29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3298</v>
      </c>
      <c r="L17" s="9" t="s">
        <v>81</v>
      </c>
      <c r="M17" s="16" t="s">
        <v>29</v>
      </c>
      <c r="R17" s="1">
        <f>IF(vend13[[#This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1</v>
      </c>
      <c r="C19" s="31">
        <f>SUM(entr_carn13[Valor Total])</f>
        <v>385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385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3779.9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2542</v>
      </c>
      <c r="F35" s="25" t="s">
        <v>107</v>
      </c>
      <c r="G35" s="26" t="s">
        <v>10</v>
      </c>
      <c r="H35" s="8">
        <v>125</v>
      </c>
      <c r="I35" s="8" t="s">
        <v>108</v>
      </c>
      <c r="K35" s="25">
        <v>3265</v>
      </c>
      <c r="L35" s="42">
        <v>3</v>
      </c>
      <c r="M35" s="16">
        <v>385</v>
      </c>
    </row>
    <row r="36" spans="2:18" ht="15.75" x14ac:dyDescent="0.25">
      <c r="E36" s="18">
        <v>2716</v>
      </c>
      <c r="F36" s="25" t="s">
        <v>109</v>
      </c>
      <c r="G36" s="26" t="s">
        <v>7</v>
      </c>
      <c r="H36" s="8">
        <v>75</v>
      </c>
      <c r="I36" s="8" t="s">
        <v>110</v>
      </c>
      <c r="K36" s="25"/>
      <c r="L36" s="42"/>
      <c r="M36" s="16"/>
    </row>
    <row r="37" spans="2:18" ht="15.75" x14ac:dyDescent="0.25">
      <c r="E37" s="18">
        <v>2716</v>
      </c>
      <c r="F37" s="25" t="s">
        <v>109</v>
      </c>
      <c r="G37" s="26" t="s">
        <v>7</v>
      </c>
      <c r="H37" s="8">
        <v>75</v>
      </c>
      <c r="I37" s="8" t="s">
        <v>111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8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C1" zoomScale="80" zoomScaleNormal="8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45274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628.9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79.900000000000006</v>
      </c>
      <c r="D6" s="2"/>
      <c r="E6" s="18">
        <v>3300</v>
      </c>
      <c r="F6" s="25" t="s">
        <v>112</v>
      </c>
      <c r="G6" s="48" t="s">
        <v>7</v>
      </c>
      <c r="H6" s="8">
        <v>29.9</v>
      </c>
      <c r="I6" s="8">
        <v>29.9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3301</v>
      </c>
      <c r="F7" s="69" t="s">
        <v>113</v>
      </c>
      <c r="G7" s="48" t="s">
        <v>7</v>
      </c>
      <c r="H7" s="8">
        <v>499</v>
      </c>
      <c r="I7" s="8">
        <v>40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23</v>
      </c>
      <c r="C8" s="29">
        <f>SUM(C6:C7)</f>
        <v>79.900000000000006</v>
      </c>
      <c r="D8" s="2"/>
      <c r="E8" s="18">
        <v>3302</v>
      </c>
      <c r="F8" s="25" t="s">
        <v>113</v>
      </c>
      <c r="G8" s="26" t="s">
        <v>7</v>
      </c>
      <c r="H8" s="8">
        <v>100</v>
      </c>
      <c r="I8" s="8">
        <v>10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3303</v>
      </c>
      <c r="F9" s="25" t="s">
        <v>45</v>
      </c>
      <c r="G9" s="26" t="s">
        <v>66</v>
      </c>
      <c r="H9" s="8">
        <v>0</v>
      </c>
      <c r="I9" s="8">
        <v>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79.900000000000006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3255</v>
      </c>
      <c r="L15" s="9" t="s">
        <v>57</v>
      </c>
      <c r="M15" s="16" t="s">
        <v>29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79.900000000000006</v>
      </c>
      <c r="D16" s="2"/>
      <c r="E16" s="18"/>
      <c r="F16" s="25"/>
      <c r="G16" s="26"/>
      <c r="H16" s="8"/>
      <c r="I16" s="8"/>
      <c r="J16" s="2"/>
      <c r="K16" s="25">
        <v>3238</v>
      </c>
      <c r="L16" s="9" t="s">
        <v>66</v>
      </c>
      <c r="M16" s="16" t="s">
        <v>29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3300</v>
      </c>
      <c r="L17" s="9" t="s">
        <v>81</v>
      </c>
      <c r="M17" s="16" t="s">
        <v>29</v>
      </c>
      <c r="R17" s="1">
        <f>IF(vend14[[#This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628.9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45275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1852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1462</v>
      </c>
      <c r="D6" s="2"/>
      <c r="E6" s="18">
        <v>3304</v>
      </c>
      <c r="F6" s="25" t="s">
        <v>114</v>
      </c>
      <c r="G6" s="48" t="s">
        <v>9</v>
      </c>
      <c r="H6" s="8">
        <v>170</v>
      </c>
      <c r="I6" s="8">
        <v>170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3305</v>
      </c>
      <c r="F7" s="25" t="s">
        <v>115</v>
      </c>
      <c r="G7" s="48" t="s">
        <v>7</v>
      </c>
      <c r="H7" s="8">
        <v>490</v>
      </c>
      <c r="I7" s="8">
        <v>100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23</v>
      </c>
      <c r="C8" s="29">
        <f>SUM(C6:C7)</f>
        <v>1462</v>
      </c>
      <c r="D8" s="2"/>
      <c r="E8" s="18">
        <v>3306</v>
      </c>
      <c r="F8" s="25" t="s">
        <v>116</v>
      </c>
      <c r="G8" s="26" t="s">
        <v>9</v>
      </c>
      <c r="H8" s="8">
        <v>792</v>
      </c>
      <c r="I8" s="8">
        <v>792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3307</v>
      </c>
      <c r="F9" s="25" t="s">
        <v>117</v>
      </c>
      <c r="G9" s="26" t="s">
        <v>6</v>
      </c>
      <c r="H9" s="8">
        <v>100</v>
      </c>
      <c r="I9" s="8">
        <v>100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3308</v>
      </c>
      <c r="F10" s="25" t="s">
        <v>117</v>
      </c>
      <c r="G10" s="26" t="s">
        <v>7</v>
      </c>
      <c r="H10" s="8">
        <v>300</v>
      </c>
      <c r="I10" s="8">
        <v>300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962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190.2</v>
      </c>
      <c r="D15" s="2"/>
      <c r="E15" s="18"/>
      <c r="F15" s="25"/>
      <c r="G15" s="26"/>
      <c r="H15" s="8"/>
      <c r="I15" s="8"/>
      <c r="J15" s="2"/>
      <c r="K15" s="25">
        <v>3267</v>
      </c>
      <c r="L15" s="9" t="s">
        <v>81</v>
      </c>
      <c r="M15" s="16" t="s">
        <v>29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1652.2</v>
      </c>
      <c r="D16" s="2"/>
      <c r="E16" s="18"/>
      <c r="F16" s="25"/>
      <c r="G16" s="26"/>
      <c r="H16" s="8"/>
      <c r="I16" s="8"/>
      <c r="J16" s="2"/>
      <c r="K16" s="25">
        <v>3201</v>
      </c>
      <c r="L16" s="9" t="s">
        <v>28</v>
      </c>
      <c r="M16" s="16" t="s">
        <v>29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3307</v>
      </c>
      <c r="L17" s="9" t="s">
        <v>118</v>
      </c>
      <c r="M17" s="16" t="s">
        <v>29</v>
      </c>
      <c r="R17" s="1">
        <f>IF(vend15[[#This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1852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2601</v>
      </c>
      <c r="F35" s="25" t="s">
        <v>119</v>
      </c>
      <c r="G35" s="26" t="s">
        <v>10</v>
      </c>
      <c r="H35" s="8">
        <v>190.2</v>
      </c>
      <c r="I35" s="8" t="s">
        <v>111</v>
      </c>
      <c r="K35" s="25"/>
      <c r="L35" s="42"/>
      <c r="M35" s="16"/>
    </row>
    <row r="36" spans="2:18" ht="15.75" x14ac:dyDescent="0.25">
      <c r="E36" s="18">
        <v>2852</v>
      </c>
      <c r="F36" s="25" t="s">
        <v>120</v>
      </c>
      <c r="G36" s="70" t="s">
        <v>121</v>
      </c>
      <c r="H36" s="8">
        <v>96.5</v>
      </c>
      <c r="I36" s="8" t="s">
        <v>122</v>
      </c>
      <c r="K36" s="25"/>
      <c r="L36" s="42"/>
      <c r="M36" s="16"/>
    </row>
    <row r="37" spans="2:18" ht="15.75" x14ac:dyDescent="0.25">
      <c r="E37" s="18"/>
      <c r="F37" s="25"/>
      <c r="G37" s="26"/>
      <c r="H37" s="26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 H37 G37:G41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45276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3310</v>
      </c>
      <c r="F6" s="25" t="s">
        <v>123</v>
      </c>
      <c r="G6" s="48" t="s">
        <v>6</v>
      </c>
      <c r="H6" s="8">
        <v>100</v>
      </c>
      <c r="I6" s="8">
        <v>100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23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3283</v>
      </c>
      <c r="L15" s="9" t="s">
        <v>30</v>
      </c>
      <c r="M15" s="16" t="s">
        <v>29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3239</v>
      </c>
      <c r="L16" s="9" t="s">
        <v>66</v>
      </c>
      <c r="M16" s="16" t="s">
        <v>29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3272</v>
      </c>
      <c r="L17" s="9" t="s">
        <v>30</v>
      </c>
      <c r="M17" s="16" t="s">
        <v>29</v>
      </c>
      <c r="R17" s="1">
        <f>IF(vend16[[#This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3268</v>
      </c>
      <c r="L18" s="9" t="s">
        <v>30</v>
      </c>
      <c r="M18" s="16" t="s">
        <v>31</v>
      </c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539</v>
      </c>
      <c r="D19" s="2"/>
      <c r="E19" s="18"/>
      <c r="F19" s="25"/>
      <c r="G19" s="26"/>
      <c r="H19" s="8"/>
      <c r="I19" s="8"/>
      <c r="J19" s="2"/>
      <c r="K19" s="25">
        <v>3310</v>
      </c>
      <c r="L19" s="9" t="s">
        <v>81</v>
      </c>
      <c r="M19" s="16" t="s">
        <v>29</v>
      </c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539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3268</v>
      </c>
      <c r="F26" s="25" t="s">
        <v>55</v>
      </c>
      <c r="G26" s="48" t="s">
        <v>10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3268</v>
      </c>
      <c r="L35" s="42">
        <v>5</v>
      </c>
      <c r="M35" s="16">
        <v>539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5" zoomScale="80" zoomScaleNormal="80" workbookViewId="0">
      <selection activeCell="B33" sqref="B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45277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45278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633.5</v>
      </c>
      <c r="D6" s="2"/>
      <c r="E6" s="18">
        <v>3311</v>
      </c>
      <c r="F6" s="25" t="s">
        <v>124</v>
      </c>
      <c r="G6" s="26" t="s">
        <v>8</v>
      </c>
      <c r="H6" s="8">
        <v>20</v>
      </c>
      <c r="I6" s="8">
        <v>20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23</v>
      </c>
      <c r="C8" s="29">
        <f>SUM(C6:C7)</f>
        <v>633.5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20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244.5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369</v>
      </c>
      <c r="D15" s="2"/>
      <c r="E15" s="18"/>
      <c r="F15" s="25"/>
      <c r="G15" s="26"/>
      <c r="H15" s="8"/>
      <c r="I15" s="8"/>
      <c r="J15" s="2"/>
      <c r="K15" s="25">
        <v>3282</v>
      </c>
      <c r="L15" s="9" t="s">
        <v>125</v>
      </c>
      <c r="M15" s="16" t="s">
        <v>29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833.5</v>
      </c>
      <c r="D16" s="2"/>
      <c r="E16" s="18"/>
      <c r="F16" s="25"/>
      <c r="G16" s="26"/>
      <c r="H16" s="8"/>
      <c r="I16" s="8"/>
      <c r="J16" s="2"/>
      <c r="K16" s="25">
        <v>3269</v>
      </c>
      <c r="L16" s="9" t="s">
        <v>30</v>
      </c>
      <c r="M16" s="16" t="s">
        <v>29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3279</v>
      </c>
      <c r="L17" s="9" t="s">
        <v>30</v>
      </c>
      <c r="M17" s="16" t="s">
        <v>29</v>
      </c>
      <c r="R17" s="1">
        <f>IF(vend18[[#This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3280</v>
      </c>
      <c r="L18" s="9" t="s">
        <v>30</v>
      </c>
      <c r="M18" s="16" t="s">
        <v>29</v>
      </c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>
        <v>3299</v>
      </c>
      <c r="L19" s="9" t="s">
        <v>126</v>
      </c>
      <c r="M19" s="16" t="s">
        <v>29</v>
      </c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3311</v>
      </c>
      <c r="L20" s="9" t="s">
        <v>81</v>
      </c>
      <c r="M20" s="16" t="s">
        <v>29</v>
      </c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3269</v>
      </c>
      <c r="F26" s="25" t="s">
        <v>127</v>
      </c>
      <c r="G26" s="26" t="s">
        <v>9</v>
      </c>
      <c r="H26" s="8"/>
      <c r="I26" s="8">
        <v>244.5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3299</v>
      </c>
      <c r="F27" s="25" t="s">
        <v>128</v>
      </c>
      <c r="G27" s="26" t="s">
        <v>10</v>
      </c>
      <c r="H27" s="8"/>
      <c r="I27" s="8">
        <v>369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3017</v>
      </c>
      <c r="F35" s="25" t="s">
        <v>129</v>
      </c>
      <c r="G35" s="26" t="s">
        <v>7</v>
      </c>
      <c r="H35" s="8">
        <v>100</v>
      </c>
      <c r="I35" s="8" t="s">
        <v>77</v>
      </c>
      <c r="K35" s="25"/>
      <c r="L35" s="42"/>
      <c r="M35" s="16"/>
    </row>
    <row r="36" spans="2:18" ht="15.75" x14ac:dyDescent="0.25">
      <c r="E36" s="18">
        <v>3017</v>
      </c>
      <c r="F36" s="25" t="s">
        <v>129</v>
      </c>
      <c r="G36" s="26" t="s">
        <v>7</v>
      </c>
      <c r="H36" s="8">
        <v>100</v>
      </c>
      <c r="I36" s="8" t="s">
        <v>130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29" sqref="C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45279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340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340</v>
      </c>
      <c r="D6" s="2"/>
      <c r="E6" s="18">
        <v>3312</v>
      </c>
      <c r="F6" s="25" t="s">
        <v>131</v>
      </c>
      <c r="G6" s="26" t="s">
        <v>6</v>
      </c>
      <c r="H6" s="8">
        <v>20</v>
      </c>
      <c r="I6" s="8">
        <v>20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3313</v>
      </c>
      <c r="F7" s="25" t="s">
        <v>132</v>
      </c>
      <c r="G7" s="26" t="s">
        <v>8</v>
      </c>
      <c r="H7" s="8">
        <v>300</v>
      </c>
      <c r="I7" s="8">
        <v>150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23</v>
      </c>
      <c r="C8" s="29">
        <f>SUM(C6:C7)</f>
        <v>340</v>
      </c>
      <c r="D8" s="2"/>
      <c r="E8" s="18">
        <v>3313</v>
      </c>
      <c r="F8" s="25" t="s">
        <v>132</v>
      </c>
      <c r="G8" s="26" t="s">
        <v>7</v>
      </c>
      <c r="H8" s="8">
        <v>0</v>
      </c>
      <c r="I8" s="8">
        <v>150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3314</v>
      </c>
      <c r="F9" s="25" t="s">
        <v>133</v>
      </c>
      <c r="G9" s="26" t="s">
        <v>8</v>
      </c>
      <c r="H9" s="8">
        <v>20</v>
      </c>
      <c r="I9" s="8">
        <v>20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170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3245</v>
      </c>
      <c r="L15" s="9" t="s">
        <v>30</v>
      </c>
      <c r="M15" s="16" t="s">
        <v>29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340</v>
      </c>
      <c r="D16" s="2"/>
      <c r="E16" s="18"/>
      <c r="F16" s="25"/>
      <c r="G16" s="26"/>
      <c r="H16" s="8"/>
      <c r="I16" s="8"/>
      <c r="J16" s="2"/>
      <c r="K16" s="25">
        <v>3312</v>
      </c>
      <c r="L16" s="9" t="s">
        <v>81</v>
      </c>
      <c r="M16" s="16" t="s">
        <v>29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3311</v>
      </c>
      <c r="L17" s="9" t="s">
        <v>81</v>
      </c>
      <c r="M17" s="16" t="s">
        <v>29</v>
      </c>
      <c r="R17" s="1">
        <f>IF(vend19[[#This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340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abSelected="1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45280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659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958</v>
      </c>
      <c r="D6" s="2"/>
      <c r="E6" s="18">
        <v>3315</v>
      </c>
      <c r="F6" s="25" t="s">
        <v>134</v>
      </c>
      <c r="G6" s="26" t="s">
        <v>7</v>
      </c>
      <c r="H6" s="8">
        <v>149</v>
      </c>
      <c r="I6" s="8">
        <v>149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3316</v>
      </c>
      <c r="F7" s="25" t="s">
        <v>135</v>
      </c>
      <c r="G7" s="26" t="s">
        <v>8</v>
      </c>
      <c r="H7" s="8">
        <v>100</v>
      </c>
      <c r="I7" s="8">
        <v>100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23</v>
      </c>
      <c r="C8" s="29">
        <f>SUM(C6:C7)</f>
        <v>958</v>
      </c>
      <c r="D8" s="2"/>
      <c r="E8" s="18">
        <v>3317</v>
      </c>
      <c r="F8" s="25" t="s">
        <v>136</v>
      </c>
      <c r="G8" s="26" t="s">
        <v>6</v>
      </c>
      <c r="H8" s="8">
        <v>60</v>
      </c>
      <c r="I8" s="8">
        <v>60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3318</v>
      </c>
      <c r="F9" s="25" t="s">
        <v>137</v>
      </c>
      <c r="G9" s="26" t="s">
        <v>7</v>
      </c>
      <c r="H9" s="8">
        <v>350</v>
      </c>
      <c r="I9" s="8">
        <v>350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798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164.75</v>
      </c>
      <c r="D15" s="2"/>
      <c r="E15" s="18"/>
      <c r="F15" s="25"/>
      <c r="G15" s="26"/>
      <c r="H15" s="8"/>
      <c r="I15" s="8"/>
      <c r="J15" s="2"/>
      <c r="K15" s="25">
        <v>3256</v>
      </c>
      <c r="L15" s="9" t="s">
        <v>57</v>
      </c>
      <c r="M15" s="16" t="s">
        <v>29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1122.75</v>
      </c>
      <c r="D16" s="2"/>
      <c r="E16" s="18"/>
      <c r="F16" s="25"/>
      <c r="G16" s="26"/>
      <c r="H16" s="8"/>
      <c r="I16" s="8"/>
      <c r="J16" s="2"/>
      <c r="K16" s="25">
        <v>3315</v>
      </c>
      <c r="L16" s="9" t="s">
        <v>30</v>
      </c>
      <c r="M16" s="16" t="s">
        <v>29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3316</v>
      </c>
      <c r="L17" s="9" t="s">
        <v>30</v>
      </c>
      <c r="M17" s="16" t="s">
        <v>29</v>
      </c>
      <c r="R17" s="1">
        <f>IF(vend20[[#This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3270</v>
      </c>
      <c r="L18" s="9" t="s">
        <v>30</v>
      </c>
      <c r="M18" s="16" t="s">
        <v>29</v>
      </c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>
        <v>3317</v>
      </c>
      <c r="L19" s="9" t="s">
        <v>81</v>
      </c>
      <c r="M19" s="16" t="s">
        <v>29</v>
      </c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659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3270</v>
      </c>
      <c r="F26" s="25" t="s">
        <v>58</v>
      </c>
      <c r="G26" s="26" t="s">
        <v>7</v>
      </c>
      <c r="H26" s="8"/>
      <c r="I26" s="8">
        <v>299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3218</v>
      </c>
      <c r="F35" s="25" t="s">
        <v>138</v>
      </c>
      <c r="G35" s="26" t="s">
        <v>10</v>
      </c>
      <c r="H35" s="8">
        <v>164.75</v>
      </c>
      <c r="I35" s="8" t="s">
        <v>139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V15" sqref="V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45281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6365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5497</v>
      </c>
      <c r="D6" s="2"/>
      <c r="E6" s="18">
        <v>3319</v>
      </c>
      <c r="F6" s="25" t="s">
        <v>140</v>
      </c>
      <c r="G6" s="26" t="s">
        <v>10</v>
      </c>
      <c r="H6" s="8">
        <v>1120</v>
      </c>
      <c r="I6" s="8">
        <v>200</v>
      </c>
      <c r="J6" s="2"/>
      <c r="K6" s="25" t="s">
        <v>141</v>
      </c>
      <c r="L6" s="9" t="s">
        <v>142</v>
      </c>
      <c r="M6" s="16">
        <v>10</v>
      </c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828.00000000000011</v>
      </c>
      <c r="D7" s="2"/>
      <c r="E7" s="18">
        <v>3319</v>
      </c>
      <c r="F7" s="25" t="s">
        <v>140</v>
      </c>
      <c r="G7" s="26" t="s">
        <v>6</v>
      </c>
      <c r="H7" s="8"/>
      <c r="I7" s="8">
        <v>500</v>
      </c>
      <c r="J7" s="2"/>
      <c r="K7" s="25" t="s">
        <v>143</v>
      </c>
      <c r="L7" s="9" t="s">
        <v>142</v>
      </c>
      <c r="M7" s="16">
        <v>30</v>
      </c>
      <c r="R7" s="1">
        <f>IF(vend21[[#This Row],[Nº Venda]]&gt;1,1,0)</f>
        <v>1</v>
      </c>
    </row>
    <row r="8" spans="2:18" ht="15.75" x14ac:dyDescent="0.25">
      <c r="B8" s="28" t="s">
        <v>23</v>
      </c>
      <c r="C8" s="29">
        <f>SUM(C6:C7)</f>
        <v>6325</v>
      </c>
      <c r="D8" s="2"/>
      <c r="E8" s="18">
        <v>3320</v>
      </c>
      <c r="F8" s="25" t="s">
        <v>144</v>
      </c>
      <c r="G8" s="26" t="s">
        <v>8</v>
      </c>
      <c r="H8" s="8">
        <v>1290</v>
      </c>
      <c r="I8" s="8">
        <v>1290</v>
      </c>
      <c r="J8" s="2"/>
      <c r="K8" s="25" t="s">
        <v>145</v>
      </c>
      <c r="L8" s="9" t="s">
        <v>142</v>
      </c>
      <c r="M8" s="16">
        <v>344.92</v>
      </c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3321</v>
      </c>
      <c r="F9" s="25" t="s">
        <v>146</v>
      </c>
      <c r="G9" s="26" t="s">
        <v>6</v>
      </c>
      <c r="H9" s="8">
        <v>449</v>
      </c>
      <c r="I9" s="8">
        <v>1</v>
      </c>
      <c r="J9" s="2"/>
      <c r="K9" s="25" t="s">
        <v>145</v>
      </c>
      <c r="L9" s="9" t="s">
        <v>142</v>
      </c>
      <c r="M9" s="16">
        <v>270.24</v>
      </c>
      <c r="R9" s="1">
        <f>IF(vend21[[#This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3322</v>
      </c>
      <c r="F10" s="25" t="s">
        <v>147</v>
      </c>
      <c r="G10" s="26" t="s">
        <v>8</v>
      </c>
      <c r="H10" s="8">
        <v>690</v>
      </c>
      <c r="I10" s="8">
        <v>690</v>
      </c>
      <c r="J10" s="2"/>
      <c r="K10" s="25" t="s">
        <v>148</v>
      </c>
      <c r="L10" s="9" t="s">
        <v>149</v>
      </c>
      <c r="M10" s="16">
        <v>172.84</v>
      </c>
      <c r="R10" s="1">
        <f>IF(vend21[[#This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828</v>
      </c>
      <c r="D11" s="2"/>
      <c r="E11" s="18">
        <v>3323</v>
      </c>
      <c r="F11" s="25" t="s">
        <v>147</v>
      </c>
      <c r="G11" s="26" t="s">
        <v>8</v>
      </c>
      <c r="H11" s="8">
        <v>300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350</v>
      </c>
      <c r="D12" s="2"/>
      <c r="E12" s="18">
        <v>3324</v>
      </c>
      <c r="F12" s="25" t="s">
        <v>150</v>
      </c>
      <c r="G12" s="26" t="s">
        <v>151</v>
      </c>
      <c r="H12" s="8">
        <v>1690</v>
      </c>
      <c r="I12" s="8"/>
      <c r="J12" s="2"/>
      <c r="R12" s="1">
        <f>IF(vend21[[#This Row],[Nº Venda]]&gt;1,1,0)</f>
        <v>1</v>
      </c>
    </row>
    <row r="13" spans="2:18" ht="15.75" x14ac:dyDescent="0.25">
      <c r="B13" s="30" t="s">
        <v>8</v>
      </c>
      <c r="C13" s="31">
        <f t="shared" si="0"/>
        <v>4227</v>
      </c>
      <c r="D13" s="2"/>
      <c r="E13" s="18">
        <v>3325</v>
      </c>
      <c r="F13" s="25" t="s">
        <v>152</v>
      </c>
      <c r="G13" s="26" t="s">
        <v>10</v>
      </c>
      <c r="H13" s="8">
        <v>250</v>
      </c>
      <c r="I13" s="8">
        <v>20</v>
      </c>
      <c r="J13" s="2"/>
      <c r="K13" s="80" t="s">
        <v>24</v>
      </c>
      <c r="L13" s="81"/>
      <c r="M13" s="82"/>
      <c r="R13" s="1">
        <f>IF(vend21[[#This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3326</v>
      </c>
      <c r="F14" s="25" t="s">
        <v>153</v>
      </c>
      <c r="G14" s="26" t="s">
        <v>8</v>
      </c>
      <c r="H14" s="8">
        <v>399</v>
      </c>
      <c r="I14" s="8">
        <v>399</v>
      </c>
      <c r="J14" s="2"/>
      <c r="K14" s="14" t="s">
        <v>25</v>
      </c>
      <c r="L14" s="6" t="s">
        <v>26</v>
      </c>
      <c r="M14" s="15" t="s">
        <v>27</v>
      </c>
      <c r="R14" s="1">
        <f>IF(vend21[[#This Row],[Nº Venda]]&gt;1,1,0)</f>
        <v>1</v>
      </c>
    </row>
    <row r="15" spans="2:18" ht="15.75" x14ac:dyDescent="0.25">
      <c r="B15" s="30" t="s">
        <v>10</v>
      </c>
      <c r="C15" s="31">
        <f t="shared" si="0"/>
        <v>319.75</v>
      </c>
      <c r="D15" s="2"/>
      <c r="E15" s="18">
        <v>3327</v>
      </c>
      <c r="F15" s="25" t="s">
        <v>153</v>
      </c>
      <c r="G15" s="26" t="s">
        <v>8</v>
      </c>
      <c r="H15" s="8">
        <v>99</v>
      </c>
      <c r="I15" s="8">
        <v>99</v>
      </c>
      <c r="J15" s="2"/>
      <c r="K15" s="25">
        <v>3274</v>
      </c>
      <c r="L15" s="9" t="s">
        <v>30</v>
      </c>
      <c r="M15" s="16" t="s">
        <v>29</v>
      </c>
      <c r="R15" s="1">
        <f>IF(vend21[[#This Row],[Nº Venda]]&gt;1,1,0)</f>
        <v>1</v>
      </c>
    </row>
    <row r="16" spans="2:18" ht="15.75" x14ac:dyDescent="0.25">
      <c r="B16" s="28" t="s">
        <v>11</v>
      </c>
      <c r="C16" s="32">
        <f>SUM(C11:C15)</f>
        <v>5724.75</v>
      </c>
      <c r="D16" s="2"/>
      <c r="E16" s="18">
        <v>3328</v>
      </c>
      <c r="F16" s="25" t="s">
        <v>154</v>
      </c>
      <c r="G16" s="26" t="s">
        <v>8</v>
      </c>
      <c r="H16" s="8">
        <v>350</v>
      </c>
      <c r="I16" s="8">
        <v>350</v>
      </c>
      <c r="J16" s="2"/>
      <c r="K16" s="25">
        <v>3286</v>
      </c>
      <c r="L16" s="9" t="s">
        <v>30</v>
      </c>
      <c r="M16" s="16" t="s">
        <v>29</v>
      </c>
      <c r="R16" s="1">
        <f>IF(vend21[[#This Row],[Nº Venda]]&gt;1,1,0)</f>
        <v>1</v>
      </c>
    </row>
    <row r="17" spans="2:18" ht="15.75" x14ac:dyDescent="0.25">
      <c r="B17" s="2"/>
      <c r="C17" s="2"/>
      <c r="D17" s="2"/>
      <c r="E17" s="18">
        <v>3329</v>
      </c>
      <c r="F17" s="25" t="s">
        <v>155</v>
      </c>
      <c r="G17" s="26" t="s">
        <v>7</v>
      </c>
      <c r="H17" s="8">
        <v>80</v>
      </c>
      <c r="I17" s="8">
        <v>80</v>
      </c>
      <c r="J17" s="2"/>
      <c r="K17" s="25">
        <v>3327</v>
      </c>
      <c r="L17" s="9" t="s">
        <v>30</v>
      </c>
      <c r="M17" s="16" t="s">
        <v>29</v>
      </c>
      <c r="R17" s="1">
        <f>IF(vend21[[#This Row],[Nº Venda]]&gt;1,1,0)</f>
        <v>1</v>
      </c>
    </row>
    <row r="18" spans="2:18" ht="15.75" x14ac:dyDescent="0.25">
      <c r="B18" s="78" t="s">
        <v>12</v>
      </c>
      <c r="C18" s="78"/>
      <c r="D18" s="2"/>
      <c r="E18" s="18">
        <v>3330</v>
      </c>
      <c r="F18" s="25" t="s">
        <v>156</v>
      </c>
      <c r="G18" s="26" t="s">
        <v>8</v>
      </c>
      <c r="H18" s="8">
        <v>599</v>
      </c>
      <c r="I18" s="8">
        <v>400</v>
      </c>
      <c r="J18" s="2"/>
      <c r="K18" s="25">
        <v>3278</v>
      </c>
      <c r="L18" s="9" t="s">
        <v>30</v>
      </c>
      <c r="M18" s="16" t="s">
        <v>29</v>
      </c>
      <c r="R18" s="1">
        <f>IF(vend21[[#This Row],[Nº Venda]]&gt;1,1,0)</f>
        <v>1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>
        <v>3330</v>
      </c>
      <c r="F19" s="25" t="s">
        <v>156</v>
      </c>
      <c r="G19" s="26" t="s">
        <v>6</v>
      </c>
      <c r="H19" s="8">
        <v>0</v>
      </c>
      <c r="I19" s="8">
        <v>199</v>
      </c>
      <c r="J19" s="2"/>
      <c r="K19" s="25">
        <v>3329</v>
      </c>
      <c r="L19" s="9" t="s">
        <v>30</v>
      </c>
      <c r="M19" s="16" t="s">
        <v>29</v>
      </c>
      <c r="R19" s="1">
        <f>IF(vend21[[#This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3331</v>
      </c>
      <c r="F20" s="26" t="s">
        <v>157</v>
      </c>
      <c r="G20" s="26" t="s">
        <v>7</v>
      </c>
      <c r="H20" s="8">
        <v>499</v>
      </c>
      <c r="I20" s="8">
        <v>150</v>
      </c>
      <c r="J20" s="2"/>
      <c r="K20" s="25"/>
      <c r="L20" s="9"/>
      <c r="M20" s="16"/>
      <c r="R20" s="1">
        <f>IF(vend21[[#This Row],[Nº Venda]]&gt;1,1,0)</f>
        <v>1</v>
      </c>
    </row>
    <row r="21" spans="2:18" ht="15.75" x14ac:dyDescent="0.25">
      <c r="B21" s="2"/>
      <c r="C21" s="2"/>
      <c r="D21" s="2"/>
      <c r="E21" s="18">
        <v>3332</v>
      </c>
      <c r="F21" s="25" t="s">
        <v>158</v>
      </c>
      <c r="G21" s="26" t="s">
        <v>7</v>
      </c>
      <c r="H21" s="8">
        <v>240</v>
      </c>
      <c r="I21" s="8">
        <v>120</v>
      </c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6365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3274</v>
      </c>
      <c r="F26" s="25" t="s">
        <v>159</v>
      </c>
      <c r="G26" s="26" t="s">
        <v>8</v>
      </c>
      <c r="H26" s="8"/>
      <c r="I26" s="8">
        <v>699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3179</v>
      </c>
      <c r="F35" s="25" t="s">
        <v>160</v>
      </c>
      <c r="G35" s="26" t="s">
        <v>10</v>
      </c>
      <c r="H35" s="8">
        <v>99.75</v>
      </c>
      <c r="I35" s="8" t="s">
        <v>139</v>
      </c>
      <c r="K35" s="25"/>
      <c r="L35" s="42"/>
      <c r="M35" s="16"/>
    </row>
    <row r="36" spans="2:18" ht="15.75" x14ac:dyDescent="0.25">
      <c r="E36" s="18">
        <v>3103</v>
      </c>
      <c r="F36" s="25" t="s">
        <v>161</v>
      </c>
      <c r="G36" s="26" t="s">
        <v>6</v>
      </c>
      <c r="H36" s="8">
        <v>128</v>
      </c>
      <c r="I36" s="8" t="s">
        <v>46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15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45282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730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1010</v>
      </c>
      <c r="D6" s="2"/>
      <c r="E6" s="18">
        <v>3333</v>
      </c>
      <c r="F6" s="25" t="s">
        <v>162</v>
      </c>
      <c r="G6" s="26" t="s">
        <v>10</v>
      </c>
      <c r="H6" s="8">
        <v>630</v>
      </c>
      <c r="I6" s="8">
        <v>100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3334</v>
      </c>
      <c r="F7" s="25" t="s">
        <v>163</v>
      </c>
      <c r="G7" s="26" t="s">
        <v>8</v>
      </c>
      <c r="H7" s="8">
        <v>100</v>
      </c>
      <c r="I7" s="8">
        <v>100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23</v>
      </c>
      <c r="C8" s="29">
        <f>SUM(C6:C7)</f>
        <v>1010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220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690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3273</v>
      </c>
      <c r="L15" s="9" t="s">
        <v>30</v>
      </c>
      <c r="M15" s="16" t="s">
        <v>29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1010</v>
      </c>
      <c r="D16" s="2"/>
      <c r="E16" s="18"/>
      <c r="F16" s="25"/>
      <c r="G16" s="26"/>
      <c r="H16" s="8"/>
      <c r="I16" s="8"/>
      <c r="J16" s="2"/>
      <c r="K16" s="25">
        <v>3266</v>
      </c>
      <c r="L16" s="9" t="s">
        <v>30</v>
      </c>
      <c r="M16" s="16" t="s">
        <v>29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3334</v>
      </c>
      <c r="L17" s="9" t="s">
        <v>81</v>
      </c>
      <c r="M17" s="16" t="s">
        <v>29</v>
      </c>
      <c r="R17" s="1">
        <f>IF(vend22[[#This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3271</v>
      </c>
      <c r="L18" s="9" t="s">
        <v>30</v>
      </c>
      <c r="M18" s="16" t="s">
        <v>31</v>
      </c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330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330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730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3271</v>
      </c>
      <c r="F26" s="25" t="s">
        <v>59</v>
      </c>
      <c r="G26" s="26" t="s">
        <v>8</v>
      </c>
      <c r="H26" s="8"/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3308</v>
      </c>
      <c r="F27" s="25" t="s">
        <v>117</v>
      </c>
      <c r="G27" s="26" t="s">
        <v>9</v>
      </c>
      <c r="H27" s="8"/>
      <c r="I27" s="8">
        <v>690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3271</v>
      </c>
      <c r="L35" s="42">
        <v>3</v>
      </c>
      <c r="M35" s="16">
        <v>330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45283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1098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1734</v>
      </c>
      <c r="D6" s="2"/>
      <c r="E6" s="18">
        <v>3335</v>
      </c>
      <c r="F6" s="25" t="s">
        <v>164</v>
      </c>
      <c r="G6" s="26" t="s">
        <v>66</v>
      </c>
      <c r="H6" s="8">
        <v>0</v>
      </c>
      <c r="I6" s="8">
        <v>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3336</v>
      </c>
      <c r="F7" s="25" t="s">
        <v>165</v>
      </c>
      <c r="G7" s="26" t="s">
        <v>9</v>
      </c>
      <c r="H7" s="8">
        <v>599</v>
      </c>
      <c r="I7" s="8">
        <v>599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23</v>
      </c>
      <c r="C8" s="29">
        <f>SUM(C6:C7)</f>
        <v>1734</v>
      </c>
      <c r="D8" s="2"/>
      <c r="E8" s="18">
        <v>3337</v>
      </c>
      <c r="F8" s="25" t="s">
        <v>166</v>
      </c>
      <c r="G8" s="26" t="s">
        <v>7</v>
      </c>
      <c r="H8" s="8">
        <v>499</v>
      </c>
      <c r="I8" s="8">
        <v>499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499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599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636</v>
      </c>
      <c r="D15" s="2"/>
      <c r="E15" s="18"/>
      <c r="F15" s="25"/>
      <c r="G15" s="26"/>
      <c r="H15" s="8"/>
      <c r="I15" s="8"/>
      <c r="J15" s="2"/>
      <c r="K15" s="25">
        <v>3263</v>
      </c>
      <c r="L15" s="9" t="s">
        <v>57</v>
      </c>
      <c r="M15" s="16" t="s">
        <v>29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1734</v>
      </c>
      <c r="D16" s="2"/>
      <c r="E16" s="18"/>
      <c r="F16" s="25"/>
      <c r="G16" s="26"/>
      <c r="H16" s="8"/>
      <c r="I16" s="8"/>
      <c r="J16" s="2"/>
      <c r="K16" s="25">
        <v>3284</v>
      </c>
      <c r="L16" s="9" t="s">
        <v>81</v>
      </c>
      <c r="M16" s="16" t="s">
        <v>31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3289</v>
      </c>
      <c r="L17" s="9" t="s">
        <v>30</v>
      </c>
      <c r="M17" s="16" t="s">
        <v>29</v>
      </c>
      <c r="R17" s="1">
        <f>IF(vend23[[#This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623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623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1098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3263</v>
      </c>
      <c r="F26" s="25" t="s">
        <v>167</v>
      </c>
      <c r="G26" s="26" t="s">
        <v>10</v>
      </c>
      <c r="H26" s="8"/>
      <c r="I26" s="8">
        <v>469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3284</v>
      </c>
      <c r="F27" s="25" t="s">
        <v>168</v>
      </c>
      <c r="G27" s="26" t="s">
        <v>10</v>
      </c>
      <c r="H27" s="8"/>
      <c r="I27" s="8">
        <v>167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3284</v>
      </c>
      <c r="L35" s="42">
        <v>5</v>
      </c>
      <c r="M35" s="16">
        <v>623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45284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45285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G22" sqref="G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45286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4209.99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4069.99</v>
      </c>
      <c r="D6" s="2"/>
      <c r="E6" s="18">
        <v>3338</v>
      </c>
      <c r="F6" s="25" t="s">
        <v>169</v>
      </c>
      <c r="G6" s="26" t="s">
        <v>10</v>
      </c>
      <c r="H6" s="8">
        <v>1490</v>
      </c>
      <c r="I6" s="8">
        <v>350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3338</v>
      </c>
      <c r="F7" s="25" t="s">
        <v>169</v>
      </c>
      <c r="G7" s="26" t="s">
        <v>7</v>
      </c>
      <c r="H7" s="8">
        <v>0</v>
      </c>
      <c r="I7" s="8">
        <v>1000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23</v>
      </c>
      <c r="C8" s="29">
        <f>SUM(C6:C7)</f>
        <v>4069.99</v>
      </c>
      <c r="D8" s="2"/>
      <c r="E8" s="18">
        <v>3339</v>
      </c>
      <c r="F8" s="25" t="s">
        <v>170</v>
      </c>
      <c r="G8" s="26" t="s">
        <v>7</v>
      </c>
      <c r="H8" s="8">
        <v>19.989999999999998</v>
      </c>
      <c r="I8" s="8">
        <v>19.989999999999998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3340</v>
      </c>
      <c r="F9" s="25" t="s">
        <v>171</v>
      </c>
      <c r="G9" s="26" t="s">
        <v>9</v>
      </c>
      <c r="H9" s="8">
        <v>2700</v>
      </c>
      <c r="I9" s="8">
        <v>2700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3341</v>
      </c>
      <c r="F10" s="25" t="s">
        <v>171</v>
      </c>
      <c r="G10" s="26" t="s">
        <v>9</v>
      </c>
      <c r="H10" s="8" t="s">
        <v>172</v>
      </c>
      <c r="I10" s="8" t="s">
        <v>172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3342</v>
      </c>
      <c r="F11" s="25" t="s">
        <v>74</v>
      </c>
      <c r="G11" s="26" t="s">
        <v>66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1019.99</v>
      </c>
      <c r="D12" s="2"/>
      <c r="E12" s="18">
        <v>3343</v>
      </c>
      <c r="F12" s="25" t="s">
        <v>74</v>
      </c>
      <c r="G12" s="26" t="s">
        <v>66</v>
      </c>
      <c r="H12" s="8">
        <v>0</v>
      </c>
      <c r="I12" s="8">
        <v>0</v>
      </c>
      <c r="J12" s="2"/>
      <c r="R12" s="1">
        <f>IF(vend26[[#This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2700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350</v>
      </c>
      <c r="D15" s="2"/>
      <c r="E15" s="18"/>
      <c r="F15" s="25"/>
      <c r="G15" s="26"/>
      <c r="H15" s="8"/>
      <c r="I15" s="8"/>
      <c r="J15" s="2"/>
      <c r="K15" s="25">
        <v>3306</v>
      </c>
      <c r="L15" s="9" t="s">
        <v>30</v>
      </c>
      <c r="M15" s="16" t="s">
        <v>29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4069.99</v>
      </c>
      <c r="D16" s="2"/>
      <c r="E16" s="18"/>
      <c r="F16" s="25"/>
      <c r="G16" s="26"/>
      <c r="H16" s="8"/>
      <c r="I16" s="8"/>
      <c r="J16" s="2"/>
      <c r="K16" s="25">
        <v>3339</v>
      </c>
      <c r="L16" s="9" t="s">
        <v>81</v>
      </c>
      <c r="M16" s="16" t="s">
        <v>29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4209.99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A60" zoomScale="80" zoomScaleNormal="80" workbookViewId="0">
      <selection activeCell="I84" sqref="I8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45287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1595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1196</v>
      </c>
      <c r="D6" s="2"/>
      <c r="E6" s="18">
        <v>3344</v>
      </c>
      <c r="F6" s="25" t="s">
        <v>173</v>
      </c>
      <c r="G6" s="26" t="s">
        <v>7</v>
      </c>
      <c r="H6" s="8">
        <v>99</v>
      </c>
      <c r="I6" s="8">
        <v>99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3345</v>
      </c>
      <c r="F7" s="25" t="s">
        <v>174</v>
      </c>
      <c r="G7" s="26" t="s">
        <v>6</v>
      </c>
      <c r="H7" s="8">
        <v>100</v>
      </c>
      <c r="I7" s="8">
        <v>100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23</v>
      </c>
      <c r="C8" s="29">
        <f>SUM(C6:C7)</f>
        <v>1196</v>
      </c>
      <c r="D8" s="2"/>
      <c r="E8" s="18">
        <v>3346</v>
      </c>
      <c r="F8" s="25" t="s">
        <v>175</v>
      </c>
      <c r="G8" s="26" t="s">
        <v>6</v>
      </c>
      <c r="H8" s="8">
        <v>599</v>
      </c>
      <c r="I8" s="8">
        <v>200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3347</v>
      </c>
      <c r="F9" s="25" t="s">
        <v>176</v>
      </c>
      <c r="G9" s="26" t="s">
        <v>9</v>
      </c>
      <c r="H9" s="8">
        <v>599</v>
      </c>
      <c r="I9" s="8">
        <v>599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3348</v>
      </c>
      <c r="F10" s="25" t="s">
        <v>177</v>
      </c>
      <c r="G10" s="26" t="s">
        <v>9</v>
      </c>
      <c r="H10" s="8">
        <v>198</v>
      </c>
      <c r="I10" s="8">
        <v>198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172.8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797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3344</v>
      </c>
      <c r="L15" s="9" t="s">
        <v>30</v>
      </c>
      <c r="M15" s="16" t="s">
        <v>29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1269.8</v>
      </c>
      <c r="D16" s="2"/>
      <c r="E16" s="18"/>
      <c r="F16" s="25"/>
      <c r="G16" s="26"/>
      <c r="H16" s="8"/>
      <c r="I16" s="8"/>
      <c r="J16" s="2"/>
      <c r="K16" s="25">
        <v>3345</v>
      </c>
      <c r="L16" s="9" t="s">
        <v>30</v>
      </c>
      <c r="M16" s="16" t="s">
        <v>29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3348</v>
      </c>
      <c r="L17" s="9" t="s">
        <v>30</v>
      </c>
      <c r="M17" s="16" t="s">
        <v>29</v>
      </c>
      <c r="R17" s="1">
        <f>IF(vend27[[#This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1595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>
        <v>3118</v>
      </c>
      <c r="F35" s="25" t="s">
        <v>178</v>
      </c>
      <c r="G35" s="26" t="s">
        <v>7</v>
      </c>
      <c r="H35" s="8">
        <v>73.8</v>
      </c>
      <c r="I35" s="8" t="s">
        <v>179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52"/>
  <sheetViews>
    <sheetView showGridLines="0" topLeftCell="A5" zoomScale="80" zoomScaleNormal="80" workbookViewId="0">
      <selection activeCell="H21" sqref="H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45288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1057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320</v>
      </c>
      <c r="D6" s="2"/>
      <c r="E6" s="18">
        <v>3349</v>
      </c>
      <c r="F6" s="25" t="s">
        <v>180</v>
      </c>
      <c r="G6" s="26" t="s">
        <v>7</v>
      </c>
      <c r="H6" s="8">
        <v>60</v>
      </c>
      <c r="I6" s="8">
        <v>60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3350</v>
      </c>
      <c r="F7" s="25" t="s">
        <v>181</v>
      </c>
      <c r="G7" s="26" t="s">
        <v>10</v>
      </c>
      <c r="H7" s="8">
        <v>379</v>
      </c>
      <c r="I7" s="8">
        <v>50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23</v>
      </c>
      <c r="C8" s="29">
        <f>SUM(C6:C7)</f>
        <v>320</v>
      </c>
      <c r="D8" s="2"/>
      <c r="E8" s="18">
        <v>3351</v>
      </c>
      <c r="F8" s="25" t="s">
        <v>182</v>
      </c>
      <c r="G8" s="26" t="s">
        <v>10</v>
      </c>
      <c r="H8" s="8">
        <v>199</v>
      </c>
      <c r="I8" s="8">
        <v>50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3352</v>
      </c>
      <c r="F9" s="25" t="s">
        <v>167</v>
      </c>
      <c r="G9" s="26" t="s">
        <v>66</v>
      </c>
      <c r="H9" s="8">
        <v>0</v>
      </c>
      <c r="I9" s="8">
        <v>0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78" t="s">
        <v>5</v>
      </c>
      <c r="C10" s="78"/>
      <c r="D10" s="2"/>
      <c r="E10" s="18">
        <v>3353</v>
      </c>
      <c r="F10" s="25" t="s">
        <v>183</v>
      </c>
      <c r="G10" s="26" t="s">
        <v>7</v>
      </c>
      <c r="H10" s="8">
        <v>199</v>
      </c>
      <c r="I10" s="8">
        <v>50</v>
      </c>
      <c r="J10" s="2"/>
      <c r="K10" s="25"/>
      <c r="L10" s="9"/>
      <c r="M10" s="16"/>
      <c r="R10" s="1">
        <f>IF(vend28[[#This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3354</v>
      </c>
      <c r="F11" s="25" t="s">
        <v>184</v>
      </c>
      <c r="G11" s="26" t="s">
        <v>7</v>
      </c>
      <c r="H11" s="8">
        <v>220</v>
      </c>
      <c r="I11" s="8">
        <v>110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220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3349</v>
      </c>
      <c r="L15" s="9" t="s">
        <v>81</v>
      </c>
      <c r="M15" s="16" t="s">
        <v>29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320</v>
      </c>
      <c r="D16" s="2"/>
      <c r="E16" s="18"/>
      <c r="F16" s="25"/>
      <c r="G16" s="26"/>
      <c r="H16" s="8"/>
      <c r="I16" s="8"/>
      <c r="J16" s="2"/>
      <c r="K16" s="25">
        <v>3292</v>
      </c>
      <c r="L16" s="9" t="s">
        <v>81</v>
      </c>
      <c r="M16" s="16" t="s">
        <v>29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COUNT(entr_carn28[Coluna1])</f>
        <v>0</v>
      </c>
      <c r="C19" s="31">
        <f>SUM(entr_carn28[Coluna3])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1057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  <c r="K32" s="71"/>
      <c r="L32" s="72"/>
      <c r="M32" s="7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71"/>
      <c r="L33" s="72"/>
      <c r="M33" s="73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71"/>
      <c r="L34" s="72"/>
      <c r="M34" s="73"/>
    </row>
    <row r="35" spans="2:18" ht="15.75" x14ac:dyDescent="0.25">
      <c r="E35" s="18"/>
      <c r="F35" s="25"/>
      <c r="G35" s="26"/>
      <c r="H35" s="8"/>
      <c r="I35" s="8"/>
      <c r="K35" s="71"/>
      <c r="L35" s="72"/>
      <c r="M35" s="73"/>
    </row>
    <row r="36" spans="2:18" ht="15.75" x14ac:dyDescent="0.25">
      <c r="E36" s="18"/>
      <c r="F36" s="25"/>
      <c r="G36" s="26"/>
      <c r="H36" s="8"/>
      <c r="I36" s="8"/>
      <c r="K36" s="71"/>
      <c r="L36" s="72"/>
      <c r="M36" s="73"/>
    </row>
    <row r="37" spans="2:18" ht="15.75" x14ac:dyDescent="0.25">
      <c r="E37" s="18"/>
      <c r="F37" s="25"/>
      <c r="G37" s="26"/>
      <c r="H37" s="8"/>
      <c r="I37" s="8"/>
      <c r="K37" s="71"/>
      <c r="L37" s="72"/>
      <c r="M37" s="73"/>
    </row>
    <row r="38" spans="2:18" ht="15.75" x14ac:dyDescent="0.25">
      <c r="E38" s="18"/>
      <c r="F38" s="25"/>
      <c r="G38" s="26"/>
      <c r="H38" s="8"/>
      <c r="I38" s="8"/>
      <c r="K38" s="71"/>
      <c r="L38" s="72"/>
      <c r="M38" s="73"/>
    </row>
    <row r="39" spans="2:18" ht="15.75" x14ac:dyDescent="0.25">
      <c r="E39" s="18"/>
      <c r="F39" s="39"/>
      <c r="G39" s="26"/>
      <c r="H39" s="8"/>
      <c r="I39" s="8"/>
      <c r="K39" s="71"/>
      <c r="L39" s="72"/>
      <c r="M39" s="73"/>
    </row>
    <row r="40" spans="2:18" ht="15.75" x14ac:dyDescent="0.25">
      <c r="E40" s="35"/>
      <c r="F40" s="36"/>
      <c r="G40" s="37"/>
      <c r="H40" s="17"/>
      <c r="I40" s="8"/>
      <c r="K40" s="71"/>
      <c r="L40" s="72"/>
      <c r="M40" s="73"/>
      <c r="Q40" s="1" t="s">
        <v>43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71"/>
      <c r="L41" s="72"/>
      <c r="M41" s="73"/>
    </row>
    <row r="42" spans="2:18" x14ac:dyDescent="0.2">
      <c r="K42" s="71"/>
      <c r="L42" s="72"/>
      <c r="M42" s="73"/>
    </row>
    <row r="43" spans="2:18" x14ac:dyDescent="0.2">
      <c r="K43" s="71"/>
      <c r="L43" s="72"/>
      <c r="M43" s="73"/>
    </row>
    <row r="44" spans="2:18" ht="15" x14ac:dyDescent="0.25">
      <c r="K44" s="80"/>
      <c r="L44" s="81"/>
      <c r="M44" s="82"/>
    </row>
    <row r="45" spans="2:18" ht="15" x14ac:dyDescent="0.25">
      <c r="K45" s="14" t="s">
        <v>185</v>
      </c>
      <c r="L45" s="6" t="s">
        <v>186</v>
      </c>
      <c r="M45" s="15" t="s">
        <v>187</v>
      </c>
    </row>
    <row r="46" spans="2:18" ht="15" x14ac:dyDescent="0.25">
      <c r="K46" s="25"/>
      <c r="L46" s="42"/>
      <c r="M46" s="16"/>
    </row>
    <row r="47" spans="2:18" ht="15" x14ac:dyDescent="0.25">
      <c r="K47" s="25"/>
      <c r="L47" s="42"/>
      <c r="M47" s="16"/>
    </row>
    <row r="48" spans="2:18" ht="15" x14ac:dyDescent="0.25">
      <c r="K48" s="25"/>
      <c r="L48" s="42"/>
      <c r="M48" s="16"/>
    </row>
    <row r="49" spans="11:13" ht="15" x14ac:dyDescent="0.25">
      <c r="K49" s="25"/>
      <c r="L49" s="42"/>
      <c r="M49" s="16"/>
    </row>
    <row r="50" spans="11:13" ht="15" x14ac:dyDescent="0.25">
      <c r="K50" s="25"/>
      <c r="L50" s="42"/>
      <c r="M50" s="16"/>
    </row>
    <row r="51" spans="11:13" ht="15" x14ac:dyDescent="0.25">
      <c r="K51" s="36"/>
      <c r="L51" s="43"/>
      <c r="M51" s="40"/>
    </row>
    <row r="52" spans="11:13" ht="15" x14ac:dyDescent="0.25">
      <c r="K52" s="45"/>
      <c r="L52" s="42"/>
      <c r="M52" s="40"/>
    </row>
  </sheetData>
  <mergeCells count="9">
    <mergeCell ref="E24:I24"/>
    <mergeCell ref="E33:I33"/>
    <mergeCell ref="K44:M44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43" xr:uid="{7E66592B-41E9-4133-A969-6FB6D7F67674}">
      <formula1>"Sim, Não"</formula1>
    </dataValidation>
    <dataValidation type="list" allowBlank="1" showInputMessage="1" showErrorMessage="1" sqref="L46:L52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45289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119</v>
      </c>
      <c r="D6" s="2"/>
      <c r="E6" s="18">
        <v>3356</v>
      </c>
      <c r="F6" s="25" t="s">
        <v>188</v>
      </c>
      <c r="G6" s="26" t="s">
        <v>66</v>
      </c>
      <c r="H6" s="8">
        <v>0</v>
      </c>
      <c r="I6" s="8">
        <v>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3357</v>
      </c>
      <c r="F7" s="25" t="s">
        <v>189</v>
      </c>
      <c r="G7" s="26" t="s">
        <v>7</v>
      </c>
      <c r="H7" s="8">
        <v>99</v>
      </c>
      <c r="I7" s="8">
        <v>99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23</v>
      </c>
      <c r="C8" s="29">
        <f>SUM(C6:C7)</f>
        <v>119</v>
      </c>
      <c r="D8" s="2"/>
      <c r="E8" s="18">
        <v>3355</v>
      </c>
      <c r="F8" s="25" t="s">
        <v>190</v>
      </c>
      <c r="G8" s="26" t="s">
        <v>6</v>
      </c>
      <c r="H8" s="8">
        <v>20</v>
      </c>
      <c r="I8" s="8">
        <v>20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99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3318</v>
      </c>
      <c r="L15" s="9" t="s">
        <v>125</v>
      </c>
      <c r="M15" s="16" t="s">
        <v>29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119</v>
      </c>
      <c r="D16" s="2"/>
      <c r="E16" s="18"/>
      <c r="F16" s="25"/>
      <c r="G16" s="26"/>
      <c r="H16" s="8"/>
      <c r="I16" s="8"/>
      <c r="J16" s="2"/>
      <c r="K16" s="25">
        <v>3355</v>
      </c>
      <c r="L16" s="9" t="s">
        <v>125</v>
      </c>
      <c r="M16" s="16" t="s">
        <v>29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3337</v>
      </c>
      <c r="L17" s="9" t="s">
        <v>30</v>
      </c>
      <c r="M17" s="16" t="s">
        <v>29</v>
      </c>
      <c r="R17" s="1">
        <f>IF(vend29[[#This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3313</v>
      </c>
      <c r="L18" s="9" t="s">
        <v>30</v>
      </c>
      <c r="M18" s="16" t="s">
        <v>29</v>
      </c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>
        <v>3276</v>
      </c>
      <c r="L19" s="9" t="s">
        <v>30</v>
      </c>
      <c r="M19" s="16" t="s">
        <v>29</v>
      </c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3290</v>
      </c>
      <c r="L20" s="9" t="s">
        <v>30</v>
      </c>
      <c r="M20" s="16" t="s">
        <v>29</v>
      </c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119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4">
        <f>'29'!B1+1</f>
        <v>45290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1250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1500</v>
      </c>
      <c r="D6" s="2"/>
      <c r="E6" s="18">
        <v>3358</v>
      </c>
      <c r="F6" s="25" t="s">
        <v>191</v>
      </c>
      <c r="G6" s="26" t="s">
        <v>9</v>
      </c>
      <c r="H6" s="8">
        <v>1190</v>
      </c>
      <c r="I6" s="8">
        <v>1190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3359</v>
      </c>
      <c r="F7" s="25" t="s">
        <v>192</v>
      </c>
      <c r="G7" s="26" t="s">
        <v>7</v>
      </c>
      <c r="H7" s="8">
        <v>60</v>
      </c>
      <c r="I7" s="8">
        <v>60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23</v>
      </c>
      <c r="C8" s="29">
        <f>SUM(C6:C7)</f>
        <v>1500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310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1190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3295</v>
      </c>
      <c r="L15" s="9" t="s">
        <v>126</v>
      </c>
      <c r="M15" s="16" t="s">
        <v>29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1500</v>
      </c>
      <c r="D16" s="2"/>
      <c r="E16" s="18"/>
      <c r="F16" s="25"/>
      <c r="G16" s="26"/>
      <c r="H16" s="8"/>
      <c r="I16" s="8"/>
      <c r="J16" s="2"/>
      <c r="K16" s="25">
        <v>3322</v>
      </c>
      <c r="L16" s="9" t="s">
        <v>30</v>
      </c>
      <c r="M16" s="16" t="s">
        <v>29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3323</v>
      </c>
      <c r="L17" s="9" t="s">
        <v>30</v>
      </c>
      <c r="M17" s="16" t="s">
        <v>29</v>
      </c>
      <c r="R17" s="1">
        <f>IF(vend30[[#This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>
        <v>3335</v>
      </c>
      <c r="L18" s="9" t="s">
        <v>66</v>
      </c>
      <c r="M18" s="16" t="s">
        <v>29</v>
      </c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>
        <v>3359</v>
      </c>
      <c r="L19" s="9" t="s">
        <v>30</v>
      </c>
      <c r="M19" s="16" t="s">
        <v>29</v>
      </c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3295</v>
      </c>
      <c r="F26" s="25" t="s">
        <v>86</v>
      </c>
      <c r="G26" s="26" t="s">
        <v>7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45291</v>
      </c>
    </row>
    <row r="2" spans="2:18" ht="18.75" x14ac:dyDescent="0.2">
      <c r="B2" s="83" t="s">
        <v>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6" t="s">
        <v>1</v>
      </c>
      <c r="F4" s="86"/>
      <c r="G4" s="86"/>
      <c r="H4" s="86"/>
      <c r="I4" s="86"/>
      <c r="J4" s="22"/>
      <c r="K4" s="80" t="s">
        <v>3</v>
      </c>
      <c r="L4" s="81"/>
      <c r="M4" s="8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8" t="s">
        <v>5</v>
      </c>
      <c r="C10" s="7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0" t="s">
        <v>24</v>
      </c>
      <c r="L13" s="81"/>
      <c r="M13" s="82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8" t="s">
        <v>12</v>
      </c>
      <c r="C18" s="7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9" t="s">
        <v>33</v>
      </c>
      <c r="F24" s="79"/>
      <c r="G24" s="79"/>
      <c r="H24" s="79"/>
      <c r="I24" s="7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9" t="s">
        <v>36</v>
      </c>
      <c r="F33" s="79"/>
      <c r="G33" s="79"/>
      <c r="H33" s="79"/>
      <c r="I33" s="79"/>
      <c r="K33" s="80" t="s">
        <v>12</v>
      </c>
      <c r="L33" s="81"/>
      <c r="M33" s="82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25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193</v>
      </c>
      <c r="B1" s="38" t="s">
        <v>194</v>
      </c>
      <c r="E1" s="38" t="s">
        <v>195</v>
      </c>
    </row>
    <row r="2" spans="1:5" x14ac:dyDescent="0.2">
      <c r="A2" s="38" t="s">
        <v>6</v>
      </c>
      <c r="B2" s="38" t="s">
        <v>196</v>
      </c>
      <c r="E2" t="s">
        <v>46</v>
      </c>
    </row>
    <row r="3" spans="1:5" x14ac:dyDescent="0.2">
      <c r="A3" s="38" t="s">
        <v>7</v>
      </c>
      <c r="B3" s="38" t="s">
        <v>197</v>
      </c>
      <c r="E3" t="s">
        <v>198</v>
      </c>
    </row>
    <row r="4" spans="1:5" x14ac:dyDescent="0.2">
      <c r="A4" s="38" t="s">
        <v>8</v>
      </c>
      <c r="B4" s="38" t="s">
        <v>199</v>
      </c>
      <c r="E4" t="s">
        <v>200</v>
      </c>
    </row>
    <row r="5" spans="1:5" x14ac:dyDescent="0.2">
      <c r="A5" s="38" t="s">
        <v>9</v>
      </c>
      <c r="B5" s="38" t="s">
        <v>201</v>
      </c>
      <c r="E5" t="s">
        <v>85</v>
      </c>
    </row>
    <row r="6" spans="1:5" x14ac:dyDescent="0.2">
      <c r="A6" s="38" t="s">
        <v>10</v>
      </c>
      <c r="B6" s="38" t="s">
        <v>10</v>
      </c>
      <c r="E6" t="s">
        <v>87</v>
      </c>
    </row>
    <row r="7" spans="1:5" x14ac:dyDescent="0.2">
      <c r="A7" s="38" t="s">
        <v>151</v>
      </c>
      <c r="B7" s="38" t="s">
        <v>202</v>
      </c>
      <c r="E7" t="s">
        <v>42</v>
      </c>
    </row>
    <row r="8" spans="1:5" x14ac:dyDescent="0.2">
      <c r="A8" t="s">
        <v>27</v>
      </c>
      <c r="B8" t="s">
        <v>203</v>
      </c>
      <c r="E8" t="s">
        <v>139</v>
      </c>
    </row>
    <row r="9" spans="1:5" x14ac:dyDescent="0.2">
      <c r="A9" s="38" t="s">
        <v>66</v>
      </c>
      <c r="B9" s="38" t="s">
        <v>204</v>
      </c>
      <c r="E9" t="s">
        <v>205</v>
      </c>
    </row>
    <row r="10" spans="1:5" x14ac:dyDescent="0.2">
      <c r="E10" t="s">
        <v>206</v>
      </c>
    </row>
    <row r="11" spans="1:5" x14ac:dyDescent="0.2">
      <c r="E11" t="s">
        <v>207</v>
      </c>
    </row>
    <row r="12" spans="1:5" x14ac:dyDescent="0.2">
      <c r="E12" t="s">
        <v>208</v>
      </c>
    </row>
    <row r="13" spans="1:5" x14ac:dyDescent="0.2">
      <c r="E13" t="s">
        <v>179</v>
      </c>
    </row>
    <row r="14" spans="1:5" x14ac:dyDescent="0.2">
      <c r="E14" t="s">
        <v>209</v>
      </c>
    </row>
    <row r="15" spans="1:5" x14ac:dyDescent="0.2">
      <c r="E15" t="s">
        <v>77</v>
      </c>
    </row>
    <row r="16" spans="1:5" x14ac:dyDescent="0.2">
      <c r="E16" t="s">
        <v>130</v>
      </c>
    </row>
    <row r="17" spans="5:5" x14ac:dyDescent="0.2">
      <c r="E17" t="s">
        <v>210</v>
      </c>
    </row>
    <row r="18" spans="5:5" x14ac:dyDescent="0.2">
      <c r="E18" t="s">
        <v>95</v>
      </c>
    </row>
    <row r="19" spans="5:5" x14ac:dyDescent="0.2">
      <c r="E19" t="s">
        <v>211</v>
      </c>
    </row>
    <row r="20" spans="5:5" x14ac:dyDescent="0.2">
      <c r="E20" t="s">
        <v>212</v>
      </c>
    </row>
    <row r="21" spans="5:5" x14ac:dyDescent="0.2">
      <c r="E21" t="s">
        <v>122</v>
      </c>
    </row>
    <row r="22" spans="5:5" x14ac:dyDescent="0.2">
      <c r="E22" t="s">
        <v>213</v>
      </c>
    </row>
    <row r="23" spans="5:5" x14ac:dyDescent="0.2">
      <c r="E23" t="s">
        <v>50</v>
      </c>
    </row>
    <row r="24" spans="5:5" x14ac:dyDescent="0.2">
      <c r="E24" t="s">
        <v>214</v>
      </c>
    </row>
    <row r="25" spans="5:5" x14ac:dyDescent="0.2">
      <c r="E25" t="s">
        <v>215</v>
      </c>
    </row>
    <row r="26" spans="5:5" x14ac:dyDescent="0.2">
      <c r="E26" t="s">
        <v>216</v>
      </c>
    </row>
    <row r="27" spans="5:5" x14ac:dyDescent="0.2">
      <c r="E27" t="s">
        <v>217</v>
      </c>
    </row>
    <row r="28" spans="5:5" x14ac:dyDescent="0.2">
      <c r="E28" t="s">
        <v>218</v>
      </c>
    </row>
    <row r="29" spans="5:5" x14ac:dyDescent="0.2">
      <c r="E29" t="s">
        <v>219</v>
      </c>
    </row>
    <row r="30" spans="5:5" x14ac:dyDescent="0.2">
      <c r="E30" t="s">
        <v>220</v>
      </c>
    </row>
    <row r="31" spans="5:5" x14ac:dyDescent="0.2">
      <c r="E31" t="s">
        <v>48</v>
      </c>
    </row>
    <row r="32" spans="5:5" x14ac:dyDescent="0.2">
      <c r="E32" t="s">
        <v>221</v>
      </c>
    </row>
    <row r="33" spans="5:5" x14ac:dyDescent="0.2">
      <c r="E33" t="s">
        <v>222</v>
      </c>
    </row>
    <row r="34" spans="5:5" x14ac:dyDescent="0.2">
      <c r="E34" t="s">
        <v>223</v>
      </c>
    </row>
    <row r="35" spans="5:5" x14ac:dyDescent="0.2">
      <c r="E35" t="s">
        <v>83</v>
      </c>
    </row>
    <row r="36" spans="5:5" x14ac:dyDescent="0.2">
      <c r="E36" t="s">
        <v>224</v>
      </c>
    </row>
    <row r="37" spans="5:5" x14ac:dyDescent="0.2">
      <c r="E37" t="s">
        <v>108</v>
      </c>
    </row>
    <row r="38" spans="5:5" x14ac:dyDescent="0.2">
      <c r="E38" t="s">
        <v>225</v>
      </c>
    </row>
    <row r="39" spans="5:5" x14ac:dyDescent="0.2">
      <c r="E39" t="s">
        <v>226</v>
      </c>
    </row>
    <row r="40" spans="5:5" x14ac:dyDescent="0.2">
      <c r="E40" t="s">
        <v>227</v>
      </c>
    </row>
    <row r="41" spans="5:5" x14ac:dyDescent="0.2">
      <c r="E41" t="s">
        <v>228</v>
      </c>
    </row>
    <row r="42" spans="5:5" x14ac:dyDescent="0.2">
      <c r="E42" t="s">
        <v>229</v>
      </c>
    </row>
    <row r="43" spans="5:5" x14ac:dyDescent="0.2">
      <c r="E43" t="s">
        <v>230</v>
      </c>
    </row>
    <row r="44" spans="5:5" x14ac:dyDescent="0.2">
      <c r="E44" t="s">
        <v>231</v>
      </c>
    </row>
    <row r="45" spans="5:5" x14ac:dyDescent="0.2">
      <c r="E45" t="s">
        <v>232</v>
      </c>
    </row>
    <row r="46" spans="5:5" x14ac:dyDescent="0.2">
      <c r="E46" t="s">
        <v>233</v>
      </c>
    </row>
    <row r="47" spans="5:5" x14ac:dyDescent="0.2">
      <c r="E47" t="s">
        <v>234</v>
      </c>
    </row>
    <row r="48" spans="5:5" x14ac:dyDescent="0.2">
      <c r="E48" t="s">
        <v>235</v>
      </c>
    </row>
    <row r="49" spans="5:5" x14ac:dyDescent="0.2">
      <c r="E49" t="s">
        <v>236</v>
      </c>
    </row>
    <row r="50" spans="5:5" x14ac:dyDescent="0.2">
      <c r="E50" t="s">
        <v>237</v>
      </c>
    </row>
    <row r="51" spans="5:5" x14ac:dyDescent="0.2">
      <c r="E51" t="s">
        <v>238</v>
      </c>
    </row>
    <row r="52" spans="5:5" x14ac:dyDescent="0.2">
      <c r="E52" t="s">
        <v>239</v>
      </c>
    </row>
    <row r="53" spans="5:5" x14ac:dyDescent="0.2">
      <c r="E53" t="s">
        <v>110</v>
      </c>
    </row>
    <row r="54" spans="5:5" x14ac:dyDescent="0.2">
      <c r="E54" t="s">
        <v>111</v>
      </c>
    </row>
    <row r="55" spans="5:5" x14ac:dyDescent="0.2">
      <c r="E55" t="s">
        <v>240</v>
      </c>
    </row>
    <row r="56" spans="5:5" x14ac:dyDescent="0.2">
      <c r="E56" t="s">
        <v>241</v>
      </c>
    </row>
    <row r="57" spans="5:5" x14ac:dyDescent="0.2">
      <c r="E57" t="s">
        <v>242</v>
      </c>
    </row>
    <row r="58" spans="5:5" x14ac:dyDescent="0.2">
      <c r="E58" t="s">
        <v>243</v>
      </c>
    </row>
    <row r="59" spans="5:5" x14ac:dyDescent="0.2">
      <c r="E59" t="s">
        <v>244</v>
      </c>
    </row>
    <row r="60" spans="5:5" x14ac:dyDescent="0.2">
      <c r="E60" t="s">
        <v>245</v>
      </c>
    </row>
    <row r="61" spans="5:5" x14ac:dyDescent="0.2">
      <c r="E61" t="s">
        <v>246</v>
      </c>
    </row>
    <row r="62" spans="5:5" x14ac:dyDescent="0.2">
      <c r="E62" t="s">
        <v>247</v>
      </c>
    </row>
    <row r="63" spans="5:5" x14ac:dyDescent="0.2">
      <c r="E63" t="s">
        <v>248</v>
      </c>
    </row>
    <row r="64" spans="5:5" x14ac:dyDescent="0.2">
      <c r="E64" t="s">
        <v>249</v>
      </c>
    </row>
    <row r="65" spans="5:5" x14ac:dyDescent="0.2">
      <c r="E65" t="s">
        <v>250</v>
      </c>
    </row>
    <row r="66" spans="5:5" x14ac:dyDescent="0.2">
      <c r="E66" t="s">
        <v>251</v>
      </c>
    </row>
    <row r="67" spans="5:5" x14ac:dyDescent="0.2">
      <c r="E67" t="s">
        <v>252</v>
      </c>
    </row>
    <row r="68" spans="5:5" x14ac:dyDescent="0.2">
      <c r="E68" t="s">
        <v>253</v>
      </c>
    </row>
    <row r="69" spans="5:5" x14ac:dyDescent="0.2">
      <c r="E69" t="s">
        <v>254</v>
      </c>
    </row>
    <row r="70" spans="5:5" x14ac:dyDescent="0.2">
      <c r="E70" t="s">
        <v>255</v>
      </c>
    </row>
    <row r="71" spans="5:5" x14ac:dyDescent="0.2">
      <c r="E71" t="s">
        <v>256</v>
      </c>
    </row>
    <row r="72" spans="5:5" x14ac:dyDescent="0.2">
      <c r="E72" t="s">
        <v>257</v>
      </c>
    </row>
    <row r="73" spans="5:5" x14ac:dyDescent="0.2">
      <c r="E73" t="s">
        <v>258</v>
      </c>
    </row>
    <row r="74" spans="5:5" x14ac:dyDescent="0.2">
      <c r="E74" t="s">
        <v>259</v>
      </c>
    </row>
    <row r="75" spans="5:5" x14ac:dyDescent="0.2">
      <c r="E75" t="s">
        <v>260</v>
      </c>
    </row>
    <row r="76" spans="5:5" x14ac:dyDescent="0.2">
      <c r="E76" t="s">
        <v>261</v>
      </c>
    </row>
    <row r="77" spans="5:5" x14ac:dyDescent="0.2">
      <c r="E77" t="s">
        <v>262</v>
      </c>
    </row>
    <row r="78" spans="5:5" x14ac:dyDescent="0.2">
      <c r="E78" t="s">
        <v>263</v>
      </c>
    </row>
    <row r="79" spans="5:5" x14ac:dyDescent="0.2">
      <c r="E79" t="s">
        <v>264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dcterms:created xsi:type="dcterms:W3CDTF">2004-04-07T20:43:43Z</dcterms:created>
  <dcterms:modified xsi:type="dcterms:W3CDTF">2024-08-20T03:34:42Z</dcterms:modified>
  <cp:category/>
  <cp:contentStatus/>
</cp:coreProperties>
</file>