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2023/"/>
    </mc:Choice>
  </mc:AlternateContent>
  <xr:revisionPtr revIDLastSave="141" documentId="13_ncr:1_{FA6CA665-8FAA-4642-A6DD-419F138C01C4}" xr6:coauthVersionLast="47" xr6:coauthVersionMax="47" xr10:uidLastSave="{80CAE6DB-9842-4DEB-B703-9AA147BF2DD0}"/>
  <bookViews>
    <workbookView xWindow="-108" yWindow="-108" windowWidth="15576" windowHeight="8400" tabRatio="895" firstSheet="15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204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0" i="204" l="1"/>
  <c r="C20" i="204"/>
  <c r="R19" i="204"/>
  <c r="C19" i="204"/>
  <c r="B19" i="204"/>
  <c r="R18" i="204"/>
  <c r="R17" i="204"/>
  <c r="R16" i="204"/>
  <c r="R15" i="204"/>
  <c r="C15" i="204"/>
  <c r="R14" i="204"/>
  <c r="R13" i="204"/>
  <c r="C13" i="204"/>
  <c r="R12" i="204"/>
  <c r="C12" i="204"/>
  <c r="R11" i="204"/>
  <c r="C11" i="204"/>
  <c r="C16" i="204" s="1"/>
  <c r="O11" i="204" s="1"/>
  <c r="R10" i="204"/>
  <c r="R9" i="204"/>
  <c r="R8" i="204"/>
  <c r="R7" i="204"/>
  <c r="C7" i="204"/>
  <c r="R6" i="204"/>
  <c r="R40" i="204" s="1"/>
  <c r="C6" i="204"/>
  <c r="C8" i="204" s="1"/>
  <c r="C5" i="204"/>
  <c r="C22" i="204" s="1"/>
  <c r="C15" i="193"/>
  <c r="C12" i="193"/>
  <c r="C13" i="193"/>
  <c r="C14" i="193"/>
  <c r="C11" i="193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5"/>
  <c r="C13" i="195"/>
  <c r="C14" i="195"/>
  <c r="C15" i="195"/>
  <c r="C12" i="194"/>
  <c r="C13" i="194"/>
  <c r="C14" i="194"/>
  <c r="C15" i="194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5"/>
  <c r="C11" i="194"/>
  <c r="C11" i="196"/>
  <c r="C11" i="192"/>
  <c r="C11" i="199"/>
  <c r="C11" i="198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6"/>
  <c r="C7" i="192"/>
  <c r="C7" i="199"/>
  <c r="C7" i="198"/>
  <c r="C7" i="175"/>
  <c r="C8" i="175" s="1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6"/>
  <c r="C22" i="196" s="1"/>
  <c r="C5" i="192"/>
  <c r="C22" i="192" s="1"/>
  <c r="C5" i="199"/>
  <c r="C22" i="199" s="1"/>
  <c r="C5" i="198"/>
  <c r="C22" i="198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6" i="190"/>
  <c r="C8" i="190" s="1"/>
  <c r="C6" i="191"/>
  <c r="C6" i="188"/>
  <c r="C6" i="193"/>
  <c r="C6" i="195"/>
  <c r="C6" i="194"/>
  <c r="C6" i="196"/>
  <c r="C6" i="192"/>
  <c r="C8" i="192" s="1"/>
  <c r="C6" i="199"/>
  <c r="C8" i="199" s="1"/>
  <c r="C6" i="198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C8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40" i="183" s="1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C8" i="174" l="1"/>
  <c r="B5" i="200"/>
  <c r="B1" i="189"/>
  <c r="B1" i="190" s="1"/>
  <c r="B1" i="191" s="1"/>
  <c r="B1" i="188" s="1"/>
  <c r="B1" i="193" s="1"/>
  <c r="B1" i="195" s="1"/>
  <c r="B1" i="194" s="1"/>
  <c r="B1" i="204" s="1"/>
  <c r="B1" i="196" s="1"/>
  <c r="B1" i="192" s="1"/>
  <c r="B1" i="199" s="1"/>
  <c r="B1" i="198" s="1"/>
  <c r="R40" i="198"/>
  <c r="B17" i="200"/>
  <c r="B18" i="200" s="1"/>
  <c r="R40" i="199"/>
  <c r="B9" i="200"/>
  <c r="B11" i="200"/>
  <c r="B10" i="200"/>
  <c r="B13" i="200"/>
  <c r="B12" i="200"/>
  <c r="B4" i="200"/>
  <c r="B3" i="200"/>
  <c r="R40" i="196"/>
  <c r="R40" i="192"/>
  <c r="R40" i="194"/>
  <c r="C8" i="194"/>
  <c r="R40" i="195"/>
  <c r="R40" i="193"/>
  <c r="R40" i="188"/>
  <c r="C8" i="188"/>
  <c r="R40" i="191"/>
  <c r="C8" i="191"/>
  <c r="R40" i="190"/>
  <c r="R40" i="187"/>
  <c r="R40" i="186"/>
  <c r="C20" i="185"/>
  <c r="R40" i="185"/>
  <c r="R40" i="180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sharedStrings.xml><?xml version="1.0" encoding="utf-8"?>
<sst xmlns="http://schemas.openxmlformats.org/spreadsheetml/2006/main" count="1932" uniqueCount="278">
  <si>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</si>
  <si>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</si>
  <si>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</si>
  <si>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</si>
  <si>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</si>
  <si>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</si>
  <si>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</si>
  <si>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</si>
  <si>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</si>
  <si>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</si>
  <si>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</si>
  <si>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</si>
  <si>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</si>
  <si>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</si>
  <si>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</si>
  <si>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</si>
  <si>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</si>
  <si>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</si>
  <si>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</si>
  <si>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</si>
  <si>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</si>
  <si>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SS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</si>
  <si>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</si>
  <si>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</si>
  <si>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</si>
  <si>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</si>
  <si>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</si>
  <si>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</si>
  <si>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</si>
  <si>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</si>
  <si>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</si>
  <si>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</si>
  <si>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</si>
  <si>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</si>
  <si>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</si>
  <si>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Sim</t>
  </si>
  <si>
    <t>BRUNO</t>
  </si>
  <si>
    <t>WEVILLY</t>
  </si>
  <si>
    <t>bruno</t>
  </si>
  <si>
    <t>Rosângela</t>
  </si>
  <si>
    <t>Não</t>
  </si>
  <si>
    <t>PARC. 2/5</t>
  </si>
  <si>
    <t>PARC. 5/7</t>
  </si>
  <si>
    <t>PARC. 3/5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</si>
  <si>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</si>
  <si>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</si>
  <si>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</si>
  <si>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</si>
  <si>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</si>
  <si>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</si>
  <si>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</si>
  <si>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</si>
  <si>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PARC. 2/2</t>
  </si>
  <si>
    <t>Parcelado Cartão Crédito</t>
  </si>
  <si>
    <t>PARC. 1/3</t>
  </si>
  <si>
    <t>PARC. 2/3</t>
  </si>
  <si>
    <t>Sem Sinal</t>
  </si>
  <si>
    <t>PARC. 3/3</t>
  </si>
  <si>
    <t xml:space="preserve">Carne </t>
  </si>
  <si>
    <t>PARC. 1/4</t>
  </si>
  <si>
    <t>GARANTIA</t>
  </si>
  <si>
    <t>Todas as Garantias</t>
  </si>
  <si>
    <t>PARC. 2/4</t>
  </si>
  <si>
    <t>PARC. 3/4</t>
  </si>
  <si>
    <t>PARC. 4/4</t>
  </si>
  <si>
    <t>PARC. 1/5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</si>
  <si>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</si>
  <si>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</si>
  <si>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</si>
  <si>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</si>
  <si>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</si>
  <si>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</si>
  <si>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</si>
  <si>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</si>
  <si>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</si>
  <si>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</si>
  <si>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</si>
  <si>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</si>
  <si>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</si>
  <si>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</si>
  <si>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</si>
  <si>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</si>
  <si>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</si>
  <si>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</si>
  <si>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</si>
  <si>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</si>
  <si>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</si>
  <si>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</si>
  <si>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</si>
  <si>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</si>
  <si>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</si>
  <si>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</si>
  <si>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</si>
  <si>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</si>
  <si>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</si>
  <si>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</si>
  <si>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</si>
  <si>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</si>
  <si>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</si>
  <si>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</si>
  <si>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</si>
  <si>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</si>
  <si>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</si>
  <si>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</si>
  <si>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</si>
  <si>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</si>
  <si>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</si>
  <si>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</si>
  <si>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</si>
  <si>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</si>
  <si>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</si>
  <si>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</si>
  <si>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</si>
  <si>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</si>
  <si>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</si>
  <si>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</si>
  <si>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</si>
  <si>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</si>
  <si>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</si>
  <si>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</si>
  <si>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</si>
  <si>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</si>
  <si>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</si>
  <si>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</si>
  <si>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</si>
  <si>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</si>
  <si>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</si>
  <si>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</si>
  <si>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</si>
  <si>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</si>
  <si>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ELENILTON DOS SANTOS</t>
  </si>
  <si>
    <t>PERMUTA</t>
  </si>
  <si>
    <t>permuta com prestadores  de serviço</t>
  </si>
  <si>
    <t>EUNICE PEREIRA</t>
  </si>
  <si>
    <t xml:space="preserve">KATIA BATISTA </t>
  </si>
  <si>
    <t>CARLOS ALBERTO</t>
  </si>
  <si>
    <t>GERLANE MATEUS</t>
  </si>
  <si>
    <t>MARIA APARECIDA M.</t>
  </si>
  <si>
    <t>Mariana Silva do Nascimento</t>
  </si>
  <si>
    <t>ADRIANO DE OLIVEIRA</t>
  </si>
  <si>
    <t>SANDRA ALVES S.</t>
  </si>
  <si>
    <t xml:space="preserve">Maria José </t>
  </si>
  <si>
    <t xml:space="preserve">Pão </t>
  </si>
  <si>
    <t xml:space="preserve">Giovanna Carvalho Santos </t>
  </si>
  <si>
    <t xml:space="preserve">Thalia Aparecida </t>
  </si>
  <si>
    <t xml:space="preserve">Cleide Miguel </t>
  </si>
  <si>
    <t xml:space="preserve">Regiane de Souza </t>
  </si>
  <si>
    <t xml:space="preserve">Alcione Cardoso </t>
  </si>
  <si>
    <t>Fernanda F. (carne)</t>
  </si>
  <si>
    <t>Priscila Ap. (carne)</t>
  </si>
  <si>
    <t>Elizangela (carne)</t>
  </si>
  <si>
    <t xml:space="preserve">Lays Alessandrra </t>
  </si>
  <si>
    <t xml:space="preserve">Rosina Moreira </t>
  </si>
  <si>
    <t xml:space="preserve">Mariane da Conceição </t>
  </si>
  <si>
    <t xml:space="preserve">Gabriel Ventura </t>
  </si>
  <si>
    <t xml:space="preserve">Valdelice Ribeiro </t>
  </si>
  <si>
    <t>Gabriele Renee</t>
  </si>
  <si>
    <t xml:space="preserve">Renan Cristian </t>
  </si>
  <si>
    <t xml:space="preserve">Genesio (carne 3/3) </t>
  </si>
  <si>
    <t xml:space="preserve">Marta Vieira </t>
  </si>
  <si>
    <t xml:space="preserve">Julio Gocalves </t>
  </si>
  <si>
    <t xml:space="preserve">Monica Pereira </t>
  </si>
  <si>
    <t xml:space="preserve">Valdenice Ventura </t>
  </si>
  <si>
    <t xml:space="preserve">Canetas e clips </t>
  </si>
  <si>
    <t>Orlando (carne 1-8)</t>
  </si>
  <si>
    <t>Damiana (carne 1-5)</t>
  </si>
  <si>
    <t>Gabriel Ventura (rest. Sinal)</t>
  </si>
  <si>
    <t>Geraldo Martins (garantia)</t>
  </si>
  <si>
    <t xml:space="preserve">Fagner Alcantara </t>
  </si>
  <si>
    <t>Celia Claro da Silva</t>
  </si>
  <si>
    <t>Thalia Aparecida</t>
  </si>
  <si>
    <t xml:space="preserve">Beatris Oliveira </t>
  </si>
  <si>
    <t xml:space="preserve">Maisa Gabriela </t>
  </si>
  <si>
    <t xml:space="preserve">Carmem Odales </t>
  </si>
  <si>
    <t>Ariane (carne 1-5)</t>
  </si>
  <si>
    <t>Irene (carne 3-10)</t>
  </si>
  <si>
    <t>Lila Maria</t>
  </si>
  <si>
    <t>Raquel  (carne 2-5)</t>
  </si>
  <si>
    <t>Elisabete (caren 3-8)</t>
  </si>
  <si>
    <t>Aurea (1-4)</t>
  </si>
  <si>
    <t xml:space="preserve">Raphaela </t>
  </si>
  <si>
    <t xml:space="preserve">Marcelo Alves </t>
  </si>
  <si>
    <t>CTD/PCTC</t>
  </si>
  <si>
    <t xml:space="preserve">Murilo Alberto </t>
  </si>
  <si>
    <t>Sonia Regina</t>
  </si>
  <si>
    <t xml:space="preserve">Carlos Alberto </t>
  </si>
  <si>
    <t xml:space="preserve">Had Mtos </t>
  </si>
  <si>
    <t xml:space="preserve">Everaldo Francisco </t>
  </si>
  <si>
    <t xml:space="preserve">Igor Nascimento </t>
  </si>
  <si>
    <t xml:space="preserve">Sonia Regina </t>
  </si>
  <si>
    <t xml:space="preserve">Katia Batista </t>
  </si>
  <si>
    <t xml:space="preserve">Iracema Silva </t>
  </si>
  <si>
    <t xml:space="preserve">Ana Celia </t>
  </si>
  <si>
    <t xml:space="preserve">Ana Paula </t>
  </si>
  <si>
    <t xml:space="preserve">Maria do Céu </t>
  </si>
  <si>
    <t xml:space="preserve">Reginaldo </t>
  </si>
  <si>
    <t xml:space="preserve">Maria da Paixão </t>
  </si>
  <si>
    <t xml:space="preserve">Jackson Rodrigues </t>
  </si>
  <si>
    <t xml:space="preserve">Ana Maria </t>
  </si>
  <si>
    <t>laurinda rainha</t>
  </si>
  <si>
    <t xml:space="preserve">euzebio correio </t>
  </si>
  <si>
    <t>jennifer silva</t>
  </si>
  <si>
    <t>pricielyn silva</t>
  </si>
  <si>
    <t xml:space="preserve">maria do carmo </t>
  </si>
  <si>
    <t xml:space="preserve">adão cardoso </t>
  </si>
  <si>
    <t>pão</t>
  </si>
  <si>
    <t>gefferson viana</t>
  </si>
  <si>
    <t>samanta rosa</t>
  </si>
  <si>
    <t xml:space="preserve">Rosiane Pereira </t>
  </si>
  <si>
    <t xml:space="preserve">Rubinalva Piauhy </t>
  </si>
  <si>
    <t xml:space="preserve">Pão e açúcar </t>
  </si>
  <si>
    <t xml:space="preserve">Lays Alessandra </t>
  </si>
  <si>
    <t>Solange Ap. (garantia)</t>
  </si>
  <si>
    <t xml:space="preserve">Manuel Silveira </t>
  </si>
  <si>
    <t>Antonia (garantia)</t>
  </si>
  <si>
    <t xml:space="preserve">Diva Vieira </t>
  </si>
  <si>
    <t>Diva Vieira (anexo 2901)</t>
  </si>
  <si>
    <t xml:space="preserve">Mirian Madeira </t>
  </si>
  <si>
    <t xml:space="preserve">Edson </t>
  </si>
  <si>
    <t xml:space="preserve">Aurea Cristina </t>
  </si>
  <si>
    <t xml:space="preserve">William </t>
  </si>
  <si>
    <t xml:space="preserve">Pão e manteiga </t>
  </si>
  <si>
    <t xml:space="preserve">Ana </t>
  </si>
  <si>
    <t xml:space="preserve">Bruno Lopes </t>
  </si>
  <si>
    <t xml:space="preserve">José Carlos </t>
  </si>
  <si>
    <t xml:space="preserve">Luciane Silva </t>
  </si>
  <si>
    <t xml:space="preserve">Teiko (garantia) </t>
  </si>
  <si>
    <t xml:space="preserve">Emanuelle Patricia </t>
  </si>
  <si>
    <t xml:space="preserve">Marcelo Rodrigo </t>
  </si>
  <si>
    <t xml:space="preserve">Edilene Ramos </t>
  </si>
  <si>
    <t>Maria (garantia)</t>
  </si>
  <si>
    <t>Adão Cardoso dos Santos</t>
  </si>
  <si>
    <t xml:space="preserve">Thayna Aparecida </t>
  </si>
  <si>
    <t xml:space="preserve">Marcilene de Aquino </t>
  </si>
  <si>
    <t xml:space="preserve">Ane Caroline </t>
  </si>
  <si>
    <t xml:space="preserve">Valdelice </t>
  </si>
  <si>
    <t>Francineide (Valter)</t>
  </si>
  <si>
    <t xml:space="preserve">Thalita Trevizane </t>
  </si>
  <si>
    <t xml:space="preserve">Carlos Roberto </t>
  </si>
  <si>
    <t xml:space="preserve">Luiz Manoel </t>
  </si>
  <si>
    <t xml:space="preserve">Vera Lucia </t>
  </si>
  <si>
    <t>Carlos Sato (garantia)</t>
  </si>
  <si>
    <t xml:space="preserve">Julia Almeida </t>
  </si>
  <si>
    <t xml:space="preserve">Eloisa Amaral </t>
  </si>
  <si>
    <t>Walter Telho (carne)</t>
  </si>
  <si>
    <t>Erica Oliveira  (carne)</t>
  </si>
  <si>
    <t xml:space="preserve">Caroline Netto </t>
  </si>
  <si>
    <t xml:space="preserve">Samara Maria </t>
  </si>
  <si>
    <t xml:space="preserve">Kauã Oliveira </t>
  </si>
  <si>
    <t>Nubia Silva (mola)</t>
  </si>
  <si>
    <t xml:space="preserve">Deusedina Vieira </t>
  </si>
  <si>
    <t>Rayanne Hayla dos santos</t>
  </si>
  <si>
    <t xml:space="preserve">Juliana Passiano </t>
  </si>
  <si>
    <t>Marlene (Pix errado Jr ciente)</t>
  </si>
  <si>
    <t>Eloisa Amaral</t>
  </si>
  <si>
    <t>Sarah Koshiyama</t>
  </si>
  <si>
    <t>Luciane Silva de O.</t>
  </si>
  <si>
    <t>Leidianne Oliveira</t>
  </si>
  <si>
    <t xml:space="preserve">Jefferson Marinho </t>
  </si>
  <si>
    <t xml:space="preserve">Yasmin Vitória </t>
  </si>
  <si>
    <t>Ridalvo Jesus</t>
  </si>
  <si>
    <t>ELIZABETE MARIA</t>
  </si>
  <si>
    <t xml:space="preserve">JENNIFER SILVA </t>
  </si>
  <si>
    <t xml:space="preserve">natalia miguel </t>
  </si>
  <si>
    <t xml:space="preserve">joão  pedro </t>
  </si>
  <si>
    <t xml:space="preserve">maria  auricelia </t>
  </si>
  <si>
    <t>recina bernadete</t>
  </si>
  <si>
    <t>etuko tatushi</t>
  </si>
  <si>
    <t xml:space="preserve">nelson matins </t>
  </si>
  <si>
    <t xml:space="preserve">jose tenorio </t>
  </si>
  <si>
    <t>MERCADO, LIB TATY</t>
  </si>
  <si>
    <t>ivanete maria CN</t>
  </si>
  <si>
    <t xml:space="preserve">rosima moreira </t>
  </si>
  <si>
    <t>rosiane pereira</t>
  </si>
  <si>
    <t xml:space="preserve">edilene ramos </t>
  </si>
  <si>
    <t xml:space="preserve">MARIA CLAUDIA </t>
  </si>
  <si>
    <t>CLAUDETE DOS SANTOS</t>
  </si>
  <si>
    <t>FERNANDA F. CAFRUNI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</si>
</sst>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2"/>
      <name val="Arial"/>
    </font>
    <font>
      <sz val="11"/>
      <name val="Calibri"/>
    </font>
    <font>
      <sz val="11"/>
      <name val="Calibri"/>
      <scheme val="minor"/>
    </font>
    <font>
      <b/>
      <sz val="12"/>
      <name val="Arial"/>
      <family val="2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2">
    <xf numFmtId="0" fontId="0" fillId="0" borderId="0"/>
    <xf numFmtId="0" fontId="12" fillId="0" borderId="0" applyNumberFormat="0" applyFill="0" applyBorder="0" applyAlignment="0" applyProtection="0">
      <alignment vertical="top"/>
      <protection locked="0"/>
    </xf>
    <xf numFmtId="164" fontId="6" fillId="0" borderId="0" applyFont="0" applyFill="0" applyBorder="0" applyAlignment="0" applyProtection="0"/>
    <xf numFmtId="0" fontId="16" fillId="0" borderId="0"/>
    <xf numFmtId="9" fontId="6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7" fillId="0" borderId="0"/>
    <xf numFmtId="0" fontId="12" fillId="0" borderId="0" applyNumberFormat="0" applyFill="0" applyBorder="0" applyAlignment="0" applyProtection="0">
      <alignment vertical="top"/>
      <protection locked="0"/>
    </xf>
    <xf numFmtId="9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>
      <alignment vertical="top"/>
      <protection locked="0"/>
    </xf>
    <xf numFmtId="0" fontId="21" fillId="2" borderId="0"/>
    <xf numFmtId="0" fontId="19" fillId="3" borderId="0"/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23" fillId="0" borderId="0"/>
    <xf numFmtId="0" fontId="24" fillId="0" borderId="0" applyNumberFormat="0" applyFill="0" applyBorder="0" applyAlignment="0" applyProtection="0"/>
    <xf numFmtId="0" fontId="26" fillId="4" borderId="14">
      <alignment horizontal="center"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17" fillId="0" borderId="0" applyNumberFormat="0" applyBorder="0" applyAlignment="0" applyProtection="0"/>
    <xf numFmtId="44" fontId="22" fillId="0" borderId="0" applyFont="0" applyFill="0" applyBorder="0" applyAlignment="0" applyProtection="0"/>
    <xf numFmtId="0" fontId="7" fillId="0" borderId="0"/>
    <xf numFmtId="0" fontId="4" fillId="0" borderId="0"/>
    <xf numFmtId="0" fontId="7" fillId="0" borderId="0"/>
    <xf numFmtId="0" fontId="7" fillId="0" borderId="0"/>
    <xf numFmtId="9" fontId="27" fillId="0" borderId="15">
      <alignment horizontal="left" vertical="center" indent="2"/>
    </xf>
    <xf numFmtId="9" fontId="7" fillId="0" borderId="0" applyFont="0" applyFill="0" applyBorder="0" applyAlignment="0" applyProtection="0"/>
    <xf numFmtId="166" fontId="28" fillId="0" borderId="0" applyFont="0" applyFill="0" applyBorder="0" applyAlignment="0" applyProtection="0"/>
    <xf numFmtId="167" fontId="7" fillId="0" borderId="0" applyFont="0" applyFill="0" applyBorder="0" applyAlignment="0" applyProtection="0"/>
    <xf numFmtId="167" fontId="7" fillId="0" borderId="0" applyFont="0" applyFill="0" applyBorder="0" applyAlignment="0" applyProtection="0"/>
    <xf numFmtId="0" fontId="29" fillId="0" borderId="0" applyNumberFormat="0" applyFill="0" applyBorder="0" applyAlignment="0" applyProtection="0"/>
    <xf numFmtId="168" fontId="30" fillId="0" borderId="16">
      <alignment horizontal="center" vertical="center"/>
    </xf>
    <xf numFmtId="43" fontId="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44" fontId="22" fillId="0" borderId="0" applyFont="0" applyFill="0" applyBorder="0" applyAlignment="0" applyProtection="0"/>
    <xf numFmtId="0" fontId="6" fillId="0" borderId="0"/>
    <xf numFmtId="43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8" fillId="0" borderId="0" xfId="0" applyFont="1" applyAlignment="1">
      <alignment horizontal="center" vertical="center"/>
    </xf>
    <xf numFmtId="165" fontId="14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4" fillId="0" borderId="17" xfId="4" applyNumberFormat="1" applyFont="1" applyFill="1" applyBorder="1" applyAlignment="1">
      <alignment horizontal="center"/>
    </xf>
    <xf numFmtId="165" fontId="14" fillId="0" borderId="17" xfId="0" applyNumberFormat="1" applyFont="1" applyBorder="1" applyAlignment="1">
      <alignment horizontal="center"/>
    </xf>
    <xf numFmtId="164" fontId="14" fillId="5" borderId="10" xfId="2" applyFont="1" applyFill="1" applyBorder="1" applyAlignment="1">
      <alignment horizontal="center"/>
    </xf>
    <xf numFmtId="164" fontId="14" fillId="5" borderId="13" xfId="2" applyFont="1" applyFill="1" applyBorder="1" applyAlignment="1">
      <alignment horizontal="center"/>
    </xf>
    <xf numFmtId="165" fontId="14" fillId="5" borderId="13" xfId="4" applyNumberFormat="1" applyFont="1" applyFill="1" applyBorder="1" applyAlignment="1">
      <alignment horizontal="center"/>
    </xf>
    <xf numFmtId="165" fontId="14" fillId="5" borderId="9" xfId="4" applyNumberFormat="1" applyFont="1" applyFill="1" applyBorder="1" applyAlignment="1">
      <alignment horizontal="center"/>
    </xf>
    <xf numFmtId="165" fontId="14" fillId="5" borderId="10" xfId="0" applyNumberFormat="1" applyFont="1" applyFill="1" applyBorder="1" applyAlignment="1">
      <alignment horizontal="center"/>
    </xf>
    <xf numFmtId="165" fontId="14" fillId="5" borderId="9" xfId="0" applyNumberFormat="1" applyFont="1" applyFill="1" applyBorder="1" applyAlignment="1">
      <alignment horizontal="center"/>
    </xf>
    <xf numFmtId="165" fontId="14" fillId="0" borderId="6" xfId="0" applyNumberFormat="1" applyFont="1" applyBorder="1" applyAlignment="1">
      <alignment horizontal="center"/>
    </xf>
    <xf numFmtId="165" fontId="14" fillId="0" borderId="3" xfId="4" applyNumberFormat="1" applyFont="1" applyFill="1" applyBorder="1" applyAlignment="1">
      <alignment horizontal="center"/>
    </xf>
    <xf numFmtId="0" fontId="31" fillId="0" borderId="17" xfId="0" applyFont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165" fontId="13" fillId="6" borderId="12" xfId="2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4" fillId="5" borderId="2" xfId="0" applyFont="1" applyFill="1" applyBorder="1" applyAlignment="1">
      <alignment horizontal="center"/>
    </xf>
    <xf numFmtId="165" fontId="14" fillId="5" borderId="11" xfId="0" applyNumberFormat="1" applyFont="1" applyFill="1" applyBorder="1" applyAlignment="1">
      <alignment horizontal="center"/>
    </xf>
    <xf numFmtId="0" fontId="25" fillId="0" borderId="17" xfId="0" applyFont="1" applyBorder="1" applyAlignment="1">
      <alignment horizontal="center"/>
    </xf>
    <xf numFmtId="164" fontId="14" fillId="0" borderId="17" xfId="2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15" fillId="7" borderId="6" xfId="0" applyFont="1" applyFill="1" applyBorder="1" applyAlignment="1">
      <alignment horizontal="center"/>
    </xf>
    <xf numFmtId="165" fontId="15" fillId="7" borderId="8" xfId="0" applyNumberFormat="1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164" fontId="14" fillId="5" borderId="0" xfId="2" applyFont="1" applyFill="1" applyBorder="1" applyAlignment="1">
      <alignment horizontal="center"/>
    </xf>
    <xf numFmtId="164" fontId="15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164" fontId="14" fillId="0" borderId="3" xfId="2" applyFont="1" applyFill="1" applyBorder="1" applyAlignment="1">
      <alignment horizontal="center"/>
    </xf>
    <xf numFmtId="0" fontId="6" fillId="0" borderId="0" xfId="0" applyFont="1"/>
    <xf numFmtId="164" fontId="25" fillId="0" borderId="17" xfId="2" applyFont="1" applyFill="1" applyBorder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" fontId="14" fillId="0" borderId="17" xfId="0" applyNumberFormat="1" applyFont="1" applyBorder="1" applyAlignment="1">
      <alignment horizontal="center"/>
    </xf>
    <xf numFmtId="1" fontId="14" fillId="0" borderId="3" xfId="0" applyNumberFormat="1" applyFont="1" applyBorder="1" applyAlignment="1">
      <alignment horizontal="center"/>
    </xf>
    <xf numFmtId="164" fontId="31" fillId="0" borderId="17" xfId="2" applyFont="1" applyFill="1" applyBorder="1" applyAlignment="1">
      <alignment horizontal="center"/>
    </xf>
    <xf numFmtId="165" fontId="25" fillId="0" borderId="17" xfId="0" applyNumberFormat="1" applyFont="1" applyBorder="1" applyAlignment="1">
      <alignment horizontal="center"/>
    </xf>
    <xf numFmtId="165" fontId="14" fillId="0" borderId="3" xfId="0" applyNumberFormat="1" applyFont="1" applyBorder="1" applyAlignment="1">
      <alignment horizontal="center"/>
    </xf>
    <xf numFmtId="1" fontId="25" fillId="0" borderId="17" xfId="0" applyNumberFormat="1" applyFont="1" applyBorder="1" applyAlignment="1">
      <alignment horizontal="center"/>
    </xf>
    <xf numFmtId="44" fontId="14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0" fontId="33" fillId="0" borderId="17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44" fontId="14" fillId="0" borderId="17" xfId="68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44" fontId="14" fillId="0" borderId="17" xfId="83" applyFont="1" applyFill="1" applyBorder="1" applyAlignment="1">
      <alignment horizontal="center"/>
    </xf>
    <xf numFmtId="44" fontId="14" fillId="0" borderId="3" xfId="83" applyFont="1" applyFill="1" applyBorder="1" applyAlignment="1">
      <alignment horizontal="center"/>
    </xf>
    <xf numFmtId="44" fontId="25" fillId="0" borderId="17" xfId="83" applyFont="1" applyFill="1" applyBorder="1" applyAlignment="1">
      <alignment horizontal="center"/>
    </xf>
    <xf numFmtId="0" fontId="14" fillId="0" borderId="17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0" fontId="36" fillId="0" borderId="17" xfId="0" applyFont="1" applyBorder="1" applyAlignment="1">
      <alignment horizontal="center"/>
    </xf>
    <xf numFmtId="0" fontId="37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0" fontId="13" fillId="6" borderId="0" xfId="0" applyFont="1" applyFill="1" applyAlignment="1">
      <alignment horizontal="center" vertical="center"/>
    </xf>
    <xf numFmtId="0" fontId="11" fillId="7" borderId="3" xfId="0" applyFont="1" applyFill="1" applyBorder="1" applyAlignment="1">
      <alignment horizontal="center"/>
    </xf>
    <xf numFmtId="165" fontId="11" fillId="7" borderId="5" xfId="0" applyNumberFormat="1" applyFont="1" applyFill="1" applyBorder="1" applyAlignment="1">
      <alignment horizontal="center"/>
    </xf>
    <xf numFmtId="165" fontId="11" fillId="7" borderId="4" xfId="0" applyNumberFormat="1" applyFont="1" applyFill="1" applyBorder="1" applyAlignment="1">
      <alignment horizontal="center"/>
    </xf>
    <xf numFmtId="165" fontId="11" fillId="7" borderId="12" xfId="0" applyNumberFormat="1" applyFont="1" applyFill="1" applyBorder="1" applyAlignment="1">
      <alignment horizontal="center"/>
    </xf>
    <xf numFmtId="0" fontId="18" fillId="7" borderId="6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1" fillId="7" borderId="17" xfId="0" applyFont="1" applyFill="1" applyBorder="1" applyAlignment="1">
      <alignment horizontal="center"/>
    </xf>
    <xf numFmtId="164" fontId="25" fillId="0" borderId="3" xfId="2" applyFont="1" applyFill="1" applyBorder="1" applyAlignment="1">
      <alignment horizontal="center"/>
    </xf>
    <xf numFmtId="0" fontId="31" fillId="0" borderId="17" xfId="2" applyNumberFormat="1" applyFont="1" applyFill="1" applyBorder="1" applyAlignment="1">
      <alignment horizontal="center"/>
    </xf>
  </cellXfs>
  <cellStyles count="9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2 2" xfId="87" xr:uid="{CD7A9DF9-6CAA-445E-B40F-82280809B556}"/>
    <cellStyle name="Moeda 2 2 2 3" xfId="72" xr:uid="{6D16C14B-46BE-4A8B-9F75-BDC22C69B2AA}"/>
    <cellStyle name="Moeda 2 2 3" xfId="59" xr:uid="{15876CAD-A58A-417E-942B-B75CA4D12C4A}"/>
    <cellStyle name="Moeda 2 2 3 2" xfId="80" xr:uid="{8D4900A9-8AC3-40C3-BEE9-00E83EC162E2}"/>
    <cellStyle name="Moeda 2 2 4" xfId="65" xr:uid="{8065D580-179B-477E-87DC-913946A8FD9E}"/>
    <cellStyle name="Moeda 2 3" xfId="44" xr:uid="{018D7EC2-457E-4352-8B9D-D98BC95BBE55}"/>
    <cellStyle name="Moeda 2 3 2" xfId="85" xr:uid="{6BCD22B4-C852-4EA5-8932-B68C91C18BDB}"/>
    <cellStyle name="Moeda 2 3 3" xfId="70" xr:uid="{7CC0A578-38B4-4512-8257-AD6B118BB3D0}"/>
    <cellStyle name="Moeda 2 4" xfId="57" xr:uid="{60314F40-4D14-4914-B2FB-F0EF8809BFDC}"/>
    <cellStyle name="Moeda 2 4 2" xfId="78" xr:uid="{9E28F3B5-118E-44BA-8152-9D9920C4D393}"/>
    <cellStyle name="Moeda 2 5" xfId="63" xr:uid="{31872977-5AAF-4354-9B2F-13AFA82D76D8}"/>
    <cellStyle name="Moeda 3" xfId="39" xr:uid="{7AB823BE-4C0E-4C74-AC9F-2ADAE4FB907E}"/>
    <cellStyle name="Moeda 3 2" xfId="83" xr:uid="{1B93A609-08DC-4596-928A-689F28EF63ED}"/>
    <cellStyle name="Moeda 3 3" xfId="68" xr:uid="{1B52ADA3-15E5-46AE-B21C-BBB001F43A69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3 2" xfId="88" xr:uid="{FB1AF633-AA39-4E57-BD9C-CAC3CE8A50EE}"/>
    <cellStyle name="Normal 4 3 3" xfId="73" xr:uid="{B883533A-59A2-46EB-B6BB-9B633EDF75BF}"/>
    <cellStyle name="Normal 4 4" xfId="60" xr:uid="{AF296A9E-05F1-4EBF-B3A5-6D6A1B6677AA}"/>
    <cellStyle name="Normal 4 4 2" xfId="81" xr:uid="{F1F56DDE-461F-4237-A4AC-3AC7E47A394C}"/>
    <cellStyle name="Normal 4 5" xfId="66" xr:uid="{DE79D2D2-441D-493E-9B47-47ADFEC9E8FE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2 2" xfId="84" xr:uid="{F69DD2B8-09D9-4EBC-8BF9-8D7EDB453D67}"/>
    <cellStyle name="Separador de milhares 2 2 3" xfId="69" xr:uid="{1AD819CB-0E12-4037-8FAC-89BDEE80F86F}"/>
    <cellStyle name="Separador de milhares 2 3" xfId="56" xr:uid="{1CEB6C10-8A7B-4609-8DF5-0B2F3DA67C9A}"/>
    <cellStyle name="Separador de milhares 2 3 2" xfId="77" xr:uid="{4B5E399E-86AA-4228-99A5-56BB3EF9AE72}"/>
    <cellStyle name="Separador de milhares 2 4" xfId="62" xr:uid="{9A263C74-5D06-4A52-84F8-3C2B833B38C8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5 2 2" xfId="89" xr:uid="{42AB6CE5-136F-41A7-8475-9EAFE82210B8}"/>
    <cellStyle name="Separador de milhares 5 2 3" xfId="74" xr:uid="{CF994B4F-91BF-412F-BAE2-D44275397AF4}"/>
    <cellStyle name="Separador de milhares 6" xfId="35" xr:uid="{00000000-0005-0000-0000-000020000000}"/>
    <cellStyle name="Separador de milhares 6 2" xfId="54" xr:uid="{24CAB0AE-3C7D-4F02-905C-447EEBCEA0E5}"/>
    <cellStyle name="Separador de milhares 6 2 2" xfId="90" xr:uid="{009FAD2C-95AD-415B-80FE-27961D325D48}"/>
    <cellStyle name="Separador de milhares 6 2 3" xfId="75" xr:uid="{9C62D7A3-8A2A-486A-A9D7-C19BC42B70F3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2 2" xfId="86" xr:uid="{BD3E627B-3986-430B-A60D-1864996C5FE9}"/>
    <cellStyle name="Vírgula 10 2 3" xfId="71" xr:uid="{06E302B4-3DE3-4840-92D7-B3508459CB0D}"/>
    <cellStyle name="Vírgula 10 3" xfId="58" xr:uid="{ED20D7A7-29F8-43B5-8992-FFA42C90A8C0}"/>
    <cellStyle name="Vírgula 10 3 2" xfId="79" xr:uid="{0D768A1A-1DDB-49F7-A348-C26F6CB943FA}"/>
    <cellStyle name="Vírgula 10 4" xfId="64" xr:uid="{2FCA6D16-2866-48C6-B008-01CE1C4916E1}"/>
    <cellStyle name="Vírgula 2" xfId="38" xr:uid="{00000000-0005-0000-0000-000027000000}"/>
    <cellStyle name="Vírgula 2 2" xfId="55" xr:uid="{CB37DB63-E913-4772-B017-FD8345B858C4}"/>
    <cellStyle name="Vírgula 2 2 2" xfId="91" xr:uid="{040CEAD6-1377-4C75-B7B6-0EF4F242A69F}"/>
    <cellStyle name="Vírgula 2 2 3" xfId="76" xr:uid="{05C00FC3-9DD9-4563-B3B5-898CC39061DE}"/>
    <cellStyle name="Vírgula 2 3" xfId="61" xr:uid="{79463D6F-D2DA-4A6C-9918-0EF0B9E007F0}"/>
    <cellStyle name="Vírgula 2 3 2" xfId="82" xr:uid="{83D4D31D-7207-44BB-BB7D-B2F02CE0581E}"/>
    <cellStyle name="Vírgula 2 4" xfId="67" xr:uid="{E5B570DE-825B-4152-89DB-977D66DF7158}"/>
  </cellStyles>
  <dxfs count="16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641" dataDxfId="1639" headerRowBorderDxfId="1640" tableBorderDxfId="1638" totalsRowBorderDxfId="163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636" dataCellStyle="Moeda"/>
    <tableColumn id="5" xr3:uid="{4E864FFB-62AE-4C76-999A-80DAC03BA10F}" name="Cliente" dataDxfId="1635" dataCellStyle="Moeda"/>
    <tableColumn id="2" xr3:uid="{39F76C04-E7DF-4C8C-921C-A165689790E9}" name="Forma de Pgto" dataDxfId="1634" dataCellStyle="Moeda"/>
    <tableColumn id="3" xr3:uid="{E9370F52-26BB-4EAF-A1D9-2BD0CAE66157}" name="Valor Venda" dataDxfId="1633" dataCellStyle="Porcentagem"/>
    <tableColumn id="4" xr3:uid="{BA146EFF-288C-407A-B27C-EC83C6C60F64}" name="Entrada" dataDxfId="163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631" dataDxfId="1629" headerRowBorderDxfId="1630" tableBorderDxfId="1628" totalsRowBorderDxfId="1627">
  <autoFilter ref="K5:M11" xr:uid="{00000000-0009-0000-0100-000015000000}"/>
  <tableColumns count="3">
    <tableColumn id="1" xr3:uid="{0B88E9C0-AB9D-453A-B36F-BD29A8C17D8A}" name="Descrição" dataDxfId="1626"/>
    <tableColumn id="2" xr3:uid="{17C658DA-B17E-40FE-A7BD-DC7D9EC674E9}" name="Tipo de Pagto" dataDxfId="1625"/>
    <tableColumn id="3" xr3:uid="{FF4BC756-9A15-4D47-B863-8A20D3280A08}" name="Valor" dataDxfId="16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8" totalsRowShown="0" headerRowDxfId="1623" dataDxfId="1621" headerRowBorderDxfId="1622" tableBorderDxfId="1620" totalsRowBorderDxfId="1619">
  <autoFilter ref="E25:I38" xr:uid="{00000000-0009-0000-0100-000016000000}"/>
  <sortState xmlns:xlrd2="http://schemas.microsoft.com/office/spreadsheetml/2017/richdata2" ref="E26:I38">
    <sortCondition ref="E25:E38"/>
  </sortState>
  <tableColumns count="5">
    <tableColumn id="1" xr3:uid="{828C2EC5-53B0-411D-B826-EDE23CB0FA2E}" name="Nº Venda" dataDxfId="1618"/>
    <tableColumn id="2" xr3:uid="{47D41B32-D662-49C2-9421-3A125B03A82A}" name="Cliente" dataDxfId="1617"/>
    <tableColumn id="3" xr3:uid="{39E1C509-0A71-43B1-986F-88861123AB80}" name="Forma de Pgto" dataDxfId="1616" dataCellStyle="Moeda"/>
    <tableColumn id="4" xr3:uid="{47286C2F-E1F6-47AA-8494-04DB96C3E6B1}" name="Valor Venda" dataDxfId="1615" dataCellStyle="Porcentagem"/>
    <tableColumn id="5" xr3:uid="{8CC8BB9B-601E-4BB4-B63E-BE429656D172}" name="Entrada" dataDxfId="1614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613" dataDxfId="1611" headerRowBorderDxfId="1612" tableBorderDxfId="1610" totalsRowBorderDxfId="1609">
  <autoFilter ref="K14:M31" xr:uid="{C83FE64B-E221-4DAA-89EA-5307A7BC98B3}"/>
  <tableColumns count="3">
    <tableColumn id="1" xr3:uid="{4F2E3C78-49DF-438D-A2AF-840084C0C05C}" name="OS" dataDxfId="1608"/>
    <tableColumn id="2" xr3:uid="{2EBF3173-B4D7-4BCC-8593-5878D7F40F65}" name="Vendedor" dataDxfId="1607"/>
    <tableColumn id="3" xr3:uid="{BFD4CEE5-C30B-49BA-951C-C0B0CCFBDF6A}" name="CARNE" dataDxfId="160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41:I48" totalsRowShown="0" headerRowDxfId="1605" dataDxfId="1603" headerRowBorderDxfId="1604" tableBorderDxfId="1602" totalsRowBorderDxfId="1601">
  <autoFilter ref="E41:I48" xr:uid="{B9E2F984-8588-4F2C-9FB9-680284154679}"/>
  <sortState xmlns:xlrd2="http://schemas.microsoft.com/office/spreadsheetml/2017/richdata2" ref="E42:I47">
    <sortCondition ref="E25:E38"/>
  </sortState>
  <tableColumns count="5">
    <tableColumn id="1" xr3:uid="{36B6747F-E138-4FAD-837C-BE1123BBEE49}" name="OS" dataDxfId="1600"/>
    <tableColumn id="2" xr3:uid="{69A152AB-9A1E-4E74-850B-E7190DCBB712}" name="Cliente" dataDxfId="1599"/>
    <tableColumn id="3" xr3:uid="{F918E665-3FA3-4D49-8B7B-662CAB3CB814}" name="Forma de Pgto" dataDxfId="1598" dataCellStyle="Moeda"/>
    <tableColumn id="4" xr3:uid="{31D63A0C-E278-497A-9D40-34077035FD25}" name="Valor Parcela" dataDxfId="1597" dataCellStyle="Porcentagem"/>
    <tableColumn id="5" xr3:uid="{1B552883-A189-4B21-8398-A08FF7756606}" name="Nº Parcela" dataDxfId="159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95" headerRowBorderDxfId="1594" tableBorderDxfId="1593" totalsRowBorderDxfId="1592">
  <autoFilter ref="K34:M41" xr:uid="{1B8643D4-6AC3-4029-882A-C62E9D7CB225}"/>
  <tableColumns count="3">
    <tableColumn id="1" xr3:uid="{8A794627-537E-47A8-A07A-ED4FE9B7FAEE}" name="OS" dataDxfId="1591"/>
    <tableColumn id="2" xr3:uid="{75A5608F-8F26-4C71-A24D-8E79F737416A}" name="Parcelas" dataDxfId="1590"/>
    <tableColumn id="3" xr3:uid="{405D57D3-4E8E-4A9E-A3A3-7DDC45B62F91}" name="Valor Total" dataDxfId="158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88" dataDxfId="1586" headerRowBorderDxfId="1587" tableBorderDxfId="1585" totalsRowBorderDxfId="158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3" dataCellStyle="Moeda"/>
    <tableColumn id="5" xr3:uid="{62DCD49D-7CD9-4268-A2D5-B3A594E461BB}" name="Cliente" dataDxfId="1582" dataCellStyle="Moeda"/>
    <tableColumn id="2" xr3:uid="{50D45495-B1A2-4885-996A-3E6DD92E280E}" name="Forma de Pgto" dataDxfId="1581" dataCellStyle="Moeda"/>
    <tableColumn id="3" xr3:uid="{DE57E226-692B-42B0-911E-ACCF59BC6D86}" name="Valor Venda" dataDxfId="1580" dataCellStyle="Porcentagem"/>
    <tableColumn id="4" xr3:uid="{CE230B3B-D2C9-4A92-A5F3-A5EE4A74409A}" name="Entrada" dataDxfId="157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78" dataDxfId="1576" headerRowBorderDxfId="1577" tableBorderDxfId="1575" totalsRowBorderDxfId="1574">
  <autoFilter ref="K5:M11" xr:uid="{00000000-0009-0000-0100-000015000000}"/>
  <tableColumns count="3">
    <tableColumn id="1" xr3:uid="{58E2E66D-9AC0-4A69-BF19-1AB9AD59BA2F}" name="Descrição" dataDxfId="1573"/>
    <tableColumn id="2" xr3:uid="{FE1E3124-46C3-49A6-AE83-7C14B341DF59}" name="Tipo de Pagto" dataDxfId="1572"/>
    <tableColumn id="3" xr3:uid="{D8FBF474-04EE-46ED-9B9E-791D937CF715}" name="Valor" dataDxfId="157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0" dataDxfId="1568" headerRowBorderDxfId="1569" tableBorderDxfId="1567" totalsRowBorderDxfId="156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5"/>
    <tableColumn id="2" xr3:uid="{595EF087-A3B2-4C2B-AEEA-F930A6C2F5F4}" name="Cliente" dataDxfId="1564"/>
    <tableColumn id="3" xr3:uid="{C5C2BC75-6E8D-4808-A5EE-A5F9251ECE6C}" name="Forma de Pgto" dataDxfId="1563" dataCellStyle="Moeda"/>
    <tableColumn id="4" xr3:uid="{20CF776B-B9F4-48DD-9379-961689B40B71}" name="Valor Venda" dataDxfId="1562" dataCellStyle="Porcentagem"/>
    <tableColumn id="5" xr3:uid="{65177CB6-6D07-42E6-8EFE-435282A2F5BA}" name="Entrada" dataDxfId="156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0" dataDxfId="1558" headerRowBorderDxfId="1559" tableBorderDxfId="1557" totalsRowBorderDxfId="1556">
  <autoFilter ref="K14:M31" xr:uid="{C83FE64B-E221-4DAA-89EA-5307A7BC98B3}"/>
  <tableColumns count="3">
    <tableColumn id="1" xr3:uid="{B4C5A0E6-F291-4369-998D-321E2024DFE1}" name="OS" dataDxfId="1555"/>
    <tableColumn id="2" xr3:uid="{D1AEFC99-FF9D-4A0D-BE93-D866BDC7A817}" name="Vendedor" dataDxfId="1554"/>
    <tableColumn id="3" xr3:uid="{CA30546E-8A3F-45D5-BE2B-24DCF738F1F2}" name="CARNE" dataDxfId="155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2" dataDxfId="1550" headerRowBorderDxfId="1551" tableBorderDxfId="1549" totalsRowBorderDxfId="154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7"/>
    <tableColumn id="2" xr3:uid="{7D38F106-0145-4B73-951B-86BF22EC7FAB}" name="Cliente" dataDxfId="1546"/>
    <tableColumn id="3" xr3:uid="{11A4EEBE-D35C-4719-B2B9-16486260EF79}" name="Forma de Pgto" dataDxfId="1545" dataCellStyle="Moeda"/>
    <tableColumn id="4" xr3:uid="{1BAB2FC5-9F2C-41DD-994A-6BA83A984883}" name="Valor Parcela" dataDxfId="1544" dataCellStyle="Porcentagem"/>
    <tableColumn id="5" xr3:uid="{8C539F89-5F96-4DB9-B7A4-784EA1B5350C}" name="Nº Parcela" dataDxfId="154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2" headerRowBorderDxfId="1541" tableBorderDxfId="1540" totalsRowBorderDxfId="1539">
  <autoFilter ref="K34:M41" xr:uid="{1B8643D4-6AC3-4029-882A-C62E9D7CB225}"/>
  <tableColumns count="3">
    <tableColumn id="1" xr3:uid="{0B93901B-D681-410F-8B28-E186D9A3CAC3}" name="OS" dataDxfId="1538"/>
    <tableColumn id="2" xr3:uid="{A57C0E02-6258-48F0-9407-2095CD96B2D4}" name="Parcelas" dataDxfId="1537"/>
    <tableColumn id="3" xr3:uid="{1EA087CF-658D-4951-89BB-508667E3BBBE}" name="Valor Total" dataDxfId="153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5" dataDxfId="1533" headerRowBorderDxfId="1534" tableBorderDxfId="1532" totalsRowBorderDxfId="15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0" dataCellStyle="Moeda"/>
    <tableColumn id="5" xr3:uid="{98DC42E5-632F-4288-9CC5-1F032859A7E7}" name="Cliente" dataDxfId="1529" dataCellStyle="Moeda"/>
    <tableColumn id="2" xr3:uid="{4AE32B81-9EBD-470B-9ABE-A82D6658F3FE}" name="Forma de Pgto" dataDxfId="1528" dataCellStyle="Moeda"/>
    <tableColumn id="3" xr3:uid="{6E5BAEC1-2689-4ABB-93EC-298595B5C82E}" name="Valor Venda" dataDxfId="1527" dataCellStyle="Porcentagem"/>
    <tableColumn id="4" xr3:uid="{24493E7B-FE77-4A85-8810-0F0A4A84D997}" name="Entrada" dataDxfId="152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5" dataDxfId="1523" headerRowBorderDxfId="1524" tableBorderDxfId="1522" totalsRowBorderDxfId="1521">
  <autoFilter ref="K5:M11" xr:uid="{00000000-0009-0000-0100-000015000000}"/>
  <tableColumns count="3">
    <tableColumn id="1" xr3:uid="{DA50BBFB-ECA9-45DE-9949-F3F90EEC3BA7}" name="Descrição" dataDxfId="1520"/>
    <tableColumn id="2" xr3:uid="{A64D4F88-B62D-440B-BA71-6D7BB28D542E}" name="Tipo de Pagto" dataDxfId="1519"/>
    <tableColumn id="3" xr3:uid="{0406A209-0652-47F9-9AB4-3256B26876D2}" name="Valor" dataDxfId="151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7" dataDxfId="1515" headerRowBorderDxfId="1516" tableBorderDxfId="1514" totalsRowBorderDxfId="15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2"/>
    <tableColumn id="2" xr3:uid="{8B8D24E4-1123-478B-838C-FCF56EABBDFD}" name="Cliente" dataDxfId="1511"/>
    <tableColumn id="3" xr3:uid="{8B7DE8DF-8D5D-4245-A63D-EF550AE347E3}" name="Forma de Pgto" dataDxfId="1510" dataCellStyle="Moeda"/>
    <tableColumn id="4" xr3:uid="{95A77C0C-49D0-45A2-8B99-A765C4741CE7}" name="Valor Venda" dataDxfId="1509" dataCellStyle="Porcentagem"/>
    <tableColumn id="5" xr3:uid="{FF4FDD32-DA70-4723-A8FB-07B3FB04B5CD}" name="Entrada" dataDxfId="150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7" dataDxfId="1505" headerRowBorderDxfId="1506" tableBorderDxfId="1504" totalsRowBorderDxfId="1503">
  <autoFilter ref="K14:M31" xr:uid="{C83FE64B-E221-4DAA-89EA-5307A7BC98B3}"/>
  <tableColumns count="3">
    <tableColumn id="1" xr3:uid="{A31E67F7-E266-4220-8D3F-09556FCE20B1}" name="OS" dataDxfId="1502"/>
    <tableColumn id="2" xr3:uid="{2ED39269-8DA5-4157-9E82-8C8ED0C828A3}" name="Vendedor" dataDxfId="1501"/>
    <tableColumn id="3" xr3:uid="{F550B35D-6F70-4E2E-9037-3A7DF5BB4D86}" name="CARNE" dataDxfId="150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99" dataDxfId="1497" headerRowBorderDxfId="1498" tableBorderDxfId="1496" totalsRowBorderDxfId="14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4"/>
    <tableColumn id="2" xr3:uid="{58D563AD-1DCA-4768-9170-A0079A20A1DF}" name="Cliente" dataDxfId="1493"/>
    <tableColumn id="3" xr3:uid="{FE883FCE-942C-4DE5-904D-B12FE6C4992D}" name="Forma de Pgto" dataDxfId="1492" dataCellStyle="Moeda"/>
    <tableColumn id="4" xr3:uid="{21451B08-4DF0-4C35-AC45-94C183AA6A59}" name="Valor Parcela" dataDxfId="1491" dataCellStyle="Porcentagem"/>
    <tableColumn id="5" xr3:uid="{8F93C3AE-47D0-4E55-A038-445341804CE9}" name="Nº Parcela" dataDxfId="149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89" headerRowBorderDxfId="1488" tableBorderDxfId="1487" totalsRowBorderDxfId="1486">
  <autoFilter ref="K34:M41" xr:uid="{1B8643D4-6AC3-4029-882A-C62E9D7CB225}"/>
  <tableColumns count="3">
    <tableColumn id="1" xr3:uid="{2687574F-C0F9-4AD1-A54B-286C1AE50D97}" name="OS" dataDxfId="1485"/>
    <tableColumn id="2" xr3:uid="{AE623FF4-38C1-45D9-B220-1CD4A553B7C1}" name="Parcelas" dataDxfId="1484"/>
    <tableColumn id="3" xr3:uid="{EEBFC521-3084-43FF-A36B-C25CE198B817}" name="Valor Total" dataDxfId="148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2" dataDxfId="1480" headerRowBorderDxfId="1481" tableBorderDxfId="1479" totalsRowBorderDxfId="147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7" dataCellStyle="Moeda"/>
    <tableColumn id="5" xr3:uid="{F5DA840E-A051-4AE4-AE1A-9DAFAF8FFC3B}" name="Cliente" dataDxfId="1476" dataCellStyle="Moeda"/>
    <tableColumn id="2" xr3:uid="{DF65CD3D-444A-4025-B98B-F38F11610432}" name="Forma de Pgto" dataDxfId="1475" dataCellStyle="Moeda"/>
    <tableColumn id="3" xr3:uid="{9A4839DC-9153-466A-B0AF-456FAEF79174}" name="Valor Venda" dataDxfId="1474" dataCellStyle="Porcentagem"/>
    <tableColumn id="4" xr3:uid="{EF410A7C-DBD1-4367-A43B-616826FFEB4F}" name="Entrada" dataDxfId="147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2" dataDxfId="1470" headerRowBorderDxfId="1471" tableBorderDxfId="1469" totalsRowBorderDxfId="1468">
  <autoFilter ref="K5:M11" xr:uid="{00000000-0009-0000-0100-000015000000}"/>
  <tableColumns count="3">
    <tableColumn id="1" xr3:uid="{F1C90853-2F5A-4C32-8AC3-18ECE1FDDF43}" name="Descrição" dataDxfId="1467"/>
    <tableColumn id="2" xr3:uid="{DEB32F17-2D52-4FBB-90C4-1C3AE9C104E6}" name="Tipo de Pagto" dataDxfId="1466"/>
    <tableColumn id="3" xr3:uid="{089B3650-C090-496F-BF9A-6E8466DBF76A}" name="Valor" dataDxfId="146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4" headerRowBorderDxfId="1463" tableBorderDxfId="1462" totalsRowBorderDxfId="146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"/>
    <tableColumn id="2" xr3:uid="{73AEC7DD-005C-4428-9D1D-1A3761F2192B}" name="Cliente" dataDxfId="13"/>
    <tableColumn id="3" xr3:uid="{FA28017F-3137-49BD-B826-2E261901E543}" name="Forma de Pgto" dataDxfId="12" dataCellStyle="Moeda"/>
    <tableColumn id="4" xr3:uid="{6030418B-B1EC-4D4D-96DF-0EB78B87F6F9}" name="Valor Venda" dataDxfId="11" dataCellStyle="Porcentagem"/>
    <tableColumn id="5" xr3:uid="{0576A975-F40D-4463-85C0-76AB6FCD63AC}" name="Entrada" dataDxfId="10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60" dataDxfId="1458" headerRowBorderDxfId="1459" tableBorderDxfId="1457" totalsRowBorderDxfId="1456">
  <autoFilter ref="K14:M31" xr:uid="{C83FE64B-E221-4DAA-89EA-5307A7BC98B3}"/>
  <tableColumns count="3">
    <tableColumn id="1" xr3:uid="{830E23BA-DE90-49EF-B4EA-89C3276575B2}" name="OS" dataDxfId="1455"/>
    <tableColumn id="2" xr3:uid="{679AF5A0-4545-4316-AD6C-E4B7A7BA099A}" name="Vendedor" dataDxfId="1454"/>
    <tableColumn id="3" xr3:uid="{6B801D58-D05B-4A78-A6FE-BC9EF408DC10}" name="CARNE" dataDxfId="1453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52" dataDxfId="1450" headerRowBorderDxfId="1451" tableBorderDxfId="1449" totalsRowBorderDxfId="144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7"/>
    <tableColumn id="2" xr3:uid="{953837B7-D16A-40C2-9C83-CD7E7171C88F}" name="Cliente" dataDxfId="1446"/>
    <tableColumn id="3" xr3:uid="{63860264-C651-4A12-8F01-E9F622A843C0}" name="Forma de Pgto" dataDxfId="1445" dataCellStyle="Moeda"/>
    <tableColumn id="4" xr3:uid="{584373BD-23BA-4A1E-A4FC-3D4A594F4148}" name="Valor Parcela" dataDxfId="1444" dataCellStyle="Porcentagem"/>
    <tableColumn id="5" xr3:uid="{7CBAF04B-D82E-4180-A8EA-98461BE41F4A}" name="Nº Parcela" dataDxfId="1443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42" headerRowBorderDxfId="1441" tableBorderDxfId="1440" totalsRowBorderDxfId="1439">
  <autoFilter ref="K34:M41" xr:uid="{1B8643D4-6AC3-4029-882A-C62E9D7CB225}"/>
  <tableColumns count="3">
    <tableColumn id="1" xr3:uid="{F555359C-BC20-4C24-A948-500BDD3B5763}" name="OS" dataDxfId="1438"/>
    <tableColumn id="2" xr3:uid="{B72B4820-B8B5-4F80-83B5-9EC54EF78025}" name="Parcelas" dataDxfId="1437"/>
    <tableColumn id="3" xr3:uid="{893DDBC4-5663-4D63-80CB-4E7482811983}" name="Valor Total" dataDxfId="1436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5" dataDxfId="1433" headerRowBorderDxfId="1434" tableBorderDxfId="1432" totalsRowBorderDxfId="143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30" dataCellStyle="Moeda"/>
    <tableColumn id="5" xr3:uid="{4F9ED826-A0E1-4FB0-83C6-A561EA7B6750}" name="Cliente" dataDxfId="1429" dataCellStyle="Moeda"/>
    <tableColumn id="2" xr3:uid="{C2B928FE-CB2E-4271-AE3D-2FE26117248E}" name="Forma de Pgto" dataDxfId="1428" dataCellStyle="Moeda"/>
    <tableColumn id="3" xr3:uid="{CE23E3D0-4056-4DCB-83C4-5B94BD49CAAC}" name="Valor Venda" dataDxfId="1427" dataCellStyle="Porcentagem"/>
    <tableColumn id="4" xr3:uid="{1F426340-BFB9-4B9E-B988-7A195156D2F2}" name="Entrada" dataDxfId="1426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5" dataDxfId="1423" headerRowBorderDxfId="1424" tableBorderDxfId="1422" totalsRowBorderDxfId="1421">
  <autoFilter ref="K5:M11" xr:uid="{00000000-0009-0000-0100-000015000000}"/>
  <tableColumns count="3">
    <tableColumn id="1" xr3:uid="{F4C840DC-E06E-4A51-B1BF-E769E4EC9ACB}" name="Descrição" dataDxfId="1420"/>
    <tableColumn id="2" xr3:uid="{E6DE1F07-CE97-421A-A22A-4B4270DDF46D}" name="Tipo de Pagto" dataDxfId="1419"/>
    <tableColumn id="3" xr3:uid="{D84FBA92-07C5-41FD-BBA2-2AADF245D1D6}" name="Valor" dataDxfId="1418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7" dataDxfId="1415" headerRowBorderDxfId="1416" tableBorderDxfId="1414" totalsRowBorderDxfId="14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12"/>
    <tableColumn id="2" xr3:uid="{CD77FB12-1DAA-4DAF-B42A-0357959803DD}" name="Cliente" dataDxfId="1411"/>
    <tableColumn id="3" xr3:uid="{5F4C4F5C-C920-452A-B2BA-592AD2C18723}" name="Forma de Pgto" dataDxfId="1410" dataCellStyle="Moeda"/>
    <tableColumn id="4" xr3:uid="{3930B2F0-6049-4E02-92B1-EC55A5330B2C}" name="Valor Venda" dataDxfId="1409" dataCellStyle="Porcentagem"/>
    <tableColumn id="5" xr3:uid="{82EBAE08-64CA-459E-9015-FA8F61210D87}" name="Entrada" dataDxfId="1408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7" dataDxfId="1405" headerRowBorderDxfId="1406" tableBorderDxfId="1404" totalsRowBorderDxfId="1403">
  <autoFilter ref="K14:M31" xr:uid="{C83FE64B-E221-4DAA-89EA-5307A7BC98B3}"/>
  <tableColumns count="3">
    <tableColumn id="1" xr3:uid="{E0565617-EB8C-486F-838C-B370E84BC8A2}" name="OS" dataDxfId="1402"/>
    <tableColumn id="2" xr3:uid="{EA20833B-67D8-48B8-B6E4-54A10D0969E8}" name="Vendedor" dataDxfId="1401"/>
    <tableColumn id="3" xr3:uid="{8B1F8993-74A4-499F-AD5E-91A6051BA219}" name="CARNE" dataDxfId="1400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9" dataDxfId="1397" headerRowBorderDxfId="1398" tableBorderDxfId="1396" totalsRowBorderDxfId="139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4"/>
    <tableColumn id="2" xr3:uid="{FB461660-91D6-4E31-81FF-113A17320EED}" name="Cliente" dataDxfId="1393"/>
    <tableColumn id="3" xr3:uid="{0A47D0C3-375B-4E2D-B5E9-2048252BC0D3}" name="Forma de Pgto" dataDxfId="1392" dataCellStyle="Moeda"/>
    <tableColumn id="4" xr3:uid="{F9C62ED5-C18D-465D-B7E4-0729BD7B3A10}" name="Valor Parcela" dataDxfId="1391" dataCellStyle="Porcentagem"/>
    <tableColumn id="5" xr3:uid="{DD9D513B-1645-445F-83E9-DC54C163BD4E}" name="Nº Parcela" dataDxfId="1390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9" headerRowBorderDxfId="1388" tableBorderDxfId="1387" totalsRowBorderDxfId="1386">
  <autoFilter ref="K34:M41" xr:uid="{1B8643D4-6AC3-4029-882A-C62E9D7CB225}"/>
  <tableColumns count="3">
    <tableColumn id="1" xr3:uid="{D65B195F-C059-40E5-A4CA-FE91C5DB43DB}" name="OS" dataDxfId="1385"/>
    <tableColumn id="2" xr3:uid="{A2A023CF-C61D-419E-ABB0-2F9CEE35150B}" name="Parcelas" dataDxfId="1384"/>
    <tableColumn id="3" xr3:uid="{F7D650A1-7C3D-42D0-B133-EB49D396C64F}" name="Valor Total" dataDxfId="1383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82" dataDxfId="1380" headerRowBorderDxfId="1381" tableBorderDxfId="1379" totalsRowBorderDxfId="137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7" dataCellStyle="Moeda"/>
    <tableColumn id="5" xr3:uid="{FF96847D-D5C5-4F73-905C-E549112972E1}" name="Cliente" dataDxfId="1376" dataCellStyle="Moeda"/>
    <tableColumn id="2" xr3:uid="{1B47815A-C2E2-4886-9A6F-B2A7307F901E}" name="Forma de Pgto" dataDxfId="1375" dataCellStyle="Moeda"/>
    <tableColumn id="3" xr3:uid="{FD86C99A-4E69-452A-8D71-B939B84F2B55}" name="Valor Venda" dataDxfId="1374" dataCellStyle="Porcentagem"/>
    <tableColumn id="4" xr3:uid="{49ECBAAC-14EE-43F3-BE6F-974EF5F3E156}" name="Entrada" dataDxfId="1373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72" dataDxfId="1370" headerRowBorderDxfId="1371" tableBorderDxfId="1369" totalsRowBorderDxfId="1368">
  <autoFilter ref="K5:M11" xr:uid="{00000000-0009-0000-0100-000015000000}"/>
  <tableColumns count="3">
    <tableColumn id="1" xr3:uid="{5236D397-E61A-4AA1-B99C-AD40093239F9}" name="Descrição" dataDxfId="1367"/>
    <tableColumn id="2" xr3:uid="{3341FC2A-819A-41AF-B8A9-B5A195B8D597}" name="Tipo de Pagto" dataDxfId="1366"/>
    <tableColumn id="3" xr3:uid="{D568CA16-B32B-4F86-9DE5-B8B3E9825745}" name="Valor" dataDxfId="1365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4" dataDxfId="1362" headerRowBorderDxfId="1363" tableBorderDxfId="1361" totalsRowBorderDxfId="136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9"/>
    <tableColumn id="2" xr3:uid="{DEEB020C-2BC4-4E77-9557-B0FDBCF683E9}" name="Cliente" dataDxfId="1358"/>
    <tableColumn id="3" xr3:uid="{FC27FDBE-5194-4E32-AFD1-DB754ECCEF38}" name="Forma de Pgto" dataDxfId="1357" dataCellStyle="Moeda"/>
    <tableColumn id="4" xr3:uid="{489A4CE9-C3F1-4322-9639-D01F0935FB0E}" name="Valor Venda" dataDxfId="1356" dataCellStyle="Porcentagem"/>
    <tableColumn id="5" xr3:uid="{07E5F22F-7782-466E-98DB-48416B35B9C4}" name="Entrada" dataDxfId="1355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4" dataDxfId="1352" headerRowBorderDxfId="1353" tableBorderDxfId="1351" totalsRowBorderDxfId="1350">
  <autoFilter ref="K14:M31" xr:uid="{C83FE64B-E221-4DAA-89EA-5307A7BC98B3}"/>
  <tableColumns count="3">
    <tableColumn id="1" xr3:uid="{E4926A1A-00A9-4844-90B1-E36D53050FAD}" name="OS" dataDxfId="1349"/>
    <tableColumn id="2" xr3:uid="{CFC62C38-9887-48E6-A3B8-42586D1EC066}" name="Vendedor" dataDxfId="1348"/>
    <tableColumn id="3" xr3:uid="{32577275-2002-496E-8AD4-5FE489DBC179}" name="CARNE" dataDxfId="1347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6" dataDxfId="1344" headerRowBorderDxfId="1345" tableBorderDxfId="1343" totalsRowBorderDxfId="134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41"/>
    <tableColumn id="2" xr3:uid="{19438CD0-86D0-4CC4-9B41-5D756AC61E4D}" name="Cliente" dataDxfId="1340"/>
    <tableColumn id="3" xr3:uid="{59621200-4821-4583-9D35-A2EA6C27B52D}" name="Forma de Pgto" dataDxfId="1339" dataCellStyle="Moeda"/>
    <tableColumn id="4" xr3:uid="{35A817E7-6B21-48A7-863E-225DFEDD8B2A}" name="Valor Parcela" dataDxfId="1338" dataCellStyle="Porcentagem"/>
    <tableColumn id="5" xr3:uid="{77D80430-C5F8-4582-B3DF-9A9A9350F565}" name="Nº Parcela" dataDxfId="1337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6" headerRowBorderDxfId="1335" tableBorderDxfId="1334" totalsRowBorderDxfId="1333">
  <autoFilter ref="K34:M41" xr:uid="{1B8643D4-6AC3-4029-882A-C62E9D7CB225}"/>
  <tableColumns count="3">
    <tableColumn id="1" xr3:uid="{503F9F70-E540-4505-B65D-D233FCB88D5F}" name="OS" dataDxfId="1332"/>
    <tableColumn id="2" xr3:uid="{6A2B4927-D830-4C18-8831-6FE23BFAD877}" name="Parcelas" dataDxfId="1331"/>
    <tableColumn id="3" xr3:uid="{8E06E94A-FF62-4D13-8B11-C6CE2990FCDF}" name="Valor Total" dataDxfId="1330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9" dataDxfId="1327" headerRowBorderDxfId="1328" tableBorderDxfId="1326" totalsRowBorderDxfId="132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4" dataCellStyle="Moeda"/>
    <tableColumn id="5" xr3:uid="{00000000-0010-0000-0900-000005000000}" name="Cliente" dataDxfId="1323" dataCellStyle="Moeda"/>
    <tableColumn id="2" xr3:uid="{00000000-0010-0000-0900-000002000000}" name="Forma de Pgto" dataDxfId="1322" dataCellStyle="Moeda"/>
    <tableColumn id="3" xr3:uid="{00000000-0010-0000-0900-000003000000}" name="Valor Venda" dataDxfId="1321" dataCellStyle="Porcentagem"/>
    <tableColumn id="4" xr3:uid="{00000000-0010-0000-0900-000004000000}" name="Entrada" dataDxfId="1320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9" dataDxfId="1317" headerRowBorderDxfId="1318" tableBorderDxfId="1316" totalsRowBorderDxfId="1315">
  <autoFilter ref="K5:M11" xr:uid="{00000000-0009-0000-0100-000015000000}"/>
  <tableColumns count="3">
    <tableColumn id="1" xr3:uid="{00000000-0010-0000-0A00-000001000000}" name="Descrição" dataDxfId="1314"/>
    <tableColumn id="2" xr3:uid="{00000000-0010-0000-0A00-000002000000}" name="Tipo de Pagto" dataDxfId="1313"/>
    <tableColumn id="3" xr3:uid="{00000000-0010-0000-0A00-000003000000}" name="Valor" dataDxfId="1312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3" totalsRowShown="0" headerRowDxfId="1311" headerRowBorderDxfId="1310" tableBorderDxfId="1309" totalsRowBorderDxfId="1308">
  <autoFilter ref="E25:I33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9"/>
    <tableColumn id="2" xr3:uid="{00000000-0010-0000-0B00-000002000000}" name="Cliente" dataDxfId="8"/>
    <tableColumn id="3" xr3:uid="{00000000-0010-0000-0B00-000003000000}" name="Forma de Pgto" dataDxfId="7" dataCellStyle="Moeda"/>
    <tableColumn id="4" xr3:uid="{00000000-0010-0000-0B00-000004000000}" name="Valor Venda" dataDxfId="6" dataCellStyle="Porcentagem"/>
    <tableColumn id="5" xr3:uid="{00000000-0010-0000-0B00-000005000000}" name="Entrada" dataDxfId="5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07" dataDxfId="1305" headerRowBorderDxfId="1306" tableBorderDxfId="1304" totalsRowBorderDxfId="1303">
  <autoFilter ref="K14:M31" xr:uid="{C83FE64B-E221-4DAA-89EA-5307A7BC98B3}"/>
  <tableColumns count="3">
    <tableColumn id="1" xr3:uid="{E5EB8AC8-7F8E-49D1-A903-14124A5BA1B1}" name="OS" dataDxfId="1302"/>
    <tableColumn id="2" xr3:uid="{E1794679-294A-42ED-9D8F-4C0874170BFA}" name="Vendedor" dataDxfId="1301"/>
    <tableColumn id="3" xr3:uid="{CB411C23-941D-4548-984D-68460932D683}" name="CARNE" dataDxfId="1300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6:I43" totalsRowShown="0" headerRowDxfId="1299" dataDxfId="1297" headerRowBorderDxfId="1298" tableBorderDxfId="1296" totalsRowBorderDxfId="1295">
  <autoFilter ref="E36:I43" xr:uid="{B9E2F984-8588-4F2C-9FB9-680284154679}"/>
  <sortState xmlns:xlrd2="http://schemas.microsoft.com/office/spreadsheetml/2017/richdata2" ref="E37:I42">
    <sortCondition ref="E25:E31"/>
  </sortState>
  <tableColumns count="5">
    <tableColumn id="1" xr3:uid="{9EF94E6D-5A9B-4566-BFFC-98A6514BD048}" name="OS" dataDxfId="1294"/>
    <tableColumn id="2" xr3:uid="{430FE27E-32BC-43B0-BB6E-CCBAB36B2A5A}" name="Cliente" dataDxfId="1293"/>
    <tableColumn id="3" xr3:uid="{568CECCF-BE0A-4266-A7C7-9359F722EA0F}" name="Forma de Pgto" dataDxfId="1292" dataCellStyle="Moeda"/>
    <tableColumn id="4" xr3:uid="{9CF4291A-8808-43DB-9F83-A7EB463C5F4A}" name="Valor Parcela" dataDxfId="1291" dataCellStyle="Porcentagem"/>
    <tableColumn id="5" xr3:uid="{736EA743-97FA-4800-BEDD-5C07EEB144A8}" name="Nº Parcela" dataDxfId="1290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9" headerRowBorderDxfId="1288" tableBorderDxfId="1287" totalsRowBorderDxfId="1286">
  <autoFilter ref="K34:M41" xr:uid="{1B8643D4-6AC3-4029-882A-C62E9D7CB225}"/>
  <tableColumns count="3">
    <tableColumn id="1" xr3:uid="{132FEC50-51B3-4AAA-BF48-63FA39ED861C}" name="OS" dataDxfId="1285"/>
    <tableColumn id="2" xr3:uid="{11276640-1C63-48D7-BE0B-1FE7C736A1A8}" name="Parcelas" dataDxfId="1284"/>
    <tableColumn id="3" xr3:uid="{96591591-9F74-40A6-B0B9-BA6D2106107F}" name="Valor Total" dataDxfId="1283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82" dataDxfId="1280" headerRowBorderDxfId="1281" tableBorderDxfId="1279" totalsRowBorderDxfId="127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77" dataCellStyle="Moeda"/>
    <tableColumn id="5" xr3:uid="{795F9F6D-AAE5-4C61-A646-82BF506C503E}" name="Cliente" dataDxfId="1276" dataCellStyle="Moeda"/>
    <tableColumn id="2" xr3:uid="{DD13626B-6361-410E-BFB7-9E75436163A4}" name="Forma de Pgto" dataDxfId="1275" dataCellStyle="Moeda"/>
    <tableColumn id="3" xr3:uid="{8939280F-F6DC-4F66-ADDF-59F6A387460C}" name="Valor Venda" dataDxfId="1274" dataCellStyle="Porcentagem"/>
    <tableColumn id="4" xr3:uid="{FFC83B9E-825A-4058-BFEA-DA64D7159065}" name="Entrada" dataDxfId="1273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72" dataDxfId="1270" headerRowBorderDxfId="1271" tableBorderDxfId="1269" totalsRowBorderDxfId="1268">
  <autoFilter ref="K5:M11" xr:uid="{00000000-0009-0000-0100-000015000000}"/>
  <tableColumns count="3">
    <tableColumn id="1" xr3:uid="{9309A091-2326-4B68-B8C9-B31CF2D72EAF}" name="Descrição" dataDxfId="1267"/>
    <tableColumn id="2" xr3:uid="{910D89CE-506B-440F-8EB2-31633D7CAD51}" name="Tipo de Pagto" dataDxfId="1266"/>
    <tableColumn id="3" xr3:uid="{7155C391-52F1-4F4A-84B1-7BBC44A35A99}" name="Valor" dataDxfId="1265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64" dataDxfId="1262" headerRowBorderDxfId="1263" tableBorderDxfId="1261" totalsRowBorderDxfId="126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9"/>
    <tableColumn id="2" xr3:uid="{75B601B3-9668-4B1A-ADF2-17DA487A3413}" name="Cliente" dataDxfId="1258"/>
    <tableColumn id="3" xr3:uid="{64F47935-52AF-4AE3-9262-06D7472567D7}" name="Forma de Pgto" dataDxfId="1257" dataCellStyle="Moeda"/>
    <tableColumn id="4" xr3:uid="{9257AA0D-34DE-4B38-8406-BC1F561A53B3}" name="Valor Venda" dataDxfId="1256" dataCellStyle="Porcentagem"/>
    <tableColumn id="5" xr3:uid="{4C98958F-FB27-4968-81B6-D7CC6BBD2DAE}" name="Entrada" dataDxfId="1255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54" dataDxfId="1252" headerRowBorderDxfId="1253" tableBorderDxfId="1251" totalsRowBorderDxfId="1250">
  <autoFilter ref="K14:M31" xr:uid="{C83FE64B-E221-4DAA-89EA-5307A7BC98B3}"/>
  <tableColumns count="3">
    <tableColumn id="1" xr3:uid="{45B76297-FCE6-4684-80C4-601E84D95BB4}" name="OS" dataDxfId="1249"/>
    <tableColumn id="2" xr3:uid="{AEB024E2-EB15-40A6-B65B-468339937BD0}" name="Vendedor" dataDxfId="1248"/>
    <tableColumn id="3" xr3:uid="{ACDDDA2A-4116-4E25-B799-0071372A8FAA}" name="CARNE" dataDxfId="1247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46" dataDxfId="1244" headerRowBorderDxfId="1245" tableBorderDxfId="1243" totalsRowBorderDxfId="124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41"/>
    <tableColumn id="2" xr3:uid="{A06C5B3A-A28C-4563-87C4-B63635D6E7B9}" name="Cliente" dataDxfId="1240"/>
    <tableColumn id="3" xr3:uid="{4AC120F2-6F4A-41F2-87D2-680E8D6F8D96}" name="Forma de Pgto" dataDxfId="1239" dataCellStyle="Moeda"/>
    <tableColumn id="4" xr3:uid="{17DB2EA9-C13D-4AEB-AB97-B4C907D16420}" name="Valor Parcela" dataDxfId="1238" dataCellStyle="Porcentagem"/>
    <tableColumn id="5" xr3:uid="{F6E09F06-2F23-4822-A9B4-D8898604A1E0}" name="Nº Parcela" dataDxfId="1237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36" headerRowBorderDxfId="1235" tableBorderDxfId="1234" totalsRowBorderDxfId="1233">
  <autoFilter ref="K34:M41" xr:uid="{1B8643D4-6AC3-4029-882A-C62E9D7CB225}"/>
  <tableColumns count="3">
    <tableColumn id="1" xr3:uid="{D0DE8F47-9BDA-4E4F-92E6-E2404F920F1B}" name="OS" dataDxfId="1232"/>
    <tableColumn id="2" xr3:uid="{43AD47D8-F738-4D39-8B0B-E0AC217D9D32}" name="Parcelas" dataDxfId="1231"/>
    <tableColumn id="3" xr3:uid="{024ED2FF-C4EC-44DC-9129-9BE8032DC4A5}" name="Valor Total" dataDxfId="1230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9" dataDxfId="1227" headerRowBorderDxfId="1228" tableBorderDxfId="1226" totalsRowBorderDxfId="122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24" dataCellStyle="Moeda"/>
    <tableColumn id="5" xr3:uid="{C13AA79A-76C7-4954-B055-3EC7A6A9008A}" name="Cliente" dataDxfId="1223" dataCellStyle="Moeda"/>
    <tableColumn id="2" xr3:uid="{56D92948-0431-4E11-AC7A-A6D6B6D3D15E}" name="Forma de Pgto" dataDxfId="1222" dataCellStyle="Moeda"/>
    <tableColumn id="3" xr3:uid="{3348DA9C-6AA9-49E4-8450-E8BC22BC5F6C}" name="Valor Venda" dataDxfId="1221" dataCellStyle="Porcentagem"/>
    <tableColumn id="4" xr3:uid="{A03B4BE2-2B4F-4512-98ED-45C3754F4D2A}" name="Entrada" dataDxfId="1220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9" dataDxfId="1217" headerRowBorderDxfId="1218" tableBorderDxfId="1216" totalsRowBorderDxfId="1215">
  <autoFilter ref="K5:M11" xr:uid="{00000000-0009-0000-0100-000015000000}"/>
  <tableColumns count="3">
    <tableColumn id="1" xr3:uid="{2700D0CD-8906-41BB-B51F-AAECD67A05FE}" name="Descrição" dataDxfId="1214"/>
    <tableColumn id="2" xr3:uid="{00E5FAC2-C7E2-44A6-AA64-460782F41E47}" name="Tipo de Pagto" dataDxfId="1213"/>
    <tableColumn id="3" xr3:uid="{70D30678-03EC-4DC1-BB28-EBD756D1976D}" name="Valor" dataDxfId="1212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11" dataDxfId="1209" headerRowBorderDxfId="1210" tableBorderDxfId="1208" totalsRowBorderDxfId="120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06"/>
    <tableColumn id="2" xr3:uid="{59310BF7-C6CA-49AF-8D7C-32023868A553}" name="Cliente" dataDxfId="1205"/>
    <tableColumn id="3" xr3:uid="{C13BE163-BA03-41E0-A121-27164C58ABA3}" name="Forma de Pgto" dataDxfId="1204" dataCellStyle="Moeda"/>
    <tableColumn id="4" xr3:uid="{E9797482-8A01-4C8B-8B66-47DE3D38D78F}" name="Valor Venda" dataDxfId="1203" dataCellStyle="Porcentagem"/>
    <tableColumn id="5" xr3:uid="{864D3F67-D199-48BA-8E16-3EFBAC4AF8A2}" name="Entrada" dataDxfId="1202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01" dataDxfId="1199" headerRowBorderDxfId="1200" tableBorderDxfId="1198" totalsRowBorderDxfId="1197">
  <autoFilter ref="K14:M31" xr:uid="{C83FE64B-E221-4DAA-89EA-5307A7BC98B3}"/>
  <tableColumns count="3">
    <tableColumn id="1" xr3:uid="{92200504-6651-4517-B155-4C75687BBC1E}" name="OS" dataDxfId="1196"/>
    <tableColumn id="2" xr3:uid="{BE1934F5-5D06-41D6-9394-C4D383C8CD33}" name="Vendedor" dataDxfId="1195"/>
    <tableColumn id="3" xr3:uid="{F504E9B2-856C-4C10-AA72-D7A7B035B330}" name="CARNE" dataDxfId="1194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93" dataDxfId="1191" headerRowBorderDxfId="1192" tableBorderDxfId="1190" totalsRowBorderDxfId="118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88"/>
    <tableColumn id="2" xr3:uid="{95B09C40-3752-47D7-9085-F5B42BC487DA}" name="Cliente" dataDxfId="1187"/>
    <tableColumn id="3" xr3:uid="{1A0B311C-327A-4C44-9D04-81730B41B9A2}" name="Forma de Pgto" dataDxfId="1186" dataCellStyle="Moeda"/>
    <tableColumn id="4" xr3:uid="{9A802666-F9A1-4EB6-824C-ECF60066044F}" name="Valor Parcela" dataDxfId="1185" dataCellStyle="Porcentagem"/>
    <tableColumn id="5" xr3:uid="{1CC0AF26-B599-4D4F-8BD5-BBE76DBCE085}" name="Nº Parcela" dataDxfId="1184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83" headerRowBorderDxfId="1182" tableBorderDxfId="1181" totalsRowBorderDxfId="1180">
  <autoFilter ref="K34:M41" xr:uid="{1B8643D4-6AC3-4029-882A-C62E9D7CB225}"/>
  <tableColumns count="3">
    <tableColumn id="1" xr3:uid="{D712257D-E310-4A34-972E-E8E3502C0E07}" name="OS" dataDxfId="1179"/>
    <tableColumn id="2" xr3:uid="{DE78D123-6817-4646-8C08-920B2F11524F}" name="Parcelas" dataDxfId="1178"/>
    <tableColumn id="3" xr3:uid="{5BFF5A3E-02FE-410E-B1DB-45BB5A31FC42}" name="Valor Total" dataDxfId="1177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76" dataDxfId="1174" headerRowBorderDxfId="1175" tableBorderDxfId="1173" totalsRowBorderDxfId="117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71" dataCellStyle="Moeda"/>
    <tableColumn id="5" xr3:uid="{A57F8BDB-02F9-493C-AD6D-F47611C369D5}" name="Cliente" dataDxfId="1170" dataCellStyle="Moeda"/>
    <tableColumn id="2" xr3:uid="{3BF4EA26-026F-42E1-9B28-3FCC68B54E9F}" name="Forma de Pgto" dataDxfId="1169" dataCellStyle="Moeda"/>
    <tableColumn id="3" xr3:uid="{FD063076-8462-4774-B716-34AAD1738449}" name="Valor Venda" dataDxfId="1168" dataCellStyle="Porcentagem"/>
    <tableColumn id="4" xr3:uid="{690445E0-65B1-450A-A6D3-179070107086}" name="Entrada" dataDxfId="1167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66" dataDxfId="1164" headerRowBorderDxfId="1165" tableBorderDxfId="1163" totalsRowBorderDxfId="1162">
  <autoFilter ref="K5:M11" xr:uid="{00000000-0009-0000-0100-000015000000}"/>
  <tableColumns count="3">
    <tableColumn id="1" xr3:uid="{5D510C76-887A-4F0A-A2F3-BD55732E9E85}" name="Descrição" dataDxfId="1161"/>
    <tableColumn id="2" xr3:uid="{F6C1F4A7-28F4-48F8-905E-708FA62EB574}" name="Tipo de Pagto" dataDxfId="1160"/>
    <tableColumn id="3" xr3:uid="{E62B0002-F6CD-4351-A9EA-673FC7C97B03}" name="Valor" dataDxfId="1159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58" dataDxfId="1156" headerRowBorderDxfId="1157" tableBorderDxfId="1155" totalsRowBorderDxfId="115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53"/>
    <tableColumn id="2" xr3:uid="{822B50C3-46B7-46F0-8829-5293CCAFB21E}" name="Cliente" dataDxfId="1152"/>
    <tableColumn id="3" xr3:uid="{F2A36AB3-30D6-4C43-A466-18FF147EE075}" name="Forma de Pgto" dataDxfId="1151" dataCellStyle="Moeda"/>
    <tableColumn id="4" xr3:uid="{AD829CF8-2271-44F1-A1F1-4928D83ED658}" name="Valor Venda" dataDxfId="1150" dataCellStyle="Porcentagem"/>
    <tableColumn id="5" xr3:uid="{7973C843-3740-4AE2-931D-89DE845BA145}" name="Entrada" dataDxfId="1149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48" dataDxfId="1146" headerRowBorderDxfId="1147" tableBorderDxfId="1145" totalsRowBorderDxfId="1144">
  <autoFilter ref="K14:M31" xr:uid="{C83FE64B-E221-4DAA-89EA-5307A7BC98B3}"/>
  <tableColumns count="3">
    <tableColumn id="1" xr3:uid="{404BEA27-9F48-40AC-AF84-177E7CA2ADEC}" name="OS" dataDxfId="1143"/>
    <tableColumn id="2" xr3:uid="{BC07784A-25E9-4C57-B0FF-1E3D183BCD37}" name="Vendedor" dataDxfId="1142"/>
    <tableColumn id="3" xr3:uid="{EFFF7860-5B35-466B-BA53-4485DC02FB15}" name="CARNE" dataDxfId="1141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40" dataDxfId="1138" headerRowBorderDxfId="1139" tableBorderDxfId="1137" totalsRowBorderDxfId="113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35"/>
    <tableColumn id="2" xr3:uid="{A8D4686B-F05E-4D96-BDB9-FD354C9E28B8}" name="Cliente" dataDxfId="1134"/>
    <tableColumn id="3" xr3:uid="{0FB871EC-4505-4E7C-A162-0EFDB16AB8E5}" name="Forma de Pgto" dataDxfId="1133" dataCellStyle="Moeda"/>
    <tableColumn id="4" xr3:uid="{41436228-3E61-4F7F-80EF-627B1794150B}" name="Valor Parcela" dataDxfId="1132" dataCellStyle="Porcentagem"/>
    <tableColumn id="5" xr3:uid="{9C580DC7-08E3-4AD7-B73C-C1AA4298633B}" name="Nº Parcela" dataDxfId="1131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0" headerRowBorderDxfId="1129" tableBorderDxfId="1128" totalsRowBorderDxfId="1127">
  <autoFilter ref="K34:M41" xr:uid="{1B8643D4-6AC3-4029-882A-C62E9D7CB225}"/>
  <tableColumns count="3">
    <tableColumn id="1" xr3:uid="{6E774D52-7DFE-4ED1-9F2F-47B5899CBAC1}" name="OS" dataDxfId="1126"/>
    <tableColumn id="2" xr3:uid="{39CE62CA-537C-4DF4-B8D5-281ED0EE57C3}" name="Parcelas" dataDxfId="1125"/>
    <tableColumn id="3" xr3:uid="{830AFF05-9BCF-488F-97F3-8D4378DE4DCB}" name="Valor Total" dataDxfId="112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23" dataDxfId="1121" headerRowBorderDxfId="1122" tableBorderDxfId="1120" totalsRowBorderDxfId="111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18" dataCellStyle="Moeda"/>
    <tableColumn id="5" xr3:uid="{CE0B3E90-9420-4A96-9195-72088311874E}" name="Cliente" dataDxfId="1117" dataCellStyle="Moeda"/>
    <tableColumn id="2" xr3:uid="{3EF1B45D-588D-4066-8ACF-697863B5F984}" name="Forma de Pgto" dataDxfId="1116" dataCellStyle="Moeda"/>
    <tableColumn id="3" xr3:uid="{9ADBAC7B-B04C-4E2B-9C83-E18200698CCE}" name="Valor Venda" dataDxfId="1115" dataCellStyle="Porcentagem"/>
    <tableColumn id="4" xr3:uid="{16823673-1F5B-4F46-A676-8665CF4D02BA}" name="Entrada" dataDxfId="1114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13" dataDxfId="1111" headerRowBorderDxfId="1112" tableBorderDxfId="1110" totalsRowBorderDxfId="1109">
  <autoFilter ref="K5:M11" xr:uid="{00000000-0009-0000-0100-000015000000}"/>
  <tableColumns count="3">
    <tableColumn id="1" xr3:uid="{A02811B4-F6FA-4EDA-94FE-5EDFE6293B48}" name="Descrição" dataDxfId="1108"/>
    <tableColumn id="2" xr3:uid="{39EAD4CE-DDFA-4948-8B1E-10589BABDD84}" name="Tipo de Pagto" dataDxfId="1107"/>
    <tableColumn id="3" xr3:uid="{30C3BD81-38C9-4C67-BF45-044DFDDD7A0B}" name="Valor" dataDxfId="1106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05" dataDxfId="1103" headerRowBorderDxfId="1104" tableBorderDxfId="1102" totalsRowBorderDxfId="110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0"/>
    <tableColumn id="2" xr3:uid="{BE6E3444-490A-4F75-BE63-234EB84D04F7}" name="Cliente" dataDxfId="1099"/>
    <tableColumn id="3" xr3:uid="{868472E6-6C45-4AEC-9672-E559CFA15EA7}" name="Forma de Pgto" dataDxfId="1098" dataCellStyle="Moeda"/>
    <tableColumn id="4" xr3:uid="{DB2D0AA9-9B1E-4A35-B9B2-8B1052EAD782}" name="Valor Venda" dataDxfId="1097" dataCellStyle="Porcentagem"/>
    <tableColumn id="5" xr3:uid="{C23CEEDF-415E-4EFC-ACF7-2661157A84C3}" name="Entrada" dataDxfId="1096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95" dataDxfId="1093" headerRowBorderDxfId="1094" tableBorderDxfId="1092" totalsRowBorderDxfId="1091">
  <autoFilter ref="K14:M31" xr:uid="{C83FE64B-E221-4DAA-89EA-5307A7BC98B3}"/>
  <tableColumns count="3">
    <tableColumn id="1" xr3:uid="{BAA11040-DE86-4FBA-899D-4F8D992FF700}" name="OS" dataDxfId="1090"/>
    <tableColumn id="2" xr3:uid="{13D709D4-8F81-4D58-95F2-22F1C686CB18}" name="Vendedor" dataDxfId="1089"/>
    <tableColumn id="3" xr3:uid="{92130A71-CEC8-4371-B6C9-DA29C0189A09}" name="CARNE" dataDxfId="1088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87" dataDxfId="1085" headerRowBorderDxfId="1086" tableBorderDxfId="1084" totalsRowBorderDxfId="108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82"/>
    <tableColumn id="2" xr3:uid="{7652DD36-D535-400C-856B-02CB62C18176}" name="Cliente" dataDxfId="1081"/>
    <tableColumn id="3" xr3:uid="{129618E1-FDB4-497A-9DB0-29AC7143AF10}" name="Forma de Pgto" dataDxfId="1080" dataCellStyle="Moeda"/>
    <tableColumn id="4" xr3:uid="{EC69F906-8001-4D12-8ED6-D597AE23E936}" name="Valor Parcela" dataDxfId="1079" dataCellStyle="Porcentagem"/>
    <tableColumn id="5" xr3:uid="{65040BF1-55E0-4DD6-926F-3F0324D47077}" name="Nº Parcela" dataDxfId="1078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77" headerRowBorderDxfId="1076" tableBorderDxfId="1075" totalsRowBorderDxfId="1074">
  <autoFilter ref="K34:M41" xr:uid="{1B8643D4-6AC3-4029-882A-C62E9D7CB225}"/>
  <tableColumns count="3">
    <tableColumn id="1" xr3:uid="{710179D9-1888-45A0-96B5-C6E1151FFFF0}" name="OS" dataDxfId="1073"/>
    <tableColumn id="2" xr3:uid="{D9D130F4-6D87-4655-90D8-AF3976107C2A}" name="Parcelas" dataDxfId="1072"/>
    <tableColumn id="3" xr3:uid="{07DCBA20-7E86-4F99-AED4-2BDCD854B71C}" name="Valor Total" dataDxfId="1071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0" dataDxfId="1068" headerRowBorderDxfId="1069" tableBorderDxfId="1067" totalsRowBorderDxfId="106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65" dataCellStyle="Moeda"/>
    <tableColumn id="5" xr3:uid="{C388448A-992D-4C2D-8BB2-14D587C7E260}" name="Cliente" dataDxfId="1064" dataCellStyle="Moeda"/>
    <tableColumn id="2" xr3:uid="{C66BE185-63F5-4991-91CC-2661F40F891F}" name="Forma de Pgto" dataDxfId="1063" dataCellStyle="Moeda"/>
    <tableColumn id="3" xr3:uid="{C86C165C-F04B-4F8A-9769-AE38C03F025E}" name="Valor Venda" dataDxfId="1062" dataCellStyle="Porcentagem"/>
    <tableColumn id="4" xr3:uid="{C11C99C9-E646-4417-8698-61AFF55AB567}" name="Entrada" dataDxfId="1061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0" dataDxfId="1058" headerRowBorderDxfId="1059" tableBorderDxfId="1057" totalsRowBorderDxfId="1056">
  <autoFilter ref="K5:M11" xr:uid="{00000000-0009-0000-0100-000015000000}"/>
  <tableColumns count="3">
    <tableColumn id="1" xr3:uid="{696BC9EF-69BB-4D0D-96DF-B836B5771C08}" name="Descrição" dataDxfId="1055"/>
    <tableColumn id="2" xr3:uid="{4F12E940-09E4-4E51-A2A0-CEF5523233E2}" name="Tipo de Pagto" dataDxfId="1054"/>
    <tableColumn id="3" xr3:uid="{329E2ABB-99D4-47D1-8CEB-C3F4DE69A1C8}" name="Valor" dataDxfId="1053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2" dataDxfId="1050" headerRowBorderDxfId="1051" tableBorderDxfId="1049" totalsRowBorderDxfId="104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47"/>
    <tableColumn id="2" xr3:uid="{4745164B-5E29-4C65-87CA-C8C1B31B8272}" name="Cliente" dataDxfId="1046"/>
    <tableColumn id="3" xr3:uid="{69D7D490-36CA-4F69-BF76-2ADB810B4F37}" name="Forma de Pgto" dataDxfId="1045" dataCellStyle="Moeda"/>
    <tableColumn id="4" xr3:uid="{9B6B365B-42F7-499F-B705-B8F5196F8192}" name="Valor Venda" dataDxfId="1044" dataCellStyle="Porcentagem"/>
    <tableColumn id="5" xr3:uid="{7C88B9A2-2920-4AD8-AC1F-7417F3FA8282}" name="Entrada" dataDxfId="1043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2" dataDxfId="1040" headerRowBorderDxfId="1041" tableBorderDxfId="1039" totalsRowBorderDxfId="1038">
  <autoFilter ref="K14:M31" xr:uid="{C83FE64B-E221-4DAA-89EA-5307A7BC98B3}"/>
  <tableColumns count="3">
    <tableColumn id="1" xr3:uid="{5740FA63-223C-47B7-8842-178B003DB4BC}" name="OS" dataDxfId="1037"/>
    <tableColumn id="2" xr3:uid="{5CCC3C75-C80E-44BB-BC37-80F487481DDA}" name="Vendedor" dataDxfId="1036"/>
    <tableColumn id="3" xr3:uid="{585175B8-B982-429E-9344-163CE2687302}" name="CARNE" dataDxfId="1035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34" dataDxfId="1032" headerRowBorderDxfId="1033" tableBorderDxfId="1031" totalsRowBorderDxfId="103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9"/>
    <tableColumn id="2" xr3:uid="{2540FF22-68AB-4A04-B72D-DDBC8B064A8D}" name="Cliente" dataDxfId="1028"/>
    <tableColumn id="3" xr3:uid="{A7CB1680-9636-42C6-8AD9-F68C54BBCE0A}" name="Forma de Pgto" dataDxfId="1027" dataCellStyle="Moeda"/>
    <tableColumn id="4" xr3:uid="{727C37A8-450C-4D57-A2C9-396F29733C0A}" name="Valor Parcela" dataDxfId="1026" dataCellStyle="Porcentagem"/>
    <tableColumn id="5" xr3:uid="{4B27DCBF-BD8C-46A2-BC12-DE369C458E8A}" name="Nº Parcela" dataDxfId="1025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24" headerRowBorderDxfId="1023" tableBorderDxfId="1022" totalsRowBorderDxfId="1021">
  <autoFilter ref="K34:M41" xr:uid="{1B8643D4-6AC3-4029-882A-C62E9D7CB225}"/>
  <tableColumns count="3">
    <tableColumn id="1" xr3:uid="{60FAE849-4EC1-49E6-990F-8A43377EE6C3}" name="OS" dataDxfId="1020"/>
    <tableColumn id="2" xr3:uid="{B3127003-34D7-49FE-AFFC-7FA256F8BC3F}" name="Parcelas" dataDxfId="1019"/>
    <tableColumn id="3" xr3:uid="{412AC98E-5FB9-4C3C-9FBF-2EBE1631A397}" name="Valor Total" dataDxfId="1018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17" dataDxfId="1015" headerRowBorderDxfId="1016" tableBorderDxfId="1014" totalsRowBorderDxfId="10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2" dataCellStyle="Moeda"/>
    <tableColumn id="5" xr3:uid="{A1AF61B3-EFAB-450A-92B2-38E357233CD5}" name="Cliente" dataDxfId="1011" dataCellStyle="Moeda"/>
    <tableColumn id="2" xr3:uid="{DF277353-579D-439F-85C3-76DEACDE7A39}" name="Forma de Pgto" dataDxfId="1010" dataCellStyle="Moeda"/>
    <tableColumn id="3" xr3:uid="{7164D8F5-C0CB-47F7-BD16-B590E7D85EDB}" name="Valor Venda" dataDxfId="1009" dataCellStyle="Porcentagem"/>
    <tableColumn id="4" xr3:uid="{065B051D-7958-4E7D-972D-DDB0E8E7D052}" name="Entrada" dataDxfId="1008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07" dataDxfId="1005" headerRowBorderDxfId="1006" tableBorderDxfId="1004" totalsRowBorderDxfId="1003">
  <autoFilter ref="K5:M11" xr:uid="{00000000-0009-0000-0100-000015000000}"/>
  <tableColumns count="3">
    <tableColumn id="1" xr3:uid="{865498B1-F05E-46C9-B6C1-CCD85D9306C6}" name="Descrição" dataDxfId="1002"/>
    <tableColumn id="2" xr3:uid="{37F7AC6A-A7CD-43FB-89B1-5E904BAC1EBD}" name="Tipo de Pagto" dataDxfId="1001"/>
    <tableColumn id="3" xr3:uid="{A014E45A-B38A-47C2-A582-411CA2B495EE}" name="Valor" dataDxfId="1000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9" dataDxfId="997" headerRowBorderDxfId="998" tableBorderDxfId="996" totalsRowBorderDxfId="9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94"/>
    <tableColumn id="2" xr3:uid="{BC7B7FC1-CF4C-42C2-ABD3-DFEEA234B02B}" name="Cliente" dataDxfId="993"/>
    <tableColumn id="3" xr3:uid="{67F17557-E38E-4865-93F5-DCEF4A7ED2C6}" name="Forma de Pgto" dataDxfId="992" dataCellStyle="Moeda"/>
    <tableColumn id="4" xr3:uid="{D2C10329-9C1A-4D0D-BC74-3A320E9B6593}" name="Valor Venda" dataDxfId="991" dataCellStyle="Porcentagem"/>
    <tableColumn id="5" xr3:uid="{82810E21-D152-4A22-94D5-0A28C60F4849}" name="Entrada" dataDxfId="990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9" dataDxfId="987" headerRowBorderDxfId="988" tableBorderDxfId="986" totalsRowBorderDxfId="985">
  <autoFilter ref="K14:M31" xr:uid="{C83FE64B-E221-4DAA-89EA-5307A7BC98B3}"/>
  <tableColumns count="3">
    <tableColumn id="1" xr3:uid="{7A4CC637-3546-4D1B-9D86-75C6034079BF}" name="OS" dataDxfId="984"/>
    <tableColumn id="2" xr3:uid="{CEB52B1C-2642-45A1-A1EB-26029A9B5402}" name="Vendedor" dataDxfId="983"/>
    <tableColumn id="3" xr3:uid="{8C88CFEB-7155-49BD-9D63-1FCC9096735E}" name="CARNE" dataDxfId="982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1" dataDxfId="979" headerRowBorderDxfId="980" tableBorderDxfId="978" totalsRowBorderDxfId="9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76"/>
    <tableColumn id="2" xr3:uid="{7C3577CA-FC44-4DC9-9002-D4EA74DFF73F}" name="Cliente" dataDxfId="975"/>
    <tableColumn id="3" xr3:uid="{77D25058-5D06-4E37-8746-BF184DDEEA81}" name="Forma de Pgto" dataDxfId="974" dataCellStyle="Moeda"/>
    <tableColumn id="4" xr3:uid="{5EDAFC3F-F478-449C-990C-45300A2C66DF}" name="Valor Parcela" dataDxfId="973" dataCellStyle="Porcentagem"/>
    <tableColumn id="5" xr3:uid="{5DBCC805-C046-4526-8886-13334D431CB2}" name="Nº Parcela" dataDxfId="972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1" headerRowBorderDxfId="970" tableBorderDxfId="969" totalsRowBorderDxfId="968">
  <autoFilter ref="K34:M41" xr:uid="{1B8643D4-6AC3-4029-882A-C62E9D7CB225}"/>
  <tableColumns count="3">
    <tableColumn id="1" xr3:uid="{FDFEB034-D746-488E-9611-5C5421DF9812}" name="OS" dataDxfId="967"/>
    <tableColumn id="2" xr3:uid="{AD1C8A9C-91DA-4D2C-A438-9B8648A5521B}" name="Parcelas" dataDxfId="966"/>
    <tableColumn id="3" xr3:uid="{577D3B3F-3A18-4FE3-8E0F-E82C9012821F}" name="Valor Total" dataDxfId="965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4" dataDxfId="962" headerRowBorderDxfId="963" tableBorderDxfId="961" totalsRowBorderDxfId="96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9" dataCellStyle="Moeda"/>
    <tableColumn id="5" xr3:uid="{53B9FE46-E769-466F-9757-A5C752203582}" name="Cliente" dataDxfId="958" dataCellStyle="Moeda"/>
    <tableColumn id="2" xr3:uid="{9AFD5C78-132A-4E21-96EC-75882307A334}" name="Forma de Pgto" dataDxfId="957" dataCellStyle="Moeda"/>
    <tableColumn id="3" xr3:uid="{0B7791DE-BC7F-4EA7-87CC-E8588E2F6D00}" name="Valor Venda" dataDxfId="956" dataCellStyle="Porcentagem"/>
    <tableColumn id="4" xr3:uid="{EDACC2B7-28DE-40D1-BC9D-356B5D64934D}" name="Entrada" dataDxfId="955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4" dataDxfId="952" headerRowBorderDxfId="953" tableBorderDxfId="951" totalsRowBorderDxfId="950">
  <autoFilter ref="K5:M11" xr:uid="{00000000-0009-0000-0100-000015000000}"/>
  <tableColumns count="3">
    <tableColumn id="1" xr3:uid="{F638F61A-E4B9-4300-BD8D-C0A6A3D7A8E2}" name="Descrição" dataDxfId="949"/>
    <tableColumn id="2" xr3:uid="{9DC04330-37E5-4813-8F2D-4BAA554527A5}" name="Tipo de Pagto" dataDxfId="948"/>
    <tableColumn id="3" xr3:uid="{799A991A-3D2C-4EC1-A2D8-A1F3023DD9AF}" name="Valor" dataDxfId="947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46" dataDxfId="944" headerRowBorderDxfId="945" tableBorderDxfId="943" totalsRowBorderDxfId="94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1"/>
    <tableColumn id="2" xr3:uid="{2FD43CA2-90CA-449B-821F-205F1748177C}" name="Cliente" dataDxfId="940"/>
    <tableColumn id="3" xr3:uid="{A5640B64-FD50-49A5-B305-E61D9280F57A}" name="Forma de Pgto" dataDxfId="939" dataCellStyle="Moeda"/>
    <tableColumn id="4" xr3:uid="{26AD2EE8-2400-4B07-A340-99B1BA546B01}" name="Valor Venda" dataDxfId="938" dataCellStyle="Porcentagem"/>
    <tableColumn id="5" xr3:uid="{DF786930-B464-48C0-92C5-A18D129572D3}" name="Entrada" dataDxfId="937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36" dataDxfId="934" headerRowBorderDxfId="935" tableBorderDxfId="933" totalsRowBorderDxfId="932">
  <autoFilter ref="K14:M31" xr:uid="{C83FE64B-E221-4DAA-89EA-5307A7BC98B3}"/>
  <tableColumns count="3">
    <tableColumn id="1" xr3:uid="{686E8A3B-2CC1-443E-B3F0-07F1D6AF8C19}" name="OS" dataDxfId="931"/>
    <tableColumn id="2" xr3:uid="{1250D1EA-82EB-4EB4-AEDB-99799165C996}" name="Vendedor" dataDxfId="930"/>
    <tableColumn id="3" xr3:uid="{F6A6C0FE-3106-4929-AC63-C2A418BAD9A1}" name="CARNE" dataDxfId="929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28" dataDxfId="926" headerRowBorderDxfId="927" tableBorderDxfId="925" totalsRowBorderDxfId="92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3"/>
    <tableColumn id="2" xr3:uid="{6946C657-632E-4A47-A04C-EBD987018798}" name="Cliente" dataDxfId="922"/>
    <tableColumn id="3" xr3:uid="{11747110-E63B-4D92-AE0D-F744DD494204}" name="Forma de Pgto" dataDxfId="921" dataCellStyle="Moeda"/>
    <tableColumn id="4" xr3:uid="{7637A14A-3C11-482C-A77B-09489718F039}" name="Valor Parcela" dataDxfId="920" dataCellStyle="Porcentagem"/>
    <tableColumn id="5" xr3:uid="{E03E863B-EAD4-4137-9B26-2CA0EAC2F09E}" name="Nº Parcela" dataDxfId="919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18" headerRowBorderDxfId="917" tableBorderDxfId="916" totalsRowBorderDxfId="915">
  <autoFilter ref="K34:M41" xr:uid="{1B8643D4-6AC3-4029-882A-C62E9D7CB225}"/>
  <tableColumns count="3">
    <tableColumn id="1" xr3:uid="{6F6F5FBA-037D-4F8B-8355-AC821A55F803}" name="OS" dataDxfId="914"/>
    <tableColumn id="2" xr3:uid="{BEED8472-6636-42D9-A60A-E43C842B7D8F}" name="Parcelas" dataDxfId="913"/>
    <tableColumn id="3" xr3:uid="{0CE64280-F6A9-46AC-8696-F227912F6552}" name="Valor Total" dataDxfId="912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1" dataDxfId="909" headerRowBorderDxfId="910" tableBorderDxfId="908" totalsRowBorderDxfId="90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06" dataCellStyle="Moeda"/>
    <tableColumn id="5" xr3:uid="{864A4F89-382F-4099-9D59-467A7AB12940}" name="Cliente" dataDxfId="905" dataCellStyle="Moeda"/>
    <tableColumn id="2" xr3:uid="{529253EE-0917-4E7A-AA5F-14D2DCAD4080}" name="Forma de Pgto" dataDxfId="904" dataCellStyle="Moeda"/>
    <tableColumn id="3" xr3:uid="{7A07E6EC-5721-4AB5-B7BB-F8D16153B615}" name="Valor Venda" dataDxfId="903" dataCellStyle="Porcentagem"/>
    <tableColumn id="4" xr3:uid="{E3569DCA-7BA5-47A8-9C20-6FB2B553052E}" name="Entrada" dataDxfId="902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1" dataDxfId="899" headerRowBorderDxfId="900" tableBorderDxfId="898" totalsRowBorderDxfId="897">
  <autoFilter ref="K5:M11" xr:uid="{00000000-0009-0000-0100-000015000000}"/>
  <tableColumns count="3">
    <tableColumn id="1" xr3:uid="{95CF041F-F7B4-4974-9B76-66A5C7C3CF1E}" name="Descrição" dataDxfId="896"/>
    <tableColumn id="2" xr3:uid="{010F2147-2B02-4E80-9D4E-E9E6110BD535}" name="Tipo de Pagto" dataDxfId="895"/>
    <tableColumn id="3" xr3:uid="{667C80AD-481C-4689-8F6A-2426991759A7}" name="Valor" dataDxfId="894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2" totalsRowShown="0" headerRowDxfId="893" dataDxfId="891" headerRowBorderDxfId="892" tableBorderDxfId="890" totalsRowBorderDxfId="889">
  <autoFilter ref="E25:I32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88"/>
    <tableColumn id="2" xr3:uid="{A401C727-3942-4BDF-BC32-5D789E1F6979}" name="Cliente" dataDxfId="887"/>
    <tableColumn id="3" xr3:uid="{29237CE2-AC3D-477F-ABA7-60B5DA6F8120}" name="Forma de Pgto" dataDxfId="886" dataCellStyle="Moeda"/>
    <tableColumn id="4" xr3:uid="{A39B1F5A-49E3-45B8-BCA8-E3252A43E2CC}" name="Valor Venda" dataDxfId="885" dataCellStyle="Porcentagem"/>
    <tableColumn id="5" xr3:uid="{A1809E96-D43C-48CA-B4B0-F8952BB21709}" name="Entrada" dataDxfId="884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3" dataDxfId="881" headerRowBorderDxfId="882" tableBorderDxfId="880" totalsRowBorderDxfId="879">
  <autoFilter ref="K14:M31" xr:uid="{C83FE64B-E221-4DAA-89EA-5307A7BC98B3}"/>
  <tableColumns count="3">
    <tableColumn id="1" xr3:uid="{56C94D3F-8E22-47DC-AA8B-FBABE57C94EE}" name="OS" dataDxfId="878"/>
    <tableColumn id="2" xr3:uid="{61C3945B-58EB-4D02-A420-14D13F69B1FD}" name="Vendedor" dataDxfId="877"/>
    <tableColumn id="3" xr3:uid="{310A696D-E474-4609-8CAC-92E3BC19A517}" name="CARNE" dataDxfId="876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5:I42" totalsRowShown="0" headerRowDxfId="875" dataDxfId="873" headerRowBorderDxfId="874" tableBorderDxfId="872" totalsRowBorderDxfId="871">
  <autoFilter ref="E35:I42" xr:uid="{B9E2F984-8588-4F2C-9FB9-680284154679}"/>
  <sortState xmlns:xlrd2="http://schemas.microsoft.com/office/spreadsheetml/2017/richdata2" ref="E36:I41">
    <sortCondition ref="E25:E31"/>
  </sortState>
  <tableColumns count="5">
    <tableColumn id="1" xr3:uid="{FB7A1AB2-2B7D-4875-B630-BE4A367B4EC6}" name="OS" dataDxfId="870"/>
    <tableColumn id="2" xr3:uid="{A7114117-5F41-4611-B14C-A3B2F7C35961}" name="Cliente" dataDxfId="869"/>
    <tableColumn id="3" xr3:uid="{3B2F2924-60FC-459E-BAAE-2D26D316360F}" name="Forma de Pgto" dataDxfId="868" dataCellStyle="Moeda"/>
    <tableColumn id="4" xr3:uid="{8C86BF8B-36B7-46FA-B050-2F1437A14710}" name="Valor Parcela" dataDxfId="867" dataCellStyle="Porcentagem"/>
    <tableColumn id="5" xr3:uid="{C429DF1A-E6B0-43DD-A949-A1EBA6DBEC04}" name="Nº Parcela" dataDxfId="866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5" headerRowBorderDxfId="864" tableBorderDxfId="863" totalsRowBorderDxfId="862">
  <autoFilter ref="K34:M41" xr:uid="{1B8643D4-6AC3-4029-882A-C62E9D7CB225}"/>
  <tableColumns count="3">
    <tableColumn id="1" xr3:uid="{182484ED-66B8-43D1-B168-BDEB5996673F}" name="OS" dataDxfId="861"/>
    <tableColumn id="2" xr3:uid="{FC47BB11-B6D3-4928-BFCD-BDAC4B2BDD2F}" name="Parcelas" dataDxfId="860"/>
    <tableColumn id="3" xr3:uid="{F7E0E4E8-A2A1-4513-B1F5-B98008299FD0}" name="Valor Total" dataDxfId="859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58" dataDxfId="856" headerRowBorderDxfId="857" tableBorderDxfId="855" totalsRowBorderDxfId="85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3" dataCellStyle="Moeda"/>
    <tableColumn id="5" xr3:uid="{2B9E675C-5EB2-4EBC-8FDE-19F93E6E7B08}" name="Cliente" dataDxfId="852" dataCellStyle="Moeda"/>
    <tableColumn id="2" xr3:uid="{04A3548D-E88B-4096-85CB-E08243412A85}" name="Forma de Pgto" dataDxfId="851" dataCellStyle="Moeda"/>
    <tableColumn id="3" xr3:uid="{977F794D-E094-4347-935B-1202B7138C52}" name="Valor Venda" dataDxfId="850" dataCellStyle="Porcentagem"/>
    <tableColumn id="4" xr3:uid="{908F3845-FF06-4899-A550-28B1BE92D1A9}" name="Entrada" dataDxfId="849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48" dataDxfId="846" headerRowBorderDxfId="847" tableBorderDxfId="845" totalsRowBorderDxfId="844">
  <autoFilter ref="K5:M11" xr:uid="{00000000-0009-0000-0100-000015000000}"/>
  <tableColumns count="3">
    <tableColumn id="1" xr3:uid="{F9AC75BC-BCF6-4B22-9F75-0F3CC507495B}" name="Descrição" dataDxfId="843"/>
    <tableColumn id="2" xr3:uid="{61D86D1A-7892-4923-9684-5D9A01F0BD5D}" name="Tipo de Pagto" dataDxfId="842"/>
    <tableColumn id="3" xr3:uid="{3F8C718F-C7FE-423F-9F48-66FB2201CFE2}" name="Valor" dataDxfId="841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0" dataDxfId="838" headerRowBorderDxfId="839" tableBorderDxfId="837" totalsRowBorderDxfId="83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5"/>
    <tableColumn id="2" xr3:uid="{994EFF98-DD95-4B94-B1C7-D068C1D5212C}" name="Cliente" dataDxfId="834"/>
    <tableColumn id="3" xr3:uid="{7D4E72E0-4CFA-46C9-B3AF-A1654CF194A1}" name="Forma de Pgto" dataDxfId="833" dataCellStyle="Moeda"/>
    <tableColumn id="4" xr3:uid="{EE367263-F1E4-4631-A484-2013B6BA1F27}" name="Valor Venda" dataDxfId="832" dataCellStyle="Porcentagem"/>
    <tableColumn id="5" xr3:uid="{9DA475CB-BD5A-4734-A11F-3BB7DD0D9D7E}" name="Entrada" dataDxfId="831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0" dataDxfId="828" headerRowBorderDxfId="829" tableBorderDxfId="827" totalsRowBorderDxfId="826">
  <autoFilter ref="K14:M31" xr:uid="{C83FE64B-E221-4DAA-89EA-5307A7BC98B3}"/>
  <tableColumns count="3">
    <tableColumn id="1" xr3:uid="{3DA7B618-15C5-4547-A26D-ABC55A01467A}" name="OS" dataDxfId="825"/>
    <tableColumn id="2" xr3:uid="{9ED68045-86C7-4BE0-8AE0-0417F1DD76FD}" name="Vendedor" dataDxfId="824"/>
    <tableColumn id="3" xr3:uid="{F4076139-8BF9-457D-ADE6-1BCD435E31BB}" name="CARNE" dataDxfId="823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2" dataDxfId="820" headerRowBorderDxfId="821" tableBorderDxfId="819" totalsRowBorderDxfId="81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17"/>
    <tableColumn id="2" xr3:uid="{E89F59BF-5F0B-4E4E-B2BE-7B739967886D}" name="Cliente" dataDxfId="816"/>
    <tableColumn id="3" xr3:uid="{B348335B-A485-46BE-AECB-0672679F4468}" name="Forma de Pgto" dataDxfId="815" dataCellStyle="Moeda"/>
    <tableColumn id="4" xr3:uid="{73B13E6E-5431-4E90-9A6E-E15737DDA887}" name="Valor Parcela" dataDxfId="814" dataCellStyle="Porcentagem"/>
    <tableColumn id="5" xr3:uid="{C738A843-A8FD-4CB7-B2C8-59810BA17BF2}" name="Nº Parcela" dataDxfId="813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2" headerRowBorderDxfId="811" tableBorderDxfId="810" totalsRowBorderDxfId="809">
  <autoFilter ref="K34:M41" xr:uid="{1B8643D4-6AC3-4029-882A-C62E9D7CB225}"/>
  <tableColumns count="3">
    <tableColumn id="1" xr3:uid="{3F5F54B7-8999-4296-A374-3780F172D2B8}" name="OS" dataDxfId="808"/>
    <tableColumn id="2" xr3:uid="{5F252D86-495C-4A65-B391-3FF46311DE83}" name="Parcelas" dataDxfId="807"/>
    <tableColumn id="3" xr3:uid="{50E905DA-42A9-43E1-8D51-FD4BDEAB81C8}" name="Valor Total" dataDxfId="806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5" dataDxfId="803" headerRowBorderDxfId="804" tableBorderDxfId="802" totalsRowBorderDxfId="80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0" dataCellStyle="Moeda"/>
    <tableColumn id="5" xr3:uid="{08C272CC-0220-47BB-9263-1AA910D9829C}" name="Cliente" dataDxfId="799" dataCellStyle="Moeda"/>
    <tableColumn id="2" xr3:uid="{DF276F1F-7FCA-4CE9-AD90-5340B6E688D4}" name="Forma de Pgto" dataDxfId="798" dataCellStyle="Moeda"/>
    <tableColumn id="3" xr3:uid="{CF6FE509-8C51-4621-87DF-AAD8645E20D4}" name="Valor Venda" dataDxfId="797" dataCellStyle="Porcentagem"/>
    <tableColumn id="4" xr3:uid="{5AB6BADB-DBB7-45C0-89E8-2C836C831FCF}" name="Entrada" dataDxfId="796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5" dataDxfId="793" headerRowBorderDxfId="794" tableBorderDxfId="792" totalsRowBorderDxfId="791">
  <autoFilter ref="K5:M11" xr:uid="{00000000-0009-0000-0100-000015000000}"/>
  <tableColumns count="3">
    <tableColumn id="1" xr3:uid="{8CE76670-7409-454F-9B3A-4BD739F5C5E3}" name="Descrição" dataDxfId="790"/>
    <tableColumn id="2" xr3:uid="{B2BAF2DB-A6EF-41C6-8A5D-66027E15C8F8}" name="Tipo de Pagto" dataDxfId="789"/>
    <tableColumn id="3" xr3:uid="{99CFD3BD-FC58-49DA-AC21-ACD3EE40336E}" name="Valor" dataDxfId="788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87" dataDxfId="785" headerRowBorderDxfId="786" tableBorderDxfId="784" totalsRowBorderDxfId="78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2"/>
    <tableColumn id="2" xr3:uid="{B886F79B-BD9C-476A-88F8-CB3F80E42FD0}" name="Cliente" dataDxfId="781"/>
    <tableColumn id="3" xr3:uid="{78D9CA4E-E9E8-4359-8144-996DE0EE7A64}" name="Forma de Pgto" dataDxfId="780" dataCellStyle="Moeda"/>
    <tableColumn id="4" xr3:uid="{F327BA72-0013-44A1-B3CE-07FACF46CAC8}" name="Valor Venda" dataDxfId="779" dataCellStyle="Porcentagem"/>
    <tableColumn id="5" xr3:uid="{20494810-9085-4087-A73E-D3FE8DC5C40D}" name="Entrada" dataDxfId="778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77" dataDxfId="775" headerRowBorderDxfId="776" tableBorderDxfId="774" totalsRowBorderDxfId="773">
  <autoFilter ref="K14:M31" xr:uid="{C83FE64B-E221-4DAA-89EA-5307A7BC98B3}"/>
  <tableColumns count="3">
    <tableColumn id="1" xr3:uid="{40D1E49B-6CB3-409E-AFC1-7315BAF42BBF}" name="OS" dataDxfId="772"/>
    <tableColumn id="2" xr3:uid="{4C8709E7-DDF3-475B-9A19-42E8B9FC587D}" name="Vendedor" dataDxfId="771"/>
    <tableColumn id="3" xr3:uid="{185D4DF1-07D8-4494-B6E4-5B4CFC4E2B4E}" name="CARNE" dataDxfId="770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9" dataDxfId="767" headerRowBorderDxfId="768" tableBorderDxfId="766" totalsRowBorderDxfId="76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4"/>
    <tableColumn id="2" xr3:uid="{CA06119C-2085-4F7F-B293-65E2AF15EEE5}" name="Cliente" dataDxfId="763"/>
    <tableColumn id="3" xr3:uid="{BF529E56-33D1-40B5-8E7B-EFBAB59D2A71}" name="Forma de Pgto" dataDxfId="762" dataCellStyle="Moeda"/>
    <tableColumn id="4" xr3:uid="{66CAC967-C216-41AB-BBFE-D7EC8E60B5DB}" name="Valor Parcela" dataDxfId="761" dataCellStyle="Porcentagem"/>
    <tableColumn id="5" xr3:uid="{684E478E-5460-400B-8F1B-2956E3BF42E8}" name="Nº Parcela" dataDxfId="760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9" headerRowBorderDxfId="758" tableBorderDxfId="757" totalsRowBorderDxfId="756">
  <autoFilter ref="K34:M41" xr:uid="{1B8643D4-6AC3-4029-882A-C62E9D7CB225}"/>
  <tableColumns count="3">
    <tableColumn id="1" xr3:uid="{3DD44433-DB26-4FDD-8D11-D1C35C6FECEB}" name="OS" dataDxfId="755"/>
    <tableColumn id="2" xr3:uid="{A9DC5AE8-407E-40E2-8AD6-B02FE1A5CF20}" name="Parcelas" dataDxfId="754"/>
    <tableColumn id="3" xr3:uid="{6A850C65-FE9A-4796-B920-651ED5594439}" name="Valor Total" dataDxfId="753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52" dataDxfId="750" headerRowBorderDxfId="751" tableBorderDxfId="749" totalsRowBorderDxfId="74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7" dataCellStyle="Moeda"/>
    <tableColumn id="5" xr3:uid="{60E6A65C-186D-4764-A3E8-74F5C0B0AFC1}" name="Cliente" dataDxfId="746" dataCellStyle="Moeda"/>
    <tableColumn id="2" xr3:uid="{22FA520F-5DA7-46FD-9861-DF942B6D91AB}" name="Forma de Pgto" dataDxfId="745" dataCellStyle="Moeda"/>
    <tableColumn id="3" xr3:uid="{7DEE868C-EA7D-401A-A3DF-4CC64A44467F}" name="Valor Venda" dataDxfId="744" dataCellStyle="Porcentagem"/>
    <tableColumn id="4" xr3:uid="{720D25ED-5FF4-421F-94C6-24275CF94733}" name="Entrada" dataDxfId="743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2" dataDxfId="740" headerRowBorderDxfId="741" tableBorderDxfId="739" totalsRowBorderDxfId="738">
  <autoFilter ref="K5:M11" xr:uid="{00000000-0009-0000-0100-000015000000}"/>
  <tableColumns count="3">
    <tableColumn id="1" xr3:uid="{2FBA0522-04E5-4ED5-94F6-52B232AF2373}" name="Descrição" dataDxfId="737"/>
    <tableColumn id="2" xr3:uid="{DB3FC5DE-C5F6-4B07-A662-D19BD76E91F6}" name="Tipo de Pagto" dataDxfId="736"/>
    <tableColumn id="3" xr3:uid="{A2799F30-0033-4E72-9108-ABF645A8DCD3}" name="Valor" dataDxfId="735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4" dataDxfId="732" headerRowBorderDxfId="733" tableBorderDxfId="731" totalsRowBorderDxfId="73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9"/>
    <tableColumn id="2" xr3:uid="{6DECDDC0-CF3A-4677-94C4-62618488FE89}" name="Cliente" dataDxfId="728"/>
    <tableColumn id="3" xr3:uid="{D40EA3F2-0782-4C3D-A060-4DCC1DCF2881}" name="Forma de Pgto" dataDxfId="727" dataCellStyle="Moeda"/>
    <tableColumn id="4" xr3:uid="{A527DD67-780C-4EE1-A7AE-0831114EA80A}" name="Valor Venda" dataDxfId="726" dataCellStyle="Porcentagem"/>
    <tableColumn id="5" xr3:uid="{4082F19A-5570-4E9D-B250-BCD24B16165E}" name="Entrada" dataDxfId="725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4" dataDxfId="722" headerRowBorderDxfId="723" tableBorderDxfId="721" totalsRowBorderDxfId="720">
  <autoFilter ref="K14:M31" xr:uid="{C83FE64B-E221-4DAA-89EA-5307A7BC98B3}"/>
  <tableColumns count="3">
    <tableColumn id="1" xr3:uid="{CF4CC083-8415-4A42-9102-69414AAB96C8}" name="OS" dataDxfId="719"/>
    <tableColumn id="2" xr3:uid="{AFF5A585-6EEA-427D-B49B-A553763AA94C}" name="Vendedor" dataDxfId="718"/>
    <tableColumn id="3" xr3:uid="{2D8D088A-4AB0-487F-929A-89D197884938}" name="CARNE" dataDxfId="717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6" dataDxfId="714" headerRowBorderDxfId="715" tableBorderDxfId="713" totalsRowBorderDxfId="71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1"/>
    <tableColumn id="2" xr3:uid="{71667114-B8E0-4FEE-B3C4-B23C231E71C9}" name="Cliente" dataDxfId="710"/>
    <tableColumn id="3" xr3:uid="{413E4F46-D41F-4D0A-8403-3244651C22ED}" name="Forma de Pgto" dataDxfId="709" dataCellStyle="Moeda"/>
    <tableColumn id="4" xr3:uid="{695A7396-BEC7-498E-8F8D-5C11C17422D0}" name="Valor Parcela" dataDxfId="708" dataCellStyle="Porcentagem"/>
    <tableColumn id="5" xr3:uid="{7D0562F5-5DF1-49C0-BE96-CBD4632BD577}" name="Nº Parcela" dataDxfId="707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6" headerRowBorderDxfId="705" tableBorderDxfId="704" totalsRowBorderDxfId="703">
  <autoFilter ref="K34:M41" xr:uid="{1B8643D4-6AC3-4029-882A-C62E9D7CB225}"/>
  <tableColumns count="3">
    <tableColumn id="1" xr3:uid="{468A4151-2B13-428F-B7B3-DD7850FB056D}" name="OS" dataDxfId="702"/>
    <tableColumn id="2" xr3:uid="{0E5A1628-3806-4E80-9B5C-6CCB43ED7A95}" name="Parcelas" dataDxfId="701"/>
    <tableColumn id="3" xr3:uid="{94527026-C4E7-48B1-ADEC-FAE98EDE2DF7}" name="Valor Total" dataDxfId="700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9" dataDxfId="697" headerRowBorderDxfId="698" tableBorderDxfId="696" totalsRowBorderDxfId="69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4" dataCellStyle="Moeda"/>
    <tableColumn id="5" xr3:uid="{B476382F-8FC0-4C4B-904B-9CEC2FD1737F}" name="Cliente" dataDxfId="693" dataCellStyle="Moeda"/>
    <tableColumn id="2" xr3:uid="{9347CB1E-8ECB-4789-B3B3-F0676BCEF308}" name="Forma de Pgto" dataDxfId="692" dataCellStyle="Moeda"/>
    <tableColumn id="3" xr3:uid="{95E7B651-F8E7-4260-A9CD-31524C1AF920}" name="Valor Venda" dataDxfId="691" dataCellStyle="Porcentagem"/>
    <tableColumn id="4" xr3:uid="{E1F36979-874B-46CF-A70F-6769CE2B4972}" name="Entrada" dataDxfId="690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9" dataDxfId="687" headerRowBorderDxfId="688" tableBorderDxfId="686" totalsRowBorderDxfId="685">
  <autoFilter ref="K5:M11" xr:uid="{00000000-0009-0000-0100-000015000000}"/>
  <tableColumns count="3">
    <tableColumn id="1" xr3:uid="{5DAF9728-D097-46AC-AFA1-2A7D5A636197}" name="Descrição" dataDxfId="684"/>
    <tableColumn id="2" xr3:uid="{7E14BBAB-F602-43F7-BA75-66182DDDFB5A}" name="Tipo de Pagto" dataDxfId="683"/>
    <tableColumn id="3" xr3:uid="{807C6654-E3F5-4B45-B712-93A22255EE13}" name="Valor" dataDxfId="682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1" dataDxfId="679" headerRowBorderDxfId="680" tableBorderDxfId="678" totalsRowBorderDxfId="67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6"/>
    <tableColumn id="2" xr3:uid="{DA2D4CE2-3235-4592-824A-D21C9FEE1324}" name="Cliente" dataDxfId="675"/>
    <tableColumn id="3" xr3:uid="{78436E8E-423C-4634-A0AC-78283D9649B2}" name="Forma de Pgto" dataDxfId="674" dataCellStyle="Moeda"/>
    <tableColumn id="4" xr3:uid="{9B5C140A-AEF6-451D-B599-1B3C00239BF3}" name="Valor Venda" dataDxfId="673" dataCellStyle="Porcentagem"/>
    <tableColumn id="5" xr3:uid="{91C4587E-3C3A-4A8E-B0CF-84D9FBCB29D6}" name="Entrada" dataDxfId="672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1" dataDxfId="669" headerRowBorderDxfId="670" tableBorderDxfId="668" totalsRowBorderDxfId="667">
  <autoFilter ref="K14:M31" xr:uid="{C83FE64B-E221-4DAA-89EA-5307A7BC98B3}"/>
  <tableColumns count="3">
    <tableColumn id="1" xr3:uid="{50109EEB-FA95-426D-A1C8-873B914A4726}" name="OS" dataDxfId="666"/>
    <tableColumn id="2" xr3:uid="{8A5D657B-8F60-4746-999B-0FA3393A39E9}" name="Vendedor" dataDxfId="665"/>
    <tableColumn id="3" xr3:uid="{496CB9CC-67BF-4541-A109-5F5FF565C716}" name="CARNE" dataDxfId="664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3" dataDxfId="661" headerRowBorderDxfId="662" tableBorderDxfId="660" totalsRowBorderDxfId="65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8"/>
    <tableColumn id="2" xr3:uid="{B3362A08-206B-41A8-970B-34C6B8B4C7AA}" name="Cliente" dataDxfId="657"/>
    <tableColumn id="3" xr3:uid="{718A6844-98C1-4F96-8966-19162734BEB9}" name="Forma de Pgto" dataDxfId="656" dataCellStyle="Moeda"/>
    <tableColumn id="4" xr3:uid="{DC15894A-49A7-435B-A661-5666005BEEC8}" name="Valor Parcela" dataDxfId="655" dataCellStyle="Porcentagem"/>
    <tableColumn id="5" xr3:uid="{DE080DD1-0F6B-485E-8515-CE624433C220}" name="Nº Parcela" dataDxfId="654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3" headerRowBorderDxfId="652" tableBorderDxfId="651" totalsRowBorderDxfId="650">
  <autoFilter ref="K34:M41" xr:uid="{1B8643D4-6AC3-4029-882A-C62E9D7CB225}"/>
  <tableColumns count="3">
    <tableColumn id="1" xr3:uid="{DF952D1A-166D-4762-BD7E-3B8C91304310}" name="OS" dataDxfId="649"/>
    <tableColumn id="2" xr3:uid="{4F0F7384-D5B8-477E-9EC7-B82060EBBD78}" name="Parcelas" dataDxfId="648"/>
    <tableColumn id="3" xr3:uid="{8DD00EBF-D0FE-4903-8F44-7064A873609A}" name="Valor Total" dataDxfId="647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6" dataDxfId="644" headerRowBorderDxfId="645" tableBorderDxfId="643" totalsRowBorderDxfId="64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1" dataCellStyle="Moeda"/>
    <tableColumn id="5" xr3:uid="{F65697F3-20D0-4B41-BE55-C2885202D924}" name="Cliente" dataDxfId="640" dataCellStyle="Moeda"/>
    <tableColumn id="2" xr3:uid="{11E8E848-C035-46A3-B1AB-9BBD863CA30A}" name="Forma de Pgto" dataDxfId="639" dataCellStyle="Moeda"/>
    <tableColumn id="3" xr3:uid="{CE50BBF0-66D9-4ABB-AD66-D300C740ED4C}" name="Valor Venda" dataDxfId="638" dataCellStyle="Porcentagem"/>
    <tableColumn id="4" xr3:uid="{A6700982-093E-4E60-A8B4-C0EB11A78A03}" name="Entrada" dataDxfId="637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6" dataDxfId="634" headerRowBorderDxfId="635" tableBorderDxfId="633" totalsRowBorderDxfId="632">
  <autoFilter ref="K5:M11" xr:uid="{00000000-0009-0000-0100-000015000000}"/>
  <tableColumns count="3">
    <tableColumn id="1" xr3:uid="{53B1873C-545D-4906-B601-0C81EDA7CFE1}" name="Descrição" dataDxfId="631"/>
    <tableColumn id="2" xr3:uid="{76E6DB40-F96B-4A9C-8632-7103030C72DC}" name="Tipo de Pagto" dataDxfId="630"/>
    <tableColumn id="3" xr3:uid="{C62F93B6-2A0A-47C6-8FF1-E604490619BC}" name="Valor" dataDxfId="629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8" dataDxfId="626" headerRowBorderDxfId="627" tableBorderDxfId="625" totalsRowBorderDxfId="62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3"/>
    <tableColumn id="2" xr3:uid="{B806E92F-CE0E-4D07-A956-20D8F2029057}" name="Cliente" dataDxfId="622"/>
    <tableColumn id="3" xr3:uid="{36BDBAFD-E01B-4EEA-BEB0-2FB5914B315B}" name="Forma de Pgto" dataDxfId="621" dataCellStyle="Moeda"/>
    <tableColumn id="4" xr3:uid="{56605023-01AD-4E35-8794-2FCCF14CCA1F}" name="Valor Venda" dataDxfId="620" dataCellStyle="Porcentagem"/>
    <tableColumn id="5" xr3:uid="{C1960D0E-D625-415E-9C4E-608948FC535D}" name="Entrada" dataDxfId="619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8" dataDxfId="616" headerRowBorderDxfId="617" tableBorderDxfId="615" totalsRowBorderDxfId="614">
  <autoFilter ref="K14:M31" xr:uid="{C83FE64B-E221-4DAA-89EA-5307A7BC98B3}"/>
  <tableColumns count="3">
    <tableColumn id="1" xr3:uid="{6A036C59-7D03-43F7-84CF-EE3CB14BE67B}" name="OS" dataDxfId="613"/>
    <tableColumn id="2" xr3:uid="{C5A126A9-9B7F-4F06-ADC7-ACCED0396BF3}" name="Vendedor" dataDxfId="612"/>
    <tableColumn id="3" xr3:uid="{BA1C7B45-A00B-472E-A02F-25A3DC58D90D}" name="CARNE" dataDxfId="611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10" dataDxfId="608" headerRowBorderDxfId="609" tableBorderDxfId="607" totalsRowBorderDxfId="60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5"/>
    <tableColumn id="2" xr3:uid="{2C145274-4831-4FAC-9C72-4EE6C56B54AE}" name="Cliente" dataDxfId="604"/>
    <tableColumn id="3" xr3:uid="{DE981E69-6CF2-49CA-A2F4-E16E28E648B8}" name="Forma de Pgto" dataDxfId="603" dataCellStyle="Moeda"/>
    <tableColumn id="4" xr3:uid="{6444B2E2-EBBD-4AD1-8C9A-93047C0686E8}" name="Valor Parcela" dataDxfId="602" dataCellStyle="Porcentagem"/>
    <tableColumn id="5" xr3:uid="{04528C7F-DC52-411C-A2BF-BF90292C4224}" name="Nº Parcela" dataDxfId="601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600" headerRowBorderDxfId="599" tableBorderDxfId="598" totalsRowBorderDxfId="597">
  <autoFilter ref="K34:M41" xr:uid="{1B8643D4-6AC3-4029-882A-C62E9D7CB225}"/>
  <tableColumns count="3">
    <tableColumn id="1" xr3:uid="{B8F19651-A782-44BC-8BA0-FFD090973F4B}" name="OS" dataDxfId="596"/>
    <tableColumn id="2" xr3:uid="{47E2F01C-C7E6-4997-80A0-4C35FA7B082A}" name="Parcelas" dataDxfId="595"/>
    <tableColumn id="3" xr3:uid="{BBBC80DF-0D25-47A9-9C8A-B68DAC85549A}" name="Valor Total" dataDxfId="594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3" dataDxfId="591" headerRowBorderDxfId="592" tableBorderDxfId="590" totalsRowBorderDxfId="5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8" dataCellStyle="Moeda"/>
    <tableColumn id="5" xr3:uid="{63E5AEF6-80DE-4801-B1C2-914D1F185217}" name="Cliente" dataDxfId="587" dataCellStyle="Moeda"/>
    <tableColumn id="2" xr3:uid="{1109E74A-578C-491B-B35C-C22544718F14}" name="Forma de Pgto" dataDxfId="586" dataCellStyle="Moeda"/>
    <tableColumn id="3" xr3:uid="{5C59392A-0568-4E84-9867-F9DCD09B25B6}" name="Valor Venda" dataDxfId="585" dataCellStyle="Porcentagem"/>
    <tableColumn id="4" xr3:uid="{D2C3A378-8143-432B-A8C6-A6193ABD7662}" name="Entrada" dataDxfId="584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3" dataDxfId="581" headerRowBorderDxfId="582" tableBorderDxfId="580" totalsRowBorderDxfId="579">
  <autoFilter ref="K5:M11" xr:uid="{00000000-0009-0000-0100-000015000000}"/>
  <tableColumns count="3">
    <tableColumn id="1" xr3:uid="{E6962685-66B9-4B52-AFC6-82E1DC5ABF13}" name="Descrição" dataDxfId="578"/>
    <tableColumn id="2" xr3:uid="{632111FE-E109-4AB8-89E6-0435B85BD131}" name="Tipo de Pagto" dataDxfId="577"/>
    <tableColumn id="3" xr3:uid="{E8C5B365-8D2D-4605-8A16-1AB9150BCC44}" name="Valor" dataDxfId="576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5" dataDxfId="573" headerRowBorderDxfId="574" tableBorderDxfId="572" totalsRowBorderDxfId="5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70"/>
    <tableColumn id="2" xr3:uid="{C0E81097-83C4-4524-8E34-CEF9787F8A7E}" name="Cliente" dataDxfId="569"/>
    <tableColumn id="3" xr3:uid="{8D59E67E-B452-4F9A-AAE0-36EA95BB6E19}" name="Forma de Pgto" dataDxfId="568" dataCellStyle="Moeda"/>
    <tableColumn id="4" xr3:uid="{F7466880-2D96-46D0-97F5-A0F3057F4B83}" name="Valor Venda" dataDxfId="567" dataCellStyle="Porcentagem"/>
    <tableColumn id="5" xr3:uid="{1C9ACBF3-A8FA-4869-9459-B9FD6EE7CC98}" name="Entrada" dataDxfId="566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5" dataDxfId="563" headerRowBorderDxfId="564" tableBorderDxfId="562" totalsRowBorderDxfId="561">
  <autoFilter ref="K14:M31" xr:uid="{C83FE64B-E221-4DAA-89EA-5307A7BC98B3}"/>
  <tableColumns count="3">
    <tableColumn id="1" xr3:uid="{B00D0221-B7E2-4319-872F-39A5F278179B}" name="OS" dataDxfId="560"/>
    <tableColumn id="2" xr3:uid="{EB50C8BC-2DB9-4F7B-B612-681BB547926A}" name="Vendedor" dataDxfId="559"/>
    <tableColumn id="3" xr3:uid="{35270191-CAC7-406B-B916-370E9194FBD0}" name="CARNE" dataDxfId="558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7" dataDxfId="555" headerRowBorderDxfId="556" tableBorderDxfId="554" totalsRowBorderDxfId="55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2"/>
    <tableColumn id="2" xr3:uid="{D650DC73-190F-4D20-A432-5DFA05B32EBB}" name="Cliente" dataDxfId="551"/>
    <tableColumn id="3" xr3:uid="{B232D3BA-4291-4772-8FA1-966DFC2F6BAD}" name="Forma de Pgto" dataDxfId="550" dataCellStyle="Moeda"/>
    <tableColumn id="4" xr3:uid="{27933DC4-0B14-4F8A-9424-CDECA8B0BE13}" name="Valor Parcela" dataDxfId="549" dataCellStyle="Porcentagem"/>
    <tableColumn id="5" xr3:uid="{812A2DA5-D78D-454A-BF37-5BC7C8B486FB}" name="Nº Parcela" dataDxfId="548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7" headerRowBorderDxfId="546" tableBorderDxfId="545" totalsRowBorderDxfId="544">
  <autoFilter ref="K34:M41" xr:uid="{1B8643D4-6AC3-4029-882A-C62E9D7CB225}"/>
  <tableColumns count="3">
    <tableColumn id="1" xr3:uid="{F3E7E89B-8196-4CDC-A23E-947DB3CEA07C}" name="OS" dataDxfId="543"/>
    <tableColumn id="2" xr3:uid="{D705822D-AFE1-401D-A8C8-7D7BB7A4C86C}" name="Parcelas" dataDxfId="542"/>
    <tableColumn id="3" xr3:uid="{C528E7A1-6466-4E27-8A7C-A46F4678792C}" name="Valor Total" dataDxfId="541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40" dataDxfId="538" headerRowBorderDxfId="539" tableBorderDxfId="537" totalsRowBorderDxfId="53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5" dataCellStyle="Moeda"/>
    <tableColumn id="5" xr3:uid="{935EFB73-C7DF-4DB2-A9CA-2CCBA3650F22}" name="Cliente" dataDxfId="534" dataCellStyle="Moeda"/>
    <tableColumn id="2" xr3:uid="{869122A0-3CC2-4E92-8EFB-746E8E8CB311}" name="Forma de Pgto" dataDxfId="533" dataCellStyle="Moeda"/>
    <tableColumn id="3" xr3:uid="{6DA3B9FE-BCC2-4503-9E60-EA0ED444B7A6}" name="Valor Venda" dataDxfId="532" dataCellStyle="Porcentagem"/>
    <tableColumn id="4" xr3:uid="{A8A1A79C-5DE2-48A0-9D24-1DA382BBF42E}" name="Entrada" dataDxfId="531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30" dataDxfId="528" headerRowBorderDxfId="529" tableBorderDxfId="527" totalsRowBorderDxfId="526">
  <autoFilter ref="K5:M11" xr:uid="{00000000-0009-0000-0100-000015000000}"/>
  <tableColumns count="3">
    <tableColumn id="1" xr3:uid="{3E8535D4-7B2A-41EF-B25F-D96FCA746C77}" name="Descrição" dataDxfId="525"/>
    <tableColumn id="2" xr3:uid="{29FD7EBB-FAB4-46A7-8D0C-8DEF811BE03C}" name="Tipo de Pagto" dataDxfId="524"/>
    <tableColumn id="3" xr3:uid="{42A84199-904C-48CF-9EA1-668D5693A5E1}" name="Valor" dataDxfId="523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22" dataDxfId="520" headerRowBorderDxfId="521" tableBorderDxfId="519" totalsRowBorderDxfId="51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7"/>
    <tableColumn id="2" xr3:uid="{06FD4E8A-ECFC-46A5-9546-F18D5C7CCF46}" name="Cliente" dataDxfId="516"/>
    <tableColumn id="3" xr3:uid="{393434A3-085F-407B-B651-4C537A1C4DCA}" name="Forma de Pgto" dataDxfId="515" dataCellStyle="Moeda"/>
    <tableColumn id="4" xr3:uid="{D08FA6C2-56D1-4A76-94C1-132618C070F2}" name="Valor Venda" dataDxfId="514" dataCellStyle="Porcentagem"/>
    <tableColumn id="5" xr3:uid="{A94780A1-5426-454F-8950-AFE4D356071F}" name="Entrada" dataDxfId="513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12" dataDxfId="510" headerRowBorderDxfId="511" tableBorderDxfId="509" totalsRowBorderDxfId="508">
  <autoFilter ref="K14:M31" xr:uid="{C83FE64B-E221-4DAA-89EA-5307A7BC98B3}"/>
  <tableColumns count="3">
    <tableColumn id="1" xr3:uid="{5F81F202-5A63-416E-B66A-BC7A70C51944}" name="OS" dataDxfId="507"/>
    <tableColumn id="2" xr3:uid="{74527326-0E45-44AC-976A-01AD354EEF97}" name="Vendedor" dataDxfId="506"/>
    <tableColumn id="3" xr3:uid="{7E368C39-6290-45A4-8C60-3E0B6BEC860E}" name="CARNE" dataDxfId="505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4" dataDxfId="502" headerRowBorderDxfId="503" tableBorderDxfId="501" totalsRowBorderDxfId="5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9"/>
    <tableColumn id="2" xr3:uid="{5FB18F19-64B5-46AA-955B-A301C651C0F2}" name="Cliente" dataDxfId="498"/>
    <tableColumn id="3" xr3:uid="{51F731CD-986B-4FF6-A861-83997E66998E}" name="Forma de Pgto" dataDxfId="497" dataCellStyle="Moeda"/>
    <tableColumn id="4" xr3:uid="{BD861052-26CD-48E9-91C6-0A6DF7C6A099}" name="Valor Parcela" dataDxfId="496" dataCellStyle="Porcentagem"/>
    <tableColumn id="5" xr3:uid="{8A5D6765-7637-45A4-9660-09EDBB031EC1}" name="Nº Parcela" dataDxfId="495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4" headerRowBorderDxfId="493" tableBorderDxfId="492" totalsRowBorderDxfId="491">
  <autoFilter ref="K34:M41" xr:uid="{1B8643D4-6AC3-4029-882A-C62E9D7CB225}"/>
  <tableColumns count="3">
    <tableColumn id="1" xr3:uid="{96F2F5A7-6005-4604-8B24-0E2838B4DD29}" name="OS" dataDxfId="490"/>
    <tableColumn id="2" xr3:uid="{ED904B68-5D9C-4B50-96BA-96CAD5E34CF1}" name="Parcelas" dataDxfId="489"/>
    <tableColumn id="3" xr3:uid="{317680F4-80F7-44BC-B3EF-4EFC6A803CAC}" name="Valor Total" dataDxfId="488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7" dataDxfId="485" headerRowBorderDxfId="486" tableBorderDxfId="484" totalsRowBorderDxfId="4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82" dataCellStyle="Moeda"/>
    <tableColumn id="5" xr3:uid="{8C950723-3D74-47BB-96EF-8D7D6A2189F6}" name="Cliente" dataDxfId="481" dataCellStyle="Moeda"/>
    <tableColumn id="2" xr3:uid="{891A7678-229E-4FF4-AD78-C00F149C7AB3}" name="Forma de Pgto" dataDxfId="480" dataCellStyle="Moeda"/>
    <tableColumn id="3" xr3:uid="{C1AD64CF-D636-4D0B-90AF-998E65C41E3B}" name="Valor Venda" dataDxfId="479" dataCellStyle="Porcentagem"/>
    <tableColumn id="4" xr3:uid="{4674130B-789D-479A-9F01-407FB3322D27}" name="Entrada" dataDxfId="478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7" dataDxfId="475" headerRowBorderDxfId="476" tableBorderDxfId="474" totalsRowBorderDxfId="473">
  <autoFilter ref="K5:M11" xr:uid="{00000000-0009-0000-0100-000015000000}"/>
  <tableColumns count="3">
    <tableColumn id="1" xr3:uid="{558DC85F-C627-4F48-82AA-C24727E75A42}" name="Descrição" dataDxfId="472"/>
    <tableColumn id="2" xr3:uid="{8346B0E0-FB0D-4ED3-ABBC-3816B7CB40C9}" name="Tipo de Pagto" dataDxfId="471"/>
    <tableColumn id="3" xr3:uid="{362F9934-CC54-4E70-A26F-6CDF66DEB838}" name="Valor" dataDxfId="470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9" dataDxfId="467" headerRowBorderDxfId="468" tableBorderDxfId="466" totalsRowBorderDxfId="4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4"/>
    <tableColumn id="2" xr3:uid="{B711E4E6-0AE5-42C8-8015-A72C2855CDFB}" name="Cliente" dataDxfId="463"/>
    <tableColumn id="3" xr3:uid="{016D3713-BA29-48F8-8683-6E42C1C8BDFE}" name="Forma de Pgto" dataDxfId="462" dataCellStyle="Moeda"/>
    <tableColumn id="4" xr3:uid="{66F30211-F047-40DA-B134-05B87A798574}" name="Valor Venda" dataDxfId="461" dataCellStyle="Porcentagem"/>
    <tableColumn id="5" xr3:uid="{2FB6AB3C-AA9E-4034-AF4B-12D9A3ECBBCA}" name="Entrada" dataDxfId="460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9" dataDxfId="457" headerRowBorderDxfId="458" tableBorderDxfId="456" totalsRowBorderDxfId="455">
  <autoFilter ref="K14:M31" xr:uid="{C83FE64B-E221-4DAA-89EA-5307A7BC98B3}"/>
  <tableColumns count="3">
    <tableColumn id="1" xr3:uid="{D6DF1477-46D1-47E2-A070-9A33886E6137}" name="OS" dataDxfId="454"/>
    <tableColumn id="2" xr3:uid="{C4215FA6-4F2C-444A-8E0B-4F99AEEE9430}" name="Vendedor" dataDxfId="453"/>
    <tableColumn id="3" xr3:uid="{7B8AD675-F389-4803-BFFB-8166F703E829}" name="CARNE" dataDxfId="452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51" dataDxfId="449" headerRowBorderDxfId="450" tableBorderDxfId="448" totalsRowBorderDxfId="4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6"/>
    <tableColumn id="2" xr3:uid="{45674E96-72EC-433B-9141-E40A07A72A19}" name="Cliente" dataDxfId="445"/>
    <tableColumn id="3" xr3:uid="{22102B96-8607-4584-B5A3-C1EE639E0F4C}" name="Forma de Pgto" dataDxfId="444" dataCellStyle="Moeda"/>
    <tableColumn id="4" xr3:uid="{DC2E9D15-91B3-4478-AA38-B98773D1B0DA}" name="Valor Parcela" dataDxfId="443" dataCellStyle="Porcentagem"/>
    <tableColumn id="5" xr3:uid="{ABCCDEDB-69A0-4492-A24A-12A60E76A2F8}" name="Nº Parcela" dataDxfId="442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41" headerRowBorderDxfId="440" tableBorderDxfId="439" totalsRowBorderDxfId="438">
  <autoFilter ref="K34:M41" xr:uid="{1B8643D4-6AC3-4029-882A-C62E9D7CB225}"/>
  <tableColumns count="3">
    <tableColumn id="1" xr3:uid="{96E4A694-A16C-4FAB-8484-5D1DCD513FF1}" name="OS" dataDxfId="437"/>
    <tableColumn id="2" xr3:uid="{CEC7F98C-5986-47BB-824E-5616D5A150E4}" name="Parcelas" dataDxfId="436"/>
    <tableColumn id="3" xr3:uid="{A82CBD0B-203D-4ED5-BDE4-3B77ECED5860}" name="Valor Total" dataDxfId="435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4" dataDxfId="432" headerRowBorderDxfId="433" tableBorderDxfId="431" totalsRowBorderDxfId="4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9" dataCellStyle="Moeda"/>
    <tableColumn id="5" xr3:uid="{28960474-C27A-4147-BD99-7BB60462B8B0}" name="Cliente" dataDxfId="428" dataCellStyle="Moeda"/>
    <tableColumn id="2" xr3:uid="{67D37C1F-FE45-48AD-BED8-2CFECE89FEA0}" name="Forma de Pgto" dataDxfId="427" dataCellStyle="Moeda"/>
    <tableColumn id="3" xr3:uid="{9D53CA59-8DC0-45C1-B948-0BC9CE105A46}" name="Valor Venda" dataDxfId="426" dataCellStyle="Porcentagem"/>
    <tableColumn id="4" xr3:uid="{63C5EED9-C4FA-4177-B2B7-18053322A958}" name="Entrada" dataDxfId="425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4" dataDxfId="422" headerRowBorderDxfId="423" tableBorderDxfId="421" totalsRowBorderDxfId="420">
  <autoFilter ref="K5:M11" xr:uid="{00000000-0009-0000-0100-000015000000}"/>
  <tableColumns count="3">
    <tableColumn id="1" xr3:uid="{EA5469B7-1D8E-40E9-95A2-35DAC9D5EC13}" name="Descrição" dataDxfId="419"/>
    <tableColumn id="2" xr3:uid="{6149AE8A-4EBC-4D73-8258-5E25710E3A30}" name="Tipo de Pagto" dataDxfId="418"/>
    <tableColumn id="3" xr3:uid="{6872D867-5B80-4E69-B012-87CC7B75B649}" name="Valor" dataDxfId="417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6" headerRowBorderDxfId="415" tableBorderDxfId="414" totalsRowBorderDxfId="41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"/>
    <tableColumn id="2" xr3:uid="{83BEE3E3-D5E6-4B4E-B0F3-B7D166EBC951}" name="Cliente" dataDxfId="3"/>
    <tableColumn id="3" xr3:uid="{D56D36FF-3364-4C9B-95E8-FF48852EB70B}" name="Forma de Pgto" dataDxfId="2" dataCellStyle="Moeda"/>
    <tableColumn id="4" xr3:uid="{E2E76570-BF3A-47F8-A702-0FE2FE405B33}" name="Valor Venda" dataDxfId="1" dataCellStyle="Porcentagem"/>
    <tableColumn id="5" xr3:uid="{19FD5054-F0CE-4B30-BF14-7D86B666A44E}" name="Entrada" dataDxfId="0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12" dataDxfId="410" headerRowBorderDxfId="411" tableBorderDxfId="409" totalsRowBorderDxfId="408">
  <autoFilter ref="K14:M31" xr:uid="{C83FE64B-E221-4DAA-89EA-5307A7BC98B3}"/>
  <tableColumns count="3">
    <tableColumn id="1" xr3:uid="{2A900AC2-CDD6-4655-B7AF-13F9A8DDD9FF}" name="OS" dataDxfId="407"/>
    <tableColumn id="2" xr3:uid="{D566D654-CC7D-40A6-874D-6CD6342DEC3B}" name="Vendedor" dataDxfId="406"/>
    <tableColumn id="3" xr3:uid="{E8D97BA9-0913-40AD-B2A5-0F60E6A0BE95}" name="CARNE" dataDxfId="405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404" dataDxfId="402" headerRowBorderDxfId="403" tableBorderDxfId="401" totalsRowBorderDxfId="40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99"/>
    <tableColumn id="2" xr3:uid="{CDAD5229-EE1B-4727-8C27-8A17FEDA1C5C}" name="Cliente" dataDxfId="398"/>
    <tableColumn id="3" xr3:uid="{93224419-805E-4D8C-A296-80DA02CCC413}" name="Forma de Pgto" dataDxfId="397" dataCellStyle="Moeda"/>
    <tableColumn id="4" xr3:uid="{40C77CE6-762C-49C9-94EB-7D5AFC9A73A4}" name="Valor Parcela" dataDxfId="396" dataCellStyle="Porcentagem"/>
    <tableColumn id="5" xr3:uid="{8A7914AB-189B-4928-860C-9AB79BAA232D}" name="Nº Parcela" dataDxfId="395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94" headerRowBorderDxfId="393" tableBorderDxfId="392" totalsRowBorderDxfId="391">
  <autoFilter ref="K34:M41" xr:uid="{1B8643D4-6AC3-4029-882A-C62E9D7CB225}"/>
  <tableColumns count="3">
    <tableColumn id="1" xr3:uid="{C92D7BD7-E114-41CE-802D-B41EFFA721F2}" name="OS" dataDxfId="390"/>
    <tableColumn id="2" xr3:uid="{C67ABBBE-4637-4653-928F-36D0678D64F6}" name="Parcelas" dataDxfId="389"/>
    <tableColumn id="3" xr3:uid="{2217F874-8724-4CC1-9542-1585CC1817E3}" name="Valor Total" dataDxfId="388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87" dataDxfId="385" headerRowBorderDxfId="386" tableBorderDxfId="384" totalsRowBorderDxfId="38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82" dataCellStyle="Moeda"/>
    <tableColumn id="5" xr3:uid="{EA7582FE-FEFF-4011-BD42-218C3664E6AB}" name="Cliente" dataDxfId="381" dataCellStyle="Moeda"/>
    <tableColumn id="2" xr3:uid="{F90F407A-44F2-4B25-95B2-7FFF747C7AA1}" name="Forma de Pgto" dataDxfId="380" dataCellStyle="Moeda"/>
    <tableColumn id="3" xr3:uid="{3ED51D07-27C8-4437-A49E-867C7274BC65}" name="Valor Venda" dataDxfId="379" dataCellStyle="Porcentagem"/>
    <tableColumn id="4" xr3:uid="{42C92817-5DF0-4DE7-B430-03840EF6E852}" name="Entrada" dataDxfId="378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77" dataDxfId="375" headerRowBorderDxfId="376" tableBorderDxfId="374" totalsRowBorderDxfId="373">
  <autoFilter ref="K5:M11" xr:uid="{00000000-0009-0000-0100-000015000000}"/>
  <tableColumns count="3">
    <tableColumn id="1" xr3:uid="{BCDA9109-FE1B-43D0-A775-F187BA433103}" name="Descrição" dataDxfId="372"/>
    <tableColumn id="2" xr3:uid="{6200DB38-1340-49E2-8DB4-68F203C169F1}" name="Tipo de Pagto" dataDxfId="371"/>
    <tableColumn id="3" xr3:uid="{27595B27-AB97-40C9-BECE-DEB4EF2576B7}" name="Valor" dataDxfId="370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69" dataDxfId="367" headerRowBorderDxfId="368" tableBorderDxfId="366" totalsRowBorderDxfId="36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64"/>
    <tableColumn id="2" xr3:uid="{2547CEAB-188F-4407-8B89-F3536432D0FA}" name="Cliente" dataDxfId="363"/>
    <tableColumn id="3" xr3:uid="{54CBD340-AB1A-4F98-A129-037389C3E236}" name="Forma de Pgto" dataDxfId="362" dataCellStyle="Moeda"/>
    <tableColumn id="4" xr3:uid="{CB0BC571-5837-4C35-AFDD-D5873CE23AE9}" name="Valor Venda" dataDxfId="361" dataCellStyle="Porcentagem"/>
    <tableColumn id="5" xr3:uid="{517A77AC-A76A-4CE7-B5D1-3FEFDF7B8722}" name="Entrada" dataDxfId="360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59" dataDxfId="357" headerRowBorderDxfId="358" tableBorderDxfId="356" totalsRowBorderDxfId="355">
  <autoFilter ref="K14:M31" xr:uid="{C83FE64B-E221-4DAA-89EA-5307A7BC98B3}"/>
  <tableColumns count="3">
    <tableColumn id="1" xr3:uid="{71C4392B-8887-40B1-9A7B-C600C91C0A9F}" name="OS" dataDxfId="354"/>
    <tableColumn id="2" xr3:uid="{EAC02F14-380C-4B61-8944-E4F1EC6C2572}" name="Vendedor" dataDxfId="353"/>
    <tableColumn id="3" xr3:uid="{04750BAB-2533-45E4-AD1A-4273DBA80CF4}" name="CARNE" dataDxfId="352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51" dataDxfId="349" headerRowBorderDxfId="350" tableBorderDxfId="348" totalsRowBorderDxfId="34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46"/>
    <tableColumn id="2" xr3:uid="{C78ED1A0-4ABC-4C46-9011-9E7D40E53828}" name="Cliente" dataDxfId="345"/>
    <tableColumn id="3" xr3:uid="{5CDE3049-7EDA-4337-9E8E-58F0DB4CFDD5}" name="Forma de Pgto" dataDxfId="344" dataCellStyle="Moeda"/>
    <tableColumn id="4" xr3:uid="{7ACCAB16-AFFF-4B9D-A25F-B45F3BBA93B9}" name="Valor Parcela" dataDxfId="343" dataCellStyle="Porcentagem"/>
    <tableColumn id="5" xr3:uid="{15EC4276-5957-4146-877A-2D9AF52832DE}" name="Nº Parcela" dataDxfId="342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41" headerRowBorderDxfId="340" tableBorderDxfId="339" totalsRowBorderDxfId="338">
  <autoFilter ref="K34:M41" xr:uid="{1B8643D4-6AC3-4029-882A-C62E9D7CB225}"/>
  <tableColumns count="3">
    <tableColumn id="1" xr3:uid="{509FE920-B0D4-48CC-8AFC-C231084014ED}" name="OS" dataDxfId="337"/>
    <tableColumn id="2" xr3:uid="{648797DA-323D-4F7C-95F3-3223D3A08821}" name="Parcelas" dataDxfId="336"/>
    <tableColumn id="3" xr3:uid="{0684A7C0-4163-4297-B332-DFFBB65E266D}" name="Valor Total" dataDxfId="335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34" dataDxfId="332" headerRowBorderDxfId="333" tableBorderDxfId="331" totalsRowBorderDxfId="33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29" dataCellStyle="Moeda"/>
    <tableColumn id="5" xr3:uid="{FA1FA1DC-5352-4524-9AB2-369222C4BDD1}" name="Cliente" dataDxfId="328" dataCellStyle="Moeda"/>
    <tableColumn id="2" xr3:uid="{A73B5E06-AB1F-48ED-B61C-8853446A4F5E}" name="Forma de Pgto" dataDxfId="327" dataCellStyle="Moeda"/>
    <tableColumn id="3" xr3:uid="{E5231A7F-7D20-4503-A786-BF9FC0E23F42}" name="Valor Venda" dataDxfId="326" dataCellStyle="Porcentagem"/>
    <tableColumn id="4" xr3:uid="{86DAF072-A11E-464D-A335-9A5F5FF09F8D}" name="Entrada" dataDxfId="325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24" dataDxfId="322" headerRowBorderDxfId="323" tableBorderDxfId="321" totalsRowBorderDxfId="320">
  <autoFilter ref="K5:M11" xr:uid="{00000000-0009-0000-0100-000015000000}"/>
  <tableColumns count="3">
    <tableColumn id="1" xr3:uid="{0C299E65-9391-4336-8CF7-2EC1702B221E}" name="Descrição" dataDxfId="319"/>
    <tableColumn id="2" xr3:uid="{45EA8371-50DD-4161-8CE6-AE739B48843A}" name="Tipo de Pagto" dataDxfId="318"/>
    <tableColumn id="3" xr3:uid="{4D98764C-873C-4A32-9ABD-121372723463}" name="Valor" dataDxfId="317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16" dataDxfId="314" headerRowBorderDxfId="315" tableBorderDxfId="313" totalsRowBorderDxfId="31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11"/>
    <tableColumn id="2" xr3:uid="{212BE65F-3FA5-419B-B9A4-58240EFDEBFA}" name="Cliente" dataDxfId="310"/>
    <tableColumn id="3" xr3:uid="{1EE1E2AC-25F1-4013-8D38-A0638CF454DB}" name="Forma de Pgto" dataDxfId="309" dataCellStyle="Moeda"/>
    <tableColumn id="4" xr3:uid="{38D98562-880F-4C00-A26B-F40D7F6C9E67}" name="Valor Venda" dataDxfId="308" dataCellStyle="Porcentagem"/>
    <tableColumn id="5" xr3:uid="{183B778F-EB01-4FDA-BD28-D4D361F688C4}" name="Entrada" dataDxfId="307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306" dataDxfId="304" headerRowBorderDxfId="305" tableBorderDxfId="303" totalsRowBorderDxfId="302">
  <autoFilter ref="K14:M31" xr:uid="{C83FE64B-E221-4DAA-89EA-5307A7BC98B3}"/>
  <tableColumns count="3">
    <tableColumn id="1" xr3:uid="{21BA2342-0EF4-4D12-8CEB-D5F98AF1E43D}" name="OS" dataDxfId="301"/>
    <tableColumn id="2" xr3:uid="{8EC3F5A2-9325-43BD-A364-C3D24B7F492B}" name="Vendedor" dataDxfId="300"/>
    <tableColumn id="3" xr3:uid="{60B7BB21-2E30-4BF0-9109-7C61A6F8023E}" name="CARNE" dataDxfId="299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98" dataDxfId="296" headerRowBorderDxfId="297" tableBorderDxfId="295" totalsRowBorderDxfId="29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93"/>
    <tableColumn id="2" xr3:uid="{FEC021D0-C21F-4087-AA46-92F79B0BD15C}" name="Cliente" dataDxfId="292"/>
    <tableColumn id="3" xr3:uid="{B057DFD4-3A13-40AD-95B0-7A4A6D2F12EA}" name="Forma de Pgto" dataDxfId="291" dataCellStyle="Moeda"/>
    <tableColumn id="4" xr3:uid="{8571FA4F-3615-40B7-87DD-4A3572C756ED}" name="Valor Parcela" dataDxfId="290" dataCellStyle="Porcentagem"/>
    <tableColumn id="5" xr3:uid="{32F42922-7FF4-44E6-8FE1-CF1D84ED2607}" name="Nº Parcela" dataDxfId="289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88" headerRowBorderDxfId="287" tableBorderDxfId="286" totalsRowBorderDxfId="285">
  <autoFilter ref="K34:M41" xr:uid="{1B8643D4-6AC3-4029-882A-C62E9D7CB225}"/>
  <tableColumns count="3">
    <tableColumn id="1" xr3:uid="{239C8B86-39AD-48DE-8CD4-9E298F831595}" name="OS" dataDxfId="284"/>
    <tableColumn id="2" xr3:uid="{52A4913C-562E-40FD-8422-19A5A2E9F3E9}" name="Parcelas" dataDxfId="283"/>
    <tableColumn id="3" xr3:uid="{A2980378-BECE-4786-B65D-94F14F69AE6B}" name="Valor Total" dataDxfId="282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A62AF445-786E-438C-9775-AFF0F398BC0D}" name="vend31171" displayName="vend31171" ref="E5:I22" totalsRowShown="0" headerRowDxfId="281" dataDxfId="279" headerRowBorderDxfId="280" tableBorderDxfId="278" totalsRowBorderDxfId="27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6827AAF-4B01-4BCB-8866-0CCAD1D5972A}" name="Nº Venda" dataDxfId="276" dataCellStyle="Moeda"/>
    <tableColumn id="5" xr3:uid="{934334EC-375A-413B-A7D5-81641CCBFC66}" name="Cliente" dataDxfId="275" dataCellStyle="Moeda"/>
    <tableColumn id="2" xr3:uid="{961FF824-33FB-417C-BF08-0E390EC90780}" name="Forma de Pgto" dataDxfId="274" dataCellStyle="Moeda"/>
    <tableColumn id="3" xr3:uid="{82D37B12-136C-4D92-9D16-2BEA4D0E52E0}" name="Valor Venda" dataDxfId="273" dataCellStyle="Porcentagem"/>
    <tableColumn id="4" xr3:uid="{BAD1C12B-7DC4-40A9-AC7E-91B5E591B541}" name="Entrada" dataDxfId="272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11B3F0E6-6A66-40F8-BAC4-CB5234ABC1A4}" name="desp31172" displayName="desp31172" ref="K5:M11" totalsRowShown="0" headerRowDxfId="271" dataDxfId="269" headerRowBorderDxfId="270" tableBorderDxfId="268" totalsRowBorderDxfId="267">
  <autoFilter ref="K5:M11" xr:uid="{00000000-0009-0000-0100-000015000000}"/>
  <tableColumns count="3">
    <tableColumn id="1" xr3:uid="{C790A76D-F6C0-4AEA-A3A6-F63844CBE94A}" name="Descrição" dataDxfId="266"/>
    <tableColumn id="2" xr3:uid="{DB6302C2-2FF4-4334-A5E5-F0A062B081F3}" name="Tipo de Pagto" dataDxfId="265"/>
    <tableColumn id="3" xr3:uid="{2CAAF1F1-1882-453F-B654-501B7022CF28}" name="Valor" dataDxfId="264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ED674284-1722-4050-BB97-12B1C267C270}" name="rest_entr31173" displayName="rest_entr31173" ref="E25:I31" totalsRowShown="0" headerRowDxfId="263" dataDxfId="261" headerRowBorderDxfId="262" tableBorderDxfId="260" totalsRowBorderDxfId="25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FA4388B1-0DBA-458D-B494-C147E231D3B6}" name="Nº Venda" dataDxfId="258"/>
    <tableColumn id="2" xr3:uid="{2B1CF1E2-A750-4249-BFF7-73E895F73EAA}" name="Cliente" dataDxfId="257"/>
    <tableColumn id="3" xr3:uid="{A12BD29C-5D84-4A92-A1EA-E09E71F2A256}" name="Forma de Pgto" dataDxfId="256" dataCellStyle="Moeda"/>
    <tableColumn id="4" xr3:uid="{6951261A-7F3E-4C2F-A6F2-61FD59221AD7}" name="Valor Venda" dataDxfId="255" dataCellStyle="Porcentagem"/>
    <tableColumn id="5" xr3:uid="{DC8FD531-BF77-4FFC-B1C7-281C5C4590B4}" name="Entrada" dataDxfId="254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4081DBCF-A839-4B8F-A831-A39AA3A0947F}" name="os_entr_dia31174" displayName="os_entr_dia31174" ref="K14:M31" totalsRowShown="0" headerRowDxfId="253" dataDxfId="251" headerRowBorderDxfId="252" tableBorderDxfId="250" totalsRowBorderDxfId="249">
  <autoFilter ref="K14:M31" xr:uid="{C83FE64B-E221-4DAA-89EA-5307A7BC98B3}"/>
  <tableColumns count="3">
    <tableColumn id="1" xr3:uid="{8ACFBEE6-B2AF-439A-B6A0-531A2C58CEEB}" name="OS" dataDxfId="248"/>
    <tableColumn id="2" xr3:uid="{C81129B2-EC0B-41A5-8CC6-D9F1053CDE69}" name="Vendedor" dataDxfId="247"/>
    <tableColumn id="3" xr3:uid="{38DC80F3-B759-4C3F-865B-E60E0FFB08A2}" name="CARNE" dataDxfId="246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564EA1B3-CA68-479F-A6FD-951161B7EE48}" name="rec_carn31175" displayName="rec_carn31175" ref="E34:I41" totalsRowShown="0" headerRowDxfId="245" dataDxfId="243" headerRowBorderDxfId="244" tableBorderDxfId="242" totalsRowBorderDxfId="24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E9F0875-0F63-41DF-B1B9-29E598ED58C7}" name="OS" dataDxfId="240"/>
    <tableColumn id="2" xr3:uid="{979FC187-4967-458C-9EAA-E5D93E454C67}" name="Cliente" dataDxfId="239"/>
    <tableColumn id="3" xr3:uid="{058FCF52-EC06-45CB-AD9B-6D8E6CBB3677}" name="Forma de Pgto" dataDxfId="238" dataCellStyle="Moeda"/>
    <tableColumn id="4" xr3:uid="{9CF725A9-8B81-4F40-8473-45B906A024CB}" name="Valor Parcela" dataDxfId="237" dataCellStyle="Porcentagem"/>
    <tableColumn id="5" xr3:uid="{CF07CE20-D6B2-4253-883E-E93D7BEBDF94}" name="Nº Parcela" dataDxfId="236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B3E0B86-3A4E-44C3-8451-4CC38323ACAE}" name="entr_carn31176" displayName="entr_carn31176" ref="K34:M41" totalsRowShown="0" headerRowDxfId="235" headerRowBorderDxfId="234" tableBorderDxfId="233" totalsRowBorderDxfId="232">
  <autoFilter ref="K34:M41" xr:uid="{1B8643D4-6AC3-4029-882A-C62E9D7CB225}"/>
  <tableColumns count="3">
    <tableColumn id="1" xr3:uid="{7233A26E-C475-4FE9-9B53-C261053C2BC8}" name="OS" dataDxfId="231"/>
    <tableColumn id="2" xr3:uid="{4CB561F3-BE4E-430C-A415-A6E6C307FF2C}" name="Parcelas" dataDxfId="230"/>
    <tableColumn id="3" xr3:uid="{A6A3A1D2-B5F6-4C44-AC08-C8407BF4F801}" name="Valor Total" dataDxfId="229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28" dataDxfId="226" headerRowBorderDxfId="227" tableBorderDxfId="225" totalsRowBorderDxfId="22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23" dataCellStyle="Moeda"/>
    <tableColumn id="5" xr3:uid="{57575EBC-6B68-41EF-9676-918A4ABDCB4D}" name="Cliente" dataDxfId="222" dataCellStyle="Moeda"/>
    <tableColumn id="2" xr3:uid="{85714B76-869D-4DF7-8709-20EB0FE90848}" name="Forma de Pgto" dataDxfId="221" dataCellStyle="Moeda"/>
    <tableColumn id="3" xr3:uid="{A556487C-0FB8-4138-908B-0692480ED40F}" name="Valor Venda" dataDxfId="220" dataCellStyle="Porcentagem"/>
    <tableColumn id="4" xr3:uid="{2437A1CF-1861-42F2-9B6F-020480542B91}" name="Entrada" dataDxfId="219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18" dataDxfId="216" headerRowBorderDxfId="217" tableBorderDxfId="215" totalsRowBorderDxfId="214">
  <autoFilter ref="K5:M11" xr:uid="{00000000-0009-0000-0100-000015000000}"/>
  <tableColumns count="3">
    <tableColumn id="1" xr3:uid="{EA498FD3-4549-4930-A7C5-2A6A697F86CC}" name="Descrição" dataDxfId="213"/>
    <tableColumn id="2" xr3:uid="{8748D917-3F00-4700-B7E5-7700540A331D}" name="Tipo de Pagto" dataDxfId="212"/>
    <tableColumn id="3" xr3:uid="{42A9985B-0743-4482-AA4C-D8FD0E0F72A5}" name="Valor" dataDxfId="211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210" dataDxfId="208" headerRowBorderDxfId="209" tableBorderDxfId="207" totalsRowBorderDxfId="20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205"/>
    <tableColumn id="2" xr3:uid="{FE587643-BC52-4E6E-AF00-724AEF5CF68E}" name="Cliente" dataDxfId="204"/>
    <tableColumn id="3" xr3:uid="{7FE7D67C-9631-4982-8037-006DC6383D49}" name="Forma de Pgto" dataDxfId="203" dataCellStyle="Moeda"/>
    <tableColumn id="4" xr3:uid="{F211FF52-FD8A-4441-B1F6-EDB12BA108C0}" name="Valor Venda" dataDxfId="202" dataCellStyle="Porcentagem"/>
    <tableColumn id="5" xr3:uid="{16E4261B-0737-47FE-A7D3-731BFAF25FF7}" name="Entrada" dataDxfId="201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200" dataDxfId="198" headerRowBorderDxfId="199" tableBorderDxfId="197" totalsRowBorderDxfId="196">
  <autoFilter ref="K14:M31" xr:uid="{C83FE64B-E221-4DAA-89EA-5307A7BC98B3}"/>
  <tableColumns count="3">
    <tableColumn id="1" xr3:uid="{8E54EB92-C776-41FF-A0DB-06AF704A4887}" name="OS" dataDxfId="195"/>
    <tableColumn id="2" xr3:uid="{6868B7F3-9EF7-46C7-BEF9-654E8E36ED1C}" name="Vendedor" dataDxfId="194"/>
    <tableColumn id="3" xr3:uid="{1350521A-D743-40D9-A465-2D8D4BFE6A10}" name="CARNE" dataDxfId="193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92" dataDxfId="190" headerRowBorderDxfId="191" tableBorderDxfId="189" totalsRowBorderDxfId="18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87"/>
    <tableColumn id="2" xr3:uid="{85BDCF85-AA6C-42E1-B1B7-C516556DBDB9}" name="Cliente" dataDxfId="186"/>
    <tableColumn id="3" xr3:uid="{9F8DE4E4-D5E2-48B5-8EAA-40EB197D32AC}" name="Forma de Pgto" dataDxfId="185" dataCellStyle="Moeda"/>
    <tableColumn id="4" xr3:uid="{C6290D95-7284-445D-8939-C5FD7951996B}" name="Valor Parcela" dataDxfId="184" dataCellStyle="Porcentagem"/>
    <tableColumn id="5" xr3:uid="{52285BEC-0F7D-418F-A98F-3BC424F4B159}" name="Nº Parcela" dataDxfId="183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82" headerRowBorderDxfId="181" tableBorderDxfId="180" totalsRowBorderDxfId="179">
  <autoFilter ref="K34:M41" xr:uid="{1B8643D4-6AC3-4029-882A-C62E9D7CB225}"/>
  <tableColumns count="3">
    <tableColumn id="1" xr3:uid="{2CBB75AA-30A1-4E7B-931E-A32395F87AA4}" name="OS" dataDxfId="178"/>
    <tableColumn id="2" xr3:uid="{9C8D7AA6-CFE0-4494-82DC-042A052CAAA0}" name="Parcelas" dataDxfId="177"/>
    <tableColumn id="3" xr3:uid="{57D19216-198A-4E06-835D-91E30A9FE599}" name="Valor Total" dataDxfId="176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75" dataDxfId="173" headerRowBorderDxfId="174" tableBorderDxfId="172" totalsRowBorderDxfId="17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70" dataCellStyle="Moeda"/>
    <tableColumn id="5" xr3:uid="{B57FE100-D980-4793-9BEF-6EB81A189BDF}" name="Cliente" dataDxfId="169" dataCellStyle="Moeda"/>
    <tableColumn id="2" xr3:uid="{E3E7153F-994D-48FC-90C4-2CBF846DD020}" name="Forma de Pgto" dataDxfId="168" dataCellStyle="Moeda"/>
    <tableColumn id="3" xr3:uid="{665F1580-FA55-4C7F-BD41-C142CAFE3223}" name="Valor Venda" dataDxfId="167" dataCellStyle="Porcentagem"/>
    <tableColumn id="4" xr3:uid="{6F1E523A-10ED-4EDD-B2CA-D0C7AD019914}" name="Entrada" dataDxfId="166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65" dataDxfId="163" headerRowBorderDxfId="164" tableBorderDxfId="162" totalsRowBorderDxfId="161">
  <autoFilter ref="K5:M11" xr:uid="{00000000-0009-0000-0100-000015000000}"/>
  <tableColumns count="3">
    <tableColumn id="1" xr3:uid="{8A51E802-CECA-43FB-B82C-E6736A43EA3D}" name="Descrição" dataDxfId="160"/>
    <tableColumn id="2" xr3:uid="{5BCD8607-AADC-48F8-8E37-0466420D4FCD}" name="Tipo de Pagto" dataDxfId="159"/>
    <tableColumn id="3" xr3:uid="{4723FDE3-A519-42AE-9778-8C9E4D87D4F8}" name="Valor" dataDxfId="158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57" dataDxfId="155" headerRowBorderDxfId="156" tableBorderDxfId="154" totalsRowBorderDxfId="15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52"/>
    <tableColumn id="2" xr3:uid="{DD36027F-0205-4159-9C6C-7703DD9F61D1}" name="Cliente" dataDxfId="151"/>
    <tableColumn id="3" xr3:uid="{C8916D40-C533-47FF-A39E-183396744611}" name="Forma de Pgto" dataDxfId="150" dataCellStyle="Moeda"/>
    <tableColumn id="4" xr3:uid="{80EB5638-1F44-4817-8C1B-9EB07004D4CA}" name="Valor Venda" dataDxfId="149" dataCellStyle="Porcentagem"/>
    <tableColumn id="5" xr3:uid="{B4816614-99C6-4C2F-BA88-5290B6B734E3}" name="Entrada" dataDxfId="148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47" dataDxfId="145" headerRowBorderDxfId="146" tableBorderDxfId="144" totalsRowBorderDxfId="143">
  <autoFilter ref="K14:M31" xr:uid="{C83FE64B-E221-4DAA-89EA-5307A7BC98B3}"/>
  <tableColumns count="3">
    <tableColumn id="1" xr3:uid="{DCFC0FAB-C428-42CC-A79B-6BBC4C4E77BA}" name="OS" dataDxfId="142"/>
    <tableColumn id="2" xr3:uid="{55C72FAB-171A-4E5F-A55F-BBFBE0F4AF66}" name="Vendedor" dataDxfId="141"/>
    <tableColumn id="3" xr3:uid="{DCD6A944-16B4-44C6-9625-37A26D7A1151}" name="CARNE" dataDxfId="140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39" dataDxfId="137" headerRowBorderDxfId="138" tableBorderDxfId="136" totalsRowBorderDxfId="13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34"/>
    <tableColumn id="2" xr3:uid="{D2E85D99-F671-4642-9D56-7BBD7EADC926}" name="Cliente" dataDxfId="133"/>
    <tableColumn id="3" xr3:uid="{B8D270E5-112A-4D49-B21F-9055AF1F02FC}" name="Forma de Pgto" dataDxfId="132" dataCellStyle="Moeda"/>
    <tableColumn id="4" xr3:uid="{BA14CF36-FD33-4C35-B77D-D8C5207F906C}" name="Valor Parcela" dataDxfId="131" dataCellStyle="Porcentagem"/>
    <tableColumn id="5" xr3:uid="{2E862B2B-4705-4EDB-B528-4C423CDCC317}" name="Nº Parcela" dataDxfId="130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29" headerRowBorderDxfId="128" tableBorderDxfId="127" totalsRowBorderDxfId="126">
  <autoFilter ref="K34:M41" xr:uid="{1B8643D4-6AC3-4029-882A-C62E9D7CB225}"/>
  <tableColumns count="3">
    <tableColumn id="1" xr3:uid="{2092375F-825B-4295-AC07-BBBA3650EB3F}" name="OS" dataDxfId="125"/>
    <tableColumn id="2" xr3:uid="{8614B6AF-F25C-401B-AE51-F9959608EB4A}" name="Parcelas" dataDxfId="124"/>
    <tableColumn id="3" xr3:uid="{9702475E-64D8-4282-B5F4-F45E7E7B1891}" name="Valor Total" dataDxfId="123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22" dataDxfId="120" headerRowBorderDxfId="121" tableBorderDxfId="119" totalsRowBorderDxfId="11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17" dataCellStyle="Moeda"/>
    <tableColumn id="5" xr3:uid="{6DA19713-2E98-46D3-97C5-9220DCA239CF}" name="Cliente" dataDxfId="116" dataCellStyle="Moeda"/>
    <tableColumn id="2" xr3:uid="{88459FA3-E39A-4E24-BE6F-5B43DDEA2A4A}" name="Forma de Pgto" dataDxfId="115" dataCellStyle="Moeda"/>
    <tableColumn id="3" xr3:uid="{D7168B7C-70C2-4F65-A7A3-4909E88C1A7B}" name="Valor Venda" dataDxfId="114" dataCellStyle="Porcentagem"/>
    <tableColumn id="4" xr3:uid="{ADF4588D-7BC9-4314-A427-3D24958DACCC}" name="Entrada" dataDxfId="113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112" dataDxfId="110" headerRowBorderDxfId="111" tableBorderDxfId="109" totalsRowBorderDxfId="108">
  <autoFilter ref="K5:M11" xr:uid="{00000000-0009-0000-0100-000015000000}"/>
  <tableColumns count="3">
    <tableColumn id="1" xr3:uid="{E442CE4D-8AE5-41ED-A914-7256B88EAC73}" name="Descrição" dataDxfId="107"/>
    <tableColumn id="2" xr3:uid="{1E7FE08B-850F-4E9F-8B47-9536C8F5EC41}" name="Tipo de Pagto" dataDxfId="106"/>
    <tableColumn id="3" xr3:uid="{3DF1C1DC-F67A-43FF-B2A1-DF3622684536}" name="Valor" dataDxfId="105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104" dataDxfId="102" headerRowBorderDxfId="103" tableBorderDxfId="101" totalsRowBorderDxfId="10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99"/>
    <tableColumn id="2" xr3:uid="{7751C919-065D-412F-B8A7-F92A54826246}" name="Cliente" dataDxfId="98"/>
    <tableColumn id="3" xr3:uid="{22CEA33D-E4AE-4795-B81E-F00AEE0259C7}" name="Forma de Pgto" dataDxfId="97" dataCellStyle="Moeda"/>
    <tableColumn id="4" xr3:uid="{111A6D3D-9DF3-48E3-B298-6A078CD9958A}" name="Valor Venda" dataDxfId="96" dataCellStyle="Porcentagem"/>
    <tableColumn id="5" xr3:uid="{6FAC4EB6-9A05-4962-BE54-D649C18DF277}" name="Entrada" dataDxfId="95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94" dataDxfId="92" headerRowBorderDxfId="93" tableBorderDxfId="91" totalsRowBorderDxfId="90">
  <autoFilter ref="K14:M31" xr:uid="{C83FE64B-E221-4DAA-89EA-5307A7BC98B3}"/>
  <tableColumns count="3">
    <tableColumn id="1" xr3:uid="{70EC0554-ECDB-4BBB-8EC8-2A8F33D6CFC6}" name="OS" dataDxfId="89"/>
    <tableColumn id="2" xr3:uid="{7B162083-69E8-4F3B-A78B-AAB824AC7351}" name="Vendedor" dataDxfId="88"/>
    <tableColumn id="3" xr3:uid="{A73D781B-1144-472F-AB4F-C1B60353EA62}" name="CARNE" dataDxfId="87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86" dataDxfId="84" headerRowBorderDxfId="85" tableBorderDxfId="83" totalsRowBorderDxfId="8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81"/>
    <tableColumn id="2" xr3:uid="{20C66877-6F9A-47B0-A475-B6BCD966BCDE}" name="Cliente" dataDxfId="80"/>
    <tableColumn id="3" xr3:uid="{0B1C76D4-E380-4017-B2F1-2785D2AA0EB8}" name="Forma de Pgto" dataDxfId="79" dataCellStyle="Moeda"/>
    <tableColumn id="4" xr3:uid="{B7ACF4A8-9732-43AF-BAA1-9675D326ADFE}" name="Valor Parcela" dataDxfId="78" dataCellStyle="Porcentagem"/>
    <tableColumn id="5" xr3:uid="{D3AA6A31-6891-4F0D-A789-213423B77F89}" name="Nº Parcela" dataDxfId="77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76" headerRowBorderDxfId="75" tableBorderDxfId="74" totalsRowBorderDxfId="73">
  <autoFilter ref="K34:M41" xr:uid="{1B8643D4-6AC3-4029-882A-C62E9D7CB225}"/>
  <tableColumns count="3">
    <tableColumn id="1" xr3:uid="{2F82B378-0FB6-4745-B866-67CFE9774172}" name="OS" dataDxfId="72"/>
    <tableColumn id="2" xr3:uid="{BC22F8A2-3A5C-41B3-B76F-5C0070F63051}" name="Parcelas" dataDxfId="71"/>
    <tableColumn id="3" xr3:uid="{4BD95DAA-0D20-4678-8E3E-53FA905C70F9}" name="Valor Total" dataDxfId="70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69" dataDxfId="67" headerRowBorderDxfId="68" tableBorderDxfId="66" totalsRowBorderDxfId="6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64" dataCellStyle="Moeda"/>
    <tableColumn id="5" xr3:uid="{B349F75C-FD83-42BC-AC89-09AA029D8EFE}" name="Cliente" dataDxfId="63" dataCellStyle="Moeda"/>
    <tableColumn id="2" xr3:uid="{5AC8E623-19E4-4450-B04F-87D3C51A3106}" name="Forma de Pgto" dataDxfId="62" dataCellStyle="Moeda"/>
    <tableColumn id="3" xr3:uid="{B508839F-67B8-4567-A0E7-F626D9292F0F}" name="Valor Venda" dataDxfId="61" dataCellStyle="Porcentagem"/>
    <tableColumn id="4" xr3:uid="{EEC337BF-1756-4A9B-AD25-186C19F608E4}" name="Entrada" dataDxfId="60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59" dataDxfId="57" headerRowBorderDxfId="58" tableBorderDxfId="56" totalsRowBorderDxfId="55">
  <autoFilter ref="K5:M11" xr:uid="{00000000-0009-0000-0100-000015000000}"/>
  <tableColumns count="3">
    <tableColumn id="1" xr3:uid="{3592BEEC-943B-4302-A978-B56ADB08BED9}" name="Descrição" dataDxfId="54"/>
    <tableColumn id="2" xr3:uid="{49221644-AE32-4BF9-BB52-77A3EABD5F0C}" name="Tipo de Pagto" dataDxfId="53"/>
    <tableColumn id="3" xr3:uid="{88361A78-CF3F-4DCF-8424-AE46053C75E6}" name="Valor" dataDxfId="52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51" dataDxfId="49" headerRowBorderDxfId="50" tableBorderDxfId="48" totalsRowBorderDxfId="4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46"/>
    <tableColumn id="2" xr3:uid="{97DD3132-3804-4C47-A6DB-7DC40600EC8C}" name="Cliente" dataDxfId="45"/>
    <tableColumn id="3" xr3:uid="{1BC70869-3856-4ED9-8F16-5BD65C3868A7}" name="Forma de Pgto" dataDxfId="44" dataCellStyle="Moeda"/>
    <tableColumn id="4" xr3:uid="{C05A5EE1-AECF-408D-AE83-591D903C7D3B}" name="Valor Venda" dataDxfId="43" dataCellStyle="Porcentagem"/>
    <tableColumn id="5" xr3:uid="{1797FF6E-998A-42EF-B971-6F5AF105380C}" name="Entrada" dataDxfId="42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41" dataDxfId="39" headerRowBorderDxfId="40" tableBorderDxfId="38" totalsRowBorderDxfId="37">
  <autoFilter ref="K14:M31" xr:uid="{C83FE64B-E221-4DAA-89EA-5307A7BC98B3}"/>
  <tableColumns count="3">
    <tableColumn id="1" xr3:uid="{9DE4A889-248F-459E-8992-681934B06197}" name="OS" dataDxfId="36"/>
    <tableColumn id="2" xr3:uid="{02C1F889-1B21-460D-A9B5-23882A34C610}" name="Vendedor" dataDxfId="35"/>
    <tableColumn id="3" xr3:uid="{7BA38CB9-A108-482C-89FC-5BAC0E16D20B}" name="CARNE" dataDxfId="34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33" dataDxfId="31" headerRowBorderDxfId="32" tableBorderDxfId="30" totalsRowBorderDxfId="2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28"/>
    <tableColumn id="2" xr3:uid="{0384488B-A6E8-45B8-95DF-1AFC546D97F7}" name="Cliente" dataDxfId="27"/>
    <tableColumn id="3" xr3:uid="{27D144F0-AF87-462E-9717-001979EED817}" name="Forma de Pgto" dataDxfId="26" dataCellStyle="Moeda"/>
    <tableColumn id="4" xr3:uid="{53029C9F-CBAD-4B52-99B7-2C6ECD96CA7E}" name="Valor Parcela" dataDxfId="25" dataCellStyle="Porcentagem"/>
    <tableColumn id="5" xr3:uid="{6A53694F-D9A9-435C-8BF9-62A66BB6F1AD}" name="Nº Parcela" dataDxfId="24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23" headerRowBorderDxfId="22" tableBorderDxfId="21" totalsRowBorderDxfId="20">
  <autoFilter ref="K34:M41" xr:uid="{1B8643D4-6AC3-4029-882A-C62E9D7CB225}"/>
  <tableColumns count="3">
    <tableColumn id="1" xr3:uid="{020197BA-2A99-4121-9009-08C7A97AAB2F}" name="OS" dataDxfId="19"/>
    <tableColumn id="2" xr3:uid="{49A38415-1806-416E-A85E-CB9375CEB636}" name="Parcelas" dataDxfId="18"/>
    <tableColumn id="3" xr3:uid="{C6C0E4B4-CF56-4449-80ED-8D397C1D20D4}" name="Valor Total" dataDxfId="17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10" totalsRowShown="0" headerRowDxfId="16">
  <autoFilter ref="A1:B10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15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3" sqref="B3"/>
    </sheetView>
  </sheetViews>
  <sheetFormatPr defaultColWidth="21.33203125" defaultRowHeight="13.2"/>
  <cols>
    <col min="2" max="2" width="22.6640625" customWidth="1"/>
  </cols>
  <sheetData>
    <row r="2" spans="1:2" ht="14.4">
      <c r="A2" s="19" t="s">
        <v>0</v>
      </c>
      <c r="B2" s="20">
        <v>0</v>
      </c>
    </row>
    <row r="3" spans="1:2" ht="14.4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39743.770000000004</v>
      </c>
    </row>
    <row r="4" spans="1:2" ht="14.4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36272.770000000004</v>
      </c>
    </row>
    <row r="5" spans="1:2" ht="14.4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107.19</v>
      </c>
    </row>
    <row r="6" spans="1:2" ht="15.6">
      <c r="A6" s="28" t="s">
        <v>4</v>
      </c>
      <c r="B6" s="29">
        <f>SUM(B4:B5)</f>
        <v>36379.960000000006</v>
      </c>
    </row>
    <row r="7" spans="1:2" ht="14.4">
      <c r="A7" s="2"/>
      <c r="B7" s="2"/>
    </row>
    <row r="8" spans="1:2" ht="14.4">
      <c r="A8" s="67" t="s">
        <v>5</v>
      </c>
      <c r="B8" s="67"/>
    </row>
    <row r="9" spans="1:2" ht="14.4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4630.7</v>
      </c>
    </row>
    <row r="10" spans="1:2" ht="14.4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8348.6</v>
      </c>
    </row>
    <row r="11" spans="1:2" ht="14.4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1438</v>
      </c>
    </row>
    <row r="12" spans="1:2" ht="14.4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13884.77</v>
      </c>
    </row>
    <row r="13" spans="1:2" ht="14.4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6023.7</v>
      </c>
    </row>
    <row r="14" spans="1:2" ht="15.6">
      <c r="A14" s="28" t="s">
        <v>11</v>
      </c>
      <c r="B14" s="32">
        <f>SUM(B9:B13)</f>
        <v>34325.769999999997</v>
      </c>
    </row>
    <row r="15" spans="1:2" ht="14.4">
      <c r="A15" s="2"/>
      <c r="B15" s="2"/>
    </row>
    <row r="16" spans="1:2" ht="14.4">
      <c r="A16" s="67" t="s">
        <v>12</v>
      </c>
      <c r="B16" s="67"/>
    </row>
    <row r="17" spans="1:2" ht="14.4">
      <c r="A17" s="30">
        <f>COUNT(entr_carn1[OS])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550</v>
      </c>
    </row>
    <row r="18" spans="1:2" ht="15.6">
      <c r="A18" s="28" t="s">
        <v>11</v>
      </c>
      <c r="B18" s="32">
        <f>SUM(B17:B17)</f>
        <v>550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8"/>
  <sheetViews>
    <sheetView showGridLines="0" zoomScale="80" zoomScaleNormal="80" workbookViewId="0">
      <selection activeCell="AD33" sqref="AD33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v>45108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SUMIF(I6:I38,"&gt;0",H6:H38)</f>
        <v>1050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SUM(I6:I48)</f>
        <v>1149.5</v>
      </c>
      <c r="D6" s="2"/>
      <c r="E6" s="18">
        <v>2856</v>
      </c>
      <c r="F6" s="25" t="s">
        <v>134</v>
      </c>
      <c r="G6" s="26" t="s">
        <v>10</v>
      </c>
      <c r="H6" s="8">
        <v>900</v>
      </c>
      <c r="I6" s="8">
        <v>100</v>
      </c>
      <c r="J6" s="2"/>
      <c r="K6" s="25"/>
      <c r="L6" s="9"/>
      <c r="M6" s="16"/>
      <c r="R6" s="1">
        <f>IF(vend1[[#This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2857</v>
      </c>
      <c r="F7" s="25" t="s">
        <v>135</v>
      </c>
      <c r="G7" s="26" t="s">
        <v>7</v>
      </c>
      <c r="H7" s="8">
        <v>150</v>
      </c>
      <c r="I7" s="8">
        <v>100</v>
      </c>
      <c r="J7" s="2"/>
      <c r="K7" s="25"/>
      <c r="L7" s="9"/>
      <c r="M7" s="16"/>
      <c r="R7" s="1">
        <f>IF(vend1[[#This Row],[Nº Venda]]&gt;1,1,0)</f>
        <v>1</v>
      </c>
    </row>
    <row r="8" spans="2:18" ht="15.6">
      <c r="B8" s="28" t="s">
        <v>22</v>
      </c>
      <c r="C8" s="29">
        <f>SUM(C6:C7)</f>
        <v>1149.5</v>
      </c>
      <c r="D8" s="2"/>
      <c r="E8" s="18">
        <v>2857</v>
      </c>
      <c r="F8" s="25" t="s">
        <v>135</v>
      </c>
      <c r="G8" s="26" t="s">
        <v>8</v>
      </c>
      <c r="H8" s="8"/>
      <c r="I8" s="8">
        <v>50</v>
      </c>
      <c r="J8" s="2"/>
      <c r="K8" s="25"/>
      <c r="L8" s="9"/>
      <c r="M8" s="16"/>
      <c r="R8" s="1">
        <f>IF(vend1[[#This Row],[Nº Venda]]&gt;1,1,0)</f>
        <v>1</v>
      </c>
    </row>
    <row r="9" spans="2:18" ht="15.6">
      <c r="B9" s="2"/>
      <c r="C9" s="2"/>
      <c r="D9" s="2"/>
      <c r="E9" s="18">
        <v>2858</v>
      </c>
      <c r="F9" s="25" t="s">
        <v>136</v>
      </c>
      <c r="G9" s="26" t="s">
        <v>21</v>
      </c>
      <c r="H9" s="8">
        <v>0</v>
      </c>
      <c r="I9" s="8">
        <v>0</v>
      </c>
      <c r="J9" s="2"/>
      <c r="K9" s="25"/>
      <c r="L9" s="9"/>
      <c r="M9" s="16"/>
      <c r="R9" s="1">
        <f>IF(vend1[[#This Row],[Nº Venda]]&gt;1,1,0)</f>
        <v>1</v>
      </c>
    </row>
    <row r="10" spans="2:18" ht="15.6">
      <c r="B10" s="67" t="s">
        <v>5</v>
      </c>
      <c r="C10" s="67"/>
      <c r="D10" s="2"/>
      <c r="E10" s="18"/>
      <c r="F10" s="25"/>
      <c r="G10" s="52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>
      <c r="B11" s="30" t="s">
        <v>6</v>
      </c>
      <c r="C11" s="31">
        <f>(SUMIF($G$2:$G$38,B11,$I$2:$I$38))+(SUMIF($G$42:$G$48,B11,$H$42:$H$48))</f>
        <v>228</v>
      </c>
      <c r="D11" s="2"/>
      <c r="E11" s="18"/>
      <c r="F11" s="25"/>
      <c r="G11" s="52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6">
      <c r="B12" s="30" t="s">
        <v>7</v>
      </c>
      <c r="C12" s="31">
        <f>(SUMIF($G$2:$G$38,B12,$I$2:$I$38))+(SUMIF($G$42:$G$48,B12,$H$42:$H$48))</f>
        <v>322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>
      <c r="B13" s="30" t="s">
        <v>8</v>
      </c>
      <c r="C13" s="31">
        <f>(SUMIF($G$2:$G$38,B13,$I$2:$I$38))+(SUMIF($G$42:$G$48,B13,$H$42:$H$48))</f>
        <v>50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IF(vend1[[#This Row],[Nº Venda]]&gt;1,1,0)</f>
        <v>0</v>
      </c>
    </row>
    <row r="14" spans="2:18" ht="15.6">
      <c r="B14" s="30" t="s">
        <v>9</v>
      </c>
      <c r="C14" s="31">
        <f>(SUMIF($G$2:$G$38,B14,$I$2:$I$38))+(SUMIF($G$42:$G$48,B14,$H$42:$H$48))</f>
        <v>200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IF(vend1[[#This Row],[Nº Venda]]&gt;1,1,0)</f>
        <v>0</v>
      </c>
    </row>
    <row r="15" spans="2:18" ht="15.6">
      <c r="B15" s="30" t="s">
        <v>10</v>
      </c>
      <c r="C15" s="31">
        <f>(SUMIF($G$2:$G$38,B15,$I$2:$I$38))+(SUMIF($G$42:$G$48,B15,$H$42:$H$48))</f>
        <v>349.5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6">
      <c r="B16" s="28" t="s">
        <v>11</v>
      </c>
      <c r="C16" s="32">
        <f>SUM(C11:C15)</f>
        <v>1149.5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6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1050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2849</v>
      </c>
      <c r="F26" s="25" t="s">
        <v>137</v>
      </c>
      <c r="G26" s="26" t="s">
        <v>10</v>
      </c>
      <c r="H26" s="8"/>
      <c r="I26" s="8">
        <v>40</v>
      </c>
      <c r="J26" s="2"/>
      <c r="K26" s="25"/>
      <c r="L26" s="9"/>
      <c r="M26" s="16"/>
    </row>
    <row r="27" spans="2:18" ht="15.6">
      <c r="B27" s="2"/>
      <c r="C27" s="2"/>
      <c r="D27" s="2"/>
      <c r="E27" s="63">
        <v>2044</v>
      </c>
      <c r="F27" s="64" t="s">
        <v>138</v>
      </c>
      <c r="G27" s="65" t="s">
        <v>10</v>
      </c>
      <c r="H27" s="66">
        <v>0</v>
      </c>
      <c r="I27" s="66">
        <v>97</v>
      </c>
      <c r="J27" s="2"/>
      <c r="K27" s="25"/>
      <c r="L27" s="9"/>
      <c r="M27" s="16"/>
    </row>
    <row r="28" spans="2:18" ht="15.6">
      <c r="B28" s="2"/>
      <c r="C28" s="2"/>
      <c r="D28" s="2"/>
      <c r="E28" s="63">
        <v>2403</v>
      </c>
      <c r="F28" s="64" t="s">
        <v>138</v>
      </c>
      <c r="G28" s="65" t="s">
        <v>10</v>
      </c>
      <c r="H28" s="66">
        <v>0</v>
      </c>
      <c r="I28" s="66">
        <v>112.5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2828</v>
      </c>
      <c r="F29" s="25" t="s">
        <v>139</v>
      </c>
      <c r="G29" s="26" t="s">
        <v>6</v>
      </c>
      <c r="H29" s="8"/>
      <c r="I29" s="8">
        <v>200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2815</v>
      </c>
      <c r="F30" s="25" t="s">
        <v>140</v>
      </c>
      <c r="G30" s="26" t="s">
        <v>7</v>
      </c>
      <c r="H30" s="8"/>
      <c r="I30" s="8">
        <v>72</v>
      </c>
      <c r="J30" s="2"/>
      <c r="K30" s="25"/>
      <c r="L30" s="9"/>
      <c r="M30" s="16"/>
    </row>
    <row r="31" spans="2:18" ht="15.6">
      <c r="B31" s="2"/>
      <c r="C31" s="2"/>
      <c r="D31" s="2"/>
      <c r="E31" s="18">
        <v>2815</v>
      </c>
      <c r="F31" s="39" t="s">
        <v>140</v>
      </c>
      <c r="G31" s="26" t="s">
        <v>9</v>
      </c>
      <c r="H31" s="8"/>
      <c r="I31" s="8">
        <v>200</v>
      </c>
      <c r="J31" s="2"/>
      <c r="K31" s="25"/>
      <c r="L31" s="9"/>
      <c r="M31" s="16"/>
    </row>
    <row r="32" spans="2:18" ht="15.6">
      <c r="B32" s="2"/>
      <c r="C32" s="2"/>
      <c r="E32" s="35">
        <v>2815</v>
      </c>
      <c r="F32" s="36" t="s">
        <v>140</v>
      </c>
      <c r="G32" s="37" t="s">
        <v>7</v>
      </c>
      <c r="H32" s="17"/>
      <c r="I32" s="17">
        <v>150</v>
      </c>
    </row>
    <row r="33" spans="2:18" ht="15.6">
      <c r="B33" s="2"/>
      <c r="C33" s="2"/>
      <c r="E33" s="18">
        <v>2815</v>
      </c>
      <c r="F33" s="25" t="s">
        <v>140</v>
      </c>
      <c r="G33" s="26" t="s">
        <v>6</v>
      </c>
      <c r="H33" s="8"/>
      <c r="I33" s="8">
        <v>28</v>
      </c>
      <c r="K33" s="69" t="s">
        <v>12</v>
      </c>
      <c r="L33" s="70"/>
      <c r="M33" s="71"/>
    </row>
    <row r="34" spans="2:18" ht="15.6">
      <c r="E34" s="59"/>
      <c r="F34" s="60"/>
      <c r="G34" s="61"/>
      <c r="H34" s="62"/>
      <c r="I34" s="62"/>
      <c r="K34" s="6" t="s">
        <v>24</v>
      </c>
      <c r="L34" s="6" t="s">
        <v>32</v>
      </c>
      <c r="M34" s="6" t="s">
        <v>33</v>
      </c>
    </row>
    <row r="35" spans="2:18" ht="15.6">
      <c r="E35" s="59"/>
      <c r="F35" s="60"/>
      <c r="G35" s="61"/>
      <c r="H35" s="62"/>
      <c r="I35" s="62"/>
      <c r="K35" s="25"/>
      <c r="L35" s="42"/>
      <c r="M35" s="9"/>
    </row>
    <row r="36" spans="2:18" ht="15.6">
      <c r="E36" s="59"/>
      <c r="F36" s="60"/>
      <c r="G36" s="61"/>
      <c r="H36" s="62"/>
      <c r="I36" s="62"/>
      <c r="K36" s="25"/>
      <c r="L36" s="42"/>
      <c r="M36" s="9"/>
    </row>
    <row r="37" spans="2:18" ht="15.6">
      <c r="E37" s="18"/>
      <c r="F37" s="39"/>
      <c r="G37" s="26"/>
      <c r="H37" s="8"/>
      <c r="I37" s="8"/>
      <c r="K37" s="25"/>
      <c r="L37" s="42"/>
      <c r="M37" s="9"/>
    </row>
    <row r="38" spans="2:18" ht="15.6">
      <c r="E38" s="35"/>
      <c r="F38" s="36"/>
      <c r="G38" s="37"/>
      <c r="H38" s="17"/>
      <c r="I38" s="17"/>
      <c r="K38" s="25"/>
      <c r="L38" s="42"/>
      <c r="M38" s="9"/>
    </row>
    <row r="39" spans="2:18" ht="14.4">
      <c r="K39" s="25"/>
      <c r="L39" s="42"/>
      <c r="M39" s="9"/>
    </row>
    <row r="40" spans="2:18" ht="14.4">
      <c r="E40" s="68" t="s">
        <v>29</v>
      </c>
      <c r="F40" s="68"/>
      <c r="G40" s="68"/>
      <c r="H40" s="68"/>
      <c r="I40" s="68"/>
      <c r="K40" s="36"/>
      <c r="L40" s="43"/>
      <c r="M40" s="46"/>
      <c r="Q40" s="1" t="s">
        <v>34</v>
      </c>
      <c r="R40" s="1">
        <f>SUM(R6:R21)</f>
        <v>4</v>
      </c>
    </row>
    <row r="41" spans="2:18" ht="14.4">
      <c r="E41" s="10" t="s">
        <v>24</v>
      </c>
      <c r="F41" s="10" t="s">
        <v>15</v>
      </c>
      <c r="G41" s="11" t="s">
        <v>16</v>
      </c>
      <c r="H41" s="12" t="s">
        <v>30</v>
      </c>
      <c r="I41" s="13" t="s">
        <v>31</v>
      </c>
      <c r="K41" s="45"/>
      <c r="L41" s="42"/>
      <c r="M41" s="9"/>
    </row>
    <row r="42" spans="2:18" ht="15.6">
      <c r="E42" s="18"/>
      <c r="F42" s="25"/>
      <c r="G42" s="26"/>
      <c r="H42" s="8"/>
      <c r="I42" s="8"/>
    </row>
    <row r="43" spans="2:18" ht="15.6">
      <c r="E43" s="18"/>
      <c r="F43" s="25"/>
      <c r="G43" s="26"/>
      <c r="H43" s="8"/>
      <c r="I43" s="8"/>
    </row>
    <row r="44" spans="2:18" ht="15.6">
      <c r="E44" s="18"/>
      <c r="F44" s="25"/>
      <c r="G44" s="26"/>
      <c r="H44" s="8"/>
      <c r="I44" s="8"/>
    </row>
    <row r="45" spans="2:18" ht="15.6">
      <c r="E45" s="18"/>
      <c r="F45" s="25"/>
      <c r="G45" s="26"/>
      <c r="H45" s="8"/>
      <c r="I45" s="8"/>
    </row>
    <row r="46" spans="2:18" ht="15.6">
      <c r="E46" s="18"/>
      <c r="F46" s="39"/>
      <c r="G46" s="26"/>
      <c r="H46" s="8"/>
      <c r="I46" s="8"/>
    </row>
    <row r="47" spans="2:18" ht="15.6">
      <c r="E47" s="35"/>
      <c r="F47" s="36"/>
      <c r="G47" s="37"/>
      <c r="H47" s="17"/>
      <c r="I47" s="8"/>
    </row>
    <row r="48" spans="2:18" ht="15.6">
      <c r="E48" s="44"/>
      <c r="F48" s="39"/>
      <c r="G48" s="26"/>
      <c r="H48" s="8"/>
      <c r="I48" s="8"/>
    </row>
  </sheetData>
  <mergeCells count="9">
    <mergeCell ref="E24:I24"/>
    <mergeCell ref="E40:I40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G10:G22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G42:G48 G34:G38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I42:I48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G28" sqref="G28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'01'!B1+1</f>
        <v>45109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6">
      <c r="B8" s="28" t="s">
        <v>22</v>
      </c>
      <c r="C8" s="29">
        <f>SUM(C6:C7)</f>
        <v>0</v>
      </c>
      <c r="D8" s="2"/>
      <c r="E8" s="18"/>
      <c r="F8" s="25"/>
      <c r="G8" s="54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6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54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topLeftCell="A7" zoomScale="80" zoomScaleNormal="80" workbookViewId="0">
      <selection activeCell="K6" sqref="K6:M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'02'!B1+1</f>
        <v>45110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30</v>
      </c>
      <c r="D6" s="2"/>
      <c r="E6" s="18">
        <v>2859</v>
      </c>
      <c r="F6" s="25" t="s">
        <v>141</v>
      </c>
      <c r="G6" s="26" t="s">
        <v>6</v>
      </c>
      <c r="H6" s="8">
        <v>30</v>
      </c>
      <c r="I6" s="8">
        <v>30</v>
      </c>
      <c r="J6" s="2"/>
      <c r="K6" s="25" t="s">
        <v>142</v>
      </c>
      <c r="L6" s="9" t="s">
        <v>8</v>
      </c>
      <c r="M6" s="16">
        <v>2.95</v>
      </c>
      <c r="R6" s="1">
        <f>IF(vend3[[#This Row],[Nº Venda]]&gt;1,1,0)</f>
        <v>1</v>
      </c>
    </row>
    <row r="7" spans="2:18" ht="15.6">
      <c r="B7" s="23" t="s">
        <v>3</v>
      </c>
      <c r="C7" s="24">
        <f>SUM(M6:M11)</f>
        <v>2.95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6">
      <c r="B8" s="28" t="s">
        <v>22</v>
      </c>
      <c r="C8" s="29">
        <f>SUM(C6:C7)</f>
        <v>32.950000000000003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IF(vend3[[#This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6">
      <c r="B16" s="28" t="s">
        <v>11</v>
      </c>
      <c r="C16" s="32">
        <f>SUM(C11:C15)</f>
        <v>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6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G7:G22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topLeftCell="A3" zoomScale="80" zoomScaleNormal="80" workbookViewId="0">
      <selection activeCell="F14" sqref="F14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'03'!B1+1</f>
        <v>45111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1125</v>
      </c>
      <c r="D6" s="2"/>
      <c r="E6" s="18">
        <v>2860</v>
      </c>
      <c r="F6" s="25" t="s">
        <v>143</v>
      </c>
      <c r="G6" s="26" t="s">
        <v>9</v>
      </c>
      <c r="H6" s="8">
        <v>200</v>
      </c>
      <c r="I6" s="8">
        <v>200</v>
      </c>
      <c r="J6" s="2"/>
      <c r="K6" s="25" t="s">
        <v>142</v>
      </c>
      <c r="L6" s="9" t="s">
        <v>7</v>
      </c>
      <c r="M6" s="16">
        <v>4.3899999999999997</v>
      </c>
      <c r="R6" s="1">
        <f>IF(vend4[[#This Row],[Nº Venda]]&gt;1,1,0)</f>
        <v>1</v>
      </c>
    </row>
    <row r="7" spans="2:18" ht="15.6">
      <c r="B7" s="23" t="s">
        <v>3</v>
      </c>
      <c r="C7" s="24">
        <f>SUM(M6:M11)</f>
        <v>4.3899999999999997</v>
      </c>
      <c r="D7" s="2"/>
      <c r="E7" s="18">
        <v>2861</v>
      </c>
      <c r="F7" s="25" t="s">
        <v>144</v>
      </c>
      <c r="G7" s="26" t="s">
        <v>21</v>
      </c>
      <c r="H7" s="8">
        <v>30</v>
      </c>
      <c r="I7" s="8">
        <v>0</v>
      </c>
      <c r="J7" s="2"/>
      <c r="K7" s="25"/>
      <c r="L7" s="9"/>
      <c r="M7" s="16"/>
      <c r="R7" s="1">
        <f>IF(vend4[[#This Row],[Nº Venda]]&gt;1,1,0)</f>
        <v>1</v>
      </c>
    </row>
    <row r="8" spans="2:18" ht="15.6">
      <c r="B8" s="28" t="s">
        <v>22</v>
      </c>
      <c r="C8" s="29">
        <f>SUM(C6:C7)</f>
        <v>1129.3900000000001</v>
      </c>
      <c r="D8" s="2"/>
      <c r="E8" s="18">
        <v>2862</v>
      </c>
      <c r="F8" s="25" t="s">
        <v>145</v>
      </c>
      <c r="G8" s="26" t="s">
        <v>21</v>
      </c>
      <c r="H8" s="8">
        <v>0</v>
      </c>
      <c r="I8" s="8">
        <v>0</v>
      </c>
      <c r="J8" s="2"/>
      <c r="K8" s="25"/>
      <c r="L8" s="9"/>
      <c r="M8" s="16"/>
      <c r="R8" s="1">
        <f>IF(vend4[[#This Row],[Nº Venda]]&gt;1,1,0)</f>
        <v>1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54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565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IF(vend4[[#This Row],[Nº Venda]]&gt;1,1,0)</f>
        <v>0</v>
      </c>
    </row>
    <row r="14" spans="2:18" ht="15.6">
      <c r="B14" s="30" t="s">
        <v>9</v>
      </c>
      <c r="C14" s="31">
        <f t="shared" si="0"/>
        <v>200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IF(vend4[[#This Row],[Nº Venda]]&gt;1,1,0)</f>
        <v>0</v>
      </c>
    </row>
    <row r="15" spans="2:18" ht="15.6">
      <c r="B15" s="30" t="s">
        <v>10</v>
      </c>
      <c r="C15" s="31">
        <f t="shared" si="0"/>
        <v>260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6">
      <c r="B16" s="28" t="s">
        <v>11</v>
      </c>
      <c r="C16" s="32">
        <f>SUM(C11:C15)</f>
        <v>1125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2848</v>
      </c>
      <c r="F26" s="25" t="s">
        <v>146</v>
      </c>
      <c r="G26" s="26" t="s">
        <v>7</v>
      </c>
      <c r="H26" s="8"/>
      <c r="I26" s="8">
        <v>330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2852</v>
      </c>
      <c r="F27" s="25" t="s">
        <v>147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2752</v>
      </c>
      <c r="F28" s="25" t="s">
        <v>148</v>
      </c>
      <c r="G28" s="26" t="s">
        <v>10</v>
      </c>
      <c r="H28" s="8"/>
      <c r="I28" s="8">
        <v>160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2775</v>
      </c>
      <c r="F29" s="25" t="s">
        <v>149</v>
      </c>
      <c r="G29" s="26" t="s">
        <v>10</v>
      </c>
      <c r="H29" s="8"/>
      <c r="I29" s="8">
        <v>100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2700</v>
      </c>
      <c r="F30" s="39" t="s">
        <v>150</v>
      </c>
      <c r="G30" s="26" t="s">
        <v>7</v>
      </c>
      <c r="H30" s="8"/>
      <c r="I30" s="8">
        <v>235</v>
      </c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G10:G22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topLeftCell="A21" zoomScale="80" zoomScaleNormal="80" workbookViewId="0">
      <selection activeCell="F26" sqref="F2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'04'!B1+1</f>
        <v>45112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2730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1866.7</v>
      </c>
      <c r="D6" s="2"/>
      <c r="E6" s="18">
        <v>2863</v>
      </c>
      <c r="F6" s="25" t="s">
        <v>151</v>
      </c>
      <c r="G6" s="26" t="s">
        <v>10</v>
      </c>
      <c r="H6" s="8">
        <v>400</v>
      </c>
      <c r="I6" s="8">
        <v>50</v>
      </c>
      <c r="J6" s="2"/>
      <c r="K6" s="25" t="s">
        <v>142</v>
      </c>
      <c r="L6" s="9" t="s">
        <v>7</v>
      </c>
      <c r="M6" s="16">
        <v>4.92</v>
      </c>
      <c r="R6" s="1">
        <f>IF(vend5[[#This Row],[Nº Venda]]&gt;1,1,0)</f>
        <v>1</v>
      </c>
    </row>
    <row r="7" spans="2:18" ht="15.6">
      <c r="B7" s="23" t="s">
        <v>3</v>
      </c>
      <c r="C7" s="24">
        <f>SUM(M6:M11)</f>
        <v>4.92</v>
      </c>
      <c r="D7" s="2"/>
      <c r="E7" s="18">
        <v>2864</v>
      </c>
      <c r="F7" s="25" t="s">
        <v>152</v>
      </c>
      <c r="G7" s="26" t="s">
        <v>7</v>
      </c>
      <c r="H7" s="8">
        <v>700</v>
      </c>
      <c r="I7" s="8">
        <v>150</v>
      </c>
      <c r="J7" s="2"/>
      <c r="K7" s="25"/>
      <c r="L7" s="9"/>
      <c r="M7" s="16"/>
      <c r="R7" s="1">
        <f>IF(vend5[[#This Row],[Nº Venda]]&gt;1,1,0)</f>
        <v>1</v>
      </c>
    </row>
    <row r="8" spans="2:18" ht="15.6">
      <c r="B8" s="28" t="s">
        <v>22</v>
      </c>
      <c r="C8" s="29">
        <f>SUM(C6:C7)</f>
        <v>1871.6200000000001</v>
      </c>
      <c r="D8" s="2"/>
      <c r="E8" s="18">
        <v>2865</v>
      </c>
      <c r="F8" s="25" t="s">
        <v>153</v>
      </c>
      <c r="G8" s="26" t="s">
        <v>7</v>
      </c>
      <c r="H8" s="8">
        <v>450</v>
      </c>
      <c r="I8" s="8">
        <v>200</v>
      </c>
      <c r="J8" s="2"/>
      <c r="K8" s="25"/>
      <c r="L8" s="9"/>
      <c r="M8" s="16"/>
      <c r="R8" s="1">
        <f>IF(vend5[[#This Row],[Nº Venda]]&gt;1,1,0)</f>
        <v>1</v>
      </c>
    </row>
    <row r="9" spans="2:18" ht="15.6">
      <c r="B9" s="2"/>
      <c r="C9" s="2"/>
      <c r="D9" s="2"/>
      <c r="E9" s="18">
        <v>2866</v>
      </c>
      <c r="F9" s="25" t="s">
        <v>154</v>
      </c>
      <c r="G9" s="26" t="s">
        <v>8</v>
      </c>
      <c r="H9" s="8">
        <v>480</v>
      </c>
      <c r="I9" s="8">
        <v>150</v>
      </c>
      <c r="J9" s="2"/>
      <c r="K9" s="25"/>
      <c r="L9" s="9"/>
      <c r="M9" s="16"/>
      <c r="R9" s="1">
        <f>IF(vend5[[#This Row],[Nº Venda]]&gt;1,1,0)</f>
        <v>1</v>
      </c>
    </row>
    <row r="10" spans="2:18" ht="15.6">
      <c r="B10" s="67" t="s">
        <v>5</v>
      </c>
      <c r="C10" s="67"/>
      <c r="D10" s="2"/>
      <c r="E10" s="18">
        <v>2867</v>
      </c>
      <c r="F10" s="25" t="s">
        <v>155</v>
      </c>
      <c r="G10" s="26" t="s">
        <v>6</v>
      </c>
      <c r="H10" s="8">
        <v>700</v>
      </c>
      <c r="I10" s="8">
        <v>100</v>
      </c>
      <c r="J10" s="2"/>
      <c r="K10" s="25"/>
      <c r="L10" s="9"/>
      <c r="M10" s="16"/>
      <c r="R10" s="1">
        <f>IF(vend5[[#This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1316.7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350</v>
      </c>
      <c r="D12" s="2"/>
      <c r="E12" s="18"/>
      <c r="F12" s="25"/>
      <c r="G12" s="54"/>
      <c r="H12" s="8"/>
      <c r="I12" s="8"/>
      <c r="J12" s="2"/>
      <c r="R12" s="1">
        <f>IF(vend5[[#This Row],[Nº Venda]]&gt;1,1,0)</f>
        <v>0</v>
      </c>
    </row>
    <row r="13" spans="2:18" ht="15.6">
      <c r="B13" s="30" t="s">
        <v>8</v>
      </c>
      <c r="C13" s="31">
        <f t="shared" si="0"/>
        <v>150</v>
      </c>
      <c r="D13" s="2"/>
      <c r="E13" s="18"/>
      <c r="F13" s="25"/>
      <c r="G13" s="54"/>
      <c r="H13" s="8"/>
      <c r="I13" s="8"/>
      <c r="J13" s="2"/>
      <c r="K13" s="69" t="s">
        <v>23</v>
      </c>
      <c r="L13" s="70"/>
      <c r="M13" s="71"/>
      <c r="R13" s="1">
        <f>IF(vend5[[#This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54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IF(vend5[[#This Row],[Nº Venda]]&gt;1,1,0)</f>
        <v>0</v>
      </c>
    </row>
    <row r="15" spans="2:18" ht="15.6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6">
      <c r="B16" s="28" t="s">
        <v>11</v>
      </c>
      <c r="C16" s="32">
        <f>SUM(C11:C15)</f>
        <v>1866.7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6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2730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2548</v>
      </c>
      <c r="F26" s="25" t="s">
        <v>156</v>
      </c>
      <c r="G26" s="26" t="s">
        <v>6</v>
      </c>
      <c r="H26" s="8"/>
      <c r="I26" s="8">
        <v>504.9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2549</v>
      </c>
      <c r="F27" s="25" t="s">
        <v>157</v>
      </c>
      <c r="G27" s="26" t="s">
        <v>6</v>
      </c>
      <c r="H27" s="8"/>
      <c r="I27" s="8">
        <v>445.1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2551</v>
      </c>
      <c r="F28" s="25" t="s">
        <v>158</v>
      </c>
      <c r="G28" s="26" t="s">
        <v>6</v>
      </c>
      <c r="H28" s="8"/>
      <c r="I28" s="8">
        <v>266.7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G12:G22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G35:G41 G30:G31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topLeftCell="A21" zoomScale="80" zoomScaleNormal="80" workbookViewId="0">
      <selection activeCell="E30" sqref="E30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'05'!B1+1</f>
        <v>45113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1916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1934</v>
      </c>
      <c r="D6" s="2"/>
      <c r="E6" s="18">
        <v>2868</v>
      </c>
      <c r="F6" s="25" t="s">
        <v>159</v>
      </c>
      <c r="G6" s="26" t="s">
        <v>9</v>
      </c>
      <c r="H6" s="8">
        <v>320</v>
      </c>
      <c r="I6" s="8">
        <v>320</v>
      </c>
      <c r="J6" s="2"/>
      <c r="K6" s="25" t="s">
        <v>142</v>
      </c>
      <c r="L6" s="9" t="s">
        <v>7</v>
      </c>
      <c r="M6" s="16">
        <v>3.12</v>
      </c>
      <c r="R6" s="1">
        <f>IF(vend[[#This Row],[Nº Venda]]&gt;1,1,0)</f>
        <v>1</v>
      </c>
    </row>
    <row r="7" spans="2:18" ht="15.6">
      <c r="B7" s="23" t="s">
        <v>3</v>
      </c>
      <c r="C7" s="24">
        <f>SUM(M6:M11)</f>
        <v>10.620000000000001</v>
      </c>
      <c r="D7" s="2"/>
      <c r="E7" s="18">
        <v>2869</v>
      </c>
      <c r="F7" s="25" t="s">
        <v>160</v>
      </c>
      <c r="G7" s="26" t="s">
        <v>6</v>
      </c>
      <c r="H7" s="8">
        <v>632</v>
      </c>
      <c r="I7" s="8">
        <v>20</v>
      </c>
      <c r="J7" s="2"/>
      <c r="K7" s="25" t="s">
        <v>163</v>
      </c>
      <c r="L7" s="9" t="s">
        <v>7</v>
      </c>
      <c r="M7" s="16">
        <v>7.5</v>
      </c>
      <c r="R7" s="1">
        <f>IF(vend[[#This Row],[Nº Venda]]&gt;1,1,0)</f>
        <v>1</v>
      </c>
    </row>
    <row r="8" spans="2:18" ht="15.6">
      <c r="B8" s="28" t="s">
        <v>22</v>
      </c>
      <c r="C8" s="29">
        <f>SUM(C6:C7)</f>
        <v>1944.62</v>
      </c>
      <c r="D8" s="2"/>
      <c r="E8" s="18">
        <v>2870</v>
      </c>
      <c r="F8" s="25" t="s">
        <v>161</v>
      </c>
      <c r="G8" s="26" t="s">
        <v>9</v>
      </c>
      <c r="H8" s="8">
        <v>264</v>
      </c>
      <c r="I8" s="8">
        <v>264</v>
      </c>
      <c r="J8" s="2"/>
      <c r="K8" s="25"/>
      <c r="L8" s="9"/>
      <c r="M8" s="16"/>
      <c r="R8" s="1">
        <f>IF(vend[[#This Row],[Nº Venda]]&gt;1,1,0)</f>
        <v>1</v>
      </c>
    </row>
    <row r="9" spans="2:18" ht="15.6">
      <c r="B9" s="2"/>
      <c r="C9" s="2"/>
      <c r="D9" s="2"/>
      <c r="E9" s="18">
        <v>2871</v>
      </c>
      <c r="F9" s="25" t="s">
        <v>162</v>
      </c>
      <c r="G9" s="26" t="s">
        <v>9</v>
      </c>
      <c r="H9" s="8">
        <v>700</v>
      </c>
      <c r="I9" s="8">
        <v>700</v>
      </c>
      <c r="J9" s="2"/>
      <c r="K9" s="25"/>
      <c r="L9" s="9"/>
      <c r="M9" s="16"/>
      <c r="R9" s="1">
        <f>IF(vend[[#This Row],[Nº Venda]]&gt;1,1,0)</f>
        <v>1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320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IF(vend[[#This Row],[Nº Venda]]&gt;1,1,0)</f>
        <v>0</v>
      </c>
    </row>
    <row r="14" spans="2:18" ht="15.6">
      <c r="B14" s="30" t="s">
        <v>9</v>
      </c>
      <c r="C14" s="31">
        <f t="shared" si="0"/>
        <v>1614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6">
      <c r="B16" s="28" t="s">
        <v>11</v>
      </c>
      <c r="C16" s="32">
        <f>SUM(C11:C15)</f>
        <v>1934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6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1916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2777</v>
      </c>
      <c r="F26" s="25" t="s">
        <v>164</v>
      </c>
      <c r="G26" s="26" t="s">
        <v>6</v>
      </c>
      <c r="H26" s="8"/>
      <c r="I26" s="8">
        <v>250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2425</v>
      </c>
      <c r="F27" s="25" t="s">
        <v>165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2866</v>
      </c>
      <c r="F28" s="25" t="s">
        <v>166</v>
      </c>
      <c r="G28" s="26" t="s">
        <v>9</v>
      </c>
      <c r="H28" s="8"/>
      <c r="I28" s="8">
        <v>330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G35:G41 G30:G31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G10:G22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3"/>
  <sheetViews>
    <sheetView showGridLines="0" topLeftCell="A7" zoomScale="80" zoomScaleNormal="80" workbookViewId="0">
      <selection activeCell="K6" sqref="K6:M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'06'!B1+1</f>
        <v>45114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2158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SUM(I6:I43)</f>
        <v>2580</v>
      </c>
      <c r="D6" s="2"/>
      <c r="E6" s="18">
        <v>2872</v>
      </c>
      <c r="F6" s="25" t="s">
        <v>167</v>
      </c>
      <c r="G6" s="26" t="s">
        <v>21</v>
      </c>
      <c r="H6" s="8">
        <v>0</v>
      </c>
      <c r="I6" s="8">
        <v>0</v>
      </c>
      <c r="J6" s="2"/>
      <c r="K6" s="25" t="s">
        <v>142</v>
      </c>
      <c r="L6" s="9" t="s">
        <v>7</v>
      </c>
      <c r="M6" s="16">
        <v>3.79</v>
      </c>
      <c r="R6" s="1">
        <f>IF(vend7[[#This Row],[Nº Venda]]&gt;1,1,0)</f>
        <v>1</v>
      </c>
    </row>
    <row r="7" spans="2:18" ht="15.6">
      <c r="B7" s="23" t="s">
        <v>3</v>
      </c>
      <c r="C7" s="24">
        <f>SUM(M6:M11)</f>
        <v>3.79</v>
      </c>
      <c r="D7" s="2"/>
      <c r="E7" s="18">
        <v>2873</v>
      </c>
      <c r="F7" s="25" t="s">
        <v>168</v>
      </c>
      <c r="G7" s="26" t="s">
        <v>9</v>
      </c>
      <c r="H7" s="8">
        <v>480</v>
      </c>
      <c r="I7" s="8">
        <v>480</v>
      </c>
      <c r="J7" s="2"/>
      <c r="K7" s="25"/>
      <c r="L7" s="9"/>
      <c r="M7" s="16"/>
      <c r="R7" s="1">
        <f>IF(vend7[[#This Row],[Nº Venda]]&gt;1,1,0)</f>
        <v>1</v>
      </c>
    </row>
    <row r="8" spans="2:18" ht="15.6">
      <c r="B8" s="28" t="s">
        <v>22</v>
      </c>
      <c r="C8" s="29">
        <f>SUM(C6:C7)</f>
        <v>2583.79</v>
      </c>
      <c r="D8" s="2"/>
      <c r="E8" s="18">
        <v>2874</v>
      </c>
      <c r="F8" s="25" t="s">
        <v>169</v>
      </c>
      <c r="G8" s="26" t="s">
        <v>7</v>
      </c>
      <c r="H8" s="8">
        <v>180</v>
      </c>
      <c r="I8" s="8">
        <v>180</v>
      </c>
      <c r="J8" s="2"/>
      <c r="K8" s="25"/>
      <c r="L8" s="9"/>
      <c r="M8" s="16"/>
      <c r="R8" s="1">
        <f>IF(vend7[[#This Row],[Nº Venda]]&gt;1,1,0)</f>
        <v>1</v>
      </c>
    </row>
    <row r="9" spans="2:18" ht="15.6">
      <c r="B9" s="2"/>
      <c r="C9" s="2"/>
      <c r="D9" s="2"/>
      <c r="E9" s="18">
        <v>2875</v>
      </c>
      <c r="F9" s="25" t="s">
        <v>170</v>
      </c>
      <c r="G9" s="26" t="s">
        <v>8</v>
      </c>
      <c r="H9" s="8">
        <v>99</v>
      </c>
      <c r="I9" s="8">
        <v>99</v>
      </c>
      <c r="J9" s="2"/>
      <c r="K9" s="25"/>
      <c r="L9" s="9"/>
      <c r="M9" s="16"/>
      <c r="R9" s="1">
        <f>IF(vend7[[#This Row],[Nº Venda]]&gt;1,1,0)</f>
        <v>1</v>
      </c>
    </row>
    <row r="10" spans="2:18" ht="15.6">
      <c r="B10" s="67" t="s">
        <v>5</v>
      </c>
      <c r="C10" s="67"/>
      <c r="D10" s="2"/>
      <c r="E10" s="18">
        <v>2876</v>
      </c>
      <c r="F10" s="25" t="s">
        <v>171</v>
      </c>
      <c r="G10" s="26" t="s">
        <v>10</v>
      </c>
      <c r="H10" s="8">
        <v>180</v>
      </c>
      <c r="I10" s="8">
        <v>180</v>
      </c>
      <c r="J10" s="2"/>
      <c r="K10" s="25"/>
      <c r="L10" s="9"/>
      <c r="M10" s="16"/>
      <c r="R10" s="1">
        <f>IF(vend7[[#This Row],[Nº Venda]]&gt;1,1,0)</f>
        <v>1</v>
      </c>
    </row>
    <row r="11" spans="2:18" ht="15.6">
      <c r="B11" s="30" t="s">
        <v>6</v>
      </c>
      <c r="C11" s="31">
        <f>(SUMIF($G$2:$G$31,B11,$I$2:$I$31))+(SUMIF($G$37:$G$43,B11,$H$37:$H$43))</f>
        <v>614</v>
      </c>
      <c r="D11" s="2"/>
      <c r="E11" s="18">
        <v>2877</v>
      </c>
      <c r="F11" s="25" t="s">
        <v>172</v>
      </c>
      <c r="G11" s="26" t="s">
        <v>7</v>
      </c>
      <c r="H11" s="8">
        <v>285</v>
      </c>
      <c r="I11" s="8">
        <v>285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18" ht="15.6">
      <c r="B12" s="30" t="s">
        <v>7</v>
      </c>
      <c r="C12" s="31">
        <f>(SUMIF($G$2:$G$31,B12,$I$2:$I$31))+(SUMIF($G$37:$G$43,B12,$H$37:$H$43))</f>
        <v>620</v>
      </c>
      <c r="D12" s="2"/>
      <c r="E12" s="18">
        <v>2878</v>
      </c>
      <c r="F12" s="25" t="s">
        <v>173</v>
      </c>
      <c r="G12" s="26" t="s">
        <v>6</v>
      </c>
      <c r="H12" s="8">
        <v>934</v>
      </c>
      <c r="I12" s="8">
        <v>100</v>
      </c>
      <c r="J12" s="2"/>
      <c r="R12" s="1">
        <f>IF(vend7[[#This Row],[Nº Venda]]&gt;1,1,0)</f>
        <v>1</v>
      </c>
    </row>
    <row r="13" spans="2:18" ht="15.6">
      <c r="B13" s="30" t="s">
        <v>8</v>
      </c>
      <c r="C13" s="31">
        <f>(SUMIF($G$2:$G$31,B13,$I$2:$I$31))+(SUMIF($G$37:$G$43,B13,$H$37:$H$43))</f>
        <v>99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IF(vend7[[#This Row],[Nº Venda]]&gt;1,1,0)</f>
        <v>0</v>
      </c>
    </row>
    <row r="14" spans="2:18" ht="15.6">
      <c r="B14" s="30" t="s">
        <v>9</v>
      </c>
      <c r="C14" s="31">
        <f>(SUMIF($G$2:$G$31,B14,$I$2:$I$31))+(SUMIF($G$37:$G$43,B14,$H$37:$H$43))</f>
        <v>480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IF(vend7[[#This Row],[Nº Venda]]&gt;1,1,0)</f>
        <v>0</v>
      </c>
    </row>
    <row r="15" spans="2:18" ht="15.6">
      <c r="B15" s="30" t="s">
        <v>10</v>
      </c>
      <c r="C15" s="31">
        <f>(SUMIF($G$2:$G$31,B15,$I$2:$I$31))+(SUMIF($G$37:$G$43,B15,$H$37:$H$43))</f>
        <v>417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IF(vend7[[#This Row],[Nº Venda]]&gt;1,1,0)</f>
        <v>0</v>
      </c>
    </row>
    <row r="16" spans="2:18" ht="15.6">
      <c r="B16" s="28" t="s">
        <v>11</v>
      </c>
      <c r="C16" s="32">
        <f>SUM(C11:C15)</f>
        <v>2230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IF(vend7[[#This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6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6">
      <c r="B22" s="28" t="s">
        <v>27</v>
      </c>
      <c r="C22" s="32">
        <f>C5</f>
        <v>2158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4.4">
      <c r="B23" s="2"/>
      <c r="C23" s="2"/>
      <c r="D23" s="2"/>
      <c r="E23" s="33"/>
      <c r="H23" s="7"/>
      <c r="J23" s="2"/>
      <c r="K23" s="47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47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7"/>
      <c r="L25" s="9"/>
      <c r="M25" s="16"/>
    </row>
    <row r="26" spans="2:18" ht="15.6">
      <c r="B26" s="2"/>
      <c r="C26" s="2"/>
      <c r="D26" s="2"/>
      <c r="E26" s="18">
        <v>2717</v>
      </c>
      <c r="F26" s="25" t="s">
        <v>174</v>
      </c>
      <c r="G26" s="26" t="s">
        <v>10</v>
      </c>
      <c r="H26" s="8"/>
      <c r="I26" s="8">
        <v>237</v>
      </c>
      <c r="J26" s="2"/>
      <c r="K26" s="47"/>
      <c r="L26" s="9"/>
      <c r="M26" s="16"/>
    </row>
    <row r="27" spans="2:18" ht="15.6">
      <c r="B27" s="2"/>
      <c r="C27" s="2"/>
      <c r="D27" s="2"/>
      <c r="E27" s="18">
        <v>2479</v>
      </c>
      <c r="F27" s="25" t="s">
        <v>175</v>
      </c>
      <c r="G27" s="26" t="s">
        <v>6</v>
      </c>
      <c r="H27" s="8"/>
      <c r="I27" s="8">
        <v>105</v>
      </c>
      <c r="J27" s="2"/>
      <c r="K27" s="47"/>
      <c r="L27" s="9"/>
      <c r="M27" s="16"/>
    </row>
    <row r="28" spans="2:18" ht="15.6">
      <c r="B28" s="2"/>
      <c r="C28" s="2"/>
      <c r="D28" s="2"/>
      <c r="E28" s="18">
        <v>2474</v>
      </c>
      <c r="F28" s="25" t="s">
        <v>176</v>
      </c>
      <c r="G28" s="26" t="s">
        <v>6</v>
      </c>
      <c r="H28" s="8"/>
      <c r="I28" s="8">
        <v>280</v>
      </c>
      <c r="J28" s="2"/>
      <c r="K28" s="47"/>
      <c r="L28" s="9"/>
      <c r="M28" s="16"/>
    </row>
    <row r="29" spans="2:18" ht="15.6">
      <c r="B29" s="2"/>
      <c r="C29" s="2"/>
      <c r="D29" s="2"/>
      <c r="E29" s="18">
        <v>2751</v>
      </c>
      <c r="F29" s="25" t="s">
        <v>177</v>
      </c>
      <c r="G29" s="26" t="s">
        <v>7</v>
      </c>
      <c r="H29" s="8"/>
      <c r="I29" s="8">
        <v>80</v>
      </c>
      <c r="J29" s="2"/>
      <c r="K29" s="47"/>
      <c r="L29" s="9"/>
      <c r="M29" s="16"/>
    </row>
    <row r="30" spans="2:18" ht="15.6">
      <c r="B30" s="2"/>
      <c r="C30" s="2"/>
      <c r="D30" s="2"/>
      <c r="E30" s="18">
        <v>2857</v>
      </c>
      <c r="F30" s="39" t="s">
        <v>178</v>
      </c>
      <c r="G30" s="26" t="s">
        <v>7</v>
      </c>
      <c r="H30" s="8"/>
      <c r="I30" s="8">
        <v>75</v>
      </c>
      <c r="J30" s="2"/>
      <c r="K30" s="47"/>
      <c r="L30" s="9"/>
      <c r="M30" s="16"/>
    </row>
    <row r="31" spans="2:18" ht="15.6">
      <c r="B31" s="2"/>
      <c r="C31" s="2"/>
      <c r="D31" s="2"/>
      <c r="E31" s="35">
        <v>2372</v>
      </c>
      <c r="F31" s="36" t="s">
        <v>179</v>
      </c>
      <c r="G31" s="37" t="s">
        <v>6</v>
      </c>
      <c r="H31" s="17"/>
      <c r="I31" s="17">
        <v>129</v>
      </c>
      <c r="J31" s="2"/>
      <c r="K31" s="47"/>
      <c r="L31" s="9"/>
      <c r="M31" s="16"/>
    </row>
    <row r="32" spans="2:18" ht="15.6">
      <c r="B32" s="2"/>
      <c r="C32" s="2"/>
      <c r="E32" s="18">
        <v>2847</v>
      </c>
      <c r="F32" s="76" t="s">
        <v>180</v>
      </c>
      <c r="G32" s="37" t="s">
        <v>9</v>
      </c>
      <c r="H32" s="17"/>
      <c r="I32" s="17">
        <v>350</v>
      </c>
    </row>
    <row r="33" spans="2:18" ht="15.6">
      <c r="B33" s="2"/>
      <c r="C33" s="2"/>
      <c r="E33" s="35"/>
      <c r="F33" s="39"/>
      <c r="G33" s="26"/>
      <c r="H33" s="8"/>
      <c r="I33" s="8"/>
      <c r="K33" s="69" t="s">
        <v>12</v>
      </c>
      <c r="L33" s="70"/>
      <c r="M33" s="71"/>
    </row>
    <row r="34" spans="2:18" ht="14.4">
      <c r="E34" s="33"/>
      <c r="K34" s="14" t="s">
        <v>24</v>
      </c>
      <c r="L34" s="6" t="s">
        <v>32</v>
      </c>
      <c r="M34" s="15" t="s">
        <v>33</v>
      </c>
    </row>
    <row r="35" spans="2:18" ht="14.4">
      <c r="E35" s="68" t="s">
        <v>29</v>
      </c>
      <c r="F35" s="68"/>
      <c r="G35" s="68"/>
      <c r="H35" s="68"/>
      <c r="I35" s="68"/>
      <c r="K35" s="25"/>
      <c r="L35" s="42"/>
      <c r="M35" s="16"/>
    </row>
    <row r="36" spans="2:18" ht="14.4">
      <c r="E36" s="10" t="s">
        <v>24</v>
      </c>
      <c r="F36" s="10" t="s">
        <v>15</v>
      </c>
      <c r="G36" s="11" t="s">
        <v>16</v>
      </c>
      <c r="H36" s="12" t="s">
        <v>30</v>
      </c>
      <c r="I36" s="13" t="s">
        <v>31</v>
      </c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25"/>
      <c r="G40" s="26"/>
      <c r="H40" s="8"/>
      <c r="I40" s="8"/>
      <c r="K40" s="36"/>
      <c r="L40" s="43"/>
      <c r="M40" s="40"/>
      <c r="Q40" s="1" t="s">
        <v>34</v>
      </c>
      <c r="R40" s="1">
        <f>SUM(R6:R21)</f>
        <v>7</v>
      </c>
    </row>
    <row r="41" spans="2:18" ht="15.6">
      <c r="E41" s="18"/>
      <c r="F41" s="39"/>
      <c r="G41" s="26"/>
      <c r="H41" s="8"/>
      <c r="I41" s="8"/>
      <c r="K41" s="45"/>
      <c r="L41" s="42"/>
      <c r="M41" s="40"/>
    </row>
    <row r="42" spans="2:18" ht="15.6">
      <c r="E42" s="35"/>
      <c r="F42" s="36"/>
      <c r="G42" s="37"/>
      <c r="H42" s="17"/>
      <c r="I42" s="8"/>
    </row>
    <row r="43" spans="2:18" ht="15.6">
      <c r="E43" s="44"/>
      <c r="F43" s="39"/>
      <c r="G43" s="26"/>
      <c r="H43" s="8"/>
      <c r="I43" s="8"/>
    </row>
  </sheetData>
  <mergeCells count="9">
    <mergeCell ref="E35:I35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G14:G22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G37:G43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I37:I43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topLeftCell="A7" zoomScale="80" zoomScaleNormal="80" workbookViewId="0">
      <selection activeCell="F15" sqref="F15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'07'!B1+1</f>
        <v>45115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1700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4.4">
      <c r="B6" s="23" t="s">
        <v>2</v>
      </c>
      <c r="C6" s="24">
        <f>SUM(I6:I41)</f>
        <v>2400.6</v>
      </c>
      <c r="D6" s="2"/>
      <c r="E6" s="57">
        <v>2879</v>
      </c>
      <c r="F6" s="8" t="s">
        <v>181</v>
      </c>
      <c r="G6" s="8" t="s">
        <v>182</v>
      </c>
      <c r="H6" s="8">
        <v>800</v>
      </c>
      <c r="I6" s="8">
        <v>800</v>
      </c>
      <c r="J6" s="2"/>
      <c r="K6" s="25" t="s">
        <v>142</v>
      </c>
      <c r="L6" s="9" t="s">
        <v>7</v>
      </c>
      <c r="M6" s="16">
        <v>3.74</v>
      </c>
      <c r="R6" s="1">
        <f>IF(vend8[[#This Row],[Nº Venda]]&gt;1,1,0)</f>
        <v>1</v>
      </c>
    </row>
    <row r="7" spans="2:18" ht="14.4">
      <c r="B7" s="23" t="s">
        <v>3</v>
      </c>
      <c r="C7" s="24">
        <f>SUM(M6:M11)</f>
        <v>3.74</v>
      </c>
      <c r="D7" s="2"/>
      <c r="E7" s="57">
        <v>2880</v>
      </c>
      <c r="F7" s="8" t="s">
        <v>183</v>
      </c>
      <c r="G7" s="8" t="s">
        <v>9</v>
      </c>
      <c r="H7" s="8">
        <v>500</v>
      </c>
      <c r="I7" s="8">
        <v>500</v>
      </c>
      <c r="J7" s="2"/>
      <c r="K7" s="25"/>
      <c r="L7" s="9"/>
      <c r="M7" s="16"/>
      <c r="R7" s="1">
        <f>IF(vend8[[#This Row],[Nº Venda]]&gt;1,1,0)</f>
        <v>1</v>
      </c>
    </row>
    <row r="8" spans="2:18" ht="15.6">
      <c r="B8" s="28" t="s">
        <v>22</v>
      </c>
      <c r="C8" s="29">
        <f>SUM(C6:C7)</f>
        <v>2404.3399999999997</v>
      </c>
      <c r="D8" s="2"/>
      <c r="E8" s="57">
        <v>2881</v>
      </c>
      <c r="F8" s="8" t="s">
        <v>184</v>
      </c>
      <c r="G8" s="8" t="s">
        <v>21</v>
      </c>
      <c r="H8" s="8">
        <v>330</v>
      </c>
      <c r="I8" s="8">
        <v>0</v>
      </c>
      <c r="J8" s="2"/>
      <c r="K8" s="25"/>
      <c r="L8" s="9"/>
      <c r="M8" s="16"/>
      <c r="R8" s="1">
        <f>IF(vend8[[#This Row],[Nº Venda]]&gt;1,1,0)</f>
        <v>1</v>
      </c>
    </row>
    <row r="9" spans="2:18" ht="14.4">
      <c r="B9" s="2"/>
      <c r="C9" s="2"/>
      <c r="D9" s="2"/>
      <c r="E9" s="57">
        <v>2882</v>
      </c>
      <c r="F9" s="8" t="s">
        <v>185</v>
      </c>
      <c r="G9" s="8" t="s">
        <v>9</v>
      </c>
      <c r="H9" s="8">
        <v>150</v>
      </c>
      <c r="I9" s="8">
        <v>150</v>
      </c>
      <c r="J9" s="2"/>
      <c r="K9" s="25"/>
      <c r="L9" s="9"/>
      <c r="M9" s="16"/>
      <c r="R9" s="1">
        <f>IF(vend8[[#This Row],[Nº Venda]]&gt;1,1,0)</f>
        <v>1</v>
      </c>
    </row>
    <row r="10" spans="2:18" ht="14.4">
      <c r="B10" s="67" t="s">
        <v>5</v>
      </c>
      <c r="C10" s="67"/>
      <c r="D10" s="2"/>
      <c r="E10" s="57">
        <v>2883</v>
      </c>
      <c r="F10" s="8" t="s">
        <v>186</v>
      </c>
      <c r="G10" s="8" t="s">
        <v>7</v>
      </c>
      <c r="H10" s="8">
        <v>250</v>
      </c>
      <c r="I10" s="8">
        <v>250</v>
      </c>
      <c r="J10" s="2"/>
      <c r="K10" s="25"/>
      <c r="L10" s="9"/>
      <c r="M10" s="16"/>
      <c r="R10" s="1">
        <f>IF(vend8[[#This Row],[Nº Venda]]&gt;1,1,0)</f>
        <v>1</v>
      </c>
    </row>
    <row r="11" spans="2:18" ht="14.4">
      <c r="B11" s="30" t="s">
        <v>6</v>
      </c>
      <c r="C11" s="31">
        <f>(SUMIF($G$2:$G$31,B11,$I$2:$I$31))+(SUMIF($G$35:$G$41,B11,$H$35:$H$41))</f>
        <v>0</v>
      </c>
      <c r="D11" s="2"/>
      <c r="E11" s="57"/>
      <c r="F11" s="8"/>
      <c r="G11" s="8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4.4">
      <c r="B12" s="30" t="s">
        <v>7</v>
      </c>
      <c r="C12" s="31">
        <f t="shared" ref="C12:C15" si="0">(SUMIF($G$2:$G$31,B12,$I$2:$I$31))+(SUMIF($G$35:$G$41,B12,$H$35:$H$41))</f>
        <v>700.6</v>
      </c>
      <c r="D12" s="2"/>
      <c r="E12" s="57"/>
      <c r="F12" s="8"/>
      <c r="G12" s="8"/>
      <c r="H12" s="8"/>
      <c r="I12" s="8"/>
      <c r="J12" s="2"/>
      <c r="R12" s="1">
        <f>IF(vend8[[#This Row],[Nº Venda]]&gt;1,1,0)</f>
        <v>0</v>
      </c>
    </row>
    <row r="13" spans="2:18" ht="14.4">
      <c r="B13" s="30" t="s">
        <v>8</v>
      </c>
      <c r="C13" s="31">
        <f t="shared" si="0"/>
        <v>0</v>
      </c>
      <c r="D13" s="2"/>
      <c r="E13" s="57"/>
      <c r="F13" s="8"/>
      <c r="G13" s="8"/>
      <c r="H13" s="8"/>
      <c r="I13" s="8"/>
      <c r="J13" s="2"/>
      <c r="K13" s="69" t="s">
        <v>23</v>
      </c>
      <c r="L13" s="70"/>
      <c r="M13" s="71"/>
      <c r="R13" s="1">
        <f>IF(vend8[[#This Row],[Nº Venda]]&gt;1,1,0)</f>
        <v>0</v>
      </c>
    </row>
    <row r="14" spans="2:18" ht="15.6">
      <c r="B14" s="30" t="s">
        <v>9</v>
      </c>
      <c r="C14" s="31">
        <f t="shared" si="0"/>
        <v>900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IF(vend8[[#This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6">
      <c r="B16" s="28" t="s">
        <v>11</v>
      </c>
      <c r="C16" s="32">
        <f>SUM(C11:C15)</f>
        <v>1600.6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6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1700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2834</v>
      </c>
      <c r="F26" s="25" t="s">
        <v>187</v>
      </c>
      <c r="G26" s="26" t="s">
        <v>7</v>
      </c>
      <c r="H26" s="8"/>
      <c r="I26" s="8">
        <v>300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2834</v>
      </c>
      <c r="F27" s="25" t="s">
        <v>187</v>
      </c>
      <c r="G27" s="26" t="s">
        <v>9</v>
      </c>
      <c r="H27" s="8"/>
      <c r="I27" s="8">
        <v>250</v>
      </c>
      <c r="J27" s="2"/>
      <c r="K27" s="25"/>
      <c r="L27" s="9"/>
      <c r="M27" s="16"/>
    </row>
    <row r="28" spans="2:18" ht="15.6">
      <c r="B28" s="2"/>
      <c r="C28" s="2"/>
      <c r="D28" s="2"/>
      <c r="E28" s="77">
        <v>2656</v>
      </c>
      <c r="F28" s="39" t="s">
        <v>188</v>
      </c>
      <c r="G28" s="26" t="s">
        <v>7</v>
      </c>
      <c r="H28" s="8"/>
      <c r="I28" s="8">
        <v>150.6</v>
      </c>
      <c r="J28" s="2"/>
      <c r="K28" s="25"/>
      <c r="L28" s="9"/>
      <c r="M28" s="16"/>
    </row>
    <row r="29" spans="2:18" ht="15.6">
      <c r="B29" s="2"/>
      <c r="C29" s="2"/>
      <c r="D29" s="2"/>
      <c r="E29" s="77"/>
      <c r="F29" s="39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35"/>
      <c r="F30" s="36"/>
      <c r="G30" s="37"/>
      <c r="H30" s="17"/>
      <c r="I30" s="17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G35:G41 G31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G12:G22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2" zoomScale="80" zoomScaleNormal="80" workbookViewId="0">
      <selection activeCell="A14" sqref="A14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'08'!B1+1</f>
        <v>45116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6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IF(vend9[[#This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IF(vend9[[#This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6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54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54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54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54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G11" sqref="G11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'09'!B1+1</f>
        <v>45117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1220</v>
      </c>
      <c r="D6" s="2"/>
      <c r="E6" s="18">
        <v>2884</v>
      </c>
      <c r="F6" s="25" t="s">
        <v>191</v>
      </c>
      <c r="G6" s="26" t="s">
        <v>7</v>
      </c>
      <c r="H6" s="8">
        <v>40</v>
      </c>
      <c r="I6" s="8">
        <v>40</v>
      </c>
      <c r="J6" s="2"/>
      <c r="K6" s="25" t="s">
        <v>142</v>
      </c>
      <c r="L6" s="9" t="s">
        <v>7</v>
      </c>
      <c r="M6" s="16">
        <v>3.53</v>
      </c>
      <c r="R6" s="1">
        <f>IF(vend10[[#This Row],[Nº Venda]]&gt;1,1,0)</f>
        <v>1</v>
      </c>
    </row>
    <row r="7" spans="2:18" ht="15.6">
      <c r="B7" s="23" t="s">
        <v>3</v>
      </c>
      <c r="C7" s="24">
        <f>SUM(M6:M11)</f>
        <v>3.53</v>
      </c>
      <c r="D7" s="2"/>
      <c r="E7" s="18">
        <v>2885</v>
      </c>
      <c r="F7" s="25" t="s">
        <v>192</v>
      </c>
      <c r="G7" s="26" t="s">
        <v>7</v>
      </c>
      <c r="H7" s="8">
        <v>100</v>
      </c>
      <c r="I7" s="8">
        <v>50</v>
      </c>
      <c r="J7" s="2"/>
      <c r="K7" s="25"/>
      <c r="L7" s="9"/>
      <c r="M7" s="16"/>
      <c r="R7" s="1">
        <f>IF(vend10[[#This Row],[Nº Venda]]&gt;1,1,0)</f>
        <v>1</v>
      </c>
    </row>
    <row r="8" spans="2:18" ht="15.6">
      <c r="B8" s="28" t="s">
        <v>22</v>
      </c>
      <c r="C8" s="29">
        <f>SUM(C6:C7)</f>
        <v>1223.53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890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IF(vend10[[#This Row],[Nº Venda]]&gt;1,1,0)</f>
        <v>0</v>
      </c>
    </row>
    <row r="14" spans="2:18" ht="15.6">
      <c r="B14" s="30" t="s">
        <v>9</v>
      </c>
      <c r="C14" s="31">
        <f t="shared" si="0"/>
        <v>330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IF(vend10[[#This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2639</v>
      </c>
      <c r="L15" s="9" t="s">
        <v>37</v>
      </c>
      <c r="M15" s="16" t="s">
        <v>35</v>
      </c>
      <c r="R15" s="1">
        <f>IF(vend10[[#This Row],[Nº Venda]]&gt;1,1,0)</f>
        <v>0</v>
      </c>
    </row>
    <row r="16" spans="2:18" ht="15.6">
      <c r="B16" s="28" t="s">
        <v>11</v>
      </c>
      <c r="C16" s="32">
        <f>SUM(C11:C15)</f>
        <v>1220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6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2881</v>
      </c>
      <c r="F26" s="25" t="s">
        <v>189</v>
      </c>
      <c r="G26" s="26" t="s">
        <v>9</v>
      </c>
      <c r="H26" s="8"/>
      <c r="I26" s="8">
        <v>330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2856</v>
      </c>
      <c r="F27" s="25" t="s">
        <v>190</v>
      </c>
      <c r="G27" s="26" t="s">
        <v>7</v>
      </c>
      <c r="H27" s="8"/>
      <c r="I27" s="8">
        <v>800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G35:G41 G30:G31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G12:G22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topLeftCell="A14" zoomScale="80" zoomScaleNormal="80" workbookViewId="0">
      <selection activeCell="F16" sqref="F1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'10'!B1+1</f>
        <v>45118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899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1717</v>
      </c>
      <c r="D6" s="2"/>
      <c r="E6" s="18">
        <v>2886</v>
      </c>
      <c r="F6" s="25" t="s">
        <v>196</v>
      </c>
      <c r="G6" s="26" t="s">
        <v>6</v>
      </c>
      <c r="H6" s="8">
        <v>350</v>
      </c>
      <c r="I6" s="8">
        <v>350</v>
      </c>
      <c r="J6" s="2"/>
      <c r="K6" s="25" t="s">
        <v>142</v>
      </c>
      <c r="L6" s="9" t="s">
        <v>7</v>
      </c>
      <c r="M6" s="16">
        <v>2.52</v>
      </c>
      <c r="R6" s="1">
        <f>IF(vend11[[#This Row],[Nº Venda]]&gt;1,1,0)</f>
        <v>1</v>
      </c>
    </row>
    <row r="7" spans="2:18" ht="15.6">
      <c r="B7" s="23" t="s">
        <v>3</v>
      </c>
      <c r="C7" s="24">
        <f>SUM(M6:M11)</f>
        <v>2.52</v>
      </c>
      <c r="D7" s="2"/>
      <c r="E7" s="18">
        <v>2887</v>
      </c>
      <c r="F7" s="25" t="s">
        <v>197</v>
      </c>
      <c r="G7" s="26" t="s">
        <v>8</v>
      </c>
      <c r="H7" s="8">
        <v>549</v>
      </c>
      <c r="I7" s="8">
        <v>549</v>
      </c>
      <c r="J7" s="2"/>
      <c r="K7" s="25"/>
      <c r="L7" s="9"/>
      <c r="M7" s="16"/>
      <c r="R7" s="1">
        <f>IF(vend11[[#This Row],[Nº Venda]]&gt;1,1,0)</f>
        <v>1</v>
      </c>
    </row>
    <row r="8" spans="2:18" ht="15.6">
      <c r="B8" s="28" t="s">
        <v>22</v>
      </c>
      <c r="C8" s="29">
        <f>SUM(C6:C7)</f>
        <v>1719.52</v>
      </c>
      <c r="D8" s="2"/>
      <c r="E8" s="18">
        <v>2888</v>
      </c>
      <c r="F8" s="25" t="s">
        <v>198</v>
      </c>
      <c r="G8" s="26" t="s">
        <v>21</v>
      </c>
      <c r="H8" s="8">
        <v>0</v>
      </c>
      <c r="I8" s="8">
        <v>0</v>
      </c>
      <c r="J8" s="2"/>
      <c r="K8" s="25"/>
      <c r="L8" s="9"/>
      <c r="M8" s="16"/>
      <c r="R8" s="1">
        <f>IF(vend11[[#This Row],[Nº Venda]]&gt;1,1,0)</f>
        <v>1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568</v>
      </c>
      <c r="D11" s="2"/>
      <c r="E11" s="18"/>
      <c r="F11" s="25"/>
      <c r="G11" s="54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>
      <c r="B13" s="30" t="s">
        <v>8</v>
      </c>
      <c r="C13" s="31">
        <f t="shared" si="0"/>
        <v>549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IF(vend11[[#This Row],[Nº Venda]]&gt;1,1,0)</f>
        <v>0</v>
      </c>
    </row>
    <row r="14" spans="2:18" ht="15.6">
      <c r="B14" s="30" t="s">
        <v>9</v>
      </c>
      <c r="C14" s="31">
        <f t="shared" si="0"/>
        <v>600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IF(vend11[[#This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/>
      <c r="L15" s="9"/>
      <c r="M15" s="16"/>
      <c r="R15" s="1">
        <f>IF(vend11[[#This Row],[Nº Venda]]&gt;1,1,0)</f>
        <v>0</v>
      </c>
    </row>
    <row r="16" spans="2:18" ht="15.6">
      <c r="B16" s="28" t="s">
        <v>11</v>
      </c>
      <c r="C16" s="32">
        <f>SUM(C11:C15)</f>
        <v>1717</v>
      </c>
      <c r="D16" s="2"/>
      <c r="E16" s="18"/>
      <c r="F16" s="25"/>
      <c r="G16" s="26"/>
      <c r="H16" s="8"/>
      <c r="I16" s="8"/>
      <c r="J16" s="2"/>
      <c r="K16" s="18"/>
      <c r="L16" s="9"/>
      <c r="M16" s="16"/>
      <c r="R16" s="1">
        <f>IF(vend11[[#This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899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2639</v>
      </c>
      <c r="F26" s="25" t="s">
        <v>193</v>
      </c>
      <c r="G26" s="26" t="s">
        <v>6</v>
      </c>
      <c r="H26" s="8"/>
      <c r="I26" s="8">
        <v>88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2762</v>
      </c>
      <c r="F27" s="25" t="s">
        <v>194</v>
      </c>
      <c r="G27" s="26" t="s">
        <v>9</v>
      </c>
      <c r="H27" s="8"/>
      <c r="I27" s="8">
        <v>600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2853</v>
      </c>
      <c r="F28" s="25" t="s">
        <v>195</v>
      </c>
      <c r="G28" s="26" t="s">
        <v>6</v>
      </c>
      <c r="H28" s="8"/>
      <c r="I28" s="8">
        <v>130</v>
      </c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G35:G41 G30:G31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G11:G22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topLeftCell="A14" zoomScale="80" zoomScaleNormal="80" workbookViewId="0">
      <selection activeCell="E29" sqref="E29:I2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'11'!B1+1</f>
        <v>45119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4299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3087</v>
      </c>
      <c r="D6" s="2"/>
      <c r="E6" s="18">
        <v>2890</v>
      </c>
      <c r="F6" s="25" t="s">
        <v>199</v>
      </c>
      <c r="G6" s="26" t="s">
        <v>9</v>
      </c>
      <c r="H6" s="8">
        <v>300</v>
      </c>
      <c r="I6" s="8">
        <v>300</v>
      </c>
      <c r="J6" s="2"/>
      <c r="K6" s="25" t="s">
        <v>205</v>
      </c>
      <c r="L6" s="9" t="s">
        <v>7</v>
      </c>
      <c r="M6" s="16">
        <v>3.76</v>
      </c>
      <c r="R6" s="1">
        <f>IF(vend12[[#This Row],[Nº Venda]]&gt;1,1,0)</f>
        <v>1</v>
      </c>
    </row>
    <row r="7" spans="2:18" ht="15.6">
      <c r="B7" s="23" t="s">
        <v>3</v>
      </c>
      <c r="C7" s="24">
        <f>SUM(M6:M11)</f>
        <v>3.76</v>
      </c>
      <c r="D7" s="2"/>
      <c r="E7" s="18">
        <v>2891</v>
      </c>
      <c r="F7" s="25" t="s">
        <v>200</v>
      </c>
      <c r="G7" s="26" t="s">
        <v>9</v>
      </c>
      <c r="H7" s="8">
        <v>600</v>
      </c>
      <c r="I7" s="8">
        <v>600</v>
      </c>
      <c r="J7" s="2"/>
      <c r="K7" s="25"/>
      <c r="L7" s="9"/>
      <c r="M7" s="16"/>
      <c r="R7" s="1">
        <f>IF(vend12[[#This Row],[Nº Venda]]&gt;1,1,0)</f>
        <v>1</v>
      </c>
    </row>
    <row r="8" spans="2:18" ht="15.6">
      <c r="B8" s="28" t="s">
        <v>22</v>
      </c>
      <c r="C8" s="29">
        <f>SUM(C6:C7)</f>
        <v>3090.76</v>
      </c>
      <c r="D8" s="2"/>
      <c r="E8" s="18">
        <v>2892</v>
      </c>
      <c r="F8" s="25" t="s">
        <v>201</v>
      </c>
      <c r="G8" s="26" t="s">
        <v>7</v>
      </c>
      <c r="H8" s="8">
        <v>799</v>
      </c>
      <c r="I8" s="8">
        <v>30</v>
      </c>
      <c r="J8" s="2"/>
      <c r="K8" s="25"/>
      <c r="L8" s="9"/>
      <c r="M8" s="16"/>
      <c r="R8" s="1">
        <f>IF(vend12[[#This Row],[Nº Venda]]&gt;1,1,0)</f>
        <v>1</v>
      </c>
    </row>
    <row r="9" spans="2:18" ht="15.6">
      <c r="B9" s="2"/>
      <c r="C9" s="2"/>
      <c r="D9" s="2"/>
      <c r="E9" s="18">
        <v>2893</v>
      </c>
      <c r="F9" s="25" t="s">
        <v>202</v>
      </c>
      <c r="G9" s="26" t="s">
        <v>7</v>
      </c>
      <c r="H9" s="8">
        <v>350</v>
      </c>
      <c r="I9" s="8">
        <v>20</v>
      </c>
      <c r="J9" s="2"/>
      <c r="K9" s="25"/>
      <c r="L9" s="9"/>
      <c r="M9" s="16"/>
      <c r="R9" s="1">
        <f>IF(vend12[[#This Row],[Nº Venda]]&gt;1,1,0)</f>
        <v>1</v>
      </c>
    </row>
    <row r="10" spans="2:18" ht="15.6">
      <c r="B10" s="67" t="s">
        <v>5</v>
      </c>
      <c r="C10" s="67"/>
      <c r="D10" s="2"/>
      <c r="E10" s="18">
        <v>2894</v>
      </c>
      <c r="F10" s="25" t="s">
        <v>203</v>
      </c>
      <c r="G10" s="26" t="s">
        <v>7</v>
      </c>
      <c r="H10" s="8">
        <v>1900</v>
      </c>
      <c r="I10" s="8">
        <v>1900</v>
      </c>
      <c r="J10" s="2"/>
      <c r="K10" s="25"/>
      <c r="L10" s="9"/>
      <c r="M10" s="16"/>
      <c r="R10" s="1">
        <f>IF(vend12[[#This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>
        <v>2895</v>
      </c>
      <c r="F11" s="25" t="s">
        <v>204</v>
      </c>
      <c r="G11" s="26" t="s">
        <v>10</v>
      </c>
      <c r="H11" s="8">
        <v>350</v>
      </c>
      <c r="I11" s="8">
        <v>30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2075</v>
      </c>
      <c r="D12" s="2"/>
      <c r="E12" s="18"/>
      <c r="F12" s="25"/>
      <c r="G12" s="54"/>
      <c r="H12" s="8"/>
      <c r="I12" s="8"/>
      <c r="J12" s="2"/>
      <c r="R12" s="1">
        <f>IF(vend12[[#This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54"/>
      <c r="H13" s="8"/>
      <c r="I13" s="8"/>
      <c r="J13" s="2"/>
      <c r="K13" s="69" t="s">
        <v>23</v>
      </c>
      <c r="L13" s="70"/>
      <c r="M13" s="71"/>
      <c r="R13" s="1">
        <f>IF(vend12[[#This Row],[Nº Venda]]&gt;1,1,0)</f>
        <v>0</v>
      </c>
    </row>
    <row r="14" spans="2:18" ht="15.6">
      <c r="B14" s="30" t="s">
        <v>9</v>
      </c>
      <c r="C14" s="31">
        <f t="shared" si="0"/>
        <v>900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IF(vend12[[#This Row],[Nº Venda]]&gt;1,1,0)</f>
        <v>0</v>
      </c>
    </row>
    <row r="15" spans="2:18" ht="15.6">
      <c r="B15" s="30" t="s">
        <v>10</v>
      </c>
      <c r="C15" s="31">
        <f t="shared" si="0"/>
        <v>112</v>
      </c>
      <c r="D15" s="2"/>
      <c r="E15" s="18"/>
      <c r="F15" s="25"/>
      <c r="G15" s="26"/>
      <c r="H15" s="8"/>
      <c r="I15" s="8"/>
      <c r="J15" s="2"/>
      <c r="K15" s="25">
        <v>2937</v>
      </c>
      <c r="L15" s="9" t="s">
        <v>36</v>
      </c>
      <c r="M15" s="16" t="s">
        <v>40</v>
      </c>
      <c r="R15" s="1">
        <f>IF(vend12[[#This Row],[Nº Venda]]&gt;1,1,0)</f>
        <v>0</v>
      </c>
    </row>
    <row r="16" spans="2:18" ht="15.6">
      <c r="B16" s="28" t="s">
        <v>11</v>
      </c>
      <c r="C16" s="32">
        <f>SUM(C11:C15)</f>
        <v>3087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4299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2539</v>
      </c>
      <c r="F26" s="25" t="s">
        <v>206</v>
      </c>
      <c r="G26" s="26" t="s">
        <v>7</v>
      </c>
      <c r="H26" s="8"/>
      <c r="I26" s="8">
        <v>125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2637</v>
      </c>
      <c r="F27" s="25" t="s">
        <v>207</v>
      </c>
      <c r="G27" s="26" t="s">
        <v>10</v>
      </c>
      <c r="H27" s="8"/>
      <c r="I27" s="8">
        <v>82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54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6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G35:G41 G29:G31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G12:G22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E29" sqref="E2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'12'!B1+1</f>
        <v>45120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1050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1150</v>
      </c>
      <c r="D6" s="2"/>
      <c r="E6" s="18">
        <v>2896</v>
      </c>
      <c r="F6" s="25" t="s">
        <v>208</v>
      </c>
      <c r="G6" s="26" t="s">
        <v>10</v>
      </c>
      <c r="H6" s="8">
        <v>550</v>
      </c>
      <c r="I6" s="8">
        <v>50</v>
      </c>
      <c r="J6" s="2"/>
      <c r="K6" s="25" t="s">
        <v>210</v>
      </c>
      <c r="L6" s="9" t="s">
        <v>7</v>
      </c>
      <c r="M6" s="16">
        <v>7.44</v>
      </c>
      <c r="R6" s="1">
        <f>IF(vend13[[#This Row],[Nº Venda]]&gt;1,1,0)</f>
        <v>1</v>
      </c>
    </row>
    <row r="7" spans="2:18" ht="15.6">
      <c r="B7" s="23" t="s">
        <v>3</v>
      </c>
      <c r="C7" s="24">
        <f>SUM(M6:M11)</f>
        <v>7.44</v>
      </c>
      <c r="D7" s="2"/>
      <c r="E7" s="18">
        <v>2897</v>
      </c>
      <c r="F7" s="25" t="s">
        <v>209</v>
      </c>
      <c r="G7" s="26" t="s">
        <v>9</v>
      </c>
      <c r="H7" s="8">
        <v>500</v>
      </c>
      <c r="I7" s="8">
        <v>500</v>
      </c>
      <c r="J7" s="2"/>
      <c r="K7" s="25"/>
      <c r="L7" s="9"/>
      <c r="M7" s="16"/>
      <c r="R7" s="1">
        <f>IF(vend13[[#This Row],[Nº Venda]]&gt;1,1,0)</f>
        <v>1</v>
      </c>
    </row>
    <row r="8" spans="2:18" ht="15.6">
      <c r="B8" s="28" t="s">
        <v>22</v>
      </c>
      <c r="C8" s="29">
        <f>SUM(C6:C7)</f>
        <v>1157.44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IF(vend13[[#This Row],[Nº Venda]]&gt;1,1,0)</f>
        <v>0</v>
      </c>
    </row>
    <row r="14" spans="2:18" ht="15.6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IF(vend13[[#This Row],[Nº Venda]]&gt;1,1,0)</f>
        <v>0</v>
      </c>
    </row>
    <row r="15" spans="2:18" ht="15.6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6">
      <c r="B16" s="28" t="s">
        <v>11</v>
      </c>
      <c r="C16" s="32">
        <f>SUM(C11:C15)</f>
        <v>1150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6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1050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2863</v>
      </c>
      <c r="F26" s="25" t="s">
        <v>211</v>
      </c>
      <c r="G26" s="26" t="s">
        <v>10</v>
      </c>
      <c r="H26" s="8"/>
      <c r="I26" s="8">
        <v>350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2865</v>
      </c>
      <c r="F27" s="25" t="s">
        <v>153</v>
      </c>
      <c r="G27" s="26" t="s">
        <v>7</v>
      </c>
      <c r="H27" s="8"/>
      <c r="I27" s="8">
        <v>250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G8:G22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G35:G41 G29:G31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topLeftCell="A14" zoomScale="80" zoomScaleNormal="80" workbookViewId="0">
      <selection activeCell="E26" sqref="E26:I2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'13'!B1+1</f>
        <v>45121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2577.77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2842.97</v>
      </c>
      <c r="D6" s="2"/>
      <c r="E6" s="18">
        <v>2898</v>
      </c>
      <c r="F6" s="25" t="s">
        <v>212</v>
      </c>
      <c r="G6" s="26" t="s">
        <v>21</v>
      </c>
      <c r="H6" s="8">
        <v>0</v>
      </c>
      <c r="I6" s="8">
        <v>0</v>
      </c>
      <c r="J6" s="2"/>
      <c r="K6" s="25" t="s">
        <v>142</v>
      </c>
      <c r="L6" s="9" t="s">
        <v>7</v>
      </c>
      <c r="M6" s="16">
        <v>3.74</v>
      </c>
      <c r="R6" s="1">
        <f>IF(vend14[[#This Row],[Nº Venda]]&gt;1,1,0)</f>
        <v>1</v>
      </c>
    </row>
    <row r="7" spans="2:18" ht="15.6">
      <c r="B7" s="23" t="s">
        <v>3</v>
      </c>
      <c r="C7" s="24">
        <f>SUM(M6:M11)</f>
        <v>3.74</v>
      </c>
      <c r="D7" s="2"/>
      <c r="E7" s="18">
        <v>2899</v>
      </c>
      <c r="F7" s="25" t="s">
        <v>213</v>
      </c>
      <c r="G7" s="26" t="s">
        <v>9</v>
      </c>
      <c r="H7" s="8">
        <v>800</v>
      </c>
      <c r="I7" s="8">
        <v>800</v>
      </c>
      <c r="J7" s="2"/>
      <c r="K7" s="25"/>
      <c r="L7" s="9"/>
      <c r="M7" s="16"/>
      <c r="R7" s="1">
        <f>IF(vend14[[#This Row],[Nº Venda]]&gt;1,1,0)</f>
        <v>1</v>
      </c>
    </row>
    <row r="8" spans="2:18" ht="15.6">
      <c r="B8" s="28" t="s">
        <v>22</v>
      </c>
      <c r="C8" s="29">
        <f>SUM(C6:C7)</f>
        <v>2846.7099999999996</v>
      </c>
      <c r="D8" s="2"/>
      <c r="E8" s="18">
        <v>2900</v>
      </c>
      <c r="F8" s="25" t="s">
        <v>214</v>
      </c>
      <c r="G8" s="26" t="s">
        <v>21</v>
      </c>
      <c r="H8" s="8">
        <v>0</v>
      </c>
      <c r="I8" s="8">
        <v>0</v>
      </c>
      <c r="J8" s="2"/>
      <c r="K8" s="25"/>
      <c r="L8" s="9"/>
      <c r="M8" s="16"/>
      <c r="R8" s="1">
        <f>IF(vend14[[#This Row],[Nº Venda]]&gt;1,1,0)</f>
        <v>1</v>
      </c>
    </row>
    <row r="9" spans="2:18" ht="15.6">
      <c r="B9" s="2"/>
      <c r="C9" s="2"/>
      <c r="D9" s="2"/>
      <c r="E9" s="18">
        <v>2901</v>
      </c>
      <c r="F9" s="25" t="s">
        <v>215</v>
      </c>
      <c r="G9" s="26" t="s">
        <v>9</v>
      </c>
      <c r="H9" s="8">
        <v>1777.77</v>
      </c>
      <c r="I9" s="8">
        <v>1777.77</v>
      </c>
      <c r="J9" s="2"/>
      <c r="K9" s="25"/>
      <c r="L9" s="9"/>
      <c r="M9" s="16"/>
      <c r="R9" s="1">
        <f>IF(vend14[[#This Row],[Nº Venda]]&gt;1,1,0)</f>
        <v>1</v>
      </c>
    </row>
    <row r="10" spans="2:18" ht="15.6">
      <c r="B10" s="67" t="s">
        <v>5</v>
      </c>
      <c r="C10" s="67"/>
      <c r="D10" s="2"/>
      <c r="E10" s="18">
        <v>2902</v>
      </c>
      <c r="F10" s="25" t="s">
        <v>216</v>
      </c>
      <c r="G10" s="26" t="s">
        <v>21</v>
      </c>
      <c r="H10" s="8">
        <v>0</v>
      </c>
      <c r="I10" s="8">
        <v>0</v>
      </c>
      <c r="J10" s="2"/>
      <c r="K10" s="25"/>
      <c r="L10" s="9"/>
      <c r="M10" s="16"/>
      <c r="R10" s="1">
        <f>IF(vend14[[#This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75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IF(vend14[[#This Row],[Nº Venda]]&gt;1,1,0)</f>
        <v>0</v>
      </c>
    </row>
    <row r="14" spans="2:18" ht="15.6">
      <c r="B14" s="30" t="s">
        <v>9</v>
      </c>
      <c r="C14" s="31">
        <f t="shared" si="0"/>
        <v>2577.77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IF(vend14[[#This Row],[Nº Venda]]&gt;1,1,0)</f>
        <v>0</v>
      </c>
    </row>
    <row r="15" spans="2:18" ht="15.6">
      <c r="B15" s="30" t="s">
        <v>10</v>
      </c>
      <c r="C15" s="31">
        <f t="shared" si="0"/>
        <v>190.2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6">
      <c r="B16" s="28" t="s">
        <v>11</v>
      </c>
      <c r="C16" s="32">
        <f>SUM(C11:C15)</f>
        <v>2842.97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6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2577.77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2603</v>
      </c>
      <c r="F26" s="25" t="s">
        <v>217</v>
      </c>
      <c r="G26" s="26" t="s">
        <v>10</v>
      </c>
      <c r="H26" s="8"/>
      <c r="I26" s="8">
        <v>190.2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2716</v>
      </c>
      <c r="F27" s="25" t="s">
        <v>218</v>
      </c>
      <c r="G27" s="26" t="s">
        <v>7</v>
      </c>
      <c r="H27" s="8"/>
      <c r="I27" s="8">
        <v>75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G12:G22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G35:G41 G30:G31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2"/>
  <sheetViews>
    <sheetView showGridLines="0" zoomScale="80" zoomScaleNormal="80" workbookViewId="0">
      <selection activeCell="E28" sqref="E28:I32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'14'!B1+1</f>
        <v>45122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410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SUM(I6:I42)</f>
        <v>460</v>
      </c>
      <c r="D6" s="2"/>
      <c r="E6" s="18">
        <v>2903</v>
      </c>
      <c r="F6" s="25" t="s">
        <v>219</v>
      </c>
      <c r="G6" s="26" t="s">
        <v>8</v>
      </c>
      <c r="H6" s="8">
        <v>400</v>
      </c>
      <c r="I6" s="8">
        <v>400</v>
      </c>
      <c r="J6" s="2"/>
      <c r="K6" s="25" t="s">
        <v>221</v>
      </c>
      <c r="L6" s="9" t="s">
        <v>7</v>
      </c>
      <c r="M6" s="16">
        <v>13.78</v>
      </c>
      <c r="R6" s="1">
        <f>IF(vend15[[#This Row],[Nº Venda]]&gt;1,1,0)</f>
        <v>1</v>
      </c>
    </row>
    <row r="7" spans="2:18" ht="15.6">
      <c r="B7" s="23" t="s">
        <v>3</v>
      </c>
      <c r="C7" s="24">
        <f>SUM(M6:M11)</f>
        <v>13.78</v>
      </c>
      <c r="D7" s="2"/>
      <c r="E7" s="18">
        <v>2904</v>
      </c>
      <c r="F7" s="25" t="s">
        <v>220</v>
      </c>
      <c r="G7" s="26" t="s">
        <v>6</v>
      </c>
      <c r="H7" s="8">
        <v>10</v>
      </c>
      <c r="I7" s="8">
        <v>10</v>
      </c>
      <c r="J7" s="2"/>
      <c r="K7" s="25"/>
      <c r="L7" s="9"/>
      <c r="M7" s="16"/>
      <c r="R7" s="1">
        <f>IF(vend15[[#This Row],[Nº Venda]]&gt;1,1,0)</f>
        <v>1</v>
      </c>
    </row>
    <row r="8" spans="2:18" ht="15.6">
      <c r="B8" s="28" t="s">
        <v>22</v>
      </c>
      <c r="C8" s="29">
        <f>SUM(C6:C7)</f>
        <v>473.78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6">
      <c r="B13" s="30" t="s">
        <v>8</v>
      </c>
      <c r="C13" s="31">
        <f t="shared" si="0"/>
        <v>400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IF(vend15[[#This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IF(vend15[[#This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2716</v>
      </c>
      <c r="L15" s="9" t="s">
        <v>38</v>
      </c>
      <c r="M15" s="16" t="s">
        <v>35</v>
      </c>
      <c r="R15" s="1">
        <f>IF(vend15[[#This Row],[Nº Venda]]&gt;1,1,0)</f>
        <v>0</v>
      </c>
    </row>
    <row r="16" spans="2:18" ht="15.6">
      <c r="B16" s="28" t="s">
        <v>11</v>
      </c>
      <c r="C16" s="32">
        <f>SUM(C11:C15)</f>
        <v>460</v>
      </c>
      <c r="D16" s="2"/>
      <c r="E16" s="18"/>
      <c r="F16" s="25"/>
      <c r="G16" s="26"/>
      <c r="H16" s="8"/>
      <c r="I16" s="8"/>
      <c r="J16" s="2"/>
      <c r="K16" s="25">
        <v>2603</v>
      </c>
      <c r="L16" s="9" t="s">
        <v>38</v>
      </c>
      <c r="M16" s="16" t="s">
        <v>35</v>
      </c>
      <c r="R16" s="1">
        <f>IF(vend15[[#This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>
        <v>2852</v>
      </c>
      <c r="L17" s="9" t="s">
        <v>38</v>
      </c>
      <c r="M17" s="16" t="s">
        <v>35</v>
      </c>
      <c r="R17" s="1">
        <f>IF(vend15[[#This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6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410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2885</v>
      </c>
      <c r="F26" s="25" t="s">
        <v>222</v>
      </c>
      <c r="G26" s="26" t="s">
        <v>7</v>
      </c>
      <c r="H26" s="8"/>
      <c r="I26" s="8">
        <v>50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54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54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56"/>
      <c r="G30" s="54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55"/>
      <c r="H31" s="17"/>
      <c r="I31" s="17"/>
      <c r="J31" s="2"/>
      <c r="K31" s="25"/>
      <c r="L31" s="9"/>
      <c r="M31" s="16"/>
    </row>
    <row r="32" spans="2:18" ht="15.6">
      <c r="B32" s="2"/>
      <c r="C32" s="2"/>
      <c r="E32" s="50"/>
      <c r="F32" s="51"/>
      <c r="G32" s="53"/>
      <c r="H32" s="49"/>
      <c r="I32" s="49"/>
    </row>
    <row r="33" spans="2:18" ht="14.4">
      <c r="B33" s="2"/>
      <c r="C33" s="2"/>
      <c r="E33" s="33"/>
      <c r="K33" s="69" t="s">
        <v>12</v>
      </c>
      <c r="L33" s="70"/>
      <c r="M33" s="71"/>
    </row>
    <row r="34" spans="2:18" ht="14.4">
      <c r="E34" s="68" t="s">
        <v>29</v>
      </c>
      <c r="F34" s="68"/>
      <c r="G34" s="68"/>
      <c r="H34" s="68"/>
      <c r="I34" s="68"/>
      <c r="K34" s="14" t="s">
        <v>24</v>
      </c>
      <c r="L34" s="6" t="s">
        <v>32</v>
      </c>
      <c r="M34" s="15" t="s">
        <v>33</v>
      </c>
    </row>
    <row r="35" spans="2:18" ht="14.4">
      <c r="E35" s="10" t="s">
        <v>24</v>
      </c>
      <c r="F35" s="10" t="s">
        <v>15</v>
      </c>
      <c r="G35" s="11" t="s">
        <v>16</v>
      </c>
      <c r="H35" s="12" t="s">
        <v>30</v>
      </c>
      <c r="I35" s="13" t="s">
        <v>31</v>
      </c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25"/>
      <c r="G39" s="26"/>
      <c r="H39" s="8"/>
      <c r="I39" s="8"/>
      <c r="K39" s="25"/>
      <c r="L39" s="42"/>
      <c r="M39" s="16"/>
    </row>
    <row r="40" spans="2:18" ht="15.6">
      <c r="E40" s="18"/>
      <c r="F40" s="39"/>
      <c r="G40" s="26"/>
      <c r="H40" s="8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>
      <c r="E41" s="35"/>
      <c r="F41" s="36"/>
      <c r="G41" s="37"/>
      <c r="H41" s="17"/>
      <c r="I41" s="8"/>
      <c r="K41" s="45"/>
      <c r="L41" s="42"/>
      <c r="M41" s="40"/>
    </row>
    <row r="42" spans="2:18" ht="15.6">
      <c r="E42" s="44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G12:G22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G36:G42 G28:G32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I36:I42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E8" sqref="E8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'15'!B1+1</f>
        <v>45123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54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54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6">
      <c r="B8" s="28" t="s">
        <v>22</v>
      </c>
      <c r="C8" s="29">
        <f>SUM(C6:C7)</f>
        <v>0</v>
      </c>
      <c r="D8" s="2"/>
      <c r="E8" s="18"/>
      <c r="F8" s="25"/>
      <c r="G8" s="54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6">
      <c r="B9" s="2"/>
      <c r="C9" s="2"/>
      <c r="D9" s="2"/>
      <c r="E9" s="18"/>
      <c r="F9" s="25"/>
      <c r="G9" s="54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54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54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54"/>
      <c r="H12" s="8"/>
      <c r="I12" s="8"/>
      <c r="J12" s="2"/>
      <c r="R12" s="1">
        <f>IF(vend16[[#This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54"/>
      <c r="H13" s="8"/>
      <c r="I13" s="8"/>
      <c r="J13" s="2"/>
      <c r="K13" s="69" t="s">
        <v>23</v>
      </c>
      <c r="L13" s="70"/>
      <c r="M13" s="71"/>
      <c r="R13" s="1">
        <f>IF(vend16[[#This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IF(vend16[[#This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6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topLeftCell="D1" zoomScale="80" zoomScaleNormal="80" workbookViewId="0">
      <selection activeCell="E16" sqref="E1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'16'!B1+1</f>
        <v>45124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710</v>
      </c>
      <c r="D6" s="2"/>
      <c r="E6" s="18">
        <v>2905</v>
      </c>
      <c r="F6" s="25" t="s">
        <v>223</v>
      </c>
      <c r="G6" s="26" t="s">
        <v>6</v>
      </c>
      <c r="H6" s="8">
        <v>140</v>
      </c>
      <c r="I6" s="8">
        <v>140</v>
      </c>
      <c r="J6" s="2"/>
      <c r="K6" s="25" t="s">
        <v>142</v>
      </c>
      <c r="L6" s="9" t="s">
        <v>7</v>
      </c>
      <c r="M6" s="16">
        <v>3.62</v>
      </c>
      <c r="R6" s="1">
        <f>IF(vend17[[#This Row],[Nº Venda]]&gt;1,1,0)</f>
        <v>1</v>
      </c>
    </row>
    <row r="7" spans="2:18" ht="15.6">
      <c r="B7" s="23" t="s">
        <v>3</v>
      </c>
      <c r="C7" s="24">
        <f>SUM(M6:M11)</f>
        <v>3.62</v>
      </c>
      <c r="D7" s="2"/>
      <c r="E7" s="18">
        <v>2906</v>
      </c>
      <c r="F7" s="25" t="s">
        <v>224</v>
      </c>
      <c r="G7" s="26" t="s">
        <v>9</v>
      </c>
      <c r="H7" s="8">
        <v>370</v>
      </c>
      <c r="I7" s="8">
        <v>370</v>
      </c>
      <c r="J7" s="2"/>
      <c r="K7" s="25"/>
      <c r="L7" s="9"/>
      <c r="M7" s="16"/>
      <c r="R7" s="1">
        <f>IF(vend17[[#This Row],[Nº Venda]]&gt;1,1,0)</f>
        <v>1</v>
      </c>
    </row>
    <row r="8" spans="2:18" ht="15.6">
      <c r="B8" s="28" t="s">
        <v>22</v>
      </c>
      <c r="C8" s="29">
        <f>SUM(C6:C7)</f>
        <v>713.62</v>
      </c>
      <c r="D8" s="2"/>
      <c r="E8" s="18">
        <v>2907</v>
      </c>
      <c r="F8" s="25" t="s">
        <v>225</v>
      </c>
      <c r="G8" s="26" t="s">
        <v>6</v>
      </c>
      <c r="H8" s="8">
        <v>480</v>
      </c>
      <c r="I8" s="8">
        <v>200</v>
      </c>
      <c r="J8" s="2"/>
      <c r="K8" s="25"/>
      <c r="L8" s="9"/>
      <c r="M8" s="16"/>
      <c r="R8" s="1">
        <f>IF(vend17[[#This Row],[Nº Venda]]&gt;1,1,0)</f>
        <v>1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340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IF(vend17[[#This Row],[Nº Venda]]&gt;1,1,0)</f>
        <v>0</v>
      </c>
    </row>
    <row r="14" spans="2:18" ht="15.6">
      <c r="B14" s="30" t="s">
        <v>9</v>
      </c>
      <c r="C14" s="31">
        <f t="shared" si="0"/>
        <v>370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IF(vend17[[#This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6">
      <c r="B16" s="28" t="s">
        <v>11</v>
      </c>
      <c r="C16" s="32">
        <f>SUM(C11:C15)</f>
        <v>710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6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G12:G22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H38" sqref="H38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'17'!B1+1</f>
        <v>45125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3650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3770</v>
      </c>
      <c r="D6" s="2"/>
      <c r="E6" s="18">
        <v>2908</v>
      </c>
      <c r="F6" s="25" t="s">
        <v>226</v>
      </c>
      <c r="G6" s="26" t="s">
        <v>21</v>
      </c>
      <c r="H6" s="8">
        <v>0</v>
      </c>
      <c r="I6" s="8">
        <v>0</v>
      </c>
      <c r="J6" s="2"/>
      <c r="K6" s="25" t="s">
        <v>142</v>
      </c>
      <c r="L6" s="9" t="s">
        <v>7</v>
      </c>
      <c r="M6" s="16">
        <v>3.57</v>
      </c>
      <c r="R6" s="1">
        <f>IF(vend18[[#This Row],[Nº Venda]]&gt;1,1,0)</f>
        <v>1</v>
      </c>
    </row>
    <row r="7" spans="2:18" ht="15.6">
      <c r="B7" s="23" t="s">
        <v>3</v>
      </c>
      <c r="C7" s="24">
        <f>SUM(M6:M11)</f>
        <v>3.57</v>
      </c>
      <c r="D7" s="2"/>
      <c r="E7" s="18">
        <v>2909</v>
      </c>
      <c r="F7" s="25" t="s">
        <v>227</v>
      </c>
      <c r="G7" s="26" t="s">
        <v>9</v>
      </c>
      <c r="H7" s="8">
        <v>1900</v>
      </c>
      <c r="I7" s="8">
        <v>1900</v>
      </c>
      <c r="J7" s="2"/>
      <c r="K7" s="25"/>
      <c r="L7" s="9"/>
      <c r="M7" s="16"/>
      <c r="R7" s="1">
        <f>IF(vend18[[#This Row],[Nº Venda]]&gt;1,1,0)</f>
        <v>1</v>
      </c>
    </row>
    <row r="8" spans="2:18" ht="15.6">
      <c r="B8" s="28" t="s">
        <v>22</v>
      </c>
      <c r="C8" s="29">
        <f>SUM(C6:C7)</f>
        <v>3773.57</v>
      </c>
      <c r="D8" s="2"/>
      <c r="E8" s="18">
        <v>2910</v>
      </c>
      <c r="F8" s="25" t="s">
        <v>228</v>
      </c>
      <c r="G8" s="26" t="s">
        <v>9</v>
      </c>
      <c r="H8" s="8">
        <v>1500</v>
      </c>
      <c r="I8" s="8">
        <v>1500</v>
      </c>
      <c r="J8" s="2"/>
      <c r="K8" s="25"/>
      <c r="L8" s="9"/>
      <c r="M8" s="16"/>
      <c r="R8" s="1">
        <f>IF(vend18[[#This Row],[Nº Venda]]&gt;1,1,0)</f>
        <v>1</v>
      </c>
    </row>
    <row r="9" spans="2:18" ht="15.6">
      <c r="B9" s="2"/>
      <c r="C9" s="2"/>
      <c r="D9" s="2"/>
      <c r="E9" s="18">
        <v>2911</v>
      </c>
      <c r="F9" s="25" t="s">
        <v>229</v>
      </c>
      <c r="G9" s="26" t="s">
        <v>7</v>
      </c>
      <c r="H9" s="8">
        <v>250</v>
      </c>
      <c r="I9" s="8">
        <v>50</v>
      </c>
      <c r="J9" s="2"/>
      <c r="K9" s="25"/>
      <c r="L9" s="9"/>
      <c r="M9" s="16"/>
      <c r="R9" s="1">
        <f>IF(vend18[[#This Row],[Nº Venda]]&gt;1,1,0)</f>
        <v>1</v>
      </c>
    </row>
    <row r="10" spans="2:18" ht="15.6">
      <c r="B10" s="67" t="s">
        <v>5</v>
      </c>
      <c r="C10" s="67"/>
      <c r="D10" s="2"/>
      <c r="E10" s="18">
        <v>2912</v>
      </c>
      <c r="F10" s="25" t="s">
        <v>230</v>
      </c>
      <c r="G10" s="26" t="s">
        <v>21</v>
      </c>
      <c r="H10" s="8">
        <v>0</v>
      </c>
      <c r="I10" s="8">
        <v>0</v>
      </c>
      <c r="J10" s="2"/>
      <c r="K10" s="25"/>
      <c r="L10" s="9"/>
      <c r="M10" s="16"/>
      <c r="R10" s="1">
        <f>IF(vend18[[#This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360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IF(vend18[[#This Row],[Nº Venda]]&gt;1,1,0)</f>
        <v>0</v>
      </c>
    </row>
    <row r="14" spans="2:18" ht="15.6">
      <c r="B14" s="30" t="s">
        <v>9</v>
      </c>
      <c r="C14" s="31">
        <f t="shared" si="0"/>
        <v>3400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IF(vend18[[#This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2953</v>
      </c>
      <c r="L15" s="9" t="s">
        <v>39</v>
      </c>
      <c r="M15" s="16" t="s">
        <v>40</v>
      </c>
      <c r="R15" s="1">
        <f>IF(vend18[[#This Row],[Nº Venda]]&gt;1,1,0)</f>
        <v>0</v>
      </c>
    </row>
    <row r="16" spans="2:18" ht="15.6">
      <c r="B16" s="28" t="s">
        <v>11</v>
      </c>
      <c r="C16" s="32">
        <f>SUM(C11:C15)</f>
        <v>3770</v>
      </c>
      <c r="D16" s="2"/>
      <c r="E16" s="18"/>
      <c r="F16" s="25"/>
      <c r="G16" s="26"/>
      <c r="H16" s="8"/>
      <c r="I16" s="8"/>
      <c r="J16" s="2"/>
      <c r="K16" s="25">
        <v>2943</v>
      </c>
      <c r="L16" s="9" t="s">
        <v>39</v>
      </c>
      <c r="M16" s="16" t="s">
        <v>40</v>
      </c>
      <c r="R16" s="1">
        <f>IF(vend18[[#This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6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3650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2895</v>
      </c>
      <c r="F26" s="64" t="s">
        <v>231</v>
      </c>
      <c r="G26" s="26" t="s">
        <v>6</v>
      </c>
      <c r="H26" s="8"/>
      <c r="I26" s="8">
        <v>10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2895</v>
      </c>
      <c r="F27" s="64" t="s">
        <v>231</v>
      </c>
      <c r="G27" s="26" t="s">
        <v>7</v>
      </c>
      <c r="H27" s="8"/>
      <c r="I27" s="8">
        <v>310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G35:G41 G31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G12:G22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A35" sqref="A35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'18'!B1+1</f>
        <v>45126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 t="s">
        <v>142</v>
      </c>
      <c r="L6" s="9" t="s">
        <v>7</v>
      </c>
      <c r="M6" s="16">
        <v>2.57</v>
      </c>
      <c r="R6" s="1">
        <f>IF(vend19[[#This Row],[Nº Venda]]&gt;1,1,0)</f>
        <v>0</v>
      </c>
    </row>
    <row r="7" spans="2:18" ht="15.6">
      <c r="B7" s="23" t="s">
        <v>3</v>
      </c>
      <c r="C7" s="24">
        <f>SUM(M6:M11)</f>
        <v>2.57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6">
      <c r="B8" s="28" t="s">
        <v>22</v>
      </c>
      <c r="C8" s="29">
        <f>SUM(C6:C7)</f>
        <v>2.57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IF(vend19[[#This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IF(vend19[[#This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6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G10:G22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E6" sqref="E6:I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'19'!B1+1</f>
        <v>45127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300</v>
      </c>
      <c r="D6" s="2"/>
      <c r="E6" s="18">
        <v>2913</v>
      </c>
      <c r="F6" s="25" t="s">
        <v>233</v>
      </c>
      <c r="G6" s="26" t="s">
        <v>9</v>
      </c>
      <c r="H6" s="8">
        <v>180</v>
      </c>
      <c r="I6" s="8">
        <v>180</v>
      </c>
      <c r="J6" s="2"/>
      <c r="K6" s="25" t="s">
        <v>142</v>
      </c>
      <c r="L6" s="9" t="s">
        <v>7</v>
      </c>
      <c r="M6" s="16">
        <v>3.48</v>
      </c>
      <c r="R6" s="1">
        <f>IF(vend20[[#This Row],[Nº Venda]]&gt;1,1,0)</f>
        <v>1</v>
      </c>
    </row>
    <row r="7" spans="2:18" ht="15.6">
      <c r="B7" s="23" t="s">
        <v>3</v>
      </c>
      <c r="C7" s="24">
        <f>SUM(M6:M11)</f>
        <v>3.48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6">
      <c r="B8" s="28" t="s">
        <v>22</v>
      </c>
      <c r="C8" s="29">
        <f>SUM(C6:C7)</f>
        <v>303.48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IF(vend20[[#This Row],[Nº Venda]]&gt;1,1,0)</f>
        <v>0</v>
      </c>
    </row>
    <row r="14" spans="2:18" ht="15.6">
      <c r="B14" s="30" t="s">
        <v>9</v>
      </c>
      <c r="C14" s="31">
        <f t="shared" si="0"/>
        <v>180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IF(vend20[[#This Row],[Nº Venda]]&gt;1,1,0)</f>
        <v>0</v>
      </c>
    </row>
    <row r="15" spans="2:18" ht="15.6">
      <c r="B15" s="30" t="s">
        <v>10</v>
      </c>
      <c r="C15" s="31">
        <f t="shared" si="0"/>
        <v>120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6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6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2468</v>
      </c>
      <c r="F26" s="25" t="s">
        <v>232</v>
      </c>
      <c r="G26" s="26" t="s">
        <v>10</v>
      </c>
      <c r="H26" s="8"/>
      <c r="I26" s="8">
        <v>120</v>
      </c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G35:G41 G29:G31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G10:G22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E29" sqref="E2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'20'!B1+1</f>
        <v>45128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462</v>
      </c>
      <c r="D6" s="2"/>
      <c r="E6" s="18"/>
      <c r="F6" s="25"/>
      <c r="G6" s="26"/>
      <c r="H6" s="8"/>
      <c r="I6" s="8"/>
      <c r="J6" s="2"/>
      <c r="K6" s="25" t="s">
        <v>142</v>
      </c>
      <c r="L6" s="9" t="s">
        <v>7</v>
      </c>
      <c r="M6" s="16">
        <v>3.64</v>
      </c>
      <c r="R6" s="1">
        <f>IF(vend21[[#This Row],[Nº Venda]]&gt;1,1,0)</f>
        <v>0</v>
      </c>
    </row>
    <row r="7" spans="2:18" ht="15.6">
      <c r="B7" s="23" t="s">
        <v>3</v>
      </c>
      <c r="C7" s="24">
        <f>SUM(M6:M11)</f>
        <v>3.64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6">
      <c r="B8" s="28" t="s">
        <v>22</v>
      </c>
      <c r="C8" s="29">
        <f>SUM(C6:C7)</f>
        <v>465.64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332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IF(vend21[[#This Row],[Nº Venda]]&gt;1,1,0)</f>
        <v>0</v>
      </c>
    </row>
    <row r="15" spans="2:18" ht="15.6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6">
      <c r="B16" s="28" t="s">
        <v>11</v>
      </c>
      <c r="C16" s="32">
        <f>SUM(C11:C15)</f>
        <v>462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6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2680</v>
      </c>
      <c r="F26" s="25" t="s">
        <v>234</v>
      </c>
      <c r="G26" s="26" t="s">
        <v>10</v>
      </c>
      <c r="H26" s="8"/>
      <c r="I26" s="8">
        <v>130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2867</v>
      </c>
      <c r="F27" s="25" t="s">
        <v>235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2665</v>
      </c>
      <c r="F28" s="25" t="s">
        <v>236</v>
      </c>
      <c r="G28" s="26" t="s">
        <v>6</v>
      </c>
      <c r="H28" s="8"/>
      <c r="I28" s="8">
        <v>116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2665</v>
      </c>
      <c r="F29" s="25" t="s">
        <v>236</v>
      </c>
      <c r="G29" s="26" t="s">
        <v>6</v>
      </c>
      <c r="H29" s="8"/>
      <c r="I29" s="8">
        <v>116</v>
      </c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G35:G41 G31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K6" sqref="K6:M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'21'!B1+1</f>
        <v>45129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1230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810</v>
      </c>
      <c r="D6" s="2"/>
      <c r="E6" s="18">
        <v>2914</v>
      </c>
      <c r="F6" s="25" t="s">
        <v>237</v>
      </c>
      <c r="G6" s="26" t="s">
        <v>9</v>
      </c>
      <c r="H6" s="8">
        <v>600</v>
      </c>
      <c r="I6" s="8">
        <v>600</v>
      </c>
      <c r="J6" s="2"/>
      <c r="K6" s="25" t="s">
        <v>142</v>
      </c>
      <c r="L6" s="9" t="s">
        <v>7</v>
      </c>
      <c r="M6" s="16">
        <v>3.84</v>
      </c>
      <c r="R6" s="1">
        <f>IF(vend22[[#This Row],[Nº Venda]]&gt;1,1,0)</f>
        <v>1</v>
      </c>
    </row>
    <row r="7" spans="2:18" ht="15.6">
      <c r="B7" s="23" t="s">
        <v>3</v>
      </c>
      <c r="C7" s="24">
        <f>SUM(M6:M11)</f>
        <v>3.84</v>
      </c>
      <c r="D7" s="2"/>
      <c r="E7" s="18">
        <v>2915</v>
      </c>
      <c r="F7" s="25" t="s">
        <v>238</v>
      </c>
      <c r="G7" s="26" t="s">
        <v>7</v>
      </c>
      <c r="H7" s="8">
        <v>450</v>
      </c>
      <c r="I7" s="8">
        <v>30</v>
      </c>
      <c r="J7" s="2"/>
      <c r="K7" s="25"/>
      <c r="L7" s="9"/>
      <c r="M7" s="16"/>
      <c r="R7" s="1">
        <f>IF(vend22[[#This Row],[Nº Venda]]&gt;1,1,0)</f>
        <v>1</v>
      </c>
    </row>
    <row r="8" spans="2:18" ht="15.6">
      <c r="B8" s="28" t="s">
        <v>22</v>
      </c>
      <c r="C8" s="29">
        <f>SUM(C6:C7)</f>
        <v>813.84</v>
      </c>
      <c r="D8" s="2"/>
      <c r="E8" s="18">
        <v>2916</v>
      </c>
      <c r="F8" s="25" t="s">
        <v>239</v>
      </c>
      <c r="G8" s="26" t="s">
        <v>7</v>
      </c>
      <c r="H8" s="8">
        <v>180</v>
      </c>
      <c r="I8" s="8">
        <v>180</v>
      </c>
      <c r="J8" s="2"/>
      <c r="K8" s="25"/>
      <c r="L8" s="9"/>
      <c r="M8" s="16"/>
      <c r="R8" s="1">
        <f>IF(vend22[[#This Row],[Nº Venda]]&gt;1,1,0)</f>
        <v>1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210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IF(vend22[[#This Row],[Nº Venda]]&gt;1,1,0)</f>
        <v>0</v>
      </c>
    </row>
    <row r="14" spans="2:18" ht="15.6">
      <c r="B14" s="30" t="s">
        <v>9</v>
      </c>
      <c r="C14" s="31">
        <f t="shared" si="0"/>
        <v>600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IF(vend22[[#This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6">
      <c r="B16" s="28" t="s">
        <v>11</v>
      </c>
      <c r="C16" s="32">
        <f>SUM(C11:C15)</f>
        <v>810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6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1230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3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G9:G22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A9" sqref="A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'22'!B1+1</f>
        <v>45130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6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IF(vend23[[#This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IF(vend23[[#This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6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base!$A$2:$A$10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topLeftCell="A8" zoomScale="80" zoomScaleNormal="80" workbookViewId="0">
      <selection activeCell="A19" sqref="A19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'23'!B1+1</f>
        <v>45131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2110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1422</v>
      </c>
      <c r="D6" s="2"/>
      <c r="E6" s="18">
        <v>2917</v>
      </c>
      <c r="F6" s="25" t="s">
        <v>240</v>
      </c>
      <c r="G6" s="26" t="s">
        <v>6</v>
      </c>
      <c r="H6" s="8">
        <v>950</v>
      </c>
      <c r="I6" s="8">
        <v>200</v>
      </c>
      <c r="J6" s="2"/>
      <c r="K6" s="25" t="s">
        <v>142</v>
      </c>
      <c r="L6" s="9" t="s">
        <v>7</v>
      </c>
      <c r="M6" s="16">
        <v>2.2999999999999998</v>
      </c>
      <c r="R6" s="1">
        <f>IF(vend24[[#This Row],[Nº Venda]]&gt;1,1,0)</f>
        <v>1</v>
      </c>
    </row>
    <row r="7" spans="2:18" ht="15.6">
      <c r="B7" s="23" t="s">
        <v>3</v>
      </c>
      <c r="C7" s="24">
        <f>SUM(M6:M11)</f>
        <v>2.2999999999999998</v>
      </c>
      <c r="D7" s="2"/>
      <c r="E7" s="18">
        <v>2918</v>
      </c>
      <c r="F7" s="25" t="s">
        <v>241</v>
      </c>
      <c r="G7" s="26" t="s">
        <v>21</v>
      </c>
      <c r="H7" s="8">
        <v>0</v>
      </c>
      <c r="I7" s="8">
        <v>0</v>
      </c>
      <c r="J7" s="2"/>
      <c r="K7" s="25"/>
      <c r="L7" s="9"/>
      <c r="M7" s="16"/>
      <c r="R7" s="1">
        <f>IF(vend24[[#This Row],[Nº Venda]]&gt;1,1,0)</f>
        <v>1</v>
      </c>
    </row>
    <row r="8" spans="2:18" ht="15.6">
      <c r="B8" s="28" t="s">
        <v>22</v>
      </c>
      <c r="C8" s="29">
        <f>SUM(C6:C7)</f>
        <v>1424.3</v>
      </c>
      <c r="D8" s="2"/>
      <c r="E8" s="18">
        <v>2919</v>
      </c>
      <c r="F8" s="25" t="s">
        <v>242</v>
      </c>
      <c r="G8" s="26" t="s">
        <v>10</v>
      </c>
      <c r="H8" s="8">
        <v>560</v>
      </c>
      <c r="I8" s="8">
        <v>500</v>
      </c>
      <c r="J8" s="2"/>
      <c r="K8" s="25"/>
      <c r="L8" s="9"/>
      <c r="M8" s="16"/>
      <c r="R8" s="1">
        <f>IF(vend24[[#This Row],[Nº Venda]]&gt;1,1,0)</f>
        <v>1</v>
      </c>
    </row>
    <row r="9" spans="2:18" ht="15.6">
      <c r="B9" s="2"/>
      <c r="C9" s="2"/>
      <c r="D9" s="2"/>
      <c r="E9" s="18">
        <v>2919</v>
      </c>
      <c r="F9" s="25" t="s">
        <v>242</v>
      </c>
      <c r="G9" s="26" t="s">
        <v>8</v>
      </c>
      <c r="H9" s="8"/>
      <c r="I9" s="8">
        <v>60</v>
      </c>
      <c r="J9" s="2"/>
      <c r="K9" s="25"/>
      <c r="L9" s="9"/>
      <c r="M9" s="16"/>
      <c r="R9" s="1">
        <f>IF(vend24[[#This Row],[Nº Venda]]&gt;1,1,0)</f>
        <v>1</v>
      </c>
    </row>
    <row r="10" spans="2:18" ht="15.6">
      <c r="B10" s="67" t="s">
        <v>5</v>
      </c>
      <c r="C10" s="67"/>
      <c r="D10" s="2"/>
      <c r="E10" s="18">
        <v>2920</v>
      </c>
      <c r="F10" s="25" t="s">
        <v>243</v>
      </c>
      <c r="G10" s="26" t="s">
        <v>10</v>
      </c>
      <c r="H10" s="8">
        <v>600</v>
      </c>
      <c r="I10" s="8">
        <v>50</v>
      </c>
      <c r="J10" s="2"/>
      <c r="K10" s="25"/>
      <c r="L10" s="9"/>
      <c r="M10" s="16"/>
      <c r="R10" s="1">
        <f>IF(vend24[[#This Row],[Nº Venda]]&gt;1,1,0)</f>
        <v>1</v>
      </c>
    </row>
    <row r="11" spans="2:18" ht="15.6">
      <c r="B11" s="30" t="s">
        <v>6</v>
      </c>
      <c r="C11" s="58">
        <f>(SUMIF($G$2:$G$31,B11,$I$2:$I$31))+(SUMIF($G$35:$G$41,B11,$H$35:$H$41))</f>
        <v>200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6">
      <c r="B12" s="30" t="s">
        <v>7</v>
      </c>
      <c r="C12" s="58">
        <f>(SUMIF($G$2:$G$31,B12,$I$2:$I$31))+(SUMIF($G$35:$G$41,B12,$H$35:$H$41))</f>
        <v>197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6">
      <c r="B13" s="30" t="s">
        <v>8</v>
      </c>
      <c r="C13" s="58">
        <f>(SUMIF($G$2:$G$31,B13,$I$2:$I$31))+(SUMIF($G$35:$G$41,B13,$H$35:$H$41))</f>
        <v>60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IF(vend24[[#This Row],[Nº Venda]]&gt;1,1,0)</f>
        <v>0</v>
      </c>
    </row>
    <row r="14" spans="2:18" ht="15.6">
      <c r="B14" s="30" t="s">
        <v>9</v>
      </c>
      <c r="C14" s="58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IF(vend24[[#This Row],[Nº Venda]]&gt;1,1,0)</f>
        <v>0</v>
      </c>
    </row>
    <row r="15" spans="2:18" ht="15.6">
      <c r="B15" s="30" t="s">
        <v>10</v>
      </c>
      <c r="C15" s="58">
        <f>(SUMIF($G$2:$G$31,B15,$I$2:$I$31))+(SUMIF($G$35:$G$41,B15,$H$35:$H$41))</f>
        <v>965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6">
      <c r="B16" s="28" t="s">
        <v>11</v>
      </c>
      <c r="C16" s="32">
        <f>SUM(C11:C15)</f>
        <v>1422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6">
      <c r="B19" s="30">
        <f>COUNT(entr_carn24[OS])</f>
        <v>1</v>
      </c>
      <c r="C19" s="31">
        <f>SUM(entr_carn24[Valor Total])</f>
        <v>550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6">
      <c r="B20" s="28" t="s">
        <v>11</v>
      </c>
      <c r="C20" s="32">
        <f>SUM(C19:C19)</f>
        <v>550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2110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2314</v>
      </c>
      <c r="F26" s="25" t="s">
        <v>244</v>
      </c>
      <c r="G26" s="26" t="s">
        <v>10</v>
      </c>
      <c r="H26" s="8"/>
      <c r="I26" s="8">
        <v>140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2611</v>
      </c>
      <c r="F27" s="25" t="s">
        <v>245</v>
      </c>
      <c r="G27" s="26" t="s">
        <v>10</v>
      </c>
      <c r="H27" s="8"/>
      <c r="I27" s="8">
        <v>150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2542</v>
      </c>
      <c r="F28" s="25" t="s">
        <v>246</v>
      </c>
      <c r="G28" s="26" t="s">
        <v>10</v>
      </c>
      <c r="H28" s="8"/>
      <c r="I28" s="8">
        <v>125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2310</v>
      </c>
      <c r="F29" s="25" t="s">
        <v>247</v>
      </c>
      <c r="G29" s="26" t="s">
        <v>7</v>
      </c>
      <c r="H29" s="8"/>
      <c r="I29" s="8">
        <v>56.25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2310</v>
      </c>
      <c r="F30" s="39" t="s">
        <v>247</v>
      </c>
      <c r="G30" s="26" t="s">
        <v>7</v>
      </c>
      <c r="H30" s="8"/>
      <c r="I30" s="8">
        <v>43.75</v>
      </c>
      <c r="J30" s="2"/>
      <c r="K30" s="25"/>
      <c r="L30" s="9"/>
      <c r="M30" s="16"/>
    </row>
    <row r="31" spans="2:18" ht="15.6">
      <c r="B31" s="2"/>
      <c r="C31" s="2"/>
      <c r="D31" s="2"/>
      <c r="E31" s="35">
        <v>2329</v>
      </c>
      <c r="F31" s="36" t="s">
        <v>248</v>
      </c>
      <c r="G31" s="37" t="s">
        <v>7</v>
      </c>
      <c r="H31" s="17"/>
      <c r="I31" s="17">
        <v>97</v>
      </c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>
        <v>2979</v>
      </c>
      <c r="L35" s="42">
        <v>5</v>
      </c>
      <c r="M35" s="16">
        <v>550</v>
      </c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5</v>
      </c>
    </row>
    <row r="41" spans="2:18" ht="15.6">
      <c r="E41" s="35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G12:G22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E10" sqref="E10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'24'!B1+1</f>
        <v>45132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2385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1405</v>
      </c>
      <c r="D6" s="2"/>
      <c r="E6" s="18">
        <v>2921</v>
      </c>
      <c r="F6" s="25" t="s">
        <v>249</v>
      </c>
      <c r="G6" s="26" t="s">
        <v>21</v>
      </c>
      <c r="H6" s="8">
        <v>40</v>
      </c>
      <c r="I6" s="8">
        <v>0</v>
      </c>
      <c r="J6" s="2"/>
      <c r="K6" s="25"/>
      <c r="L6" s="9"/>
      <c r="M6" s="16"/>
      <c r="R6" s="1">
        <f>IF(vend25[[#This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2922</v>
      </c>
      <c r="F7" s="25" t="s">
        <v>250</v>
      </c>
      <c r="G7" s="26" t="s">
        <v>6</v>
      </c>
      <c r="H7" s="8">
        <v>1200</v>
      </c>
      <c r="I7" s="8">
        <v>50</v>
      </c>
      <c r="J7" s="2"/>
      <c r="K7" s="25"/>
      <c r="L7" s="9"/>
      <c r="M7" s="16"/>
      <c r="R7" s="1">
        <f>IF(vend25[[#This Row],[Nº Venda]]&gt;1,1,0)</f>
        <v>1</v>
      </c>
    </row>
    <row r="8" spans="2:18" ht="15.6">
      <c r="B8" s="28" t="s">
        <v>22</v>
      </c>
      <c r="C8" s="29">
        <f>SUM(C6:C7)</f>
        <v>1405</v>
      </c>
      <c r="D8" s="2"/>
      <c r="E8" s="18">
        <v>2923</v>
      </c>
      <c r="F8" s="25" t="s">
        <v>251</v>
      </c>
      <c r="G8" s="26" t="s">
        <v>7</v>
      </c>
      <c r="H8" s="8">
        <v>285</v>
      </c>
      <c r="I8" s="8">
        <v>285</v>
      </c>
      <c r="J8" s="2"/>
      <c r="K8" s="25"/>
      <c r="L8" s="9"/>
      <c r="M8" s="16"/>
      <c r="R8" s="1">
        <f>IF(vend25[[#This Row],[Nº Venda]]&gt;1,1,0)</f>
        <v>1</v>
      </c>
    </row>
    <row r="9" spans="2:18" ht="15.6">
      <c r="B9" s="2"/>
      <c r="C9" s="2"/>
      <c r="D9" s="2"/>
      <c r="E9" s="18">
        <v>2924</v>
      </c>
      <c r="F9" s="25" t="s">
        <v>252</v>
      </c>
      <c r="G9" s="26" t="s">
        <v>8</v>
      </c>
      <c r="H9" s="8">
        <v>900</v>
      </c>
      <c r="I9" s="8">
        <v>50</v>
      </c>
      <c r="J9" s="2"/>
      <c r="K9" s="25"/>
      <c r="L9" s="9"/>
      <c r="M9" s="16"/>
      <c r="R9" s="1">
        <f>IF(vend25[[#This Row],[Nº Venda]]&gt;1,1,0)</f>
        <v>1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285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6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IF(vend25[[#This Row],[Nº Venda]]&gt;1,1,0)</f>
        <v>0</v>
      </c>
    </row>
    <row r="14" spans="2:18" ht="15.6">
      <c r="B14" s="30" t="s">
        <v>9</v>
      </c>
      <c r="C14" s="31">
        <f t="shared" si="0"/>
        <v>530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IF(vend25[[#This Row],[Nº Venda]]&gt;1,1,0)</f>
        <v>0</v>
      </c>
    </row>
    <row r="15" spans="2:18" ht="15.6">
      <c r="B15" s="30" t="s">
        <v>10</v>
      </c>
      <c r="C15" s="31">
        <f t="shared" si="0"/>
        <v>490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6">
      <c r="B16" s="28" t="s">
        <v>11</v>
      </c>
      <c r="C16" s="32">
        <f>SUM(C11:C15)</f>
        <v>1405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6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2385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2236</v>
      </c>
      <c r="F26" s="25" t="s">
        <v>253</v>
      </c>
      <c r="G26" s="26" t="s">
        <v>10</v>
      </c>
      <c r="H26" s="8"/>
      <c r="I26" s="8">
        <v>130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2920</v>
      </c>
      <c r="F27" s="25" t="s">
        <v>254</v>
      </c>
      <c r="G27" s="26" t="s">
        <v>9</v>
      </c>
      <c r="H27" s="8"/>
      <c r="I27" s="8">
        <v>530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2920</v>
      </c>
      <c r="F28" s="25" t="s">
        <v>254</v>
      </c>
      <c r="G28" s="26" t="s">
        <v>10</v>
      </c>
      <c r="H28" s="8"/>
      <c r="I28" s="8">
        <v>20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2703</v>
      </c>
      <c r="F29" s="25" t="s">
        <v>255</v>
      </c>
      <c r="G29" s="26" t="s">
        <v>10</v>
      </c>
      <c r="H29" s="8"/>
      <c r="I29" s="8">
        <v>60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2907</v>
      </c>
      <c r="F30" s="39" t="s">
        <v>256</v>
      </c>
      <c r="G30" s="26" t="s">
        <v>10</v>
      </c>
      <c r="H30" s="8"/>
      <c r="I30" s="8">
        <v>280</v>
      </c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4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G12:G22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G35:G41 G31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topLeftCell="A7" zoomScale="80" zoomScaleNormal="80" workbookViewId="0">
      <selection activeCell="A18" sqref="A18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'25'!B1+1</f>
        <v>45133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299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1099</v>
      </c>
      <c r="D6" s="2"/>
      <c r="E6" s="18">
        <v>2925</v>
      </c>
      <c r="F6" s="25" t="s">
        <v>257</v>
      </c>
      <c r="G6" s="26" t="s">
        <v>10</v>
      </c>
      <c r="H6" s="8">
        <v>200</v>
      </c>
      <c r="I6" s="8">
        <v>200</v>
      </c>
      <c r="J6" s="2"/>
      <c r="K6" s="25"/>
      <c r="L6" s="9"/>
      <c r="M6" s="16"/>
      <c r="R6" s="1">
        <f>IF(vend26[[#This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2926</v>
      </c>
      <c r="F7" s="25" t="s">
        <v>258</v>
      </c>
      <c r="G7" s="26" t="s">
        <v>7</v>
      </c>
      <c r="H7" s="8">
        <v>99</v>
      </c>
      <c r="I7" s="8">
        <v>99</v>
      </c>
      <c r="J7" s="2"/>
      <c r="K7" s="25"/>
      <c r="L7" s="9"/>
      <c r="M7" s="16"/>
      <c r="R7" s="1">
        <f>IF(vend26[[#This Row],[Nº Venda]]&gt;1,1,0)</f>
        <v>1</v>
      </c>
    </row>
    <row r="8" spans="2:18" ht="15.6">
      <c r="B8" s="28" t="s">
        <v>22</v>
      </c>
      <c r="C8" s="29">
        <f>SUM(C6:C7)</f>
        <v>1099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99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IF(vend26[[#This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IF(vend26[[#This Row],[Nº Venda]]&gt;1,1,0)</f>
        <v>0</v>
      </c>
    </row>
    <row r="15" spans="2:18" ht="15.6">
      <c r="B15" s="30" t="s">
        <v>10</v>
      </c>
      <c r="C15" s="31">
        <f t="shared" si="0"/>
        <v>1000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6">
      <c r="B16" s="28" t="s">
        <v>11</v>
      </c>
      <c r="C16" s="32">
        <f>SUM(C11:C15)</f>
        <v>1099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6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299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3014</v>
      </c>
      <c r="F26" s="25" t="s">
        <v>133</v>
      </c>
      <c r="G26" s="26" t="s">
        <v>10</v>
      </c>
      <c r="H26" s="8"/>
      <c r="I26" s="8">
        <v>600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3015</v>
      </c>
      <c r="F27" s="25" t="s">
        <v>130</v>
      </c>
      <c r="G27" s="26" t="s">
        <v>10</v>
      </c>
      <c r="H27" s="8"/>
      <c r="I27" s="8">
        <v>200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G11:G22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4B92-8D4A-45C2-9A3E-DC6979332D7C}">
  <dimension ref="B1:R41"/>
  <sheetViews>
    <sheetView showGridLines="0" zoomScale="80" zoomScaleNormal="80" workbookViewId="0">
      <selection activeCell="F30" sqref="F30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'26'!B1+1</f>
        <v>45134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1250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1412</v>
      </c>
      <c r="D6" s="2"/>
      <c r="E6" s="18">
        <v>2927</v>
      </c>
      <c r="F6" s="25" t="s">
        <v>259</v>
      </c>
      <c r="G6" s="26" t="s">
        <v>10</v>
      </c>
      <c r="H6" s="8">
        <v>450</v>
      </c>
      <c r="I6" s="8">
        <v>450</v>
      </c>
      <c r="J6" s="2"/>
      <c r="K6" s="25"/>
      <c r="L6" s="9"/>
      <c r="M6" s="16"/>
      <c r="R6" s="1">
        <f>IF(vend31171[[#This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>
        <v>2928</v>
      </c>
      <c r="F7" s="25" t="s">
        <v>260</v>
      </c>
      <c r="G7" s="26" t="s">
        <v>9</v>
      </c>
      <c r="H7" s="8">
        <v>800</v>
      </c>
      <c r="I7" s="8">
        <v>800</v>
      </c>
      <c r="J7" s="2"/>
      <c r="K7" s="25"/>
      <c r="L7" s="9"/>
      <c r="M7" s="16"/>
      <c r="R7" s="1">
        <f>IF(vend31171[[#This Row],[Nº Venda]]&gt;1,1,0)</f>
        <v>1</v>
      </c>
    </row>
    <row r="8" spans="2:18" ht="15.6">
      <c r="B8" s="28" t="s">
        <v>22</v>
      </c>
      <c r="C8" s="29">
        <f>SUM(C6:C7)</f>
        <v>1412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IF(vend31171[[#This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IF(vend31171[[#This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IF(vend31171[[#This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82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IF(vend31171[[#This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IF(vend31171[[#This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IF(vend31171[[#This Row],[Nº Venda]]&gt;1,1,0)</f>
        <v>0</v>
      </c>
    </row>
    <row r="14" spans="2:18" ht="15.6">
      <c r="B14" s="30" t="s">
        <v>9</v>
      </c>
      <c r="C14" s="31">
        <v>3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IF(vend31171[[#This Row],[Nº Venda]]&gt;1,1,0)</f>
        <v>0</v>
      </c>
    </row>
    <row r="15" spans="2:18" ht="15.6">
      <c r="B15" s="30" t="s">
        <v>10</v>
      </c>
      <c r="C15" s="31">
        <f t="shared" si="0"/>
        <v>530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IF(vend31171[[#This Row],[Nº Venda]]&gt;1,1,0)</f>
        <v>0</v>
      </c>
    </row>
    <row r="16" spans="2:18" ht="15.6">
      <c r="B16" s="28" t="s">
        <v>11</v>
      </c>
      <c r="C16" s="32">
        <f>SUM(C11:C15)</f>
        <v>615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IF(vend31171[[#This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IF(vend31171[[#This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IF(vend31171[[#This Row],[Nº Venda]]&gt;1,1,0)</f>
        <v>0</v>
      </c>
    </row>
    <row r="19" spans="2:18" ht="15.6">
      <c r="B19" s="30">
        <f>COUNT(entr_carn31176[OS])</f>
        <v>0</v>
      </c>
      <c r="C19" s="31">
        <f>SUM(entr_carn31176[Valor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IF(vend31171[[#This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IF(vend31171[[#This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1250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2418</v>
      </c>
      <c r="F26" s="25" t="s">
        <v>261</v>
      </c>
      <c r="G26" s="26" t="s">
        <v>6</v>
      </c>
      <c r="H26" s="8"/>
      <c r="I26" s="8">
        <v>82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2892</v>
      </c>
      <c r="F27" s="25" t="s">
        <v>262</v>
      </c>
      <c r="G27" s="26" t="s">
        <v>10</v>
      </c>
      <c r="H27" s="8"/>
      <c r="I27" s="8">
        <v>80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2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49DF8CB-0505-481C-AF41-2240B541C2A8}">
      <formula1>"1,2,3,4,5,6,7,8,9,10"</formula1>
    </dataValidation>
    <dataValidation type="list" allowBlank="1" showInputMessage="1" showErrorMessage="1" sqref="M15:M31" xr:uid="{15C85B5A-9155-4575-A8F2-D3A15F934CB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2AC6C1-626C-455F-8608-FB4C5E0C2E7E}">
          <x14:formula1>
            <xm:f>base!$E$2:$E$79</xm:f>
          </x14:formula1>
          <xm:sqref>I35:I41</xm:sqref>
        </x14:dataValidation>
        <x14:dataValidation type="list" allowBlank="1" showInputMessage="1" showErrorMessage="1" xr:uid="{FD3DB8CA-3F82-4544-8A6A-4BE84FFE4831}">
          <x14:formula1>
            <xm:f>base!$A$2:$A$6</xm:f>
          </x14:formula1>
          <xm:sqref>G35:G41 G30:G31</xm:sqref>
        </x14:dataValidation>
        <x14:dataValidation type="list" allowBlank="1" showInputMessage="1" showErrorMessage="1" xr:uid="{EB71D89A-B1DA-4EB1-8505-D66A8BE2E67A}">
          <x14:formula1>
            <xm:f>base!$A$2:$A$9</xm:f>
          </x14:formula1>
          <xm:sqref>G8:G22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topLeftCell="A2" zoomScale="80" zoomScaleNormal="80" workbookViewId="0">
      <selection activeCell="E35" sqref="E35:I36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6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'27'!B1+1</f>
        <v>45135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8110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2830</v>
      </c>
      <c r="D6" s="2"/>
      <c r="E6" s="18">
        <v>2929</v>
      </c>
      <c r="F6" s="25" t="s">
        <v>263</v>
      </c>
      <c r="G6" s="26" t="s">
        <v>9</v>
      </c>
      <c r="H6" s="8">
        <v>500</v>
      </c>
      <c r="I6" s="8">
        <v>500</v>
      </c>
      <c r="J6" s="2"/>
      <c r="K6" s="25" t="s">
        <v>270</v>
      </c>
      <c r="L6" s="9" t="s">
        <v>6</v>
      </c>
      <c r="M6" s="16">
        <v>18.989999999999998</v>
      </c>
      <c r="R6" s="1">
        <f>IF(vend28[[#This Row],[Nº Venda]]&gt;1,1,0)</f>
        <v>1</v>
      </c>
    </row>
    <row r="7" spans="2:18" ht="15.6">
      <c r="B7" s="23" t="s">
        <v>3</v>
      </c>
      <c r="C7" s="24">
        <f>SUM(M6:M11)</f>
        <v>18.989999999999998</v>
      </c>
      <c r="D7" s="2"/>
      <c r="E7" s="18">
        <v>2930</v>
      </c>
      <c r="F7" s="25" t="s">
        <v>264</v>
      </c>
      <c r="G7" s="26" t="s">
        <v>6</v>
      </c>
      <c r="H7" s="8">
        <v>500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6">
      <c r="B8" s="28" t="s">
        <v>22</v>
      </c>
      <c r="C8" s="29">
        <f>SUM(C6:C7)</f>
        <v>2848.99</v>
      </c>
      <c r="D8" s="2"/>
      <c r="E8" s="18">
        <v>2931</v>
      </c>
      <c r="F8" s="25" t="s">
        <v>265</v>
      </c>
      <c r="G8" s="26" t="s">
        <v>10</v>
      </c>
      <c r="H8" s="8">
        <v>1790</v>
      </c>
      <c r="I8" s="8">
        <v>250</v>
      </c>
      <c r="J8" s="2"/>
      <c r="K8" s="25"/>
      <c r="L8" s="9"/>
      <c r="M8" s="16"/>
      <c r="R8" s="1">
        <f>IF(vend28[[#This Row],[Nº Venda]]&gt;1,1,0)</f>
        <v>1</v>
      </c>
    </row>
    <row r="9" spans="2:18" ht="15.6">
      <c r="B9" s="2"/>
      <c r="C9" s="2"/>
      <c r="D9" s="2"/>
      <c r="E9" s="18">
        <v>2932</v>
      </c>
      <c r="F9" s="25" t="s">
        <v>266</v>
      </c>
      <c r="G9" s="26" t="s">
        <v>7</v>
      </c>
      <c r="H9" s="8">
        <v>630</v>
      </c>
      <c r="I9" s="8">
        <v>300</v>
      </c>
      <c r="J9" s="2"/>
      <c r="K9" s="25"/>
      <c r="L9" s="9"/>
      <c r="M9" s="16"/>
      <c r="R9" s="1">
        <f>IF(vend28[[#This Row],[Nº Venda]]&gt;1,1,0)</f>
        <v>1</v>
      </c>
    </row>
    <row r="10" spans="2:18" ht="15.6">
      <c r="B10" s="67" t="s">
        <v>5</v>
      </c>
      <c r="C10" s="67"/>
      <c r="D10" s="2"/>
      <c r="E10" s="18">
        <v>2933</v>
      </c>
      <c r="F10" s="25" t="s">
        <v>267</v>
      </c>
      <c r="G10" s="26" t="s">
        <v>7</v>
      </c>
      <c r="H10" s="8">
        <v>550</v>
      </c>
      <c r="I10" s="8">
        <v>550</v>
      </c>
      <c r="J10" s="2"/>
      <c r="K10" s="25"/>
      <c r="L10" s="9"/>
      <c r="M10" s="16"/>
      <c r="R10" s="1">
        <f>IF(vend28[[#This Row],[Nº Venda]]&gt;1,1,0)</f>
        <v>1</v>
      </c>
    </row>
    <row r="11" spans="2:18" ht="15.6">
      <c r="B11" s="30" t="s">
        <v>6</v>
      </c>
      <c r="C11" s="31">
        <f>(SUMIF($G$2:$G$31,B11,$I$2:$I$31))+(SUMIF($G$35:$G$41,B11,$H$35:$H$41))</f>
        <v>430</v>
      </c>
      <c r="D11" s="2"/>
      <c r="E11" s="18">
        <v>2934</v>
      </c>
      <c r="F11" s="25" t="s">
        <v>268</v>
      </c>
      <c r="G11" s="26" t="s">
        <v>6</v>
      </c>
      <c r="H11" s="8">
        <v>650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1050</v>
      </c>
      <c r="D12" s="2"/>
      <c r="E12" s="18">
        <v>2935</v>
      </c>
      <c r="F12" s="25" t="s">
        <v>269</v>
      </c>
      <c r="G12" s="26" t="s">
        <v>7</v>
      </c>
      <c r="H12" s="8">
        <v>3490</v>
      </c>
      <c r="I12" s="8">
        <v>200</v>
      </c>
      <c r="J12" s="2"/>
      <c r="R12" s="1">
        <f>IF(vend28[[#This Row],[Nº Venda]]&gt;1,1,0)</f>
        <v>1</v>
      </c>
    </row>
    <row r="13" spans="2:18" ht="15.6">
      <c r="B13" s="30" t="s">
        <v>8</v>
      </c>
      <c r="C13" s="31">
        <f t="shared" si="0"/>
        <v>0</v>
      </c>
      <c r="D13" s="2"/>
      <c r="E13" s="18">
        <v>2936</v>
      </c>
      <c r="F13" s="25" t="s">
        <v>269</v>
      </c>
      <c r="G13" s="26" t="s">
        <v>21</v>
      </c>
      <c r="H13" s="8">
        <v>0</v>
      </c>
      <c r="I13" s="8">
        <v>0</v>
      </c>
      <c r="J13" s="2"/>
      <c r="K13" s="69" t="s">
        <v>23</v>
      </c>
      <c r="L13" s="70"/>
      <c r="M13" s="71"/>
      <c r="R13" s="1">
        <f>IF(vend28[[#This Row],[Nº Venda]]&gt;1,1,0)</f>
        <v>1</v>
      </c>
    </row>
    <row r="14" spans="2:18" ht="15.6">
      <c r="B14" s="30" t="s">
        <v>9</v>
      </c>
      <c r="C14" s="31">
        <f t="shared" si="0"/>
        <v>500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IF(vend28[[#This Row],[Nº Venda]]&gt;1,1,0)</f>
        <v>0</v>
      </c>
    </row>
    <row r="15" spans="2:18" ht="15.6">
      <c r="B15" s="30" t="s">
        <v>10</v>
      </c>
      <c r="C15" s="31">
        <f t="shared" si="0"/>
        <v>850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6">
      <c r="B16" s="28" t="s">
        <v>11</v>
      </c>
      <c r="C16" s="32">
        <f>SUM(C11:C15)</f>
        <v>2830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6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8110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2287</v>
      </c>
      <c r="F26" s="25" t="s">
        <v>271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2864</v>
      </c>
      <c r="F27" s="25" t="s">
        <v>272</v>
      </c>
      <c r="G27" s="26" t="s">
        <v>10</v>
      </c>
      <c r="H27" s="8"/>
      <c r="I27" s="8">
        <v>150</v>
      </c>
      <c r="J27" s="2"/>
      <c r="K27" s="25"/>
      <c r="L27" s="9"/>
      <c r="M27" s="16"/>
    </row>
    <row r="28" spans="2:18" ht="15.6">
      <c r="B28" s="2"/>
      <c r="C28" s="2"/>
      <c r="D28" s="2"/>
      <c r="E28" s="18">
        <v>2896</v>
      </c>
      <c r="F28" s="25" t="s">
        <v>273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6">
      <c r="B29" s="2"/>
      <c r="C29" s="2"/>
      <c r="D29" s="2"/>
      <c r="E29" s="18">
        <v>2896</v>
      </c>
      <c r="F29" s="25" t="s">
        <v>273</v>
      </c>
      <c r="G29" s="26" t="s">
        <v>10</v>
      </c>
      <c r="H29" s="8"/>
      <c r="I29" s="8">
        <v>450</v>
      </c>
      <c r="J29" s="2"/>
      <c r="K29" s="25"/>
      <c r="L29" s="9"/>
      <c r="M29" s="16"/>
    </row>
    <row r="30" spans="2:18" ht="15.6">
      <c r="B30" s="2"/>
      <c r="C30" s="2"/>
      <c r="D30" s="2"/>
      <c r="E30" s="18">
        <v>2911</v>
      </c>
      <c r="F30" s="39" t="s">
        <v>274</v>
      </c>
      <c r="G30" s="26" t="s">
        <v>6</v>
      </c>
      <c r="H30" s="8"/>
      <c r="I30" s="8">
        <v>180</v>
      </c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8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G14:G22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G35:G41 G31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zoomScale="80" zoomScaleNormal="80" workbookViewId="0">
      <selection activeCell="A14" sqref="A14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9.441406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'28'!B1+1</f>
        <v>45136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380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80</v>
      </c>
      <c r="D6" s="2"/>
      <c r="E6" s="18">
        <v>2937</v>
      </c>
      <c r="F6" s="25" t="s">
        <v>275</v>
      </c>
      <c r="G6" s="26" t="s">
        <v>8</v>
      </c>
      <c r="H6" s="8">
        <v>380</v>
      </c>
      <c r="I6" s="8">
        <v>80</v>
      </c>
      <c r="J6" s="2"/>
      <c r="K6" s="25"/>
      <c r="L6" s="9"/>
      <c r="M6" s="16"/>
      <c r="R6" s="1">
        <f>IF(vend29[[#This Row],[Nº Venda]]&gt;1,1,0)</f>
        <v>1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6">
      <c r="B8" s="28" t="s">
        <v>22</v>
      </c>
      <c r="C8" s="29">
        <f>SUM(C6:C7)</f>
        <v>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6">
      <c r="B13" s="30" t="s">
        <v>8</v>
      </c>
      <c r="C13" s="31">
        <f t="shared" si="0"/>
        <v>80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IF(vend29[[#This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IF(vend29[[#This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6">
      <c r="B16" s="28" t="s">
        <v>11</v>
      </c>
      <c r="C16" s="32">
        <f>SUM(C11:C15)</f>
        <v>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6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380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1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G8:G22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workbookViewId="0">
      <selection activeCell="A13" sqref="A13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'29'!B1+1</f>
        <v>45137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IF(vend30[[#This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6">
      <c r="B8" s="28" t="s">
        <v>22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IF(vend30[[#This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IF(vend30[[#This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IF(vend30[[#This Row],[Nº Venda]]&gt;1,1,0)</f>
        <v>0</v>
      </c>
    </row>
    <row r="15" spans="2:18" ht="15.6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IF(vend30[[#This Row],[Nº Venda]]&gt;1,1,0)</f>
        <v>0</v>
      </c>
    </row>
    <row r="16" spans="2:18" ht="15.6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6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dimension ref="B1:R41"/>
  <sheetViews>
    <sheetView showGridLines="0" tabSelected="1" zoomScale="80" zoomScaleNormal="80" workbookViewId="0">
      <selection activeCell="A12" sqref="A12"/>
    </sheetView>
  </sheetViews>
  <sheetFormatPr defaultColWidth="9.109375" defaultRowHeight="13.2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1.10937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2.8">
      <c r="B1" s="41">
        <f>'30'!B1+1</f>
        <v>45138</v>
      </c>
    </row>
    <row r="2" spans="2:18" ht="18">
      <c r="B2" s="72" t="s">
        <v>13</v>
      </c>
      <c r="C2" s="73"/>
      <c r="D2" s="73"/>
      <c r="E2" s="73"/>
      <c r="F2" s="73"/>
      <c r="G2" s="73"/>
      <c r="H2" s="73"/>
      <c r="I2" s="73"/>
      <c r="J2" s="73"/>
      <c r="K2" s="73"/>
      <c r="L2" s="73"/>
      <c r="M2" s="74"/>
    </row>
    <row r="3" spans="2:18" ht="18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>
      <c r="B4" s="19" t="s">
        <v>0</v>
      </c>
      <c r="C4" s="20">
        <v>0</v>
      </c>
      <c r="D4" s="21"/>
      <c r="E4" s="75" t="s">
        <v>1</v>
      </c>
      <c r="F4" s="75"/>
      <c r="G4" s="75"/>
      <c r="H4" s="75"/>
      <c r="I4" s="75"/>
      <c r="J4" s="22"/>
      <c r="K4" s="69" t="s">
        <v>3</v>
      </c>
      <c r="L4" s="70"/>
      <c r="M4" s="71"/>
    </row>
    <row r="5" spans="2:18" ht="14.4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>
      <c r="B6" s="23" t="s">
        <v>2</v>
      </c>
      <c r="C6" s="24">
        <f>SUM(I6:I41)</f>
        <v>410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6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6">
      <c r="B8" s="28" t="s">
        <v>22</v>
      </c>
      <c r="C8" s="29">
        <f>SUM(C6:C7)</f>
        <v>410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6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6">
      <c r="B10" s="67" t="s">
        <v>5</v>
      </c>
      <c r="C10" s="6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6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6">
      <c r="B12" s="30" t="s">
        <v>7</v>
      </c>
      <c r="C12" s="31">
        <f t="shared" ref="C12:C15" si="0"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6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69" t="s">
        <v>23</v>
      </c>
      <c r="L13" s="70"/>
      <c r="M13" s="71"/>
      <c r="R13" s="1">
        <f>IF(vend31[[#This Row],[Nº Venda]]&gt;1,1,0)</f>
        <v>0</v>
      </c>
    </row>
    <row r="14" spans="2:18" ht="15.6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24</v>
      </c>
      <c r="L14" s="6" t="s">
        <v>25</v>
      </c>
      <c r="M14" s="15" t="s">
        <v>26</v>
      </c>
      <c r="R14" s="1">
        <f>IF(vend31[[#This Row],[Nº Venda]]&gt;1,1,0)</f>
        <v>0</v>
      </c>
    </row>
    <row r="15" spans="2:18" ht="15.6">
      <c r="B15" s="30" t="s">
        <v>10</v>
      </c>
      <c r="C15" s="31">
        <f t="shared" si="0"/>
        <v>160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6">
      <c r="B16" s="28" t="s">
        <v>11</v>
      </c>
      <c r="C16" s="32">
        <f>SUM(C11:C15)</f>
        <v>410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6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6">
      <c r="B18" s="67" t="s">
        <v>12</v>
      </c>
      <c r="C18" s="6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6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6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6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>
      <c r="B22" s="28" t="s">
        <v>27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>
      <c r="B24" s="2"/>
      <c r="C24" s="2"/>
      <c r="D24" s="2"/>
      <c r="E24" s="68" t="s">
        <v>28</v>
      </c>
      <c r="F24" s="68"/>
      <c r="G24" s="68"/>
      <c r="H24" s="68"/>
      <c r="I24" s="68"/>
      <c r="J24" s="2"/>
      <c r="K24" s="25"/>
      <c r="L24" s="9"/>
      <c r="M24" s="16"/>
    </row>
    <row r="25" spans="2:18" ht="14.4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>
      <c r="B26" s="2"/>
      <c r="C26" s="2"/>
      <c r="D26" s="2"/>
      <c r="E26" s="18">
        <v>2748</v>
      </c>
      <c r="F26" s="25" t="s">
        <v>276</v>
      </c>
      <c r="G26" s="26" t="s">
        <v>7</v>
      </c>
      <c r="H26" s="8"/>
      <c r="I26" s="8">
        <v>250</v>
      </c>
      <c r="J26" s="2"/>
      <c r="K26" s="25"/>
      <c r="L26" s="9"/>
      <c r="M26" s="16"/>
    </row>
    <row r="27" spans="2:18" ht="15.6">
      <c r="B27" s="2"/>
      <c r="C27" s="2"/>
      <c r="D27" s="2"/>
      <c r="E27" s="18">
        <v>2752</v>
      </c>
      <c r="F27" s="25" t="s">
        <v>277</v>
      </c>
      <c r="G27" s="26" t="s">
        <v>10</v>
      </c>
      <c r="H27" s="8"/>
      <c r="I27" s="8">
        <v>160</v>
      </c>
      <c r="J27" s="2"/>
      <c r="K27" s="25"/>
      <c r="L27" s="9"/>
      <c r="M27" s="16"/>
    </row>
    <row r="28" spans="2:18" ht="15.6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>
      <c r="B32" s="2"/>
      <c r="C32" s="2"/>
      <c r="E32" s="33"/>
    </row>
    <row r="33" spans="2:18" ht="14.4">
      <c r="B33" s="2"/>
      <c r="C33" s="2"/>
      <c r="E33" s="68" t="s">
        <v>29</v>
      </c>
      <c r="F33" s="68"/>
      <c r="G33" s="68"/>
      <c r="H33" s="68"/>
      <c r="I33" s="68"/>
      <c r="K33" s="69" t="s">
        <v>12</v>
      </c>
      <c r="L33" s="70"/>
      <c r="M33" s="71"/>
    </row>
    <row r="34" spans="2:18" ht="14.4">
      <c r="E34" s="10" t="s">
        <v>24</v>
      </c>
      <c r="F34" s="10" t="s">
        <v>15</v>
      </c>
      <c r="G34" s="11" t="s">
        <v>16</v>
      </c>
      <c r="H34" s="12" t="s">
        <v>30</v>
      </c>
      <c r="I34" s="13" t="s">
        <v>31</v>
      </c>
      <c r="K34" s="14" t="s">
        <v>24</v>
      </c>
      <c r="L34" s="6" t="s">
        <v>32</v>
      </c>
      <c r="M34" s="15" t="s">
        <v>33</v>
      </c>
    </row>
    <row r="35" spans="2:18" ht="15.6">
      <c r="E35" s="18"/>
      <c r="F35" s="25"/>
      <c r="G35" s="26"/>
      <c r="H35" s="8"/>
      <c r="I35" s="8"/>
      <c r="K35" s="25"/>
      <c r="L35" s="42"/>
      <c r="M35" s="16"/>
    </row>
    <row r="36" spans="2:18" ht="15.6">
      <c r="E36" s="18"/>
      <c r="F36" s="25"/>
      <c r="G36" s="26"/>
      <c r="H36" s="8"/>
      <c r="I36" s="8"/>
      <c r="K36" s="25"/>
      <c r="L36" s="42"/>
      <c r="M36" s="16"/>
    </row>
    <row r="37" spans="2:18" ht="15.6">
      <c r="E37" s="18"/>
      <c r="F37" s="25"/>
      <c r="G37" s="26"/>
      <c r="H37" s="8"/>
      <c r="I37" s="8"/>
      <c r="K37" s="25"/>
      <c r="L37" s="42"/>
      <c r="M37" s="16"/>
    </row>
    <row r="38" spans="2:18" ht="15.6">
      <c r="E38" s="18"/>
      <c r="F38" s="25"/>
      <c r="G38" s="26"/>
      <c r="H38" s="8"/>
      <c r="I38" s="8"/>
      <c r="K38" s="25"/>
      <c r="L38" s="42"/>
      <c r="M38" s="16"/>
    </row>
    <row r="39" spans="2:18" ht="15.6">
      <c r="E39" s="18"/>
      <c r="F39" s="39"/>
      <c r="G39" s="26"/>
      <c r="H39" s="8"/>
      <c r="I39" s="8"/>
      <c r="K39" s="25"/>
      <c r="L39" s="42"/>
      <c r="M39" s="16"/>
    </row>
    <row r="40" spans="2:18" ht="15.6">
      <c r="E40" s="35"/>
      <c r="F40" s="36"/>
      <c r="G40" s="37"/>
      <c r="H40" s="17"/>
      <c r="I40" s="8"/>
      <c r="K40" s="36"/>
      <c r="L40" s="43"/>
      <c r="M40" s="40"/>
      <c r="Q40" s="1" t="s">
        <v>34</v>
      </c>
      <c r="R40" s="1">
        <f>SUM(R6:R21)</f>
        <v>0</v>
      </c>
    </row>
    <row r="41" spans="2:18" ht="15.6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G35:G41 G29:G31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B11" sqref="B11"/>
    </sheetView>
  </sheetViews>
  <sheetFormatPr defaultRowHeight="13.2"/>
  <cols>
    <col min="1" max="1" width="13.109375" bestFit="1" customWidth="1"/>
    <col min="2" max="2" width="22.109375" bestFit="1" customWidth="1"/>
    <col min="5" max="5" width="11.5546875" customWidth="1"/>
  </cols>
  <sheetData>
    <row r="1" spans="1:5">
      <c r="A1" s="38" t="s">
        <v>44</v>
      </c>
      <c r="B1" s="38" t="s">
        <v>45</v>
      </c>
      <c r="E1" s="38" t="s">
        <v>46</v>
      </c>
    </row>
    <row r="2" spans="1:5">
      <c r="A2" s="38" t="s">
        <v>6</v>
      </c>
      <c r="B2" s="38" t="s">
        <v>47</v>
      </c>
      <c r="E2" t="s">
        <v>48</v>
      </c>
    </row>
    <row r="3" spans="1:5">
      <c r="A3" s="38" t="s">
        <v>7</v>
      </c>
      <c r="B3" s="38" t="s">
        <v>49</v>
      </c>
      <c r="E3" t="s">
        <v>50</v>
      </c>
    </row>
    <row r="4" spans="1:5">
      <c r="A4" s="38" t="s">
        <v>8</v>
      </c>
      <c r="B4" s="38" t="s">
        <v>51</v>
      </c>
      <c r="E4" t="s">
        <v>52</v>
      </c>
    </row>
    <row r="5" spans="1:5">
      <c r="A5" s="38" t="s">
        <v>9</v>
      </c>
      <c r="B5" s="38" t="s">
        <v>53</v>
      </c>
      <c r="E5" t="s">
        <v>54</v>
      </c>
    </row>
    <row r="6" spans="1:5">
      <c r="A6" s="38" t="s">
        <v>10</v>
      </c>
      <c r="B6" s="38" t="s">
        <v>10</v>
      </c>
      <c r="E6" t="s">
        <v>55</v>
      </c>
    </row>
    <row r="7" spans="1:5">
      <c r="A7" s="38" t="s">
        <v>21</v>
      </c>
      <c r="B7" s="38" t="s">
        <v>56</v>
      </c>
      <c r="E7" t="s">
        <v>57</v>
      </c>
    </row>
    <row r="8" spans="1:5">
      <c r="A8" t="s">
        <v>26</v>
      </c>
      <c r="B8" t="s">
        <v>58</v>
      </c>
      <c r="E8" t="s">
        <v>59</v>
      </c>
    </row>
    <row r="9" spans="1:5">
      <c r="A9" s="38" t="s">
        <v>60</v>
      </c>
      <c r="B9" s="38" t="s">
        <v>61</v>
      </c>
      <c r="E9" t="s">
        <v>62</v>
      </c>
    </row>
    <row r="10" spans="1:5">
      <c r="A10" t="s">
        <v>131</v>
      </c>
      <c r="B10" t="s">
        <v>132</v>
      </c>
      <c r="E10" t="s">
        <v>63</v>
      </c>
    </row>
    <row r="11" spans="1:5">
      <c r="E11" t="s">
        <v>64</v>
      </c>
    </row>
    <row r="12" spans="1:5">
      <c r="E12" t="s">
        <v>65</v>
      </c>
    </row>
    <row r="13" spans="1:5">
      <c r="E13" t="s">
        <v>41</v>
      </c>
    </row>
    <row r="14" spans="1:5">
      <c r="E14" t="s">
        <v>43</v>
      </c>
    </row>
    <row r="15" spans="1:5">
      <c r="E15" t="s">
        <v>66</v>
      </c>
    </row>
    <row r="16" spans="1:5">
      <c r="E16" t="s">
        <v>67</v>
      </c>
    </row>
    <row r="17" spans="5:5">
      <c r="E17" t="s">
        <v>68</v>
      </c>
    </row>
    <row r="18" spans="5:5">
      <c r="E18" t="s">
        <v>69</v>
      </c>
    </row>
    <row r="19" spans="5:5">
      <c r="E19" t="s">
        <v>70</v>
      </c>
    </row>
    <row r="20" spans="5:5">
      <c r="E20" t="s">
        <v>71</v>
      </c>
    </row>
    <row r="21" spans="5:5">
      <c r="E21" t="s">
        <v>72</v>
      </c>
    </row>
    <row r="22" spans="5:5">
      <c r="E22" t="s">
        <v>73</v>
      </c>
    </row>
    <row r="23" spans="5:5">
      <c r="E23" t="s">
        <v>74</v>
      </c>
    </row>
    <row r="24" spans="5:5">
      <c r="E24" t="s">
        <v>75</v>
      </c>
    </row>
    <row r="25" spans="5:5">
      <c r="E25" t="s">
        <v>76</v>
      </c>
    </row>
    <row r="26" spans="5:5">
      <c r="E26" t="s">
        <v>77</v>
      </c>
    </row>
    <row r="27" spans="5:5">
      <c r="E27" t="s">
        <v>42</v>
      </c>
    </row>
    <row r="28" spans="5:5">
      <c r="E28" t="s">
        <v>78</v>
      </c>
    </row>
    <row r="29" spans="5:5">
      <c r="E29" t="s">
        <v>79</v>
      </c>
    </row>
    <row r="30" spans="5:5">
      <c r="E30" t="s">
        <v>80</v>
      </c>
    </row>
    <row r="31" spans="5:5">
      <c r="E31" t="s">
        <v>81</v>
      </c>
    </row>
    <row r="32" spans="5:5">
      <c r="E32" t="s">
        <v>82</v>
      </c>
    </row>
    <row r="33" spans="5:5">
      <c r="E33" t="s">
        <v>83</v>
      </c>
    </row>
    <row r="34" spans="5:5">
      <c r="E34" t="s">
        <v>84</v>
      </c>
    </row>
    <row r="35" spans="5:5">
      <c r="E35" t="s">
        <v>85</v>
      </c>
    </row>
    <row r="36" spans="5:5">
      <c r="E36" t="s">
        <v>86</v>
      </c>
    </row>
    <row r="37" spans="5:5">
      <c r="E37" t="s">
        <v>87</v>
      </c>
    </row>
    <row r="38" spans="5:5">
      <c r="E38" t="s">
        <v>88</v>
      </c>
    </row>
    <row r="39" spans="5:5">
      <c r="E39" t="s">
        <v>89</v>
      </c>
    </row>
    <row r="40" spans="5:5">
      <c r="E40" t="s">
        <v>90</v>
      </c>
    </row>
    <row r="41" spans="5:5">
      <c r="E41" t="s">
        <v>91</v>
      </c>
    </row>
    <row r="42" spans="5:5">
      <c r="E42" t="s">
        <v>92</v>
      </c>
    </row>
    <row r="43" spans="5:5">
      <c r="E43" t="s">
        <v>93</v>
      </c>
    </row>
    <row r="44" spans="5:5">
      <c r="E44" t="s">
        <v>94</v>
      </c>
    </row>
    <row r="45" spans="5:5">
      <c r="E45" t="s">
        <v>95</v>
      </c>
    </row>
    <row r="46" spans="5:5">
      <c r="E46" t="s">
        <v>96</v>
      </c>
    </row>
    <row r="47" spans="5:5">
      <c r="E47" t="s">
        <v>97</v>
      </c>
    </row>
    <row r="48" spans="5:5">
      <c r="E48" t="s">
        <v>98</v>
      </c>
    </row>
    <row r="49" spans="5:5">
      <c r="E49" t="s">
        <v>99</v>
      </c>
    </row>
    <row r="50" spans="5:5">
      <c r="E50" t="s">
        <v>100</v>
      </c>
    </row>
    <row r="51" spans="5:5">
      <c r="E51" t="s">
        <v>101</v>
      </c>
    </row>
    <row r="52" spans="5:5">
      <c r="E52" t="s">
        <v>102</v>
      </c>
    </row>
    <row r="53" spans="5:5">
      <c r="E53" t="s">
        <v>103</v>
      </c>
    </row>
    <row r="54" spans="5:5">
      <c r="E54" t="s">
        <v>104</v>
      </c>
    </row>
    <row r="55" spans="5:5">
      <c r="E55" t="s">
        <v>105</v>
      </c>
    </row>
    <row r="56" spans="5:5">
      <c r="E56" t="s">
        <v>106</v>
      </c>
    </row>
    <row r="57" spans="5:5">
      <c r="E57" t="s">
        <v>107</v>
      </c>
    </row>
    <row r="58" spans="5:5">
      <c r="E58" t="s">
        <v>108</v>
      </c>
    </row>
    <row r="59" spans="5:5">
      <c r="E59" t="s">
        <v>109</v>
      </c>
    </row>
    <row r="60" spans="5:5">
      <c r="E60" t="s">
        <v>110</v>
      </c>
    </row>
    <row r="61" spans="5:5">
      <c r="E61" t="s">
        <v>111</v>
      </c>
    </row>
    <row r="62" spans="5:5">
      <c r="E62" t="s">
        <v>112</v>
      </c>
    </row>
    <row r="63" spans="5:5">
      <c r="E63" t="s">
        <v>113</v>
      </c>
    </row>
    <row r="64" spans="5:5">
      <c r="E64" t="s">
        <v>114</v>
      </c>
    </row>
    <row r="65" spans="5:5">
      <c r="E65" t="s">
        <v>115</v>
      </c>
    </row>
    <row r="66" spans="5:5">
      <c r="E66" t="s">
        <v>116</v>
      </c>
    </row>
    <row r="67" spans="5:5">
      <c r="E67" t="s">
        <v>117</v>
      </c>
    </row>
    <row r="68" spans="5:5">
      <c r="E68" t="s">
        <v>118</v>
      </c>
    </row>
    <row r="69" spans="5:5">
      <c r="E69" t="s">
        <v>119</v>
      </c>
    </row>
    <row r="70" spans="5:5">
      <c r="E70" t="s">
        <v>120</v>
      </c>
    </row>
    <row r="71" spans="5:5">
      <c r="E71" t="s">
        <v>121</v>
      </c>
    </row>
    <row r="72" spans="5:5">
      <c r="E72" t="s">
        <v>122</v>
      </c>
    </row>
    <row r="73" spans="5:5">
      <c r="E73" t="s">
        <v>123</v>
      </c>
    </row>
    <row r="74" spans="5:5">
      <c r="E74" t="s">
        <v>124</v>
      </c>
    </row>
    <row r="75" spans="5:5">
      <c r="E75" t="s">
        <v>125</v>
      </c>
    </row>
    <row r="76" spans="5:5">
      <c r="E76" t="s">
        <v>126</v>
      </c>
    </row>
    <row r="77" spans="5:5">
      <c r="E77" t="s">
        <v>127</v>
      </c>
    </row>
    <row r="78" spans="5:5">
      <c r="E78" t="s">
        <v>128</v>
      </c>
    </row>
    <row r="79" spans="5:5">
      <c r="E79" t="s">
        <v>129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controles de lojas</cp:lastModifiedBy>
  <cp:revision/>
  <cp:lastPrinted>2023-08-31T13:25:47Z</cp:lastPrinted>
  <dcterms:created xsi:type="dcterms:W3CDTF">2004-04-07T20:43:43Z</dcterms:created>
  <dcterms:modified xsi:type="dcterms:W3CDTF">2024-02-16T17:05:04Z</dcterms:modified>
  <cp:category/>
  <cp:contentStatus/>
</cp:coreProperties>
</file>