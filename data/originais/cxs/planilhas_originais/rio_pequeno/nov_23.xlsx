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\OneDrive\Lojas\RIO_PEQUENO\CAIXA\2023\"/>
    </mc:Choice>
  </mc:AlternateContent>
  <xr:revisionPtr revIDLastSave="0" documentId="13_ncr:1_{FFB7E3D3-C8A5-426F-BFD4-35665EA493DF}" xr6:coauthVersionLast="47" xr6:coauthVersionMax="47" xr10:uidLastSave="{00000000-0000-0000-0000-000000000000}"/>
  <bookViews>
    <workbookView xWindow="-120" yWindow="-120" windowWidth="29040" windowHeight="15720" tabRatio="895" firstSheet="32" activeTab="32" xr2:uid="{00000000-000D-0000-FFFF-FFFF00000000}"/>
  </bookViews>
  <sheets>
    <sheet name="resumo_cx" sheetId="200" r:id="rId1"/>
    <sheet name="Planilha1" sheetId="201" r:id="rId2"/>
    <sheet name="01" sheetId="175" r:id="rId3"/>
    <sheet name="02" sheetId="174" r:id="rId4"/>
    <sheet name="03" sheetId="173" r:id="rId5"/>
    <sheet name="04" sheetId="172" r:id="rId6"/>
    <sheet name="05" sheetId="171" r:id="rId7"/>
    <sheet name="06" sheetId="170" r:id="rId8"/>
    <sheet name="07" sheetId="103" r:id="rId9"/>
    <sheet name="08" sheetId="178" r:id="rId10"/>
    <sheet name="09" sheetId="177" r:id="rId11"/>
    <sheet name="10" sheetId="176" r:id="rId12"/>
    <sheet name="11" sheetId="180" r:id="rId13"/>
    <sheet name="12" sheetId="182" r:id="rId14"/>
    <sheet name="13" sheetId="183" r:id="rId15"/>
    <sheet name="14" sheetId="181" r:id="rId16"/>
    <sheet name="15" sheetId="179" r:id="rId17"/>
    <sheet name="16" sheetId="184" r:id="rId18"/>
    <sheet name="17" sheetId="185" r:id="rId19"/>
    <sheet name="18" sheetId="186" r:id="rId20"/>
    <sheet name="19" sheetId="187" r:id="rId21"/>
    <sheet name="20" sheetId="189" r:id="rId22"/>
    <sheet name="21" sheetId="190" r:id="rId23"/>
    <sheet name="22" sheetId="191" r:id="rId24"/>
    <sheet name="23" sheetId="188" r:id="rId25"/>
    <sheet name="24" sheetId="193" r:id="rId26"/>
    <sheet name="25" sheetId="195" r:id="rId27"/>
    <sheet name="26" sheetId="194" r:id="rId28"/>
    <sheet name="27" sheetId="197" r:id="rId29"/>
    <sheet name="28" sheetId="196" r:id="rId30"/>
    <sheet name="29" sheetId="192" r:id="rId31"/>
    <sheet name="30" sheetId="199" r:id="rId32"/>
    <sheet name="31" sheetId="198" r:id="rId33"/>
    <sheet name="base" sheetId="36" state="hidden" r:id="rId3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8" i="191" s="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5" i="197"/>
  <c r="C22" i="197" s="1"/>
  <c r="C5" i="196"/>
  <c r="C22" i="196" s="1"/>
  <c r="C5" i="192"/>
  <c r="C22" i="192" s="1"/>
  <c r="C5" i="199"/>
  <c r="C22" i="199" s="1"/>
  <c r="C5" i="198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40" i="198" s="1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40" i="196" s="1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9" l="1"/>
  <c r="R40" i="197"/>
  <c r="R40" i="195"/>
  <c r="R40" i="193"/>
  <c r="C8" i="188"/>
  <c r="R40" i="190"/>
  <c r="R40" i="186"/>
  <c r="R40" i="185"/>
  <c r="R40" i="183"/>
  <c r="R40" i="180"/>
  <c r="R40" i="170"/>
  <c r="C16" i="170"/>
  <c r="O11" i="170" s="1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<sst xmlns="http://schemas.openxmlformats.org/spreadsheetml/2006/main" count="1942" uniqueCount="230">
  <si>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</si>
  <si>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</si>
  <si>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</si>
  <si>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</si>
  <si>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</si>
  <si>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</si>
  <si>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</si>
  <si>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</si>
  <si>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</si>
  <si>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</si>
  <si>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</si>
  <si>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</si>
  <si>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</si>
  <si>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</si>
  <si>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</si>
  <si>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</si>
  <si>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</si>
  <si>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</si>
  <si>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</si>
  <si>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</si>
  <si>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</si>
  <si>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</si>
  <si>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</si>
  <si>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</si>
  <si>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</si>
  <si>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</si>
  <si>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ROGERIO</t>
  </si>
  <si>
    <t>Não</t>
  </si>
  <si>
    <t>GARANTIA</t>
  </si>
  <si>
    <t>ROSANGELA</t>
  </si>
  <si>
    <t>Venda</t>
  </si>
  <si>
    <t>Restante Entrada</t>
  </si>
  <si>
    <t>PAULO HENRIQUE</t>
  </si>
  <si>
    <t xml:space="preserve">ANA MARIA </t>
  </si>
  <si>
    <t>JOAO VICTOR</t>
  </si>
  <si>
    <t>ANEXO</t>
  </si>
  <si>
    <t>RENATO GARCIA</t>
  </si>
  <si>
    <t>Recebimento de Carnê</t>
  </si>
  <si>
    <t>Valor Parcela</t>
  </si>
  <si>
    <t>Nº Parcela</t>
  </si>
  <si>
    <t>Parcelas</t>
  </si>
  <si>
    <t>Valor Total</t>
  </si>
  <si>
    <t>maria apda paes</t>
  </si>
  <si>
    <t>PARC. 2/5</t>
  </si>
  <si>
    <t>VALTER SANTOS</t>
  </si>
  <si>
    <t>PARC. 4/5</t>
  </si>
  <si>
    <t>Total de OS</t>
  </si>
  <si>
    <t>JOSE ALCEBIADES</t>
  </si>
  <si>
    <t>MARIA LUCIA MARTINS</t>
  </si>
  <si>
    <t>PARC. 2/3</t>
  </si>
  <si>
    <t>ELISABETE DE MORAES</t>
  </si>
  <si>
    <t>PARC. 6/8</t>
  </si>
  <si>
    <t>EDILEIDE FREIRE</t>
  </si>
  <si>
    <t>VANESSA BRAGA</t>
  </si>
  <si>
    <t>SUELLEN FERREIRA</t>
  </si>
  <si>
    <t>ELENA MARIA</t>
  </si>
  <si>
    <t>WALLACE FONSECA</t>
  </si>
  <si>
    <t>BERNARDETE CONCEIÇÃO</t>
  </si>
  <si>
    <t>ANDERSON BARBOSA</t>
  </si>
  <si>
    <t>FRANCISCA ANTONIA</t>
  </si>
  <si>
    <t>ISABEL BERTOLDO</t>
  </si>
  <si>
    <t>GENESIO DOS SANTOS</t>
  </si>
  <si>
    <t>PARC. 3/5</t>
  </si>
  <si>
    <t>VILMA FERREIRA</t>
  </si>
  <si>
    <t>PARC. 3/4</t>
  </si>
  <si>
    <t>3207</t>
  </si>
  <si>
    <t>suellen Ferrera</t>
  </si>
  <si>
    <t>3208</t>
  </si>
  <si>
    <t>Victor jose</t>
  </si>
  <si>
    <t>Miriam Salles</t>
  </si>
  <si>
    <t>MARIA DAS DORES</t>
  </si>
  <si>
    <t>FERNANDO SOARES</t>
  </si>
  <si>
    <t>VALERIA BUCZEK</t>
  </si>
  <si>
    <t>PARC. 8/10</t>
  </si>
  <si>
    <t>IDAIDE V. DE SOUZA</t>
  </si>
  <si>
    <t>MARCELO OLIVEIRA</t>
  </si>
  <si>
    <t>VITORIA SILVA</t>
  </si>
  <si>
    <t>Orlando rodrigues Fragoso</t>
  </si>
  <si>
    <t>PARC. 5/8</t>
  </si>
  <si>
    <t>Caroline Netto</t>
  </si>
  <si>
    <t>PARC. 7/8</t>
  </si>
  <si>
    <t>JUCINEIDE PEREIRA</t>
  </si>
  <si>
    <t>RUTH FERREIRA</t>
  </si>
  <si>
    <t>DIVA CAETANO</t>
  </si>
  <si>
    <t>LAUDICEIA OLIVEIRA</t>
  </si>
  <si>
    <t>CLEIDE GOMES</t>
  </si>
  <si>
    <t>MARIANA SIQUEIRA</t>
  </si>
  <si>
    <t>R0GERIO</t>
  </si>
  <si>
    <t>Lais Alves</t>
  </si>
  <si>
    <t>LETICIA CORREA</t>
  </si>
  <si>
    <t>MARCELIA CONCEIÇÃO</t>
  </si>
  <si>
    <t>PARC. 1/6</t>
  </si>
  <si>
    <t>MARIA DE FATIMA</t>
  </si>
  <si>
    <t>JOYCE CARLA</t>
  </si>
  <si>
    <t>LORENA VICTORIA</t>
  </si>
  <si>
    <t>NICOLY DE ARAUJO</t>
  </si>
  <si>
    <t>Sim</t>
  </si>
  <si>
    <t>PARC. 1/3</t>
  </si>
  <si>
    <t>CHARLENE FERREIRA</t>
  </si>
  <si>
    <t>ORLANDO DE PAULA</t>
  </si>
  <si>
    <t>IGOR NASCIMENTO</t>
  </si>
  <si>
    <t>LUIZ CARLOS</t>
  </si>
  <si>
    <t>LUZIA OLIVEIRA</t>
  </si>
  <si>
    <t xml:space="preserve"> ROGERIO</t>
  </si>
  <si>
    <t>LARISSA</t>
  </si>
  <si>
    <t>PARC. 5/5</t>
  </si>
  <si>
    <t>ANA PAULA MATIAS</t>
  </si>
  <si>
    <t xml:space="preserve"> </t>
  </si>
  <si>
    <t xml:space="preserve">IVANETE COSTA NASCTO </t>
  </si>
  <si>
    <t>ISABELLA CRISTINA</t>
  </si>
  <si>
    <t>Coluna1</t>
  </si>
  <si>
    <t>ALCIONE DE JESUS</t>
  </si>
  <si>
    <t>PARC. 4/6</t>
  </si>
  <si>
    <t>PAULO RENATO GOUVEIA</t>
  </si>
  <si>
    <t xml:space="preserve">ERIVALDA MARIA </t>
  </si>
  <si>
    <t xml:space="preserve">MARIA DA CONCEIÇÃO </t>
  </si>
  <si>
    <t>NILCINEIA AZEVEDO</t>
  </si>
  <si>
    <t>MARIA LINDINALVA</t>
  </si>
  <si>
    <t>RUBINALVA DE JESUS</t>
  </si>
  <si>
    <t>BRUNO MORAES</t>
  </si>
  <si>
    <t>MIRIAM SALES</t>
  </si>
  <si>
    <t>miriam madeira</t>
  </si>
  <si>
    <t>PARC. 7/10</t>
  </si>
  <si>
    <t>GABRIELA BRANDÃO</t>
  </si>
  <si>
    <t>ANDRE TEIXEIRA</t>
  </si>
  <si>
    <t>EDSON CATARINO</t>
  </si>
  <si>
    <t>PARC. 6/10</t>
  </si>
  <si>
    <t>RAQUEL COSTA</t>
  </si>
  <si>
    <t>garantia</t>
  </si>
  <si>
    <t>VILMA APARECIDA</t>
  </si>
  <si>
    <t>PARC. 4/4</t>
  </si>
  <si>
    <t xml:space="preserve">GERSON DA SILVA </t>
  </si>
  <si>
    <t>BRUNO CAUÊ</t>
  </si>
  <si>
    <t>Rogério</t>
  </si>
  <si>
    <t>FABIOLA FREIRE</t>
  </si>
  <si>
    <t>MARIA PAULA DINIZ</t>
  </si>
  <si>
    <t>KETYLEN LORRANY</t>
  </si>
  <si>
    <t>ALLANA RIBEIRO</t>
  </si>
  <si>
    <t>IRANI SOUSA</t>
  </si>
  <si>
    <t>ADRIANA NUNES BRITO</t>
  </si>
  <si>
    <t>ANDRESSA THALITA</t>
  </si>
  <si>
    <t>MARIA EDUARDA</t>
  </si>
  <si>
    <t xml:space="preserve">MARIA DE LOURDES </t>
  </si>
  <si>
    <t>SOLANGE APARECIDA</t>
  </si>
  <si>
    <t>NATHNI THAIRS</t>
  </si>
  <si>
    <t>ERILAINE RODRIGUES</t>
  </si>
  <si>
    <t>MARCO ANTONIO</t>
  </si>
  <si>
    <t>CECILIA OLIVEIRA</t>
  </si>
  <si>
    <t>PARC. 1/5</t>
  </si>
  <si>
    <t>VICENTE SEIÇO</t>
  </si>
  <si>
    <t xml:space="preserve">PAULA CLAUDIA </t>
  </si>
  <si>
    <t>Rosangela</t>
  </si>
  <si>
    <t>PAULA CLAUDIA</t>
  </si>
  <si>
    <t>MARIA DA CONCEIÇÃO</t>
  </si>
  <si>
    <t xml:space="preserve">VICENTE SEIÇO </t>
  </si>
  <si>
    <t>ADEMIR DOS SANTOS</t>
  </si>
  <si>
    <t>IVONE APARECIDA</t>
  </si>
  <si>
    <t>ELIZABETE MARIA</t>
  </si>
  <si>
    <t>PARC. 8/8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</si>
  <si>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</si>
  <si>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</si>
  <si>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</si>
  <si>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</si>
  <si>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</si>
  <si>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</si>
  <si>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</si>
  <si>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</si>
  <si>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</si>
  <si>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</si>
  <si>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SS</t>
  </si>
  <si>
    <t>Sem Sinal</t>
  </si>
  <si>
    <t>PARC. 3/3</t>
  </si>
  <si>
    <t xml:space="preserve">Carne </t>
  </si>
  <si>
    <t>PARC. 1/4</t>
  </si>
  <si>
    <t>Todas as Garantias</t>
  </si>
  <si>
    <t>PARC. 2/4</t>
  </si>
  <si>
    <t>PARC. 2/6</t>
  </si>
  <si>
    <t>PARC. 3/6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</si>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</sst>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165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16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5" fontId="29" fillId="0" borderId="16">
      <alignment horizontal="center" vertical="center"/>
    </xf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4" fontId="21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6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164" fontId="0" fillId="0" borderId="17" xfId="39" applyFont="1" applyFill="1" applyBorder="1" applyAlignment="1">
      <alignment horizontal="center"/>
    </xf>
    <xf numFmtId="16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164" fontId="32" fillId="0" borderId="13" xfId="39" applyFont="1" applyFill="1" applyBorder="1" applyAlignment="1">
      <alignment horizontal="center"/>
    </xf>
    <xf numFmtId="167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164" fontId="32" fillId="0" borderId="17" xfId="39" applyFont="1" applyFill="1" applyBorder="1" applyAlignment="1">
      <alignment horizontal="center"/>
    </xf>
    <xf numFmtId="167" fontId="32" fillId="0" borderId="17" xfId="4" applyNumberFormat="1" applyFont="1" applyFill="1" applyBorder="1" applyAlignment="1">
      <alignment horizontal="center"/>
    </xf>
    <xf numFmtId="164" fontId="24" fillId="0" borderId="17" xfId="39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7" fontId="34" fillId="0" borderId="6" xfId="0" applyNumberFormat="1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49" fontId="30" fillId="0" borderId="17" xfId="39" applyNumberFormat="1" applyFont="1" applyFill="1" applyBorder="1" applyAlignment="1">
      <alignment horizontal="center"/>
    </xf>
    <xf numFmtId="49" fontId="30" fillId="0" borderId="13" xfId="39" applyNumberFormat="1" applyFont="1" applyFill="1" applyBorder="1" applyAlignment="1">
      <alignment horizontal="center"/>
    </xf>
    <xf numFmtId="167" fontId="34" fillId="0" borderId="17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13" fillId="0" borderId="13" xfId="39" applyFont="1" applyFill="1" applyBorder="1" applyAlignment="1">
      <alignment horizontal="center"/>
    </xf>
    <xf numFmtId="167" fontId="13" fillId="0" borderId="13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3" headerRowBorderDxfId="1641" tableBorderDxfId="1642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3" headerRowBorderDxfId="1631" tableBorderDxfId="1632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5" headerRowBorderDxfId="1623" tableBorderDxfId="1624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5" headerRowBorderDxfId="1613" tableBorderDxfId="1614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7" headerRowBorderDxfId="1605" tableBorderDxfId="1606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6" tableBorderDxfId="1597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90" headerRowBorderDxfId="1588" tableBorderDxfId="1589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80" headerRowBorderDxfId="1578" tableBorderDxfId="1579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2" headerRowBorderDxfId="1570" tableBorderDxfId="1571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2" headerRowBorderDxfId="1560" tableBorderDxfId="1561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4" headerRowBorderDxfId="1552" tableBorderDxfId="1553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3" tableBorderDxfId="1544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7" headerRowBorderDxfId="1535" tableBorderDxfId="1536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7" headerRowBorderDxfId="1525" tableBorderDxfId="1526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9" headerRowBorderDxfId="1517" tableBorderDxfId="1518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9" headerRowBorderDxfId="1507" tableBorderDxfId="1508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1" headerRowBorderDxfId="1499" tableBorderDxfId="1500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0" tableBorderDxfId="1491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4" headerRowBorderDxfId="1482" tableBorderDxfId="1483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4" headerRowBorderDxfId="1472" tableBorderDxfId="1473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6" headerRowBorderDxfId="1464" tableBorderDxfId="1465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6" headerRowBorderDxfId="1454" tableBorderDxfId="1455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8" headerRowBorderDxfId="1446" tableBorderDxfId="1447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7" tableBorderDxfId="1438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1" headerRowBorderDxfId="1429" tableBorderDxfId="1430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1" headerRowBorderDxfId="1419" tableBorderDxfId="1420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3" headerRowBorderDxfId="1411" tableBorderDxfId="1412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3" headerRowBorderDxfId="1401" tableBorderDxfId="1402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5" headerRowBorderDxfId="1393" tableBorderDxfId="1394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4" tableBorderDxfId="1385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8" headerRowBorderDxfId="1376" tableBorderDxfId="1377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8" headerRowBorderDxfId="1366" tableBorderDxfId="1367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60" headerRowBorderDxfId="1358" tableBorderDxfId="1359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50" headerRowBorderDxfId="1348" tableBorderDxfId="1349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2" headerRowBorderDxfId="1340" tableBorderDxfId="1341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1" tableBorderDxfId="1332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7" headerRowBorderDxfId="1295" tableBorderDxfId="1296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9" headerRowBorderDxfId="1287" tableBorderDxfId="1288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8" tableBorderDxfId="1279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2" headerRowBorderDxfId="1270" tableBorderDxfId="1271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2" headerRowBorderDxfId="1260" tableBorderDxfId="1261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4" headerRowBorderDxfId="1252" tableBorderDxfId="1253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4" headerRowBorderDxfId="1242" tableBorderDxfId="1243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6" headerRowBorderDxfId="1234" tableBorderDxfId="1235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5" tableBorderDxfId="1226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9" headerRowBorderDxfId="1217" tableBorderDxfId="1218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9" headerRowBorderDxfId="1207" tableBorderDxfId="1208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1" headerRowBorderDxfId="1199" tableBorderDxfId="1200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1" headerRowBorderDxfId="1189" tableBorderDxfId="1190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3" headerRowBorderDxfId="1181" tableBorderDxfId="1182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2" tableBorderDxfId="1173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6" headerRowBorderDxfId="1164" tableBorderDxfId="1165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6" headerRowBorderDxfId="1154" tableBorderDxfId="1155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8" headerRowBorderDxfId="1146" tableBorderDxfId="1147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8" headerRowBorderDxfId="1136" tableBorderDxfId="1137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30" headerRowBorderDxfId="1128" tableBorderDxfId="1129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19" tableBorderDxfId="1120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3" headerRowBorderDxfId="1111" tableBorderDxfId="1112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3" headerRowBorderDxfId="1101" tableBorderDxfId="1102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5" headerRowBorderDxfId="1093" tableBorderDxfId="1094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5" headerRowBorderDxfId="1083" tableBorderDxfId="1084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7" headerRowBorderDxfId="1075" tableBorderDxfId="1076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6" tableBorderDxfId="1067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60" headerRowBorderDxfId="1058" tableBorderDxfId="1059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50" headerRowBorderDxfId="1048" tableBorderDxfId="1049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2" headerRowBorderDxfId="1040" tableBorderDxfId="1041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2" headerRowBorderDxfId="1030" tableBorderDxfId="1031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4" headerRowBorderDxfId="1022" tableBorderDxfId="1023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3" tableBorderDxfId="1014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7" headerRowBorderDxfId="1005" tableBorderDxfId="1006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7" headerRowBorderDxfId="995" tableBorderDxfId="996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9" headerRowBorderDxfId="987" tableBorderDxfId="988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9" headerRowBorderDxfId="977" tableBorderDxfId="978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1" headerRowBorderDxfId="969" tableBorderDxfId="970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0" tableBorderDxfId="961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4" headerRowBorderDxfId="952" tableBorderDxfId="953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4" headerRowBorderDxfId="942" tableBorderDxfId="943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6" headerRowBorderDxfId="934" tableBorderDxfId="935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6" headerRowBorderDxfId="924" tableBorderDxfId="925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8" headerRowBorderDxfId="916" tableBorderDxfId="917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7" tableBorderDxfId="908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1" headerRowBorderDxfId="899" tableBorderDxfId="900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1" headerRowBorderDxfId="889" tableBorderDxfId="890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3" headerRowBorderDxfId="881" tableBorderDxfId="882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3" headerRowBorderDxfId="871" tableBorderDxfId="872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5" headerRowBorderDxfId="863" tableBorderDxfId="864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4" tableBorderDxfId="855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8" headerRowBorderDxfId="846" tableBorderDxfId="847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8" headerRowBorderDxfId="836" tableBorderDxfId="837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30" headerRowBorderDxfId="828" tableBorderDxfId="829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20" headerRowBorderDxfId="818" tableBorderDxfId="819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2" headerRowBorderDxfId="810" tableBorderDxfId="811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Coluna1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1" tableBorderDxfId="802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5" headerRowBorderDxfId="793" tableBorderDxfId="794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5" headerRowBorderDxfId="783" tableBorderDxfId="784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7" headerRowBorderDxfId="775" tableBorderDxfId="776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7" headerRowBorderDxfId="765" tableBorderDxfId="766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9" headerRowBorderDxfId="757" tableBorderDxfId="758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8" tableBorderDxfId="749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2" headerRowBorderDxfId="740" tableBorderDxfId="741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2" headerRowBorderDxfId="730" tableBorderDxfId="731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4" headerRowBorderDxfId="722" tableBorderDxfId="723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4" headerRowBorderDxfId="712" tableBorderDxfId="713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6" headerRowBorderDxfId="704" tableBorderDxfId="705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5" tableBorderDxfId="696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9" headerRowBorderDxfId="687" tableBorderDxfId="688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9" headerRowBorderDxfId="677" tableBorderDxfId="678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1" headerRowBorderDxfId="669" tableBorderDxfId="670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1" headerRowBorderDxfId="659" tableBorderDxfId="660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3" headerRowBorderDxfId="651" tableBorderDxfId="652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2" tableBorderDxfId="643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6" headerRowBorderDxfId="634" tableBorderDxfId="635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6" headerRowBorderDxfId="624" tableBorderDxfId="625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8" headerRowBorderDxfId="616" tableBorderDxfId="617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600" headerRowBorderDxfId="598" tableBorderDxfId="599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3" headerRowBorderDxfId="581" tableBorderDxfId="582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5" headerRowBorderDxfId="563" tableBorderDxfId="564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7" headerRowBorderDxfId="545" tableBorderDxfId="546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1" headerRowBorderDxfId="439" tableBorderDxfId="440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8" tableBorderDxfId="219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E17" sqref="E17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22386.400000000005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23275.800000000003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>
      <c r="A6" s="28" t="s">
        <v>4</v>
      </c>
      <c r="B6" s="29">
        <f>SUM(B4:B5)</f>
        <v>23275.800000000003</v>
      </c>
    </row>
    <row r="7" spans="1:2" ht="15">
      <c r="A7" s="2"/>
      <c r="B7" s="2"/>
    </row>
    <row r="8" spans="1:2" ht="15">
      <c r="A8" s="72" t="s">
        <v>5</v>
      </c>
      <c r="B8" s="72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3711.5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3085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2806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14142.199999999999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2343.1999999999998</v>
      </c>
    </row>
    <row r="14" spans="1:2" ht="15.75">
      <c r="A14" s="28" t="s">
        <v>11</v>
      </c>
      <c r="B14" s="32">
        <f>SUM(B9:B13)</f>
        <v>26087.899999999998</v>
      </c>
    </row>
    <row r="15" spans="1:2" ht="15">
      <c r="A15" s="2"/>
      <c r="B15" s="2"/>
    </row>
    <row r="16" spans="1:2" ht="15">
      <c r="A16" s="72" t="s">
        <v>12</v>
      </c>
      <c r="B16" s="72"/>
    </row>
    <row r="17" spans="1:2" ht="1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2149</v>
      </c>
    </row>
    <row r="18" spans="1:2" ht="15.75">
      <c r="A18" s="28" t="s">
        <v>11</v>
      </c>
      <c r="B18" s="32">
        <f>SUM(B17:B17)</f>
        <v>2149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06C4-D83D-4F2D-BBEC-FC3138A1CB0A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12" zoomScale="80" zoomScaleNormal="80" workbookViewId="0">
      <selection activeCell="D41" sqref="D4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v>45231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1755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>
      <c r="B8" s="28" t="s">
        <v>21</v>
      </c>
      <c r="C8" s="29">
        <f>SUM(C6:C7)</f>
        <v>1755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>
      <c r="B13" s="30" t="s">
        <v>8</v>
      </c>
      <c r="C13" s="31">
        <f t="shared" si="0"/>
        <v>578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IF(vend1[[#This Row],[Nº Venda]]&gt;1,1,0)</f>
        <v>0</v>
      </c>
    </row>
    <row r="14" spans="2:18" ht="15.75">
      <c r="B14" s="30" t="s">
        <v>9</v>
      </c>
      <c r="C14" s="31">
        <f t="shared" si="0"/>
        <v>1177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>
      <c r="B15" s="30" t="s">
        <v>10</v>
      </c>
      <c r="C15" s="31">
        <f t="shared" si="0"/>
        <v>116</v>
      </c>
      <c r="D15" s="2"/>
      <c r="E15" s="18"/>
      <c r="F15" s="25"/>
      <c r="G15" s="26"/>
      <c r="H15" s="8"/>
      <c r="I15" s="8"/>
      <c r="J15" s="2"/>
      <c r="K15" s="25">
        <v>3154</v>
      </c>
      <c r="L15" s="9" t="s">
        <v>26</v>
      </c>
      <c r="M15" s="16" t="s">
        <v>27</v>
      </c>
      <c r="R15" s="1">
        <f>IF(vend1[[#This Row],[Nº Venda]]&gt;1,1,0)</f>
        <v>0</v>
      </c>
    </row>
    <row r="16" spans="2:18" ht="15.75">
      <c r="B16" s="28" t="s">
        <v>11</v>
      </c>
      <c r="C16" s="32">
        <f>SUM(C11:C15)</f>
        <v>1971</v>
      </c>
      <c r="D16" s="2"/>
      <c r="E16" s="18"/>
      <c r="F16" s="25"/>
      <c r="G16" s="26"/>
      <c r="H16" s="8"/>
      <c r="I16" s="8"/>
      <c r="J16" s="2"/>
      <c r="K16" s="25">
        <v>3164</v>
      </c>
      <c r="L16" s="9" t="s">
        <v>26</v>
      </c>
      <c r="M16" s="16" t="s">
        <v>27</v>
      </c>
      <c r="R16" s="1">
        <f>IF(vend1[[#This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3158</v>
      </c>
      <c r="L17" s="9" t="s">
        <v>28</v>
      </c>
      <c r="M17" s="16" t="s">
        <v>27</v>
      </c>
      <c r="R17" s="1">
        <f>IF(vend1[[#This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3112</v>
      </c>
      <c r="L18" s="9" t="s">
        <v>26</v>
      </c>
      <c r="M18" s="16" t="s">
        <v>27</v>
      </c>
      <c r="R18" s="1">
        <f>IF(vend1[[#This Row],[Nº Venda]]&gt;1,1,0)</f>
        <v>0</v>
      </c>
    </row>
    <row r="19" spans="2:18" ht="15.7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>
        <v>3162</v>
      </c>
      <c r="L19" s="9" t="s">
        <v>26</v>
      </c>
      <c r="M19" s="16" t="s">
        <v>27</v>
      </c>
      <c r="R19" s="1">
        <f>IF(vend1[[#This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3157</v>
      </c>
      <c r="L20" s="9" t="s">
        <v>29</v>
      </c>
      <c r="M20" s="16" t="s">
        <v>27</v>
      </c>
      <c r="R20" s="1">
        <f>IF(vend1[[#This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>
        <v>3185</v>
      </c>
      <c r="L21" s="9" t="s">
        <v>28</v>
      </c>
      <c r="M21" s="16" t="s">
        <v>27</v>
      </c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3112</v>
      </c>
      <c r="F26" s="25" t="s">
        <v>32</v>
      </c>
      <c r="G26" s="26" t="s">
        <v>8</v>
      </c>
      <c r="H26" s="8"/>
      <c r="I26" s="8">
        <v>449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3111</v>
      </c>
      <c r="F27" s="25" t="s">
        <v>33</v>
      </c>
      <c r="G27" s="26" t="s">
        <v>8</v>
      </c>
      <c r="H27" s="8"/>
      <c r="I27" s="8">
        <v>129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3196</v>
      </c>
      <c r="F28" s="25" t="s">
        <v>34</v>
      </c>
      <c r="G28" s="26" t="s">
        <v>9</v>
      </c>
      <c r="H28" s="8"/>
      <c r="I28" s="8">
        <v>978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3201</v>
      </c>
      <c r="F29" s="25" t="s">
        <v>34</v>
      </c>
      <c r="G29" s="26" t="s">
        <v>9</v>
      </c>
      <c r="H29" s="8"/>
      <c r="I29" s="8" t="s">
        <v>35</v>
      </c>
      <c r="J29" s="2"/>
      <c r="K29" s="25"/>
      <c r="L29" s="9"/>
      <c r="M29" s="16"/>
    </row>
    <row r="30" spans="2:18" ht="15.75">
      <c r="B30" s="2"/>
      <c r="C30" s="2"/>
      <c r="D30" s="2"/>
      <c r="E30" s="18">
        <v>3162</v>
      </c>
      <c r="F30" s="39" t="s">
        <v>36</v>
      </c>
      <c r="G30" s="26" t="s">
        <v>9</v>
      </c>
      <c r="H30" s="8"/>
      <c r="I30" s="8">
        <v>199</v>
      </c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6" t="s">
        <v>23</v>
      </c>
      <c r="L34" s="6" t="s">
        <v>40</v>
      </c>
      <c r="M34" s="6" t="s">
        <v>41</v>
      </c>
    </row>
    <row r="35" spans="2:18" ht="15.75">
      <c r="E35" s="18">
        <v>3017</v>
      </c>
      <c r="F35" s="25" t="s">
        <v>42</v>
      </c>
      <c r="G35" s="26" t="s">
        <v>7</v>
      </c>
      <c r="H35" s="8">
        <v>100</v>
      </c>
      <c r="I35" s="8" t="s">
        <v>43</v>
      </c>
      <c r="K35" s="25"/>
      <c r="L35" s="42"/>
      <c r="M35" s="9"/>
    </row>
    <row r="36" spans="2:18" ht="15.75">
      <c r="E36" s="18">
        <v>2665</v>
      </c>
      <c r="F36" s="25" t="s">
        <v>44</v>
      </c>
      <c r="G36" s="26" t="s">
        <v>10</v>
      </c>
      <c r="H36" s="8">
        <v>116</v>
      </c>
      <c r="I36" s="8" t="s">
        <v>45</v>
      </c>
      <c r="K36" s="25"/>
      <c r="L36" s="42"/>
      <c r="M36" s="9"/>
    </row>
    <row r="37" spans="2:18" ht="15.75">
      <c r="E37" s="18"/>
      <c r="F37" s="25"/>
      <c r="G37" s="26"/>
      <c r="H37" s="8"/>
      <c r="I37" s="8"/>
      <c r="K37" s="25"/>
      <c r="L37" s="42"/>
      <c r="M37" s="9"/>
    </row>
    <row r="38" spans="2:18" ht="15.75">
      <c r="E38" s="18"/>
      <c r="F38" s="25"/>
      <c r="G38" s="26"/>
      <c r="H38" s="8"/>
      <c r="I38" s="8"/>
      <c r="K38" s="25"/>
      <c r="L38" s="42"/>
      <c r="M38" s="9"/>
    </row>
    <row r="39" spans="2:18" ht="15.75">
      <c r="E39" s="18"/>
      <c r="F39" s="39"/>
      <c r="G39" s="26"/>
      <c r="H39" s="8"/>
      <c r="I39" s="8"/>
      <c r="K39" s="25"/>
      <c r="L39" s="42"/>
      <c r="M39" s="9"/>
    </row>
    <row r="40" spans="2:18" ht="15.75">
      <c r="E40" s="35"/>
      <c r="F40" s="36"/>
      <c r="G40" s="37"/>
      <c r="H40" s="17"/>
      <c r="I40" s="8"/>
      <c r="K40" s="36"/>
      <c r="L40" s="43"/>
      <c r="M40" s="46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12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45232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F23" sqref="F2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45233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251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21</v>
      </c>
      <c r="C8" s="29">
        <f>SUM(C6:C7)</f>
        <v>251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92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251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3142</v>
      </c>
      <c r="L15" s="9" t="s">
        <v>26</v>
      </c>
      <c r="M15" s="16" t="s">
        <v>27</v>
      </c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418</v>
      </c>
      <c r="D16" s="2"/>
      <c r="E16" s="18"/>
      <c r="F16" s="25"/>
      <c r="G16" s="26"/>
      <c r="H16" s="8"/>
      <c r="I16" s="8"/>
      <c r="J16" s="2"/>
      <c r="K16" s="25">
        <v>3160</v>
      </c>
      <c r="L16" s="9" t="s">
        <v>26</v>
      </c>
      <c r="M16" s="16" t="s">
        <v>27</v>
      </c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3161</v>
      </c>
      <c r="L17" s="9" t="s">
        <v>26</v>
      </c>
      <c r="M17" s="16" t="s">
        <v>27</v>
      </c>
      <c r="R17" s="1">
        <f>IF(vend3[[#This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3160</v>
      </c>
      <c r="F26" s="25" t="s">
        <v>47</v>
      </c>
      <c r="G26" s="48" t="s">
        <v>9</v>
      </c>
      <c r="H26" s="8"/>
      <c r="I26" s="8">
        <v>251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3035</v>
      </c>
      <c r="F35" s="25" t="s">
        <v>48</v>
      </c>
      <c r="G35" s="26" t="s">
        <v>7</v>
      </c>
      <c r="H35" s="8">
        <v>92</v>
      </c>
      <c r="I35" s="8" t="s">
        <v>49</v>
      </c>
      <c r="K35" s="25"/>
      <c r="L35" s="42"/>
      <c r="M35" s="16"/>
    </row>
    <row r="36" spans="2:18" ht="15.75">
      <c r="E36" s="18">
        <v>2587</v>
      </c>
      <c r="F36" s="25" t="s">
        <v>50</v>
      </c>
      <c r="G36" s="26" t="s">
        <v>6</v>
      </c>
      <c r="H36" s="8">
        <v>75</v>
      </c>
      <c r="I36" s="8" t="s">
        <v>51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45234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1848.9</v>
      </c>
      <c r="D6" s="2"/>
      <c r="E6" s="18">
        <v>3204</v>
      </c>
      <c r="F6" s="25" t="s">
        <v>52</v>
      </c>
      <c r="G6" s="48" t="s">
        <v>9</v>
      </c>
      <c r="H6" s="8">
        <v>599</v>
      </c>
      <c r="I6" s="8">
        <v>599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3202</v>
      </c>
      <c r="F7" s="25" t="s">
        <v>53</v>
      </c>
      <c r="G7" s="48" t="s">
        <v>28</v>
      </c>
      <c r="H7" s="8">
        <v>0</v>
      </c>
      <c r="I7" s="8">
        <v>0</v>
      </c>
      <c r="J7" s="2"/>
      <c r="K7" s="25"/>
      <c r="L7" s="9"/>
      <c r="M7" s="16"/>
      <c r="R7" s="1">
        <f>IF(vend4[[#This Row],[Nº Venda]]&gt;1,1,0)</f>
        <v>1</v>
      </c>
    </row>
    <row r="8" spans="2:18" ht="15.75">
      <c r="B8" s="28" t="s">
        <v>21</v>
      </c>
      <c r="C8" s="29">
        <f>SUM(C6:C7)</f>
        <v>1848.9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950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299.89999999999998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599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3171</v>
      </c>
      <c r="L15" s="9" t="s">
        <v>29</v>
      </c>
      <c r="M15" s="16" t="s">
        <v>27</v>
      </c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1848.9</v>
      </c>
      <c r="D16" s="2"/>
      <c r="E16" s="18"/>
      <c r="F16" s="25"/>
      <c r="G16" s="26"/>
      <c r="H16" s="8"/>
      <c r="I16" s="8"/>
      <c r="J16" s="2"/>
      <c r="K16" s="25">
        <v>3166</v>
      </c>
      <c r="L16" s="9" t="s">
        <v>26</v>
      </c>
      <c r="M16" s="16" t="s">
        <v>27</v>
      </c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3080</v>
      </c>
      <c r="L17" s="9" t="s">
        <v>26</v>
      </c>
      <c r="M17" s="16" t="s">
        <v>27</v>
      </c>
      <c r="R17" s="1">
        <f>IF(vend4[[#This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3166</v>
      </c>
      <c r="F26" s="25" t="s">
        <v>54</v>
      </c>
      <c r="G26" s="48" t="s">
        <v>7</v>
      </c>
      <c r="H26" s="8"/>
      <c r="I26" s="8">
        <v>299.89999999999998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3175</v>
      </c>
      <c r="F27" s="25" t="s">
        <v>55</v>
      </c>
      <c r="G27" s="48" t="s">
        <v>6</v>
      </c>
      <c r="H27" s="8"/>
      <c r="I27" s="8">
        <v>200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3177</v>
      </c>
      <c r="F28" s="25" t="s">
        <v>56</v>
      </c>
      <c r="G28" s="48" t="s">
        <v>6</v>
      </c>
      <c r="H28" s="8"/>
      <c r="I28" s="8">
        <v>150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3171</v>
      </c>
      <c r="F29" s="25" t="s">
        <v>57</v>
      </c>
      <c r="G29" s="26" t="s">
        <v>6</v>
      </c>
      <c r="H29" s="8"/>
      <c r="I29" s="8">
        <v>600</v>
      </c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45235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15" zoomScale="80" zoomScaleNormal="80" workbookViewId="0">
      <selection activeCell="B27" sqref="B2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45236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1199</v>
      </c>
      <c r="D6" s="2"/>
      <c r="E6" s="18">
        <v>3203</v>
      </c>
      <c r="F6" s="25" t="s">
        <v>58</v>
      </c>
      <c r="G6" s="26" t="s">
        <v>28</v>
      </c>
      <c r="H6" s="8">
        <v>0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3205</v>
      </c>
      <c r="F7" s="25" t="s">
        <v>59</v>
      </c>
      <c r="G7" s="26" t="s">
        <v>10</v>
      </c>
      <c r="H7" s="8">
        <v>600</v>
      </c>
      <c r="I7" s="8">
        <v>600</v>
      </c>
      <c r="J7" s="2"/>
      <c r="K7" s="25"/>
      <c r="L7" s="9"/>
      <c r="M7" s="16"/>
      <c r="R7" s="1">
        <f>IF(vend[[#This Row],[Nº Venda]]&gt;1,1,0)</f>
        <v>1</v>
      </c>
    </row>
    <row r="8" spans="2:18" ht="15.75">
      <c r="B8" s="28" t="s">
        <v>21</v>
      </c>
      <c r="C8" s="29">
        <f>SUM(C6:C7)</f>
        <v>1199</v>
      </c>
      <c r="D8" s="2"/>
      <c r="E8" s="18">
        <v>3206</v>
      </c>
      <c r="F8" s="25" t="s">
        <v>59</v>
      </c>
      <c r="G8" s="26" t="s">
        <v>9</v>
      </c>
      <c r="H8" s="8">
        <v>250</v>
      </c>
      <c r="I8" s="8">
        <v>100</v>
      </c>
      <c r="J8" s="2"/>
      <c r="K8" s="25"/>
      <c r="L8" s="9"/>
      <c r="M8" s="16"/>
      <c r="R8" s="1">
        <f>IF(vend[[#This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599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850</v>
      </c>
      <c r="D15" s="2"/>
      <c r="E15" s="18"/>
      <c r="F15" s="25"/>
      <c r="G15" s="26"/>
      <c r="H15" s="8"/>
      <c r="I15" s="8"/>
      <c r="J15" s="2"/>
      <c r="K15" s="25">
        <v>3145</v>
      </c>
      <c r="L15" s="9" t="s">
        <v>26</v>
      </c>
      <c r="M15" s="16" t="s">
        <v>27</v>
      </c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1809</v>
      </c>
      <c r="D16" s="2"/>
      <c r="E16" s="18"/>
      <c r="F16" s="25"/>
      <c r="G16" s="26"/>
      <c r="H16" s="8"/>
      <c r="I16" s="8"/>
      <c r="J16" s="2"/>
      <c r="K16" s="25">
        <v>3204</v>
      </c>
      <c r="L16" s="9" t="s">
        <v>26</v>
      </c>
      <c r="M16" s="16" t="s">
        <v>27</v>
      </c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3145</v>
      </c>
      <c r="F26" s="25" t="s">
        <v>60</v>
      </c>
      <c r="G26" s="26" t="s">
        <v>9</v>
      </c>
      <c r="H26" s="8"/>
      <c r="I26" s="8">
        <v>499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2984</v>
      </c>
      <c r="F35" s="25" t="s">
        <v>61</v>
      </c>
      <c r="G35" s="26" t="s">
        <v>6</v>
      </c>
      <c r="H35" s="8">
        <v>360</v>
      </c>
      <c r="I35" s="8" t="s">
        <v>62</v>
      </c>
      <c r="K35" s="25"/>
      <c r="L35" s="42"/>
      <c r="M35" s="16"/>
    </row>
    <row r="36" spans="2:18" ht="15.75">
      <c r="E36" s="18">
        <v>2618</v>
      </c>
      <c r="F36" s="25" t="s">
        <v>63</v>
      </c>
      <c r="G36" s="26" t="s">
        <v>10</v>
      </c>
      <c r="H36" s="8">
        <v>250</v>
      </c>
      <c r="I36" s="8" t="s">
        <v>64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14" zoomScale="80" zoomScaleNormal="80" workbookViewId="0">
      <selection activeCell="M18" sqref="M18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8">
        <f>'06'!B1+1</f>
        <v>45237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1065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701</v>
      </c>
      <c r="D6" s="2"/>
      <c r="E6" s="70" t="s">
        <v>65</v>
      </c>
      <c r="F6" s="51" t="s">
        <v>66</v>
      </c>
      <c r="G6" s="51" t="s">
        <v>28</v>
      </c>
      <c r="H6" s="52">
        <v>0</v>
      </c>
      <c r="I6" s="52">
        <v>0</v>
      </c>
      <c r="J6" s="2"/>
      <c r="K6" s="25"/>
      <c r="L6" s="9"/>
      <c r="M6" s="16"/>
      <c r="R6" s="1">
        <f>IF(vend7[[#This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69" t="s">
        <v>67</v>
      </c>
      <c r="F7" s="50" t="s">
        <v>68</v>
      </c>
      <c r="G7" s="50" t="s">
        <v>7</v>
      </c>
      <c r="H7" s="49">
        <v>12</v>
      </c>
      <c r="I7" s="49">
        <v>12</v>
      </c>
      <c r="J7" s="2"/>
      <c r="K7" s="25"/>
      <c r="L7" s="9"/>
      <c r="M7" s="16"/>
      <c r="R7" s="1">
        <f>IF(vend7[[#This Row],[Nº Venda]]&gt;1,1,0)</f>
        <v>1</v>
      </c>
    </row>
    <row r="8" spans="2:18" ht="15.75">
      <c r="B8" s="28" t="s">
        <v>21</v>
      </c>
      <c r="C8" s="29">
        <f>SUM(C6:C7)</f>
        <v>701</v>
      </c>
      <c r="D8" s="2"/>
      <c r="E8" s="18">
        <v>3209</v>
      </c>
      <c r="F8" s="25" t="s">
        <v>69</v>
      </c>
      <c r="G8" s="26" t="s">
        <v>6</v>
      </c>
      <c r="H8" s="8">
        <v>1053</v>
      </c>
      <c r="I8" s="8">
        <v>300</v>
      </c>
      <c r="J8" s="2"/>
      <c r="K8" s="25"/>
      <c r="L8" s="9"/>
      <c r="M8" s="16"/>
      <c r="R8" s="1">
        <f>IF(vend7[[#This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12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309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220</v>
      </c>
      <c r="D15" s="2"/>
      <c r="E15" s="18"/>
      <c r="F15" s="25"/>
      <c r="G15" s="26"/>
      <c r="H15" s="8"/>
      <c r="I15" s="8"/>
      <c r="J15" s="2"/>
      <c r="K15" s="53">
        <v>3163</v>
      </c>
      <c r="L15" s="54" t="s">
        <v>26</v>
      </c>
      <c r="M15" s="55" t="s">
        <v>27</v>
      </c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841</v>
      </c>
      <c r="D16" s="2"/>
      <c r="E16" s="18"/>
      <c r="F16" s="25"/>
      <c r="G16" s="26"/>
      <c r="H16" s="8"/>
      <c r="I16" s="8"/>
      <c r="J16" s="2"/>
      <c r="K16" s="47">
        <v>3173</v>
      </c>
      <c r="L16" s="9" t="s">
        <v>26</v>
      </c>
      <c r="M16" s="16" t="s">
        <v>27</v>
      </c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7">
        <v>3191</v>
      </c>
      <c r="L17" s="9" t="s">
        <v>26</v>
      </c>
      <c r="M17" s="16" t="s">
        <v>27</v>
      </c>
      <c r="R17" s="1">
        <f>IF(vend7[[#This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47">
        <v>3200</v>
      </c>
      <c r="L18" s="9" t="s">
        <v>26</v>
      </c>
      <c r="M18" s="67" t="s">
        <v>27</v>
      </c>
      <c r="R18" s="1">
        <f>IF(vend7[[#This Row],[Nº Venda]]&gt;1,1,0)</f>
        <v>0</v>
      </c>
    </row>
    <row r="19" spans="2:18" ht="15.7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>
      <c r="B22" s="28" t="s">
        <v>30</v>
      </c>
      <c r="C22" s="32">
        <f>C5</f>
        <v>1065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>
      <c r="B23" s="2"/>
      <c r="C23" s="2"/>
      <c r="D23" s="2"/>
      <c r="E23" s="33"/>
      <c r="H23" s="7"/>
      <c r="J23" s="2"/>
      <c r="K23" s="47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47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>
      <c r="B26" s="2"/>
      <c r="C26" s="2"/>
      <c r="D26" s="2"/>
      <c r="E26" s="81">
        <v>3141</v>
      </c>
      <c r="F26" s="82" t="s">
        <v>70</v>
      </c>
      <c r="G26" s="83" t="s">
        <v>10</v>
      </c>
      <c r="H26" s="84"/>
      <c r="I26" s="84">
        <v>80</v>
      </c>
      <c r="J26" s="2"/>
      <c r="K26" s="47"/>
      <c r="L26" s="9"/>
      <c r="M26" s="16"/>
    </row>
    <row r="27" spans="2:18" ht="15.75">
      <c r="B27" s="2"/>
      <c r="C27" s="2"/>
      <c r="D27" s="2"/>
      <c r="E27" s="18">
        <v>3199</v>
      </c>
      <c r="F27" s="25" t="s">
        <v>71</v>
      </c>
      <c r="G27" s="26" t="s">
        <v>9</v>
      </c>
      <c r="H27" s="8"/>
      <c r="I27" s="8">
        <v>309</v>
      </c>
      <c r="J27" s="2"/>
      <c r="K27" s="47"/>
      <c r="L27" s="9"/>
      <c r="M27" s="16"/>
    </row>
    <row r="28" spans="2:18" ht="15.75">
      <c r="B28" s="2"/>
      <c r="C28" s="2"/>
      <c r="D28" s="2"/>
      <c r="E28" s="18">
        <v>3200</v>
      </c>
      <c r="F28" s="25" t="s">
        <v>71</v>
      </c>
      <c r="G28" s="26" t="s">
        <v>9</v>
      </c>
      <c r="H28" s="8"/>
      <c r="I28" s="8" t="s">
        <v>35</v>
      </c>
      <c r="J28" s="2"/>
      <c r="K28" s="47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2314</v>
      </c>
      <c r="F35" s="25" t="s">
        <v>72</v>
      </c>
      <c r="G35" s="26" t="s">
        <v>10</v>
      </c>
      <c r="H35" s="8">
        <v>140</v>
      </c>
      <c r="I35" s="8" t="s">
        <v>73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ignoredErrors>
    <ignoredError sqref="E6:I7" numberStoredAsText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opLeftCell="A17" zoomScale="80" zoomScaleNormal="80" workbookViewId="0">
      <selection activeCell="W21" sqref="W2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45238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1658.9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1168.9000000000001</v>
      </c>
      <c r="D6" s="2"/>
      <c r="E6" s="56">
        <v>3210</v>
      </c>
      <c r="F6" s="8" t="s">
        <v>74</v>
      </c>
      <c r="G6" s="8" t="s">
        <v>9</v>
      </c>
      <c r="H6" s="8">
        <v>299</v>
      </c>
      <c r="I6" s="8">
        <v>299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56">
        <v>3211</v>
      </c>
      <c r="F7" s="8" t="s">
        <v>75</v>
      </c>
      <c r="G7" s="8" t="s">
        <v>10</v>
      </c>
      <c r="H7" s="8">
        <v>690</v>
      </c>
      <c r="I7" s="8">
        <v>200</v>
      </c>
      <c r="J7" s="2"/>
      <c r="K7" s="25"/>
      <c r="L7" s="9"/>
      <c r="M7" s="16"/>
      <c r="R7" s="1">
        <f>IF(vend8[[#This Row],[Nº Venda]]&gt;1,1,0)</f>
        <v>1</v>
      </c>
    </row>
    <row r="8" spans="2:18" ht="15.75">
      <c r="B8" s="28" t="s">
        <v>21</v>
      </c>
      <c r="C8" s="29">
        <f>SUM(C6:C7)</f>
        <v>1168.9000000000001</v>
      </c>
      <c r="D8" s="2"/>
      <c r="E8" s="56">
        <v>3212</v>
      </c>
      <c r="F8" s="8" t="s">
        <v>76</v>
      </c>
      <c r="G8" s="8" t="s">
        <v>9</v>
      </c>
      <c r="H8" s="8">
        <v>669.9</v>
      </c>
      <c r="I8" s="8">
        <v>669.9</v>
      </c>
      <c r="J8" s="2"/>
      <c r="K8" s="25"/>
      <c r="L8" s="9"/>
      <c r="M8" s="16"/>
      <c r="R8" s="1">
        <f>IF(vend8[[#This Row],[Nº Venda]]&gt;1,1,0)</f>
        <v>1</v>
      </c>
    </row>
    <row r="9" spans="2:18" ht="1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968.9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325</v>
      </c>
      <c r="D15" s="2"/>
      <c r="E15" s="18"/>
      <c r="F15" s="25"/>
      <c r="G15" s="26"/>
      <c r="H15" s="8"/>
      <c r="I15" s="8"/>
      <c r="J15" s="2"/>
      <c r="K15" s="25">
        <v>3183</v>
      </c>
      <c r="L15" s="9" t="s">
        <v>29</v>
      </c>
      <c r="M15" s="16" t="s">
        <v>27</v>
      </c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1543.9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1658.9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81"/>
      <c r="F26" s="82"/>
      <c r="G26" s="83"/>
      <c r="H26" s="84"/>
      <c r="I26" s="84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2777</v>
      </c>
      <c r="F35" s="25" t="s">
        <v>77</v>
      </c>
      <c r="G35" s="26" t="s">
        <v>7</v>
      </c>
      <c r="H35" s="8">
        <v>250</v>
      </c>
      <c r="I35" s="8" t="s">
        <v>78</v>
      </c>
      <c r="K35" s="25"/>
      <c r="L35" s="42"/>
      <c r="M35" s="16"/>
    </row>
    <row r="36" spans="2:18" ht="15.75">
      <c r="E36" s="18">
        <v>2548</v>
      </c>
      <c r="F36" s="25" t="s">
        <v>79</v>
      </c>
      <c r="G36" s="26" t="s">
        <v>10</v>
      </c>
      <c r="H36" s="8">
        <v>125</v>
      </c>
      <c r="I36" s="8" t="s">
        <v>80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15" zoomScale="80" zoomScaleNormal="80" workbookViewId="0">
      <selection activeCell="G6" sqref="G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45239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1435</v>
      </c>
      <c r="D6" s="2"/>
      <c r="E6" s="18">
        <v>3213</v>
      </c>
      <c r="F6" s="25" t="s">
        <v>81</v>
      </c>
      <c r="G6" s="48" t="s">
        <v>10</v>
      </c>
      <c r="H6" s="8">
        <v>50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>
      <c r="B8" s="28" t="s">
        <v>21</v>
      </c>
      <c r="C8" s="29">
        <f>SUM(C6:C7)</f>
        <v>1435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1385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3153</v>
      </c>
      <c r="L15" s="9" t="s">
        <v>26</v>
      </c>
      <c r="M15" s="16" t="s">
        <v>27</v>
      </c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1435</v>
      </c>
      <c r="D16" s="2"/>
      <c r="E16" s="18"/>
      <c r="F16" s="25"/>
      <c r="G16" s="26"/>
      <c r="H16" s="8"/>
      <c r="I16" s="8"/>
      <c r="J16" s="2"/>
      <c r="K16" s="25">
        <v>3167</v>
      </c>
      <c r="L16" s="9" t="s">
        <v>28</v>
      </c>
      <c r="M16" s="16" t="s">
        <v>27</v>
      </c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3113</v>
      </c>
      <c r="L17" s="9" t="s">
        <v>26</v>
      </c>
      <c r="M17" s="16" t="s">
        <v>27</v>
      </c>
      <c r="R17" s="1">
        <f>IF(vend9[[#This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3153</v>
      </c>
      <c r="F26" s="25" t="s">
        <v>82</v>
      </c>
      <c r="G26" s="48" t="s">
        <v>7</v>
      </c>
      <c r="H26" s="8"/>
      <c r="I26" s="8">
        <v>795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3113</v>
      </c>
      <c r="F27" s="25" t="s">
        <v>83</v>
      </c>
      <c r="G27" s="26" t="s">
        <v>7</v>
      </c>
      <c r="H27" s="8"/>
      <c r="I27" s="8">
        <v>590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portrait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topLeftCell="A16" zoomScale="80" zoomScaleNormal="80" workbookViewId="0">
      <selection activeCell="B35" sqref="B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45240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2189</v>
      </c>
      <c r="D6" s="2"/>
      <c r="E6" s="18">
        <v>3214</v>
      </c>
      <c r="F6" s="25" t="s">
        <v>84</v>
      </c>
      <c r="G6" s="48" t="s">
        <v>6</v>
      </c>
      <c r="H6" s="8">
        <v>1100</v>
      </c>
      <c r="I6" s="8">
        <v>1100</v>
      </c>
      <c r="J6" s="2"/>
      <c r="K6" s="25"/>
      <c r="L6" s="9"/>
      <c r="M6" s="16"/>
      <c r="R6" s="1">
        <f>IF(vend10[[#This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3215</v>
      </c>
      <c r="F7" s="25" t="s">
        <v>85</v>
      </c>
      <c r="G7" s="48" t="s">
        <v>7</v>
      </c>
      <c r="H7" s="8">
        <v>150</v>
      </c>
      <c r="I7" s="8">
        <v>50</v>
      </c>
      <c r="J7" s="2"/>
      <c r="K7" s="25"/>
      <c r="L7" s="9"/>
      <c r="M7" s="16"/>
      <c r="R7" s="1">
        <f>IF(vend10[[#This Row],[Nº Venda]]&gt;1,1,0)</f>
        <v>1</v>
      </c>
    </row>
    <row r="8" spans="2:18" ht="15.75">
      <c r="B8" s="28" t="s">
        <v>21</v>
      </c>
      <c r="C8" s="29">
        <f>SUM(C6:C7)</f>
        <v>2189</v>
      </c>
      <c r="D8" s="2"/>
      <c r="E8" s="18">
        <v>3216</v>
      </c>
      <c r="F8" s="25" t="s">
        <v>86</v>
      </c>
      <c r="G8" s="26" t="s">
        <v>8</v>
      </c>
      <c r="H8" s="8">
        <v>149</v>
      </c>
      <c r="I8" s="8">
        <v>149</v>
      </c>
      <c r="J8" s="2"/>
      <c r="K8" s="25"/>
      <c r="L8" s="9"/>
      <c r="M8" s="16"/>
      <c r="R8" s="1">
        <f>IF(vend10[[#This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149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890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3148</v>
      </c>
      <c r="L15" s="9" t="s">
        <v>87</v>
      </c>
      <c r="M15" s="16" t="s">
        <v>27</v>
      </c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2289</v>
      </c>
      <c r="D16" s="2"/>
      <c r="E16" s="18"/>
      <c r="F16" s="25"/>
      <c r="G16" s="26"/>
      <c r="H16" s="8"/>
      <c r="I16" s="8"/>
      <c r="J16" s="2"/>
      <c r="K16" s="25">
        <v>3196</v>
      </c>
      <c r="L16" s="9" t="s">
        <v>87</v>
      </c>
      <c r="M16" s="16" t="s">
        <v>27</v>
      </c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3193</v>
      </c>
      <c r="L17" s="9" t="s">
        <v>87</v>
      </c>
      <c r="M17" s="16" t="s">
        <v>27</v>
      </c>
      <c r="R17" s="1">
        <f>IF(vend10[[#This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3148</v>
      </c>
      <c r="F26" s="25" t="s">
        <v>88</v>
      </c>
      <c r="G26" s="48" t="s">
        <v>9</v>
      </c>
      <c r="H26" s="8"/>
      <c r="I26" s="8">
        <v>250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3193</v>
      </c>
      <c r="F27" s="25" t="s">
        <v>89</v>
      </c>
      <c r="G27" s="48" t="s">
        <v>9</v>
      </c>
      <c r="H27" s="8"/>
      <c r="I27" s="8">
        <v>640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3075</v>
      </c>
      <c r="F35" s="25" t="s">
        <v>90</v>
      </c>
      <c r="G35" s="26" t="s">
        <v>10</v>
      </c>
      <c r="H35" s="8">
        <v>100</v>
      </c>
      <c r="I35" s="8" t="s">
        <v>91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15" zoomScale="80" zoomScaleNormal="80" workbookViewId="0">
      <selection activeCell="K24" sqref="K2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45241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1943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369</v>
      </c>
      <c r="D6" s="2"/>
      <c r="E6" s="18">
        <v>3217</v>
      </c>
      <c r="F6" s="25" t="s">
        <v>92</v>
      </c>
      <c r="G6" s="26" t="s">
        <v>9</v>
      </c>
      <c r="H6" s="8">
        <v>299</v>
      </c>
      <c r="I6" s="8">
        <v>299</v>
      </c>
      <c r="J6" s="2"/>
      <c r="K6" s="25"/>
      <c r="L6" s="9"/>
      <c r="M6" s="16"/>
      <c r="R6" s="1">
        <f>IF(vend11[[#This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3218</v>
      </c>
      <c r="F7" s="25" t="s">
        <v>93</v>
      </c>
      <c r="G7" s="26" t="s">
        <v>10</v>
      </c>
      <c r="H7" s="8">
        <v>699</v>
      </c>
      <c r="I7" s="8">
        <v>25</v>
      </c>
      <c r="J7" s="2"/>
      <c r="K7" s="25"/>
      <c r="L7" s="9"/>
      <c r="M7" s="16"/>
      <c r="R7" s="1">
        <f>IF(vend11[[#This Row],[Nº Venda]]&gt;1,1,0)</f>
        <v>1</v>
      </c>
    </row>
    <row r="8" spans="2:18" ht="15.75">
      <c r="B8" s="28" t="s">
        <v>21</v>
      </c>
      <c r="C8" s="29">
        <f>SUM(C6:C7)</f>
        <v>369</v>
      </c>
      <c r="D8" s="2"/>
      <c r="E8" s="18">
        <v>3219</v>
      </c>
      <c r="F8" s="25" t="s">
        <v>94</v>
      </c>
      <c r="G8" s="26" t="s">
        <v>10</v>
      </c>
      <c r="H8" s="8">
        <v>399</v>
      </c>
      <c r="I8" s="8">
        <v>25</v>
      </c>
      <c r="J8" s="2"/>
      <c r="K8" s="25"/>
      <c r="L8" s="9"/>
      <c r="M8" s="16"/>
      <c r="R8" s="1">
        <f>IF(vend11[[#This Row],[Nº Venda]]&gt;1,1,0)</f>
        <v>1</v>
      </c>
    </row>
    <row r="9" spans="2:18" ht="15.75">
      <c r="B9" s="2"/>
      <c r="C9" s="2"/>
      <c r="D9" s="2"/>
      <c r="E9" s="18">
        <v>3220</v>
      </c>
      <c r="F9" s="25" t="s">
        <v>95</v>
      </c>
      <c r="G9" s="26" t="s">
        <v>6</v>
      </c>
      <c r="H9" s="8">
        <v>546</v>
      </c>
      <c r="I9" s="8">
        <v>20</v>
      </c>
      <c r="J9" s="2"/>
      <c r="K9" s="25"/>
      <c r="L9" s="9"/>
      <c r="M9" s="16"/>
      <c r="R9" s="1">
        <f>IF(vend11[[#This Row],[Nº Venda]]&gt;1,1,0)</f>
        <v>1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140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299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3178</v>
      </c>
      <c r="L15" s="9" t="s">
        <v>26</v>
      </c>
      <c r="M15" s="16" t="s">
        <v>27</v>
      </c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609</v>
      </c>
      <c r="D16" s="2"/>
      <c r="E16" s="18"/>
      <c r="F16" s="25"/>
      <c r="G16" s="26"/>
      <c r="H16" s="8"/>
      <c r="I16" s="8"/>
      <c r="J16" s="2"/>
      <c r="K16" s="25">
        <v>3141</v>
      </c>
      <c r="L16" s="9" t="s">
        <v>26</v>
      </c>
      <c r="M16" s="16" t="s">
        <v>96</v>
      </c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3217</v>
      </c>
      <c r="L17" s="9" t="s">
        <v>26</v>
      </c>
      <c r="M17" s="16" t="s">
        <v>27</v>
      </c>
      <c r="R17" s="1">
        <f>IF(vend11[[#This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3165</v>
      </c>
      <c r="L18" s="9" t="s">
        <v>28</v>
      </c>
      <c r="M18" s="16" t="s">
        <v>27</v>
      </c>
      <c r="R18" s="1">
        <f>IF(vend11[[#This Row],[Nº Venda]]&gt;1,1,0)</f>
        <v>0</v>
      </c>
    </row>
    <row r="19" spans="2:18" ht="15.75">
      <c r="B19" s="30">
        <f>COUNT(entr_carn11[OS])</f>
        <v>1</v>
      </c>
      <c r="C19" s="31">
        <f>SUM(entr_carn11[Valor Total])</f>
        <v>420</v>
      </c>
      <c r="D19" s="2"/>
      <c r="E19" s="18"/>
      <c r="F19" s="25"/>
      <c r="G19" s="26"/>
      <c r="H19" s="8"/>
      <c r="I19" s="8"/>
      <c r="J19" s="2"/>
      <c r="K19" s="25">
        <v>3155</v>
      </c>
      <c r="L19" s="9" t="s">
        <v>26</v>
      </c>
      <c r="M19" s="16" t="s">
        <v>27</v>
      </c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420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1943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3141</v>
      </c>
      <c r="F35" s="25" t="s">
        <v>70</v>
      </c>
      <c r="G35" s="26" t="s">
        <v>7</v>
      </c>
      <c r="H35" s="8">
        <v>140</v>
      </c>
      <c r="I35" s="8" t="s">
        <v>97</v>
      </c>
      <c r="K35" s="25">
        <v>3141</v>
      </c>
      <c r="L35" s="42">
        <v>3</v>
      </c>
      <c r="M35" s="16">
        <v>420</v>
      </c>
    </row>
    <row r="36" spans="2:18" ht="15.75">
      <c r="E36" s="18">
        <v>3013</v>
      </c>
      <c r="F36" s="25" t="s">
        <v>98</v>
      </c>
      <c r="G36" s="26" t="s">
        <v>6</v>
      </c>
      <c r="H36" s="8">
        <v>100</v>
      </c>
      <c r="I36" s="8" t="s">
        <v>97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22" zoomScale="80" zoomScaleNormal="80" workbookViewId="0">
      <selection activeCell="M15" sqref="M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45242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63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12" zoomScale="80" zoomScaleNormal="80" workbookViewId="0">
      <selection activeCell="C33" sqref="C3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45243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1997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2097</v>
      </c>
      <c r="D6" s="2"/>
      <c r="E6" s="18">
        <v>3221</v>
      </c>
      <c r="F6" s="25" t="s">
        <v>99</v>
      </c>
      <c r="G6" s="26" t="s">
        <v>8</v>
      </c>
      <c r="H6" s="8">
        <v>99</v>
      </c>
      <c r="I6" s="8">
        <v>99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3222</v>
      </c>
      <c r="F7" s="25" t="s">
        <v>100</v>
      </c>
      <c r="G7" s="26" t="s">
        <v>8</v>
      </c>
      <c r="H7" s="8">
        <v>100</v>
      </c>
      <c r="I7" s="8">
        <v>100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21</v>
      </c>
      <c r="C8" s="29">
        <f>SUM(C6:C7)</f>
        <v>2097</v>
      </c>
      <c r="D8" s="2"/>
      <c r="E8" s="18">
        <v>3223</v>
      </c>
      <c r="F8" s="25" t="s">
        <v>101</v>
      </c>
      <c r="G8" s="26" t="s">
        <v>8</v>
      </c>
      <c r="H8" s="8">
        <v>99</v>
      </c>
      <c r="I8" s="8">
        <v>99</v>
      </c>
      <c r="J8" s="2"/>
      <c r="K8" s="25"/>
      <c r="L8" s="9"/>
      <c r="M8" s="16"/>
      <c r="R8" s="1">
        <f>IF(vend13[[#This Row],[Nº Venda]]&gt;1,1,0)</f>
        <v>1</v>
      </c>
    </row>
    <row r="9" spans="2:18" ht="15.75">
      <c r="B9" s="2"/>
      <c r="C9" s="2"/>
      <c r="D9" s="2"/>
      <c r="E9" s="18">
        <v>3224</v>
      </c>
      <c r="F9" s="25" t="s">
        <v>102</v>
      </c>
      <c r="G9" s="26" t="s">
        <v>9</v>
      </c>
      <c r="H9" s="8">
        <v>1699</v>
      </c>
      <c r="I9" s="8">
        <v>1699</v>
      </c>
      <c r="J9" s="2"/>
      <c r="K9" s="25"/>
      <c r="L9" s="9"/>
      <c r="M9" s="16"/>
      <c r="R9" s="1">
        <f>IF(vend13[[#This Row],[Nº Venda]]&gt;1,1,0)</f>
        <v>1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398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1699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3221</v>
      </c>
      <c r="L15" s="9" t="s">
        <v>103</v>
      </c>
      <c r="M15" s="16" t="s">
        <v>27</v>
      </c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2197</v>
      </c>
      <c r="D16" s="2"/>
      <c r="E16" s="18"/>
      <c r="F16" s="25"/>
      <c r="G16" s="26"/>
      <c r="H16" s="8"/>
      <c r="I16" s="8"/>
      <c r="J16" s="2"/>
      <c r="K16" s="25">
        <v>3222</v>
      </c>
      <c r="L16" s="9" t="s">
        <v>26</v>
      </c>
      <c r="M16" s="16" t="s">
        <v>27</v>
      </c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3223</v>
      </c>
      <c r="L17" s="9" t="s">
        <v>29</v>
      </c>
      <c r="M17" s="16" t="s">
        <v>27</v>
      </c>
      <c r="R17" s="1">
        <f>IF(vend13[[#This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3215</v>
      </c>
      <c r="L18" s="9" t="s">
        <v>104</v>
      </c>
      <c r="M18" s="16" t="s">
        <v>27</v>
      </c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1997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3215</v>
      </c>
      <c r="F26" s="25" t="s">
        <v>85</v>
      </c>
      <c r="G26" s="26" t="s">
        <v>8</v>
      </c>
      <c r="H26" s="8"/>
      <c r="I26" s="8">
        <v>100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2566</v>
      </c>
      <c r="F35" s="25" t="s">
        <v>100</v>
      </c>
      <c r="G35" s="26" t="s">
        <v>7</v>
      </c>
      <c r="H35" s="8">
        <v>100</v>
      </c>
      <c r="I35" s="8" t="s">
        <v>105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12" zoomScale="80" zoomScaleNormal="80" workbookViewId="0">
      <selection activeCell="L20" sqref="L20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8">
        <f>'13'!B1+1</f>
        <v>45244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567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567</v>
      </c>
      <c r="D6" s="2"/>
      <c r="E6" s="18">
        <v>3225</v>
      </c>
      <c r="F6" s="25" t="s">
        <v>106</v>
      </c>
      <c r="G6" s="48" t="s">
        <v>9</v>
      </c>
      <c r="H6" s="8">
        <v>567</v>
      </c>
      <c r="I6" s="8">
        <v>567</v>
      </c>
      <c r="J6" s="2"/>
      <c r="K6" s="25"/>
      <c r="L6" s="9"/>
      <c r="M6" s="16"/>
      <c r="R6" s="1">
        <f>IF(vend14[[#This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21</v>
      </c>
      <c r="C8" s="29">
        <f>SUM(C6:C7)</f>
        <v>567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567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3150</v>
      </c>
      <c r="L15" s="9" t="s">
        <v>26</v>
      </c>
      <c r="M15" s="16" t="s">
        <v>27</v>
      </c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567</v>
      </c>
      <c r="D16" s="2"/>
      <c r="E16" s="18"/>
      <c r="F16" s="25"/>
      <c r="G16" s="26"/>
      <c r="H16" s="8"/>
      <c r="I16" s="8"/>
      <c r="J16" s="2"/>
      <c r="K16" s="25">
        <v>3175</v>
      </c>
      <c r="L16" s="9" t="s">
        <v>29</v>
      </c>
      <c r="M16" s="16" t="s">
        <v>96</v>
      </c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3176</v>
      </c>
      <c r="L17" s="9" t="s">
        <v>29</v>
      </c>
      <c r="M17" s="16" t="s">
        <v>96</v>
      </c>
      <c r="R17" s="1">
        <f>IF(vend14[[#This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3177</v>
      </c>
      <c r="L18" s="9" t="s">
        <v>29</v>
      </c>
      <c r="M18" s="16" t="s">
        <v>96</v>
      </c>
      <c r="R18" s="1">
        <f>IF(vend14[[#This Row],[Nº Venda]]&gt;1,1,0)</f>
        <v>0</v>
      </c>
    </row>
    <row r="19" spans="2:18" ht="15.75">
      <c r="B19" s="30">
        <f>COUNT(entr_carn14[OS])</f>
        <v>3</v>
      </c>
      <c r="C19" s="31">
        <f>SUM(entr_carn14[Valor Total])</f>
        <v>1190</v>
      </c>
      <c r="D19" s="2"/>
      <c r="E19" s="18"/>
      <c r="F19" s="25"/>
      <c r="G19" s="26"/>
      <c r="H19" s="8"/>
      <c r="I19" s="8"/>
      <c r="J19" s="2"/>
      <c r="K19" s="25">
        <v>3192</v>
      </c>
      <c r="L19" s="9" t="s">
        <v>26</v>
      </c>
      <c r="M19" s="16" t="s">
        <v>27</v>
      </c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1190</v>
      </c>
      <c r="D20" s="2"/>
      <c r="E20" s="18"/>
      <c r="F20" s="26"/>
      <c r="G20" s="26"/>
      <c r="H20" s="8"/>
      <c r="I20" s="8"/>
      <c r="J20" s="2"/>
      <c r="K20" s="25">
        <v>3204</v>
      </c>
      <c r="L20" s="9" t="s">
        <v>26</v>
      </c>
      <c r="M20" s="16" t="s">
        <v>27</v>
      </c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>
        <v>3210</v>
      </c>
      <c r="L21" s="9" t="s">
        <v>26</v>
      </c>
      <c r="M21" s="16" t="s">
        <v>27</v>
      </c>
    </row>
    <row r="22" spans="2:18" ht="15.75">
      <c r="B22" s="28" t="s">
        <v>30</v>
      </c>
      <c r="C22" s="32">
        <f>C5</f>
        <v>567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 t="s">
        <v>107</v>
      </c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65">
        <v>3175</v>
      </c>
      <c r="L35" s="66">
        <v>7</v>
      </c>
      <c r="M35" s="67">
        <v>640</v>
      </c>
    </row>
    <row r="36" spans="2:18" ht="15.75">
      <c r="E36" s="18"/>
      <c r="F36" s="25"/>
      <c r="G36" s="26"/>
      <c r="H36" s="8"/>
      <c r="I36" s="8"/>
      <c r="K36" s="65">
        <v>3176</v>
      </c>
      <c r="L36" s="66">
        <v>7</v>
      </c>
      <c r="M36" s="67">
        <v>450</v>
      </c>
    </row>
    <row r="37" spans="2:18" ht="15.75">
      <c r="E37" s="18"/>
      <c r="F37" s="25"/>
      <c r="G37" s="26"/>
      <c r="H37" s="8"/>
      <c r="I37" s="8"/>
      <c r="K37" s="65">
        <v>3177</v>
      </c>
      <c r="L37" s="66">
        <v>7</v>
      </c>
      <c r="M37" s="67">
        <v>100</v>
      </c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12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45245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15" zoomScale="80" zoomScaleNormal="80" workbookViewId="0">
      <selection activeCell="H13" sqref="H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45246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1154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1154</v>
      </c>
      <c r="D6" s="2"/>
      <c r="E6" s="18">
        <v>3227</v>
      </c>
      <c r="F6" s="25" t="s">
        <v>108</v>
      </c>
      <c r="G6" s="48" t="s">
        <v>9</v>
      </c>
      <c r="H6" s="8">
        <v>556</v>
      </c>
      <c r="I6" s="8">
        <v>556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3228</v>
      </c>
      <c r="F7" s="25" t="s">
        <v>109</v>
      </c>
      <c r="G7" s="48" t="s">
        <v>9</v>
      </c>
      <c r="H7" s="8">
        <v>598</v>
      </c>
      <c r="I7" s="8">
        <v>598</v>
      </c>
      <c r="J7" s="2"/>
      <c r="K7" s="25"/>
      <c r="L7" s="9"/>
      <c r="M7" s="16"/>
      <c r="R7" s="1">
        <f>IF(vend16[[#This Row],[Nº Venda]]&gt;1,1,0)</f>
        <v>1</v>
      </c>
    </row>
    <row r="8" spans="2:18" ht="15.75">
      <c r="B8" s="28" t="s">
        <v>21</v>
      </c>
      <c r="C8" s="29">
        <f>SUM(C6:C7)</f>
        <v>1154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96.5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1154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3213</v>
      </c>
      <c r="L15" s="9" t="s">
        <v>26</v>
      </c>
      <c r="M15" s="16" t="s">
        <v>27</v>
      </c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1250.5</v>
      </c>
      <c r="D16" s="2"/>
      <c r="E16" s="18"/>
      <c r="F16" s="25"/>
      <c r="G16" s="26"/>
      <c r="H16" s="8"/>
      <c r="I16" s="8"/>
      <c r="J16" s="2"/>
      <c r="K16" s="25">
        <v>3203</v>
      </c>
      <c r="L16" s="9" t="s">
        <v>28</v>
      </c>
      <c r="M16" s="16" t="s">
        <v>27</v>
      </c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3194</v>
      </c>
      <c r="L17" s="9" t="s">
        <v>26</v>
      </c>
      <c r="M17" s="16" t="s">
        <v>27</v>
      </c>
      <c r="R17" s="1">
        <f>IF(vend16[[#This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1154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110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2852</v>
      </c>
      <c r="F35" s="25" t="s">
        <v>111</v>
      </c>
      <c r="G35" s="26" t="s">
        <v>6</v>
      </c>
      <c r="H35" s="8">
        <v>96.5</v>
      </c>
      <c r="I35" s="8" t="s">
        <v>112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A10" zoomScale="80" zoomScaleNormal="80" workbookViewId="0">
      <selection activeCell="B29" sqref="B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45247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827.5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939</v>
      </c>
      <c r="D6" s="2"/>
      <c r="E6" s="18">
        <v>3229</v>
      </c>
      <c r="F6" s="25" t="s">
        <v>113</v>
      </c>
      <c r="G6" s="26" t="s">
        <v>8</v>
      </c>
      <c r="H6" s="8">
        <v>399</v>
      </c>
      <c r="I6" s="8">
        <v>399</v>
      </c>
      <c r="J6" s="2"/>
      <c r="K6" s="25"/>
      <c r="L6" s="9"/>
      <c r="M6" s="16"/>
      <c r="R6" s="1">
        <f>IF(vend17[[#This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3230</v>
      </c>
      <c r="F7" s="25" t="s">
        <v>114</v>
      </c>
      <c r="G7" s="26" t="s">
        <v>8</v>
      </c>
      <c r="H7" s="8">
        <v>428.5</v>
      </c>
      <c r="I7" s="8">
        <v>50</v>
      </c>
      <c r="J7" s="2"/>
      <c r="K7" s="25"/>
      <c r="L7" s="9"/>
      <c r="M7" s="16"/>
      <c r="R7" s="1">
        <f>IF(vend17[[#This Row],[Nº Venda]]&gt;1,1,0)</f>
        <v>1</v>
      </c>
    </row>
    <row r="8" spans="2:18" ht="15.75">
      <c r="B8" s="28" t="s">
        <v>21</v>
      </c>
      <c r="C8" s="29">
        <f>SUM(C6:C7)</f>
        <v>939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449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490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3195</v>
      </c>
      <c r="L15" s="9" t="s">
        <v>26</v>
      </c>
      <c r="M15" s="16" t="s">
        <v>27</v>
      </c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939</v>
      </c>
      <c r="D16" s="2"/>
      <c r="E16" s="18"/>
      <c r="F16" s="25"/>
      <c r="G16" s="26"/>
      <c r="H16" s="8"/>
      <c r="I16" s="8"/>
      <c r="J16" s="2"/>
      <c r="K16" s="25">
        <v>3211</v>
      </c>
      <c r="L16" s="9" t="s">
        <v>26</v>
      </c>
      <c r="M16" s="16" t="s">
        <v>27</v>
      </c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827.5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3211</v>
      </c>
      <c r="F26" s="25" t="s">
        <v>75</v>
      </c>
      <c r="G26" s="26" t="s">
        <v>9</v>
      </c>
      <c r="H26" s="8"/>
      <c r="I26" s="8">
        <v>490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topLeftCell="A12" zoomScale="80" zoomScaleNormal="80" workbookViewId="0">
      <selection activeCell="V22" sqref="V22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45248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2237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2800</v>
      </c>
      <c r="D6" s="2"/>
      <c r="E6" s="18">
        <v>3231</v>
      </c>
      <c r="F6" s="25" t="s">
        <v>115</v>
      </c>
      <c r="G6" s="26" t="s">
        <v>8</v>
      </c>
      <c r="H6" s="8">
        <v>249</v>
      </c>
      <c r="I6" s="8">
        <v>249</v>
      </c>
      <c r="J6" s="2"/>
      <c r="K6" s="25"/>
      <c r="L6" s="9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3232</v>
      </c>
      <c r="F7" s="25" t="s">
        <v>116</v>
      </c>
      <c r="G7" s="26" t="s">
        <v>8</v>
      </c>
      <c r="H7" s="8">
        <v>190</v>
      </c>
      <c r="I7" s="8">
        <v>190</v>
      </c>
      <c r="J7" s="2"/>
      <c r="K7" s="25"/>
      <c r="L7" s="9"/>
      <c r="M7" s="16"/>
      <c r="R7" s="1">
        <f>IF(vend18[[#This Row],[Nº Venda]]&gt;1,1,0)</f>
        <v>1</v>
      </c>
    </row>
    <row r="8" spans="2:18" ht="15.75">
      <c r="B8" s="28" t="s">
        <v>21</v>
      </c>
      <c r="C8" s="29">
        <f>SUM(C6:C7)</f>
        <v>2800</v>
      </c>
      <c r="D8" s="2"/>
      <c r="E8" s="18">
        <v>3233</v>
      </c>
      <c r="F8" s="25" t="s">
        <v>117</v>
      </c>
      <c r="G8" s="26" t="s">
        <v>9</v>
      </c>
      <c r="H8" s="8">
        <v>1100</v>
      </c>
      <c r="I8" s="8">
        <v>1100</v>
      </c>
      <c r="J8" s="2"/>
      <c r="K8" s="25"/>
      <c r="L8" s="9"/>
      <c r="M8" s="16"/>
      <c r="R8" s="1">
        <f>IF(vend18[[#This Row],[Nº Venda]]&gt;1,1,0)</f>
        <v>1</v>
      </c>
    </row>
    <row r="9" spans="2:18" ht="15.75">
      <c r="B9" s="2"/>
      <c r="C9" s="2"/>
      <c r="D9" s="2"/>
      <c r="E9" s="18">
        <v>3234</v>
      </c>
      <c r="F9" s="25" t="s">
        <v>118</v>
      </c>
      <c r="G9" s="26" t="s">
        <v>8</v>
      </c>
      <c r="H9" s="8">
        <v>99</v>
      </c>
      <c r="I9" s="8">
        <v>99</v>
      </c>
      <c r="J9" s="2"/>
      <c r="K9" s="25"/>
      <c r="L9" s="9"/>
      <c r="M9" s="16"/>
      <c r="R9" s="1">
        <f>IF(vend18[[#This Row],[Nº Venda]]&gt;1,1,0)</f>
        <v>1</v>
      </c>
    </row>
    <row r="10" spans="2:18" ht="15.75">
      <c r="B10" s="72" t="s">
        <v>5</v>
      </c>
      <c r="C10" s="72"/>
      <c r="D10" s="2"/>
      <c r="E10" s="18">
        <v>3235</v>
      </c>
      <c r="F10" s="25" t="s">
        <v>119</v>
      </c>
      <c r="G10" s="26" t="s">
        <v>7</v>
      </c>
      <c r="H10" s="8">
        <v>599</v>
      </c>
      <c r="I10" s="8">
        <v>20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927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1853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>
        <v>3225</v>
      </c>
      <c r="L15" s="9" t="s">
        <v>26</v>
      </c>
      <c r="M15" s="16" t="s">
        <v>27</v>
      </c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2990.2</v>
      </c>
      <c r="D16" s="2"/>
      <c r="E16" s="18"/>
      <c r="F16" s="25"/>
      <c r="G16" s="26"/>
      <c r="H16" s="8"/>
      <c r="I16" s="8"/>
      <c r="J16" s="2"/>
      <c r="K16" s="25">
        <v>3209</v>
      </c>
      <c r="L16" s="9" t="s">
        <v>26</v>
      </c>
      <c r="M16" s="16" t="s">
        <v>27</v>
      </c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3212</v>
      </c>
      <c r="L17" s="9" t="s">
        <v>26</v>
      </c>
      <c r="M17" s="16" t="s">
        <v>27</v>
      </c>
      <c r="R17" s="1">
        <f>IF(vend18[[#This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2237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3209</v>
      </c>
      <c r="F26" s="25" t="s">
        <v>120</v>
      </c>
      <c r="G26" s="26" t="s">
        <v>9</v>
      </c>
      <c r="H26" s="8"/>
      <c r="I26" s="8">
        <v>753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3218</v>
      </c>
      <c r="F27" s="25" t="s">
        <v>93</v>
      </c>
      <c r="G27" s="26" t="s">
        <v>8</v>
      </c>
      <c r="H27" s="8"/>
      <c r="I27" s="8">
        <v>289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3219</v>
      </c>
      <c r="F28" s="25" t="s">
        <v>94</v>
      </c>
      <c r="G28" s="26" t="s">
        <v>8</v>
      </c>
      <c r="H28" s="8"/>
      <c r="I28" s="8">
        <v>100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2601</v>
      </c>
      <c r="F35" s="25" t="s">
        <v>121</v>
      </c>
      <c r="G35" s="26" t="s">
        <v>10</v>
      </c>
      <c r="H35" s="8">
        <v>190.2</v>
      </c>
      <c r="I35" s="8" t="s">
        <v>122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topLeftCell="A15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45249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opLeftCell="A12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45250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12" zoomScale="80" zoomScaleNormal="80" workbookViewId="0">
      <selection activeCell="E4" sqref="E4:I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45251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1569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669</v>
      </c>
      <c r="D6" s="2"/>
      <c r="E6" s="18">
        <v>3236</v>
      </c>
      <c r="F6" s="25" t="s">
        <v>123</v>
      </c>
      <c r="G6" s="26" t="s">
        <v>9</v>
      </c>
      <c r="H6" s="8">
        <v>219</v>
      </c>
      <c r="I6" s="8">
        <v>219</v>
      </c>
      <c r="J6" s="2"/>
      <c r="K6" s="25"/>
      <c r="L6" s="9"/>
      <c r="M6" s="16"/>
      <c r="R6" s="1">
        <f>IF(vend21[[#This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3237</v>
      </c>
      <c r="F7" s="25" t="s">
        <v>124</v>
      </c>
      <c r="G7" s="26" t="s">
        <v>6</v>
      </c>
      <c r="H7" s="8">
        <v>1350</v>
      </c>
      <c r="I7" s="8">
        <v>450</v>
      </c>
      <c r="J7" s="2"/>
      <c r="K7" s="25"/>
      <c r="L7" s="9"/>
      <c r="M7" s="16"/>
      <c r="R7" s="1">
        <f>IF(vend21[[#This Row],[Nº Venda]]&gt;1,1,0)</f>
        <v>1</v>
      </c>
    </row>
    <row r="8" spans="2:18" ht="15.75">
      <c r="B8" s="28" t="s">
        <v>21</v>
      </c>
      <c r="C8" s="29">
        <f>SUM(C6:C7)</f>
        <v>669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171.6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219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3199</v>
      </c>
      <c r="L15" s="9" t="s">
        <v>26</v>
      </c>
      <c r="M15" s="16" t="s">
        <v>96</v>
      </c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840.6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>
      <c r="B19" s="30">
        <f>COUNT(entr_carn21[OS])</f>
        <v>1</v>
      </c>
      <c r="C19" s="31">
        <f>SUM(entr_carn21[Valor Total])</f>
        <v>539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539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1569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2716</v>
      </c>
      <c r="F35" s="25" t="s">
        <v>125</v>
      </c>
      <c r="G35" s="26" t="s">
        <v>7</v>
      </c>
      <c r="H35" s="8">
        <v>75</v>
      </c>
      <c r="I35" s="8" t="s">
        <v>126</v>
      </c>
      <c r="K35" s="25">
        <v>3199</v>
      </c>
      <c r="L35" s="42">
        <v>7</v>
      </c>
      <c r="M35" s="16">
        <v>539</v>
      </c>
    </row>
    <row r="36" spans="2:18" ht="15.75">
      <c r="E36" s="18">
        <v>3077</v>
      </c>
      <c r="F36" s="25" t="s">
        <v>127</v>
      </c>
      <c r="G36" s="26" t="s">
        <v>7</v>
      </c>
      <c r="H36" s="8">
        <v>96.6</v>
      </c>
      <c r="I36" s="8" t="s">
        <v>49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E4" sqref="E4:I4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45252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10" zoomScale="80" zoomScaleNormal="80" workbookViewId="0">
      <selection activeCell="B29" sqref="B2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45253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3205</v>
      </c>
      <c r="L15" s="9" t="s">
        <v>26</v>
      </c>
      <c r="M15" s="16" t="s">
        <v>27</v>
      </c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250</v>
      </c>
      <c r="D16" s="2"/>
      <c r="E16" s="18"/>
      <c r="F16" s="25"/>
      <c r="G16" s="26"/>
      <c r="H16" s="8"/>
      <c r="I16" s="8"/>
      <c r="J16" s="2"/>
      <c r="K16" s="25">
        <v>3202</v>
      </c>
      <c r="L16" s="9" t="s">
        <v>128</v>
      </c>
      <c r="M16" s="16" t="s">
        <v>27</v>
      </c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2618</v>
      </c>
      <c r="F35" s="25" t="s">
        <v>129</v>
      </c>
      <c r="G35" s="26" t="s">
        <v>10</v>
      </c>
      <c r="H35" s="8">
        <v>250</v>
      </c>
      <c r="I35" s="8" t="s">
        <v>130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B23" sqref="B2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45254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350</v>
      </c>
      <c r="D6" s="2"/>
      <c r="E6" s="18">
        <v>3238</v>
      </c>
      <c r="F6" s="25" t="s">
        <v>131</v>
      </c>
      <c r="G6" s="26" t="s">
        <v>28</v>
      </c>
      <c r="H6" s="8" t="s">
        <v>28</v>
      </c>
      <c r="I6" s="8">
        <v>0</v>
      </c>
      <c r="J6" s="2"/>
      <c r="K6" s="25"/>
      <c r="L6" s="9"/>
      <c r="M6" s="16"/>
      <c r="R6" s="1">
        <f>IF(vend24[[#This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3239</v>
      </c>
      <c r="F7" s="25" t="s">
        <v>131</v>
      </c>
      <c r="G7" s="26" t="s">
        <v>28</v>
      </c>
      <c r="H7" s="8" t="s">
        <v>28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75">
      <c r="B8" s="28" t="s">
        <v>21</v>
      </c>
      <c r="C8" s="29">
        <f>SUM(C6:C7)</f>
        <v>350</v>
      </c>
      <c r="D8" s="2"/>
      <c r="E8" s="18">
        <v>3240</v>
      </c>
      <c r="F8" s="25" t="s">
        <v>132</v>
      </c>
      <c r="G8" s="26" t="s">
        <v>9</v>
      </c>
      <c r="H8" s="8">
        <v>350</v>
      </c>
      <c r="I8" s="8">
        <v>350</v>
      </c>
      <c r="J8" s="2"/>
      <c r="K8" s="25"/>
      <c r="L8" s="9"/>
      <c r="M8" s="16"/>
      <c r="R8" s="1">
        <f>IF(vend24[[#This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3234</v>
      </c>
      <c r="L15" s="9" t="s">
        <v>133</v>
      </c>
      <c r="M15" s="16" t="s">
        <v>27</v>
      </c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>
        <v>3184</v>
      </c>
      <c r="L16" s="9" t="s">
        <v>29</v>
      </c>
      <c r="M16" s="16" t="s">
        <v>27</v>
      </c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W41"/>
  <sheetViews>
    <sheetView showGridLines="0" zoomScale="80" zoomScaleNormal="80" workbookViewId="0">
      <selection activeCell="B28" sqref="B2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45255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3630.5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2580.5</v>
      </c>
      <c r="D6" s="2"/>
      <c r="E6" s="18">
        <v>3241</v>
      </c>
      <c r="F6" s="25" t="s">
        <v>134</v>
      </c>
      <c r="G6" s="26" t="s">
        <v>9</v>
      </c>
      <c r="H6" s="8">
        <v>469.5</v>
      </c>
      <c r="I6" s="8">
        <v>469.5</v>
      </c>
      <c r="J6" s="2"/>
      <c r="K6" s="25"/>
      <c r="L6" s="9"/>
      <c r="M6" s="16"/>
      <c r="R6" s="1">
        <f>IF(vend25[[#This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3242</v>
      </c>
      <c r="F7" s="25" t="s">
        <v>135</v>
      </c>
      <c r="G7" s="26" t="s">
        <v>9</v>
      </c>
      <c r="H7" s="8">
        <v>490</v>
      </c>
      <c r="I7" s="8">
        <v>490</v>
      </c>
      <c r="J7" s="2"/>
      <c r="K7" s="25"/>
      <c r="L7" s="9"/>
      <c r="M7" s="16"/>
      <c r="R7" s="1">
        <f>IF(vend25[[#This Row],[Nº Venda]]&gt;1,1,0)</f>
        <v>1</v>
      </c>
    </row>
    <row r="8" spans="2:18" ht="15.75">
      <c r="B8" s="28" t="s">
        <v>21</v>
      </c>
      <c r="C8" s="29">
        <f>SUM(C6:C7)</f>
        <v>2580.5</v>
      </c>
      <c r="D8" s="2"/>
      <c r="E8" s="18">
        <v>3243</v>
      </c>
      <c r="F8" s="25" t="s">
        <v>136</v>
      </c>
      <c r="G8" s="26" t="s">
        <v>9</v>
      </c>
      <c r="H8" s="8">
        <v>490</v>
      </c>
      <c r="I8" s="8">
        <v>490</v>
      </c>
      <c r="J8" s="2"/>
      <c r="K8" s="25"/>
      <c r="L8" s="9"/>
      <c r="M8" s="16"/>
      <c r="R8" s="1">
        <f>IF(vend25[[#This Row],[Nº Venda]]&gt;1,1,0)</f>
        <v>1</v>
      </c>
    </row>
    <row r="9" spans="2:18" ht="15.75">
      <c r="B9" s="2"/>
      <c r="C9" s="2"/>
      <c r="D9" s="2"/>
      <c r="E9" s="18">
        <v>3244</v>
      </c>
      <c r="F9" s="25" t="s">
        <v>137</v>
      </c>
      <c r="G9" s="26" t="s">
        <v>9</v>
      </c>
      <c r="H9" s="8">
        <v>250</v>
      </c>
      <c r="I9" s="8">
        <v>250</v>
      </c>
      <c r="J9" s="2"/>
      <c r="K9" s="25"/>
      <c r="L9" s="9"/>
      <c r="M9" s="16"/>
      <c r="R9" s="1">
        <f>IF(vend25[[#This Row],[Nº Venda]]&gt;1,1,0)</f>
        <v>1</v>
      </c>
    </row>
    <row r="10" spans="2:18" ht="15.75">
      <c r="B10" s="72" t="s">
        <v>5</v>
      </c>
      <c r="C10" s="72"/>
      <c r="D10" s="2"/>
      <c r="E10" s="18">
        <v>3245</v>
      </c>
      <c r="F10" s="25" t="s">
        <v>138</v>
      </c>
      <c r="G10" s="26" t="s">
        <v>8</v>
      </c>
      <c r="H10" s="8">
        <v>320</v>
      </c>
      <c r="I10" s="8">
        <v>160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160</v>
      </c>
      <c r="D11" s="2"/>
      <c r="E11" s="18">
        <v>3245</v>
      </c>
      <c r="F11" s="25" t="s">
        <v>138</v>
      </c>
      <c r="G11" s="26" t="s">
        <v>6</v>
      </c>
      <c r="H11" s="8">
        <v>0</v>
      </c>
      <c r="I11" s="8">
        <v>160</v>
      </c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12</v>
      </c>
      <c r="D12" s="2"/>
      <c r="E12" s="18">
        <v>3246</v>
      </c>
      <c r="F12" s="25" t="s">
        <v>139</v>
      </c>
      <c r="G12" s="26" t="s">
        <v>10</v>
      </c>
      <c r="H12" s="8">
        <v>1599</v>
      </c>
      <c r="I12" s="8">
        <v>10</v>
      </c>
      <c r="J12" s="2"/>
      <c r="R12" s="1">
        <f>IF(vend25[[#This Row],[Nº Venda]]&gt;1,1,0)</f>
        <v>1</v>
      </c>
    </row>
    <row r="13" spans="2:18" ht="15.75">
      <c r="B13" s="30" t="s">
        <v>8</v>
      </c>
      <c r="C13" s="31">
        <f t="shared" si="0"/>
        <v>160</v>
      </c>
      <c r="D13" s="2"/>
      <c r="E13" s="18">
        <v>3247</v>
      </c>
      <c r="F13" s="25" t="s">
        <v>140</v>
      </c>
      <c r="G13" s="26" t="s">
        <v>7</v>
      </c>
      <c r="H13" s="8">
        <v>12</v>
      </c>
      <c r="I13" s="8">
        <v>12</v>
      </c>
      <c r="J13" s="2"/>
      <c r="K13" s="74" t="s">
        <v>22</v>
      </c>
      <c r="L13" s="75"/>
      <c r="M13" s="76"/>
      <c r="R13" s="1">
        <f>IF(vend25[[#This Row],[Nº Venda]]&gt;1,1,0)</f>
        <v>1</v>
      </c>
    </row>
    <row r="14" spans="2:18" ht="15.75">
      <c r="B14" s="30" t="s">
        <v>9</v>
      </c>
      <c r="C14" s="31">
        <f t="shared" si="0"/>
        <v>2238.5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>
        <v>3168</v>
      </c>
      <c r="L15" s="9" t="s">
        <v>26</v>
      </c>
      <c r="M15" s="16" t="s">
        <v>27</v>
      </c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2580.5</v>
      </c>
      <c r="D16" s="2"/>
      <c r="E16" s="18"/>
      <c r="F16" s="25"/>
      <c r="G16" s="26"/>
      <c r="H16" s="8"/>
      <c r="I16" s="8"/>
      <c r="J16" s="2"/>
      <c r="K16" s="25">
        <v>3216</v>
      </c>
      <c r="L16" s="9" t="s">
        <v>26</v>
      </c>
      <c r="M16" s="16" t="s">
        <v>27</v>
      </c>
      <c r="R16" s="1">
        <f>IF(vend25[[#This Row],[Nº Venda]]&gt;1,1,0)</f>
        <v>0</v>
      </c>
    </row>
    <row r="17" spans="2:23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3227</v>
      </c>
      <c r="L17" s="9" t="s">
        <v>29</v>
      </c>
      <c r="M17" s="16" t="s">
        <v>27</v>
      </c>
      <c r="R17" s="1">
        <f>IF(vend25[[#This Row],[Nº Venda]]&gt;1,1,0)</f>
        <v>0</v>
      </c>
      <c r="W17" s="1" t="s">
        <v>107</v>
      </c>
    </row>
    <row r="18" spans="2:23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3228</v>
      </c>
      <c r="L18" s="9" t="s">
        <v>29</v>
      </c>
      <c r="M18" s="16" t="s">
        <v>27</v>
      </c>
      <c r="R18" s="1">
        <f>IF(vend25[[#This Row],[Nº Venda]]&gt;1,1,0)</f>
        <v>0</v>
      </c>
    </row>
    <row r="19" spans="2:23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>
        <v>3247</v>
      </c>
      <c r="L19" s="9" t="s">
        <v>29</v>
      </c>
      <c r="M19" s="16" t="s">
        <v>27</v>
      </c>
      <c r="R19" s="1">
        <f>IF(vend25[[#This Row],[Nº Venda]]&gt;1,1,0)</f>
        <v>0</v>
      </c>
    </row>
    <row r="20" spans="2:23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23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3" ht="15.75">
      <c r="B22" s="28" t="s">
        <v>30</v>
      </c>
      <c r="C22" s="32">
        <f>C5</f>
        <v>3630.5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3" ht="15">
      <c r="B23" s="2"/>
      <c r="C23" s="2"/>
      <c r="D23" s="2"/>
      <c r="E23" s="33"/>
      <c r="H23" s="7"/>
      <c r="J23" s="2"/>
      <c r="K23" s="25"/>
      <c r="L23" s="9"/>
      <c r="M23" s="16"/>
    </row>
    <row r="24" spans="2:23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23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3" ht="15.75">
      <c r="B26" s="2"/>
      <c r="C26" s="2"/>
      <c r="D26" s="2"/>
      <c r="E26" s="18">
        <v>3168</v>
      </c>
      <c r="F26" s="25" t="s">
        <v>141</v>
      </c>
      <c r="G26" s="26" t="s">
        <v>9</v>
      </c>
      <c r="H26" s="8"/>
      <c r="I26" s="8">
        <v>539</v>
      </c>
      <c r="J26" s="2"/>
      <c r="K26" s="25"/>
      <c r="L26" s="9"/>
      <c r="M26" s="16"/>
    </row>
    <row r="27" spans="2:23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3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3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3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3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3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8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45256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>
        <v>24</v>
      </c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G18" sqref="G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45257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987.8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298.8</v>
      </c>
      <c r="D6" s="2"/>
      <c r="E6" s="18">
        <v>3248</v>
      </c>
      <c r="F6" s="25" t="s">
        <v>142</v>
      </c>
      <c r="G6" s="26" t="s">
        <v>6</v>
      </c>
      <c r="H6" s="8">
        <v>699</v>
      </c>
      <c r="I6" s="8">
        <v>10</v>
      </c>
      <c r="J6" s="2"/>
      <c r="K6" s="25"/>
      <c r="L6" s="9"/>
      <c r="M6" s="16"/>
      <c r="R6" s="1">
        <f>IF(vend27[[#This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3249</v>
      </c>
      <c r="F7" s="25" t="s">
        <v>143</v>
      </c>
      <c r="G7" s="26" t="s">
        <v>7</v>
      </c>
      <c r="H7" s="8">
        <v>39.799999999999997</v>
      </c>
      <c r="I7" s="8">
        <v>39.799999999999997</v>
      </c>
      <c r="J7" s="2"/>
      <c r="K7" s="25"/>
      <c r="L7" s="9"/>
      <c r="M7" s="16"/>
      <c r="R7" s="1">
        <f>IF(vend27[[#This Row],[Nº Venda]]&gt;1,1,0)</f>
        <v>1</v>
      </c>
    </row>
    <row r="8" spans="2:18" ht="15.75">
      <c r="B8" s="28" t="s">
        <v>21</v>
      </c>
      <c r="C8" s="29">
        <f>SUM(C6:C7)</f>
        <v>298.8</v>
      </c>
      <c r="D8" s="2"/>
      <c r="E8" s="18">
        <v>3250</v>
      </c>
      <c r="F8" s="25" t="s">
        <v>144</v>
      </c>
      <c r="G8" s="26" t="s">
        <v>9</v>
      </c>
      <c r="H8" s="8">
        <v>249</v>
      </c>
      <c r="I8" s="8">
        <v>249</v>
      </c>
      <c r="J8" s="2"/>
      <c r="K8" s="25"/>
      <c r="L8" s="9"/>
      <c r="M8" s="16"/>
      <c r="R8" s="1">
        <f>IF(vend27[[#This Row],[Nº Venda]]&gt;1,1,0)</f>
        <v>1</v>
      </c>
    </row>
    <row r="9" spans="2:18" ht="15.75">
      <c r="B9" s="2"/>
      <c r="C9" s="2"/>
      <c r="D9" s="2"/>
      <c r="E9" s="18">
        <v>3251</v>
      </c>
      <c r="F9" s="25" t="s">
        <v>145</v>
      </c>
      <c r="G9" s="26" t="s">
        <v>28</v>
      </c>
      <c r="H9" s="8">
        <v>0</v>
      </c>
      <c r="I9" s="8">
        <v>0</v>
      </c>
      <c r="J9" s="2"/>
      <c r="K9" s="25"/>
      <c r="L9" s="9"/>
      <c r="M9" s="16"/>
      <c r="R9" s="1">
        <f>IF(vend27[[#This Row],[Nº Venda]]&gt;1,1,0)</f>
        <v>1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39.799999999999997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249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3249</v>
      </c>
      <c r="L15" s="9" t="s">
        <v>29</v>
      </c>
      <c r="M15" s="16" t="s">
        <v>27</v>
      </c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298.8</v>
      </c>
      <c r="D16" s="2"/>
      <c r="E16" s="18"/>
      <c r="F16" s="25"/>
      <c r="G16" s="26"/>
      <c r="H16" s="8"/>
      <c r="I16" s="8"/>
      <c r="J16" s="2"/>
      <c r="K16" s="25">
        <v>3224</v>
      </c>
      <c r="L16" s="9" t="s">
        <v>26</v>
      </c>
      <c r="M16" s="16" t="s">
        <v>27</v>
      </c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3219</v>
      </c>
      <c r="L17" s="9" t="s">
        <v>26</v>
      </c>
      <c r="M17" s="16" t="s">
        <v>27</v>
      </c>
      <c r="R17" s="1">
        <f>IF(vend27[[#This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987.8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F20" sqref="F20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45258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49.9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49.9</v>
      </c>
      <c r="D6" s="2"/>
      <c r="E6" s="18">
        <v>3252</v>
      </c>
      <c r="F6" s="25" t="s">
        <v>146</v>
      </c>
      <c r="G6" s="26" t="s">
        <v>7</v>
      </c>
      <c r="H6" s="8">
        <v>49.9</v>
      </c>
      <c r="I6" s="8">
        <v>49.9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>
      <c r="B8" s="28" t="s">
        <v>21</v>
      </c>
      <c r="C8" s="29">
        <f>SUM(C6:C7)</f>
        <v>49.9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123.69999999999999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123.69999999999999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49.9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3118</v>
      </c>
      <c r="F35" s="25" t="s">
        <v>147</v>
      </c>
      <c r="G35" s="26" t="s">
        <v>7</v>
      </c>
      <c r="H35" s="8">
        <v>73.8</v>
      </c>
      <c r="I35" s="8" t="s">
        <v>148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>
      <c r="B1" s="68">
        <f>'28'!B1+1</f>
        <v>45259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768.9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329.9</v>
      </c>
      <c r="D6" s="2"/>
      <c r="E6" s="18">
        <v>3253</v>
      </c>
      <c r="F6" s="25" t="s">
        <v>149</v>
      </c>
      <c r="G6" s="26" t="s">
        <v>6</v>
      </c>
      <c r="H6" s="8">
        <v>269.89999999999998</v>
      </c>
      <c r="I6" s="8">
        <v>90</v>
      </c>
      <c r="J6" s="2"/>
      <c r="K6" s="25"/>
      <c r="L6" s="9"/>
      <c r="M6" s="16"/>
      <c r="R6" s="1">
        <f>IF(vend29[[#This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3253</v>
      </c>
      <c r="F7" s="25" t="s">
        <v>149</v>
      </c>
      <c r="G7" s="26" t="s">
        <v>9</v>
      </c>
      <c r="H7" s="8">
        <v>0</v>
      </c>
      <c r="I7" s="8">
        <v>139.9</v>
      </c>
      <c r="J7" s="2"/>
      <c r="K7" s="25"/>
      <c r="L7" s="9"/>
      <c r="M7" s="16"/>
      <c r="R7" s="1">
        <f>IF(vend29[[#This Row],[Nº Venda]]&gt;1,1,0)</f>
        <v>1</v>
      </c>
    </row>
    <row r="8" spans="2:18" ht="15.75">
      <c r="B8" s="28" t="s">
        <v>21</v>
      </c>
      <c r="C8" s="29">
        <f>SUM(C6:C7)</f>
        <v>329.9</v>
      </c>
      <c r="D8" s="2"/>
      <c r="E8" s="18">
        <v>3254</v>
      </c>
      <c r="F8" s="25" t="s">
        <v>71</v>
      </c>
      <c r="G8" s="26" t="s">
        <v>28</v>
      </c>
      <c r="H8" s="8">
        <v>0</v>
      </c>
      <c r="I8" s="8">
        <v>0</v>
      </c>
      <c r="J8" s="2"/>
      <c r="K8" s="25"/>
      <c r="L8" s="9"/>
      <c r="M8" s="16"/>
      <c r="R8" s="1">
        <f>IF(vend29[[#This Row],[Nº Venda]]&gt;1,1,0)</f>
        <v>1</v>
      </c>
    </row>
    <row r="9" spans="2:18" ht="15.75">
      <c r="B9" s="2"/>
      <c r="C9" s="2"/>
      <c r="D9" s="2"/>
      <c r="E9" s="18">
        <v>3255</v>
      </c>
      <c r="F9" s="25" t="s">
        <v>150</v>
      </c>
      <c r="G9" s="26" t="s">
        <v>7</v>
      </c>
      <c r="H9" s="8">
        <v>499</v>
      </c>
      <c r="I9" s="8">
        <v>100</v>
      </c>
      <c r="J9" s="2"/>
      <c r="K9" s="25"/>
      <c r="L9" s="9"/>
      <c r="M9" s="16"/>
      <c r="R9" s="1">
        <f>IF(vend29[[#This Row],[Nº Venda]]&gt;1,1,0)</f>
        <v>1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139.9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>
        <v>3236</v>
      </c>
      <c r="L15" s="71" t="s">
        <v>151</v>
      </c>
      <c r="M15" s="67" t="s">
        <v>27</v>
      </c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329.9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768.9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L26" sqref="L2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45260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682.9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523.9</v>
      </c>
      <c r="D6" s="2"/>
      <c r="E6" s="18">
        <v>3256</v>
      </c>
      <c r="F6" s="25" t="s">
        <v>152</v>
      </c>
      <c r="G6" s="26" t="s">
        <v>10</v>
      </c>
      <c r="H6" s="8">
        <v>299</v>
      </c>
      <c r="I6" s="8">
        <v>100</v>
      </c>
      <c r="J6" s="2"/>
      <c r="K6" s="25"/>
      <c r="L6" s="9"/>
      <c r="M6" s="16"/>
      <c r="R6" s="1">
        <f>IF(vend30[[#This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3257</v>
      </c>
      <c r="F7" s="25" t="s">
        <v>153</v>
      </c>
      <c r="G7" s="26" t="s">
        <v>7</v>
      </c>
      <c r="H7" s="8">
        <v>99</v>
      </c>
      <c r="I7" s="8">
        <v>99</v>
      </c>
      <c r="J7" s="2"/>
      <c r="K7" s="25"/>
      <c r="L7" s="9"/>
      <c r="M7" s="16"/>
      <c r="R7" s="1">
        <f>IF(vend30[[#This Row],[Nº Venda]]&gt;1,1,0)</f>
        <v>1</v>
      </c>
    </row>
    <row r="8" spans="2:18" ht="15.75">
      <c r="B8" s="28" t="s">
        <v>21</v>
      </c>
      <c r="C8" s="29">
        <f>SUM(C6:C7)</f>
        <v>523.9</v>
      </c>
      <c r="D8" s="2"/>
      <c r="E8" s="18">
        <v>3258</v>
      </c>
      <c r="F8" s="25" t="s">
        <v>154</v>
      </c>
      <c r="G8" s="26" t="s">
        <v>9</v>
      </c>
      <c r="H8" s="8">
        <v>49.9</v>
      </c>
      <c r="I8" s="8">
        <v>49.9</v>
      </c>
      <c r="J8" s="2"/>
      <c r="K8" s="25"/>
      <c r="L8" s="9"/>
      <c r="M8" s="16"/>
      <c r="R8" s="1">
        <f>IF(vend30[[#This Row],[Nº Venda]]&gt;1,1,0)</f>
        <v>1</v>
      </c>
    </row>
    <row r="9" spans="2:18" ht="15.75">
      <c r="B9" s="2"/>
      <c r="C9" s="2"/>
      <c r="D9" s="2"/>
      <c r="E9" s="18">
        <v>3259</v>
      </c>
      <c r="F9" s="25" t="s">
        <v>155</v>
      </c>
      <c r="G9" s="26" t="s">
        <v>8</v>
      </c>
      <c r="H9" s="8">
        <v>145</v>
      </c>
      <c r="I9" s="8">
        <v>145</v>
      </c>
      <c r="J9" s="2"/>
      <c r="K9" s="25"/>
      <c r="L9" s="9"/>
      <c r="M9" s="16"/>
      <c r="R9" s="1">
        <f>IF(vend30[[#This Row],[Nº Venda]]&gt;1,1,0)</f>
        <v>1</v>
      </c>
    </row>
    <row r="10" spans="2:18" ht="15.75">
      <c r="B10" s="72" t="s">
        <v>5</v>
      </c>
      <c r="C10" s="72"/>
      <c r="D10" s="2"/>
      <c r="E10" s="18">
        <v>3260</v>
      </c>
      <c r="F10" s="25" t="s">
        <v>156</v>
      </c>
      <c r="G10" s="26" t="s">
        <v>7</v>
      </c>
      <c r="H10" s="8">
        <v>90</v>
      </c>
      <c r="I10" s="8">
        <v>90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189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145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89.9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182</v>
      </c>
      <c r="D15" s="2"/>
      <c r="E15" s="18"/>
      <c r="F15" s="25"/>
      <c r="G15" s="26"/>
      <c r="H15" s="8"/>
      <c r="I15" s="8"/>
      <c r="J15" s="2"/>
      <c r="K15" s="25">
        <v>3236</v>
      </c>
      <c r="L15" s="9" t="s">
        <v>29</v>
      </c>
      <c r="M15" s="16" t="s">
        <v>27</v>
      </c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605.9</v>
      </c>
      <c r="D16" s="2"/>
      <c r="E16" s="18"/>
      <c r="F16" s="25"/>
      <c r="G16" s="26"/>
      <c r="H16" s="8"/>
      <c r="I16" s="8"/>
      <c r="J16" s="2"/>
      <c r="K16" s="25">
        <v>3231</v>
      </c>
      <c r="L16" s="9" t="s">
        <v>26</v>
      </c>
      <c r="M16" s="16" t="s">
        <v>27</v>
      </c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3258</v>
      </c>
      <c r="L17" s="9" t="s">
        <v>26</v>
      </c>
      <c r="M17" s="16" t="s">
        <v>27</v>
      </c>
      <c r="R17" s="1">
        <f>IF(vend30[[#This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>
        <v>3229</v>
      </c>
      <c r="L18" s="9" t="s">
        <v>29</v>
      </c>
      <c r="M18" s="16" t="s">
        <v>27</v>
      </c>
      <c r="R18" s="1">
        <f>IF(vend30[[#This Row],[Nº Venda]]&gt;1,1,0)</f>
        <v>0</v>
      </c>
    </row>
    <row r="19" spans="2:18" ht="15.7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682.9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3253</v>
      </c>
      <c r="F26" s="25" t="s">
        <v>149</v>
      </c>
      <c r="G26" s="26" t="s">
        <v>9</v>
      </c>
      <c r="H26" s="8"/>
      <c r="I26" s="8">
        <v>40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>
        <v>2418</v>
      </c>
      <c r="F35" s="25" t="s">
        <v>157</v>
      </c>
      <c r="G35" s="26" t="s">
        <v>10</v>
      </c>
      <c r="H35" s="8">
        <v>82</v>
      </c>
      <c r="I35" s="8" t="s">
        <v>158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C15" sqref="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45261</v>
      </c>
    </row>
    <row r="2" spans="2:18" ht="18.75">
      <c r="B2" s="77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80" t="s">
        <v>1</v>
      </c>
      <c r="F4" s="80"/>
      <c r="G4" s="80"/>
      <c r="H4" s="80"/>
      <c r="I4" s="80"/>
      <c r="J4" s="22"/>
      <c r="K4" s="74" t="s">
        <v>3</v>
      </c>
      <c r="L4" s="75"/>
      <c r="M4" s="76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72" t="s">
        <v>5</v>
      </c>
      <c r="C10" s="7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4" t="s">
        <v>22</v>
      </c>
      <c r="L13" s="75"/>
      <c r="M13" s="76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72" t="s">
        <v>12</v>
      </c>
      <c r="C18" s="7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3" t="s">
        <v>31</v>
      </c>
      <c r="F24" s="73"/>
      <c r="G24" s="73"/>
      <c r="H24" s="73"/>
      <c r="I24" s="73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3" t="s">
        <v>37</v>
      </c>
      <c r="F33" s="73"/>
      <c r="G33" s="73"/>
      <c r="H33" s="73"/>
      <c r="I33" s="73"/>
      <c r="K33" s="74" t="s">
        <v>12</v>
      </c>
      <c r="L33" s="75"/>
      <c r="M33" s="76"/>
    </row>
    <row r="34" spans="2:18" ht="15">
      <c r="E34" s="10" t="s">
        <v>23</v>
      </c>
      <c r="F34" s="10" t="s">
        <v>15</v>
      </c>
      <c r="G34" s="11" t="s">
        <v>16</v>
      </c>
      <c r="H34" s="12" t="s">
        <v>38</v>
      </c>
      <c r="I34" s="13" t="s">
        <v>39</v>
      </c>
      <c r="K34" s="14" t="s">
        <v>23</v>
      </c>
      <c r="L34" s="6" t="s">
        <v>40</v>
      </c>
      <c r="M34" s="15" t="s">
        <v>41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46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159</v>
      </c>
      <c r="B1" s="38" t="s">
        <v>160</v>
      </c>
      <c r="E1" s="38" t="s">
        <v>161</v>
      </c>
    </row>
    <row r="2" spans="1:5">
      <c r="A2" s="38" t="s">
        <v>6</v>
      </c>
      <c r="B2" s="38" t="s">
        <v>162</v>
      </c>
      <c r="E2" t="s">
        <v>163</v>
      </c>
    </row>
    <row r="3" spans="1:5">
      <c r="A3" s="38" t="s">
        <v>7</v>
      </c>
      <c r="B3" s="38" t="s">
        <v>164</v>
      </c>
      <c r="E3" t="s">
        <v>165</v>
      </c>
    </row>
    <row r="4" spans="1:5">
      <c r="A4" s="38" t="s">
        <v>8</v>
      </c>
      <c r="B4" s="38" t="s">
        <v>166</v>
      </c>
      <c r="E4" t="s">
        <v>167</v>
      </c>
    </row>
    <row r="5" spans="1:5">
      <c r="A5" s="38" t="s">
        <v>9</v>
      </c>
      <c r="B5" s="38" t="s">
        <v>168</v>
      </c>
      <c r="E5" t="s">
        <v>97</v>
      </c>
    </row>
    <row r="6" spans="1:5">
      <c r="A6" s="38" t="s">
        <v>10</v>
      </c>
      <c r="B6" s="38" t="s">
        <v>10</v>
      </c>
      <c r="E6" t="s">
        <v>49</v>
      </c>
    </row>
    <row r="7" spans="1:5">
      <c r="A7" s="38" t="s">
        <v>169</v>
      </c>
      <c r="B7" s="38" t="s">
        <v>170</v>
      </c>
      <c r="E7" t="s">
        <v>171</v>
      </c>
    </row>
    <row r="8" spans="1:5">
      <c r="A8" t="s">
        <v>25</v>
      </c>
      <c r="B8" t="s">
        <v>172</v>
      </c>
      <c r="E8" t="s">
        <v>173</v>
      </c>
    </row>
    <row r="9" spans="1:5">
      <c r="A9" s="38" t="s">
        <v>28</v>
      </c>
      <c r="B9" s="38" t="s">
        <v>174</v>
      </c>
      <c r="E9" t="s">
        <v>175</v>
      </c>
    </row>
    <row r="10" spans="1:5">
      <c r="E10" t="s">
        <v>64</v>
      </c>
    </row>
    <row r="11" spans="1:5">
      <c r="E11" t="s">
        <v>130</v>
      </c>
    </row>
    <row r="12" spans="1:5">
      <c r="E12" t="s">
        <v>148</v>
      </c>
    </row>
    <row r="13" spans="1:5">
      <c r="E13" t="s">
        <v>43</v>
      </c>
    </row>
    <row r="14" spans="1:5">
      <c r="E14" t="s">
        <v>62</v>
      </c>
    </row>
    <row r="15" spans="1:5">
      <c r="E15" t="s">
        <v>45</v>
      </c>
    </row>
    <row r="16" spans="1:5">
      <c r="E16" t="s">
        <v>105</v>
      </c>
    </row>
    <row r="17" spans="5:5">
      <c r="E17" t="s">
        <v>91</v>
      </c>
    </row>
    <row r="18" spans="5:5">
      <c r="E18" t="s">
        <v>176</v>
      </c>
    </row>
    <row r="19" spans="5:5">
      <c r="E19" t="s">
        <v>177</v>
      </c>
    </row>
    <row r="20" spans="5:5">
      <c r="E20" t="s">
        <v>112</v>
      </c>
    </row>
    <row r="21" spans="5:5">
      <c r="E21" t="s">
        <v>178</v>
      </c>
    </row>
    <row r="22" spans="5:5">
      <c r="E22" t="s">
        <v>179</v>
      </c>
    </row>
    <row r="23" spans="5:5">
      <c r="E23" t="s">
        <v>180</v>
      </c>
    </row>
    <row r="24" spans="5:5">
      <c r="E24" t="s">
        <v>181</v>
      </c>
    </row>
    <row r="25" spans="5:5">
      <c r="E25" t="s">
        <v>182</v>
      </c>
    </row>
    <row r="26" spans="5:5">
      <c r="E26" t="s">
        <v>183</v>
      </c>
    </row>
    <row r="27" spans="5:5">
      <c r="E27" t="s">
        <v>184</v>
      </c>
    </row>
    <row r="28" spans="5:5">
      <c r="E28" t="s">
        <v>185</v>
      </c>
    </row>
    <row r="29" spans="5:5">
      <c r="E29" t="s">
        <v>186</v>
      </c>
    </row>
    <row r="30" spans="5:5">
      <c r="E30" t="s">
        <v>187</v>
      </c>
    </row>
    <row r="31" spans="5:5">
      <c r="E31" t="s">
        <v>188</v>
      </c>
    </row>
    <row r="32" spans="5:5">
      <c r="E32" t="s">
        <v>189</v>
      </c>
    </row>
    <row r="33" spans="5:5">
      <c r="E33" t="s">
        <v>190</v>
      </c>
    </row>
    <row r="34" spans="5:5">
      <c r="E34" t="s">
        <v>78</v>
      </c>
    </row>
    <row r="35" spans="5:5">
      <c r="E35" t="s">
        <v>51</v>
      </c>
    </row>
    <row r="36" spans="5:5">
      <c r="E36" t="s">
        <v>80</v>
      </c>
    </row>
    <row r="37" spans="5:5">
      <c r="E37" t="s">
        <v>158</v>
      </c>
    </row>
    <row r="38" spans="5:5">
      <c r="E38" t="s">
        <v>191</v>
      </c>
    </row>
    <row r="39" spans="5:5">
      <c r="E39" t="s">
        <v>192</v>
      </c>
    </row>
    <row r="40" spans="5:5">
      <c r="E40" t="s">
        <v>193</v>
      </c>
    </row>
    <row r="41" spans="5:5">
      <c r="E41" t="s">
        <v>194</v>
      </c>
    </row>
    <row r="42" spans="5:5">
      <c r="E42" t="s">
        <v>195</v>
      </c>
    </row>
    <row r="43" spans="5:5">
      <c r="E43" t="s">
        <v>196</v>
      </c>
    </row>
    <row r="44" spans="5:5">
      <c r="E44" t="s">
        <v>197</v>
      </c>
    </row>
    <row r="45" spans="5:5">
      <c r="E45" t="s">
        <v>198</v>
      </c>
    </row>
    <row r="46" spans="5:5">
      <c r="E46" t="s">
        <v>199</v>
      </c>
    </row>
    <row r="47" spans="5:5">
      <c r="E47" t="s">
        <v>200</v>
      </c>
    </row>
    <row r="48" spans="5:5">
      <c r="E48" t="s">
        <v>201</v>
      </c>
    </row>
    <row r="49" spans="5:5">
      <c r="E49" t="s">
        <v>202</v>
      </c>
    </row>
    <row r="50" spans="5:5">
      <c r="E50" t="s">
        <v>203</v>
      </c>
    </row>
    <row r="51" spans="5:5">
      <c r="E51" t="s">
        <v>204</v>
      </c>
    </row>
    <row r="52" spans="5:5">
      <c r="E52" t="s">
        <v>126</v>
      </c>
    </row>
    <row r="53" spans="5:5">
      <c r="E53" t="s">
        <v>122</v>
      </c>
    </row>
    <row r="54" spans="5:5">
      <c r="E54" t="s">
        <v>73</v>
      </c>
    </row>
    <row r="55" spans="5:5">
      <c r="E55" t="s">
        <v>205</v>
      </c>
    </row>
    <row r="56" spans="5:5">
      <c r="E56" t="s">
        <v>206</v>
      </c>
    </row>
    <row r="57" spans="5:5">
      <c r="E57" t="s">
        <v>207</v>
      </c>
    </row>
    <row r="58" spans="5:5">
      <c r="E58" t="s">
        <v>208</v>
      </c>
    </row>
    <row r="59" spans="5:5">
      <c r="E59" t="s">
        <v>209</v>
      </c>
    </row>
    <row r="60" spans="5:5">
      <c r="E60" t="s">
        <v>210</v>
      </c>
    </row>
    <row r="61" spans="5:5">
      <c r="E61" t="s">
        <v>211</v>
      </c>
    </row>
    <row r="62" spans="5:5">
      <c r="E62" t="s">
        <v>212</v>
      </c>
    </row>
    <row r="63" spans="5:5">
      <c r="E63" t="s">
        <v>213</v>
      </c>
    </row>
    <row r="64" spans="5:5">
      <c r="E64" t="s">
        <v>214</v>
      </c>
    </row>
    <row r="65" spans="5:5">
      <c r="E65" t="s">
        <v>215</v>
      </c>
    </row>
    <row r="66" spans="5:5">
      <c r="E66" t="s">
        <v>216</v>
      </c>
    </row>
    <row r="67" spans="5:5">
      <c r="E67" t="s">
        <v>217</v>
      </c>
    </row>
    <row r="68" spans="5:5">
      <c r="E68" t="s">
        <v>218</v>
      </c>
    </row>
    <row r="69" spans="5:5">
      <c r="E69" t="s">
        <v>219</v>
      </c>
    </row>
    <row r="70" spans="5:5">
      <c r="E70" t="s">
        <v>220</v>
      </c>
    </row>
    <row r="71" spans="5:5">
      <c r="E71" t="s">
        <v>221</v>
      </c>
    </row>
    <row r="72" spans="5:5">
      <c r="E72" t="s">
        <v>222</v>
      </c>
    </row>
    <row r="73" spans="5:5">
      <c r="E73" t="s">
        <v>223</v>
      </c>
    </row>
    <row r="74" spans="5:5">
      <c r="E74" t="s">
        <v>224</v>
      </c>
    </row>
    <row r="75" spans="5:5">
      <c r="E75" t="s">
        <v>225</v>
      </c>
    </row>
    <row r="76" spans="5:5">
      <c r="E76" t="s">
        <v>226</v>
      </c>
    </row>
    <row r="77" spans="5:5">
      <c r="E77" t="s">
        <v>227</v>
      </c>
    </row>
    <row r="78" spans="5:5">
      <c r="E78" t="s">
        <v>228</v>
      </c>
    </row>
    <row r="79" spans="5:5">
      <c r="E79" t="s">
        <v>229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dcterms:created xsi:type="dcterms:W3CDTF">2004-04-07T20:43:43Z</dcterms:created>
  <dcterms:modified xsi:type="dcterms:W3CDTF">2024-09-21T13:25:43Z</dcterms:modified>
  <cp:category/>
  <cp:contentStatus/>
</cp:coreProperties>
</file>