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1246" documentId="13_ncr:1_{0402BA61-346E-4614-9EF8-32644BD0418E}" xr6:coauthVersionLast="47" xr6:coauthVersionMax="47" xr10:uidLastSave="{57E5B938-6368-4E9E-A5BD-C117BAEDC96A}"/>
  <bookViews>
    <workbookView xWindow="-120" yWindow="-120" windowWidth="20730" windowHeight="1116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1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<sst xmlns="http://schemas.openxmlformats.org/spreadsheetml/2006/main" count="1915" uniqueCount="239">
  <si>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</si>
  <si>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</si>
  <si>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</si>
  <si>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</si>
  <si>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</si>
  <si>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</si>
  <si>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</si>
  <si>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</si>
  <si>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</si>
  <si>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</si>
  <si>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</si>
  <si>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</si>
  <si>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</si>
  <si>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</si>
  <si>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</si>
  <si>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</si>
  <si>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</si>
  <si>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</si>
  <si>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</si>
  <si>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</si>
  <si>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</si>
  <si>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</si>
  <si>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</si>
  <si>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</si>
  <si>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</si>
  <si>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</si>
  <si>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</si>
  <si>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</si>
  <si>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</si>
  <si>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</si>
  <si>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</si>
  <si>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</si>
  <si>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</si>
  <si>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</si>
  <si>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</si>
  <si>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</si>
  <si>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</si>
  <si>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</si>
  <si>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</si>
  <si>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</si>
  <si>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</si>
  <si>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</si>
  <si>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</si>
  <si>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</si>
  <si>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</si>
  <si>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</si>
  <si>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</si>
  <si>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</si>
  <si>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</si>
  <si>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</si>
  <si>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</si>
  <si>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</si>
  <si>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</si>
  <si>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</si>
  <si>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</si>
  <si>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</si>
  <si>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</si>
  <si>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</si>
  <si>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</si>
  <si>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</si>
  <si>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</si>
  <si>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</si>
  <si>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</si>
  <si>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</si>
  <si>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</si>
  <si>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</si>
  <si>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</si>
  <si>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</si>
  <si>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</si>
  <si>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</si>
  <si>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</si>
  <si>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</si>
  <si>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</si>
  <si>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</si>
  <si>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</si>
  <si>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</si>
  <si>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</si>
  <si>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</si>
  <si>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</si>
  <si>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</si>
  <si>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</si>
  <si>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</si>
  <si>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</si>
  <si>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</si>
  <si>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</si>
  <si>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</si>
  <si>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</si>
  <si>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</si>
  <si>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</si>
  <si>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</si>
  <si>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</si>
  <si>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</si>
  <si>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</si>
  <si>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</si>
  <si>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</si>
  <si>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</si>
  <si>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</si>
  <si>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</si>
  <si>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</si>
  <si>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</si>
  <si>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</si>
  <si>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</si>
  <si>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</si>
  <si>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</si>
  <si>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</si>
  <si>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</si>
  <si>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</si>
  <si>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</si>
  <si>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</si>
  <si>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</si>
  <si>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</si>
  <si>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</si>
  <si>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</si>
  <si>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</si>
  <si>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</si>
  <si>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</si>
  <si>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</si>
  <si>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</si>
  <si>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</si>
  <si>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</si>
  <si>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</si>
  <si>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</si>
  <si>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</si>
  <si>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</si>
  <si>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</si>
  <si>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</si>
  <si>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</si>
  <si>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</si>
  <si>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</si>
  <si>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</si>
  <si>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</si>
  <si>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</si>
  <si>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</si>
  <si>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</si>
  <si>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</si>
  <si>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</si>
  <si>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</si>
  <si>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</si>
  <si>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</si>
  <si>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</si>
  <si>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MARINA SANTANA</t>
  </si>
  <si>
    <t>YOLANDA  MONTEIRO</t>
  </si>
  <si>
    <t>LIVIA ROCHA</t>
  </si>
  <si>
    <t xml:space="preserve">MARCOS ANTONIO </t>
  </si>
  <si>
    <t>MARCIA VALSANI</t>
  </si>
  <si>
    <t>ELIANA PELEGRINI</t>
  </si>
  <si>
    <t>SERGIO PUERTA</t>
  </si>
  <si>
    <t xml:space="preserve">EDNALVA  BATISTA </t>
  </si>
  <si>
    <t>BEATRIZ STEIN</t>
  </si>
  <si>
    <t xml:space="preserve">CLEIA STEIN </t>
  </si>
  <si>
    <t>Sim</t>
  </si>
  <si>
    <t>CAMILA OLIVEIRA</t>
  </si>
  <si>
    <t>Não</t>
  </si>
  <si>
    <t>CHISLENE DE C ARVALHO</t>
  </si>
  <si>
    <t>ERICA DOS SANTOS</t>
  </si>
  <si>
    <t>EDNA REGINA</t>
  </si>
  <si>
    <t xml:space="preserve">JOSÉ VICTOR </t>
  </si>
  <si>
    <t>não</t>
  </si>
  <si>
    <t>DIRCE CAMARGO</t>
  </si>
  <si>
    <t>JOSE VICTOR RAMOS</t>
  </si>
  <si>
    <t>JULIO GONÇALVES DE OLIVEIRA</t>
  </si>
  <si>
    <t>NAILSON FERREIRA DOS REIS</t>
  </si>
  <si>
    <t>COMISSÃO ROGERIO</t>
  </si>
  <si>
    <t>DINHEIRO</t>
  </si>
  <si>
    <t>KATIA REGINA DA SILVA</t>
  </si>
  <si>
    <t xml:space="preserve">GENESIO DOS SANTOS </t>
  </si>
  <si>
    <t>ANA MARIA CRUZ</t>
  </si>
  <si>
    <t>JULIA CRUZ</t>
  </si>
  <si>
    <t>SAMIRA DE O.GONÇALVES</t>
  </si>
  <si>
    <t>GABRIELA RAMOS</t>
  </si>
  <si>
    <t>WILSON P. DA SILVA</t>
  </si>
  <si>
    <t xml:space="preserve">FRANCISCO XAVIER DE SOUZA </t>
  </si>
  <si>
    <t>julio gonçalves</t>
  </si>
  <si>
    <t>MIRIAM GUERRA</t>
  </si>
  <si>
    <t>MARIA CRISTINA</t>
  </si>
  <si>
    <t>flavia rodrigues</t>
  </si>
  <si>
    <t>ALBI SHAKIRU</t>
  </si>
  <si>
    <t>LAURA MARIA DE JESUS</t>
  </si>
  <si>
    <t>GLORIA PAULA</t>
  </si>
  <si>
    <t>AILSON SIMÕES DE GODOI</t>
  </si>
  <si>
    <t>DANIELA SANTOS DA SILVA</t>
  </si>
  <si>
    <t>BENEDITA DANTAS</t>
  </si>
  <si>
    <t>JOILDO ARAUJO</t>
  </si>
  <si>
    <t>LUZIA DA SILVA SANTANA</t>
  </si>
  <si>
    <t xml:space="preserve">FRANCISCO DE ASSIS </t>
  </si>
  <si>
    <t>vitor simphronio</t>
  </si>
  <si>
    <t>THAIS SOARES</t>
  </si>
  <si>
    <t>ALIBI SHAKIRU</t>
  </si>
  <si>
    <t>ALINE GOMES</t>
  </si>
  <si>
    <t xml:space="preserve">GERSON ROCHA </t>
  </si>
  <si>
    <t>ALABI SHAKIRU</t>
  </si>
  <si>
    <t>CAMILA GONÇALVES</t>
  </si>
  <si>
    <t xml:space="preserve">MARIA SUELI PAULINO </t>
  </si>
  <si>
    <t>LETICIA P.DE OLIVEIRA</t>
  </si>
  <si>
    <t>ALFREDO CESAR CABRAL</t>
  </si>
  <si>
    <t>Samira de oliveira</t>
  </si>
  <si>
    <t>EDNALVA ALMEIDA</t>
  </si>
  <si>
    <t>MARIA F. DE OLIVEIRS</t>
  </si>
  <si>
    <t>EDENIZA AMORIM SANTAN</t>
  </si>
  <si>
    <t xml:space="preserve">ANGELICA RODRIGUES </t>
  </si>
  <si>
    <t>ADRIANO FERREIRA</t>
  </si>
  <si>
    <t>ROSANA ALVES</t>
  </si>
  <si>
    <t>ANGELICA RODRIGUES</t>
  </si>
  <si>
    <t>KATIA REGINA</t>
  </si>
  <si>
    <t xml:space="preserve">ALIBI SHAKIRU </t>
  </si>
  <si>
    <t>ROSALVO LOPES</t>
  </si>
  <si>
    <t>FRANCISCO XAVIER</t>
  </si>
  <si>
    <t>IRENE DA SILVA</t>
  </si>
  <si>
    <t>FRANCISCO X. DE ARAUJO</t>
  </si>
  <si>
    <t>DANIELA JUNQUEIRA</t>
  </si>
  <si>
    <t>CONSUELO OLIVEIRA</t>
  </si>
  <si>
    <t>ELIANA PELEGRINO</t>
  </si>
  <si>
    <t xml:space="preserve">Daniela junqueira </t>
  </si>
  <si>
    <t>LUCIMARA MENEZES</t>
  </si>
  <si>
    <t>Coluna1</t>
  </si>
  <si>
    <t>LUCIA MENEZES PEREIRA</t>
  </si>
  <si>
    <t xml:space="preserve">JOÃO VICTOR </t>
  </si>
  <si>
    <t>IRENE ROSA</t>
  </si>
  <si>
    <t xml:space="preserve">IVANI MONTEIRO </t>
  </si>
  <si>
    <t>SIMONE MIRANDA</t>
  </si>
  <si>
    <t>VITORIA MIRANDA</t>
  </si>
  <si>
    <t>NEUSA GOMES</t>
  </si>
  <si>
    <t>HELENA MOTODA</t>
  </si>
  <si>
    <t>ALOISIO BERNARDO</t>
  </si>
  <si>
    <t>LUCIMARA M. PEREIRA</t>
  </si>
  <si>
    <t>LUCIMARA PEREIRA</t>
  </si>
  <si>
    <t xml:space="preserve">FLAVIA R. SARAIVA </t>
  </si>
  <si>
    <t>AILSON SIMÕES</t>
  </si>
  <si>
    <t xml:space="preserve">  </t>
  </si>
  <si>
    <t>MARIA COSMO</t>
  </si>
  <si>
    <t>CLELIO ZANON</t>
  </si>
  <si>
    <t>ANDERSON FLORENCIO</t>
  </si>
  <si>
    <t>MARISA CRISTINA DA SILVA</t>
  </si>
  <si>
    <t>JOÃO RODRIGUES</t>
  </si>
  <si>
    <t>JAQUELINE DOS SSNTOS</t>
  </si>
  <si>
    <t>MAURO SERGIO</t>
  </si>
  <si>
    <t>MARIA GERLANE</t>
  </si>
  <si>
    <t>STEFFANY APARECIDA</t>
  </si>
  <si>
    <t>SAMIRA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</si>
</sst>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" fontId="0" fillId="0" borderId="13" xfId="2" applyNumberFormat="1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14" fontId="0" fillId="8" borderId="0" xfId="0" applyNumberFormat="1" applyFill="1"/>
    <xf numFmtId="0" fontId="0" fillId="8" borderId="0" xfId="0" applyFill="1"/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7" dataDxfId="1325" headerRowBorderDxfId="1326" tableBorderDxfId="1324" totalsRowBorderDxfId="13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2" dataCellStyle="Moeda"/>
    <tableColumn id="5" xr3:uid="{00000000-0010-0000-0900-000005000000}" name="Cliente" dataDxfId="1321" dataCellStyle="Moeda"/>
    <tableColumn id="2" xr3:uid="{00000000-0010-0000-0900-000002000000}" name="Forma de Pgto" dataDxfId="1320" dataCellStyle="Moeda"/>
    <tableColumn id="3" xr3:uid="{00000000-0010-0000-0900-000003000000}" name="Valor Venda" dataDxfId="1319" dataCellStyle="Porcentagem"/>
    <tableColumn id="4" xr3:uid="{00000000-0010-0000-0900-000004000000}" name="Entrada" dataDxfId="131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7" dataDxfId="1315" headerRowBorderDxfId="1316" tableBorderDxfId="1314" totalsRowBorderDxfId="1313">
  <autoFilter ref="K5:M11" xr:uid="{00000000-0009-0000-0100-000015000000}"/>
  <tableColumns count="3">
    <tableColumn id="1" xr3:uid="{00000000-0010-0000-0A00-000001000000}" name="Descrição" dataDxfId="1312"/>
    <tableColumn id="2" xr3:uid="{00000000-0010-0000-0A00-000002000000}" name="Tipo de Pagto" dataDxfId="1311"/>
    <tableColumn id="3" xr3:uid="{00000000-0010-0000-0A00-000003000000}" name="Valor" dataDxfId="131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9" dataDxfId="1307" headerRowBorderDxfId="1308" tableBorderDxfId="1306" totalsRowBorderDxfId="13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4"/>
    <tableColumn id="2" xr3:uid="{00000000-0010-0000-0B00-000002000000}" name="Cliente" dataDxfId="1303"/>
    <tableColumn id="3" xr3:uid="{00000000-0010-0000-0B00-000003000000}" name="Forma de Pgto" dataDxfId="1302" dataCellStyle="Moeda"/>
    <tableColumn id="4" xr3:uid="{00000000-0010-0000-0B00-000004000000}" name="Valor Venda" dataDxfId="1301" dataCellStyle="Porcentagem"/>
    <tableColumn id="5" xr3:uid="{00000000-0010-0000-0B00-000005000000}" name="Entrada" dataDxfId="130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9" dataDxfId="1297" headerRowBorderDxfId="1298" tableBorderDxfId="1296" totalsRowBorderDxfId="1295">
  <autoFilter ref="K14:M31" xr:uid="{C83FE64B-E221-4DAA-89EA-5307A7BC98B3}"/>
  <tableColumns count="3">
    <tableColumn id="1" xr3:uid="{E5EB8AC8-7F8E-49D1-A903-14124A5BA1B1}" name="OS" dataDxfId="1294"/>
    <tableColumn id="2" xr3:uid="{E1794679-294A-42ED-9D8F-4C0874170BFA}" name="Vendedor" dataDxfId="1293"/>
    <tableColumn id="3" xr3:uid="{CB411C23-941D-4548-984D-68460932D683}" name="CARNE" dataDxfId="129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1" dataDxfId="1289" headerRowBorderDxfId="1290" tableBorderDxfId="1288" totalsRowBorderDxfId="12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6"/>
    <tableColumn id="2" xr3:uid="{430FE27E-32BC-43B0-BB6E-CCBAB36B2A5A}" name="Cliente" dataDxfId="1285"/>
    <tableColumn id="3" xr3:uid="{568CECCF-BE0A-4266-A7C7-9359F722EA0F}" name="Forma de Pgto" dataDxfId="1284" dataCellStyle="Moeda"/>
    <tableColumn id="4" xr3:uid="{9CF4291A-8808-43DB-9F83-A7EB463C5F4A}" name="Valor Parcela" dataDxfId="1283" dataCellStyle="Porcentagem"/>
    <tableColumn id="5" xr3:uid="{736EA743-97FA-4800-BEDD-5C07EEB144A8}" name="Nº Parcela" dataDxfId="128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1" headerRowBorderDxfId="1280" tableBorderDxfId="1279" totalsRowBorderDxfId="1278">
  <autoFilter ref="K34:M41" xr:uid="{1B8643D4-6AC3-4029-882A-C62E9D7CB225}"/>
  <tableColumns count="3">
    <tableColumn id="1" xr3:uid="{132FEC50-51B3-4AAA-BF48-63FA39ED861C}" name="OS" dataDxfId="1277"/>
    <tableColumn id="2" xr3:uid="{11276640-1C63-48D7-BE0B-1FE7C736A1A8}" name="Parcelas" dataDxfId="1276"/>
    <tableColumn id="3" xr3:uid="{96591591-9F74-40A6-B0B9-BA6D2106107F}" name="Valor Total" dataDxfId="127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4" dataDxfId="1272" headerRowBorderDxfId="1273" tableBorderDxfId="1271" totalsRowBorderDxfId="127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9" dataCellStyle="Moeda"/>
    <tableColumn id="5" xr3:uid="{795F9F6D-AAE5-4C61-A646-82BF506C503E}" name="Cliente" dataDxfId="1268" dataCellStyle="Moeda"/>
    <tableColumn id="2" xr3:uid="{DD13626B-6361-410E-BFB7-9E75436163A4}" name="Forma de Pgto" dataDxfId="1267" dataCellStyle="Moeda"/>
    <tableColumn id="3" xr3:uid="{8939280F-F6DC-4F66-ADDF-59F6A387460C}" name="Valor Venda" dataDxfId="1266" dataCellStyle="Porcentagem"/>
    <tableColumn id="4" xr3:uid="{FFC83B9E-825A-4058-BFEA-DA64D7159065}" name="Entrada" dataDxfId="126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4" dataDxfId="1262" headerRowBorderDxfId="1263" tableBorderDxfId="1261" totalsRowBorderDxfId="1260">
  <autoFilter ref="K5:M11" xr:uid="{00000000-0009-0000-0100-000015000000}"/>
  <tableColumns count="3">
    <tableColumn id="1" xr3:uid="{9309A091-2326-4B68-B8C9-B31CF2D72EAF}" name="Descrição" dataDxfId="1259"/>
    <tableColumn id="2" xr3:uid="{910D89CE-506B-440F-8EB2-31633D7CAD51}" name="Tipo de Pagto" dataDxfId="1258"/>
    <tableColumn id="3" xr3:uid="{7155C391-52F1-4F4A-84B1-7BBC44A35A99}" name="Valor" dataDxfId="125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6" dataDxfId="1254" headerRowBorderDxfId="1255" tableBorderDxfId="1253" totalsRowBorderDxfId="125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1"/>
    <tableColumn id="2" xr3:uid="{75B601B3-9668-4B1A-ADF2-17DA487A3413}" name="Cliente" dataDxfId="1250"/>
    <tableColumn id="3" xr3:uid="{64F47935-52AF-4AE3-9262-06D7472567D7}" name="Forma de Pgto" dataDxfId="1249" dataCellStyle="Moeda"/>
    <tableColumn id="4" xr3:uid="{9257AA0D-34DE-4B38-8406-BC1F561A53B3}" name="Valor Venda" dataDxfId="1248" dataCellStyle="Porcentagem"/>
    <tableColumn id="5" xr3:uid="{4C98958F-FB27-4968-81B6-D7CC6BBD2DAE}" name="Entrada" dataDxfId="124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6" dataDxfId="1244" headerRowBorderDxfId="1245" tableBorderDxfId="1243" totalsRowBorderDxfId="124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1"/>
    <tableColumn id="2" xr3:uid="{AEB024E2-EB15-40A6-B65B-468339937BD0}" name="Vendedor" dataDxfId="1240"/>
    <tableColumn id="3" xr3:uid="{ACDDDA2A-4116-4E25-B799-0071372A8FAA}" name="CARNE" dataDxfId="123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8" dataDxfId="1236" headerRowBorderDxfId="1237" tableBorderDxfId="1235" totalsRowBorderDxfId="123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3"/>
    <tableColumn id="2" xr3:uid="{A06C5B3A-A28C-4563-87C4-B63635D6E7B9}" name="Cliente" dataDxfId="1232"/>
    <tableColumn id="3" xr3:uid="{4AC120F2-6F4A-41F2-87D2-680E8D6F8D96}" name="Forma de Pgto" dataDxfId="1231" dataCellStyle="Moeda"/>
    <tableColumn id="4" xr3:uid="{17DB2EA9-C13D-4AEB-AB97-B4C907D16420}" name="Valor Parcela" dataDxfId="1230" dataCellStyle="Porcentagem"/>
    <tableColumn id="5" xr3:uid="{F6E09F06-2F23-4822-A9B4-D8898604A1E0}" name="Nº Parcela" dataDxfId="122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8" headerRowBorderDxfId="1227" tableBorderDxfId="1226" totalsRowBorderDxfId="1225">
  <autoFilter ref="K34:M41" xr:uid="{1B8643D4-6AC3-4029-882A-C62E9D7CB225}"/>
  <tableColumns count="3">
    <tableColumn id="1" xr3:uid="{D0DE8F47-9BDA-4E4F-92E6-E2404F920F1B}" name="OS" dataDxfId="1224"/>
    <tableColumn id="2" xr3:uid="{43AD47D8-F738-4D39-8B0B-E0AC217D9D32}" name="Parcelas" dataDxfId="1223"/>
    <tableColumn id="3" xr3:uid="{024ED2FF-C4EC-44DC-9129-9BE8032DC4A5}" name="Valor Total" dataDxfId="122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1" dataDxfId="1219" headerRowBorderDxfId="1220" tableBorderDxfId="1218" totalsRowBorderDxfId="12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6" dataCellStyle="Moeda"/>
    <tableColumn id="5" xr3:uid="{C13AA79A-76C7-4954-B055-3EC7A6A9008A}" name="Cliente" dataDxfId="1215" dataCellStyle="Moeda"/>
    <tableColumn id="2" xr3:uid="{56D92948-0431-4E11-AC7A-A6D6B6D3D15E}" name="Forma de Pgto" dataDxfId="1214" dataCellStyle="Moeda"/>
    <tableColumn id="3" xr3:uid="{3348DA9C-6AA9-49E4-8450-E8BC22BC5F6C}" name="Valor Venda" dataDxfId="1213" dataCellStyle="Porcentagem"/>
    <tableColumn id="4" xr3:uid="{A03B4BE2-2B4F-4512-98ED-45C3754F4D2A}" name="Entrada" dataDxfId="121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1" dataDxfId="1209" headerRowBorderDxfId="1210" tableBorderDxfId="1208" totalsRowBorderDxfId="1207">
  <autoFilter ref="K5:M11" xr:uid="{00000000-0009-0000-0100-000015000000}"/>
  <tableColumns count="3">
    <tableColumn id="1" xr3:uid="{2700D0CD-8906-41BB-B51F-AAECD67A05FE}" name="Descrição" dataDxfId="1206"/>
    <tableColumn id="2" xr3:uid="{00E5FAC2-C7E2-44A6-AA64-460782F41E47}" name="Tipo de Pagto" dataDxfId="1205"/>
    <tableColumn id="3" xr3:uid="{70D30678-03EC-4DC1-BB28-EBD756D1976D}" name="Valor" dataDxfId="120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3" dataDxfId="1201" headerRowBorderDxfId="1202" tableBorderDxfId="1200" totalsRowBorderDxfId="11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8"/>
    <tableColumn id="2" xr3:uid="{59310BF7-C6CA-49AF-8D7C-32023868A553}" name="Cliente" dataDxfId="1197"/>
    <tableColumn id="3" xr3:uid="{C13BE163-BA03-41E0-A121-27164C58ABA3}" name="Forma de Pgto" dataDxfId="1196" dataCellStyle="Moeda"/>
    <tableColumn id="4" xr3:uid="{E9797482-8A01-4C8B-8B66-47DE3D38D78F}" name="Valor Venda" dataDxfId="1195" dataCellStyle="Porcentagem"/>
    <tableColumn id="5" xr3:uid="{864D3F67-D199-48BA-8E16-3EFBAC4AF8A2}" name="Entrada" dataDxfId="119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3" dataDxfId="1191" headerRowBorderDxfId="1192" tableBorderDxfId="1190" totalsRowBorderDxfId="1189">
  <autoFilter ref="K14:M31" xr:uid="{C83FE64B-E221-4DAA-89EA-5307A7BC98B3}"/>
  <tableColumns count="3">
    <tableColumn id="1" xr3:uid="{92200504-6651-4517-B155-4C75687BBC1E}" name="OS" dataDxfId="1188"/>
    <tableColumn id="2" xr3:uid="{BE1934F5-5D06-41D6-9394-C4D383C8CD33}" name="Vendedor" dataDxfId="1187"/>
    <tableColumn id="3" xr3:uid="{F504E9B2-856C-4C10-AA72-D7A7B035B330}" name="CARNE" dataDxfId="118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5" dataDxfId="1183" headerRowBorderDxfId="1184" tableBorderDxfId="1182" totalsRowBorderDxfId="11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0"/>
    <tableColumn id="2" xr3:uid="{95B09C40-3752-47D7-9085-F5B42BC487DA}" name="Cliente" dataDxfId="1179"/>
    <tableColumn id="3" xr3:uid="{1A0B311C-327A-4C44-9D04-81730B41B9A2}" name="Forma de Pgto" dataDxfId="1178" dataCellStyle="Moeda"/>
    <tableColumn id="4" xr3:uid="{9A802666-F9A1-4EB6-824C-ECF60066044F}" name="Valor Parcela" dataDxfId="1177" dataCellStyle="Porcentagem"/>
    <tableColumn id="5" xr3:uid="{1CC0AF26-B599-4D4F-8BD5-BBE76DBCE085}" name="Nº Parcela" dataDxfId="117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5" headerRowBorderDxfId="1174" tableBorderDxfId="1173" totalsRowBorderDxfId="1172">
  <autoFilter ref="K34:M41" xr:uid="{1B8643D4-6AC3-4029-882A-C62E9D7CB225}"/>
  <tableColumns count="3">
    <tableColumn id="1" xr3:uid="{D712257D-E310-4A34-972E-E8E3502C0E07}" name="OS" dataDxfId="1171"/>
    <tableColumn id="2" xr3:uid="{DE78D123-6817-4646-8C08-920B2F11524F}" name="Parcelas" dataDxfId="1170"/>
    <tableColumn id="3" xr3:uid="{5BFF5A3E-02FE-410E-B1DB-45BB5A31FC42}" name="Valor Total" dataDxfId="116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8" dataDxfId="1166" headerRowBorderDxfId="1167" tableBorderDxfId="1165" totalsRowBorderDxfId="11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3" dataCellStyle="Moeda"/>
    <tableColumn id="5" xr3:uid="{A57F8BDB-02F9-493C-AD6D-F47611C369D5}" name="Cliente" dataDxfId="1162" dataCellStyle="Moeda"/>
    <tableColumn id="2" xr3:uid="{3BF4EA26-026F-42E1-9B28-3FCC68B54E9F}" name="Forma de Pgto" dataDxfId="1161" dataCellStyle="Moeda"/>
    <tableColumn id="3" xr3:uid="{FD063076-8462-4774-B716-34AAD1738449}" name="Valor Venda" dataDxfId="1160" dataCellStyle="Porcentagem"/>
    <tableColumn id="4" xr3:uid="{690445E0-65B1-450A-A6D3-179070107086}" name="Entrada" dataDxfId="115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8" dataDxfId="1156" headerRowBorderDxfId="1157" tableBorderDxfId="1155" totalsRowBorderDxfId="1154">
  <autoFilter ref="K5:M11" xr:uid="{00000000-0009-0000-0100-000015000000}"/>
  <tableColumns count="3">
    <tableColumn id="1" xr3:uid="{5D510C76-887A-4F0A-A2F3-BD55732E9E85}" name="Descrição" dataDxfId="1153"/>
    <tableColumn id="2" xr3:uid="{F6C1F4A7-28F4-48F8-905E-708FA62EB574}" name="Tipo de Pagto" dataDxfId="1152"/>
    <tableColumn id="3" xr3:uid="{E62B0002-F6CD-4351-A9EA-673FC7C97B03}" name="Valor" dataDxfId="115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50" dataDxfId="1148" headerRowBorderDxfId="1149" tableBorderDxfId="1147" totalsRowBorderDxfId="114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5"/>
    <tableColumn id="2" xr3:uid="{822B50C3-46B7-46F0-8829-5293CCAFB21E}" name="Cliente" dataDxfId="1144"/>
    <tableColumn id="3" xr3:uid="{F2A36AB3-30D6-4C43-A466-18FF147EE075}" name="Forma de Pgto" dataDxfId="1143" dataCellStyle="Moeda"/>
    <tableColumn id="4" xr3:uid="{AD829CF8-2271-44F1-A1F1-4928D83ED658}" name="Valor Venda" dataDxfId="1142" dataCellStyle="Porcentagem"/>
    <tableColumn id="5" xr3:uid="{7973C843-3740-4AE2-931D-89DE845BA145}" name="Entrada" dataDxfId="114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0" dataDxfId="1138" headerRowBorderDxfId="1139" tableBorderDxfId="1137" totalsRowBorderDxfId="1136">
  <autoFilter ref="K14:M31" xr:uid="{C83FE64B-E221-4DAA-89EA-5307A7BC98B3}"/>
  <tableColumns count="3">
    <tableColumn id="1" xr3:uid="{404BEA27-9F48-40AC-AF84-177E7CA2ADEC}" name="OS" dataDxfId="1135"/>
    <tableColumn id="2" xr3:uid="{BC07784A-25E9-4C57-B0FF-1E3D183BCD37}" name="Vendedor" dataDxfId="1134"/>
    <tableColumn id="3" xr3:uid="{EFFF7860-5B35-466B-BA53-4485DC02FB15}" name="CARNE" dataDxfId="113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2" dataDxfId="1130" headerRowBorderDxfId="1131" tableBorderDxfId="1129" totalsRowBorderDxfId="1128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7"/>
    <tableColumn id="2" xr3:uid="{A8D4686B-F05E-4D96-BDB9-FD354C9E28B8}" name="Cliente" dataDxfId="1126"/>
    <tableColumn id="3" xr3:uid="{0FB871EC-4505-4E7C-A162-0EFDB16AB8E5}" name="Forma de Pgto" dataDxfId="1125" dataCellStyle="Moeda"/>
    <tableColumn id="4" xr3:uid="{41436228-3E61-4F7F-80EF-627B1794150B}" name="Valor Parcela" dataDxfId="1124" dataCellStyle="Porcentagem"/>
    <tableColumn id="5" xr3:uid="{9C580DC7-08E3-4AD7-B73C-C1AA4298633B}" name="Nº Parcela" dataDxfId="112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2" headerRowBorderDxfId="1121" tableBorderDxfId="1120" totalsRowBorderDxfId="1119">
  <autoFilter ref="K34:M41" xr:uid="{1B8643D4-6AC3-4029-882A-C62E9D7CB225}"/>
  <tableColumns count="3">
    <tableColumn id="1" xr3:uid="{6E774D52-7DFE-4ED1-9F2F-47B5899CBAC1}" name="OS" dataDxfId="1118"/>
    <tableColumn id="2" xr3:uid="{39CE62CA-537C-4DF4-B8D5-281ED0EE57C3}" name="Parcelas" dataDxfId="1117"/>
    <tableColumn id="3" xr3:uid="{830AFF05-9BCF-488F-97F3-8D4378DE4DCB}" name="Valor Total" dataDxfId="111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5" dataDxfId="1113" headerRowBorderDxfId="1114" tableBorderDxfId="1112" totalsRowBorderDxfId="11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0" dataCellStyle="Moeda"/>
    <tableColumn id="5" xr3:uid="{CE0B3E90-9420-4A96-9195-72088311874E}" name="Cliente" dataDxfId="1109" dataCellStyle="Moeda"/>
    <tableColumn id="2" xr3:uid="{3EF1B45D-588D-4066-8ACF-697863B5F984}" name="Forma de Pgto" dataDxfId="1108" dataCellStyle="Moeda"/>
    <tableColumn id="3" xr3:uid="{9ADBAC7B-B04C-4E2B-9C83-E18200698CCE}" name="Valor Venda" dataDxfId="1107" dataCellStyle="Porcentagem"/>
    <tableColumn id="4" xr3:uid="{16823673-1F5B-4F46-A676-8665CF4D02BA}" name="Entrada" dataDxfId="110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5" dataDxfId="1103" headerRowBorderDxfId="1104" tableBorderDxfId="1102" totalsRowBorderDxfId="1101">
  <autoFilter ref="K5:M11" xr:uid="{00000000-0009-0000-0100-000015000000}"/>
  <tableColumns count="3">
    <tableColumn id="1" xr3:uid="{A02811B4-F6FA-4EDA-94FE-5EDFE6293B48}" name="Descrição" dataDxfId="1100"/>
    <tableColumn id="2" xr3:uid="{39EAD4CE-DDFA-4948-8B1E-10589BABDD84}" name="Tipo de Pagto" dataDxfId="1099"/>
    <tableColumn id="3" xr3:uid="{30C3BD81-38C9-4C67-BF45-044DFDDD7A0B}" name="Valor" dataDxfId="109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7" dataDxfId="1095" headerRowBorderDxfId="1096" tableBorderDxfId="1094" totalsRowBorderDxfId="10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2"/>
    <tableColumn id="2" xr3:uid="{BE6E3444-490A-4F75-BE63-234EB84D04F7}" name="Cliente" dataDxfId="1091"/>
    <tableColumn id="3" xr3:uid="{868472E6-6C45-4AEC-9672-E559CFA15EA7}" name="Forma de Pgto" dataDxfId="1090" dataCellStyle="Moeda"/>
    <tableColumn id="4" xr3:uid="{DB2D0AA9-9B1E-4A35-B9B2-8B1052EAD782}" name="Valor Venda" dataDxfId="1089" dataCellStyle="Porcentagem"/>
    <tableColumn id="5" xr3:uid="{C23CEEDF-415E-4EFC-ACF7-2661157A84C3}" name="Entrada" dataDxfId="108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7" dataDxfId="1085" headerRowBorderDxfId="1086" tableBorderDxfId="1084" totalsRowBorderDxfId="10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2"/>
    <tableColumn id="2" xr3:uid="{13D709D4-8F81-4D58-95F2-22F1C686CB18}" name="Vendedor" dataDxfId="1081"/>
    <tableColumn id="3" xr3:uid="{92130A71-CEC8-4371-B6C9-DA29C0189A09}" name="CARNE" dataDxfId="108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9" dataDxfId="1077" headerRowBorderDxfId="1078" tableBorderDxfId="1076" totalsRowBorderDxfId="10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4"/>
    <tableColumn id="2" xr3:uid="{7652DD36-D535-400C-856B-02CB62C18176}" name="Cliente" dataDxfId="1073"/>
    <tableColumn id="3" xr3:uid="{129618E1-FDB4-497A-9DB0-29AC7143AF10}" name="Forma de Pgto" dataDxfId="1072" dataCellStyle="Moeda"/>
    <tableColumn id="4" xr3:uid="{EC69F906-8001-4D12-8ED6-D597AE23E936}" name="Valor Parcela" dataDxfId="1071" dataCellStyle="Porcentagem"/>
    <tableColumn id="5" xr3:uid="{65040BF1-55E0-4DD6-926F-3F0324D47077}" name="Nº Parcela" dataDxfId="107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9" headerRowBorderDxfId="1068" tableBorderDxfId="1067" totalsRowBorderDxfId="1066">
  <autoFilter ref="K34:M41" xr:uid="{1B8643D4-6AC3-4029-882A-C62E9D7CB225}"/>
  <tableColumns count="3">
    <tableColumn id="1" xr3:uid="{710179D9-1888-45A0-96B5-C6E1151FFFF0}" name="OS" dataDxfId="1065"/>
    <tableColumn id="2" xr3:uid="{D9D130F4-6D87-4655-90D8-AF3976107C2A}" name="Parcelas" dataDxfId="1064"/>
    <tableColumn id="3" xr3:uid="{07DCBA20-7E86-4F99-AED4-2BDCD854B71C}" name="Valor Total" dataDxfId="106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2" dataDxfId="1060" headerRowBorderDxfId="1061" tableBorderDxfId="1059" totalsRowBorderDxfId="10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7" dataCellStyle="Moeda"/>
    <tableColumn id="5" xr3:uid="{C388448A-992D-4C2D-8BB2-14D587C7E260}" name="Cliente" dataDxfId="1056" dataCellStyle="Moeda"/>
    <tableColumn id="2" xr3:uid="{C66BE185-63F5-4991-91CC-2661F40F891F}" name="Forma de Pgto" dataDxfId="1055" dataCellStyle="Moeda"/>
    <tableColumn id="3" xr3:uid="{C86C165C-F04B-4F8A-9769-AE38C03F025E}" name="Valor Venda" dataDxfId="1054" dataCellStyle="Porcentagem"/>
    <tableColumn id="4" xr3:uid="{C11C99C9-E646-4417-8698-61AFF55AB567}" name="Entrada" dataDxfId="105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2" dataDxfId="1050" headerRowBorderDxfId="1051" tableBorderDxfId="1049" totalsRowBorderDxfId="1048">
  <autoFilter ref="K5:M11" xr:uid="{00000000-0009-0000-0100-000015000000}"/>
  <tableColumns count="3">
    <tableColumn id="1" xr3:uid="{696BC9EF-69BB-4D0D-96DF-B836B5771C08}" name="Descrição" dataDxfId="1047"/>
    <tableColumn id="2" xr3:uid="{4F12E940-09E4-4E51-A2A0-CEF5523233E2}" name="Tipo de Pagto" dataDxfId="1046"/>
    <tableColumn id="3" xr3:uid="{329E2ABB-99D4-47D1-8CEB-C3F4DE69A1C8}" name="Valor" dataDxfId="104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4" dataDxfId="1042" headerRowBorderDxfId="1043" tableBorderDxfId="1041" totalsRowBorderDxfId="10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9"/>
    <tableColumn id="2" xr3:uid="{4745164B-5E29-4C65-87CA-C8C1B31B8272}" name="Cliente" dataDxfId="1038"/>
    <tableColumn id="3" xr3:uid="{69D7D490-36CA-4F69-BF76-2ADB810B4F37}" name="Forma de Pgto" dataDxfId="1037" dataCellStyle="Moeda"/>
    <tableColumn id="4" xr3:uid="{9B6B365B-42F7-499F-B705-B8F5196F8192}" name="Valor Venda" dataDxfId="1036" dataCellStyle="Porcentagem"/>
    <tableColumn id="5" xr3:uid="{7C88B9A2-2920-4AD8-AC1F-7417F3FA8282}" name="Entrada" dataDxfId="103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4" dataDxfId="1032" headerRowBorderDxfId="1033" tableBorderDxfId="1031" totalsRowBorderDxfId="1030">
  <autoFilter ref="K14:M31" xr:uid="{C83FE64B-E221-4DAA-89EA-5307A7BC98B3}"/>
  <tableColumns count="3">
    <tableColumn id="1" xr3:uid="{5740FA63-223C-47B7-8842-178B003DB4BC}" name="OS" dataDxfId="1029"/>
    <tableColumn id="2" xr3:uid="{5CCC3C75-C80E-44BB-BC37-80F487481DDA}" name="Vendedor" dataDxfId="1028"/>
    <tableColumn id="3" xr3:uid="{585175B8-B982-429E-9344-163CE2687302}" name="CARNE" dataDxfId="102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6" dataDxfId="1024" headerRowBorderDxfId="1025" tableBorderDxfId="1023" totalsRowBorderDxfId="10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1"/>
    <tableColumn id="2" xr3:uid="{2540FF22-68AB-4A04-B72D-DDBC8B064A8D}" name="Cliente" dataDxfId="1020"/>
    <tableColumn id="3" xr3:uid="{A7CB1680-9636-42C6-8AD9-F68C54BBCE0A}" name="Forma de Pgto" dataDxfId="1019" dataCellStyle="Moeda"/>
    <tableColumn id="4" xr3:uid="{727C37A8-450C-4D57-A2C9-396F29733C0A}" name="Valor Parcela" dataDxfId="1018" dataCellStyle="Porcentagem"/>
    <tableColumn id="5" xr3:uid="{4B27DCBF-BD8C-46A2-BC12-DE369C458E8A}" name="Nº Parcela" dataDxfId="101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6" headerRowBorderDxfId="1015" tableBorderDxfId="1014" totalsRowBorderDxfId="1013">
  <autoFilter ref="K34:M41" xr:uid="{1B8643D4-6AC3-4029-882A-C62E9D7CB225}"/>
  <tableColumns count="3">
    <tableColumn id="1" xr3:uid="{60FAE849-4EC1-49E6-990F-8A43377EE6C3}" name="OS" dataDxfId="1012"/>
    <tableColumn id="2" xr3:uid="{B3127003-34D7-49FE-AFFC-7FA256F8BC3F}" name="Parcelas" dataDxfId="1011"/>
    <tableColumn id="3" xr3:uid="{412AC98E-5FB9-4C3C-9FBF-2EBE1631A397}" name="Valor Total" dataDxfId="101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9" dataDxfId="1007" headerRowBorderDxfId="1008" tableBorderDxfId="1006" totalsRowBorderDxfId="10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4" dataCellStyle="Moeda"/>
    <tableColumn id="5" xr3:uid="{A1AF61B3-EFAB-450A-92B2-38E357233CD5}" name="Cliente" dataDxfId="1003" dataCellStyle="Moeda"/>
    <tableColumn id="2" xr3:uid="{DF277353-579D-439F-85C3-76DEACDE7A39}" name="Forma de Pgto" dataDxfId="1002" dataCellStyle="Moeda"/>
    <tableColumn id="3" xr3:uid="{7164D8F5-C0CB-47F7-BD16-B590E7D85EDB}" name="Valor Venda" dataDxfId="1001" dataCellStyle="Porcentagem"/>
    <tableColumn id="4" xr3:uid="{065B051D-7958-4E7D-972D-DDB0E8E7D052}" name="Entrada" dataDxfId="100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9" dataDxfId="997" headerRowBorderDxfId="998" tableBorderDxfId="996" totalsRowBorderDxfId="995">
  <autoFilter ref="K5:M11" xr:uid="{00000000-0009-0000-0100-000015000000}"/>
  <tableColumns count="3">
    <tableColumn id="1" xr3:uid="{865498B1-F05E-46C9-B6C1-CCD85D9306C6}" name="Descrição" dataDxfId="994"/>
    <tableColumn id="2" xr3:uid="{37F7AC6A-A7CD-43FB-89B1-5E904BAC1EBD}" name="Tipo de Pagto" dataDxfId="993"/>
    <tableColumn id="3" xr3:uid="{A014E45A-B38A-47C2-A582-411CA2B495EE}" name="Valor" dataDxfId="99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1" dataDxfId="989" headerRowBorderDxfId="990" tableBorderDxfId="988" totalsRowBorderDxfId="9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6"/>
    <tableColumn id="2" xr3:uid="{BC7B7FC1-CF4C-42C2-ABD3-DFEEA234B02B}" name="Cliente" dataDxfId="985"/>
    <tableColumn id="3" xr3:uid="{67F17557-E38E-4865-93F5-DCEF4A7ED2C6}" name="Forma de Pgto" dataDxfId="984" dataCellStyle="Moeda"/>
    <tableColumn id="4" xr3:uid="{D2C10329-9C1A-4D0D-BC74-3A320E9B6593}" name="Valor Venda" dataDxfId="983" dataCellStyle="Porcentagem"/>
    <tableColumn id="5" xr3:uid="{82810E21-D152-4A22-94D5-0A28C60F4849}" name="Entrada" dataDxfId="98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1" dataDxfId="979" headerRowBorderDxfId="980" tableBorderDxfId="978" totalsRowBorderDxfId="977">
  <autoFilter ref="K14:M31" xr:uid="{C83FE64B-E221-4DAA-89EA-5307A7BC98B3}"/>
  <tableColumns count="3">
    <tableColumn id="1" xr3:uid="{7A4CC637-3546-4D1B-9D86-75C6034079BF}" name="OS" dataDxfId="976"/>
    <tableColumn id="2" xr3:uid="{CEB52B1C-2642-45A1-A1EB-26029A9B5402}" name="Vendedor" dataDxfId="975"/>
    <tableColumn id="3" xr3:uid="{8C88CFEB-7155-49BD-9D63-1FCC9096735E}" name="CARNE" dataDxfId="97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3" dataDxfId="971" headerRowBorderDxfId="972" tableBorderDxfId="970" totalsRowBorderDxfId="9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8"/>
    <tableColumn id="2" xr3:uid="{7C3577CA-FC44-4DC9-9002-D4EA74DFF73F}" name="Cliente" dataDxfId="967"/>
    <tableColumn id="3" xr3:uid="{77D25058-5D06-4E37-8746-BF184DDEEA81}" name="Forma de Pgto" dataDxfId="966" dataCellStyle="Moeda"/>
    <tableColumn id="4" xr3:uid="{5EDAFC3F-F478-449C-990C-45300A2C66DF}" name="Valor Parcela" dataDxfId="965" dataCellStyle="Porcentagem"/>
    <tableColumn id="5" xr3:uid="{5DBCC805-C046-4526-8886-13334D431CB2}" name="Nº Parcela" dataDxfId="96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3" headerRowBorderDxfId="962" tableBorderDxfId="961" totalsRowBorderDxfId="960">
  <autoFilter ref="K34:M41" xr:uid="{1B8643D4-6AC3-4029-882A-C62E9D7CB225}"/>
  <tableColumns count="3">
    <tableColumn id="1" xr3:uid="{FDFEB034-D746-488E-9611-5C5421DF9812}" name="OS" dataDxfId="959"/>
    <tableColumn id="2" xr3:uid="{AD1C8A9C-91DA-4D2C-A438-9B8648A5521B}" name="Parcelas" dataDxfId="958"/>
    <tableColumn id="3" xr3:uid="{577D3B3F-3A18-4FE3-8E0F-E82C9012821F}" name="Valor Total" dataDxfId="95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6" dataDxfId="954" headerRowBorderDxfId="955" tableBorderDxfId="953" totalsRowBorderDxfId="9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1" dataCellStyle="Moeda"/>
    <tableColumn id="5" xr3:uid="{53B9FE46-E769-466F-9757-A5C752203582}" name="Cliente" dataDxfId="950" dataCellStyle="Moeda"/>
    <tableColumn id="2" xr3:uid="{9AFD5C78-132A-4E21-96EC-75882307A334}" name="Forma de Pgto" dataDxfId="949" dataCellStyle="Moeda"/>
    <tableColumn id="3" xr3:uid="{0B7791DE-BC7F-4EA7-87CC-E8588E2F6D00}" name="Valor Venda" dataDxfId="948" dataCellStyle="Porcentagem"/>
    <tableColumn id="4" xr3:uid="{EDACC2B7-28DE-40D1-BC9D-356B5D64934D}" name="Entrada" dataDxfId="94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6" dataDxfId="944" headerRowBorderDxfId="945" tableBorderDxfId="943" totalsRowBorderDxfId="942">
  <autoFilter ref="K5:M11" xr:uid="{00000000-0009-0000-0100-000015000000}"/>
  <tableColumns count="3">
    <tableColumn id="1" xr3:uid="{F638F61A-E4B9-4300-BD8D-C0A6A3D7A8E2}" name="Descrição" dataDxfId="941"/>
    <tableColumn id="2" xr3:uid="{9DC04330-37E5-4813-8F2D-4BAA554527A5}" name="Tipo de Pagto" dataDxfId="940"/>
    <tableColumn id="3" xr3:uid="{799A991A-3D2C-4EC1-A2D8-A1F3023DD9AF}" name="Valor" dataDxfId="93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8" dataDxfId="936" headerRowBorderDxfId="937" tableBorderDxfId="935" totalsRowBorderDxfId="9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3"/>
    <tableColumn id="2" xr3:uid="{2FD43CA2-90CA-449B-821F-205F1748177C}" name="Cliente" dataDxfId="932"/>
    <tableColumn id="3" xr3:uid="{A5640B64-FD50-49A5-B305-E61D9280F57A}" name="Forma de Pgto" dataDxfId="931" dataCellStyle="Moeda"/>
    <tableColumn id="4" xr3:uid="{26AD2EE8-2400-4B07-A340-99B1BA546B01}" name="Valor Venda" dataDxfId="930" dataCellStyle="Porcentagem"/>
    <tableColumn id="5" xr3:uid="{DF786930-B464-48C0-92C5-A18D129572D3}" name="Entrada" dataDxfId="92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8" dataDxfId="926" headerRowBorderDxfId="927" tableBorderDxfId="925" totalsRowBorderDxfId="924">
  <autoFilter ref="K14:M31" xr:uid="{C83FE64B-E221-4DAA-89EA-5307A7BC98B3}"/>
  <tableColumns count="3">
    <tableColumn id="1" xr3:uid="{686E8A3B-2CC1-443E-B3F0-07F1D6AF8C19}" name="OS" dataDxfId="923"/>
    <tableColumn id="2" xr3:uid="{1250D1EA-82EB-4EB4-AEDB-99799165C996}" name="Vendedor" dataDxfId="922"/>
    <tableColumn id="3" xr3:uid="{F6A6C0FE-3106-4929-AC63-C2A418BAD9A1}" name="CARNE" dataDxfId="92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0" dataDxfId="918" headerRowBorderDxfId="919" tableBorderDxfId="917" totalsRowBorderDxfId="9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5"/>
    <tableColumn id="2" xr3:uid="{6946C657-632E-4A47-A04C-EBD987018798}" name="Cliente" dataDxfId="914"/>
    <tableColumn id="3" xr3:uid="{11747110-E63B-4D92-AE0D-F744DD494204}" name="Forma de Pgto" dataDxfId="913" dataCellStyle="Moeda"/>
    <tableColumn id="4" xr3:uid="{7637A14A-3C11-482C-A77B-09489718F039}" name="Valor Parcela" dataDxfId="912" dataCellStyle="Porcentagem"/>
    <tableColumn id="5" xr3:uid="{E03E863B-EAD4-4137-9B26-2CA0EAC2F09E}" name="Nº Parcela" dataDxfId="91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0" headerRowBorderDxfId="909" tableBorderDxfId="908" totalsRowBorderDxfId="907">
  <autoFilter ref="K34:M41" xr:uid="{1B8643D4-6AC3-4029-882A-C62E9D7CB225}"/>
  <tableColumns count="3">
    <tableColumn id="1" xr3:uid="{6F6F5FBA-037D-4F8B-8355-AC821A55F803}" name="OS" dataDxfId="906"/>
    <tableColumn id="2" xr3:uid="{BEED8472-6636-42D9-A60A-E43C842B7D8F}" name="Parcelas" dataDxfId="905"/>
    <tableColumn id="3" xr3:uid="{0CE64280-F6A9-46AC-8696-F227912F6552}" name="Valor Total" dataDxfId="90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3" dataDxfId="901" headerRowBorderDxfId="902" tableBorderDxfId="900" totalsRowBorderDxfId="8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8" dataCellStyle="Moeda"/>
    <tableColumn id="5" xr3:uid="{864A4F89-382F-4099-9D59-467A7AB12940}" name="Cliente" dataDxfId="897" dataCellStyle="Moeda"/>
    <tableColumn id="2" xr3:uid="{529253EE-0917-4E7A-AA5F-14D2DCAD4080}" name="Forma de Pgto" dataDxfId="896" dataCellStyle="Moeda"/>
    <tableColumn id="3" xr3:uid="{7A07E6EC-5721-4AB5-B7BB-F8D16153B615}" name="Valor Venda" dataDxfId="895" dataCellStyle="Porcentagem"/>
    <tableColumn id="4" xr3:uid="{E3569DCA-7BA5-47A8-9C20-6FB2B553052E}" name="Entrada" dataDxfId="89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3" dataDxfId="891" headerRowBorderDxfId="892" tableBorderDxfId="890" totalsRowBorderDxfId="889">
  <autoFilter ref="K5:M11" xr:uid="{00000000-0009-0000-0100-000015000000}"/>
  <tableColumns count="3">
    <tableColumn id="1" xr3:uid="{95CF041F-F7B4-4974-9B76-66A5C7C3CF1E}" name="Descrição" dataDxfId="888"/>
    <tableColumn id="2" xr3:uid="{010F2147-2B02-4E80-9D4E-E9E6110BD535}" name="Tipo de Pagto" dataDxfId="887"/>
    <tableColumn id="3" xr3:uid="{667C80AD-481C-4689-8F6A-2426991759A7}" name="Valor" dataDxfId="88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5" dataDxfId="883" headerRowBorderDxfId="884" tableBorderDxfId="882" totalsRowBorderDxfId="8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0"/>
    <tableColumn id="2" xr3:uid="{A401C727-3942-4BDF-BC32-5D789E1F6979}" name="Cliente" dataDxfId="879"/>
    <tableColumn id="3" xr3:uid="{29237CE2-AC3D-477F-ABA7-60B5DA6F8120}" name="Forma de Pgto" dataDxfId="878" dataCellStyle="Moeda"/>
    <tableColumn id="4" xr3:uid="{A39B1F5A-49E3-45B8-BCA8-E3252A43E2CC}" name="Valor Venda" dataDxfId="877" dataCellStyle="Porcentagem"/>
    <tableColumn id="5" xr3:uid="{A1809E96-D43C-48CA-B4B0-F8952BB21709}" name="Entrada" dataDxfId="87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5" dataDxfId="873" headerRowBorderDxfId="874" tableBorderDxfId="872" totalsRowBorderDxfId="8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70"/>
    <tableColumn id="2" xr3:uid="{61C3945B-58EB-4D02-A420-14D13F69B1FD}" name="Vendedor" dataDxfId="869"/>
    <tableColumn id="3" xr3:uid="{310A696D-E474-4609-8CAC-92E3BC19A517}" name="CARNE" dataDxfId="86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7" dataDxfId="865" headerRowBorderDxfId="866" tableBorderDxfId="864" totalsRowBorderDxfId="8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2"/>
    <tableColumn id="2" xr3:uid="{A7114117-5F41-4611-B14C-A3B2F7C35961}" name="Cliente" dataDxfId="861"/>
    <tableColumn id="3" xr3:uid="{3B2F2924-60FC-459E-BAAE-2D26D316360F}" name="Forma de Pgto" dataDxfId="860" dataCellStyle="Moeda"/>
    <tableColumn id="4" xr3:uid="{8C86BF8B-36B7-46FA-B050-2F1437A14710}" name="Valor Parcela" dataDxfId="859" dataCellStyle="Porcentagem"/>
    <tableColumn id="5" xr3:uid="{C429DF1A-E6B0-43DD-A949-A1EBA6DBEC04}" name="Nº Parcela" dataDxfId="85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7" headerRowBorderDxfId="856" tableBorderDxfId="855" totalsRowBorderDxfId="854">
  <autoFilter ref="K34:M41" xr:uid="{1B8643D4-6AC3-4029-882A-C62E9D7CB225}"/>
  <tableColumns count="3">
    <tableColumn id="1" xr3:uid="{182484ED-66B8-43D1-B168-BDEB5996673F}" name="OS" dataDxfId="853"/>
    <tableColumn id="2" xr3:uid="{FC47BB11-B6D3-4928-BFCD-BDAC4B2BDD2F}" name="Parcelas" dataDxfId="852"/>
    <tableColumn id="3" xr3:uid="{F7E0E4E8-A2A1-4513-B1F5-B98008299FD0}" name="Valor Total" dataDxfId="85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0" dataDxfId="848" headerRowBorderDxfId="849" tableBorderDxfId="847" totalsRowBorderDxfId="8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5" dataCellStyle="Moeda"/>
    <tableColumn id="5" xr3:uid="{2B9E675C-5EB2-4EBC-8FDE-19F93E6E7B08}" name="Cliente" dataDxfId="844" dataCellStyle="Moeda"/>
    <tableColumn id="2" xr3:uid="{04A3548D-E88B-4096-85CB-E08243412A85}" name="Forma de Pgto" dataDxfId="843" dataCellStyle="Moeda"/>
    <tableColumn id="3" xr3:uid="{977F794D-E094-4347-935B-1202B7138C52}" name="Valor Venda" dataDxfId="842" dataCellStyle="Porcentagem"/>
    <tableColumn id="4" xr3:uid="{908F3845-FF06-4899-A550-28B1BE92D1A9}" name="Entrada" dataDxfId="84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0" dataDxfId="838" headerRowBorderDxfId="839" tableBorderDxfId="837" totalsRowBorderDxfId="836">
  <autoFilter ref="K5:M11" xr:uid="{00000000-0009-0000-0100-000015000000}"/>
  <tableColumns count="3">
    <tableColumn id="1" xr3:uid="{F9AC75BC-BCF6-4B22-9F75-0F3CC507495B}" name="Descrição" dataDxfId="835"/>
    <tableColumn id="2" xr3:uid="{61D86D1A-7892-4923-9684-5D9A01F0BD5D}" name="Tipo de Pagto" dataDxfId="834"/>
    <tableColumn id="3" xr3:uid="{3F8C718F-C7FE-423F-9F48-66FB2201CFE2}" name="Valor" dataDxfId="83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2" dataDxfId="830" headerRowBorderDxfId="831" tableBorderDxfId="829" totalsRowBorderDxfId="8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7"/>
    <tableColumn id="2" xr3:uid="{994EFF98-DD95-4B94-B1C7-D068C1D5212C}" name="Cliente" dataDxfId="826"/>
    <tableColumn id="3" xr3:uid="{7D4E72E0-4CFA-46C9-B3AF-A1654CF194A1}" name="Forma de Pgto" dataDxfId="825" dataCellStyle="Moeda"/>
    <tableColumn id="4" xr3:uid="{EE367263-F1E4-4631-A484-2013B6BA1F27}" name="Valor Venda" dataDxfId="824" dataCellStyle="Porcentagem"/>
    <tableColumn id="5" xr3:uid="{9DA475CB-BD5A-4734-A11F-3BB7DD0D9D7E}" name="Entrada" dataDxfId="82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2" dataDxfId="820" headerRowBorderDxfId="821" tableBorderDxfId="819" totalsRowBorderDxfId="81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7"/>
    <tableColumn id="2" xr3:uid="{9ED68045-86C7-4BE0-8AE0-0417F1DD76FD}" name="Vendedor" dataDxfId="816"/>
    <tableColumn id="3" xr3:uid="{F4076139-8BF9-457D-ADE6-1BCD435E31BB}" name="CARNE" dataDxfId="81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4" dataDxfId="812" headerRowBorderDxfId="813" tableBorderDxfId="811" totalsRowBorderDxfId="8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9"/>
    <tableColumn id="2" xr3:uid="{E89F59BF-5F0B-4E4E-B2BE-7B739967886D}" name="Cliente" dataDxfId="808"/>
    <tableColumn id="3" xr3:uid="{B348335B-A485-46BE-AECB-0672679F4468}" name="Forma de Pgto" dataDxfId="807" dataCellStyle="Moeda"/>
    <tableColumn id="4" xr3:uid="{73B13E6E-5431-4E90-9A6E-E15737DDA887}" name="Valor Parcela" dataDxfId="806" dataCellStyle="Porcentagem"/>
    <tableColumn id="5" xr3:uid="{C738A843-A8FD-4CB7-B2C8-59810BA17BF2}" name="Nº Parcela" dataDxfId="80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4" headerRowBorderDxfId="803" tableBorderDxfId="802" totalsRowBorderDxfId="801">
  <autoFilter ref="K34:M41" xr:uid="{1B8643D4-6AC3-4029-882A-C62E9D7CB225}"/>
  <tableColumns count="3">
    <tableColumn id="1" xr3:uid="{3F5F54B7-8999-4296-A374-3780F172D2B8}" name="OS" dataDxfId="800"/>
    <tableColumn id="2" xr3:uid="{5F252D86-495C-4A65-B391-3FF46311DE83}" name="Parcelas" dataDxfId="799"/>
    <tableColumn id="3" xr3:uid="{50E905DA-42A9-43E1-8D51-FD4BDEAB81C8}" name="Valor Total" dataDxfId="79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7" dataDxfId="795" headerRowBorderDxfId="796" tableBorderDxfId="794" totalsRowBorderDxfId="7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2" dataCellStyle="Moeda"/>
    <tableColumn id="5" xr3:uid="{08C272CC-0220-47BB-9263-1AA910D9829C}" name="Cliente" dataDxfId="791" dataCellStyle="Moeda"/>
    <tableColumn id="2" xr3:uid="{DF276F1F-7FCA-4CE9-AD90-5340B6E688D4}" name="Forma de Pgto" dataDxfId="790" dataCellStyle="Moeda"/>
    <tableColumn id="3" xr3:uid="{CF6FE509-8C51-4621-87DF-AAD8645E20D4}" name="Valor Venda" dataDxfId="789" dataCellStyle="Porcentagem"/>
    <tableColumn id="4" xr3:uid="{5AB6BADB-DBB7-45C0-89E8-2C836C831FCF}" name="Entrada" dataDxfId="78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7" dataDxfId="785" headerRowBorderDxfId="786" tableBorderDxfId="784" totalsRowBorderDxfId="783">
  <autoFilter ref="K5:M11" xr:uid="{00000000-0009-0000-0100-000015000000}"/>
  <tableColumns count="3">
    <tableColumn id="1" xr3:uid="{8CE76670-7409-454F-9B3A-4BD739F5C5E3}" name="Descrição" dataDxfId="782"/>
    <tableColumn id="2" xr3:uid="{B2BAF2DB-A6EF-41C6-8A5D-66027E15C8F8}" name="Tipo de Pagto" dataDxfId="781"/>
    <tableColumn id="3" xr3:uid="{99CFD3BD-FC58-49DA-AC21-ACD3EE40336E}" name="Valor" dataDxfId="78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9" dataDxfId="777" headerRowBorderDxfId="778" tableBorderDxfId="776" totalsRowBorderDxfId="7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4"/>
    <tableColumn id="2" xr3:uid="{B886F79B-BD9C-476A-88F8-CB3F80E42FD0}" name="Cliente" dataDxfId="773"/>
    <tableColumn id="3" xr3:uid="{78D9CA4E-E9E8-4359-8144-996DE0EE7A64}" name="Forma de Pgto" dataDxfId="772" dataCellStyle="Moeda"/>
    <tableColumn id="4" xr3:uid="{F327BA72-0013-44A1-B3CE-07FACF46CAC8}" name="Valor Venda" dataDxfId="771" dataCellStyle="Porcentagem"/>
    <tableColumn id="5" xr3:uid="{20494810-9085-4087-A73E-D3FE8DC5C40D}" name="Entrada" dataDxfId="77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9" dataDxfId="767" headerRowBorderDxfId="768" tableBorderDxfId="766" totalsRowBorderDxfId="765">
  <autoFilter ref="K14:M31" xr:uid="{C83FE64B-E221-4DAA-89EA-5307A7BC98B3}"/>
  <tableColumns count="3">
    <tableColumn id="1" xr3:uid="{40D1E49B-6CB3-409E-AFC1-7315BAF42BBF}" name="OS" dataDxfId="764"/>
    <tableColumn id="2" xr3:uid="{4C8709E7-DDF3-475B-9A19-42E8B9FC587D}" name="Vendedor" dataDxfId="763"/>
    <tableColumn id="3" xr3:uid="{185D4DF1-07D8-4494-B6E4-5B4CFC4E2B4E}" name="CARNE" dataDxfId="76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1" dataDxfId="759" headerRowBorderDxfId="760" tableBorderDxfId="758" totalsRowBorderDxfId="7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6"/>
    <tableColumn id="2" xr3:uid="{CA06119C-2085-4F7F-B293-65E2AF15EEE5}" name="Cliente" dataDxfId="755"/>
    <tableColumn id="3" xr3:uid="{BF529E56-33D1-40B5-8E7B-EFBAB59D2A71}" name="Forma de Pgto" dataDxfId="754" dataCellStyle="Moeda"/>
    <tableColumn id="4" xr3:uid="{66CAC967-C216-41AB-BBFE-D7EC8E60B5DB}" name="Valor Parcela" dataDxfId="753" dataCellStyle="Porcentagem"/>
    <tableColumn id="5" xr3:uid="{684E478E-5460-400B-8F1B-2956E3BF42E8}" name="Nº Parcela" dataDxfId="75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1" headerRowBorderDxfId="750" tableBorderDxfId="749" totalsRowBorderDxfId="748">
  <autoFilter ref="K34:M41" xr:uid="{1B8643D4-6AC3-4029-882A-C62E9D7CB225}"/>
  <tableColumns count="3">
    <tableColumn id="1" xr3:uid="{3DD44433-DB26-4FDD-8D11-D1C35C6FECEB}" name="OS" dataDxfId="747"/>
    <tableColumn id="2" xr3:uid="{A9DC5AE8-407E-40E2-8AD6-B02FE1A5CF20}" name="Parcelas" dataDxfId="746"/>
    <tableColumn id="3" xr3:uid="{6A850C65-FE9A-4796-B920-651ED5594439}" name="Valor Total" dataDxfId="74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4" dataDxfId="742" headerRowBorderDxfId="743" tableBorderDxfId="741" totalsRowBorderDxfId="74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9" dataCellStyle="Moeda"/>
    <tableColumn id="5" xr3:uid="{60E6A65C-186D-4764-A3E8-74F5C0B0AFC1}" name="Cliente" dataDxfId="738" dataCellStyle="Moeda"/>
    <tableColumn id="2" xr3:uid="{22FA520F-5DA7-46FD-9861-DF942B6D91AB}" name="Forma de Pgto" dataDxfId="737" dataCellStyle="Moeda"/>
    <tableColumn id="3" xr3:uid="{7DEE868C-EA7D-401A-A3DF-4CC64A44467F}" name="Valor Venda" dataDxfId="736" dataCellStyle="Porcentagem"/>
    <tableColumn id="4" xr3:uid="{720D25ED-5FF4-421F-94C6-24275CF94733}" name="Entrada" dataDxfId="73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4" dataDxfId="732" headerRowBorderDxfId="733" tableBorderDxfId="731" totalsRowBorderDxfId="730">
  <autoFilter ref="K5:M11" xr:uid="{00000000-0009-0000-0100-000015000000}"/>
  <tableColumns count="3">
    <tableColumn id="1" xr3:uid="{2FBA0522-04E5-4ED5-94F6-52B232AF2373}" name="Descrição" dataDxfId="729"/>
    <tableColumn id="2" xr3:uid="{DB3FC5DE-C5F6-4B07-A662-D19BD76E91F6}" name="Tipo de Pagto" dataDxfId="728"/>
    <tableColumn id="3" xr3:uid="{A2799F30-0033-4E72-9108-ABF645A8DCD3}" name="Valor" dataDxfId="72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6" dataDxfId="724" headerRowBorderDxfId="725" tableBorderDxfId="723" totalsRowBorderDxfId="7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1"/>
    <tableColumn id="2" xr3:uid="{6DECDDC0-CF3A-4677-94C4-62618488FE89}" name="Cliente" dataDxfId="720"/>
    <tableColumn id="3" xr3:uid="{D40EA3F2-0782-4C3D-A060-4DCC1DCF2881}" name="Forma de Pgto" dataDxfId="719" dataCellStyle="Moeda"/>
    <tableColumn id="4" xr3:uid="{A527DD67-780C-4EE1-A7AE-0831114EA80A}" name="Valor Venda" dataDxfId="718" dataCellStyle="Porcentagem"/>
    <tableColumn id="5" xr3:uid="{4082F19A-5570-4E9D-B250-BCD24B16165E}" name="Entrada" dataDxfId="71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6" dataDxfId="714" headerRowBorderDxfId="715" tableBorderDxfId="713" totalsRowBorderDxfId="712">
  <autoFilter ref="K14:M31" xr:uid="{C83FE64B-E221-4DAA-89EA-5307A7BC98B3}"/>
  <tableColumns count="3">
    <tableColumn id="1" xr3:uid="{CF4CC083-8415-4A42-9102-69414AAB96C8}" name="OS" dataDxfId="711"/>
    <tableColumn id="2" xr3:uid="{AFF5A585-6EEA-427D-B49B-A553763AA94C}" name="Vendedor" dataDxfId="710"/>
    <tableColumn id="3" xr3:uid="{2D8D088A-4AB0-487F-929A-89D197884938}" name="CARNE" dataDxfId="70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8" dataDxfId="706" headerRowBorderDxfId="707" tableBorderDxfId="705" totalsRowBorderDxfId="7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3"/>
    <tableColumn id="2" xr3:uid="{71667114-B8E0-4FEE-B3C4-B23C231E71C9}" name="Cliente" dataDxfId="702"/>
    <tableColumn id="3" xr3:uid="{413E4F46-D41F-4D0A-8403-3244651C22ED}" name="Forma de Pgto" dataDxfId="701" dataCellStyle="Moeda"/>
    <tableColumn id="4" xr3:uid="{695A7396-BEC7-498E-8F8D-5C11C17422D0}" name="Valor Parcela" dataDxfId="700" dataCellStyle="Porcentagem"/>
    <tableColumn id="5" xr3:uid="{7D0562F5-5DF1-49C0-BE96-CBD4632BD577}" name="Nº Parcela" dataDxfId="69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8" headerRowBorderDxfId="697" tableBorderDxfId="696" totalsRowBorderDxfId="695">
  <autoFilter ref="K34:M41" xr:uid="{1B8643D4-6AC3-4029-882A-C62E9D7CB225}"/>
  <tableColumns count="3">
    <tableColumn id="1" xr3:uid="{468A4151-2B13-428F-B7B3-DD7850FB056D}" name="OS" dataDxfId="694"/>
    <tableColumn id="2" xr3:uid="{0E5A1628-3806-4E80-9B5C-6CCB43ED7A95}" name="Parcelas" dataDxfId="693"/>
    <tableColumn id="3" xr3:uid="{94527026-C4E7-48B1-ADEC-FAE98EDE2DF7}" name="Valor Total" dataDxfId="69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1" dataDxfId="689" headerRowBorderDxfId="690" tableBorderDxfId="688" totalsRowBorderDxfId="6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6" dataCellStyle="Moeda"/>
    <tableColumn id="5" xr3:uid="{B476382F-8FC0-4C4B-904B-9CEC2FD1737F}" name="Cliente" dataDxfId="685" dataCellStyle="Moeda"/>
    <tableColumn id="2" xr3:uid="{9347CB1E-8ECB-4789-B3B3-F0676BCEF308}" name="Forma de Pgto" dataDxfId="684" dataCellStyle="Moeda"/>
    <tableColumn id="3" xr3:uid="{95E7B651-F8E7-4260-A9CD-31524C1AF920}" name="Valor Venda" dataDxfId="683" dataCellStyle="Porcentagem"/>
    <tableColumn id="4" xr3:uid="{E1F36979-874B-46CF-A70F-6769CE2B4972}" name="Entrada" dataDxfId="68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1" dataDxfId="679" headerRowBorderDxfId="680" tableBorderDxfId="678" totalsRowBorderDxfId="677">
  <autoFilter ref="K5:M11" xr:uid="{00000000-0009-0000-0100-000015000000}"/>
  <tableColumns count="3">
    <tableColumn id="1" xr3:uid="{5DAF9728-D097-46AC-AFA1-2A7D5A636197}" name="Descrição" dataDxfId="676"/>
    <tableColumn id="2" xr3:uid="{7E14BBAB-F602-43F7-BA75-66182DDDFB5A}" name="Tipo de Pagto" dataDxfId="675"/>
    <tableColumn id="3" xr3:uid="{807C6654-E3F5-4B45-B712-93A22255EE13}" name="Valor" dataDxfId="67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3" dataDxfId="671" headerRowBorderDxfId="672" tableBorderDxfId="670" totalsRowBorderDxfId="6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8"/>
    <tableColumn id="2" xr3:uid="{DA2D4CE2-3235-4592-824A-D21C9FEE1324}" name="Cliente" dataDxfId="667"/>
    <tableColumn id="3" xr3:uid="{78436E8E-423C-4634-A0AC-78283D9649B2}" name="Forma de Pgto" dataDxfId="666" dataCellStyle="Moeda"/>
    <tableColumn id="4" xr3:uid="{9B5C140A-AEF6-451D-B599-1B3C00239BF3}" name="Valor Venda" dataDxfId="665" dataCellStyle="Porcentagem"/>
    <tableColumn id="5" xr3:uid="{91C4587E-3C3A-4A8E-B0CF-84D9FBCB29D6}" name="Entrada" dataDxfId="66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3" dataDxfId="661" headerRowBorderDxfId="662" tableBorderDxfId="660" totalsRowBorderDxfId="6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8"/>
    <tableColumn id="2" xr3:uid="{8A5D657B-8F60-4746-999B-0FA3393A39E9}" name="Vendedor" dataDxfId="657"/>
    <tableColumn id="3" xr3:uid="{496CB9CC-67BF-4541-A109-5F5FF565C716}" name="CARNE" dataDxfId="65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5" dataDxfId="653" headerRowBorderDxfId="654" tableBorderDxfId="652" totalsRowBorderDxfId="6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0"/>
    <tableColumn id="2" xr3:uid="{B3362A08-206B-41A8-970B-34C6B8B4C7AA}" name="Cliente" dataDxfId="649"/>
    <tableColumn id="3" xr3:uid="{718A6844-98C1-4F96-8966-19162734BEB9}" name="Forma de Pgto" dataDxfId="648" dataCellStyle="Moeda"/>
    <tableColumn id="4" xr3:uid="{DC15894A-49A7-435B-A661-5666005BEEC8}" name="Valor Parcela" dataDxfId="647" dataCellStyle="Porcentagem"/>
    <tableColumn id="5" xr3:uid="{DE080DD1-0F6B-485E-8515-CE624433C220}" name="Nº Parcela" dataDxfId="64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5" headerRowBorderDxfId="644" tableBorderDxfId="643" totalsRowBorderDxfId="642">
  <autoFilter ref="K34:M41" xr:uid="{1B8643D4-6AC3-4029-882A-C62E9D7CB225}"/>
  <tableColumns count="3">
    <tableColumn id="1" xr3:uid="{DF952D1A-166D-4762-BD7E-3B8C91304310}" name="OS" dataDxfId="641"/>
    <tableColumn id="2" xr3:uid="{4F0F7384-D5B8-477E-9EC7-B82060EBBD78}" name="Parcelas" dataDxfId="640"/>
    <tableColumn id="3" xr3:uid="{8DD00EBF-D0FE-4903-8F44-7064A873609A}" name="Valor Total" dataDxfId="63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8" dataDxfId="636" headerRowBorderDxfId="637" tableBorderDxfId="635" totalsRowBorderDxfId="6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3" dataCellStyle="Moeda"/>
    <tableColumn id="5" xr3:uid="{F65697F3-20D0-4B41-BE55-C2885202D924}" name="Cliente" dataDxfId="632" dataCellStyle="Moeda"/>
    <tableColumn id="2" xr3:uid="{11E8E848-C035-46A3-B1AB-9BBD863CA30A}" name="Forma de Pgto" dataDxfId="631" dataCellStyle="Moeda"/>
    <tableColumn id="3" xr3:uid="{CE50BBF0-66D9-4ABB-AD66-D300C740ED4C}" name="Valor Venda" dataDxfId="630" dataCellStyle="Porcentagem"/>
    <tableColumn id="4" xr3:uid="{A6700982-093E-4E60-A8B4-C0EB11A78A03}" name="Entrada" dataDxfId="629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8" dataDxfId="626" headerRowBorderDxfId="627" tableBorderDxfId="625" totalsRowBorderDxfId="624">
  <autoFilter ref="K5:M11" xr:uid="{00000000-0009-0000-0100-000015000000}"/>
  <tableColumns count="3">
    <tableColumn id="1" xr3:uid="{53B1873C-545D-4906-B601-0C81EDA7CFE1}" name="Descrição" dataDxfId="623"/>
    <tableColumn id="2" xr3:uid="{76E6DB40-F96B-4A9C-8632-7103030C72DC}" name="Tipo de Pagto" dataDxfId="622"/>
    <tableColumn id="3" xr3:uid="{C62F93B6-2A0A-47C6-8FF1-E604490619BC}" name="Valor" dataDxfId="62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0" dataDxfId="618" headerRowBorderDxfId="619" tableBorderDxfId="617" totalsRowBorderDxfId="6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5"/>
    <tableColumn id="2" xr3:uid="{B806E92F-CE0E-4D07-A956-20D8F2029057}" name="Cliente" dataDxfId="614"/>
    <tableColumn id="3" xr3:uid="{36BDBAFD-E01B-4EEA-BEB0-2FB5914B315B}" name="Forma de Pgto" dataDxfId="613" dataCellStyle="Moeda"/>
    <tableColumn id="4" xr3:uid="{56605023-01AD-4E35-8794-2FCCF14CCA1F}" name="Valor Venda" dataDxfId="612" dataCellStyle="Porcentagem"/>
    <tableColumn id="5" xr3:uid="{C1960D0E-D625-415E-9C4E-608948FC535D}" name="Entrada" dataDxfId="611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0" dataDxfId="608" headerRowBorderDxfId="609" tableBorderDxfId="607" totalsRowBorderDxfId="606">
  <autoFilter ref="K14:M31" xr:uid="{C83FE64B-E221-4DAA-89EA-5307A7BC98B3}"/>
  <tableColumns count="3">
    <tableColumn id="1" xr3:uid="{6A036C59-7D03-43F7-84CF-EE3CB14BE67B}" name="OS" dataDxfId="605"/>
    <tableColumn id="2" xr3:uid="{C5A126A9-9B7F-4F06-ADC7-ACCED0396BF3}" name="Vendedor" dataDxfId="604"/>
    <tableColumn id="3" xr3:uid="{BA1C7B45-A00B-472E-A02F-25A3DC58D90D}" name="CARNE" dataDxfId="603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2" dataDxfId="600" headerRowBorderDxfId="601" tableBorderDxfId="599" totalsRowBorderDxfId="5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7"/>
    <tableColumn id="2" xr3:uid="{2C145274-4831-4FAC-9C72-4EE6C56B54AE}" name="Cliente" dataDxfId="596"/>
    <tableColumn id="3" xr3:uid="{DE981E69-6CF2-49CA-A2F4-E16E28E648B8}" name="Forma de Pgto" dataDxfId="595" dataCellStyle="Moeda"/>
    <tableColumn id="4" xr3:uid="{6444B2E2-EBBD-4AD1-8C9A-93047C0686E8}" name="Valor Parcela" dataDxfId="594" dataCellStyle="Porcentagem"/>
    <tableColumn id="5" xr3:uid="{04528C7F-DC52-411C-A2BF-BF90292C4224}" name="Nº Parcela" dataDxfId="593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2" headerRowBorderDxfId="591" tableBorderDxfId="590" totalsRowBorderDxfId="589">
  <autoFilter ref="K34:M41" xr:uid="{1B8643D4-6AC3-4029-882A-C62E9D7CB225}"/>
  <tableColumns count="3">
    <tableColumn id="1" xr3:uid="{B8F19651-A782-44BC-8BA0-FFD090973F4B}" name="OS" dataDxfId="588"/>
    <tableColumn id="2" xr3:uid="{47E2F01C-C7E6-4997-80A0-4C35FA7B082A}" name="Parcelas" dataDxfId="587"/>
    <tableColumn id="3" xr3:uid="{BBBC80DF-0D25-47A9-9C8A-B68DAC85549A}" name="Valor Total" dataDxfId="58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5" dataDxfId="583" headerRowBorderDxfId="584" tableBorderDxfId="582" totalsRowBorderDxfId="5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0" dataCellStyle="Moeda"/>
    <tableColumn id="5" xr3:uid="{63E5AEF6-80DE-4801-B1C2-914D1F185217}" name="Cliente" dataDxfId="579" dataCellStyle="Moeda"/>
    <tableColumn id="2" xr3:uid="{1109E74A-578C-491B-B35C-C22544718F14}" name="Forma de Pgto" dataDxfId="578" dataCellStyle="Moeda"/>
    <tableColumn id="3" xr3:uid="{5C59392A-0568-4E84-9867-F9DCD09B25B6}" name="Valor Venda" dataDxfId="577" dataCellStyle="Porcentagem"/>
    <tableColumn id="4" xr3:uid="{D2C3A378-8143-432B-A8C6-A6193ABD7662}" name="Entrada" dataDxfId="57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5" dataDxfId="573" headerRowBorderDxfId="574" tableBorderDxfId="572" totalsRowBorderDxfId="571">
  <autoFilter ref="K5:M11" xr:uid="{00000000-0009-0000-0100-000015000000}"/>
  <tableColumns count="3">
    <tableColumn id="1" xr3:uid="{E6962685-66B9-4B52-AFC6-82E1DC5ABF13}" name="Descrição" dataDxfId="570"/>
    <tableColumn id="2" xr3:uid="{632111FE-E109-4AB8-89E6-0435B85BD131}" name="Tipo de Pagto" dataDxfId="569"/>
    <tableColumn id="3" xr3:uid="{E8C5B365-8D2D-4605-8A16-1AB9150BCC44}" name="Valor" dataDxfId="56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7" dataDxfId="565" headerRowBorderDxfId="566" tableBorderDxfId="564" totalsRowBorderDxfId="5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2"/>
    <tableColumn id="2" xr3:uid="{C0E81097-83C4-4524-8E34-CEF9787F8A7E}" name="Cliente" dataDxfId="561"/>
    <tableColumn id="3" xr3:uid="{8D59E67E-B452-4F9A-AAE0-36EA95BB6E19}" name="Forma de Pgto" dataDxfId="560" dataCellStyle="Moeda"/>
    <tableColumn id="4" xr3:uid="{F7466880-2D96-46D0-97F5-A0F3057F4B83}" name="Valor Venda" dataDxfId="559" dataCellStyle="Porcentagem"/>
    <tableColumn id="5" xr3:uid="{1C9ACBF3-A8FA-4869-9459-B9FD6EE7CC98}" name="Entrada" dataDxfId="55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7" dataDxfId="555" headerRowBorderDxfId="556" tableBorderDxfId="554" totalsRowBorderDxfId="553">
  <autoFilter ref="K14:M31" xr:uid="{C83FE64B-E221-4DAA-89EA-5307A7BC98B3}"/>
  <tableColumns count="3">
    <tableColumn id="1" xr3:uid="{B00D0221-B7E2-4319-872F-39A5F278179B}" name="OS" dataDxfId="552"/>
    <tableColumn id="2" xr3:uid="{EB50C8BC-2DB9-4F7B-B612-681BB547926A}" name="Vendedor" dataDxfId="551"/>
    <tableColumn id="3" xr3:uid="{35270191-CAC7-406B-B916-370E9194FBD0}" name="CARNE" dataDxfId="55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9" dataDxfId="547" headerRowBorderDxfId="548" tableBorderDxfId="546" totalsRowBorderDxfId="5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4"/>
    <tableColumn id="2" xr3:uid="{D650DC73-190F-4D20-A432-5DFA05B32EBB}" name="Cliente" dataDxfId="543"/>
    <tableColumn id="3" xr3:uid="{B232D3BA-4291-4772-8FA1-966DFC2F6BAD}" name="Forma de Pgto" dataDxfId="542" dataCellStyle="Moeda"/>
    <tableColumn id="4" xr3:uid="{27933DC4-0B14-4F8A-9424-CDECA8B0BE13}" name="Valor Parcela" dataDxfId="541" dataCellStyle="Porcentagem"/>
    <tableColumn id="5" xr3:uid="{812A2DA5-D78D-454A-BF37-5BC7C8B486FB}" name="Nº Parcela" dataDxfId="54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9" headerRowBorderDxfId="538" tableBorderDxfId="537" totalsRowBorderDxfId="536">
  <autoFilter ref="K34:M41" xr:uid="{1B8643D4-6AC3-4029-882A-C62E9D7CB225}"/>
  <tableColumns count="3">
    <tableColumn id="1" xr3:uid="{F3E7E89B-8196-4CDC-A23E-947DB3CEA07C}" name="OS" dataDxfId="535"/>
    <tableColumn id="2" xr3:uid="{D705822D-AFE1-401D-A8C8-7D7BB7A4C86C}" name="Parcelas" dataDxfId="534"/>
    <tableColumn id="3" xr3:uid="{C528E7A1-6466-4E27-8A7C-A46F4678792C}" name="Valor Total" dataDxfId="533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2" dataDxfId="530" headerRowBorderDxfId="531" tableBorderDxfId="529" totalsRowBorderDxfId="5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7" dataCellStyle="Moeda"/>
    <tableColumn id="5" xr3:uid="{935EFB73-C7DF-4DB2-A9CA-2CCBA3650F22}" name="Cliente" dataDxfId="526" dataCellStyle="Moeda"/>
    <tableColumn id="2" xr3:uid="{869122A0-3CC2-4E92-8EFB-746E8E8CB311}" name="Forma de Pgto" dataDxfId="525" dataCellStyle="Moeda"/>
    <tableColumn id="3" xr3:uid="{6DA3B9FE-BCC2-4503-9E60-EA0ED444B7A6}" name="Valor Venda" dataDxfId="524" dataCellStyle="Porcentagem"/>
    <tableColumn id="4" xr3:uid="{A8A1A79C-5DE2-48A0-9D24-1DA382BBF42E}" name="Entrada" dataDxfId="523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2" dataDxfId="520" headerRowBorderDxfId="521" tableBorderDxfId="519" totalsRowBorderDxfId="518">
  <autoFilter ref="K5:M11" xr:uid="{00000000-0009-0000-0100-000015000000}"/>
  <tableColumns count="3">
    <tableColumn id="1" xr3:uid="{3E8535D4-7B2A-41EF-B25F-D96FCA746C77}" name="Descrição" dataDxfId="517"/>
    <tableColumn id="2" xr3:uid="{29FD7EBB-FAB4-46A7-8D0C-8DEF811BE03C}" name="Tipo de Pagto" dataDxfId="516"/>
    <tableColumn id="3" xr3:uid="{42A84199-904C-48CF-9EA1-668D5693A5E1}" name="Valor" dataDxfId="51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4" dataDxfId="512" headerRowBorderDxfId="513" tableBorderDxfId="511" totalsRowBorderDxfId="5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9"/>
    <tableColumn id="2" xr3:uid="{06FD4E8A-ECFC-46A5-9546-F18D5C7CCF46}" name="Cliente" dataDxfId="508"/>
    <tableColumn id="3" xr3:uid="{393434A3-085F-407B-B651-4C537A1C4DCA}" name="Forma de Pgto" dataDxfId="507" dataCellStyle="Moeda"/>
    <tableColumn id="4" xr3:uid="{D08FA6C2-56D1-4A76-94C1-132618C070F2}" name="Valor Venda" dataDxfId="506" dataCellStyle="Porcentagem"/>
    <tableColumn id="5" xr3:uid="{A94780A1-5426-454F-8950-AFE4D356071F}" name="Entrada" dataDxfId="505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4" dataDxfId="502" headerRowBorderDxfId="503" tableBorderDxfId="501" totalsRowBorderDxfId="500">
  <autoFilter ref="K14:M31" xr:uid="{C83FE64B-E221-4DAA-89EA-5307A7BC98B3}"/>
  <tableColumns count="3">
    <tableColumn id="1" xr3:uid="{5F81F202-5A63-416E-B66A-BC7A70C51944}" name="OS" dataDxfId="499"/>
    <tableColumn id="2" xr3:uid="{74527326-0E45-44AC-976A-01AD354EEF97}" name="Vendedor" dataDxfId="498"/>
    <tableColumn id="3" xr3:uid="{7E368C39-6290-45A4-8C60-3E0B6BEC860E}" name="CARNE" dataDxfId="49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6" dataDxfId="494" headerRowBorderDxfId="495" tableBorderDxfId="493" totalsRowBorderDxfId="4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1"/>
    <tableColumn id="2" xr3:uid="{5FB18F19-64B5-46AA-955B-A301C651C0F2}" name="Cliente" dataDxfId="490"/>
    <tableColumn id="3" xr3:uid="{51F731CD-986B-4FF6-A861-83997E66998E}" name="Forma de Pgto" dataDxfId="489" dataCellStyle="Moeda"/>
    <tableColumn id="4" xr3:uid="{BD861052-26CD-48E9-91C6-0A6DF7C6A099}" name="Valor Parcela" dataDxfId="488" dataCellStyle="Porcentagem"/>
    <tableColumn id="5" xr3:uid="{8A5D6765-7637-45A4-9660-09EDBB031EC1}" name="Nº Parcela" dataDxfId="487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6" headerRowBorderDxfId="485" tableBorderDxfId="484" totalsRowBorderDxfId="483">
  <autoFilter ref="K34:M41" xr:uid="{1B8643D4-6AC3-4029-882A-C62E9D7CB225}"/>
  <tableColumns count="3">
    <tableColumn id="1" xr3:uid="{96F2F5A7-6005-4604-8B24-0E2838B4DD29}" name="OS" dataDxfId="482"/>
    <tableColumn id="2" xr3:uid="{ED904B68-5D9C-4B50-96BA-96CAD5E34CF1}" name="Parcelas" dataDxfId="481"/>
    <tableColumn id="3" xr3:uid="{317680F4-80F7-44BC-B3EF-4EFC6A803CAC}" name="Valor Total" dataDxfId="48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9" dataDxfId="477" headerRowBorderDxfId="478" tableBorderDxfId="476" totalsRowBorderDxfId="4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4" dataCellStyle="Moeda"/>
    <tableColumn id="5" xr3:uid="{8C950723-3D74-47BB-96EF-8D7D6A2189F6}" name="Cliente" dataDxfId="473" dataCellStyle="Moeda"/>
    <tableColumn id="2" xr3:uid="{891A7678-229E-4FF4-AD78-C00F149C7AB3}" name="Forma de Pgto" dataDxfId="472" dataCellStyle="Moeda"/>
    <tableColumn id="3" xr3:uid="{C1AD64CF-D636-4D0B-90AF-998E65C41E3B}" name="Valor Venda" dataDxfId="471" dataCellStyle="Porcentagem"/>
    <tableColumn id="4" xr3:uid="{4674130B-789D-479A-9F01-407FB3322D27}" name="Entrada" dataDxfId="470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9" dataDxfId="467" headerRowBorderDxfId="468" tableBorderDxfId="466" totalsRowBorderDxfId="465">
  <autoFilter ref="K5:M11" xr:uid="{00000000-0009-0000-0100-000015000000}"/>
  <tableColumns count="3">
    <tableColumn id="1" xr3:uid="{558DC85F-C627-4F48-82AA-C24727E75A42}" name="Descrição" dataDxfId="464"/>
    <tableColumn id="2" xr3:uid="{8346B0E0-FB0D-4ED3-ABBC-3816B7CB40C9}" name="Tipo de Pagto" dataDxfId="463"/>
    <tableColumn id="3" xr3:uid="{362F9934-CC54-4E70-A26F-6CDF66DEB838}" name="Valor" dataDxfId="462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1" dataDxfId="459" headerRowBorderDxfId="460" tableBorderDxfId="458" totalsRowBorderDxfId="4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6"/>
    <tableColumn id="2" xr3:uid="{B711E4E6-0AE5-42C8-8015-A72C2855CDFB}" name="Cliente" dataDxfId="455"/>
    <tableColumn id="3" xr3:uid="{016D3713-BA29-48F8-8683-6E42C1C8BDFE}" name="Forma de Pgto" dataDxfId="454" dataCellStyle="Moeda"/>
    <tableColumn id="4" xr3:uid="{66F30211-F047-40DA-B134-05B87A798574}" name="Valor Venda" dataDxfId="453" dataCellStyle="Porcentagem"/>
    <tableColumn id="5" xr3:uid="{2FB6AB3C-AA9E-4034-AF4B-12D9A3ECBBCA}" name="Entrada" dataDxfId="452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1" dataDxfId="449" headerRowBorderDxfId="450" tableBorderDxfId="448" totalsRowBorderDxfId="447">
  <autoFilter ref="K14:M31" xr:uid="{C83FE64B-E221-4DAA-89EA-5307A7BC98B3}"/>
  <tableColumns count="3">
    <tableColumn id="1" xr3:uid="{D6DF1477-46D1-47E2-A070-9A33886E6137}" name="OS" dataDxfId="446"/>
    <tableColumn id="2" xr3:uid="{C4215FA6-4F2C-444A-8E0B-4F99AEEE9430}" name="Vendedor" dataDxfId="445"/>
    <tableColumn id="3" xr3:uid="{7B8AD675-F389-4803-BFFB-8166F703E829}" name="CARNE" dataDxfId="444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3" dataDxfId="441" headerRowBorderDxfId="442" tableBorderDxfId="440" totalsRowBorderDxfId="43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8"/>
    <tableColumn id="2" xr3:uid="{45674E96-72EC-433B-9141-E40A07A72A19}" name="Cliente" dataDxfId="437"/>
    <tableColumn id="3" xr3:uid="{22102B96-8607-4584-B5A3-C1EE639E0F4C}" name="Forma de Pgto" dataDxfId="436" dataCellStyle="Moeda"/>
    <tableColumn id="4" xr3:uid="{DC2E9D15-91B3-4478-AA38-B98773D1B0DA}" name="Valor Parcela" dataDxfId="435" dataCellStyle="Porcentagem"/>
    <tableColumn id="5" xr3:uid="{ABCCDEDB-69A0-4492-A24A-12A60E76A2F8}" name="Nº Parcela" dataDxfId="434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3" headerRowBorderDxfId="432" tableBorderDxfId="431" totalsRowBorderDxfId="430">
  <autoFilter ref="K34:M41" xr:uid="{1B8643D4-6AC3-4029-882A-C62E9D7CB225}"/>
  <tableColumns count="3">
    <tableColumn id="1" xr3:uid="{96E4A694-A16C-4FAB-8484-5D1DCD513FF1}" name="OS" dataDxfId="429"/>
    <tableColumn id="2" xr3:uid="{CEC7F98C-5986-47BB-824E-5616D5A150E4}" name="Parcelas" dataDxfId="428"/>
    <tableColumn id="3" xr3:uid="{A82CBD0B-203D-4ED5-BDE4-3B77ECED5860}" name="Valor Total" dataDxfId="42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J22" totalsRowShown="0" headerRowDxfId="426" dataDxfId="424" headerRowBorderDxfId="425" tableBorderDxfId="423" totalsRowBorderDxfId="422">
  <autoFilter ref="E5:J22" xr:uid="{00000000-0009-0000-0100-000014000000}"/>
  <sortState xmlns:xlrd2="http://schemas.microsoft.com/office/spreadsheetml/2017/richdata2" ref="E6:I22">
    <sortCondition ref="E5:E22"/>
  </sortState>
  <tableColumns count="6">
    <tableColumn id="1" xr3:uid="{C41BDFAE-EFE1-4042-A5B7-F4E003471969}" name="Nº Venda" dataDxfId="421" dataCellStyle="Moeda"/>
    <tableColumn id="5" xr3:uid="{28960474-C27A-4147-BD99-7BB60462B8B0}" name="Cliente" dataDxfId="420" dataCellStyle="Moeda"/>
    <tableColumn id="2" xr3:uid="{67D37C1F-FE45-48AD-BED8-2CFECE89FEA0}" name="Forma de Pgto" dataDxfId="419" dataCellStyle="Moeda"/>
    <tableColumn id="3" xr3:uid="{9D53CA59-8DC0-45C1-B948-0BC9CE105A46}" name="Valor Venda" dataDxfId="418" dataCellStyle="Porcentagem"/>
    <tableColumn id="4" xr3:uid="{63C5EED9-C4FA-4177-B2B7-18053322A958}" name="Entrada" dataDxfId="417" dataCellStyle="Porcentagem"/>
    <tableColumn id="6" xr3:uid="{6F861278-FA83-409F-874F-67E3C60E4121}" name="Coluna1" dataDxfId="416" dataCellStyle="Moeda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D17" sqref="D17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127</v>
      </c>
    </row>
    <row r="2" spans="1:16" ht="15" x14ac:dyDescent="0.2">
      <c r="A2" s="19" t="s">
        <v>0</v>
      </c>
      <c r="B2" s="78">
        <v>0</v>
      </c>
      <c r="P2" t="s">
        <v>128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60922.8</v>
      </c>
      <c r="P3" t="s">
        <v>129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46959.9</v>
      </c>
      <c r="P4" t="s">
        <v>130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650</v>
      </c>
      <c r="P5" t="s">
        <v>131</v>
      </c>
    </row>
    <row r="6" spans="1:16" ht="15.75" x14ac:dyDescent="0.25">
      <c r="A6" s="28" t="s">
        <v>4</v>
      </c>
      <c r="B6" s="29">
        <f>SUM(B4:B5)</f>
        <v>47609.9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110" t="s">
        <v>5</v>
      </c>
      <c r="B8" s="110"/>
      <c r="P8" t="s">
        <v>134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2222.5</v>
      </c>
      <c r="P9" t="s">
        <v>135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9139.1299999999992</v>
      </c>
      <c r="P10" t="s">
        <v>136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31545.1</v>
      </c>
      <c r="P11" t="s">
        <v>137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138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5785</v>
      </c>
      <c r="P13" t="s">
        <v>139</v>
      </c>
    </row>
    <row r="14" spans="1:16" ht="15.75" x14ac:dyDescent="0.25">
      <c r="A14" s="28" t="s">
        <v>11</v>
      </c>
      <c r="B14" s="79">
        <f ca="1">SUM(B9:B13)</f>
        <v>48691.729999999996</v>
      </c>
    </row>
    <row r="15" spans="1:16" ht="15" x14ac:dyDescent="0.25">
      <c r="A15" s="2"/>
      <c r="B15" s="2"/>
    </row>
    <row r="16" spans="1:16" ht="15" x14ac:dyDescent="0.2">
      <c r="A16" s="110" t="s">
        <v>12</v>
      </c>
      <c r="B16" s="110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3922</v>
      </c>
    </row>
    <row r="18" spans="1:2" ht="15.75" x14ac:dyDescent="0.25">
      <c r="A18" s="28" t="s">
        <v>11</v>
      </c>
      <c r="B18" s="79">
        <f>SUM(B17:B17)</f>
        <v>3922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9" zoomScale="70" zoomScaleNormal="70" workbookViewId="0">
      <selection activeCell="Y11" sqref="Y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45474</v>
      </c>
    </row>
    <row r="2" spans="2:18" ht="18.75" x14ac:dyDescent="0.2">
      <c r="B2" s="115" t="s">
        <v>126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SUMIF(I16:I31,"&gt;0",H16:H31)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SUM(I16:I41)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4" zoomScale="80" zoomScaleNormal="80" workbookViewId="0">
      <selection activeCell="W10" sqref="W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'01'!B1+1</f>
        <v>45475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9193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3955</v>
      </c>
      <c r="D6" s="2"/>
      <c r="E6" s="106">
        <v>3604</v>
      </c>
      <c r="F6" s="104" t="s">
        <v>140</v>
      </c>
      <c r="G6" s="104" t="s">
        <v>10</v>
      </c>
      <c r="H6" s="105">
        <v>499</v>
      </c>
      <c r="I6" s="105">
        <v>10</v>
      </c>
      <c r="J6" s="2"/>
      <c r="K6" s="25"/>
      <c r="L6" s="9"/>
      <c r="M6" s="16"/>
      <c r="R6" s="1">
        <f>IF(vend2[[#This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06">
        <v>3605</v>
      </c>
      <c r="F7" s="58" t="s">
        <v>141</v>
      </c>
      <c r="G7" s="58" t="s">
        <v>7</v>
      </c>
      <c r="H7" s="47">
        <v>1100</v>
      </c>
      <c r="I7" s="47">
        <v>1100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3955</v>
      </c>
      <c r="D8" s="2"/>
      <c r="E8" s="106">
        <v>3606</v>
      </c>
      <c r="F8" s="58" t="s">
        <v>142</v>
      </c>
      <c r="G8" s="58" t="s">
        <v>8</v>
      </c>
      <c r="H8" s="47">
        <v>579</v>
      </c>
      <c r="I8" s="47">
        <v>579</v>
      </c>
      <c r="J8" s="2"/>
      <c r="K8" s="25"/>
      <c r="L8" s="9"/>
      <c r="M8" s="16"/>
      <c r="R8" s="1">
        <f>IF(vend2[[#This Row],[Nº Venda]]&gt;1,1,0)</f>
        <v>1</v>
      </c>
    </row>
    <row r="9" spans="2:18" ht="15" x14ac:dyDescent="0.25">
      <c r="B9" s="2"/>
      <c r="C9" s="2"/>
      <c r="D9" s="2"/>
      <c r="E9" s="106">
        <v>3607</v>
      </c>
      <c r="F9" s="58" t="s">
        <v>143</v>
      </c>
      <c r="G9" s="58" t="s">
        <v>10</v>
      </c>
      <c r="H9" s="47">
        <v>680</v>
      </c>
      <c r="I9" s="47">
        <v>10</v>
      </c>
      <c r="J9" s="2"/>
      <c r="K9" s="25"/>
      <c r="L9" s="9"/>
      <c r="M9" s="16"/>
      <c r="R9" s="1">
        <f>IF(vend2[[#This Row],[Nº Venda]]&gt;1,1,0)</f>
        <v>1</v>
      </c>
    </row>
    <row r="10" spans="2:18" ht="15" x14ac:dyDescent="0.25">
      <c r="B10" s="110" t="s">
        <v>5</v>
      </c>
      <c r="C10" s="110"/>
      <c r="D10" s="2"/>
      <c r="E10" s="106">
        <v>3608</v>
      </c>
      <c r="F10" s="58" t="s">
        <v>144</v>
      </c>
      <c r="G10" s="58" t="s">
        <v>8</v>
      </c>
      <c r="H10" s="47">
        <v>298</v>
      </c>
      <c r="I10" s="47">
        <v>298</v>
      </c>
      <c r="J10" s="2"/>
      <c r="K10" s="25"/>
      <c r="L10" s="9"/>
      <c r="M10" s="16"/>
      <c r="R10" s="1">
        <f>IF(vend2[[#This Row],[Nº Venda]]&gt;1,1,0)</f>
        <v>1</v>
      </c>
    </row>
    <row r="11" spans="2:18" ht="15" x14ac:dyDescent="0.25">
      <c r="B11" s="30" t="s">
        <v>6</v>
      </c>
      <c r="C11" s="31">
        <f>(SUMIF($G$2:$G$31,B11,$I$2:$I$31))+(SUMIF($G$35:$G$41,B11,$H$35:$H$41))</f>
        <v>310</v>
      </c>
      <c r="D11" s="2"/>
      <c r="E11" s="106">
        <v>3609</v>
      </c>
      <c r="F11" s="58" t="s">
        <v>145</v>
      </c>
      <c r="G11" s="58" t="s">
        <v>7</v>
      </c>
      <c r="H11" s="47">
        <v>1250</v>
      </c>
      <c r="I11" s="47">
        <v>300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1450</v>
      </c>
      <c r="D12" s="2"/>
      <c r="E12" s="106">
        <v>3610</v>
      </c>
      <c r="F12" s="58" t="s">
        <v>146</v>
      </c>
      <c r="G12" s="58" t="s">
        <v>7</v>
      </c>
      <c r="H12" s="47">
        <v>2490</v>
      </c>
      <c r="I12" s="47">
        <v>50</v>
      </c>
      <c r="J12" s="2"/>
      <c r="R12" s="1">
        <f>IF(vend2[[#This Row],[Nº Venda]]&gt;1,1,0)</f>
        <v>1</v>
      </c>
    </row>
    <row r="13" spans="2:18" ht="15" x14ac:dyDescent="0.25">
      <c r="B13" s="30" t="s">
        <v>8</v>
      </c>
      <c r="C13" s="31">
        <f t="shared" si="0"/>
        <v>1775</v>
      </c>
      <c r="D13" s="2"/>
      <c r="E13" s="106">
        <v>3611</v>
      </c>
      <c r="F13" s="58" t="s">
        <v>147</v>
      </c>
      <c r="G13" s="58" t="s">
        <v>6</v>
      </c>
      <c r="H13" s="47">
        <v>1399</v>
      </c>
      <c r="I13" s="47">
        <v>310</v>
      </c>
      <c r="J13" s="2"/>
      <c r="K13" s="112" t="s">
        <v>22</v>
      </c>
      <c r="L13" s="113"/>
      <c r="M13" s="114"/>
      <c r="R13" s="1">
        <f>IF(vend2[[#This Row],[Nº Venda]]&gt;1,1,0)</f>
        <v>1</v>
      </c>
    </row>
    <row r="14" spans="2:18" ht="15" x14ac:dyDescent="0.25">
      <c r="B14" s="30" t="s">
        <v>9</v>
      </c>
      <c r="C14" s="31">
        <f t="shared" si="0"/>
        <v>0</v>
      </c>
      <c r="D14" s="2"/>
      <c r="E14" s="106">
        <v>3612</v>
      </c>
      <c r="F14" s="58" t="s">
        <v>148</v>
      </c>
      <c r="G14" s="58" t="s">
        <v>8</v>
      </c>
      <c r="H14" s="47">
        <v>599</v>
      </c>
      <c r="I14" s="47">
        <v>599</v>
      </c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1</v>
      </c>
    </row>
    <row r="15" spans="2:18" ht="15" x14ac:dyDescent="0.25">
      <c r="B15" s="30" t="s">
        <v>10</v>
      </c>
      <c r="C15" s="31">
        <f t="shared" si="0"/>
        <v>420</v>
      </c>
      <c r="D15" s="2"/>
      <c r="E15" s="106">
        <v>3613</v>
      </c>
      <c r="F15" s="58" t="s">
        <v>149</v>
      </c>
      <c r="G15" s="58" t="s">
        <v>8</v>
      </c>
      <c r="H15" s="47">
        <v>299</v>
      </c>
      <c r="I15" s="47">
        <v>299</v>
      </c>
      <c r="J15" s="2"/>
      <c r="K15" s="25">
        <v>3566</v>
      </c>
      <c r="L15" s="9" t="s">
        <v>128</v>
      </c>
      <c r="M15" s="16" t="s">
        <v>150</v>
      </c>
      <c r="R15" s="1">
        <f>IF(vend2[[#This Row],[Nº Venda]]&gt;1,1,0)</f>
        <v>1</v>
      </c>
    </row>
    <row r="16" spans="2:18" ht="15.75" x14ac:dyDescent="0.25">
      <c r="B16" s="28" t="s">
        <v>11</v>
      </c>
      <c r="C16" s="32">
        <f>SUM(C11:C15)</f>
        <v>3955</v>
      </c>
      <c r="D16" s="2"/>
      <c r="E16" s="106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106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" x14ac:dyDescent="0.25">
      <c r="B18" s="110" t="s">
        <v>12</v>
      </c>
      <c r="C18" s="110"/>
      <c r="D18" s="2"/>
      <c r="E18" s="106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" x14ac:dyDescent="0.25">
      <c r="B19" s="30">
        <f>COUNT(entr_carn2[OS])</f>
        <v>1</v>
      </c>
      <c r="C19" s="31">
        <f>SUM(entr_carn2[Valor Total])</f>
        <v>999</v>
      </c>
      <c r="D19" s="2"/>
      <c r="E19" s="106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999</v>
      </c>
      <c r="D20" s="2"/>
      <c r="E20" s="106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106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9193</v>
      </c>
      <c r="D22" s="2"/>
      <c r="E22" s="106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3566</v>
      </c>
      <c r="F26" s="25" t="s">
        <v>151</v>
      </c>
      <c r="G26" s="26" t="s">
        <v>10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3566</v>
      </c>
      <c r="L35" s="41">
        <v>4</v>
      </c>
      <c r="M35" s="16">
        <v>999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2" zoomScale="80" zoomScaleNormal="8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45476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649.9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3614</v>
      </c>
      <c r="F6" s="25" t="s">
        <v>153</v>
      </c>
      <c r="G6" s="46" t="s">
        <v>6</v>
      </c>
      <c r="H6" s="8">
        <v>649.9</v>
      </c>
      <c r="I6" s="8">
        <v>150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3595</v>
      </c>
      <c r="L15" s="9" t="s">
        <v>128</v>
      </c>
      <c r="M15" s="16" t="s">
        <v>152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649.9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45477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639.9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639.9</v>
      </c>
      <c r="D6" s="2"/>
      <c r="E6" s="18">
        <v>3615</v>
      </c>
      <c r="F6" s="25" t="s">
        <v>154</v>
      </c>
      <c r="G6" s="46" t="s">
        <v>8</v>
      </c>
      <c r="H6" s="8">
        <v>240</v>
      </c>
      <c r="I6" s="8">
        <v>240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3616</v>
      </c>
      <c r="F7" s="25" t="s">
        <v>155</v>
      </c>
      <c r="G7" s="46" t="s">
        <v>7</v>
      </c>
      <c r="H7" s="8">
        <v>399.9</v>
      </c>
      <c r="I7" s="8">
        <v>399.9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639.9</v>
      </c>
      <c r="D8" s="2"/>
      <c r="E8" s="18">
        <v>3617</v>
      </c>
      <c r="F8" s="25" t="s">
        <v>156</v>
      </c>
      <c r="G8" s="46" t="s">
        <v>39</v>
      </c>
      <c r="H8" s="8">
        <v>0</v>
      </c>
      <c r="I8" s="8">
        <v>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399.9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240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>
        <v>3585</v>
      </c>
      <c r="L15" s="9" t="s">
        <v>134</v>
      </c>
      <c r="M15" s="60" t="s">
        <v>152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639.9</v>
      </c>
      <c r="D16" s="2"/>
      <c r="E16" s="18"/>
      <c r="F16" s="25"/>
      <c r="G16" s="26"/>
      <c r="H16" s="8"/>
      <c r="I16" s="8"/>
      <c r="J16" s="2"/>
      <c r="K16" s="61">
        <v>3615</v>
      </c>
      <c r="L16" s="9" t="s">
        <v>134</v>
      </c>
      <c r="M16" s="60" t="s">
        <v>152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>
        <v>3601</v>
      </c>
      <c r="L17" s="9" t="s">
        <v>128</v>
      </c>
      <c r="M17" s="60" t="s">
        <v>152</v>
      </c>
      <c r="R17" s="1">
        <f>IF(vend4[[#This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639.9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4" zoomScale="80" zoomScaleNormal="80" workbookViewId="0">
      <selection activeCell="U17" sqref="U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42578125" style="34" customWidth="1"/>
    <col min="7" max="7" width="13.140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17.425781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45478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2379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1070</v>
      </c>
      <c r="D6" s="2"/>
      <c r="E6" s="18">
        <v>3618</v>
      </c>
      <c r="F6" s="25" t="s">
        <v>159</v>
      </c>
      <c r="G6" s="46" t="s">
        <v>8</v>
      </c>
      <c r="H6" s="8">
        <v>890</v>
      </c>
      <c r="I6" s="8">
        <v>890</v>
      </c>
      <c r="J6" s="2"/>
      <c r="K6" s="25" t="s">
        <v>162</v>
      </c>
      <c r="L6" s="9" t="s">
        <v>163</v>
      </c>
      <c r="M6" s="16">
        <v>650</v>
      </c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650</v>
      </c>
      <c r="D7" s="2"/>
      <c r="E7" s="18">
        <v>3619</v>
      </c>
      <c r="F7" s="25" t="s">
        <v>160</v>
      </c>
      <c r="G7" s="46" t="s">
        <v>6</v>
      </c>
      <c r="H7" s="8">
        <v>699</v>
      </c>
      <c r="I7" s="8">
        <v>100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1720</v>
      </c>
      <c r="D8" s="2"/>
      <c r="E8" s="18">
        <v>3620</v>
      </c>
      <c r="F8" s="25" t="s">
        <v>161</v>
      </c>
      <c r="G8" s="46" t="s">
        <v>10</v>
      </c>
      <c r="H8" s="8">
        <v>790</v>
      </c>
      <c r="I8" s="8">
        <v>80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657.5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890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3487</v>
      </c>
      <c r="L15" s="9" t="s">
        <v>134</v>
      </c>
      <c r="M15" s="66" t="s">
        <v>157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1627.5</v>
      </c>
      <c r="D16" s="2"/>
      <c r="E16" s="18"/>
      <c r="F16" s="25"/>
      <c r="G16" s="26"/>
      <c r="H16" s="8"/>
      <c r="I16" s="8"/>
      <c r="J16" s="2"/>
      <c r="K16" s="25">
        <v>3491</v>
      </c>
      <c r="L16" s="9" t="s">
        <v>134</v>
      </c>
      <c r="M16" s="65" t="s">
        <v>157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3572</v>
      </c>
      <c r="L17" s="9" t="s">
        <v>135</v>
      </c>
      <c r="M17" s="16" t="s">
        <v>152</v>
      </c>
      <c r="R17" s="1">
        <f>IF(vend5[[#This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>
        <v>3573</v>
      </c>
      <c r="L18" s="9" t="s">
        <v>135</v>
      </c>
      <c r="M18" s="16" t="s">
        <v>152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>
        <v>3587</v>
      </c>
      <c r="L19" s="9" t="s">
        <v>128</v>
      </c>
      <c r="M19" s="16" t="s">
        <v>152</v>
      </c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3586</v>
      </c>
      <c r="L20" s="9" t="s">
        <v>128</v>
      </c>
      <c r="M20" s="16" t="s">
        <v>152</v>
      </c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2379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3491</v>
      </c>
      <c r="F35" s="25" t="s">
        <v>158</v>
      </c>
      <c r="G35" s="26" t="s">
        <v>6</v>
      </c>
      <c r="H35" s="8">
        <v>557.5</v>
      </c>
      <c r="I35" s="8" t="s">
        <v>68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3"/>
      <c r="F37" s="92"/>
      <c r="G37" s="94"/>
      <c r="H37" s="95"/>
      <c r="I37" s="95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2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45479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2280</v>
      </c>
      <c r="D6" s="2"/>
      <c r="E6" s="18">
        <v>3621</v>
      </c>
      <c r="F6" s="25" t="s">
        <v>164</v>
      </c>
      <c r="G6" s="26" t="s">
        <v>8</v>
      </c>
      <c r="H6" s="8">
        <v>2790</v>
      </c>
      <c r="I6" s="8">
        <v>2000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2280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2000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3592</v>
      </c>
      <c r="L15" s="9" t="s">
        <v>128</v>
      </c>
      <c r="M15" s="16" t="s">
        <v>150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2280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900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900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3592</v>
      </c>
      <c r="F26" s="25" t="s">
        <v>165</v>
      </c>
      <c r="G26" s="26" t="s">
        <v>6</v>
      </c>
      <c r="H26" s="8"/>
      <c r="I26" s="8">
        <v>280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3592</v>
      </c>
      <c r="L35" s="41">
        <v>5</v>
      </c>
      <c r="M35" s="16">
        <v>900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2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45480</v>
      </c>
    </row>
    <row r="2" spans="2:21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4"/>
      <c r="G6" s="84"/>
      <c r="H6" s="85"/>
      <c r="I6" s="85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2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'07'!B1+1</f>
        <v>45481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2494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1945</v>
      </c>
      <c r="D6" s="2"/>
      <c r="E6" s="87">
        <v>3622</v>
      </c>
      <c r="F6" s="8" t="s">
        <v>166</v>
      </c>
      <c r="G6" s="8" t="s">
        <v>8</v>
      </c>
      <c r="H6" s="8">
        <v>990</v>
      </c>
      <c r="I6" s="8">
        <v>990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7">
        <v>3623</v>
      </c>
      <c r="F7" s="8" t="s">
        <v>167</v>
      </c>
      <c r="G7" s="8" t="s">
        <v>8</v>
      </c>
      <c r="H7" s="8">
        <v>390</v>
      </c>
      <c r="I7" s="8">
        <v>390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1945</v>
      </c>
      <c r="D8" s="2"/>
      <c r="E8" s="87">
        <v>3624</v>
      </c>
      <c r="F8" s="8" t="s">
        <v>168</v>
      </c>
      <c r="G8" s="8" t="s">
        <v>7</v>
      </c>
      <c r="H8" s="8">
        <v>699</v>
      </c>
      <c r="I8" s="8">
        <v>150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7">
        <v>3625</v>
      </c>
      <c r="F9" s="8" t="s">
        <v>169</v>
      </c>
      <c r="G9" s="8" t="s">
        <v>10</v>
      </c>
      <c r="H9" s="8">
        <v>350</v>
      </c>
      <c r="I9" s="8">
        <v>350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3626</v>
      </c>
      <c r="F10" s="25" t="s">
        <v>170</v>
      </c>
      <c r="G10" s="26" t="s">
        <v>7</v>
      </c>
      <c r="H10" s="8">
        <v>65</v>
      </c>
      <c r="I10" s="8">
        <v>65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83">
        <f>(SUMIF($G$2:$G$31,B11,$I$2:$I$31))+(SUMIF($G$35:$G$42,B11,$H$35:$H$42))</f>
        <v>0</v>
      </c>
      <c r="D11" s="2"/>
      <c r="E11" s="18">
        <v>3627</v>
      </c>
      <c r="F11" s="25" t="s">
        <v>171</v>
      </c>
      <c r="G11" s="26" t="s">
        <v>49</v>
      </c>
      <c r="H11" s="8">
        <v>198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83">
        <f>(SUMIF($G$2:$G$31,B12,$I$2:$I$31))+(SUMIF($G$35:$G$42,B12,$H$35:$H$42))</f>
        <v>215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1380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350</v>
      </c>
      <c r="D15" s="2"/>
      <c r="E15" s="18"/>
      <c r="F15" s="25"/>
      <c r="G15" s="26"/>
      <c r="H15" s="8"/>
      <c r="I15" s="8"/>
      <c r="J15" s="2"/>
      <c r="K15" s="25">
        <v>3596</v>
      </c>
      <c r="L15" s="9" t="s">
        <v>134</v>
      </c>
      <c r="M15" s="16" t="s">
        <v>152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1945</v>
      </c>
      <c r="D16" s="2"/>
      <c r="E16" s="18"/>
      <c r="F16" s="25"/>
      <c r="G16" s="26"/>
      <c r="H16" s="8"/>
      <c r="I16" s="8"/>
      <c r="J16" s="2"/>
      <c r="K16" s="25">
        <v>3597</v>
      </c>
      <c r="L16" s="9" t="s">
        <v>134</v>
      </c>
      <c r="M16" s="16" t="s">
        <v>152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 t="s">
        <v>57</v>
      </c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8"/>
      <c r="F26" s="89"/>
      <c r="G26" s="90"/>
      <c r="H26" s="91"/>
      <c r="I26" s="91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45482</v>
      </c>
    </row>
    <row r="2" spans="2:22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4" zoomScale="80" zoomScaleNormal="80" workbookViewId="0">
      <selection activeCell="V12" sqref="V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45483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SUMIF(I6:I32,"&gt;0",H6:H32)</f>
        <v>9469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5685</v>
      </c>
      <c r="D6" s="2"/>
      <c r="E6" s="18">
        <v>3628</v>
      </c>
      <c r="F6" s="25" t="s">
        <v>175</v>
      </c>
      <c r="G6" s="46" t="s">
        <v>7</v>
      </c>
      <c r="H6" s="8">
        <v>1990</v>
      </c>
      <c r="I6" s="8">
        <v>1000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3629</v>
      </c>
      <c r="F7" s="25" t="s">
        <v>182</v>
      </c>
      <c r="G7" s="46" t="s">
        <v>8</v>
      </c>
      <c r="H7" s="8">
        <v>490</v>
      </c>
      <c r="I7" s="8">
        <v>490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5685</v>
      </c>
      <c r="D8" s="2"/>
      <c r="E8" s="18">
        <v>3630</v>
      </c>
      <c r="F8" s="25" t="s">
        <v>177</v>
      </c>
      <c r="G8" s="26" t="s">
        <v>8</v>
      </c>
      <c r="H8" s="8">
        <v>2690</v>
      </c>
      <c r="I8" s="8">
        <v>2690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3631</v>
      </c>
      <c r="F9" s="25" t="s">
        <v>176</v>
      </c>
      <c r="G9" s="26" t="s">
        <v>6</v>
      </c>
      <c r="H9" s="8">
        <v>1550</v>
      </c>
      <c r="I9" s="8">
        <v>200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3632</v>
      </c>
      <c r="F10" s="25" t="s">
        <v>179</v>
      </c>
      <c r="G10" s="26" t="s">
        <v>7</v>
      </c>
      <c r="H10" s="8">
        <v>360</v>
      </c>
      <c r="I10" s="8">
        <v>50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200</v>
      </c>
      <c r="D11" s="2"/>
      <c r="E11" s="18">
        <v>3633</v>
      </c>
      <c r="F11" s="25" t="s">
        <v>178</v>
      </c>
      <c r="G11" s="26" t="s">
        <v>7</v>
      </c>
      <c r="H11" s="8">
        <v>1590</v>
      </c>
      <c r="I11" s="8">
        <v>150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1450</v>
      </c>
      <c r="D12" s="2"/>
      <c r="E12" s="18">
        <v>3634</v>
      </c>
      <c r="F12" s="25" t="s">
        <v>180</v>
      </c>
      <c r="G12" s="26" t="s">
        <v>7</v>
      </c>
      <c r="H12" s="8">
        <v>799</v>
      </c>
      <c r="I12" s="8">
        <v>50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4035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3580</v>
      </c>
      <c r="L15" s="9" t="s">
        <v>128</v>
      </c>
      <c r="M15" s="16" t="s">
        <v>152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5685</v>
      </c>
      <c r="D16" s="2"/>
      <c r="E16" s="18"/>
      <c r="F16" s="25"/>
      <c r="G16" s="26"/>
      <c r="H16" s="8"/>
      <c r="I16" s="8"/>
      <c r="J16" s="2"/>
      <c r="K16" s="25">
        <v>3602</v>
      </c>
      <c r="L16" s="9" t="s">
        <v>134</v>
      </c>
      <c r="M16" s="65" t="s">
        <v>152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9469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3619</v>
      </c>
      <c r="F26" s="25" t="s">
        <v>172</v>
      </c>
      <c r="G26" s="46" t="s">
        <v>8</v>
      </c>
      <c r="H26" s="8"/>
      <c r="I26" s="8">
        <v>590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3602</v>
      </c>
      <c r="F27" s="25" t="s">
        <v>173</v>
      </c>
      <c r="G27" s="46" t="s">
        <v>8</v>
      </c>
      <c r="H27" s="8"/>
      <c r="I27" s="8">
        <v>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3580</v>
      </c>
      <c r="F28" s="25" t="s">
        <v>174</v>
      </c>
      <c r="G28" s="46" t="s">
        <v>7</v>
      </c>
      <c r="H28" s="8"/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3580</v>
      </c>
      <c r="F29" s="25" t="s">
        <v>174</v>
      </c>
      <c r="G29" s="26" t="s">
        <v>8</v>
      </c>
      <c r="H29" s="8"/>
      <c r="I29" s="8">
        <v>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2" t="s">
        <v>12</v>
      </c>
      <c r="L33" s="113"/>
      <c r="M33" s="114"/>
    </row>
    <row r="34" spans="2:18" ht="15" x14ac:dyDescent="0.25">
      <c r="E34" s="111" t="s">
        <v>28</v>
      </c>
      <c r="F34" s="111"/>
      <c r="G34" s="111"/>
      <c r="H34" s="111"/>
      <c r="I34" s="111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2" zoomScale="80" zoomScaleNormal="80" workbookViewId="0">
      <selection activeCell="B28" sqref="B2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45484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2810</v>
      </c>
      <c r="D6" s="2"/>
      <c r="E6" s="18">
        <v>3635</v>
      </c>
      <c r="F6" s="25" t="s">
        <v>209</v>
      </c>
      <c r="G6" s="26" t="s">
        <v>8</v>
      </c>
      <c r="H6" s="8">
        <v>0</v>
      </c>
      <c r="I6" s="8">
        <v>20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3636</v>
      </c>
      <c r="F7" s="25" t="s">
        <v>184</v>
      </c>
      <c r="G7" s="26" t="s">
        <v>7</v>
      </c>
      <c r="H7" s="8">
        <v>699</v>
      </c>
      <c r="I7" s="8">
        <v>50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2810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2760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378</v>
      </c>
      <c r="D15" s="2"/>
      <c r="E15" s="18"/>
      <c r="F15" s="25"/>
      <c r="G15" s="26"/>
      <c r="H15" s="8"/>
      <c r="I15" s="8"/>
      <c r="J15" s="2"/>
      <c r="K15" s="25">
        <v>3606</v>
      </c>
      <c r="L15" s="9" t="s">
        <v>128</v>
      </c>
      <c r="M15" s="16" t="s">
        <v>152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3188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3594</v>
      </c>
      <c r="F26" s="25" t="s">
        <v>183</v>
      </c>
      <c r="G26" s="46" t="s">
        <v>8</v>
      </c>
      <c r="H26" s="8"/>
      <c r="I26" s="8">
        <v>2740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3452</v>
      </c>
      <c r="F35" s="25" t="s">
        <v>181</v>
      </c>
      <c r="G35" s="26" t="s">
        <v>10</v>
      </c>
      <c r="H35" s="8">
        <v>189</v>
      </c>
      <c r="I35" s="8" t="s">
        <v>79</v>
      </c>
      <c r="K35" s="25"/>
      <c r="L35" s="41"/>
      <c r="M35" s="16"/>
    </row>
    <row r="36" spans="2:18" ht="15.75" x14ac:dyDescent="0.25">
      <c r="E36" s="18">
        <v>3452</v>
      </c>
      <c r="F36" s="25" t="s">
        <v>181</v>
      </c>
      <c r="G36" s="26" t="s">
        <v>10</v>
      </c>
      <c r="H36" s="8">
        <v>189</v>
      </c>
      <c r="I36" s="8" t="s">
        <v>80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2" zoomScale="80" zoomScaleNormal="80" workbookViewId="0">
      <selection activeCell="J26" sqref="J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45485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450</v>
      </c>
      <c r="D6" s="2"/>
      <c r="E6" s="103">
        <v>3637</v>
      </c>
      <c r="F6" s="51" t="s">
        <v>185</v>
      </c>
      <c r="G6" s="51" t="s">
        <v>7</v>
      </c>
      <c r="H6" s="52">
        <v>790</v>
      </c>
      <c r="I6" s="52">
        <v>100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/>
      <c r="F7" s="53"/>
      <c r="G7" s="53"/>
      <c r="H7" s="54"/>
      <c r="I7" s="5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450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450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3594</v>
      </c>
      <c r="L15" s="9" t="s">
        <v>134</v>
      </c>
      <c r="M15" s="16" t="s">
        <v>152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>
        <v>3603</v>
      </c>
      <c r="L16" s="9" t="s">
        <v>134</v>
      </c>
      <c r="M16" s="16" t="s">
        <v>152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3631</v>
      </c>
      <c r="F26" s="55" t="s">
        <v>187</v>
      </c>
      <c r="G26" s="46" t="s">
        <v>7</v>
      </c>
      <c r="H26" s="8"/>
      <c r="I26" s="8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2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45486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1089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1099</v>
      </c>
      <c r="D6" s="2"/>
      <c r="E6" s="18">
        <v>3638</v>
      </c>
      <c r="F6" s="25" t="s">
        <v>188</v>
      </c>
      <c r="G6" s="26" t="s">
        <v>7</v>
      </c>
      <c r="H6" s="8">
        <v>390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3639</v>
      </c>
      <c r="F7" s="25" t="s">
        <v>189</v>
      </c>
      <c r="G7" s="26" t="s">
        <v>8</v>
      </c>
      <c r="H7" s="8">
        <v>699</v>
      </c>
      <c r="I7" s="8">
        <v>699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1099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699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3549</v>
      </c>
      <c r="L15" s="9" t="s">
        <v>134</v>
      </c>
      <c r="M15" s="16" t="s">
        <v>152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1199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3631</v>
      </c>
      <c r="F26" s="25" t="s">
        <v>190</v>
      </c>
      <c r="G26" s="26" t="s">
        <v>7</v>
      </c>
      <c r="H26" s="8"/>
      <c r="I26" s="8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3486</v>
      </c>
      <c r="F35" s="25" t="s">
        <v>186</v>
      </c>
      <c r="G35" s="26" t="s">
        <v>10</v>
      </c>
      <c r="H35" s="8">
        <v>100</v>
      </c>
      <c r="I35" s="8" t="s">
        <v>33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45487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2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45488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3335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3335</v>
      </c>
      <c r="D6" s="2"/>
      <c r="E6" s="18">
        <v>3640</v>
      </c>
      <c r="F6" s="25" t="s">
        <v>192</v>
      </c>
      <c r="G6" s="46" t="s">
        <v>8</v>
      </c>
      <c r="H6" s="8">
        <v>720</v>
      </c>
      <c r="I6" s="8">
        <v>720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3641</v>
      </c>
      <c r="F7" s="25" t="s">
        <v>193</v>
      </c>
      <c r="G7" s="46" t="s">
        <v>10</v>
      </c>
      <c r="H7" s="8">
        <v>425</v>
      </c>
      <c r="I7" s="8">
        <v>425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3335</v>
      </c>
      <c r="D8" s="2"/>
      <c r="E8" s="18">
        <v>3642</v>
      </c>
      <c r="F8" s="25" t="s">
        <v>194</v>
      </c>
      <c r="G8" s="26" t="s">
        <v>10</v>
      </c>
      <c r="H8" s="8">
        <v>2190</v>
      </c>
      <c r="I8" s="8">
        <v>2190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720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2865</v>
      </c>
      <c r="D15" s="2"/>
      <c r="E15" s="18"/>
      <c r="F15" s="25"/>
      <c r="G15" s="26"/>
      <c r="H15" s="8"/>
      <c r="I15" s="8"/>
      <c r="J15" s="2"/>
      <c r="K15" s="63"/>
      <c r="L15" s="9"/>
      <c r="M15" s="71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3585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3335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3566</v>
      </c>
      <c r="F35" s="25" t="s">
        <v>191</v>
      </c>
      <c r="G35" s="26" t="s">
        <v>10</v>
      </c>
      <c r="H35" s="8">
        <v>250</v>
      </c>
      <c r="I35" s="8" t="s">
        <v>51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2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45489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198.33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3626</v>
      </c>
      <c r="L15" s="9" t="s">
        <v>134</v>
      </c>
      <c r="M15" s="16" t="s">
        <v>152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198.33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3485</v>
      </c>
      <c r="F35" s="25" t="s">
        <v>151</v>
      </c>
      <c r="G35" s="26" t="s">
        <v>7</v>
      </c>
      <c r="H35" s="8">
        <v>198.33</v>
      </c>
      <c r="I35" s="8" t="s">
        <v>44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4" zoomScale="80" zoomScaleNormal="8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45490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3629</v>
      </c>
      <c r="L15" s="9" t="s">
        <v>134</v>
      </c>
      <c r="M15" s="16" t="s">
        <v>152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3625</v>
      </c>
      <c r="L16" s="9" t="s">
        <v>134</v>
      </c>
      <c r="M16" s="16" t="s">
        <v>152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3623</v>
      </c>
      <c r="L17" s="9" t="s">
        <v>128</v>
      </c>
      <c r="M17" s="16" t="s">
        <v>152</v>
      </c>
      <c r="R17" s="1">
        <f>IF(vend17[[#This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7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45491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240</v>
      </c>
      <c r="D6" s="2"/>
      <c r="E6" s="96"/>
      <c r="F6" s="63"/>
      <c r="G6" s="97"/>
      <c r="H6" s="74"/>
      <c r="I6" s="74"/>
      <c r="J6" s="2"/>
      <c r="K6" s="25"/>
      <c r="L6" s="6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240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3624</v>
      </c>
      <c r="L15" s="9" t="s">
        <v>134</v>
      </c>
      <c r="M15" s="16" t="s">
        <v>150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240</v>
      </c>
      <c r="D16" s="2"/>
      <c r="E16" s="18"/>
      <c r="F16" s="25"/>
      <c r="G16" s="26"/>
      <c r="H16" s="8"/>
      <c r="I16" s="8"/>
      <c r="J16" s="2"/>
      <c r="K16" s="25">
        <v>3616</v>
      </c>
      <c r="L16" s="9" t="s">
        <v>134</v>
      </c>
      <c r="M16" s="16" t="s">
        <v>152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3612</v>
      </c>
      <c r="L17" s="9" t="s">
        <v>128</v>
      </c>
      <c r="M17" s="16" t="s">
        <v>152</v>
      </c>
      <c r="R17" s="1">
        <f>IF(vend18[[#This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>
        <v>3613</v>
      </c>
      <c r="L18" s="9" t="s">
        <v>128</v>
      </c>
      <c r="M18" s="16" t="s">
        <v>152</v>
      </c>
      <c r="R18" s="1">
        <f>IF(vend18[[#This Row],[Nº Venda]]&gt;1,1,0)</f>
        <v>0</v>
      </c>
    </row>
    <row r="19" spans="2:18" ht="15.75" x14ac:dyDescent="0.25">
      <c r="B19" s="30">
        <f>COUNT(entr_carn18[OS])</f>
        <v>2</v>
      </c>
      <c r="C19" s="31">
        <f>SUM(entr_carn18[Valor Total])</f>
        <v>1398</v>
      </c>
      <c r="D19" s="2"/>
      <c r="E19" s="18"/>
      <c r="F19" s="25"/>
      <c r="G19" s="26"/>
      <c r="H19" s="8"/>
      <c r="I19" s="8"/>
      <c r="J19" s="2"/>
      <c r="K19" s="25">
        <v>3611</v>
      </c>
      <c r="L19" s="9" t="s">
        <v>128</v>
      </c>
      <c r="M19" s="16" t="s">
        <v>150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1398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3624</v>
      </c>
      <c r="F26" s="25" t="s">
        <v>195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3611</v>
      </c>
      <c r="F27" s="25" t="s">
        <v>196</v>
      </c>
      <c r="G27" s="26" t="s">
        <v>6</v>
      </c>
      <c r="H27" s="8"/>
      <c r="I27" s="8">
        <v>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3624</v>
      </c>
      <c r="L35" s="41">
        <v>3</v>
      </c>
      <c r="M35" s="16">
        <v>399</v>
      </c>
    </row>
    <row r="36" spans="2:18" ht="15.75" x14ac:dyDescent="0.25">
      <c r="E36" s="18"/>
      <c r="F36" s="25"/>
      <c r="G36" s="26"/>
      <c r="H36" s="8"/>
      <c r="I36" s="8"/>
      <c r="K36" s="25">
        <v>3611</v>
      </c>
      <c r="L36" s="41">
        <v>6</v>
      </c>
      <c r="M36" s="16">
        <v>999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4" zoomScale="80" zoomScaleNormal="80" zoomScaleSheetLayoutView="7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45492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6227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743.9</v>
      </c>
      <c r="D6" s="2"/>
      <c r="E6" s="18">
        <v>3643</v>
      </c>
      <c r="F6" s="25" t="s">
        <v>197</v>
      </c>
      <c r="G6" s="26" t="s">
        <v>7</v>
      </c>
      <c r="H6" s="8">
        <v>1790</v>
      </c>
      <c r="I6" s="8">
        <v>50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3644</v>
      </c>
      <c r="F7" s="25" t="s">
        <v>198</v>
      </c>
      <c r="G7" s="26" t="s">
        <v>7</v>
      </c>
      <c r="H7" s="70">
        <v>889</v>
      </c>
      <c r="I7" s="8">
        <v>389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743.9</v>
      </c>
      <c r="D8" s="2"/>
      <c r="E8" s="18">
        <v>3645</v>
      </c>
      <c r="F8" s="25" t="s">
        <v>199</v>
      </c>
      <c r="G8" s="26" t="s">
        <v>7</v>
      </c>
      <c r="H8" s="8">
        <v>2039</v>
      </c>
      <c r="I8" s="8">
        <v>200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6">
        <v>3646</v>
      </c>
      <c r="F9" s="63" t="s">
        <v>200</v>
      </c>
      <c r="G9" s="97" t="s">
        <v>7</v>
      </c>
      <c r="H9" s="74">
        <v>250</v>
      </c>
      <c r="I9" s="74">
        <v>50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3647</v>
      </c>
      <c r="F10" s="25" t="s">
        <v>201</v>
      </c>
      <c r="G10" s="26" t="s">
        <v>10</v>
      </c>
      <c r="H10" s="8">
        <v>999</v>
      </c>
      <c r="I10" s="8">
        <v>50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3648</v>
      </c>
      <c r="F11" s="25" t="s">
        <v>199</v>
      </c>
      <c r="G11" s="26" t="s">
        <v>7</v>
      </c>
      <c r="H11" s="8">
        <v>260</v>
      </c>
      <c r="I11" s="8">
        <v>4.9000000000000004</v>
      </c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693.9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743.9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57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6227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8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B18" zoomScale="80" zoomScaleNormal="80" workbookViewId="0">
      <selection activeCell="V19" sqref="V19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45493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1955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3884.1</v>
      </c>
      <c r="D6" s="2"/>
      <c r="E6" s="18">
        <v>3649</v>
      </c>
      <c r="F6" s="25" t="s">
        <v>205</v>
      </c>
      <c r="G6" s="26" t="s">
        <v>8</v>
      </c>
      <c r="H6" s="8">
        <v>1955</v>
      </c>
      <c r="I6" s="8">
        <v>300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3884.1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3384.1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3621</v>
      </c>
      <c r="L15" s="9" t="s">
        <v>134</v>
      </c>
      <c r="M15" s="16" t="s">
        <v>152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3884.1</v>
      </c>
      <c r="D16" s="2"/>
      <c r="E16" s="18"/>
      <c r="F16" s="25"/>
      <c r="G16" s="26"/>
      <c r="H16" s="8"/>
      <c r="I16" s="8"/>
      <c r="J16" s="2"/>
      <c r="K16" s="63"/>
      <c r="L16" s="9"/>
      <c r="M16" s="7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1955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3645</v>
      </c>
      <c r="F26" s="25" t="s">
        <v>202</v>
      </c>
      <c r="G26" s="26" t="s">
        <v>8</v>
      </c>
      <c r="H26" s="8"/>
      <c r="I26" s="8">
        <v>1839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3646</v>
      </c>
      <c r="F27" s="25" t="s">
        <v>200</v>
      </c>
      <c r="G27" s="26" t="s">
        <v>8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3621</v>
      </c>
      <c r="F28" s="25" t="s">
        <v>203</v>
      </c>
      <c r="G28" s="26" t="s">
        <v>8</v>
      </c>
      <c r="H28" s="8"/>
      <c r="I28" s="8">
        <v>790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3648</v>
      </c>
      <c r="F29" s="25" t="s">
        <v>202</v>
      </c>
      <c r="G29" s="26" t="s">
        <v>8</v>
      </c>
      <c r="H29" s="8"/>
      <c r="I29" s="8">
        <v>255.1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3631</v>
      </c>
      <c r="F30" s="39" t="s">
        <v>204</v>
      </c>
      <c r="G30" s="26" t="s">
        <v>7</v>
      </c>
      <c r="H30" s="8"/>
      <c r="I30" s="8">
        <v>500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71"/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45494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6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45495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1049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1049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949</v>
      </c>
      <c r="D15" s="2"/>
      <c r="E15" s="18"/>
      <c r="F15" s="25"/>
      <c r="G15" s="26"/>
      <c r="H15" s="8"/>
      <c r="I15" s="8"/>
      <c r="J15" s="2"/>
      <c r="K15" s="25">
        <v>3598</v>
      </c>
      <c r="L15" s="9" t="s">
        <v>128</v>
      </c>
      <c r="M15" s="16" t="s">
        <v>152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1049</v>
      </c>
      <c r="D16" s="2"/>
      <c r="E16" s="18"/>
      <c r="F16" s="25"/>
      <c r="G16" s="26"/>
      <c r="H16" s="8"/>
      <c r="I16" s="8"/>
      <c r="J16" s="2"/>
      <c r="K16" s="25">
        <v>3581</v>
      </c>
      <c r="L16" s="9" t="s">
        <v>128</v>
      </c>
      <c r="M16" s="16" t="s">
        <v>152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3605</v>
      </c>
      <c r="L17" s="9" t="s">
        <v>134</v>
      </c>
      <c r="M17" s="16" t="s">
        <v>152</v>
      </c>
      <c r="R17" s="1">
        <f>IF(vend22[[#This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>
        <v>3622</v>
      </c>
      <c r="L18" s="9" t="s">
        <v>128</v>
      </c>
      <c r="M18" s="16" t="s">
        <v>152</v>
      </c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3647</v>
      </c>
      <c r="F26" s="25" t="s">
        <v>201</v>
      </c>
      <c r="G26" s="26" t="s">
        <v>10</v>
      </c>
      <c r="H26" s="8"/>
      <c r="I26" s="8">
        <v>949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3627</v>
      </c>
      <c r="F27" s="25" t="s">
        <v>206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A1:R44"/>
  <sheetViews>
    <sheetView showGridLines="0" topLeftCell="A21" zoomScale="80" zoomScaleNormal="80" workbookViewId="0">
      <selection activeCell="C27" sqref="C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45496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4598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3022</v>
      </c>
      <c r="D6" s="2"/>
      <c r="E6" s="18">
        <v>3650</v>
      </c>
      <c r="F6" s="25" t="s">
        <v>207</v>
      </c>
      <c r="G6" s="26" t="s">
        <v>8</v>
      </c>
      <c r="H6" s="8">
        <v>3999</v>
      </c>
      <c r="I6" s="8">
        <v>2000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3651</v>
      </c>
      <c r="F7" s="25" t="s">
        <v>210</v>
      </c>
      <c r="G7" s="26" t="s">
        <v>8</v>
      </c>
      <c r="H7" s="8">
        <v>599</v>
      </c>
      <c r="I7" s="8">
        <v>599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3022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423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2599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>
        <v>3619</v>
      </c>
      <c r="L15" s="9" t="s">
        <v>134</v>
      </c>
      <c r="M15" s="16" t="s">
        <v>152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3022</v>
      </c>
      <c r="D16" s="2"/>
      <c r="E16" s="18"/>
      <c r="F16" s="25"/>
      <c r="G16" s="26"/>
      <c r="H16" s="8"/>
      <c r="I16" s="8"/>
      <c r="J16" s="2"/>
      <c r="K16" s="25">
        <v>3591</v>
      </c>
      <c r="L16" s="9" t="s">
        <v>128</v>
      </c>
      <c r="M16" s="16" t="s">
        <v>152</v>
      </c>
      <c r="R16" s="1">
        <f>IF(vend23[[#This Row],[Nº Venda]]&gt;1,1,0)</f>
        <v>0</v>
      </c>
    </row>
    <row r="17" spans="1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3627</v>
      </c>
      <c r="L17" s="9" t="s">
        <v>134</v>
      </c>
      <c r="M17" s="16" t="s">
        <v>152</v>
      </c>
      <c r="R17" s="1">
        <f>IF(vend23[[#This Row],[Nº Venda]]&gt;1,1,0)</f>
        <v>0</v>
      </c>
    </row>
    <row r="18" spans="1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>
        <v>3609</v>
      </c>
      <c r="L18" s="9" t="s">
        <v>128</v>
      </c>
      <c r="M18" s="16" t="s">
        <v>150</v>
      </c>
      <c r="R18" s="1">
        <f>IF(vend23[[#This Row],[Nº Venda]]&gt;1,1,0)</f>
        <v>0</v>
      </c>
    </row>
    <row r="19" spans="1:18" ht="15.75" x14ac:dyDescent="0.25">
      <c r="B19" s="30">
        <f>COUNT(entr_carn23[OS])</f>
        <v>1</v>
      </c>
      <c r="C19" s="31">
        <f>SUM(entr_carn23[Valor Total])</f>
        <v>625</v>
      </c>
      <c r="D19" s="2"/>
      <c r="E19" s="18"/>
      <c r="F19" s="25"/>
      <c r="G19" s="26"/>
      <c r="H19" s="8"/>
      <c r="I19" s="8"/>
      <c r="J19" s="2"/>
      <c r="K19" s="25">
        <v>3618</v>
      </c>
      <c r="L19" s="9" t="s">
        <v>134</v>
      </c>
      <c r="M19" s="16" t="s">
        <v>152</v>
      </c>
      <c r="R19" s="1">
        <f>IF(vend23[[#This Row],[Nº Venda]]&gt;1,1,0)</f>
        <v>0</v>
      </c>
    </row>
    <row r="20" spans="1:18" ht="15.75" x14ac:dyDescent="0.25">
      <c r="B20" s="28" t="s">
        <v>11</v>
      </c>
      <c r="C20" s="32">
        <f>SUM(C19:C19)</f>
        <v>625</v>
      </c>
      <c r="D20" s="2"/>
      <c r="E20" s="18"/>
      <c r="F20" s="26"/>
      <c r="G20" s="26"/>
      <c r="H20" s="8"/>
      <c r="I20" s="8"/>
      <c r="J20" s="2"/>
      <c r="K20" s="25">
        <v>3608</v>
      </c>
      <c r="L20" s="9" t="s">
        <v>128</v>
      </c>
      <c r="M20" s="16" t="s">
        <v>152</v>
      </c>
      <c r="R20" s="1">
        <f>IF(vend23[[#This Row],[Nº Venda]]&gt;1,1,0)</f>
        <v>0</v>
      </c>
    </row>
    <row r="21" spans="1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1:18" ht="15.75" x14ac:dyDescent="0.25">
      <c r="B22" s="28" t="s">
        <v>26</v>
      </c>
      <c r="C22" s="32">
        <f>C5</f>
        <v>4598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1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1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1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1:18" ht="15.75" x14ac:dyDescent="0.25">
      <c r="B26" s="2"/>
      <c r="C26" s="2"/>
      <c r="D26" s="2"/>
      <c r="E26" s="18">
        <v>3627</v>
      </c>
      <c r="F26" s="25" t="s">
        <v>208</v>
      </c>
      <c r="G26" s="26" t="s">
        <v>7</v>
      </c>
      <c r="H26" s="8"/>
      <c r="I26" s="8">
        <v>98</v>
      </c>
      <c r="J26" s="2"/>
      <c r="K26" s="25"/>
      <c r="L26" s="9"/>
      <c r="M26" s="16"/>
    </row>
    <row r="27" spans="1:18" ht="15.75" x14ac:dyDescent="0.25">
      <c r="B27" s="2"/>
      <c r="C27" s="2"/>
      <c r="D27" s="2"/>
      <c r="E27" s="18">
        <v>3609</v>
      </c>
      <c r="F27" s="25" t="s">
        <v>211</v>
      </c>
      <c r="G27" s="26" t="s">
        <v>7</v>
      </c>
      <c r="H27" s="8"/>
      <c r="I27" s="8">
        <v>325</v>
      </c>
      <c r="J27" s="2"/>
      <c r="K27" s="25"/>
      <c r="L27" s="9"/>
      <c r="M27" s="16"/>
    </row>
    <row r="28" spans="1:18" ht="15.75" x14ac:dyDescent="0.25">
      <c r="A28" s="1" t="s">
        <v>57</v>
      </c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1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1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1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1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3609</v>
      </c>
      <c r="L35" s="41">
        <v>5</v>
      </c>
      <c r="M35" s="16">
        <v>625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1"/>
      <c r="F42" s="80"/>
      <c r="G42" s="81"/>
      <c r="H42" s="82"/>
      <c r="I42" s="17"/>
    </row>
    <row r="43" spans="2:18" ht="15.75" x14ac:dyDescent="0.25">
      <c r="E43" s="101"/>
      <c r="F43" s="99"/>
      <c r="G43" s="98"/>
      <c r="H43" s="100"/>
      <c r="I43" s="8"/>
    </row>
    <row r="44" spans="2:18" ht="15.75" x14ac:dyDescent="0.25">
      <c r="E44" s="102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2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45497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3819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107" t="s">
        <v>214</v>
      </c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939</v>
      </c>
      <c r="D6" s="2"/>
      <c r="E6" s="18">
        <v>3652</v>
      </c>
      <c r="F6" s="25" t="s">
        <v>212</v>
      </c>
      <c r="G6" s="26" t="s">
        <v>8</v>
      </c>
      <c r="H6" s="8">
        <v>390</v>
      </c>
      <c r="I6" s="8">
        <v>370</v>
      </c>
      <c r="J6" s="104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3653</v>
      </c>
      <c r="F7" s="25" t="s">
        <v>216</v>
      </c>
      <c r="G7" s="26" t="s">
        <v>8</v>
      </c>
      <c r="H7" s="8">
        <v>369</v>
      </c>
      <c r="I7" s="8">
        <v>369</v>
      </c>
      <c r="J7" s="58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939</v>
      </c>
      <c r="D8" s="2"/>
      <c r="E8" s="18">
        <v>3654</v>
      </c>
      <c r="F8" s="25" t="s">
        <v>213</v>
      </c>
      <c r="G8" s="26" t="s">
        <v>10</v>
      </c>
      <c r="H8" s="8">
        <v>2350</v>
      </c>
      <c r="I8" s="8">
        <v>150</v>
      </c>
      <c r="J8" s="58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3655</v>
      </c>
      <c r="F9" s="25" t="s">
        <v>215</v>
      </c>
      <c r="G9" s="26" t="s">
        <v>10</v>
      </c>
      <c r="H9" s="8">
        <v>710</v>
      </c>
      <c r="I9" s="8">
        <v>50</v>
      </c>
      <c r="J9" s="58">
        <v>50</v>
      </c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58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58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58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739</v>
      </c>
      <c r="D13" s="2"/>
      <c r="E13" s="18"/>
      <c r="F13" s="25"/>
      <c r="G13" s="26"/>
      <c r="H13" s="8"/>
      <c r="I13" s="8"/>
      <c r="J13" s="58"/>
      <c r="K13" s="112" t="s">
        <v>22</v>
      </c>
      <c r="L13" s="113"/>
      <c r="M13" s="114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58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58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939</v>
      </c>
      <c r="D16" s="2"/>
      <c r="E16" s="18"/>
      <c r="F16" s="25"/>
      <c r="G16" s="26"/>
      <c r="H16" s="8"/>
      <c r="I16" s="8"/>
      <c r="J16" s="58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58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58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58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58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58"/>
      <c r="K21" s="25"/>
      <c r="L21" s="9"/>
      <c r="M21" s="16"/>
    </row>
    <row r="22" spans="2:18" ht="15.75" x14ac:dyDescent="0.25">
      <c r="B22" s="28" t="s">
        <v>26</v>
      </c>
      <c r="C22" s="32">
        <f>C5</f>
        <v>3819</v>
      </c>
      <c r="D22" s="2"/>
      <c r="E22" s="18"/>
      <c r="F22" s="25"/>
      <c r="G22" s="26"/>
      <c r="H22" s="8"/>
      <c r="I22" s="8"/>
      <c r="J22" s="67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B14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45498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2460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2460</v>
      </c>
      <c r="D6" s="2"/>
      <c r="E6" s="18">
        <v>3656</v>
      </c>
      <c r="F6" s="25" t="s">
        <v>217</v>
      </c>
      <c r="G6" s="26" t="s">
        <v>8</v>
      </c>
      <c r="H6" s="8">
        <v>590</v>
      </c>
      <c r="I6" s="8">
        <v>590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3657</v>
      </c>
      <c r="F7" s="25" t="s">
        <v>218</v>
      </c>
      <c r="G7" s="26" t="s">
        <v>8</v>
      </c>
      <c r="H7" s="8">
        <v>1390</v>
      </c>
      <c r="I7" s="8">
        <v>1390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2460</v>
      </c>
      <c r="D8" s="2"/>
      <c r="E8" s="18">
        <v>3658</v>
      </c>
      <c r="F8" s="25" t="s">
        <v>219</v>
      </c>
      <c r="G8" s="26" t="s">
        <v>7</v>
      </c>
      <c r="H8" s="8">
        <v>240</v>
      </c>
      <c r="I8" s="8">
        <v>240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3659</v>
      </c>
      <c r="F9" s="25" t="s">
        <v>220</v>
      </c>
      <c r="G9" s="26" t="s">
        <v>7</v>
      </c>
      <c r="H9" s="8">
        <v>240</v>
      </c>
      <c r="I9" s="8">
        <v>240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480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1980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3639</v>
      </c>
      <c r="L15" s="9" t="s">
        <v>134</v>
      </c>
      <c r="M15" s="16" t="s">
        <v>152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2575</v>
      </c>
      <c r="D16" s="2"/>
      <c r="E16" s="18"/>
      <c r="F16" s="25"/>
      <c r="G16" s="26"/>
      <c r="H16" s="8"/>
      <c r="I16" s="8"/>
      <c r="J16" s="2"/>
      <c r="K16" s="25">
        <v>3658</v>
      </c>
      <c r="L16" s="9" t="s">
        <v>134</v>
      </c>
      <c r="M16" s="16" t="s">
        <v>152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3659</v>
      </c>
      <c r="L17" s="9" t="s">
        <v>134</v>
      </c>
      <c r="M17" s="16" t="s">
        <v>152</v>
      </c>
      <c r="R17" s="1">
        <f>IF(vend25[[#This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108"/>
      <c r="G18" s="108"/>
      <c r="H18" s="109"/>
      <c r="I18" s="109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3553</v>
      </c>
      <c r="F35" s="25" t="s">
        <v>221</v>
      </c>
      <c r="G35" s="26" t="s">
        <v>6</v>
      </c>
      <c r="H35" s="77">
        <v>115</v>
      </c>
      <c r="I35" s="8" t="s">
        <v>41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7" zoomScale="80" zoomScaleNormal="80" workbookViewId="0">
      <selection activeCell="V16" sqref="V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45499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1175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5025</v>
      </c>
      <c r="D6" s="2"/>
      <c r="E6" s="18">
        <v>3660</v>
      </c>
      <c r="F6" s="25" t="s">
        <v>222</v>
      </c>
      <c r="G6" s="26" t="s">
        <v>7</v>
      </c>
      <c r="H6" s="8">
        <v>199</v>
      </c>
      <c r="I6" s="8">
        <v>199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3661</v>
      </c>
      <c r="F7" s="25" t="s">
        <v>223</v>
      </c>
      <c r="G7" s="26" t="s">
        <v>7</v>
      </c>
      <c r="H7" s="8">
        <v>30</v>
      </c>
      <c r="I7" s="8">
        <v>30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5025</v>
      </c>
      <c r="D8" s="2"/>
      <c r="E8" s="18">
        <v>3662</v>
      </c>
      <c r="F8" s="25" t="s">
        <v>224</v>
      </c>
      <c r="G8" s="26" t="s">
        <v>8</v>
      </c>
      <c r="H8" s="8">
        <v>946</v>
      </c>
      <c r="I8" s="8">
        <v>946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1879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3146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3640</v>
      </c>
      <c r="L15" s="9" t="s">
        <v>128</v>
      </c>
      <c r="M15" s="16" t="s">
        <v>152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5025</v>
      </c>
      <c r="D16" s="2"/>
      <c r="E16" s="18"/>
      <c r="F16" s="25"/>
      <c r="G16" s="26"/>
      <c r="H16" s="8"/>
      <c r="I16" s="8"/>
      <c r="J16" s="2"/>
      <c r="K16" s="25">
        <v>3628</v>
      </c>
      <c r="L16" s="9" t="s">
        <v>134</v>
      </c>
      <c r="M16" s="16" t="s">
        <v>152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3641</v>
      </c>
      <c r="L17" s="9" t="s">
        <v>134</v>
      </c>
      <c r="M17" s="16" t="s">
        <v>152</v>
      </c>
      <c r="R17" s="1">
        <f>IF(vend26[[#This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 t="s">
        <v>228</v>
      </c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1175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3654</v>
      </c>
      <c r="F26" s="25" t="s">
        <v>225</v>
      </c>
      <c r="G26" s="26" t="s">
        <v>8</v>
      </c>
      <c r="H26" s="8"/>
      <c r="I26" s="8">
        <v>2200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3655</v>
      </c>
      <c r="F27" s="25" t="s">
        <v>225</v>
      </c>
      <c r="G27" s="26" t="s">
        <v>7</v>
      </c>
      <c r="H27" s="8"/>
      <c r="I27" s="8">
        <v>660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3628</v>
      </c>
      <c r="F28" s="25" t="s">
        <v>226</v>
      </c>
      <c r="G28" s="26" t="s">
        <v>7</v>
      </c>
      <c r="H28" s="8"/>
      <c r="I28" s="8">
        <v>990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45500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1950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1750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3661</v>
      </c>
      <c r="L15" s="9" t="s">
        <v>134</v>
      </c>
      <c r="M15" s="16" t="s">
        <v>152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1950</v>
      </c>
      <c r="D16" s="2"/>
      <c r="E16" s="18"/>
      <c r="F16" s="25"/>
      <c r="G16" s="26"/>
      <c r="H16" s="8"/>
      <c r="I16" s="8"/>
      <c r="J16" s="2"/>
      <c r="K16" s="25">
        <v>3632</v>
      </c>
      <c r="L16" s="9" t="s">
        <v>134</v>
      </c>
      <c r="M16" s="16" t="s">
        <v>152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3633</v>
      </c>
      <c r="L17" s="9" t="s">
        <v>134</v>
      </c>
      <c r="M17" s="16" t="s">
        <v>152</v>
      </c>
      <c r="R17" s="1">
        <f>IF(vend27[[#This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3631</v>
      </c>
      <c r="F26" s="25" t="s">
        <v>187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3632</v>
      </c>
      <c r="F27" s="25" t="s">
        <v>227</v>
      </c>
      <c r="G27" s="26" t="s">
        <v>8</v>
      </c>
      <c r="H27" s="8"/>
      <c r="I27" s="8">
        <v>340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3633</v>
      </c>
      <c r="F28" s="25" t="s">
        <v>178</v>
      </c>
      <c r="G28" s="26" t="s">
        <v>8</v>
      </c>
      <c r="H28" s="8"/>
      <c r="I28" s="8">
        <v>1410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2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45501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7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45502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1439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1200</v>
      </c>
      <c r="D6" s="2"/>
      <c r="E6" s="18">
        <v>3663</v>
      </c>
      <c r="F6" s="25" t="s">
        <v>229</v>
      </c>
      <c r="G6" s="26" t="s">
        <v>6</v>
      </c>
      <c r="H6" s="8">
        <v>399</v>
      </c>
      <c r="I6" s="8">
        <v>200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3664</v>
      </c>
      <c r="F7" s="25" t="s">
        <v>231</v>
      </c>
      <c r="G7" s="26" t="s">
        <v>8</v>
      </c>
      <c r="H7" s="8">
        <v>550</v>
      </c>
      <c r="I7" s="8">
        <v>550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1200</v>
      </c>
      <c r="D8" s="2"/>
      <c r="E8" s="18">
        <v>3665</v>
      </c>
      <c r="F8" s="25" t="s">
        <v>231</v>
      </c>
      <c r="G8" s="26" t="s">
        <v>8</v>
      </c>
      <c r="H8" s="8">
        <v>430</v>
      </c>
      <c r="I8" s="8">
        <v>430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3666</v>
      </c>
      <c r="F9" s="25" t="s">
        <v>230</v>
      </c>
      <c r="G9" s="26" t="s">
        <v>6</v>
      </c>
      <c r="H9" s="47">
        <v>60</v>
      </c>
      <c r="I9" s="8">
        <v>20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980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1200</v>
      </c>
      <c r="D16" s="2"/>
      <c r="E16" s="18"/>
      <c r="F16" s="25"/>
      <c r="G16" s="26"/>
      <c r="H16" s="8"/>
      <c r="I16" s="8"/>
      <c r="J16" s="2"/>
      <c r="K16" s="63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4" zoomScale="80" zoomScaleNormal="80" workbookViewId="0">
      <selection activeCell="X10" sqref="W10:X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45503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4944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1850</v>
      </c>
      <c r="D6" s="2"/>
      <c r="E6" s="18">
        <v>3667</v>
      </c>
      <c r="F6" s="25" t="s">
        <v>232</v>
      </c>
      <c r="G6" s="26" t="s">
        <v>6</v>
      </c>
      <c r="H6" s="8">
        <v>741</v>
      </c>
      <c r="I6" s="8">
        <v>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3667</v>
      </c>
      <c r="F7" s="25" t="s">
        <v>232</v>
      </c>
      <c r="G7" s="26" t="s">
        <v>7</v>
      </c>
      <c r="H7" s="8">
        <v>0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1850</v>
      </c>
      <c r="D8" s="2"/>
      <c r="E8" s="18">
        <v>3668</v>
      </c>
      <c r="F8" s="25" t="s">
        <v>233</v>
      </c>
      <c r="G8" s="26" t="s">
        <v>6</v>
      </c>
      <c r="H8" s="8">
        <v>999</v>
      </c>
      <c r="I8" s="8">
        <v>25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3669</v>
      </c>
      <c r="F9" s="25" t="s">
        <v>234</v>
      </c>
      <c r="G9" s="26" t="s">
        <v>8</v>
      </c>
      <c r="H9" s="8">
        <v>268</v>
      </c>
      <c r="I9" s="8">
        <v>150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3670</v>
      </c>
      <c r="F10" s="25" t="s">
        <v>234</v>
      </c>
      <c r="G10" s="26" t="s">
        <v>8</v>
      </c>
      <c r="H10" s="8">
        <v>268</v>
      </c>
      <c r="I10" s="8">
        <v>150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3671</v>
      </c>
      <c r="F11" s="25" t="s">
        <v>235</v>
      </c>
      <c r="G11" s="26" t="s">
        <v>8</v>
      </c>
      <c r="H11" s="8">
        <v>1390</v>
      </c>
      <c r="I11" s="8">
        <v>1390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>
        <v>3672</v>
      </c>
      <c r="F12" s="25" t="s">
        <v>236</v>
      </c>
      <c r="G12" s="26" t="s">
        <v>10</v>
      </c>
      <c r="H12" s="8">
        <v>879</v>
      </c>
      <c r="I12" s="8">
        <v>10</v>
      </c>
      <c r="J12" s="2"/>
      <c r="R12" s="1">
        <f>IF(vend30[[#This Row],[Nº Venda]]&gt;1,1,0)</f>
        <v>1</v>
      </c>
    </row>
    <row r="13" spans="2:18" ht="15.75" x14ac:dyDescent="0.25">
      <c r="B13" s="30" t="s">
        <v>8</v>
      </c>
      <c r="C13" s="31">
        <f t="shared" si="0"/>
        <v>1690</v>
      </c>
      <c r="D13" s="2"/>
      <c r="E13" s="18">
        <v>3673</v>
      </c>
      <c r="F13" s="25" t="s">
        <v>233</v>
      </c>
      <c r="G13" s="26" t="s">
        <v>6</v>
      </c>
      <c r="H13" s="8">
        <v>399</v>
      </c>
      <c r="I13" s="8">
        <v>25</v>
      </c>
      <c r="J13" s="2"/>
      <c r="K13" s="112" t="s">
        <v>22</v>
      </c>
      <c r="L13" s="113"/>
      <c r="M13" s="114"/>
      <c r="R13" s="1">
        <f>IF(vend30[[#This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1850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125</v>
      </c>
    </row>
    <row r="22" spans="2:22" ht="15.75" x14ac:dyDescent="0.25">
      <c r="B22" s="28" t="s">
        <v>26</v>
      </c>
      <c r="C22" s="32">
        <f>C5</f>
        <v>4944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topLeftCell="A27" zoomScale="80" zoomScaleNormal="80" workbookViewId="0">
      <selection activeCell="G38" sqref="G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45504</v>
      </c>
    </row>
    <row r="2" spans="2:18" ht="18.75" x14ac:dyDescent="0.2">
      <c r="B2" s="115" t="s">
        <v>13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778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1178</v>
      </c>
      <c r="D6" s="2"/>
      <c r="E6" s="18">
        <v>3674</v>
      </c>
      <c r="F6" s="25" t="s">
        <v>237</v>
      </c>
      <c r="G6" s="26" t="s">
        <v>8</v>
      </c>
      <c r="H6" s="8">
        <v>778</v>
      </c>
      <c r="I6" s="8">
        <v>778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1178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778</v>
      </c>
      <c r="D13" s="2"/>
      <c r="E13" s="18"/>
      <c r="F13" s="25"/>
      <c r="G13" s="26"/>
      <c r="H13" s="8"/>
      <c r="I13" s="8"/>
      <c r="J13" s="2"/>
      <c r="K13" s="112" t="s">
        <v>22</v>
      </c>
      <c r="L13" s="113"/>
      <c r="M13" s="114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233</v>
      </c>
      <c r="D15" s="2"/>
      <c r="E15" s="18"/>
      <c r="F15" s="25"/>
      <c r="G15" s="26"/>
      <c r="H15" s="8"/>
      <c r="I15" s="8"/>
      <c r="J15" s="2"/>
      <c r="K15" s="25">
        <v>3631</v>
      </c>
      <c r="L15" s="9" t="s">
        <v>134</v>
      </c>
      <c r="M15" s="16" t="s">
        <v>152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1311</v>
      </c>
      <c r="D16" s="2"/>
      <c r="E16" s="18"/>
      <c r="F16" s="25"/>
      <c r="G16" s="26"/>
      <c r="H16" s="8"/>
      <c r="I16" s="8"/>
      <c r="J16" s="2"/>
      <c r="K16" s="25">
        <v>3647</v>
      </c>
      <c r="L16" s="9" t="s">
        <v>128</v>
      </c>
      <c r="M16" s="16" t="s">
        <v>152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10" t="s">
        <v>12</v>
      </c>
      <c r="C18" s="11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778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3631</v>
      </c>
      <c r="F26" s="25" t="s">
        <v>190</v>
      </c>
      <c r="G26" s="26" t="s">
        <v>7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3672</v>
      </c>
      <c r="F27" s="25" t="s">
        <v>236</v>
      </c>
      <c r="G27" s="26" t="s">
        <v>10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1" t="s">
        <v>28</v>
      </c>
      <c r="F33" s="111"/>
      <c r="G33" s="111"/>
      <c r="H33" s="111"/>
      <c r="I33" s="111"/>
      <c r="K33" s="112" t="s">
        <v>12</v>
      </c>
      <c r="L33" s="113"/>
      <c r="M33" s="114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3624</v>
      </c>
      <c r="F35" s="25" t="s">
        <v>238</v>
      </c>
      <c r="G35" s="26" t="s">
        <v>10</v>
      </c>
      <c r="H35" s="8">
        <v>133</v>
      </c>
      <c r="I35" s="8" t="s">
        <v>70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61</v>
      </c>
      <c r="B1" s="38" t="s">
        <v>62</v>
      </c>
      <c r="E1" s="38" t="s">
        <v>63</v>
      </c>
    </row>
    <row r="2" spans="1:5" x14ac:dyDescent="0.2">
      <c r="A2" s="38" t="s">
        <v>6</v>
      </c>
      <c r="B2" s="38" t="s">
        <v>64</v>
      </c>
      <c r="E2" t="s">
        <v>45</v>
      </c>
    </row>
    <row r="3" spans="1:5" x14ac:dyDescent="0.2">
      <c r="A3" s="38" t="s">
        <v>7</v>
      </c>
      <c r="B3" s="38" t="s">
        <v>65</v>
      </c>
      <c r="E3" t="s">
        <v>66</v>
      </c>
    </row>
    <row r="4" spans="1:5" x14ac:dyDescent="0.2">
      <c r="A4" s="38" t="s">
        <v>8</v>
      </c>
      <c r="B4" s="38" t="s">
        <v>67</v>
      </c>
      <c r="E4" t="s">
        <v>68</v>
      </c>
    </row>
    <row r="5" spans="1:5" x14ac:dyDescent="0.2">
      <c r="A5" s="38" t="s">
        <v>9</v>
      </c>
      <c r="B5" s="38" t="s">
        <v>69</v>
      </c>
      <c r="E5" t="s">
        <v>70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49</v>
      </c>
      <c r="B7" s="38" t="s">
        <v>71</v>
      </c>
      <c r="E7" t="s">
        <v>72</v>
      </c>
    </row>
    <row r="8" spans="1:5" x14ac:dyDescent="0.2">
      <c r="A8" t="s">
        <v>25</v>
      </c>
      <c r="B8" t="s">
        <v>73</v>
      </c>
      <c r="E8" t="s">
        <v>51</v>
      </c>
    </row>
    <row r="9" spans="1:5" x14ac:dyDescent="0.2">
      <c r="A9" s="38" t="s">
        <v>39</v>
      </c>
      <c r="B9" s="38" t="s">
        <v>74</v>
      </c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38</v>
      </c>
    </row>
    <row r="13" spans="1:5" x14ac:dyDescent="0.2">
      <c r="E13" t="s">
        <v>52</v>
      </c>
    </row>
    <row r="14" spans="1:5" x14ac:dyDescent="0.2">
      <c r="E14" t="s">
        <v>46</v>
      </c>
    </row>
    <row r="15" spans="1:5" x14ac:dyDescent="0.2">
      <c r="E15" t="s">
        <v>78</v>
      </c>
    </row>
    <row r="16" spans="1:5" x14ac:dyDescent="0.2">
      <c r="E16" t="s">
        <v>47</v>
      </c>
    </row>
    <row r="17" spans="5:5" x14ac:dyDescent="0.2">
      <c r="E17" t="s">
        <v>41</v>
      </c>
    </row>
    <row r="18" spans="5:5" x14ac:dyDescent="0.2">
      <c r="E18" t="s">
        <v>53</v>
      </c>
    </row>
    <row r="19" spans="5:5" x14ac:dyDescent="0.2">
      <c r="E19" t="s">
        <v>44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58</v>
      </c>
    </row>
    <row r="23" spans="5:5" x14ac:dyDescent="0.2">
      <c r="E23" t="s">
        <v>35</v>
      </c>
    </row>
    <row r="24" spans="5:5" x14ac:dyDescent="0.2">
      <c r="E24" t="s">
        <v>54</v>
      </c>
    </row>
    <row r="25" spans="5:5" x14ac:dyDescent="0.2">
      <c r="E25" t="s">
        <v>48</v>
      </c>
    </row>
    <row r="26" spans="5:5" x14ac:dyDescent="0.2">
      <c r="E26" t="s">
        <v>40</v>
      </c>
    </row>
    <row r="27" spans="5:5" x14ac:dyDescent="0.2">
      <c r="E27" t="s">
        <v>43</v>
      </c>
    </row>
    <row r="28" spans="5:5" x14ac:dyDescent="0.2">
      <c r="E28" t="s">
        <v>59</v>
      </c>
    </row>
    <row r="29" spans="5:5" x14ac:dyDescent="0.2">
      <c r="E29" t="s">
        <v>60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56</v>
      </c>
    </row>
    <row r="34" spans="5:5" x14ac:dyDescent="0.2">
      <c r="E34" t="s">
        <v>37</v>
      </c>
    </row>
    <row r="35" spans="5:5" x14ac:dyDescent="0.2">
      <c r="E35" t="s">
        <v>55</v>
      </c>
    </row>
    <row r="36" spans="5:5" x14ac:dyDescent="0.2">
      <c r="E36" t="s">
        <v>42</v>
      </c>
    </row>
    <row r="37" spans="5:5" x14ac:dyDescent="0.2">
      <c r="E37" t="s">
        <v>50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2024-08-01T13:16:27Z</cp:lastPrinted>
  <dcterms:created xsi:type="dcterms:W3CDTF">2004-04-07T20:43:43Z</dcterms:created>
  <dcterms:modified xsi:type="dcterms:W3CDTF">2024-10-08T12:46:53Z</dcterms:modified>
  <cp:category/>
  <cp:contentStatus/>
</cp:coreProperties>
</file>