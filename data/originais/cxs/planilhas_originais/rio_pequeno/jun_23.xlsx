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omments1.xml" ContentType="application/vnd.openxmlformats-officedocument.spreadsheetml.comments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comments2.xml" ContentType="application/vnd.openxmlformats-officedocument.spreadsheetml.comments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2023/"/>
    </mc:Choice>
  </mc:AlternateContent>
  <xr:revisionPtr revIDLastSave="164" documentId="13_ncr:1_{FA6CA665-8FAA-4642-A6DD-419F138C01C4}" xr6:coauthVersionLast="47" xr6:coauthVersionMax="47" xr10:uidLastSave="{2DE611BB-D726-4824-A911-B985865A722E}"/>
  <bookViews>
    <workbookView xWindow="-108" yWindow="-108" windowWidth="15576" windowHeight="8400" tabRatio="895" firstSheet="7" activeTab="6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204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96" l="1"/>
  <c r="R20" i="204"/>
  <c r="C20" i="204"/>
  <c r="R19" i="204"/>
  <c r="C19" i="204"/>
  <c r="B19" i="204"/>
  <c r="R18" i="204"/>
  <c r="R17" i="204"/>
  <c r="R16" i="204"/>
  <c r="R15" i="204"/>
  <c r="C15" i="204"/>
  <c r="R14" i="204"/>
  <c r="R13" i="204"/>
  <c r="C13" i="204"/>
  <c r="R12" i="204"/>
  <c r="C12" i="204"/>
  <c r="R11" i="204"/>
  <c r="C11" i="204"/>
  <c r="C16" i="204" s="1"/>
  <c r="O11" i="204" s="1"/>
  <c r="R10" i="204"/>
  <c r="R9" i="204"/>
  <c r="R8" i="204"/>
  <c r="R7" i="204"/>
  <c r="C7" i="204"/>
  <c r="R6" i="204"/>
  <c r="R40" i="204" s="1"/>
  <c r="C6" i="204"/>
  <c r="C8" i="204" s="1"/>
  <c r="C5" i="204"/>
  <c r="C22" i="204" s="1"/>
  <c r="C15" i="193"/>
  <c r="C12" i="193"/>
  <c r="C13" i="193"/>
  <c r="C14" i="193"/>
  <c r="C11" i="193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5"/>
  <c r="C13" i="195"/>
  <c r="C14" i="195"/>
  <c r="C15" i="195"/>
  <c r="C12" i="194"/>
  <c r="C13" i="194"/>
  <c r="C14" i="194"/>
  <c r="C15" i="194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6" i="170" s="1"/>
  <c r="O11" i="170" s="1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5"/>
  <c r="C11" i="194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8" i="186" s="1"/>
  <c r="C6" i="187"/>
  <c r="C6" i="189"/>
  <c r="C6" i="190"/>
  <c r="C8" i="190" s="1"/>
  <c r="C6" i="191"/>
  <c r="C6" i="188"/>
  <c r="C6" i="193"/>
  <c r="C6" i="195"/>
  <c r="C6" i="194"/>
  <c r="C6" i="196"/>
  <c r="C6" i="192"/>
  <c r="C8" i="192" s="1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C8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 s="1"/>
  <c r="C8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R40" i="170" s="1"/>
  <c r="C22" i="170"/>
  <c r="C19" i="103"/>
  <c r="B19" i="103"/>
  <c r="B5" i="200" l="1"/>
  <c r="C8" i="174"/>
  <c r="C8" i="175"/>
  <c r="R40" i="198"/>
  <c r="B17" i="200"/>
  <c r="B18" i="200" s="1"/>
  <c r="R40" i="199"/>
  <c r="B9" i="200"/>
  <c r="B11" i="200"/>
  <c r="B10" i="200"/>
  <c r="B13" i="200"/>
  <c r="B12" i="200"/>
  <c r="B4" i="200"/>
  <c r="B3" i="200"/>
  <c r="R40" i="196"/>
  <c r="R40" i="192"/>
  <c r="R40" i="194"/>
  <c r="C8" i="194"/>
  <c r="R40" i="195"/>
  <c r="R40" i="193"/>
  <c r="R40" i="188"/>
  <c r="C8" i="188"/>
  <c r="R40" i="191"/>
  <c r="C8" i="191"/>
  <c r="R40" i="190"/>
  <c r="R40" i="187"/>
  <c r="R40" i="186"/>
  <c r="C20" i="185"/>
  <c r="R40" i="185"/>
  <c r="R40" i="180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GTN Holding</author>
  </authors>
  <commentList>
    <comment ref="H7" authorId="0" shapeId="0" xr:uid="{489FCBB0-C028-4710-9F27-5F76922A7B84}">
      <text>
        <r>
          <rPr>
            <sz val="10"/>
            <rFont val="Arial"/>
            <family val="2"/>
          </rPr>
          <t xml:space="preserve">
 Valor da venda ficou R$ 3.721,00, porém teve renegociação da venda, fechando no valor de R$ 3.000,00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GTN Holding</author>
  </authors>
  <commentList>
    <comment ref="G6" authorId="0" shapeId="0" xr:uid="{14BF1BEA-23C3-4A98-B049-164098B7A1FA}">
      <text>
        <r>
          <rPr>
            <sz val="10"/>
            <rFont val="Arial"/>
            <family val="2"/>
          </rPr>
          <t xml:space="preserve">
 Parcelado em 4x no cartão de crédito
</t>
        </r>
      </text>
    </comment>
  </commentList>
</comments>
</file>

<file path=xl/sharedStrings.xml><?xml version="1.0" encoding="utf-8"?>
<sst xmlns="http://schemas.openxmlformats.org/spreadsheetml/2006/main" count="1953" uniqueCount="302">
  <si>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</si>
  <si>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</si>
  <si>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</si>
  <si>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</si>
  <si>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</si>
  <si>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</si>
  <si>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</si>
  <si>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</si>
  <si>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</si>
  <si>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</si>
  <si>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</si>
  <si>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</si>
  <si>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</si>
  <si>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</si>
  <si>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</si>
  <si>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</si>
  <si>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</si>
  <si>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</si>
  <si>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</si>
  <si>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</si>
  <si>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</si>
  <si>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FABIOLA RODRIGUES</t>
  </si>
  <si>
    <t>SS</t>
  </si>
  <si>
    <t>Pão</t>
  </si>
  <si>
    <t>ROSANA R</t>
  </si>
  <si>
    <t>Total  entrada</t>
  </si>
  <si>
    <t>ANNA JULIA AZEVEDO</t>
  </si>
  <si>
    <t>TANIA MARIA</t>
  </si>
  <si>
    <t>OS Entregue no Dia</t>
  </si>
  <si>
    <t>OS</t>
  </si>
  <si>
    <t>Vendedor</t>
  </si>
  <si>
    <t>CARNE</t>
  </si>
  <si>
    <t>Venda</t>
  </si>
  <si>
    <t>Restante Entrada</t>
  </si>
  <si>
    <t>VILMA APARECIDA</t>
  </si>
  <si>
    <t>PATRICIA DEL RIOS</t>
  </si>
  <si>
    <t>RAQUEL MENDONÇA</t>
  </si>
  <si>
    <t>Recebimento de Carnê</t>
  </si>
  <si>
    <t>Valor Parcela</t>
  </si>
  <si>
    <t>Nº Parcela</t>
  </si>
  <si>
    <t>Parcelas</t>
  </si>
  <si>
    <t>Valor Total</t>
  </si>
  <si>
    <t>Total de OS</t>
  </si>
  <si>
    <t>INACIO MANOEL</t>
  </si>
  <si>
    <t>PÃO</t>
  </si>
  <si>
    <t>KASIAH DE SOUZA</t>
  </si>
  <si>
    <t>GUILHERME ANTUNES</t>
  </si>
  <si>
    <t>CAMILA ALEXANDER</t>
  </si>
  <si>
    <t>MARIA DA CONCEIÇÃO</t>
  </si>
  <si>
    <t>MARLENE BENETTI</t>
  </si>
  <si>
    <t>ROSALIA SANTIADO</t>
  </si>
  <si>
    <t>VANESSA JACOB (GARANTIA)</t>
  </si>
  <si>
    <t>DIEGO MIRANDA</t>
  </si>
  <si>
    <t>MARIA DO CÉU</t>
  </si>
  <si>
    <t>SIMONE REGINA (GARANTIA)</t>
  </si>
  <si>
    <t>VERA LUCIA</t>
  </si>
  <si>
    <t>VERA LUCIA (ANEXO)</t>
  </si>
  <si>
    <t>Maria Ramos</t>
  </si>
  <si>
    <t>Sim</t>
  </si>
  <si>
    <t>MICHELLE CRUZ</t>
  </si>
  <si>
    <t>rosana Damas</t>
  </si>
  <si>
    <t>mariane mota</t>
  </si>
  <si>
    <t>pix</t>
  </si>
  <si>
    <t xml:space="preserve">nathane thaires </t>
  </si>
  <si>
    <t>Edilene Ramos</t>
  </si>
  <si>
    <t>CANCELADO</t>
  </si>
  <si>
    <t>karina da silva</t>
  </si>
  <si>
    <t>ss</t>
  </si>
  <si>
    <t xml:space="preserve">giovanna m dos santos </t>
  </si>
  <si>
    <t xml:space="preserve">lilian aparecida </t>
  </si>
  <si>
    <t xml:space="preserve">eder dos santos </t>
  </si>
  <si>
    <t xml:space="preserve">ariana monteiro </t>
  </si>
  <si>
    <t xml:space="preserve">Clayton Rodrigues Gonçalves </t>
  </si>
  <si>
    <t xml:space="preserve">genesio dos santos </t>
  </si>
  <si>
    <t xml:space="preserve">viviane Jesus </t>
  </si>
  <si>
    <t xml:space="preserve">maria ines </t>
  </si>
  <si>
    <t>VIVIANE JESUS (GARANTIA)</t>
  </si>
  <si>
    <t>JOSÉ ROSA SANTANA</t>
  </si>
  <si>
    <t>JOSÉ ROSA SANTANA (anexo)</t>
  </si>
  <si>
    <t>MARIA DE LOURDES</t>
  </si>
  <si>
    <t>PRISCILA APARECIDA</t>
  </si>
  <si>
    <t>WALTER TELLO</t>
  </si>
  <si>
    <t>MAURICIO TIAGO</t>
  </si>
  <si>
    <t>VIVIANE JESUS</t>
  </si>
  <si>
    <t>MARIA JOSÉ</t>
  </si>
  <si>
    <t>ALZIRA MAURICIO (GARANTIA)</t>
  </si>
  <si>
    <t>ORLANDO RODRIGUES F</t>
  </si>
  <si>
    <t>ORLANDO RODRIGUES F (ANEXO)</t>
  </si>
  <si>
    <t>AUREA SILVA</t>
  </si>
  <si>
    <t>DAMIANA LINS</t>
  </si>
  <si>
    <t>SIDNEY ALVES</t>
  </si>
  <si>
    <t>ANNA JULIA</t>
  </si>
  <si>
    <t>MANOEL ANTONIO</t>
  </si>
  <si>
    <t>AMADEU SILVA</t>
  </si>
  <si>
    <t>SANDRA MARIA (GARANTIA)</t>
  </si>
  <si>
    <t>DILMA A.</t>
  </si>
  <si>
    <t>ADRIANA JOASON</t>
  </si>
  <si>
    <t>ULISSES SILVA</t>
  </si>
  <si>
    <t>ALICE SILVA (ANEXO)</t>
  </si>
  <si>
    <t>MARIA DE FATIMA</t>
  </si>
  <si>
    <t>IGOR NASCIMENTO</t>
  </si>
  <si>
    <t>JOSÉ SANTOS</t>
  </si>
  <si>
    <t>BEATRIZ CAETANO</t>
  </si>
  <si>
    <t>EDIVANIA TEIXEIRA</t>
  </si>
  <si>
    <t>HELEN TEIXEIRA (ANEXO 2789)</t>
  </si>
  <si>
    <t xml:space="preserve">RENATA ALVES </t>
  </si>
  <si>
    <t>DAVI SAULO</t>
  </si>
  <si>
    <t>PATRICIA PAULA</t>
  </si>
  <si>
    <t>DIVACI TEIXEIRA</t>
  </si>
  <si>
    <t>IDA STEIN</t>
  </si>
  <si>
    <t>MARIA CLARA</t>
  </si>
  <si>
    <t>DOMICIO GODE</t>
  </si>
  <si>
    <t>FERNANDO SOARES DA SILVA</t>
  </si>
  <si>
    <t xml:space="preserve">LETHICIA XAVIER </t>
  </si>
  <si>
    <t>LAURENCIO DE JESUS</t>
  </si>
  <si>
    <t>MARIA LEDA</t>
  </si>
  <si>
    <t>MARIA APARECIDA</t>
  </si>
  <si>
    <t>LUCAS DOS SANTOS</t>
  </si>
  <si>
    <t>GEFFERSON VIANA</t>
  </si>
  <si>
    <t>MARIA AUX.</t>
  </si>
  <si>
    <t xml:space="preserve">ANA CAROLINA </t>
  </si>
  <si>
    <t>ALINE DESIRE DE LIMA</t>
  </si>
  <si>
    <t>MARIA INÊS</t>
  </si>
  <si>
    <t>JEFFESON GONÇALVES</t>
  </si>
  <si>
    <t>RENATO RIGO</t>
  </si>
  <si>
    <t>FRANCINEIDE MARIA</t>
  </si>
  <si>
    <t>VERA LUCIA PACHECO</t>
  </si>
  <si>
    <t>ELISABETE DE MORAES</t>
  </si>
  <si>
    <t>Maria Inês de Farias</t>
  </si>
  <si>
    <t>GLEISON MAGNO</t>
  </si>
  <si>
    <t>PEDRO PAULO EPIFANI</t>
  </si>
  <si>
    <t>MIRIAM MADEIRA</t>
  </si>
  <si>
    <t xml:space="preserve">Florisvaldo Brito Gomes </t>
  </si>
  <si>
    <t xml:space="preserve">Djanira Alves de Oliveira </t>
  </si>
  <si>
    <t>Shayane Santos Lima (anexo 2809)</t>
  </si>
  <si>
    <t>Manoel Messias Rocha (CREDZ)</t>
  </si>
  <si>
    <t>Kherolaynne Santos Lima (anexo 2809)</t>
  </si>
  <si>
    <t>Valdelice Ribeiro</t>
  </si>
  <si>
    <t>Marlene Toldo (GARANTIA)</t>
  </si>
  <si>
    <t>Nelcia Pereira (GARANTIA)</t>
  </si>
  <si>
    <t>Jailma Dias Souza</t>
  </si>
  <si>
    <t>Pix</t>
  </si>
  <si>
    <t>Sandra Alves</t>
  </si>
  <si>
    <t>Cristina Vivian</t>
  </si>
  <si>
    <t>Aurea Rosa (CARNE)</t>
  </si>
  <si>
    <t>Orlando Rodrigues F.</t>
  </si>
  <si>
    <t>Maria de Lourdes</t>
  </si>
  <si>
    <t>GABRIELA RODRIGUES E.</t>
  </si>
  <si>
    <t>JAMILE DO MONTE MEIRELES</t>
  </si>
  <si>
    <t>JUREMA REGINA</t>
  </si>
  <si>
    <t>Rosângela</t>
  </si>
  <si>
    <t>Não</t>
  </si>
  <si>
    <t>ELAINE CRISTINA</t>
  </si>
  <si>
    <t>ARIANA MONTEIRO</t>
  </si>
  <si>
    <t>PARC. 2/5</t>
  </si>
  <si>
    <t>GIOVANA PEREIRA</t>
  </si>
  <si>
    <t>PARC. 5/7</t>
  </si>
  <si>
    <t>ANDERSON BARBOSA (GARANTIA)</t>
  </si>
  <si>
    <t>FERNANDA FIGUEIREDO (GARANTIA)</t>
  </si>
  <si>
    <t>LAURÊNCIO DE JESUS</t>
  </si>
  <si>
    <t>ERICA OLIVEIRA</t>
  </si>
  <si>
    <t xml:space="preserve">CLEUZA CORREIA </t>
  </si>
  <si>
    <t>NELSON EDEN</t>
  </si>
  <si>
    <t>NELSON EDEN (ANEXO)</t>
  </si>
  <si>
    <t>ADRIANO DE OLIVEIRA</t>
  </si>
  <si>
    <t>MARIA HELENA</t>
  </si>
  <si>
    <t>KAUÃ OLIVEIRA</t>
  </si>
  <si>
    <t>THAYNA APARECIDA</t>
  </si>
  <si>
    <t>ELIENE DA SILVA</t>
  </si>
  <si>
    <t>EDSON CATARINO</t>
  </si>
  <si>
    <t>GIOVANNA V.</t>
  </si>
  <si>
    <t>ALEX ALVES ANACLETO</t>
  </si>
  <si>
    <t>JEFFERSON GONÇALVES</t>
  </si>
  <si>
    <t>SARAH K REIS</t>
  </si>
  <si>
    <t>ANE CAROLINE</t>
  </si>
  <si>
    <t>GEFFERSON VIANA (GARANTIA)</t>
  </si>
  <si>
    <t>SOLANGE MARIA</t>
  </si>
  <si>
    <t>MAGALI TELES</t>
  </si>
  <si>
    <t>DILMA CIQUEIRA</t>
  </si>
  <si>
    <t>SILVANA NASCIMENTO DA SILVA</t>
  </si>
  <si>
    <t>EVERALDO FRANCISCO</t>
  </si>
  <si>
    <t>LORET VITORINO</t>
  </si>
  <si>
    <t>JAMILE DO MONTE</t>
  </si>
  <si>
    <t>CLEUZA CORREIA</t>
  </si>
  <si>
    <t>VALQUIRIA SANTIAGO</t>
  </si>
  <si>
    <t xml:space="preserve">LURDES MARI KODAMA </t>
  </si>
  <si>
    <t>MAURICIO FILHO (ANEXO 2837)</t>
  </si>
  <si>
    <t>GERLANE MATEUS (GARANTIA)</t>
  </si>
  <si>
    <t xml:space="preserve">SIDNEY BATISTA </t>
  </si>
  <si>
    <t>PATRICIA FERREIRA (ANEXO 2840)</t>
  </si>
  <si>
    <t xml:space="preserve">MARIA NILZA </t>
  </si>
  <si>
    <t>CRISTINA VIVIANE</t>
  </si>
  <si>
    <t>27/0</t>
  </si>
  <si>
    <t xml:space="preserve">MIQUELI SANTOS </t>
  </si>
  <si>
    <t>MARIA INÊS (GARANTIA)</t>
  </si>
  <si>
    <t>CAFÉ DA TARDE</t>
  </si>
  <si>
    <t>ROSANGELA APARECIDA (GARANTIA)</t>
  </si>
  <si>
    <t>MARCELO SANTOS</t>
  </si>
  <si>
    <t>RAPHAELA DA SILVA</t>
  </si>
  <si>
    <t>JAILMA DOS SANTOS</t>
  </si>
  <si>
    <t>CAROLINE NETTO NASCIMENTO</t>
  </si>
  <si>
    <t>ELIZABETE MARIA DOS SANTOS</t>
  </si>
  <si>
    <t>REGIANE DE SOUZA</t>
  </si>
  <si>
    <t>CAFÉ DA MANHÃ</t>
  </si>
  <si>
    <t>MARIA APARECIDA M. DE O.</t>
  </si>
  <si>
    <t xml:space="preserve">antonia eliane </t>
  </si>
  <si>
    <t>EDUARDO PEREIRA DE O.</t>
  </si>
  <si>
    <t>VALDILENE</t>
  </si>
  <si>
    <t>ALCIONE DE J. CARDOSO</t>
  </si>
  <si>
    <t>REGINALDO CRISTOVÃO</t>
  </si>
  <si>
    <t>ALCIONE DE J. CARDOSO (ANEXO 2852)</t>
  </si>
  <si>
    <t>IVONE ALVES C.</t>
  </si>
  <si>
    <t>31/06/23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</si>
  <si>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</si>
  <si>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</si>
  <si>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</si>
  <si>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</si>
  <si>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</si>
  <si>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</si>
  <si>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</si>
  <si>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</si>
  <si>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</si>
  <si>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</si>
  <si>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</si>
  <si>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</si>
  <si>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</si>
  <si>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</si>
  <si>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</si>
  <si>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</si>
  <si>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GARANTIA</t>
  </si>
  <si>
    <t>Todas as Garantias</t>
  </si>
  <si>
    <t>PARC. 2/4</t>
  </si>
  <si>
    <t>PERMUTA</t>
  </si>
  <si>
    <t>permuta com prestadores  de serviço</t>
  </si>
  <si>
    <t>PARC. 3/4</t>
  </si>
  <si>
    <t>PARC. 4/4</t>
  </si>
  <si>
    <t>PARC. 1/5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</si>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</sst>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Calibri"/>
      <family val="2"/>
    </font>
    <font>
      <b/>
      <strike/>
      <sz val="12"/>
      <name val="Arial"/>
      <family val="2"/>
    </font>
    <font>
      <b/>
      <strike/>
      <sz val="11"/>
      <name val="Calibri"/>
      <family val="2"/>
    </font>
    <font>
      <b/>
      <strike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6" fillId="0" borderId="0" applyFont="0" applyFill="0" applyBorder="0" applyAlignment="0" applyProtection="0"/>
    <xf numFmtId="0" fontId="16" fillId="0" borderId="0"/>
    <xf numFmtId="9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1" fillId="2" borderId="0"/>
    <xf numFmtId="0" fontId="19" fillId="3" borderId="0"/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6" fillId="4" borderId="14">
      <alignment horizontal="center"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0" fontId="4" fillId="0" borderId="0"/>
    <xf numFmtId="0" fontId="7" fillId="0" borderId="0"/>
    <xf numFmtId="0" fontId="7" fillId="0" borderId="0"/>
    <xf numFmtId="9" fontId="27" fillId="0" borderId="15">
      <alignment horizontal="left" vertical="center" indent="2"/>
    </xf>
    <xf numFmtId="9" fontId="7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68" fontId="30" fillId="0" borderId="16">
      <alignment horizontal="center" vertical="center"/>
    </xf>
    <xf numFmtId="43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4" fontId="22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165" fontId="14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4" fillId="0" borderId="17" xfId="4" applyNumberFormat="1" applyFont="1" applyFill="1" applyBorder="1" applyAlignment="1">
      <alignment horizontal="center"/>
    </xf>
    <xf numFmtId="165" fontId="14" fillId="0" borderId="17" xfId="0" applyNumberFormat="1" applyFont="1" applyBorder="1" applyAlignment="1">
      <alignment horizontal="center"/>
    </xf>
    <xf numFmtId="164" fontId="14" fillId="5" borderId="10" xfId="2" applyFont="1" applyFill="1" applyBorder="1" applyAlignment="1">
      <alignment horizontal="center"/>
    </xf>
    <xf numFmtId="164" fontId="14" fillId="5" borderId="13" xfId="2" applyFont="1" applyFill="1" applyBorder="1" applyAlignment="1">
      <alignment horizontal="center"/>
    </xf>
    <xf numFmtId="165" fontId="14" fillId="5" borderId="13" xfId="4" applyNumberFormat="1" applyFont="1" applyFill="1" applyBorder="1" applyAlignment="1">
      <alignment horizontal="center"/>
    </xf>
    <xf numFmtId="165" fontId="14" fillId="5" borderId="9" xfId="4" applyNumberFormat="1" applyFont="1" applyFill="1" applyBorder="1" applyAlignment="1">
      <alignment horizontal="center"/>
    </xf>
    <xf numFmtId="165" fontId="14" fillId="5" borderId="10" xfId="0" applyNumberFormat="1" applyFont="1" applyFill="1" applyBorder="1" applyAlignment="1">
      <alignment horizontal="center"/>
    </xf>
    <xf numFmtId="165" fontId="14" fillId="5" borderId="9" xfId="0" applyNumberFormat="1" applyFont="1" applyFill="1" applyBorder="1" applyAlignment="1">
      <alignment horizontal="center"/>
    </xf>
    <xf numFmtId="165" fontId="14" fillId="0" borderId="6" xfId="0" applyNumberFormat="1" applyFont="1" applyBorder="1" applyAlignment="1">
      <alignment horizontal="center"/>
    </xf>
    <xf numFmtId="165" fontId="14" fillId="0" borderId="3" xfId="4" applyNumberFormat="1" applyFont="1" applyFill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165" fontId="13" fillId="6" borderId="12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5" borderId="2" xfId="0" applyFont="1" applyFill="1" applyBorder="1" applyAlignment="1">
      <alignment horizontal="center"/>
    </xf>
    <xf numFmtId="165" fontId="14" fillId="5" borderId="11" xfId="0" applyNumberFormat="1" applyFont="1" applyFill="1" applyBorder="1" applyAlignment="1">
      <alignment horizontal="center"/>
    </xf>
    <xf numFmtId="0" fontId="25" fillId="0" borderId="17" xfId="0" applyFont="1" applyBorder="1" applyAlignment="1">
      <alignment horizontal="center"/>
    </xf>
    <xf numFmtId="164" fontId="14" fillId="0" borderId="17" xfId="2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5" fillId="7" borderId="6" xfId="0" applyFont="1" applyFill="1" applyBorder="1" applyAlignment="1">
      <alignment horizontal="center"/>
    </xf>
    <xf numFmtId="165" fontId="15" fillId="7" borderId="8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64" fontId="14" fillId="5" borderId="0" xfId="2" applyFont="1" applyFill="1" applyBorder="1" applyAlignment="1">
      <alignment horizontal="center"/>
    </xf>
    <xf numFmtId="164" fontId="15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164" fontId="14" fillId="0" borderId="3" xfId="2" applyFont="1" applyFill="1" applyBorder="1" applyAlignment="1">
      <alignment horizontal="center"/>
    </xf>
    <xf numFmtId="0" fontId="6" fillId="0" borderId="0" xfId="0" applyFont="1"/>
    <xf numFmtId="164" fontId="25" fillId="0" borderId="17" xfId="2" applyFont="1" applyFill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" fontId="14" fillId="0" borderId="17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64" fontId="31" fillId="0" borderId="17" xfId="2" applyFont="1" applyFill="1" applyBorder="1" applyAlignment="1">
      <alignment horizontal="center"/>
    </xf>
    <xf numFmtId="165" fontId="25" fillId="0" borderId="17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1" fontId="25" fillId="0" borderId="17" xfId="0" applyNumberFormat="1" applyFont="1" applyBorder="1" applyAlignment="1">
      <alignment horizontal="center"/>
    </xf>
    <xf numFmtId="44" fontId="14" fillId="0" borderId="17" xfId="83" applyFont="1" applyFill="1" applyBorder="1" applyAlignment="1">
      <alignment horizontal="center"/>
    </xf>
    <xf numFmtId="44" fontId="14" fillId="0" borderId="3" xfId="83" applyFont="1" applyFill="1" applyBorder="1" applyAlignment="1">
      <alignment horizontal="center"/>
    </xf>
    <xf numFmtId="44" fontId="25" fillId="0" borderId="17" xfId="83" applyFont="1" applyFill="1" applyBorder="1" applyAlignment="1">
      <alignment horizontal="center"/>
    </xf>
    <xf numFmtId="0" fontId="14" fillId="0" borderId="17" xfId="4" applyNumberFormat="1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165" fontId="14" fillId="0" borderId="0" xfId="4" applyNumberFormat="1" applyFont="1" applyFill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164" fontId="0" fillId="0" borderId="17" xfId="2" applyFont="1" applyFill="1" applyBorder="1" applyAlignment="1">
      <alignment horizontal="center"/>
    </xf>
    <xf numFmtId="164" fontId="14" fillId="0" borderId="3" xfId="2" applyFont="1" applyBorder="1" applyAlignment="1">
      <alignment horizontal="center"/>
    </xf>
    <xf numFmtId="165" fontId="14" fillId="0" borderId="3" xfId="4" applyNumberFormat="1" applyFont="1" applyBorder="1" applyAlignment="1">
      <alignment horizontal="center"/>
    </xf>
    <xf numFmtId="164" fontId="13" fillId="0" borderId="17" xfId="2" applyFont="1" applyBorder="1" applyAlignment="1">
      <alignment horizontal="center"/>
    </xf>
    <xf numFmtId="165" fontId="13" fillId="0" borderId="17" xfId="4" applyNumberFormat="1" applyFont="1" applyBorder="1" applyAlignment="1">
      <alignment horizontal="center"/>
    </xf>
    <xf numFmtId="164" fontId="14" fillId="0" borderId="17" xfId="2" applyFont="1" applyBorder="1" applyAlignment="1">
      <alignment horizontal="center"/>
    </xf>
    <xf numFmtId="165" fontId="14" fillId="0" borderId="17" xfId="4" applyNumberFormat="1" applyFont="1" applyBorder="1" applyAlignment="1">
      <alignment horizontal="center"/>
    </xf>
    <xf numFmtId="0" fontId="0" fillId="0" borderId="17" xfId="2" applyNumberFormat="1" applyFont="1" applyFill="1" applyBorder="1" applyAlignment="1">
      <alignment horizontal="center"/>
    </xf>
    <xf numFmtId="164" fontId="6" fillId="0" borderId="17" xfId="2" applyFont="1" applyFill="1" applyBorder="1" applyAlignment="1">
      <alignment horizontal="center"/>
    </xf>
    <xf numFmtId="165" fontId="33" fillId="0" borderId="17" xfId="4" applyNumberFormat="1" applyFont="1" applyFill="1" applyBorder="1" applyAlignment="1">
      <alignment horizontal="center"/>
    </xf>
    <xf numFmtId="164" fontId="25" fillId="0" borderId="3" xfId="2" applyFont="1" applyFill="1" applyBorder="1" applyAlignment="1">
      <alignment horizontal="center"/>
    </xf>
    <xf numFmtId="0" fontId="39" fillId="0" borderId="17" xfId="2" applyNumberFormat="1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39" fillId="0" borderId="17" xfId="4" applyNumberFormat="1" applyFont="1" applyFill="1" applyBorder="1" applyAlignment="1">
      <alignment horizontal="center"/>
    </xf>
    <xf numFmtId="0" fontId="39" fillId="0" borderId="17" xfId="0" applyFont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1" fillId="0" borderId="17" xfId="0" applyFont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0" fontId="25" fillId="0" borderId="17" xfId="0" applyFont="1" applyBorder="1" applyAlignment="1">
      <alignment horizontal="center" wrapText="1"/>
    </xf>
    <xf numFmtId="165" fontId="6" fillId="0" borderId="17" xfId="4" applyNumberFormat="1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0" fontId="31" fillId="0" borderId="3" xfId="2" applyNumberFormat="1" applyFont="1" applyFill="1" applyBorder="1" applyAlignment="1">
      <alignment horizontal="center"/>
    </xf>
    <xf numFmtId="164" fontId="31" fillId="0" borderId="3" xfId="2" applyFont="1" applyFill="1" applyBorder="1" applyAlignment="1">
      <alignment horizontal="center"/>
    </xf>
    <xf numFmtId="44" fontId="14" fillId="0" borderId="17" xfId="39" applyFont="1" applyFill="1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165" fontId="11" fillId="7" borderId="5" xfId="0" applyNumberFormat="1" applyFont="1" applyFill="1" applyBorder="1" applyAlignment="1">
      <alignment horizontal="center"/>
    </xf>
    <xf numFmtId="165" fontId="11" fillId="7" borderId="4" xfId="0" applyNumberFormat="1" applyFont="1" applyFill="1" applyBorder="1" applyAlignment="1">
      <alignment horizontal="center"/>
    </xf>
    <xf numFmtId="165" fontId="11" fillId="7" borderId="12" xfId="0" applyNumberFormat="1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/>
    </xf>
  </cellXfs>
  <cellStyles count="9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2 2" xfId="87" xr:uid="{CD7A9DF9-6CAA-445E-B40F-82280809B556}"/>
    <cellStyle name="Moeda 2 2 2 3" xfId="72" xr:uid="{6D16C14B-46BE-4A8B-9F75-BDC22C69B2AA}"/>
    <cellStyle name="Moeda 2 2 3" xfId="59" xr:uid="{15876CAD-A58A-417E-942B-B75CA4D12C4A}"/>
    <cellStyle name="Moeda 2 2 3 2" xfId="80" xr:uid="{8D4900A9-8AC3-40C3-BEE9-00E83EC162E2}"/>
    <cellStyle name="Moeda 2 2 4" xfId="65" xr:uid="{8065D580-179B-477E-87DC-913946A8FD9E}"/>
    <cellStyle name="Moeda 2 3" xfId="44" xr:uid="{018D7EC2-457E-4352-8B9D-D98BC95BBE55}"/>
    <cellStyle name="Moeda 2 3 2" xfId="85" xr:uid="{6BCD22B4-C852-4EA5-8932-B68C91C18BDB}"/>
    <cellStyle name="Moeda 2 3 3" xfId="70" xr:uid="{7CC0A578-38B4-4512-8257-AD6B118BB3D0}"/>
    <cellStyle name="Moeda 2 4" xfId="57" xr:uid="{60314F40-4D14-4914-B2FB-F0EF8809BFDC}"/>
    <cellStyle name="Moeda 2 4 2" xfId="78" xr:uid="{9E28F3B5-118E-44BA-8152-9D9920C4D393}"/>
    <cellStyle name="Moeda 2 5" xfId="63" xr:uid="{31872977-5AAF-4354-9B2F-13AFA82D76D8}"/>
    <cellStyle name="Moeda 3" xfId="39" xr:uid="{7AB823BE-4C0E-4C74-AC9F-2ADAE4FB907E}"/>
    <cellStyle name="Moeda 3 2" xfId="83" xr:uid="{1B93A609-08DC-4596-928A-689F28EF63ED}"/>
    <cellStyle name="Moeda 3 3" xfId="68" xr:uid="{1B52ADA3-15E5-46AE-B21C-BBB001F43A69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3 2" xfId="88" xr:uid="{FB1AF633-AA39-4E57-BD9C-CAC3CE8A50EE}"/>
    <cellStyle name="Normal 4 3 3" xfId="73" xr:uid="{B883533A-59A2-46EB-B6BB-9B633EDF75BF}"/>
    <cellStyle name="Normal 4 4" xfId="60" xr:uid="{AF296A9E-05F1-4EBF-B3A5-6D6A1B6677AA}"/>
    <cellStyle name="Normal 4 4 2" xfId="81" xr:uid="{F1F56DDE-461F-4237-A4AC-3AC7E47A394C}"/>
    <cellStyle name="Normal 4 5" xfId="66" xr:uid="{DE79D2D2-441D-493E-9B47-47ADFEC9E8FE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2 2" xfId="84" xr:uid="{F69DD2B8-09D9-4EBC-8BF9-8D7EDB453D67}"/>
    <cellStyle name="Separador de milhares 2 2 3" xfId="69" xr:uid="{1AD819CB-0E12-4037-8FAC-89BDEE80F86F}"/>
    <cellStyle name="Separador de milhares 2 3" xfId="56" xr:uid="{1CEB6C10-8A7B-4609-8DF5-0B2F3DA67C9A}"/>
    <cellStyle name="Separador de milhares 2 3 2" xfId="77" xr:uid="{4B5E399E-86AA-4228-99A5-56BB3EF9AE72}"/>
    <cellStyle name="Separador de milhares 2 4" xfId="62" xr:uid="{9A263C74-5D06-4A52-84F8-3C2B833B38C8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5 2 2" xfId="89" xr:uid="{42AB6CE5-136F-41A7-8475-9EAFE82210B8}"/>
    <cellStyle name="Separador de milhares 5 2 3" xfId="74" xr:uid="{CF994B4F-91BF-412F-BAE2-D44275397AF4}"/>
    <cellStyle name="Separador de milhares 6" xfId="35" xr:uid="{00000000-0005-0000-0000-000020000000}"/>
    <cellStyle name="Separador de milhares 6 2" xfId="54" xr:uid="{24CAB0AE-3C7D-4F02-905C-447EEBCEA0E5}"/>
    <cellStyle name="Separador de milhares 6 2 2" xfId="90" xr:uid="{009FAD2C-95AD-415B-80FE-27961D325D48}"/>
    <cellStyle name="Separador de milhares 6 2 3" xfId="75" xr:uid="{9C62D7A3-8A2A-486A-A9D7-C19BC42B70F3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2 2" xfId="86" xr:uid="{BD3E627B-3986-430B-A60D-1864996C5FE9}"/>
    <cellStyle name="Vírgula 10 2 3" xfId="71" xr:uid="{06E302B4-3DE3-4840-92D7-B3508459CB0D}"/>
    <cellStyle name="Vírgula 10 3" xfId="58" xr:uid="{ED20D7A7-29F8-43B5-8992-FFA42C90A8C0}"/>
    <cellStyle name="Vírgula 10 3 2" xfId="79" xr:uid="{0D768A1A-1DDB-49F7-A348-C26F6CB943FA}"/>
    <cellStyle name="Vírgula 10 4" xfId="64" xr:uid="{2FCA6D16-2866-48C6-B008-01CE1C4916E1}"/>
    <cellStyle name="Vírgula 2" xfId="38" xr:uid="{00000000-0005-0000-0000-000027000000}"/>
    <cellStyle name="Vírgula 2 2" xfId="55" xr:uid="{CB37DB63-E913-4772-B017-FD8345B858C4}"/>
    <cellStyle name="Vírgula 2 2 2" xfId="91" xr:uid="{040CEAD6-1377-4C75-B7B6-0EF4F242A69F}"/>
    <cellStyle name="Vírgula 2 2 3" xfId="76" xr:uid="{05C00FC3-9DD9-4563-B3B5-898CC39061DE}"/>
    <cellStyle name="Vírgula 2 3" xfId="61" xr:uid="{79463D6F-D2DA-4A6C-9918-0EF0B9E007F0}"/>
    <cellStyle name="Vírgula 2 3 2" xfId="82" xr:uid="{83D4D31D-7207-44BB-BB7D-B2F02CE0581E}"/>
    <cellStyle name="Vírgula 2 4" xfId="67" xr:uid="{E5B570DE-825B-4152-89DB-977D66DF7158}"/>
  </cellStyles>
  <dxfs count="16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29" dataDxfId="1628" headerRowBorderDxfId="1626" tableBorderDxfId="1627" totalsRowBorderDxfId="162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24" dataCellStyle="Moeda"/>
    <tableColumn id="5" xr3:uid="{4E864FFB-62AE-4C76-999A-80DAC03BA10F}" name="Cliente" dataDxfId="1623" dataCellStyle="Moeda"/>
    <tableColumn id="2" xr3:uid="{39F76C04-E7DF-4C8C-921C-A165689790E9}" name="Forma de Pgto" dataDxfId="1622" dataCellStyle="Moeda"/>
    <tableColumn id="3" xr3:uid="{E9370F52-26BB-4EAF-A1D9-2BD0CAE66157}" name="Valor Venda" dataDxfId="1621" dataCellStyle="Porcentagem"/>
    <tableColumn id="4" xr3:uid="{BA146EFF-288C-407A-B27C-EC83C6C60F64}" name="Entrada" dataDxfId="1620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19" dataDxfId="1618" headerRowBorderDxfId="1616" tableBorderDxfId="1617" totalsRowBorderDxfId="1615">
  <autoFilter ref="K5:M11" xr:uid="{00000000-0009-0000-0100-000015000000}"/>
  <tableColumns count="3">
    <tableColumn id="1" xr3:uid="{0B88E9C0-AB9D-453A-B36F-BD29A8C17D8A}" name="Descrição" dataDxfId="1614"/>
    <tableColumn id="2" xr3:uid="{17C658DA-B17E-40FE-A7BD-DC7D9EC674E9}" name="Tipo de Pagto" dataDxfId="1613"/>
    <tableColumn id="3" xr3:uid="{FF4BC756-9A15-4D47-B863-8A20D3280A08}" name="Valor" dataDxfId="16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11" dataDxfId="1610" headerRowBorderDxfId="1608" tableBorderDxfId="1609" totalsRowBorderDxfId="160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06"/>
    <tableColumn id="2" xr3:uid="{47D41B32-D662-49C2-9421-3A125B03A82A}" name="Cliente" dataDxfId="1605"/>
    <tableColumn id="3" xr3:uid="{39E1C509-0A71-43B1-986F-88861123AB80}" name="Forma de Pgto" dataDxfId="1604" dataCellStyle="Moeda"/>
    <tableColumn id="4" xr3:uid="{47286C2F-E1F6-47AA-8494-04DB96C3E6B1}" name="Valor Venda" dataDxfId="1603" dataCellStyle="Porcentagem"/>
    <tableColumn id="5" xr3:uid="{8CC8BB9B-601E-4BB4-B63E-BE429656D172}" name="Entrada" dataDxfId="1602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01" dataDxfId="1600" headerRowBorderDxfId="1598" tableBorderDxfId="1599" totalsRowBorderDxfId="1597">
  <autoFilter ref="K14:M31" xr:uid="{C83FE64B-E221-4DAA-89EA-5307A7BC98B3}"/>
  <tableColumns count="3">
    <tableColumn id="1" xr3:uid="{4F2E3C78-49DF-438D-A2AF-840084C0C05C}" name="OS" dataDxfId="1596"/>
    <tableColumn id="2" xr3:uid="{2EBF3173-B4D7-4BCC-8593-5878D7F40F65}" name="Vendedor" dataDxfId="1595"/>
    <tableColumn id="3" xr3:uid="{BFD4CEE5-C30B-49BA-951C-C0B0CCFBDF6A}" name="CARNE" dataDxfId="159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593" dataDxfId="1592" headerRowBorderDxfId="1590" tableBorderDxfId="1591" totalsRowBorderDxfId="158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588"/>
    <tableColumn id="2" xr3:uid="{69A152AB-9A1E-4E74-850B-E7190DCBB712}" name="Cliente" dataDxfId="1587"/>
    <tableColumn id="3" xr3:uid="{F918E665-3FA3-4D49-8B7B-662CAB3CB814}" name="Forma de Pgto" dataDxfId="1586" dataCellStyle="Moeda"/>
    <tableColumn id="4" xr3:uid="{31D63A0C-E278-497A-9D40-34077035FD25}" name="Valor Parcela" dataDxfId="1585" dataCellStyle="Porcentagem"/>
    <tableColumn id="5" xr3:uid="{1B552883-A189-4B21-8398-A08FF7756606}" name="Nº Parcela" dataDxfId="1584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83" headerRowBorderDxfId="1581" tableBorderDxfId="1582" totalsRowBorderDxfId="1580">
  <autoFilter ref="K34:M41" xr:uid="{1B8643D4-6AC3-4029-882A-C62E9D7CB225}"/>
  <tableColumns count="3">
    <tableColumn id="1" xr3:uid="{8A794627-537E-47A8-A07A-ED4FE9B7FAEE}" name="OS" dataDxfId="1579"/>
    <tableColumn id="2" xr3:uid="{75A5608F-8F26-4C71-A24D-8E79F737416A}" name="Parcelas" dataDxfId="1578"/>
    <tableColumn id="3" xr3:uid="{405D57D3-4E8E-4A9E-A3A3-7DDC45B62F91}" name="Valor Total" dataDxfId="157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76" dataDxfId="1575" headerRowBorderDxfId="1573" tableBorderDxfId="1574" totalsRowBorderDxfId="157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71" dataCellStyle="Moeda"/>
    <tableColumn id="5" xr3:uid="{62DCD49D-7CD9-4268-A2D5-B3A594E461BB}" name="Cliente" dataDxfId="1570" dataCellStyle="Moeda"/>
    <tableColumn id="2" xr3:uid="{50D45495-B1A2-4885-996A-3E6DD92E280E}" name="Forma de Pgto" dataDxfId="1569" dataCellStyle="Moeda"/>
    <tableColumn id="3" xr3:uid="{DE57E226-692B-42B0-911E-ACCF59BC6D86}" name="Valor Venda" dataDxfId="1568" dataCellStyle="Porcentagem"/>
    <tableColumn id="4" xr3:uid="{CE230B3B-D2C9-4A92-A5F3-A5EE4A74409A}" name="Entrada" dataDxfId="1567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66" dataDxfId="1565" headerRowBorderDxfId="1563" tableBorderDxfId="1564" totalsRowBorderDxfId="1562">
  <autoFilter ref="K5:M11" xr:uid="{00000000-0009-0000-0100-000015000000}"/>
  <tableColumns count="3">
    <tableColumn id="1" xr3:uid="{58E2E66D-9AC0-4A69-BF19-1AB9AD59BA2F}" name="Descrição" dataDxfId="1561"/>
    <tableColumn id="2" xr3:uid="{FE1E3124-46C3-49A6-AE83-7C14B341DF59}" name="Tipo de Pagto" dataDxfId="1560"/>
    <tableColumn id="3" xr3:uid="{D8FBF474-04EE-46ED-9B9E-791D937CF715}" name="Valor" dataDxfId="15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2" totalsRowShown="0" headerRowDxfId="1558" headerRowBorderDxfId="1556" tableBorderDxfId="1557" totalsRowBorderDxfId="1555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54"/>
    <tableColumn id="2" xr3:uid="{595EF087-A3B2-4C2B-AEEA-F930A6C2F5F4}" name="Cliente" dataDxfId="1553"/>
    <tableColumn id="3" xr3:uid="{C5C2BC75-6E8D-4808-A5EE-A5F9251ECE6C}" name="Forma de Pgto" dataDxfId="1552" dataCellStyle="Moeda"/>
    <tableColumn id="4" xr3:uid="{20CF776B-B9F4-48DD-9379-961689B40B71}" name="Valor Venda" dataDxfId="1551" dataCellStyle="Porcentagem"/>
    <tableColumn id="5" xr3:uid="{65177CB6-6D07-42E6-8EFE-435282A2F5BA}" name="Entrada" dataDxfId="1550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49" dataDxfId="1548" headerRowBorderDxfId="1546" tableBorderDxfId="1547" totalsRowBorderDxfId="1545">
  <autoFilter ref="K14:M31" xr:uid="{C83FE64B-E221-4DAA-89EA-5307A7BC98B3}"/>
  <tableColumns count="3">
    <tableColumn id="1" xr3:uid="{B4C5A0E6-F291-4369-998D-321E2024DFE1}" name="OS" dataDxfId="1544"/>
    <tableColumn id="2" xr3:uid="{D1AEFC99-FF9D-4A0D-BE93-D866BDC7A817}" name="Vendedor" dataDxfId="1543"/>
    <tableColumn id="3" xr3:uid="{CA30546E-8A3F-45D5-BE2B-24DCF738F1F2}" name="CARNE" dataDxfId="154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5:I42" totalsRowShown="0" headerRowDxfId="1541" dataDxfId="1540" headerRowBorderDxfId="1538" tableBorderDxfId="1539" totalsRowBorderDxfId="1537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07E4FA26-C4CE-4094-A8B1-84A0D1090D09}" name="OS" dataDxfId="1536"/>
    <tableColumn id="2" xr3:uid="{7D38F106-0145-4B73-951B-86BF22EC7FAB}" name="Cliente" dataDxfId="1535"/>
    <tableColumn id="3" xr3:uid="{11A4EEBE-D35C-4719-B2B9-16486260EF79}" name="Forma de Pgto" dataDxfId="1534" dataCellStyle="Moeda"/>
    <tableColumn id="4" xr3:uid="{1BAB2FC5-9F2C-41DD-994A-6BA83A984883}" name="Valor Parcela" dataDxfId="1533" dataCellStyle="Porcentagem"/>
    <tableColumn id="5" xr3:uid="{8C539F89-5F96-4DB9-B7A4-784EA1B5350C}" name="Nº Parcela" dataDxfId="1532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31" headerRowBorderDxfId="1529" tableBorderDxfId="1530" totalsRowBorderDxfId="1528">
  <autoFilter ref="K34:M41" xr:uid="{1B8643D4-6AC3-4029-882A-C62E9D7CB225}"/>
  <tableColumns count="3">
    <tableColumn id="1" xr3:uid="{0B93901B-D681-410F-8B28-E186D9A3CAC3}" name="OS" dataDxfId="1527"/>
    <tableColumn id="2" xr3:uid="{A57C0E02-6258-48F0-9407-2095CD96B2D4}" name="Parcelas" dataDxfId="1526"/>
    <tableColumn id="3" xr3:uid="{1EA087CF-658D-4951-89BB-508667E3BBBE}" name="Valor Total" dataDxfId="152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24" dataDxfId="1523" headerRowBorderDxfId="1521" tableBorderDxfId="1522" totalsRowBorderDxfId="152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19" dataCellStyle="Moeda"/>
    <tableColumn id="5" xr3:uid="{98DC42E5-632F-4288-9CC5-1F032859A7E7}" name="Cliente" dataDxfId="1518" dataCellStyle="Moeda"/>
    <tableColumn id="2" xr3:uid="{4AE32B81-9EBD-470B-9ABE-A82D6658F3FE}" name="Forma de Pgto" dataDxfId="1517" dataCellStyle="Moeda"/>
    <tableColumn id="3" xr3:uid="{6E5BAEC1-2689-4ABB-93EC-298595B5C82E}" name="Valor Venda" dataDxfId="1516" dataCellStyle="Porcentagem"/>
    <tableColumn id="4" xr3:uid="{24493E7B-FE77-4A85-8810-0F0A4A84D997}" name="Entrada" dataDxfId="1515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14" dataDxfId="1513" headerRowBorderDxfId="1511" tableBorderDxfId="1512" totalsRowBorderDxfId="1510">
  <autoFilter ref="K5:M11" xr:uid="{00000000-0009-0000-0100-000015000000}"/>
  <tableColumns count="3">
    <tableColumn id="1" xr3:uid="{DA50BBFB-ECA9-45DE-9949-F3F90EEC3BA7}" name="Descrição" dataDxfId="1509"/>
    <tableColumn id="2" xr3:uid="{A64D4F88-B62D-440B-BA71-6D7BB28D542E}" name="Tipo de Pagto" dataDxfId="1508"/>
    <tableColumn id="3" xr3:uid="{0406A209-0652-47F9-9AB4-3256B26876D2}" name="Valor" dataDxfId="150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06" dataDxfId="1505" headerRowBorderDxfId="1503" tableBorderDxfId="1504" totalsRowBorderDxfId="150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01"/>
    <tableColumn id="2" xr3:uid="{8B8D24E4-1123-478B-838C-FCF56EABBDFD}" name="Cliente" dataDxfId="1500"/>
    <tableColumn id="3" xr3:uid="{8B7DE8DF-8D5D-4245-A63D-EF550AE347E3}" name="Forma de Pgto" dataDxfId="1499" dataCellStyle="Moeda"/>
    <tableColumn id="4" xr3:uid="{95A77C0C-49D0-45A2-8B99-A765C4741CE7}" name="Valor Venda" dataDxfId="1498" dataCellStyle="Porcentagem"/>
    <tableColumn id="5" xr3:uid="{FF4FDD32-DA70-4723-A8FB-07B3FB04B5CD}" name="Entrada" dataDxfId="1497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96" dataDxfId="1495" headerRowBorderDxfId="1493" tableBorderDxfId="1494" totalsRowBorderDxfId="1492">
  <autoFilter ref="K14:M31" xr:uid="{C83FE64B-E221-4DAA-89EA-5307A7BC98B3}"/>
  <tableColumns count="3">
    <tableColumn id="1" xr3:uid="{A31E67F7-E266-4220-8D3F-09556FCE20B1}" name="OS" dataDxfId="1491"/>
    <tableColumn id="2" xr3:uid="{2ED39269-8DA5-4157-9E82-8C8ED0C828A3}" name="Vendedor" dataDxfId="1490"/>
    <tableColumn id="3" xr3:uid="{F550B35D-6F70-4E2E-9037-3A7DF5BB4D86}" name="CARNE" dataDxfId="148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488" dataDxfId="1487" headerRowBorderDxfId="1485" tableBorderDxfId="1486" totalsRowBorderDxfId="148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83"/>
    <tableColumn id="2" xr3:uid="{58D563AD-1DCA-4768-9170-A0079A20A1DF}" name="Cliente" dataDxfId="1482"/>
    <tableColumn id="3" xr3:uid="{FE883FCE-942C-4DE5-904D-B12FE6C4992D}" name="Forma de Pgto" dataDxfId="1481" dataCellStyle="Moeda"/>
    <tableColumn id="4" xr3:uid="{21451B08-4DF0-4C35-AC45-94C183AA6A59}" name="Valor Parcela" dataDxfId="1480" dataCellStyle="Porcentagem"/>
    <tableColumn id="5" xr3:uid="{8F93C3AE-47D0-4E55-A038-445341804CE9}" name="Nº Parcela" dataDxfId="1479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78" headerRowBorderDxfId="1476" tableBorderDxfId="1477" totalsRowBorderDxfId="1475">
  <autoFilter ref="K34:M41" xr:uid="{1B8643D4-6AC3-4029-882A-C62E9D7CB225}"/>
  <tableColumns count="3">
    <tableColumn id="1" xr3:uid="{2687574F-C0F9-4AD1-A54B-286C1AE50D97}" name="OS" dataDxfId="1474"/>
    <tableColumn id="2" xr3:uid="{AE623FF4-38C1-45D9-B220-1CD4A553B7C1}" name="Parcelas" dataDxfId="1473"/>
    <tableColumn id="3" xr3:uid="{EEBFC521-3084-43FF-A36B-C25CE198B817}" name="Valor Total" dataDxfId="147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71" dataDxfId="1470" headerRowBorderDxfId="1468" tableBorderDxfId="1469" totalsRowBorderDxfId="14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66" dataCellStyle="Moeda"/>
    <tableColumn id="5" xr3:uid="{F5DA840E-A051-4AE4-AE1A-9DAFAF8FFC3B}" name="Cliente" dataDxfId="1465" dataCellStyle="Moeda"/>
    <tableColumn id="2" xr3:uid="{DF65CD3D-444A-4025-B98B-F38F11610432}" name="Forma de Pgto" dataDxfId="1464" dataCellStyle="Moeda"/>
    <tableColumn id="3" xr3:uid="{9A4839DC-9153-466A-B0AF-456FAEF79174}" name="Valor Venda" dataDxfId="1463" dataCellStyle="Porcentagem"/>
    <tableColumn id="4" xr3:uid="{EF410A7C-DBD1-4367-A43B-616826FFEB4F}" name="Entrada" dataDxfId="1462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61" dataDxfId="1460" headerRowBorderDxfId="1458" tableBorderDxfId="1459" totalsRowBorderDxfId="1457">
  <autoFilter ref="K5:M11" xr:uid="{00000000-0009-0000-0100-000015000000}"/>
  <tableColumns count="3">
    <tableColumn id="1" xr3:uid="{F1C90853-2F5A-4C32-8AC3-18ECE1FDDF43}" name="Descrição" dataDxfId="1456"/>
    <tableColumn id="2" xr3:uid="{DEB32F17-2D52-4FBB-90C4-1C3AE9C104E6}" name="Tipo de Pagto" dataDxfId="1455"/>
    <tableColumn id="3" xr3:uid="{089B3650-C090-496F-BF9A-6E8466DBF76A}" name="Valor" dataDxfId="145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2" totalsRowShown="0" headerRowDxfId="1453" headerRowBorderDxfId="1451" tableBorderDxfId="1452" totalsRowBorderDxfId="1450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49"/>
    <tableColumn id="2" xr3:uid="{73AEC7DD-005C-4428-9D1D-1A3761F2192B}" name="Cliente" dataDxfId="1448"/>
    <tableColumn id="3" xr3:uid="{FA28017F-3137-49BD-B826-2E261901E543}" name="Forma de Pgto" dataDxfId="1447" dataCellStyle="Moeda"/>
    <tableColumn id="4" xr3:uid="{6030418B-B1EC-4D4D-96DF-0EB78B87F6F9}" name="Valor Venda" dataDxfId="1446" dataCellStyle="Porcentagem"/>
    <tableColumn id="5" xr3:uid="{0576A975-F40D-4463-85C0-76AB6FCD63AC}" name="Entrada" dataDxfId="1445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44" dataDxfId="1443" headerRowBorderDxfId="1441" tableBorderDxfId="1442" totalsRowBorderDxfId="1440">
  <autoFilter ref="K14:M31" xr:uid="{C83FE64B-E221-4DAA-89EA-5307A7BC98B3}"/>
  <tableColumns count="3">
    <tableColumn id="1" xr3:uid="{830E23BA-DE90-49EF-B4EA-89C3276575B2}" name="OS" dataDxfId="1439"/>
    <tableColumn id="2" xr3:uid="{679AF5A0-4545-4316-AD6C-E4B7A7BA099A}" name="Vendedor" dataDxfId="1438"/>
    <tableColumn id="3" xr3:uid="{6B801D58-D05B-4A78-A6FE-BC9EF408DC10}" name="CARNE" dataDxfId="143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5:I42" totalsRowShown="0" headerRowDxfId="1436" dataDxfId="1435" headerRowBorderDxfId="1433" tableBorderDxfId="1434" totalsRowBorderDxfId="1432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6BEE042E-9E35-4BD7-842C-73720AA03CCF}" name="OS" dataDxfId="1431"/>
    <tableColumn id="2" xr3:uid="{953837B7-D16A-40C2-9C83-CD7E7171C88F}" name="Cliente" dataDxfId="1430"/>
    <tableColumn id="3" xr3:uid="{63860264-C651-4A12-8F01-E9F622A843C0}" name="Forma de Pgto" dataDxfId="1429" dataCellStyle="Moeda"/>
    <tableColumn id="4" xr3:uid="{584373BD-23BA-4A1E-A4FC-3D4A594F4148}" name="Valor Parcela" dataDxfId="1428" dataCellStyle="Porcentagem"/>
    <tableColumn id="5" xr3:uid="{7CBAF04B-D82E-4180-A8EA-98461BE41F4A}" name="Nº Parcela" dataDxfId="1427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26" headerRowBorderDxfId="1424" tableBorderDxfId="1425" totalsRowBorderDxfId="1423">
  <autoFilter ref="K34:M41" xr:uid="{1B8643D4-6AC3-4029-882A-C62E9D7CB225}"/>
  <tableColumns count="3">
    <tableColumn id="1" xr3:uid="{F555359C-BC20-4C24-A948-500BDD3B5763}" name="OS" dataDxfId="1422"/>
    <tableColumn id="2" xr3:uid="{B72B4820-B8B5-4F80-83B5-9EC54EF78025}" name="Parcelas" dataDxfId="1421"/>
    <tableColumn id="3" xr3:uid="{893DDBC4-5663-4D63-80CB-4E7482811983}" name="Valor Total" dataDxfId="142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19" dataDxfId="1418" headerRowBorderDxfId="1416" tableBorderDxfId="1417" totalsRowBorderDxfId="14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14" dataCellStyle="Moeda"/>
    <tableColumn id="5" xr3:uid="{4F9ED826-A0E1-4FB0-83C6-A561EA7B6750}" name="Cliente" dataDxfId="1413" dataCellStyle="Moeda"/>
    <tableColumn id="2" xr3:uid="{C2B928FE-CB2E-4271-AE3D-2FE26117248E}" name="Forma de Pgto" dataDxfId="1412" dataCellStyle="Moeda"/>
    <tableColumn id="3" xr3:uid="{CE23E3D0-4056-4DCB-83C4-5B94BD49CAAC}" name="Valor Venda" dataDxfId="1411" dataCellStyle="Porcentagem"/>
    <tableColumn id="4" xr3:uid="{1F426340-BFB9-4B9E-B988-7A195156D2F2}" name="Entrada" dataDxfId="1410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09" dataDxfId="1408" headerRowBorderDxfId="1406" tableBorderDxfId="1407" totalsRowBorderDxfId="1405">
  <autoFilter ref="K5:M11" xr:uid="{00000000-0009-0000-0100-000015000000}"/>
  <tableColumns count="3">
    <tableColumn id="1" xr3:uid="{F4C840DC-E06E-4A51-B1BF-E769E4EC9ACB}" name="Descrição" dataDxfId="1404"/>
    <tableColumn id="2" xr3:uid="{E6DE1F07-CE97-421A-A22A-4B4270DDF46D}" name="Tipo de Pagto" dataDxfId="1403"/>
    <tableColumn id="3" xr3:uid="{D84FBA92-07C5-41FD-BBA2-2AADF245D1D6}" name="Valor" dataDxfId="140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2" totalsRowShown="0" headerRowDxfId="1401" headerRowBorderDxfId="1399" tableBorderDxfId="1400" totalsRowBorderDxfId="1398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397"/>
    <tableColumn id="2" xr3:uid="{CD77FB12-1DAA-4DAF-B42A-0357959803DD}" name="Cliente" dataDxfId="1396"/>
    <tableColumn id="3" xr3:uid="{5F4C4F5C-C920-452A-B2BA-592AD2C18723}" name="Forma de Pgto" dataDxfId="1395" dataCellStyle="Moeda"/>
    <tableColumn id="4" xr3:uid="{3930B2F0-6049-4E02-92B1-EC55A5330B2C}" name="Valor Venda" dataDxfId="1394" dataCellStyle="Porcentagem"/>
    <tableColumn id="5" xr3:uid="{82EBAE08-64CA-459E-9015-FA8F61210D87}" name="Entrada" dataDxfId="1393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392" dataDxfId="1391" headerRowBorderDxfId="1389" tableBorderDxfId="1390" totalsRowBorderDxfId="1388">
  <autoFilter ref="K14:M31" xr:uid="{C83FE64B-E221-4DAA-89EA-5307A7BC98B3}"/>
  <tableColumns count="3">
    <tableColumn id="1" xr3:uid="{E0565617-EB8C-486F-838C-B370E84BC8A2}" name="OS" dataDxfId="1387"/>
    <tableColumn id="2" xr3:uid="{EA20833B-67D8-48B8-B6E4-54A10D0969E8}" name="Vendedor" dataDxfId="1386"/>
    <tableColumn id="3" xr3:uid="{8B1F8993-74A4-499F-AD5E-91A6051BA219}" name="CARNE" dataDxfId="1385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5:I42" totalsRowShown="0" headerRowDxfId="1384" dataDxfId="1383" headerRowBorderDxfId="1381" tableBorderDxfId="1382" totalsRowBorderDxfId="1380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20FEE6C9-1400-4BAE-AE31-9EAE96744744}" name="OS" dataDxfId="1379"/>
    <tableColumn id="2" xr3:uid="{FB461660-91D6-4E31-81FF-113A17320EED}" name="Cliente" dataDxfId="1378"/>
    <tableColumn id="3" xr3:uid="{0A47D0C3-375B-4E2D-B5E9-2048252BC0D3}" name="Forma de Pgto" dataDxfId="1377" dataCellStyle="Moeda"/>
    <tableColumn id="4" xr3:uid="{F9C62ED5-C18D-465D-B7E4-0729BD7B3A10}" name="Valor Parcela" dataDxfId="1376" dataCellStyle="Porcentagem"/>
    <tableColumn id="5" xr3:uid="{DD9D513B-1645-445F-83E9-DC54C163BD4E}" name="Nº Parcela" dataDxfId="1375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74" headerRowBorderDxfId="1372" tableBorderDxfId="1373" totalsRowBorderDxfId="1371">
  <autoFilter ref="K34:M41" xr:uid="{1B8643D4-6AC3-4029-882A-C62E9D7CB225}"/>
  <tableColumns count="3">
    <tableColumn id="1" xr3:uid="{D65B195F-C059-40E5-A4CA-FE91C5DB43DB}" name="OS" dataDxfId="1370"/>
    <tableColumn id="2" xr3:uid="{A2A023CF-C61D-419E-ABB0-2F9CEE35150B}" name="Parcelas" dataDxfId="1369"/>
    <tableColumn id="3" xr3:uid="{F7D650A1-7C3D-42D0-B133-EB49D396C64F}" name="Valor Total" dataDxfId="1368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67" dataDxfId="1366" headerRowBorderDxfId="1364" tableBorderDxfId="1365" totalsRowBorderDxfId="13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62" dataCellStyle="Moeda"/>
    <tableColumn id="5" xr3:uid="{FF96847D-D5C5-4F73-905C-E549112972E1}" name="Cliente" dataDxfId="1361" dataCellStyle="Moeda"/>
    <tableColumn id="2" xr3:uid="{1B47815A-C2E2-4886-9A6F-B2A7307F901E}" name="Forma de Pgto" dataDxfId="1360" dataCellStyle="Moeda"/>
    <tableColumn id="3" xr3:uid="{FD86C99A-4E69-452A-8D71-B939B84F2B55}" name="Valor Venda" dataDxfId="1359" dataCellStyle="Porcentagem"/>
    <tableColumn id="4" xr3:uid="{49ECBAAC-14EE-43F3-BE6F-974EF5F3E156}" name="Entrada" dataDxfId="1358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57" dataDxfId="1356" headerRowBorderDxfId="1354" tableBorderDxfId="1355" totalsRowBorderDxfId="1353">
  <autoFilter ref="K5:M11" xr:uid="{00000000-0009-0000-0100-000015000000}"/>
  <tableColumns count="3">
    <tableColumn id="1" xr3:uid="{5236D397-E61A-4AA1-B99C-AD40093239F9}" name="Descrição" dataDxfId="1352"/>
    <tableColumn id="2" xr3:uid="{3341FC2A-819A-41AF-B8A9-B5A195B8D597}" name="Tipo de Pagto" dataDxfId="1351"/>
    <tableColumn id="3" xr3:uid="{D568CA16-B32B-4F86-9DE5-B8B3E9825745}" name="Valor" dataDxfId="1350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49" dataDxfId="1348" headerRowBorderDxfId="1346" tableBorderDxfId="1347" totalsRowBorderDxfId="13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44"/>
    <tableColumn id="2" xr3:uid="{DEEB020C-2BC4-4E77-9557-B0FDBCF683E9}" name="Cliente" dataDxfId="1343"/>
    <tableColumn id="3" xr3:uid="{FC27FDBE-5194-4E32-AFD1-DB754ECCEF38}" name="Forma de Pgto" dataDxfId="1342" dataCellStyle="Moeda"/>
    <tableColumn id="4" xr3:uid="{489A4CE9-C3F1-4322-9639-D01F0935FB0E}" name="Valor Venda" dataDxfId="1341" dataCellStyle="Porcentagem"/>
    <tableColumn id="5" xr3:uid="{07E5F22F-7782-466E-98DB-48416B35B9C4}" name="Entrada" dataDxfId="1340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39" dataDxfId="1338" headerRowBorderDxfId="1336" tableBorderDxfId="1337" totalsRowBorderDxfId="1335">
  <autoFilter ref="K14:M31" xr:uid="{C83FE64B-E221-4DAA-89EA-5307A7BC98B3}"/>
  <tableColumns count="3">
    <tableColumn id="1" xr3:uid="{E4926A1A-00A9-4844-90B1-E36D53050FAD}" name="OS" dataDxfId="1334"/>
    <tableColumn id="2" xr3:uid="{CFC62C38-9887-48E6-A3B8-42586D1EC066}" name="Vendedor" dataDxfId="1333"/>
    <tableColumn id="3" xr3:uid="{32577275-2002-496E-8AD4-5FE489DBC179}" name="CARNE" dataDxfId="1332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31" dataDxfId="1330" headerRowBorderDxfId="1328" tableBorderDxfId="1329" totalsRowBorderDxfId="13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26"/>
    <tableColumn id="2" xr3:uid="{19438CD0-86D0-4CC4-9B41-5D756AC61E4D}" name="Cliente" dataDxfId="1325"/>
    <tableColumn id="3" xr3:uid="{59621200-4821-4583-9D35-A2EA6C27B52D}" name="Forma de Pgto" dataDxfId="1324" dataCellStyle="Moeda"/>
    <tableColumn id="4" xr3:uid="{35A817E7-6B21-48A7-863E-225DFEDD8B2A}" name="Valor Parcela" dataDxfId="1323" dataCellStyle="Porcentagem"/>
    <tableColumn id="5" xr3:uid="{77D80430-C5F8-4582-B3DF-9A9A9350F565}" name="Nº Parcela" dataDxfId="1322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21" headerRowBorderDxfId="1319" tableBorderDxfId="1320" totalsRowBorderDxfId="1318">
  <autoFilter ref="K34:M41" xr:uid="{1B8643D4-6AC3-4029-882A-C62E9D7CB225}"/>
  <tableColumns count="3">
    <tableColumn id="1" xr3:uid="{503F9F70-E540-4505-B65D-D233FCB88D5F}" name="OS" dataDxfId="1317"/>
    <tableColumn id="2" xr3:uid="{6A2B4927-D830-4C18-8831-6FE23BFAD877}" name="Parcelas" dataDxfId="1316"/>
    <tableColumn id="3" xr3:uid="{8E06E94A-FF62-4D13-8B11-C6CE2990FCDF}" name="Valor Total" dataDxfId="1315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14" dataDxfId="1313" headerRowBorderDxfId="1311" tableBorderDxfId="1312" totalsRowBorderDxfId="13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09" dataCellStyle="Moeda"/>
    <tableColumn id="5" xr3:uid="{00000000-0010-0000-0900-000005000000}" name="Cliente" dataDxfId="1308" dataCellStyle="Moeda"/>
    <tableColumn id="2" xr3:uid="{00000000-0010-0000-0900-000002000000}" name="Forma de Pgto" dataDxfId="1307" dataCellStyle="Moeda"/>
    <tableColumn id="3" xr3:uid="{00000000-0010-0000-0900-000003000000}" name="Valor Venda" dataDxfId="1306" dataCellStyle="Porcentagem"/>
    <tableColumn id="4" xr3:uid="{00000000-0010-0000-0900-000004000000}" name="Entrada" dataDxfId="1305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04" dataDxfId="1303" headerRowBorderDxfId="1301" tableBorderDxfId="1302" totalsRowBorderDxfId="1300">
  <autoFilter ref="K5:M11" xr:uid="{00000000-0009-0000-0100-000015000000}"/>
  <tableColumns count="3">
    <tableColumn id="1" xr3:uid="{00000000-0010-0000-0A00-000001000000}" name="Descrição" dataDxfId="1299"/>
    <tableColumn id="2" xr3:uid="{00000000-0010-0000-0A00-000002000000}" name="Tipo de Pagto" dataDxfId="1298"/>
    <tableColumn id="3" xr3:uid="{00000000-0010-0000-0A00-000003000000}" name="Valor" dataDxfId="1297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296" dataDxfId="1295" headerRowBorderDxfId="1293" tableBorderDxfId="1294" totalsRowBorderDxfId="12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291"/>
    <tableColumn id="2" xr3:uid="{00000000-0010-0000-0B00-000002000000}" name="Cliente" dataDxfId="1290"/>
    <tableColumn id="3" xr3:uid="{00000000-0010-0000-0B00-000003000000}" name="Forma de Pgto" dataDxfId="1289" dataCellStyle="Moeda"/>
    <tableColumn id="4" xr3:uid="{00000000-0010-0000-0B00-000004000000}" name="Valor Venda" dataDxfId="1288" dataCellStyle="Porcentagem"/>
    <tableColumn id="5" xr3:uid="{00000000-0010-0000-0B00-000005000000}" name="Entrada" dataDxfId="1287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86" dataDxfId="1285" headerRowBorderDxfId="1283" tableBorderDxfId="1284" totalsRowBorderDxfId="1282">
  <autoFilter ref="K14:M31" xr:uid="{C83FE64B-E221-4DAA-89EA-5307A7BC98B3}"/>
  <tableColumns count="3">
    <tableColumn id="1" xr3:uid="{E5EB8AC8-7F8E-49D1-A903-14124A5BA1B1}" name="OS" dataDxfId="1281"/>
    <tableColumn id="2" xr3:uid="{E1794679-294A-42ED-9D8F-4C0874170BFA}" name="Vendedor" dataDxfId="1280"/>
    <tableColumn id="3" xr3:uid="{CB411C23-941D-4548-984D-68460932D683}" name="CARNE" dataDxfId="1279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78" dataDxfId="1277" headerRowBorderDxfId="1275" tableBorderDxfId="1276" totalsRowBorderDxfId="12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73"/>
    <tableColumn id="2" xr3:uid="{430FE27E-32BC-43B0-BB6E-CCBAB36B2A5A}" name="Cliente" dataDxfId="1272"/>
    <tableColumn id="3" xr3:uid="{568CECCF-BE0A-4266-A7C7-9359F722EA0F}" name="Forma de Pgto" dataDxfId="1271" dataCellStyle="Moeda"/>
    <tableColumn id="4" xr3:uid="{9CF4291A-8808-43DB-9F83-A7EB463C5F4A}" name="Valor Parcela" dataDxfId="1270" dataCellStyle="Porcentagem"/>
    <tableColumn id="5" xr3:uid="{736EA743-97FA-4800-BEDD-5C07EEB144A8}" name="Nº Parcela" dataDxfId="1269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68" headerRowBorderDxfId="1266" tableBorderDxfId="1267" totalsRowBorderDxfId="1265">
  <autoFilter ref="K34:M41" xr:uid="{1B8643D4-6AC3-4029-882A-C62E9D7CB225}"/>
  <tableColumns count="3">
    <tableColumn id="1" xr3:uid="{132FEC50-51B3-4AAA-BF48-63FA39ED861C}" name="OS" dataDxfId="1264"/>
    <tableColumn id="2" xr3:uid="{11276640-1C63-48D7-BE0B-1FE7C736A1A8}" name="Parcelas" dataDxfId="1263"/>
    <tableColumn id="3" xr3:uid="{96591591-9F74-40A6-B0B9-BA6D2106107F}" name="Valor Total" dataDxfId="1262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61" dataDxfId="1260" headerRowBorderDxfId="1258" tableBorderDxfId="1259" totalsRowBorderDxfId="12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56" dataCellStyle="Moeda"/>
    <tableColumn id="5" xr3:uid="{795F9F6D-AAE5-4C61-A646-82BF506C503E}" name="Cliente" dataDxfId="1255" dataCellStyle="Moeda"/>
    <tableColumn id="2" xr3:uid="{DD13626B-6361-410E-BFB7-9E75436163A4}" name="Forma de Pgto" dataDxfId="1254" dataCellStyle="Moeda"/>
    <tableColumn id="3" xr3:uid="{8939280F-F6DC-4F66-ADDF-59F6A387460C}" name="Valor Venda" dataDxfId="1253" dataCellStyle="Porcentagem"/>
    <tableColumn id="4" xr3:uid="{FFC83B9E-825A-4058-BFEA-DA64D7159065}" name="Entrada" dataDxfId="1252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51" dataDxfId="1250" headerRowBorderDxfId="1248" tableBorderDxfId="1249" totalsRowBorderDxfId="1247">
  <autoFilter ref="K5:M11" xr:uid="{00000000-0009-0000-0100-000015000000}"/>
  <tableColumns count="3">
    <tableColumn id="1" xr3:uid="{9309A091-2326-4B68-B8C9-B31CF2D72EAF}" name="Descrição" dataDxfId="1246"/>
    <tableColumn id="2" xr3:uid="{910D89CE-506B-440F-8EB2-31633D7CAD51}" name="Tipo de Pagto" dataDxfId="1245"/>
    <tableColumn id="3" xr3:uid="{7155C391-52F1-4F4A-84B1-7BBC44A35A99}" name="Valor" dataDxfId="1244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43" dataDxfId="1242" headerRowBorderDxfId="1240" tableBorderDxfId="1241" totalsRowBorderDxfId="12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38"/>
    <tableColumn id="2" xr3:uid="{75B601B3-9668-4B1A-ADF2-17DA487A3413}" name="Cliente" dataDxfId="1237"/>
    <tableColumn id="3" xr3:uid="{64F47935-52AF-4AE3-9262-06D7472567D7}" name="Forma de Pgto" dataDxfId="1236" dataCellStyle="Moeda"/>
    <tableColumn id="4" xr3:uid="{9257AA0D-34DE-4B38-8406-BC1F561A53B3}" name="Valor Venda" dataDxfId="1235" dataCellStyle="Porcentagem"/>
    <tableColumn id="5" xr3:uid="{4C98958F-FB27-4968-81B6-D7CC6BBD2DAE}" name="Entrada" dataDxfId="1234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33" dataDxfId="1232" headerRowBorderDxfId="1230" tableBorderDxfId="1231" totalsRowBorderDxfId="1229">
  <autoFilter ref="K14:M31" xr:uid="{C83FE64B-E221-4DAA-89EA-5307A7BC98B3}"/>
  <tableColumns count="3">
    <tableColumn id="1" xr3:uid="{45B76297-FCE6-4684-80C4-601E84D95BB4}" name="OS" dataDxfId="1228"/>
    <tableColumn id="2" xr3:uid="{AEB024E2-EB15-40A6-B65B-468339937BD0}" name="Vendedor" dataDxfId="1227"/>
    <tableColumn id="3" xr3:uid="{ACDDDA2A-4116-4E25-B799-0071372A8FAA}" name="CARNE" dataDxfId="1226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25" dataDxfId="1224" headerRowBorderDxfId="1222" tableBorderDxfId="1223" totalsRowBorderDxfId="12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20"/>
    <tableColumn id="2" xr3:uid="{A06C5B3A-A28C-4563-87C4-B63635D6E7B9}" name="Cliente" dataDxfId="1219"/>
    <tableColumn id="3" xr3:uid="{4AC120F2-6F4A-41F2-87D2-680E8D6F8D96}" name="Forma de Pgto" dataDxfId="1218" dataCellStyle="Moeda"/>
    <tableColumn id="4" xr3:uid="{17DB2EA9-C13D-4AEB-AB97-B4C907D16420}" name="Valor Parcela" dataDxfId="1217" dataCellStyle="Porcentagem"/>
    <tableColumn id="5" xr3:uid="{F6E09F06-2F23-4822-A9B4-D8898604A1E0}" name="Nº Parcela" dataDxfId="1216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15" headerRowBorderDxfId="1213" tableBorderDxfId="1214" totalsRowBorderDxfId="1212">
  <autoFilter ref="K34:M41" xr:uid="{1B8643D4-6AC3-4029-882A-C62E9D7CB225}"/>
  <tableColumns count="3">
    <tableColumn id="1" xr3:uid="{D0DE8F47-9BDA-4E4F-92E6-E2404F920F1B}" name="OS" dataDxfId="1211"/>
    <tableColumn id="2" xr3:uid="{43AD47D8-F738-4D39-8B0B-E0AC217D9D32}" name="Parcelas" dataDxfId="1210"/>
    <tableColumn id="3" xr3:uid="{024ED2FF-C4EC-44DC-9129-9BE8032DC4A5}" name="Valor Total" dataDxfId="1209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08" dataDxfId="1207" headerRowBorderDxfId="1205" tableBorderDxfId="1206" totalsRowBorderDxfId="12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03" dataCellStyle="Moeda"/>
    <tableColumn id="5" xr3:uid="{C13AA79A-76C7-4954-B055-3EC7A6A9008A}" name="Cliente" dataDxfId="1202" dataCellStyle="Moeda"/>
    <tableColumn id="2" xr3:uid="{56D92948-0431-4E11-AC7A-A6D6B6D3D15E}" name="Forma de Pgto" dataDxfId="1201" dataCellStyle="Moeda"/>
    <tableColumn id="3" xr3:uid="{3348DA9C-6AA9-49E4-8450-E8BC22BC5F6C}" name="Valor Venda" dataDxfId="1200" dataCellStyle="Porcentagem"/>
    <tableColumn id="4" xr3:uid="{A03B4BE2-2B4F-4512-98ED-45C3754F4D2A}" name="Entrada" dataDxfId="1199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98" dataDxfId="1197" headerRowBorderDxfId="1195" tableBorderDxfId="1196" totalsRowBorderDxfId="1194">
  <autoFilter ref="K5:M11" xr:uid="{00000000-0009-0000-0100-000015000000}"/>
  <tableColumns count="3">
    <tableColumn id="1" xr3:uid="{2700D0CD-8906-41BB-B51F-AAECD67A05FE}" name="Descrição" dataDxfId="1193"/>
    <tableColumn id="2" xr3:uid="{00E5FAC2-C7E2-44A6-AA64-460782F41E47}" name="Tipo de Pagto" dataDxfId="1192"/>
    <tableColumn id="3" xr3:uid="{70D30678-03EC-4DC1-BB28-EBD756D1976D}" name="Valor" dataDxfId="1191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190" dataDxfId="1189" headerRowBorderDxfId="1187" tableBorderDxfId="1188" totalsRowBorderDxfId="11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85"/>
    <tableColumn id="2" xr3:uid="{59310BF7-C6CA-49AF-8D7C-32023868A553}" name="Cliente" dataDxfId="1184"/>
    <tableColumn id="3" xr3:uid="{C13BE163-BA03-41E0-A121-27164C58ABA3}" name="Forma de Pgto" dataDxfId="1183" dataCellStyle="Moeda"/>
    <tableColumn id="4" xr3:uid="{E9797482-8A01-4C8B-8B66-47DE3D38D78F}" name="Valor Venda" dataDxfId="1182" dataCellStyle="Porcentagem"/>
    <tableColumn id="5" xr3:uid="{864D3F67-D199-48BA-8E16-3EFBAC4AF8A2}" name="Entrada" dataDxfId="1181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80" dataDxfId="1179" headerRowBorderDxfId="1177" tableBorderDxfId="1178" totalsRowBorderDxfId="1176">
  <autoFilter ref="K14:M31" xr:uid="{C83FE64B-E221-4DAA-89EA-5307A7BC98B3}"/>
  <tableColumns count="3">
    <tableColumn id="1" xr3:uid="{92200504-6651-4517-B155-4C75687BBC1E}" name="OS" dataDxfId="1175"/>
    <tableColumn id="2" xr3:uid="{BE1934F5-5D06-41D6-9394-C4D383C8CD33}" name="Vendedor" dataDxfId="1174"/>
    <tableColumn id="3" xr3:uid="{F504E9B2-856C-4C10-AA72-D7A7B035B330}" name="CARNE" dataDxfId="1173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72" dataDxfId="1171" headerRowBorderDxfId="1169" tableBorderDxfId="1170" totalsRowBorderDxfId="11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67"/>
    <tableColumn id="2" xr3:uid="{95B09C40-3752-47D7-9085-F5B42BC487DA}" name="Cliente" dataDxfId="1166"/>
    <tableColumn id="3" xr3:uid="{1A0B311C-327A-4C44-9D04-81730B41B9A2}" name="Forma de Pgto" dataDxfId="1165" dataCellStyle="Moeda"/>
    <tableColumn id="4" xr3:uid="{9A802666-F9A1-4EB6-824C-ECF60066044F}" name="Valor Parcela" dataDxfId="1164" dataCellStyle="Porcentagem"/>
    <tableColumn id="5" xr3:uid="{1CC0AF26-B599-4D4F-8BD5-BBE76DBCE085}" name="Nº Parcela" dataDxfId="1163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62" headerRowBorderDxfId="1160" tableBorderDxfId="1161" totalsRowBorderDxfId="1159">
  <autoFilter ref="K34:M41" xr:uid="{1B8643D4-6AC3-4029-882A-C62E9D7CB225}"/>
  <tableColumns count="3">
    <tableColumn id="1" xr3:uid="{D712257D-E310-4A34-972E-E8E3502C0E07}" name="OS" dataDxfId="1158"/>
    <tableColumn id="2" xr3:uid="{DE78D123-6817-4646-8C08-920B2F11524F}" name="Parcelas" dataDxfId="1157"/>
    <tableColumn id="3" xr3:uid="{5BFF5A3E-02FE-410E-B1DB-45BB5A31FC42}" name="Valor Total" dataDxfId="1156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55" dataDxfId="1154" headerRowBorderDxfId="1152" tableBorderDxfId="1153" totalsRowBorderDxfId="11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50" dataCellStyle="Moeda"/>
    <tableColumn id="5" xr3:uid="{A57F8BDB-02F9-493C-AD6D-F47611C369D5}" name="Cliente" dataDxfId="1149" dataCellStyle="Moeda"/>
    <tableColumn id="2" xr3:uid="{3BF4EA26-026F-42E1-9B28-3FCC68B54E9F}" name="Forma de Pgto" dataDxfId="1148" dataCellStyle="Moeda"/>
    <tableColumn id="3" xr3:uid="{FD063076-8462-4774-B716-34AAD1738449}" name="Valor Venda" dataDxfId="1147" dataCellStyle="Porcentagem"/>
    <tableColumn id="4" xr3:uid="{690445E0-65B1-450A-A6D3-179070107086}" name="Entrada" dataDxfId="1146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45" dataDxfId="1144" headerRowBorderDxfId="1142" tableBorderDxfId="1143" totalsRowBorderDxfId="1141">
  <autoFilter ref="K5:M11" xr:uid="{00000000-0009-0000-0100-000015000000}"/>
  <tableColumns count="3">
    <tableColumn id="1" xr3:uid="{5D510C76-887A-4F0A-A2F3-BD55732E9E85}" name="Descrição" dataDxfId="1140"/>
    <tableColumn id="2" xr3:uid="{F6C1F4A7-28F4-48F8-905E-708FA62EB574}" name="Tipo de Pagto" dataDxfId="1139"/>
    <tableColumn id="3" xr3:uid="{E62B0002-F6CD-4351-A9EA-673FC7C97B03}" name="Valor" dataDxfId="1138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37" headerRowBorderDxfId="1135" tableBorderDxfId="1136" totalsRowBorderDxfId="1134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33"/>
    <tableColumn id="2" xr3:uid="{822B50C3-46B7-46F0-8829-5293CCAFB21E}" name="Cliente" dataDxfId="1132"/>
    <tableColumn id="3" xr3:uid="{F2A36AB3-30D6-4C43-A466-18FF147EE075}" name="Forma de Pgto" dataDxfId="1131" dataCellStyle="Moeda"/>
    <tableColumn id="4" xr3:uid="{AD829CF8-2271-44F1-A1F1-4928D83ED658}" name="Valor Venda" dataDxfId="1130" dataCellStyle="Porcentagem"/>
    <tableColumn id="5" xr3:uid="{7973C843-3740-4AE2-931D-89DE845BA145}" name="Entrada" dataDxfId="1129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28" dataDxfId="1127" headerRowBorderDxfId="1125" tableBorderDxfId="1126" totalsRowBorderDxfId="1124">
  <autoFilter ref="K14:M31" xr:uid="{C83FE64B-E221-4DAA-89EA-5307A7BC98B3}"/>
  <tableColumns count="3">
    <tableColumn id="1" xr3:uid="{404BEA27-9F48-40AC-AF84-177E7CA2ADEC}" name="OS" dataDxfId="1123"/>
    <tableColumn id="2" xr3:uid="{BC07784A-25E9-4C57-B0FF-1E3D183BCD37}" name="Vendedor" dataDxfId="1122"/>
    <tableColumn id="3" xr3:uid="{EFFF7860-5B35-466B-BA53-4485DC02FB15}" name="CARNE" dataDxfId="1121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20" dataDxfId="1119" headerRowBorderDxfId="1117" tableBorderDxfId="1118" totalsRowBorderDxfId="1116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0AD70F2E-47A6-41CF-83BB-24674AC9CA07}" name="OS" dataDxfId="1115"/>
    <tableColumn id="2" xr3:uid="{A8D4686B-F05E-4D96-BDB9-FD354C9E28B8}" name="Cliente" dataDxfId="1114"/>
    <tableColumn id="3" xr3:uid="{0FB871EC-4505-4E7C-A162-0EFDB16AB8E5}" name="Forma de Pgto" dataDxfId="1113" dataCellStyle="Moeda"/>
    <tableColumn id="4" xr3:uid="{41436228-3E61-4F7F-80EF-627B1794150B}" name="Valor Parcela" dataDxfId="1112" dataCellStyle="Porcentagem"/>
    <tableColumn id="5" xr3:uid="{9C580DC7-08E3-4AD7-B73C-C1AA4298633B}" name="Nº Parcela" dataDxfId="1111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10" headerRowBorderDxfId="1108" tableBorderDxfId="1109" totalsRowBorderDxfId="1107">
  <autoFilter ref="K34:M41" xr:uid="{1B8643D4-6AC3-4029-882A-C62E9D7CB225}"/>
  <tableColumns count="3">
    <tableColumn id="1" xr3:uid="{6E774D52-7DFE-4ED1-9F2F-47B5899CBAC1}" name="OS" dataDxfId="1106"/>
    <tableColumn id="2" xr3:uid="{39CE62CA-537C-4DF4-B8D5-281ED0EE57C3}" name="Parcelas" dataDxfId="1105"/>
    <tableColumn id="3" xr3:uid="{830AFF05-9BCF-488F-97F3-8D4378DE4DCB}" name="Valor Total" dataDxfId="1104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03" dataDxfId="1102" headerRowBorderDxfId="1100" tableBorderDxfId="1101" totalsRowBorderDxfId="10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98" dataCellStyle="Moeda"/>
    <tableColumn id="5" xr3:uid="{CE0B3E90-9420-4A96-9195-72088311874E}" name="Cliente" dataDxfId="1097" dataCellStyle="Moeda"/>
    <tableColumn id="2" xr3:uid="{3EF1B45D-588D-4066-8ACF-697863B5F984}" name="Forma de Pgto" dataDxfId="1096" dataCellStyle="Moeda"/>
    <tableColumn id="3" xr3:uid="{9ADBAC7B-B04C-4E2B-9C83-E18200698CCE}" name="Valor Venda" dataDxfId="1095" dataCellStyle="Porcentagem"/>
    <tableColumn id="4" xr3:uid="{16823673-1F5B-4F46-A676-8665CF4D02BA}" name="Entrada" dataDxfId="1094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093" dataDxfId="1092" headerRowBorderDxfId="1090" tableBorderDxfId="1091" totalsRowBorderDxfId="1089">
  <autoFilter ref="K5:M11" xr:uid="{00000000-0009-0000-0100-000015000000}"/>
  <tableColumns count="3">
    <tableColumn id="1" xr3:uid="{A02811B4-F6FA-4EDA-94FE-5EDFE6293B48}" name="Descrição" dataDxfId="1088"/>
    <tableColumn id="2" xr3:uid="{39EAD4CE-DDFA-4948-8B1E-10589BABDD84}" name="Tipo de Pagto" dataDxfId="1087"/>
    <tableColumn id="3" xr3:uid="{30C3BD81-38C9-4C67-BF45-044DFDDD7A0B}" name="Valor" dataDxfId="1086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85" dataDxfId="1084" headerRowBorderDxfId="1082" tableBorderDxfId="1083" totalsRowBorderDxfId="10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80"/>
    <tableColumn id="2" xr3:uid="{BE6E3444-490A-4F75-BE63-234EB84D04F7}" name="Cliente" dataDxfId="1079"/>
    <tableColumn id="3" xr3:uid="{868472E6-6C45-4AEC-9672-E559CFA15EA7}" name="Forma de Pgto" dataDxfId="1078" dataCellStyle="Moeda"/>
    <tableColumn id="4" xr3:uid="{DB2D0AA9-9B1E-4A35-B9B2-8B1052EAD782}" name="Valor Venda" dataDxfId="1077" dataCellStyle="Porcentagem"/>
    <tableColumn id="5" xr3:uid="{C23CEEDF-415E-4EFC-ACF7-2661157A84C3}" name="Entrada" dataDxfId="1076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75" dataDxfId="1074" headerRowBorderDxfId="1072" tableBorderDxfId="1073" totalsRowBorderDxfId="1071">
  <autoFilter ref="K14:M31" xr:uid="{C83FE64B-E221-4DAA-89EA-5307A7BC98B3}"/>
  <tableColumns count="3">
    <tableColumn id="1" xr3:uid="{BAA11040-DE86-4FBA-899D-4F8D992FF700}" name="OS" dataDxfId="1070"/>
    <tableColumn id="2" xr3:uid="{13D709D4-8F81-4D58-95F2-22F1C686CB18}" name="Vendedor" dataDxfId="1069"/>
    <tableColumn id="3" xr3:uid="{92130A71-CEC8-4371-B6C9-DA29C0189A09}" name="CARNE" dataDxfId="1068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67" dataDxfId="1066" headerRowBorderDxfId="1064" tableBorderDxfId="1065" totalsRowBorderDxfId="10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62"/>
    <tableColumn id="2" xr3:uid="{7652DD36-D535-400C-856B-02CB62C18176}" name="Cliente" dataDxfId="1061"/>
    <tableColumn id="3" xr3:uid="{129618E1-FDB4-497A-9DB0-29AC7143AF10}" name="Forma de Pgto" dataDxfId="1060" dataCellStyle="Moeda"/>
    <tableColumn id="4" xr3:uid="{EC69F906-8001-4D12-8ED6-D597AE23E936}" name="Valor Parcela" dataDxfId="1059" dataCellStyle="Porcentagem"/>
    <tableColumn id="5" xr3:uid="{65040BF1-55E0-4DD6-926F-3F0324D47077}" name="Nº Parcela" dataDxfId="1058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57" headerRowBorderDxfId="1055" tableBorderDxfId="1056" totalsRowBorderDxfId="1054">
  <autoFilter ref="K34:M41" xr:uid="{1B8643D4-6AC3-4029-882A-C62E9D7CB225}"/>
  <tableColumns count="3">
    <tableColumn id="1" xr3:uid="{710179D9-1888-45A0-96B5-C6E1151FFFF0}" name="OS" dataDxfId="1053"/>
    <tableColumn id="2" xr3:uid="{D9D130F4-6D87-4655-90D8-AF3976107C2A}" name="Parcelas" dataDxfId="1052"/>
    <tableColumn id="3" xr3:uid="{07DCBA20-7E86-4F99-AED4-2BDCD854B71C}" name="Valor Total" dataDxfId="105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50" dataDxfId="1049" headerRowBorderDxfId="1047" tableBorderDxfId="1048" totalsRowBorderDxfId="104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45" dataCellStyle="Moeda"/>
    <tableColumn id="5" xr3:uid="{C388448A-992D-4C2D-8BB2-14D587C7E260}" name="Cliente" dataDxfId="1044" dataCellStyle="Moeda"/>
    <tableColumn id="2" xr3:uid="{C66BE185-63F5-4991-91CC-2661F40F891F}" name="Forma de Pgto" dataDxfId="1043" dataCellStyle="Moeda"/>
    <tableColumn id="3" xr3:uid="{C86C165C-F04B-4F8A-9769-AE38C03F025E}" name="Valor Venda" dataDxfId="1042" dataCellStyle="Porcentagem"/>
    <tableColumn id="4" xr3:uid="{C11C99C9-E646-4417-8698-61AFF55AB567}" name="Entrada" dataDxfId="1041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40" dataDxfId="1039" headerRowBorderDxfId="1037" tableBorderDxfId="1038" totalsRowBorderDxfId="1036">
  <autoFilter ref="K5:M11" xr:uid="{00000000-0009-0000-0100-000015000000}"/>
  <tableColumns count="3">
    <tableColumn id="1" xr3:uid="{696BC9EF-69BB-4D0D-96DF-B836B5771C08}" name="Descrição" dataDxfId="1035"/>
    <tableColumn id="2" xr3:uid="{4F12E940-09E4-4E51-A2A0-CEF5523233E2}" name="Tipo de Pagto" dataDxfId="1034"/>
    <tableColumn id="3" xr3:uid="{329E2ABB-99D4-47D1-8CEB-C3F4DE69A1C8}" name="Valor" dataDxfId="1033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32" dataDxfId="1031" headerRowBorderDxfId="1029" tableBorderDxfId="1030" totalsRowBorderDxfId="102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27"/>
    <tableColumn id="2" xr3:uid="{4745164B-5E29-4C65-87CA-C8C1B31B8272}" name="Cliente" dataDxfId="1026"/>
    <tableColumn id="3" xr3:uid="{69D7D490-36CA-4F69-BF76-2ADB810B4F37}" name="Forma de Pgto" dataDxfId="1025" dataCellStyle="Moeda"/>
    <tableColumn id="4" xr3:uid="{9B6B365B-42F7-499F-B705-B8F5196F8192}" name="Valor Venda" dataDxfId="1024" dataCellStyle="Porcentagem"/>
    <tableColumn id="5" xr3:uid="{7C88B9A2-2920-4AD8-AC1F-7417F3FA8282}" name="Entrada" dataDxfId="1023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22" dataDxfId="1021" headerRowBorderDxfId="1019" tableBorderDxfId="1020" totalsRowBorderDxfId="1018">
  <autoFilter ref="K14:M31" xr:uid="{C83FE64B-E221-4DAA-89EA-5307A7BC98B3}"/>
  <tableColumns count="3">
    <tableColumn id="1" xr3:uid="{5740FA63-223C-47B7-8842-178B003DB4BC}" name="OS" dataDxfId="1017"/>
    <tableColumn id="2" xr3:uid="{5CCC3C75-C80E-44BB-BC37-80F487481DDA}" name="Vendedor" dataDxfId="1016"/>
    <tableColumn id="3" xr3:uid="{585175B8-B982-429E-9344-163CE2687302}" name="CARNE" dataDxfId="1015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14" dataDxfId="1013" headerRowBorderDxfId="1011" tableBorderDxfId="1012" totalsRowBorderDxfId="101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09"/>
    <tableColumn id="2" xr3:uid="{2540FF22-68AB-4A04-B72D-DDBC8B064A8D}" name="Cliente" dataDxfId="1008"/>
    <tableColumn id="3" xr3:uid="{A7CB1680-9636-42C6-8AD9-F68C54BBCE0A}" name="Forma de Pgto" dataDxfId="1007" dataCellStyle="Moeda"/>
    <tableColumn id="4" xr3:uid="{727C37A8-450C-4D57-A2C9-396F29733C0A}" name="Valor Parcela" dataDxfId="1006" dataCellStyle="Porcentagem"/>
    <tableColumn id="5" xr3:uid="{4B27DCBF-BD8C-46A2-BC12-DE369C458E8A}" name="Nº Parcela" dataDxfId="1005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04" headerRowBorderDxfId="1002" tableBorderDxfId="1003" totalsRowBorderDxfId="1001">
  <autoFilter ref="K34:M41" xr:uid="{1B8643D4-6AC3-4029-882A-C62E9D7CB225}"/>
  <tableColumns count="3">
    <tableColumn id="1" xr3:uid="{60FAE849-4EC1-49E6-990F-8A43377EE6C3}" name="OS" dataDxfId="1000"/>
    <tableColumn id="2" xr3:uid="{B3127003-34D7-49FE-AFFC-7FA256F8BC3F}" name="Parcelas" dataDxfId="999"/>
    <tableColumn id="3" xr3:uid="{412AC98E-5FB9-4C3C-9FBF-2EBE1631A397}" name="Valor Total" dataDxfId="998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97" dataDxfId="996" headerRowBorderDxfId="994" tableBorderDxfId="995" totalsRowBorderDxfId="9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992" dataCellStyle="Moeda"/>
    <tableColumn id="5" xr3:uid="{A1AF61B3-EFAB-450A-92B2-38E357233CD5}" name="Cliente" dataDxfId="991" dataCellStyle="Moeda"/>
    <tableColumn id="2" xr3:uid="{DF277353-579D-439F-85C3-76DEACDE7A39}" name="Forma de Pgto" dataDxfId="990" dataCellStyle="Moeda"/>
    <tableColumn id="3" xr3:uid="{7164D8F5-C0CB-47F7-BD16-B590E7D85EDB}" name="Valor Venda" dataDxfId="989" dataCellStyle="Porcentagem"/>
    <tableColumn id="4" xr3:uid="{065B051D-7958-4E7D-972D-DDB0E8E7D052}" name="Entrada" dataDxfId="988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87" dataDxfId="986" headerRowBorderDxfId="984" tableBorderDxfId="985" totalsRowBorderDxfId="983">
  <autoFilter ref="K5:M11" xr:uid="{00000000-0009-0000-0100-000015000000}"/>
  <tableColumns count="3">
    <tableColumn id="1" xr3:uid="{865498B1-F05E-46C9-B6C1-CCD85D9306C6}" name="Descrição" dataDxfId="982"/>
    <tableColumn id="2" xr3:uid="{37F7AC6A-A7CD-43FB-89B1-5E904BAC1EBD}" name="Tipo de Pagto" dataDxfId="981"/>
    <tableColumn id="3" xr3:uid="{A014E45A-B38A-47C2-A582-411CA2B495EE}" name="Valor" dataDxfId="980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79" dataDxfId="978" headerRowBorderDxfId="976" tableBorderDxfId="977" totalsRowBorderDxfId="9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74"/>
    <tableColumn id="2" xr3:uid="{BC7B7FC1-CF4C-42C2-ABD3-DFEEA234B02B}" name="Cliente" dataDxfId="973"/>
    <tableColumn id="3" xr3:uid="{67F17557-E38E-4865-93F5-DCEF4A7ED2C6}" name="Forma de Pgto" dataDxfId="972" dataCellStyle="Moeda"/>
    <tableColumn id="4" xr3:uid="{D2C10329-9C1A-4D0D-BC74-3A320E9B6593}" name="Valor Venda" dataDxfId="971" dataCellStyle="Porcentagem"/>
    <tableColumn id="5" xr3:uid="{82810E21-D152-4A22-94D5-0A28C60F4849}" name="Entrada" dataDxfId="970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69" dataDxfId="968" headerRowBorderDxfId="966" tableBorderDxfId="967" totalsRowBorderDxfId="965">
  <autoFilter ref="K14:M31" xr:uid="{C83FE64B-E221-4DAA-89EA-5307A7BC98B3}"/>
  <tableColumns count="3">
    <tableColumn id="1" xr3:uid="{7A4CC637-3546-4D1B-9D86-75C6034079BF}" name="OS" dataDxfId="964"/>
    <tableColumn id="2" xr3:uid="{CEB52B1C-2642-45A1-A1EB-26029A9B5402}" name="Vendedor" dataDxfId="963"/>
    <tableColumn id="3" xr3:uid="{8C88CFEB-7155-49BD-9D63-1FCC9096735E}" name="CARNE" dataDxfId="962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61" dataDxfId="960" headerRowBorderDxfId="958" tableBorderDxfId="959" totalsRowBorderDxfId="95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56"/>
    <tableColumn id="2" xr3:uid="{7C3577CA-FC44-4DC9-9002-D4EA74DFF73F}" name="Cliente" dataDxfId="955"/>
    <tableColumn id="3" xr3:uid="{77D25058-5D06-4E37-8746-BF184DDEEA81}" name="Forma de Pgto" dataDxfId="954" dataCellStyle="Moeda"/>
    <tableColumn id="4" xr3:uid="{5EDAFC3F-F478-449C-990C-45300A2C66DF}" name="Valor Parcela" dataDxfId="953" dataCellStyle="Porcentagem"/>
    <tableColumn id="5" xr3:uid="{5DBCC805-C046-4526-8886-13334D431CB2}" name="Nº Parcela" dataDxfId="952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51" headerRowBorderDxfId="949" tableBorderDxfId="950" totalsRowBorderDxfId="948">
  <autoFilter ref="K34:M41" xr:uid="{1B8643D4-6AC3-4029-882A-C62E9D7CB225}"/>
  <tableColumns count="3">
    <tableColumn id="1" xr3:uid="{FDFEB034-D746-488E-9611-5C5421DF9812}" name="OS" dataDxfId="947"/>
    <tableColumn id="2" xr3:uid="{AD1C8A9C-91DA-4D2C-A438-9B8648A5521B}" name="Parcelas" dataDxfId="946"/>
    <tableColumn id="3" xr3:uid="{577D3B3F-3A18-4FE3-8E0F-E82C9012821F}" name="Valor Total" dataDxfId="945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44" dataDxfId="943" headerRowBorderDxfId="941" tableBorderDxfId="942" totalsRowBorderDxfId="9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39" dataCellStyle="Moeda"/>
    <tableColumn id="5" xr3:uid="{53B9FE46-E769-466F-9757-A5C752203582}" name="Cliente" dataDxfId="938" dataCellStyle="Moeda"/>
    <tableColumn id="2" xr3:uid="{9AFD5C78-132A-4E21-96EC-75882307A334}" name="Forma de Pgto" dataDxfId="937" dataCellStyle="Moeda"/>
    <tableColumn id="3" xr3:uid="{0B7791DE-BC7F-4EA7-87CC-E8588E2F6D00}" name="Valor Venda" dataDxfId="936" dataCellStyle="Porcentagem"/>
    <tableColumn id="4" xr3:uid="{EDACC2B7-28DE-40D1-BC9D-356B5D64934D}" name="Entrada" dataDxfId="935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34" dataDxfId="933" headerRowBorderDxfId="931" tableBorderDxfId="932" totalsRowBorderDxfId="930">
  <autoFilter ref="K5:M11" xr:uid="{00000000-0009-0000-0100-000015000000}"/>
  <tableColumns count="3">
    <tableColumn id="1" xr3:uid="{F638F61A-E4B9-4300-BD8D-C0A6A3D7A8E2}" name="Descrição" dataDxfId="929"/>
    <tableColumn id="2" xr3:uid="{9DC04330-37E5-4813-8F2D-4BAA554527A5}" name="Tipo de Pagto" dataDxfId="928"/>
    <tableColumn id="3" xr3:uid="{799A991A-3D2C-4EC1-A2D8-A1F3023DD9AF}" name="Valor" dataDxfId="927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26" dataDxfId="925" headerRowBorderDxfId="923" tableBorderDxfId="924" totalsRowBorderDxfId="9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21"/>
    <tableColumn id="2" xr3:uid="{2FD43CA2-90CA-449B-821F-205F1748177C}" name="Cliente" dataDxfId="920"/>
    <tableColumn id="3" xr3:uid="{A5640B64-FD50-49A5-B305-E61D9280F57A}" name="Forma de Pgto" dataDxfId="919" dataCellStyle="Moeda"/>
    <tableColumn id="4" xr3:uid="{26AD2EE8-2400-4B07-A340-99B1BA546B01}" name="Valor Venda" dataDxfId="918" dataCellStyle="Porcentagem"/>
    <tableColumn id="5" xr3:uid="{DF786930-B464-48C0-92C5-A18D129572D3}" name="Entrada" dataDxfId="917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16" dataDxfId="915" headerRowBorderDxfId="913" tableBorderDxfId="914" totalsRowBorderDxfId="912">
  <autoFilter ref="K14:M31" xr:uid="{C83FE64B-E221-4DAA-89EA-5307A7BC98B3}"/>
  <tableColumns count="3">
    <tableColumn id="1" xr3:uid="{686E8A3B-2CC1-443E-B3F0-07F1D6AF8C19}" name="OS" dataDxfId="911"/>
    <tableColumn id="2" xr3:uid="{1250D1EA-82EB-4EB4-AEDB-99799165C996}" name="Vendedor" dataDxfId="910"/>
    <tableColumn id="3" xr3:uid="{F6A6C0FE-3106-4929-AC63-C2A418BAD9A1}" name="CARNE" dataDxfId="909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08" dataDxfId="907" headerRowBorderDxfId="905" tableBorderDxfId="906" totalsRowBorderDxfId="9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03"/>
    <tableColumn id="2" xr3:uid="{6946C657-632E-4A47-A04C-EBD987018798}" name="Cliente" dataDxfId="902"/>
    <tableColumn id="3" xr3:uid="{11747110-E63B-4D92-AE0D-F744DD494204}" name="Forma de Pgto" dataDxfId="901" dataCellStyle="Moeda"/>
    <tableColumn id="4" xr3:uid="{7637A14A-3C11-482C-A77B-09489718F039}" name="Valor Parcela" dataDxfId="900" dataCellStyle="Porcentagem"/>
    <tableColumn id="5" xr3:uid="{E03E863B-EAD4-4137-9B26-2CA0EAC2F09E}" name="Nº Parcela" dataDxfId="899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98" headerRowBorderDxfId="896" tableBorderDxfId="897" totalsRowBorderDxfId="895">
  <autoFilter ref="K34:M41" xr:uid="{1B8643D4-6AC3-4029-882A-C62E9D7CB225}"/>
  <tableColumns count="3">
    <tableColumn id="1" xr3:uid="{6F6F5FBA-037D-4F8B-8355-AC821A55F803}" name="OS" dataDxfId="894"/>
    <tableColumn id="2" xr3:uid="{BEED8472-6636-42D9-A60A-E43C842B7D8F}" name="Parcelas" dataDxfId="893"/>
    <tableColumn id="3" xr3:uid="{0CE64280-F6A9-46AC-8696-F227912F6552}" name="Valor Total" dataDxfId="892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891" dataDxfId="890" headerRowBorderDxfId="888" tableBorderDxfId="889" totalsRowBorderDxfId="8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86" dataCellStyle="Moeda"/>
    <tableColumn id="5" xr3:uid="{864A4F89-382F-4099-9D59-467A7AB12940}" name="Cliente" dataDxfId="885" dataCellStyle="Moeda"/>
    <tableColumn id="2" xr3:uid="{529253EE-0917-4E7A-AA5F-14D2DCAD4080}" name="Forma de Pgto" dataDxfId="884" dataCellStyle="Moeda"/>
    <tableColumn id="3" xr3:uid="{7A07E6EC-5721-4AB5-B7BB-F8D16153B615}" name="Valor Venda" dataDxfId="883" dataCellStyle="Porcentagem"/>
    <tableColumn id="4" xr3:uid="{E3569DCA-7BA5-47A8-9C20-6FB2B553052E}" name="Entrada" dataDxfId="882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81" dataDxfId="880" headerRowBorderDxfId="878" tableBorderDxfId="879" totalsRowBorderDxfId="877">
  <autoFilter ref="K5:M11" xr:uid="{00000000-0009-0000-0100-000015000000}"/>
  <tableColumns count="3">
    <tableColumn id="1" xr3:uid="{95CF041F-F7B4-4974-9B76-66A5C7C3CF1E}" name="Descrição" dataDxfId="876"/>
    <tableColumn id="2" xr3:uid="{010F2147-2B02-4E80-9D4E-E9E6110BD535}" name="Tipo de Pagto" dataDxfId="875"/>
    <tableColumn id="3" xr3:uid="{667C80AD-481C-4689-8F6A-2426991759A7}" name="Valor" dataDxfId="874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2" totalsRowShown="0" headerRowDxfId="873" dataDxfId="872" headerRowBorderDxfId="870" tableBorderDxfId="871" totalsRowBorderDxfId="869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68"/>
    <tableColumn id="2" xr3:uid="{A401C727-3942-4BDF-BC32-5D789E1F6979}" name="Cliente" dataDxfId="867"/>
    <tableColumn id="3" xr3:uid="{29237CE2-AC3D-477F-ABA7-60B5DA6F8120}" name="Forma de Pgto" dataDxfId="866" dataCellStyle="Moeda"/>
    <tableColumn id="4" xr3:uid="{A39B1F5A-49E3-45B8-BCA8-E3252A43E2CC}" name="Valor Venda" dataDxfId="865" dataCellStyle="Porcentagem"/>
    <tableColumn id="5" xr3:uid="{A1809E96-D43C-48CA-B4B0-F8952BB21709}" name="Entrada" dataDxfId="864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63" dataDxfId="862" headerRowBorderDxfId="860" tableBorderDxfId="861" totalsRowBorderDxfId="859">
  <autoFilter ref="K14:M31" xr:uid="{C83FE64B-E221-4DAA-89EA-5307A7BC98B3}"/>
  <tableColumns count="3">
    <tableColumn id="1" xr3:uid="{56C94D3F-8E22-47DC-AA8B-FBABE57C94EE}" name="OS" dataDxfId="858"/>
    <tableColumn id="2" xr3:uid="{61C3945B-58EB-4D02-A420-14D13F69B1FD}" name="Vendedor" dataDxfId="857"/>
    <tableColumn id="3" xr3:uid="{310A696D-E474-4609-8CAC-92E3BC19A517}" name="CARNE" dataDxfId="856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5" headerRowBorderDxfId="853" tableBorderDxfId="854" totalsRowBorderDxfId="852">
  <autoFilter ref="K34:M41" xr:uid="{1B8643D4-6AC3-4029-882A-C62E9D7CB225}"/>
  <tableColumns count="3">
    <tableColumn id="1" xr3:uid="{182484ED-66B8-43D1-B168-BDEB5996673F}" name="OS" dataDxfId="851"/>
    <tableColumn id="2" xr3:uid="{FC47BB11-B6D3-4928-BFCD-BDAC4B2BDD2F}" name="Parcelas" dataDxfId="850"/>
    <tableColumn id="3" xr3:uid="{F7E0E4E8-A2A1-4513-B1F5-B98008299FD0}" name="Valor Total" dataDxfId="849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8" dataDxfId="847" headerRowBorderDxfId="845" tableBorderDxfId="846" totalsRowBorderDxfId="84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3" dataCellStyle="Moeda"/>
    <tableColumn id="5" xr3:uid="{2B9E675C-5EB2-4EBC-8FDE-19F93E6E7B08}" name="Cliente" dataDxfId="842" dataCellStyle="Moeda"/>
    <tableColumn id="2" xr3:uid="{04A3548D-E88B-4096-85CB-E08243412A85}" name="Forma de Pgto" dataDxfId="841" dataCellStyle="Moeda"/>
    <tableColumn id="3" xr3:uid="{977F794D-E094-4347-935B-1202B7138C52}" name="Valor Venda" dataDxfId="840" dataCellStyle="Porcentagem"/>
    <tableColumn id="4" xr3:uid="{908F3845-FF06-4899-A550-28B1BE92D1A9}" name="Entrada" dataDxfId="839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8" dataDxfId="837" headerRowBorderDxfId="835" tableBorderDxfId="836" totalsRowBorderDxfId="834">
  <autoFilter ref="K5:M11" xr:uid="{00000000-0009-0000-0100-000015000000}"/>
  <tableColumns count="3">
    <tableColumn id="1" xr3:uid="{F9AC75BC-BCF6-4B22-9F75-0F3CC507495B}" name="Descrição" dataDxfId="833"/>
    <tableColumn id="2" xr3:uid="{61D86D1A-7892-4923-9684-5D9A01F0BD5D}" name="Tipo de Pagto" dataDxfId="832"/>
    <tableColumn id="3" xr3:uid="{3F8C718F-C7FE-423F-9F48-66FB2201CFE2}" name="Valor" dataDxfId="831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0" dataDxfId="829" headerRowBorderDxfId="827" tableBorderDxfId="828" totalsRowBorderDxfId="82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5"/>
    <tableColumn id="2" xr3:uid="{994EFF98-DD95-4B94-B1C7-D068C1D5212C}" name="Cliente" dataDxfId="824"/>
    <tableColumn id="3" xr3:uid="{7D4E72E0-4CFA-46C9-B3AF-A1654CF194A1}" name="Forma de Pgto" dataDxfId="823" dataCellStyle="Moeda"/>
    <tableColumn id="4" xr3:uid="{EE367263-F1E4-4631-A484-2013B6BA1F27}" name="Valor Venda" dataDxfId="822" dataCellStyle="Porcentagem"/>
    <tableColumn id="5" xr3:uid="{9DA475CB-BD5A-4734-A11F-3BB7DD0D9D7E}" name="Entrada" dataDxfId="821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0" dataDxfId="819" headerRowBorderDxfId="817" tableBorderDxfId="818" totalsRowBorderDxfId="816">
  <autoFilter ref="K14:M31" xr:uid="{C83FE64B-E221-4DAA-89EA-5307A7BC98B3}"/>
  <tableColumns count="3">
    <tableColumn id="1" xr3:uid="{3DA7B618-15C5-4547-A26D-ABC55A01467A}" name="OS" dataDxfId="815"/>
    <tableColumn id="2" xr3:uid="{9ED68045-86C7-4BE0-8AE0-0417F1DD76FD}" name="Vendedor" dataDxfId="814"/>
    <tableColumn id="3" xr3:uid="{F4076139-8BF9-457D-ADE6-1BCD435E31BB}" name="CARNE" dataDxfId="813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2" dataDxfId="811" headerRowBorderDxfId="809" tableBorderDxfId="810" totalsRowBorderDxfId="80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7"/>
    <tableColumn id="2" xr3:uid="{E89F59BF-5F0B-4E4E-B2BE-7B739967886D}" name="Cliente" dataDxfId="806"/>
    <tableColumn id="3" xr3:uid="{B348335B-A485-46BE-AECB-0672679F4468}" name="Forma de Pgto" dataDxfId="805" dataCellStyle="Moeda"/>
    <tableColumn id="4" xr3:uid="{73B13E6E-5431-4E90-9A6E-E15737DDA887}" name="Valor Parcela" dataDxfId="804" dataCellStyle="Porcentagem"/>
    <tableColumn id="5" xr3:uid="{C738A843-A8FD-4CB7-B2C8-59810BA17BF2}" name="Nº Parcela" dataDxfId="803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2" headerRowBorderDxfId="800" tableBorderDxfId="801" totalsRowBorderDxfId="799">
  <autoFilter ref="K34:M41" xr:uid="{1B8643D4-6AC3-4029-882A-C62E9D7CB225}"/>
  <tableColumns count="3">
    <tableColumn id="1" xr3:uid="{3F5F54B7-8999-4296-A374-3780F172D2B8}" name="OS" dataDxfId="798"/>
    <tableColumn id="2" xr3:uid="{5F252D86-495C-4A65-B391-3FF46311DE83}" name="Parcelas" dataDxfId="797"/>
    <tableColumn id="3" xr3:uid="{50E905DA-42A9-43E1-8D51-FD4BDEAB81C8}" name="Valor Total" dataDxfId="796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5" dataDxfId="794" headerRowBorderDxfId="792" tableBorderDxfId="793" totalsRowBorderDxfId="7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0" dataCellStyle="Moeda"/>
    <tableColumn id="5" xr3:uid="{08C272CC-0220-47BB-9263-1AA910D9829C}" name="Cliente" dataDxfId="789" dataCellStyle="Moeda"/>
    <tableColumn id="2" xr3:uid="{DF276F1F-7FCA-4CE9-AD90-5340B6E688D4}" name="Forma de Pgto" dataDxfId="788" dataCellStyle="Moeda"/>
    <tableColumn id="3" xr3:uid="{CF6FE509-8C51-4621-87DF-AAD8645E20D4}" name="Valor Venda" dataDxfId="787" dataCellStyle="Porcentagem"/>
    <tableColumn id="4" xr3:uid="{5AB6BADB-DBB7-45C0-89E8-2C836C831FCF}" name="Entrada" dataDxfId="786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5" dataDxfId="784" headerRowBorderDxfId="782" tableBorderDxfId="783" totalsRowBorderDxfId="781">
  <autoFilter ref="K5:M11" xr:uid="{00000000-0009-0000-0100-000015000000}"/>
  <tableColumns count="3">
    <tableColumn id="1" xr3:uid="{8CE76670-7409-454F-9B3A-4BD739F5C5E3}" name="Descrição" dataDxfId="780"/>
    <tableColumn id="2" xr3:uid="{B2BAF2DB-A6EF-41C6-8A5D-66027E15C8F8}" name="Tipo de Pagto" dataDxfId="779"/>
    <tableColumn id="3" xr3:uid="{99CFD3BD-FC58-49DA-AC21-ACD3EE40336E}" name="Valor" dataDxfId="778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7" dataDxfId="776" headerRowBorderDxfId="774" tableBorderDxfId="775" totalsRowBorderDxfId="7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2"/>
    <tableColumn id="2" xr3:uid="{B886F79B-BD9C-476A-88F8-CB3F80E42FD0}" name="Cliente" dataDxfId="771"/>
    <tableColumn id="3" xr3:uid="{78D9CA4E-E9E8-4359-8144-996DE0EE7A64}" name="Forma de Pgto" dataDxfId="770" dataCellStyle="Moeda"/>
    <tableColumn id="4" xr3:uid="{F327BA72-0013-44A1-B3CE-07FACF46CAC8}" name="Valor Venda" dataDxfId="769" dataCellStyle="Porcentagem"/>
    <tableColumn id="5" xr3:uid="{20494810-9085-4087-A73E-D3FE8DC5C40D}" name="Entrada" dataDxfId="768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7" dataDxfId="766" headerRowBorderDxfId="764" tableBorderDxfId="765" totalsRowBorderDxfId="763">
  <autoFilter ref="K14:M31" xr:uid="{C83FE64B-E221-4DAA-89EA-5307A7BC98B3}"/>
  <tableColumns count="3">
    <tableColumn id="1" xr3:uid="{40D1E49B-6CB3-409E-AFC1-7315BAF42BBF}" name="OS" dataDxfId="762"/>
    <tableColumn id="2" xr3:uid="{4C8709E7-DDF3-475B-9A19-42E8B9FC587D}" name="Vendedor" dataDxfId="761"/>
    <tableColumn id="3" xr3:uid="{185D4DF1-07D8-4494-B6E4-5B4CFC4E2B4E}" name="CARNE" dataDxfId="760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59" dataDxfId="758" headerRowBorderDxfId="756" tableBorderDxfId="757" totalsRowBorderDxfId="7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4"/>
    <tableColumn id="2" xr3:uid="{CA06119C-2085-4F7F-B293-65E2AF15EEE5}" name="Cliente" dataDxfId="753"/>
    <tableColumn id="3" xr3:uid="{BF529E56-33D1-40B5-8E7B-EFBAB59D2A71}" name="Forma de Pgto" dataDxfId="752" dataCellStyle="Moeda"/>
    <tableColumn id="4" xr3:uid="{66CAC967-C216-41AB-BBFE-D7EC8E60B5DB}" name="Valor Parcela" dataDxfId="751" dataCellStyle="Porcentagem"/>
    <tableColumn id="5" xr3:uid="{684E478E-5460-400B-8F1B-2956E3BF42E8}" name="Nº Parcela" dataDxfId="750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49" headerRowBorderDxfId="747" tableBorderDxfId="748" totalsRowBorderDxfId="746">
  <autoFilter ref="K34:M41" xr:uid="{1B8643D4-6AC3-4029-882A-C62E9D7CB225}"/>
  <tableColumns count="3">
    <tableColumn id="1" xr3:uid="{3DD44433-DB26-4FDD-8D11-D1C35C6FECEB}" name="OS" dataDxfId="745"/>
    <tableColumn id="2" xr3:uid="{A9DC5AE8-407E-40E2-8AD6-B02FE1A5CF20}" name="Parcelas" dataDxfId="744"/>
    <tableColumn id="3" xr3:uid="{6A850C65-FE9A-4796-B920-651ED5594439}" name="Valor Total" dataDxfId="743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2" dataDxfId="741" headerRowBorderDxfId="739" tableBorderDxfId="740" totalsRowBorderDxfId="73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7" dataCellStyle="Moeda"/>
    <tableColumn id="5" xr3:uid="{60E6A65C-186D-4764-A3E8-74F5C0B0AFC1}" name="Cliente" dataDxfId="736" dataCellStyle="Moeda"/>
    <tableColumn id="2" xr3:uid="{22FA520F-5DA7-46FD-9861-DF942B6D91AB}" name="Forma de Pgto" dataDxfId="735" dataCellStyle="Moeda"/>
    <tableColumn id="3" xr3:uid="{7DEE868C-EA7D-401A-A3DF-4CC64A44467F}" name="Valor Venda" dataDxfId="734" dataCellStyle="Porcentagem"/>
    <tableColumn id="4" xr3:uid="{720D25ED-5FF4-421F-94C6-24275CF94733}" name="Entrada" dataDxfId="733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2" dataDxfId="731" headerRowBorderDxfId="729" tableBorderDxfId="730" totalsRowBorderDxfId="728">
  <autoFilter ref="K5:M11" xr:uid="{00000000-0009-0000-0100-000015000000}"/>
  <tableColumns count="3">
    <tableColumn id="1" xr3:uid="{2FBA0522-04E5-4ED5-94F6-52B232AF2373}" name="Descrição" dataDxfId="727"/>
    <tableColumn id="2" xr3:uid="{DB3FC5DE-C5F6-4B07-A662-D19BD76E91F6}" name="Tipo de Pagto" dataDxfId="726"/>
    <tableColumn id="3" xr3:uid="{A2799F30-0033-4E72-9108-ABF645A8DCD3}" name="Valor" dataDxfId="725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4" dataDxfId="723" headerRowBorderDxfId="721" tableBorderDxfId="722" totalsRowBorderDxfId="72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19"/>
    <tableColumn id="2" xr3:uid="{6DECDDC0-CF3A-4677-94C4-62618488FE89}" name="Cliente" dataDxfId="718"/>
    <tableColumn id="3" xr3:uid="{D40EA3F2-0782-4C3D-A060-4DCC1DCF2881}" name="Forma de Pgto" dataDxfId="717" dataCellStyle="Moeda"/>
    <tableColumn id="4" xr3:uid="{A527DD67-780C-4EE1-A7AE-0831114EA80A}" name="Valor Venda" dataDxfId="716" dataCellStyle="Porcentagem"/>
    <tableColumn id="5" xr3:uid="{4082F19A-5570-4E9D-B250-BCD24B16165E}" name="Entrada" dataDxfId="715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4" dataDxfId="713" headerRowBorderDxfId="711" tableBorderDxfId="712" totalsRowBorderDxfId="710">
  <autoFilter ref="K14:M31" xr:uid="{C83FE64B-E221-4DAA-89EA-5307A7BC98B3}"/>
  <tableColumns count="3">
    <tableColumn id="1" xr3:uid="{CF4CC083-8415-4A42-9102-69414AAB96C8}" name="OS" dataDxfId="709"/>
    <tableColumn id="2" xr3:uid="{AFF5A585-6EEA-427D-B49B-A553763AA94C}" name="Vendedor" dataDxfId="708"/>
    <tableColumn id="3" xr3:uid="{2D8D088A-4AB0-487F-929A-89D197884938}" name="CARNE" dataDxfId="707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6" dataDxfId="705" headerRowBorderDxfId="703" tableBorderDxfId="704" totalsRowBorderDxfId="70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1"/>
    <tableColumn id="2" xr3:uid="{71667114-B8E0-4FEE-B3C4-B23C231E71C9}" name="Cliente" dataDxfId="700"/>
    <tableColumn id="3" xr3:uid="{413E4F46-D41F-4D0A-8403-3244651C22ED}" name="Forma de Pgto" dataDxfId="699" dataCellStyle="Moeda"/>
    <tableColumn id="4" xr3:uid="{695A7396-BEC7-498E-8F8D-5C11C17422D0}" name="Valor Parcela" dataDxfId="698" dataCellStyle="Porcentagem"/>
    <tableColumn id="5" xr3:uid="{7D0562F5-5DF1-49C0-BE96-CBD4632BD577}" name="Nº Parcela" dataDxfId="697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6" headerRowBorderDxfId="694" tableBorderDxfId="695" totalsRowBorderDxfId="693">
  <autoFilter ref="K34:M41" xr:uid="{1B8643D4-6AC3-4029-882A-C62E9D7CB225}"/>
  <tableColumns count="3">
    <tableColumn id="1" xr3:uid="{468A4151-2B13-428F-B7B3-DD7850FB056D}" name="OS" dataDxfId="692"/>
    <tableColumn id="2" xr3:uid="{0E5A1628-3806-4E80-9B5C-6CCB43ED7A95}" name="Parcelas" dataDxfId="691"/>
    <tableColumn id="3" xr3:uid="{94527026-C4E7-48B1-ADEC-FAE98EDE2DF7}" name="Valor Total" dataDxfId="690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89" dataDxfId="688" headerRowBorderDxfId="686" tableBorderDxfId="687" totalsRowBorderDxfId="6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4" dataCellStyle="Moeda"/>
    <tableColumn id="5" xr3:uid="{B476382F-8FC0-4C4B-904B-9CEC2FD1737F}" name="Cliente" dataDxfId="683" dataCellStyle="Moeda"/>
    <tableColumn id="2" xr3:uid="{9347CB1E-8ECB-4789-B3B3-F0676BCEF308}" name="Forma de Pgto" dataDxfId="682" dataCellStyle="Moeda"/>
    <tableColumn id="3" xr3:uid="{95E7B651-F8E7-4260-A9CD-31524C1AF920}" name="Valor Venda" dataDxfId="681" dataCellStyle="Porcentagem"/>
    <tableColumn id="4" xr3:uid="{E1F36979-874B-46CF-A70F-6769CE2B4972}" name="Entrada" dataDxfId="680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79" dataDxfId="678" headerRowBorderDxfId="676" tableBorderDxfId="677" totalsRowBorderDxfId="675">
  <autoFilter ref="K5:M11" xr:uid="{00000000-0009-0000-0100-000015000000}"/>
  <tableColumns count="3">
    <tableColumn id="1" xr3:uid="{5DAF9728-D097-46AC-AFA1-2A7D5A636197}" name="Descrição" dataDxfId="674"/>
    <tableColumn id="2" xr3:uid="{7E14BBAB-F602-43F7-BA75-66182DDDFB5A}" name="Tipo de Pagto" dataDxfId="673"/>
    <tableColumn id="3" xr3:uid="{807C6654-E3F5-4B45-B712-93A22255EE13}" name="Valor" dataDxfId="672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1" dataDxfId="670" headerRowBorderDxfId="668" tableBorderDxfId="669" totalsRowBorderDxfId="6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6"/>
    <tableColumn id="2" xr3:uid="{DA2D4CE2-3235-4592-824A-D21C9FEE1324}" name="Cliente" dataDxfId="665"/>
    <tableColumn id="3" xr3:uid="{78436E8E-423C-4634-A0AC-78283D9649B2}" name="Forma de Pgto" dataDxfId="664" dataCellStyle="Moeda"/>
    <tableColumn id="4" xr3:uid="{9B5C140A-AEF6-451D-B599-1B3C00239BF3}" name="Valor Venda" dataDxfId="663" dataCellStyle="Porcentagem"/>
    <tableColumn id="5" xr3:uid="{91C4587E-3C3A-4A8E-B0CF-84D9FBCB29D6}" name="Entrada" dataDxfId="662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1" dataDxfId="660" headerRowBorderDxfId="658" tableBorderDxfId="659" totalsRowBorderDxfId="657">
  <autoFilter ref="K14:M31" xr:uid="{C83FE64B-E221-4DAA-89EA-5307A7BC98B3}"/>
  <tableColumns count="3">
    <tableColumn id="1" xr3:uid="{50109EEB-FA95-426D-A1C8-873B914A4726}" name="OS" dataDxfId="656"/>
    <tableColumn id="2" xr3:uid="{8A5D657B-8F60-4746-999B-0FA3393A39E9}" name="Vendedor" dataDxfId="655"/>
    <tableColumn id="3" xr3:uid="{496CB9CC-67BF-4541-A109-5F5FF565C716}" name="CARNE" dataDxfId="654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3" dataDxfId="652" headerRowBorderDxfId="650" tableBorderDxfId="651" totalsRowBorderDxfId="64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8"/>
    <tableColumn id="2" xr3:uid="{B3362A08-206B-41A8-970B-34C6B8B4C7AA}" name="Cliente" dataDxfId="647"/>
    <tableColumn id="3" xr3:uid="{718A6844-98C1-4F96-8966-19162734BEB9}" name="Forma de Pgto" dataDxfId="646" dataCellStyle="Moeda"/>
    <tableColumn id="4" xr3:uid="{DC15894A-49A7-435B-A661-5666005BEEC8}" name="Valor Parcela" dataDxfId="645" dataCellStyle="Porcentagem"/>
    <tableColumn id="5" xr3:uid="{DE080DD1-0F6B-485E-8515-CE624433C220}" name="Nº Parcela" dataDxfId="644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3" headerRowBorderDxfId="641" tableBorderDxfId="642" totalsRowBorderDxfId="640">
  <autoFilter ref="K34:M41" xr:uid="{1B8643D4-6AC3-4029-882A-C62E9D7CB225}"/>
  <tableColumns count="3">
    <tableColumn id="1" xr3:uid="{DF952D1A-166D-4762-BD7E-3B8C91304310}" name="OS" dataDxfId="639"/>
    <tableColumn id="2" xr3:uid="{4F0F7384-D5B8-477E-9EC7-B82060EBBD78}" name="Parcelas" dataDxfId="638"/>
    <tableColumn id="3" xr3:uid="{8DD00EBF-D0FE-4903-8F44-7064A873609A}" name="Valor Total" dataDxfId="637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6" dataDxfId="635" headerRowBorderDxfId="633" tableBorderDxfId="634" totalsRowBorderDxfId="63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1" dataCellStyle="Moeda"/>
    <tableColumn id="5" xr3:uid="{F65697F3-20D0-4B41-BE55-C2885202D924}" name="Cliente" dataDxfId="630" dataCellStyle="Moeda"/>
    <tableColumn id="2" xr3:uid="{11E8E848-C035-46A3-B1AB-9BBD863CA30A}" name="Forma de Pgto" dataDxfId="629" dataCellStyle="Moeda"/>
    <tableColumn id="3" xr3:uid="{CE50BBF0-66D9-4ABB-AD66-D300C740ED4C}" name="Valor Venda" dataDxfId="628" dataCellStyle="Porcentagem"/>
    <tableColumn id="4" xr3:uid="{A6700982-093E-4E60-A8B4-C0EB11A78A03}" name="Entrada" dataDxfId="627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6" dataDxfId="625" headerRowBorderDxfId="623" tableBorderDxfId="624" totalsRowBorderDxfId="622">
  <autoFilter ref="K5:M11" xr:uid="{00000000-0009-0000-0100-000015000000}"/>
  <tableColumns count="3">
    <tableColumn id="1" xr3:uid="{53B1873C-545D-4906-B601-0C81EDA7CFE1}" name="Descrição" dataDxfId="621"/>
    <tableColumn id="2" xr3:uid="{76E6DB40-F96B-4A9C-8632-7103030C72DC}" name="Tipo de Pagto" dataDxfId="620"/>
    <tableColumn id="3" xr3:uid="{C62F93B6-2A0A-47C6-8FF1-E604490619BC}" name="Valor" dataDxfId="619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2" totalsRowShown="0" headerRowDxfId="618" headerRowBorderDxfId="616" tableBorderDxfId="617" totalsRowBorderDxfId="615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8" headerRowBorderDxfId="606" tableBorderDxfId="607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5:I42" totalsRowShown="0" headerRowDxfId="601" dataDxfId="600" headerRowBorderDxfId="598" tableBorderDxfId="599" totalsRowBorderDxfId="597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89" tableBorderDxfId="590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3" headerRowBorderDxfId="581" tableBorderDxfId="582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3" headerRowBorderDxfId="571" tableBorderDxfId="572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5" headerRowBorderDxfId="563" tableBorderDxfId="564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5" headerRowBorderDxfId="553" tableBorderDxfId="554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7" headerRowBorderDxfId="545" tableBorderDxfId="546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6" tableBorderDxfId="537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30" headerRowBorderDxfId="528" tableBorderDxfId="529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20" headerRowBorderDxfId="518" tableBorderDxfId="519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2" headerRowBorderDxfId="510" tableBorderDxfId="511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2" headerRowBorderDxfId="500" tableBorderDxfId="501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4" headerRowBorderDxfId="492" tableBorderDxfId="493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3" tableBorderDxfId="484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7" headerRowBorderDxfId="475" tableBorderDxfId="476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7" headerRowBorderDxfId="465" tableBorderDxfId="466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9" headerRowBorderDxfId="457" tableBorderDxfId="458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9" headerRowBorderDxfId="447" tableBorderDxfId="448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1" headerRowBorderDxfId="439" tableBorderDxfId="440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0" tableBorderDxfId="431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4" headerRowBorderDxfId="422" tableBorderDxfId="423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4" headerRowBorderDxfId="412" tableBorderDxfId="413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6" headerRowBorderDxfId="404" tableBorderDxfId="405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6" headerRowBorderDxfId="394" tableBorderDxfId="395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8" headerRowBorderDxfId="386" tableBorderDxfId="387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7" tableBorderDxfId="378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1" headerRowBorderDxfId="369" tableBorderDxfId="370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1" headerRowBorderDxfId="359" tableBorderDxfId="360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3" headerRowBorderDxfId="351" tableBorderDxfId="352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3" headerRowBorderDxfId="341" tableBorderDxfId="342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5" headerRowBorderDxfId="333" tableBorderDxfId="334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4" tableBorderDxfId="325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8" headerRowBorderDxfId="316" tableBorderDxfId="317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8" headerRowBorderDxfId="306" tableBorderDxfId="307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300" headerRowBorderDxfId="298" tableBorderDxfId="299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90" headerRowBorderDxfId="288" tableBorderDxfId="289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2" headerRowBorderDxfId="280" tableBorderDxfId="281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1" tableBorderDxfId="272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A62AF445-786E-438C-9775-AFF0F398BC0D}" name="vend31171" displayName="vend31171" ref="E5:I22" totalsRowShown="0" headerRowDxfId="266" dataDxfId="265" headerRowBorderDxfId="263" tableBorderDxfId="264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6827AAF-4B01-4BCB-8866-0CCAD1D5972A}" name="Nº Venda" dataDxfId="261" dataCellStyle="Moeda"/>
    <tableColumn id="5" xr3:uid="{934334EC-375A-413B-A7D5-81641CCBFC66}" name="Cliente" dataDxfId="260" dataCellStyle="Moeda"/>
    <tableColumn id="2" xr3:uid="{961FF824-33FB-417C-BF08-0E390EC90780}" name="Forma de Pgto" dataDxfId="259" dataCellStyle="Moeda"/>
    <tableColumn id="3" xr3:uid="{82D37B12-136C-4D92-9D16-2BEA4D0E52E0}" name="Valor Venda" dataDxfId="258" dataCellStyle="Porcentagem"/>
    <tableColumn id="4" xr3:uid="{BAD1C12B-7DC4-40A9-AC7E-91B5E591B541}" name="Entrada" dataDxfId="257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11B3F0E6-6A66-40F8-BAC4-CB5234ABC1A4}" name="desp31172" displayName="desp31172" ref="K5:M11" totalsRowShown="0" headerRowDxfId="256" dataDxfId="255" headerRowBorderDxfId="253" tableBorderDxfId="254" totalsRowBorderDxfId="252">
  <autoFilter ref="K5:M11" xr:uid="{00000000-0009-0000-0100-000015000000}"/>
  <tableColumns count="3">
    <tableColumn id="1" xr3:uid="{C790A76D-F6C0-4AEA-A3A6-F63844CBE94A}" name="Descrição" dataDxfId="251"/>
    <tableColumn id="2" xr3:uid="{DB6302C2-2FF4-4334-A5E5-F0A062B081F3}" name="Tipo de Pagto" dataDxfId="250"/>
    <tableColumn id="3" xr3:uid="{2CAAF1F1-1882-453F-B654-501B7022CF28}" name="Valor" dataDxfId="249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ED674284-1722-4050-BB97-12B1C267C270}" name="rest_entr31173" displayName="rest_entr31173" ref="E25:I31" totalsRowShown="0" headerRowDxfId="248" dataDxfId="247" headerRowBorderDxfId="245" tableBorderDxfId="246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FA4388B1-0DBA-458D-B494-C147E231D3B6}" name="Nº Venda" dataDxfId="243"/>
    <tableColumn id="2" xr3:uid="{2B1CF1E2-A750-4249-BFF7-73E895F73EAA}" name="Cliente" dataDxfId="242"/>
    <tableColumn id="3" xr3:uid="{A12BD29C-5D84-4A92-A1EA-E09E71F2A256}" name="Forma de Pgto" dataDxfId="241" dataCellStyle="Moeda"/>
    <tableColumn id="4" xr3:uid="{6951261A-7F3E-4C2F-A6F2-61FD59221AD7}" name="Valor Venda" dataDxfId="240" dataCellStyle="Porcentagem"/>
    <tableColumn id="5" xr3:uid="{DC8FD531-BF77-4FFC-B1C7-281C5C4590B4}" name="Entrada" dataDxfId="239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4081DBCF-A839-4B8F-A831-A39AA3A0947F}" name="os_entr_dia31174" displayName="os_entr_dia31174" ref="K14:M31" totalsRowShown="0" headerRowDxfId="238" dataDxfId="237" headerRowBorderDxfId="235" tableBorderDxfId="236" totalsRowBorderDxfId="234">
  <autoFilter ref="K14:M31" xr:uid="{C83FE64B-E221-4DAA-89EA-5307A7BC98B3}"/>
  <tableColumns count="3">
    <tableColumn id="1" xr3:uid="{8ACFBEE6-B2AF-439A-B6A0-531A2C58CEEB}" name="OS" dataDxfId="233"/>
    <tableColumn id="2" xr3:uid="{C81129B2-EC0B-41A5-8CC6-D9F1053CDE69}" name="Vendedor" dataDxfId="232"/>
    <tableColumn id="3" xr3:uid="{38DC80F3-B759-4C3F-865B-E60E0FFB08A2}" name="CARNE" dataDxfId="231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564EA1B3-CA68-479F-A6FD-951161B7EE48}" name="rec_carn31175" displayName="rec_carn31175" ref="E34:I41" totalsRowShown="0" headerRowDxfId="230" dataDxfId="229" headerRowBorderDxfId="227" tableBorderDxfId="228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E9F0875-0F63-41DF-B1B9-29E598ED58C7}" name="OS" dataDxfId="225"/>
    <tableColumn id="2" xr3:uid="{979FC187-4967-458C-9EAA-E5D93E454C67}" name="Cliente" dataDxfId="224"/>
    <tableColumn id="3" xr3:uid="{058FCF52-EC06-45CB-AD9B-6D8E6CBB3677}" name="Forma de Pgto" dataDxfId="223" dataCellStyle="Moeda"/>
    <tableColumn id="4" xr3:uid="{9CF725A9-8B81-4F40-8473-45B906A024CB}" name="Valor Parcela" dataDxfId="222" dataCellStyle="Porcentagem"/>
    <tableColumn id="5" xr3:uid="{CF07CE20-D6B2-4253-883E-E93D7BEBDF94}" name="Nº Parcela" dataDxfId="221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B3E0B86-3A4E-44C3-8451-4CC38323ACAE}" name="entr_carn31176" displayName="entr_carn31176" ref="K34:M41" totalsRowShown="0" headerRowDxfId="220" headerRowBorderDxfId="218" tableBorderDxfId="219" totalsRowBorderDxfId="217">
  <autoFilter ref="K34:M41" xr:uid="{1B8643D4-6AC3-4029-882A-C62E9D7CB225}"/>
  <tableColumns count="3">
    <tableColumn id="1" xr3:uid="{7233A26E-C475-4FE9-9B53-C261053C2BC8}" name="OS" dataDxfId="216"/>
    <tableColumn id="2" xr3:uid="{4CB561F3-BE4E-430C-A415-A6E6C307FF2C}" name="Parcelas" dataDxfId="215"/>
    <tableColumn id="3" xr3:uid="{A6A3A1D2-B5F6-4C44-AC08-C8407BF4F801}" name="Valor Total" dataDxfId="214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2" headerRowBorderDxfId="210" tableBorderDxfId="211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2" headerRowBorderDxfId="200" tableBorderDxfId="201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4" headerRowBorderDxfId="192" tableBorderDxfId="193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4" headerRowBorderDxfId="182" tableBorderDxfId="183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6" headerRowBorderDxfId="174" tableBorderDxfId="175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5" tableBorderDxfId="166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9" headerRowBorderDxfId="157" tableBorderDxfId="158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9" headerRowBorderDxfId="147" tableBorderDxfId="148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1" headerRowBorderDxfId="139" tableBorderDxfId="140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1" headerRowBorderDxfId="129" tableBorderDxfId="130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3" headerRowBorderDxfId="121" tableBorderDxfId="122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2" tableBorderDxfId="113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6" headerRowBorderDxfId="104" tableBorderDxfId="105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6" headerRowBorderDxfId="94" tableBorderDxfId="95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8" headerRowBorderDxfId="86" tableBorderDxfId="87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8" headerRowBorderDxfId="76" tableBorderDxfId="77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70" headerRowBorderDxfId="68" tableBorderDxfId="69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59" tableBorderDxfId="60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3" headerRowBorderDxfId="51" tableBorderDxfId="52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3" headerRowBorderDxfId="41" tableBorderDxfId="42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5" headerRowBorderDxfId="33" tableBorderDxfId="34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5" headerRowBorderDxfId="23" tableBorderDxfId="24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7" headerRowBorderDxfId="15" tableBorderDxfId="16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6" tableBorderDxfId="7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10" totalsRowShown="0" headerRowDxfId="1">
  <autoFilter ref="A1:B10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2.xml"/><Relationship Id="rId3" Type="http://schemas.openxmlformats.org/officeDocument/2006/relationships/table" Target="../tables/table37.xml"/><Relationship Id="rId7" Type="http://schemas.openxmlformats.org/officeDocument/2006/relationships/table" Target="../tables/table4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0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Relationship Id="rId9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8.xml"/><Relationship Id="rId3" Type="http://schemas.openxmlformats.org/officeDocument/2006/relationships/table" Target="../tables/table73.xml"/><Relationship Id="rId7" Type="http://schemas.openxmlformats.org/officeDocument/2006/relationships/table" Target="../tables/table77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6.xml"/><Relationship Id="rId5" Type="http://schemas.openxmlformats.org/officeDocument/2006/relationships/table" Target="../tables/table75.xml"/><Relationship Id="rId4" Type="http://schemas.openxmlformats.org/officeDocument/2006/relationships/table" Target="../tables/table74.xml"/><Relationship Id="rId9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1.xml"/><Relationship Id="rId7" Type="http://schemas.openxmlformats.org/officeDocument/2006/relationships/table" Target="../tables/table95.xml"/><Relationship Id="rId2" Type="http://schemas.openxmlformats.org/officeDocument/2006/relationships/table" Target="../tables/table90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4.xml"/><Relationship Id="rId5" Type="http://schemas.openxmlformats.org/officeDocument/2006/relationships/table" Target="../tables/table93.xml"/><Relationship Id="rId4" Type="http://schemas.openxmlformats.org/officeDocument/2006/relationships/table" Target="../tables/table9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7.xml"/><Relationship Id="rId7" Type="http://schemas.openxmlformats.org/officeDocument/2006/relationships/table" Target="../tables/table101.xml"/><Relationship Id="rId2" Type="http://schemas.openxmlformats.org/officeDocument/2006/relationships/table" Target="../tables/table96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0.xml"/><Relationship Id="rId5" Type="http://schemas.openxmlformats.org/officeDocument/2006/relationships/table" Target="../tables/table99.xml"/><Relationship Id="rId4" Type="http://schemas.openxmlformats.org/officeDocument/2006/relationships/table" Target="../tables/table9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3.xml"/><Relationship Id="rId7" Type="http://schemas.openxmlformats.org/officeDocument/2006/relationships/table" Target="../tables/table107.xml"/><Relationship Id="rId2" Type="http://schemas.openxmlformats.org/officeDocument/2006/relationships/table" Target="../tables/table102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6.xml"/><Relationship Id="rId5" Type="http://schemas.openxmlformats.org/officeDocument/2006/relationships/table" Target="../tables/table105.xml"/><Relationship Id="rId4" Type="http://schemas.openxmlformats.org/officeDocument/2006/relationships/table" Target="../tables/table10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9.xml"/><Relationship Id="rId7" Type="http://schemas.openxmlformats.org/officeDocument/2006/relationships/table" Target="../tables/table113.xml"/><Relationship Id="rId2" Type="http://schemas.openxmlformats.org/officeDocument/2006/relationships/table" Target="../tables/table108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2.xml"/><Relationship Id="rId5" Type="http://schemas.openxmlformats.org/officeDocument/2006/relationships/table" Target="../tables/table111.xml"/><Relationship Id="rId4" Type="http://schemas.openxmlformats.org/officeDocument/2006/relationships/table" Target="../tables/table11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5.xml"/><Relationship Id="rId7" Type="http://schemas.openxmlformats.org/officeDocument/2006/relationships/table" Target="../tables/table119.xml"/><Relationship Id="rId2" Type="http://schemas.openxmlformats.org/officeDocument/2006/relationships/table" Target="../tables/table114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8.xml"/><Relationship Id="rId5" Type="http://schemas.openxmlformats.org/officeDocument/2006/relationships/table" Target="../tables/table117.xml"/><Relationship Id="rId4" Type="http://schemas.openxmlformats.org/officeDocument/2006/relationships/table" Target="../tables/table11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1.xml"/><Relationship Id="rId7" Type="http://schemas.openxmlformats.org/officeDocument/2006/relationships/table" Target="../tables/table125.xml"/><Relationship Id="rId2" Type="http://schemas.openxmlformats.org/officeDocument/2006/relationships/table" Target="../tables/table120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4.xml"/><Relationship Id="rId5" Type="http://schemas.openxmlformats.org/officeDocument/2006/relationships/table" Target="../tables/table123.xml"/><Relationship Id="rId4" Type="http://schemas.openxmlformats.org/officeDocument/2006/relationships/table" Target="../tables/table1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7.xml"/><Relationship Id="rId7" Type="http://schemas.openxmlformats.org/officeDocument/2006/relationships/table" Target="../tables/table131.xml"/><Relationship Id="rId2" Type="http://schemas.openxmlformats.org/officeDocument/2006/relationships/table" Target="../tables/table126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0.xml"/><Relationship Id="rId5" Type="http://schemas.openxmlformats.org/officeDocument/2006/relationships/table" Target="../tables/table129.xml"/><Relationship Id="rId4" Type="http://schemas.openxmlformats.org/officeDocument/2006/relationships/table" Target="../tables/table128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3.xml"/><Relationship Id="rId7" Type="http://schemas.openxmlformats.org/officeDocument/2006/relationships/table" Target="../tables/table137.xml"/><Relationship Id="rId2" Type="http://schemas.openxmlformats.org/officeDocument/2006/relationships/table" Target="../tables/table132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6.xml"/><Relationship Id="rId5" Type="http://schemas.openxmlformats.org/officeDocument/2006/relationships/table" Target="../tables/table135.xml"/><Relationship Id="rId4" Type="http://schemas.openxmlformats.org/officeDocument/2006/relationships/table" Target="../tables/table13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9.xml"/><Relationship Id="rId7" Type="http://schemas.openxmlformats.org/officeDocument/2006/relationships/table" Target="../tables/table143.xml"/><Relationship Id="rId2" Type="http://schemas.openxmlformats.org/officeDocument/2006/relationships/table" Target="../tables/table138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2.xml"/><Relationship Id="rId5" Type="http://schemas.openxmlformats.org/officeDocument/2006/relationships/table" Target="../tables/table141.xml"/><Relationship Id="rId4" Type="http://schemas.openxmlformats.org/officeDocument/2006/relationships/table" Target="../tables/table14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5.xml"/><Relationship Id="rId7" Type="http://schemas.openxmlformats.org/officeDocument/2006/relationships/table" Target="../tables/table149.xml"/><Relationship Id="rId2" Type="http://schemas.openxmlformats.org/officeDocument/2006/relationships/table" Target="../tables/table144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8.xml"/><Relationship Id="rId5" Type="http://schemas.openxmlformats.org/officeDocument/2006/relationships/table" Target="../tables/table147.xml"/><Relationship Id="rId4" Type="http://schemas.openxmlformats.org/officeDocument/2006/relationships/table" Target="../tables/table14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1.xml"/><Relationship Id="rId7" Type="http://schemas.openxmlformats.org/officeDocument/2006/relationships/table" Target="../tables/table155.xml"/><Relationship Id="rId2" Type="http://schemas.openxmlformats.org/officeDocument/2006/relationships/table" Target="../tables/table150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4.xml"/><Relationship Id="rId5" Type="http://schemas.openxmlformats.org/officeDocument/2006/relationships/table" Target="../tables/table153.xml"/><Relationship Id="rId4" Type="http://schemas.openxmlformats.org/officeDocument/2006/relationships/table" Target="../tables/table15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7.xml"/><Relationship Id="rId7" Type="http://schemas.openxmlformats.org/officeDocument/2006/relationships/table" Target="../tables/table161.xml"/><Relationship Id="rId2" Type="http://schemas.openxmlformats.org/officeDocument/2006/relationships/table" Target="../tables/table156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0.xml"/><Relationship Id="rId5" Type="http://schemas.openxmlformats.org/officeDocument/2006/relationships/table" Target="../tables/table159.xml"/><Relationship Id="rId4" Type="http://schemas.openxmlformats.org/officeDocument/2006/relationships/table" Target="../tables/table15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3.xml"/><Relationship Id="rId7" Type="http://schemas.openxmlformats.org/officeDocument/2006/relationships/table" Target="../tables/table167.xml"/><Relationship Id="rId2" Type="http://schemas.openxmlformats.org/officeDocument/2006/relationships/table" Target="../tables/table162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6.xml"/><Relationship Id="rId5" Type="http://schemas.openxmlformats.org/officeDocument/2006/relationships/table" Target="../tables/table165.xml"/><Relationship Id="rId4" Type="http://schemas.openxmlformats.org/officeDocument/2006/relationships/table" Target="../tables/table16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9.xml"/><Relationship Id="rId7" Type="http://schemas.openxmlformats.org/officeDocument/2006/relationships/table" Target="../tables/table173.xml"/><Relationship Id="rId2" Type="http://schemas.openxmlformats.org/officeDocument/2006/relationships/table" Target="../tables/table168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2.xml"/><Relationship Id="rId5" Type="http://schemas.openxmlformats.org/officeDocument/2006/relationships/table" Target="../tables/table171.xml"/><Relationship Id="rId4" Type="http://schemas.openxmlformats.org/officeDocument/2006/relationships/table" Target="../tables/table17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5.xml"/><Relationship Id="rId7" Type="http://schemas.openxmlformats.org/officeDocument/2006/relationships/table" Target="../tables/table179.xml"/><Relationship Id="rId2" Type="http://schemas.openxmlformats.org/officeDocument/2006/relationships/table" Target="../tables/table174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8.xml"/><Relationship Id="rId5" Type="http://schemas.openxmlformats.org/officeDocument/2006/relationships/table" Target="../tables/table177.xml"/><Relationship Id="rId4" Type="http://schemas.openxmlformats.org/officeDocument/2006/relationships/table" Target="../tables/table17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1.xml"/><Relationship Id="rId7" Type="http://schemas.openxmlformats.org/officeDocument/2006/relationships/table" Target="../tables/table185.xml"/><Relationship Id="rId2" Type="http://schemas.openxmlformats.org/officeDocument/2006/relationships/table" Target="../tables/table180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4.xml"/><Relationship Id="rId5" Type="http://schemas.openxmlformats.org/officeDocument/2006/relationships/table" Target="../tables/table183.xml"/><Relationship Id="rId4" Type="http://schemas.openxmlformats.org/officeDocument/2006/relationships/table" Target="../tables/table18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7.xml"/><Relationship Id="rId1" Type="http://schemas.openxmlformats.org/officeDocument/2006/relationships/table" Target="../tables/table18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B3" sqref="B3"/>
    </sheetView>
  </sheetViews>
  <sheetFormatPr defaultColWidth="21.28515625" defaultRowHeight="13.15"/>
  <cols>
    <col min="2" max="2" width="22.7109375" customWidth="1"/>
  </cols>
  <sheetData>
    <row r="2" spans="1:2" ht="14.45">
      <c r="A2" s="19" t="s">
        <v>0</v>
      </c>
      <c r="B2" s="20">
        <v>0</v>
      </c>
    </row>
    <row r="3" spans="1:2" ht="14.4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50166</v>
      </c>
    </row>
    <row r="4" spans="1:2" ht="14.4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57807.98</v>
      </c>
    </row>
    <row r="5" spans="1:2" ht="14.4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22.97</v>
      </c>
    </row>
    <row r="6" spans="1:2" ht="15.6">
      <c r="A6" s="28" t="s">
        <v>4</v>
      </c>
      <c r="B6" s="29">
        <f>SUM(B4:B5)</f>
        <v>57830.950000000004</v>
      </c>
    </row>
    <row r="7" spans="1:2" ht="14.45">
      <c r="A7" s="2"/>
      <c r="B7" s="2"/>
    </row>
    <row r="8" spans="1:2" ht="14.45">
      <c r="A8" s="88" t="s">
        <v>5</v>
      </c>
      <c r="B8" s="88"/>
    </row>
    <row r="9" spans="1:2" ht="14.4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5370.7</v>
      </c>
    </row>
    <row r="10" spans="1:2" ht="14.4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13544.89</v>
      </c>
    </row>
    <row r="11" spans="1:2" ht="14.4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1048.5999999999999</v>
      </c>
    </row>
    <row r="12" spans="1:2" ht="14.4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30716.989999999998</v>
      </c>
    </row>
    <row r="13" spans="1:2" ht="14.4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6454.8</v>
      </c>
    </row>
    <row r="14" spans="1:2" ht="15.6">
      <c r="A14" s="28" t="s">
        <v>11</v>
      </c>
      <c r="B14" s="32">
        <f>SUM(B9:B13)</f>
        <v>57135.979999999996</v>
      </c>
    </row>
    <row r="15" spans="1:2" ht="14.45">
      <c r="A15" s="2"/>
      <c r="B15" s="2"/>
    </row>
    <row r="16" spans="1:2" ht="14.45">
      <c r="A16" s="88" t="s">
        <v>12</v>
      </c>
      <c r="B16" s="88"/>
    </row>
    <row r="17" spans="1:2" ht="14.4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</row>
    <row r="18" spans="1:2" ht="15.6">
      <c r="A18" s="28" t="s">
        <v>11</v>
      </c>
      <c r="B18" s="32">
        <f>SUM(B17:B17)</f>
        <v>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topLeftCell="B7" zoomScale="80" zoomScaleNormal="80" workbookViewId="0">
      <selection activeCell="E26" sqref="E26:I28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45078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1350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971</v>
      </c>
      <c r="D6" s="2"/>
      <c r="E6" s="18">
        <v>2754</v>
      </c>
      <c r="F6" s="25" t="s">
        <v>21</v>
      </c>
      <c r="G6" s="26" t="s">
        <v>22</v>
      </c>
      <c r="H6" s="8">
        <v>799.99</v>
      </c>
      <c r="I6" s="8">
        <v>0</v>
      </c>
      <c r="J6" s="2"/>
      <c r="K6" s="25" t="s">
        <v>23</v>
      </c>
      <c r="L6" s="9" t="s">
        <v>7</v>
      </c>
      <c r="M6" s="16">
        <v>1.82</v>
      </c>
      <c r="R6" s="1">
        <f>IF(vend1[[#This Row],[Nº Venda]]&gt;1,1,0)</f>
        <v>1</v>
      </c>
    </row>
    <row r="7" spans="2:18" ht="15.6">
      <c r="B7" s="23" t="s">
        <v>3</v>
      </c>
      <c r="C7" s="24">
        <f>SUM(M6:M11)</f>
        <v>1.82</v>
      </c>
      <c r="D7" s="2"/>
      <c r="E7" s="18">
        <v>2755</v>
      </c>
      <c r="F7" s="25" t="s">
        <v>24</v>
      </c>
      <c r="G7" s="26" t="s">
        <v>22</v>
      </c>
      <c r="H7" s="8">
        <v>1199.99</v>
      </c>
      <c r="I7" s="8">
        <v>0</v>
      </c>
      <c r="J7" s="2"/>
      <c r="K7" s="25"/>
      <c r="L7" s="9"/>
      <c r="M7" s="16"/>
      <c r="R7" s="1">
        <f>IF(vend1[[#This Row],[Nº Venda]]&gt;1,1,0)</f>
        <v>1</v>
      </c>
    </row>
    <row r="8" spans="2:18" ht="15.6">
      <c r="B8" s="28" t="s">
        <v>25</v>
      </c>
      <c r="C8" s="29">
        <f>SUM(C6:C7)</f>
        <v>972.82</v>
      </c>
      <c r="D8" s="2"/>
      <c r="E8" s="18">
        <v>2756</v>
      </c>
      <c r="F8" s="25" t="s">
        <v>26</v>
      </c>
      <c r="G8" s="26" t="s">
        <v>7</v>
      </c>
      <c r="H8" s="8">
        <v>450</v>
      </c>
      <c r="I8" s="8">
        <v>200</v>
      </c>
      <c r="J8" s="2"/>
      <c r="K8" s="25"/>
      <c r="L8" s="9"/>
      <c r="M8" s="16"/>
      <c r="R8" s="1">
        <f>IF(vend1[[#This Row],[Nº Venda]]&gt;1,1,0)</f>
        <v>1</v>
      </c>
    </row>
    <row r="9" spans="2:18" ht="15.6">
      <c r="B9" s="2"/>
      <c r="C9" s="2"/>
      <c r="D9" s="2"/>
      <c r="E9" s="18">
        <v>2757</v>
      </c>
      <c r="F9" s="25" t="s">
        <v>27</v>
      </c>
      <c r="G9" s="26" t="s">
        <v>7</v>
      </c>
      <c r="H9" s="8">
        <v>900</v>
      </c>
      <c r="I9" s="8">
        <v>50</v>
      </c>
      <c r="J9" s="2"/>
      <c r="K9" s="25"/>
      <c r="L9" s="9"/>
      <c r="M9" s="16"/>
      <c r="R9" s="1">
        <f>IF(vend1[[#This Row],[Nº Venda]]&gt;1,1,0)</f>
        <v>1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81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310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IF(vend1[[#This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IF(vend1[[#This Row],[Nº Venda]]&gt;1,1,0)</f>
        <v>0</v>
      </c>
    </row>
    <row r="15" spans="2:18" ht="15.6">
      <c r="B15" s="30" t="s">
        <v>10</v>
      </c>
      <c r="C15" s="31">
        <f t="shared" si="0"/>
        <v>580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6">
      <c r="B16" s="28" t="s">
        <v>11</v>
      </c>
      <c r="C16" s="32">
        <f>SUM(C11:C15)</f>
        <v>971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6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1350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2618</v>
      </c>
      <c r="F26" s="25" t="s">
        <v>34</v>
      </c>
      <c r="G26" s="26" t="s">
        <v>10</v>
      </c>
      <c r="H26" s="8"/>
      <c r="I26" s="8">
        <v>580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2706</v>
      </c>
      <c r="F27" s="25" t="s">
        <v>35</v>
      </c>
      <c r="G27" s="26" t="s">
        <v>7</v>
      </c>
      <c r="H27" s="8"/>
      <c r="I27" s="8">
        <v>60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2751</v>
      </c>
      <c r="F28" s="25" t="s">
        <v>36</v>
      </c>
      <c r="G28" s="26" t="s">
        <v>6</v>
      </c>
      <c r="H28" s="8"/>
      <c r="I28" s="8">
        <v>81</v>
      </c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6" t="s">
        <v>29</v>
      </c>
      <c r="L34" s="6" t="s">
        <v>40</v>
      </c>
      <c r="M34" s="6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9"/>
    </row>
    <row r="36" spans="2:18" ht="15.6">
      <c r="E36" s="18"/>
      <c r="F36" s="25"/>
      <c r="G36" s="26"/>
      <c r="H36" s="8"/>
      <c r="I36" s="8"/>
      <c r="K36" s="25"/>
      <c r="L36" s="42"/>
      <c r="M36" s="9"/>
    </row>
    <row r="37" spans="2:18" ht="15.6">
      <c r="E37" s="18"/>
      <c r="F37" s="25"/>
      <c r="G37" s="26"/>
      <c r="H37" s="8"/>
      <c r="I37" s="8"/>
      <c r="K37" s="25"/>
      <c r="L37" s="42"/>
      <c r="M37" s="9"/>
    </row>
    <row r="38" spans="2:18" ht="15.6">
      <c r="E38" s="18"/>
      <c r="F38" s="25"/>
      <c r="G38" s="26"/>
      <c r="H38" s="8"/>
      <c r="I38" s="8"/>
      <c r="K38" s="25"/>
      <c r="L38" s="42"/>
      <c r="M38" s="9"/>
    </row>
    <row r="39" spans="2:18" ht="15.6">
      <c r="E39" s="18"/>
      <c r="F39" s="39"/>
      <c r="G39" s="26"/>
      <c r="H39" s="8"/>
      <c r="I39" s="8"/>
      <c r="K39" s="25"/>
      <c r="L39" s="42"/>
      <c r="M39" s="9"/>
    </row>
    <row r="40" spans="2:18" ht="15.6">
      <c r="E40" s="35"/>
      <c r="F40" s="36"/>
      <c r="G40" s="37"/>
      <c r="H40" s="17"/>
      <c r="I40" s="8"/>
      <c r="K40" s="36"/>
      <c r="L40" s="43"/>
      <c r="M40" s="46"/>
      <c r="Q40" s="1" t="s">
        <v>42</v>
      </c>
      <c r="R40" s="1">
        <f>SUM(R6:R21)</f>
        <v>4</v>
      </c>
    </row>
    <row r="41" spans="2:18" ht="15.6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G12:G22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G35:G41 G29:G31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2"/>
  <sheetViews>
    <sheetView showGridLines="0" zoomScale="80" zoomScaleNormal="80" workbookViewId="0">
      <selection activeCell="E26" sqref="E26:I32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'01'!B1+1</f>
        <v>45079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1550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SUM(I6:I42)</f>
        <v>2189.8900000000003</v>
      </c>
      <c r="D6" s="2"/>
      <c r="E6" s="18">
        <v>2758</v>
      </c>
      <c r="F6" s="25" t="s">
        <v>43</v>
      </c>
      <c r="G6" s="26" t="s">
        <v>6</v>
      </c>
      <c r="H6" s="8">
        <v>1000</v>
      </c>
      <c r="I6" s="8">
        <v>500</v>
      </c>
      <c r="J6" s="2"/>
      <c r="K6" s="25" t="s">
        <v>44</v>
      </c>
      <c r="L6" s="9" t="s">
        <v>7</v>
      </c>
      <c r="M6" s="16">
        <v>4.05</v>
      </c>
      <c r="R6" s="1">
        <f>IF(vend2[[#This Row],[Nº Venda]]&gt;1,1,0)</f>
        <v>1</v>
      </c>
    </row>
    <row r="7" spans="2:18" ht="15.6">
      <c r="B7" s="23" t="s">
        <v>3</v>
      </c>
      <c r="C7" s="24">
        <f>SUM(M6:M11)</f>
        <v>4.05</v>
      </c>
      <c r="D7" s="2"/>
      <c r="E7" s="18">
        <v>2759</v>
      </c>
      <c r="F7" s="25" t="s">
        <v>45</v>
      </c>
      <c r="G7" s="26" t="s">
        <v>9</v>
      </c>
      <c r="H7" s="8">
        <v>550</v>
      </c>
      <c r="I7" s="8">
        <v>50</v>
      </c>
      <c r="J7" s="2"/>
      <c r="K7" s="25"/>
      <c r="L7" s="9"/>
      <c r="M7" s="16"/>
      <c r="R7" s="1">
        <f>IF(vend2[[#This Row],[Nº Venda]]&gt;1,1,0)</f>
        <v>1</v>
      </c>
    </row>
    <row r="8" spans="2:18" ht="15.6">
      <c r="B8" s="28" t="s">
        <v>25</v>
      </c>
      <c r="C8" s="29">
        <f>SUM(C6:C7)</f>
        <v>2193.9400000000005</v>
      </c>
      <c r="D8" s="2"/>
      <c r="E8" s="54"/>
      <c r="F8" s="55"/>
      <c r="G8" s="56"/>
      <c r="H8" s="57"/>
      <c r="I8" s="57"/>
      <c r="J8" s="2"/>
      <c r="K8" s="25"/>
      <c r="L8" s="9"/>
      <c r="M8" s="16"/>
      <c r="R8" s="1">
        <f>IF(vend2[[#This Row],[Nº Venda]]&gt;1,1,0)</f>
        <v>0</v>
      </c>
    </row>
    <row r="9" spans="2:18" ht="15.6">
      <c r="B9" s="2"/>
      <c r="C9" s="2"/>
      <c r="D9" s="2"/>
      <c r="E9" s="54"/>
      <c r="F9" s="55"/>
      <c r="G9" s="56"/>
      <c r="H9" s="57"/>
      <c r="I9" s="57"/>
      <c r="J9" s="2"/>
      <c r="K9" s="25"/>
      <c r="L9" s="9"/>
      <c r="M9" s="16"/>
      <c r="R9" s="1">
        <f>IF(vend2[[#This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6">
      <c r="B11" s="30" t="s">
        <v>6</v>
      </c>
      <c r="C11" s="31">
        <f>(SUMIF($G$2:$G$31,B11,$I$2:$I$31))+(SUMIF($G$36:$G$42,B11,$H$36:$H$42))</f>
        <v>933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6">
      <c r="B12" s="30" t="s">
        <v>7</v>
      </c>
      <c r="C12" s="31">
        <f>(SUMIF($G$2:$G$31,B12,$I$2:$I$31))+(SUMIF($G$36:$G$42,B12,$H$36:$H$42))</f>
        <v>996.89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6">
      <c r="B13" s="30" t="s">
        <v>8</v>
      </c>
      <c r="C13" s="31">
        <f>(SUMIF($G$2:$G$31,B13,$I$2:$I$31))+(SUMIF($G$36:$G$42,B13,$H$36:$H$42))</f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IF(vend2[[#This Row],[Nº Venda]]&gt;1,1,0)</f>
        <v>0</v>
      </c>
    </row>
    <row r="14" spans="2:18" ht="15.6">
      <c r="B14" s="30" t="s">
        <v>9</v>
      </c>
      <c r="C14" s="31">
        <f>(SUMIF($G$2:$G$31,B14,$I$2:$I$31))+(SUMIF($G$36:$G$42,B14,$H$36:$H$42))</f>
        <v>50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IF(vend2[[#This Row],[Nº Venda]]&gt;1,1,0)</f>
        <v>0</v>
      </c>
    </row>
    <row r="15" spans="2:18" ht="15.6">
      <c r="B15" s="30" t="s">
        <v>10</v>
      </c>
      <c r="C15" s="31">
        <f>(SUMIF($G$2:$G$31,B15,$I$2:$I$31))+(SUMIF($G$36:$G$42,B15,$H$36:$H$42))</f>
        <v>10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6">
      <c r="B16" s="28" t="s">
        <v>11</v>
      </c>
      <c r="C16" s="32">
        <f>SUM(C11:C15)</f>
        <v>1989.8899999999999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6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1550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2727</v>
      </c>
      <c r="F26" s="25" t="s">
        <v>46</v>
      </c>
      <c r="G26" s="26" t="s">
        <v>7</v>
      </c>
      <c r="H26" s="8"/>
      <c r="I26" s="8">
        <v>350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2727</v>
      </c>
      <c r="F27" s="25" t="s">
        <v>46</v>
      </c>
      <c r="G27" s="26" t="s">
        <v>6</v>
      </c>
      <c r="H27" s="8"/>
      <c r="I27" s="8">
        <v>433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2710</v>
      </c>
      <c r="F28" s="25" t="s">
        <v>47</v>
      </c>
      <c r="G28" s="26" t="s">
        <v>7</v>
      </c>
      <c r="H28" s="8"/>
      <c r="I28" s="8">
        <v>370</v>
      </c>
      <c r="J28" s="2"/>
      <c r="K28" s="25"/>
      <c r="L28" s="9"/>
      <c r="M28" s="16"/>
    </row>
    <row r="29" spans="2:18" ht="15.6">
      <c r="B29" s="2"/>
      <c r="C29" s="2"/>
      <c r="D29" s="2"/>
      <c r="E29" s="18">
        <v>2727</v>
      </c>
      <c r="F29" s="25" t="s">
        <v>46</v>
      </c>
      <c r="G29" s="26" t="s">
        <v>10</v>
      </c>
      <c r="H29" s="8"/>
      <c r="I29" s="8">
        <v>10</v>
      </c>
      <c r="J29" s="2"/>
      <c r="K29" s="25"/>
      <c r="L29" s="9"/>
      <c r="M29" s="16"/>
    </row>
    <row r="30" spans="2:18" ht="15.6">
      <c r="B30" s="2"/>
      <c r="C30" s="2"/>
      <c r="D30" s="2"/>
      <c r="E30" s="35">
        <v>2438</v>
      </c>
      <c r="F30" s="36" t="s">
        <v>48</v>
      </c>
      <c r="G30" s="37" t="s">
        <v>7</v>
      </c>
      <c r="H30" s="17"/>
      <c r="I30" s="17">
        <v>152.99</v>
      </c>
      <c r="J30" s="2"/>
      <c r="K30" s="25"/>
      <c r="L30" s="9"/>
      <c r="M30" s="16"/>
    </row>
    <row r="31" spans="2:18" ht="15.6">
      <c r="B31" s="2"/>
      <c r="C31" s="2"/>
      <c r="D31" s="2"/>
      <c r="E31" s="18">
        <v>2236</v>
      </c>
      <c r="F31" s="25" t="s">
        <v>49</v>
      </c>
      <c r="G31" s="26" t="s">
        <v>7</v>
      </c>
      <c r="H31" s="8"/>
      <c r="I31" s="8">
        <v>123.9</v>
      </c>
      <c r="J31" s="2"/>
      <c r="K31" s="25"/>
      <c r="L31" s="9"/>
      <c r="M31" s="16"/>
    </row>
    <row r="32" spans="2:18" ht="15.6">
      <c r="B32" s="2"/>
      <c r="C32" s="2"/>
      <c r="E32" s="18">
        <v>2572</v>
      </c>
      <c r="F32" s="25" t="s">
        <v>50</v>
      </c>
      <c r="G32" s="26" t="s">
        <v>6</v>
      </c>
      <c r="H32" s="8"/>
      <c r="I32" s="8">
        <v>200</v>
      </c>
    </row>
    <row r="33" spans="2:18" ht="14.45">
      <c r="B33" s="2"/>
      <c r="C33" s="2"/>
      <c r="E33" s="33"/>
      <c r="K33" s="90" t="s">
        <v>12</v>
      </c>
      <c r="L33" s="91"/>
      <c r="M33" s="92"/>
    </row>
    <row r="34" spans="2:18" ht="14.45">
      <c r="E34" s="89" t="s">
        <v>37</v>
      </c>
      <c r="F34" s="89"/>
      <c r="G34" s="89"/>
      <c r="H34" s="89"/>
      <c r="I34" s="89"/>
      <c r="K34" s="14" t="s">
        <v>29</v>
      </c>
      <c r="L34" s="6" t="s">
        <v>40</v>
      </c>
      <c r="M34" s="15" t="s">
        <v>41</v>
      </c>
    </row>
    <row r="35" spans="2:18" ht="14.45">
      <c r="E35" s="10" t="s">
        <v>29</v>
      </c>
      <c r="F35" s="10" t="s">
        <v>15</v>
      </c>
      <c r="G35" s="11" t="s">
        <v>16</v>
      </c>
      <c r="H35" s="12" t="s">
        <v>38</v>
      </c>
      <c r="I35" s="13" t="s">
        <v>39</v>
      </c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25"/>
      <c r="G39" s="26"/>
      <c r="H39" s="8"/>
      <c r="I39" s="8"/>
      <c r="K39" s="25"/>
      <c r="L39" s="42"/>
      <c r="M39" s="16"/>
    </row>
    <row r="40" spans="2:18" ht="15.6">
      <c r="E40" s="18"/>
      <c r="F40" s="39"/>
      <c r="G40" s="26"/>
      <c r="H40" s="8"/>
      <c r="I40" s="8"/>
      <c r="K40" s="36"/>
      <c r="L40" s="43"/>
      <c r="M40" s="40"/>
      <c r="Q40" s="1" t="s">
        <v>42</v>
      </c>
      <c r="R40" s="1">
        <f>SUM(R6:R21)</f>
        <v>2</v>
      </c>
    </row>
    <row r="41" spans="2:18" ht="15.6">
      <c r="E41" s="35"/>
      <c r="F41" s="36"/>
      <c r="G41" s="37"/>
      <c r="H41" s="17"/>
      <c r="I41" s="8"/>
      <c r="K41" s="45"/>
      <c r="L41" s="42"/>
      <c r="M41" s="40"/>
    </row>
    <row r="42" spans="2:18" ht="15.6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G36:G42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G11:G22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I36:I42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F22" sqref="F22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'02'!B1+1</f>
        <v>45080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2490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1150</v>
      </c>
      <c r="D6" s="2"/>
      <c r="E6" s="18">
        <v>2760</v>
      </c>
      <c r="F6" s="25" t="s">
        <v>51</v>
      </c>
      <c r="G6" s="26" t="s">
        <v>22</v>
      </c>
      <c r="H6" s="8">
        <v>0</v>
      </c>
      <c r="I6" s="8">
        <v>0</v>
      </c>
      <c r="J6" s="2"/>
      <c r="K6" s="25" t="s">
        <v>44</v>
      </c>
      <c r="L6" s="9" t="s">
        <v>7</v>
      </c>
      <c r="M6" s="16">
        <v>3.84</v>
      </c>
      <c r="R6" s="1">
        <f>IF(vend3[[#This Row],[Nº Venda]]&gt;1,1,0)</f>
        <v>1</v>
      </c>
    </row>
    <row r="7" spans="2:18" ht="15.6">
      <c r="B7" s="23" t="s">
        <v>3</v>
      </c>
      <c r="C7" s="24">
        <f>SUM(M6:M11)</f>
        <v>3.84</v>
      </c>
      <c r="D7" s="2"/>
      <c r="E7" s="18">
        <v>2761</v>
      </c>
      <c r="F7" s="25" t="s">
        <v>52</v>
      </c>
      <c r="G7" s="26" t="s">
        <v>6</v>
      </c>
      <c r="H7" s="8">
        <v>500</v>
      </c>
      <c r="I7" s="8">
        <v>300</v>
      </c>
      <c r="J7" s="2"/>
      <c r="K7" s="25"/>
      <c r="L7" s="9"/>
      <c r="M7" s="16"/>
      <c r="R7" s="1">
        <f>IF(vend3[[#This Row],[Nº Venda]]&gt;1,1,0)</f>
        <v>1</v>
      </c>
    </row>
    <row r="8" spans="2:18" ht="15.6">
      <c r="B8" s="28" t="s">
        <v>25</v>
      </c>
      <c r="C8" s="29">
        <f>SUM(C6:C7)</f>
        <v>1153.8399999999999</v>
      </c>
      <c r="D8" s="2"/>
      <c r="E8" s="18">
        <v>2762</v>
      </c>
      <c r="F8" s="25" t="s">
        <v>53</v>
      </c>
      <c r="G8" s="26" t="s">
        <v>9</v>
      </c>
      <c r="H8" s="8">
        <v>900</v>
      </c>
      <c r="I8" s="8">
        <v>300</v>
      </c>
      <c r="J8" s="2"/>
      <c r="K8" s="25"/>
      <c r="L8" s="9"/>
      <c r="M8" s="16"/>
      <c r="R8" s="1">
        <f>IF(vend3[[#This Row],[Nº Venda]]&gt;1,1,0)</f>
        <v>1</v>
      </c>
    </row>
    <row r="9" spans="2:18" ht="15.6">
      <c r="B9" s="2"/>
      <c r="C9" s="2"/>
      <c r="D9" s="2"/>
      <c r="E9" s="18">
        <v>2763</v>
      </c>
      <c r="F9" s="25" t="s">
        <v>54</v>
      </c>
      <c r="G9" s="26" t="s">
        <v>22</v>
      </c>
      <c r="H9" s="8">
        <v>0</v>
      </c>
      <c r="I9" s="8">
        <v>0</v>
      </c>
      <c r="J9" s="2"/>
      <c r="K9" s="25"/>
      <c r="L9" s="9"/>
      <c r="M9" s="16"/>
      <c r="R9" s="1">
        <f>IF(vend3[[#This Row],[Nº Venda]]&gt;1,1,0)</f>
        <v>1</v>
      </c>
    </row>
    <row r="10" spans="2:18" ht="15.6">
      <c r="B10" s="88" t="s">
        <v>5</v>
      </c>
      <c r="C10" s="88"/>
      <c r="D10" s="2"/>
      <c r="E10" s="18">
        <v>2764</v>
      </c>
      <c r="F10" s="25" t="s">
        <v>55</v>
      </c>
      <c r="G10" s="26" t="s">
        <v>10</v>
      </c>
      <c r="H10" s="8">
        <v>1090</v>
      </c>
      <c r="I10" s="8">
        <v>200</v>
      </c>
      <c r="J10" s="2"/>
      <c r="K10" s="25"/>
      <c r="L10" s="9"/>
      <c r="M10" s="16"/>
      <c r="R10" s="1">
        <f>IF(vend3[[#This Row],[Nº Venda]]&gt;1,1,0)</f>
        <v>1</v>
      </c>
    </row>
    <row r="11" spans="2:18" ht="15.6">
      <c r="B11" s="30" t="s">
        <v>6</v>
      </c>
      <c r="C11" s="31">
        <f>(SUMIF($G$2:$G$31,B11,$I$2:$I$31))+(SUMIF($G$35:$G$41,B11,$H$35:$H$41))</f>
        <v>300</v>
      </c>
      <c r="D11" s="2"/>
      <c r="E11" s="18">
        <v>2765</v>
      </c>
      <c r="F11" s="25" t="s">
        <v>56</v>
      </c>
      <c r="G11" s="26" t="s">
        <v>22</v>
      </c>
      <c r="H11" s="8">
        <v>0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IF(vend3[[#This Row],[Nº Venda]]&gt;1,1,0)</f>
        <v>1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350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IF(vend3[[#This Row],[Nº Venda]]&gt;1,1,0)</f>
        <v>0</v>
      </c>
    </row>
    <row r="14" spans="2:18" ht="15.6">
      <c r="B14" s="30" t="s">
        <v>9</v>
      </c>
      <c r="C14" s="31">
        <f t="shared" si="0"/>
        <v>300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IF(vend3[[#This Row],[Nº Venda]]&gt;1,1,0)</f>
        <v>0</v>
      </c>
    </row>
    <row r="15" spans="2:18" ht="15.6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2572</v>
      </c>
      <c r="L15" s="9" t="s">
        <v>57</v>
      </c>
      <c r="M15" s="16" t="s">
        <v>58</v>
      </c>
      <c r="R15" s="1">
        <f>IF(vend3[[#This Row],[Nº Venda]]&gt;1,1,0)</f>
        <v>0</v>
      </c>
    </row>
    <row r="16" spans="2:18" ht="15.6">
      <c r="B16" s="28" t="s">
        <v>11</v>
      </c>
      <c r="C16" s="32">
        <f>SUM(C11:C15)</f>
        <v>1150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6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2490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2723</v>
      </c>
      <c r="F26" s="25" t="s">
        <v>59</v>
      </c>
      <c r="G26" s="26" t="s">
        <v>7</v>
      </c>
      <c r="H26" s="8"/>
      <c r="I26" s="8">
        <v>350</v>
      </c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6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G12:G22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G35:G41 G27:G31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2"/>
  <sheetViews>
    <sheetView showGridLines="0" topLeftCell="A21" zoomScale="80" zoomScaleNormal="80" workbookViewId="0">
      <selection activeCell="E26" sqref="E26:I32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'03'!B1+1</f>
        <v>45081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SUM(I6:I42)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6">
      <c r="B7" s="23" t="s">
        <v>3</v>
      </c>
      <c r="C7" s="24">
        <f>SUM(M6:M11)</f>
        <v>0</v>
      </c>
      <c r="D7" s="2"/>
      <c r="E7" s="58"/>
      <c r="F7" s="25"/>
      <c r="G7" s="26"/>
      <c r="H7" s="8"/>
      <c r="I7" s="59"/>
      <c r="J7" s="2"/>
      <c r="K7" s="25"/>
      <c r="L7" s="9"/>
      <c r="M7" s="16"/>
      <c r="R7" s="1">
        <f>IF(vend4[[#This Row],[Nº Venda]]&gt;1,1,0)</f>
        <v>0</v>
      </c>
    </row>
    <row r="8" spans="2:18" ht="15.6">
      <c r="B8" s="28" t="s">
        <v>25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6">
      <c r="B9" s="2"/>
      <c r="C9" s="2"/>
      <c r="D9" s="2"/>
      <c r="E9" s="60"/>
      <c r="F9" s="61"/>
      <c r="G9" s="62"/>
      <c r="H9" s="63"/>
      <c r="I9" s="63"/>
      <c r="J9" s="2"/>
      <c r="K9" s="25"/>
      <c r="L9" s="9"/>
      <c r="M9" s="16"/>
      <c r="R9" s="1">
        <f>IF(vend4[[#This Row],[Nº Venda]]&gt;1,1,0)</f>
        <v>0</v>
      </c>
    </row>
    <row r="10" spans="2:18" ht="15.6">
      <c r="B10" s="88" t="s">
        <v>5</v>
      </c>
      <c r="C10" s="88"/>
      <c r="D10" s="2"/>
      <c r="E10" s="18"/>
      <c r="F10" s="64"/>
      <c r="G10" s="64"/>
      <c r="H10" s="52"/>
      <c r="I10" s="52"/>
      <c r="J10" s="2"/>
      <c r="K10" s="25"/>
      <c r="L10" s="9"/>
      <c r="M10" s="16"/>
      <c r="R10" s="1">
        <f>IF(vend4[[#This Row],[Nº Venda]]&gt;1,1,0)</f>
        <v>0</v>
      </c>
    </row>
    <row r="11" spans="2:18" ht="15.6">
      <c r="B11" s="30" t="s">
        <v>6</v>
      </c>
      <c r="C11" s="31">
        <f>(SUMIF($G$2:$G$31,B11,$I$2:$I$31))+(SUMIF($G$36:$G$42,B11,$H$36:$H$42))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6">
      <c r="B12" s="30" t="s">
        <v>7</v>
      </c>
      <c r="C12" s="31">
        <f>(SUMIF($G$2:$G$31,B12,$I$2:$I$31))+(SUMIF($G$36:$G$42,B12,$H$36:$H$42))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6">
      <c r="B13" s="30" t="s">
        <v>8</v>
      </c>
      <c r="C13" s="31">
        <f>(SUMIF($G$2:$G$31,B13,$I$2:$I$31))+(SUMIF($G$36:$G$42,B13,$H$36:$H$42))</f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IF(vend4[[#This Row],[Nº Venda]]&gt;1,1,0)</f>
        <v>0</v>
      </c>
    </row>
    <row r="14" spans="2:18" ht="15.6">
      <c r="B14" s="30" t="s">
        <v>9</v>
      </c>
      <c r="C14" s="31">
        <f>(SUMIF($G$2:$G$31,B14,$I$2:$I$31))+(SUMIF($G$36:$G$42,B14,$H$36:$H$42))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IF(vend4[[#This Row],[Nº Venda]]&gt;1,1,0)</f>
        <v>0</v>
      </c>
    </row>
    <row r="15" spans="2:18" ht="15.6">
      <c r="B15" s="30" t="s">
        <v>10</v>
      </c>
      <c r="C15" s="31">
        <f>(SUMIF($G$2:$G$31,B15,$I$2:$I$31))+(SUMIF($G$36:$G$42,B15,$H$36:$H$42))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6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6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35"/>
      <c r="F28" s="36"/>
      <c r="G28" s="65"/>
      <c r="H28" s="66"/>
      <c r="I28" s="66"/>
      <c r="J28" s="2"/>
      <c r="K28" s="25"/>
      <c r="L28" s="9"/>
      <c r="M28" s="16"/>
    </row>
    <row r="29" spans="2:18" ht="15.6">
      <c r="B29" s="2"/>
      <c r="C29" s="2"/>
      <c r="D29" s="2"/>
      <c r="E29" s="54"/>
      <c r="F29" s="55"/>
      <c r="G29" s="67"/>
      <c r="H29" s="68"/>
      <c r="I29" s="68"/>
      <c r="J29" s="2"/>
      <c r="K29" s="25"/>
      <c r="L29" s="9"/>
      <c r="M29" s="16"/>
    </row>
    <row r="30" spans="2:18" ht="15.6">
      <c r="B30" s="2"/>
      <c r="C30" s="2"/>
      <c r="D30" s="2"/>
      <c r="E30" s="18"/>
      <c r="F30" s="25"/>
      <c r="G30" s="69"/>
      <c r="H30" s="70"/>
      <c r="I30" s="70"/>
      <c r="J30" s="2"/>
      <c r="K30" s="25"/>
      <c r="L30" s="9"/>
      <c r="M30" s="16"/>
    </row>
    <row r="31" spans="2:18" ht="15.6">
      <c r="B31" s="2"/>
      <c r="C31" s="2"/>
      <c r="D31" s="2"/>
      <c r="E31" s="18"/>
      <c r="F31" s="25"/>
      <c r="G31" s="26"/>
      <c r="H31" s="8"/>
      <c r="I31" s="8"/>
      <c r="J31" s="2"/>
      <c r="K31" s="25"/>
      <c r="L31" s="9"/>
      <c r="M31" s="16"/>
    </row>
    <row r="32" spans="2:18" ht="15.6">
      <c r="B32" s="2"/>
      <c r="C32" s="2"/>
      <c r="E32" s="18"/>
      <c r="F32" s="25"/>
      <c r="G32" s="69"/>
      <c r="H32" s="70"/>
      <c r="I32" s="70"/>
    </row>
    <row r="33" spans="2:18" ht="14.45">
      <c r="B33" s="2"/>
      <c r="C33" s="2"/>
      <c r="E33" s="33"/>
      <c r="K33" s="90" t="s">
        <v>12</v>
      </c>
      <c r="L33" s="91"/>
      <c r="M33" s="92"/>
    </row>
    <row r="34" spans="2:18" ht="14.45">
      <c r="E34" s="89"/>
      <c r="F34" s="89"/>
      <c r="G34" s="89"/>
      <c r="H34" s="89"/>
      <c r="I34" s="89"/>
      <c r="K34" s="14" t="s">
        <v>29</v>
      </c>
      <c r="L34" s="6" t="s">
        <v>40</v>
      </c>
      <c r="M34" s="15" t="s">
        <v>41</v>
      </c>
    </row>
    <row r="35" spans="2:18" ht="14.45">
      <c r="E35" s="10" t="s">
        <v>29</v>
      </c>
      <c r="F35" s="10" t="s">
        <v>15</v>
      </c>
      <c r="G35" s="11" t="s">
        <v>16</v>
      </c>
      <c r="H35" s="12" t="s">
        <v>38</v>
      </c>
      <c r="I35" s="13" t="s">
        <v>39</v>
      </c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25"/>
      <c r="G39" s="26"/>
      <c r="H39" s="8"/>
      <c r="I39" s="8"/>
      <c r="K39" s="25"/>
      <c r="L39" s="42"/>
      <c r="M39" s="16"/>
    </row>
    <row r="40" spans="2:18" ht="15.6">
      <c r="E40" s="18"/>
      <c r="F40" s="39"/>
      <c r="G40" s="26"/>
      <c r="H40" s="8"/>
      <c r="I40" s="8"/>
      <c r="K40" s="36"/>
      <c r="L40" s="43"/>
      <c r="M40" s="40"/>
      <c r="Q40" s="1" t="s">
        <v>42</v>
      </c>
      <c r="R40" s="1">
        <f>SUM(R6:R21)</f>
        <v>0</v>
      </c>
    </row>
    <row r="41" spans="2:18" ht="15.6">
      <c r="E41" s="35"/>
      <c r="F41" s="36"/>
      <c r="G41" s="37"/>
      <c r="H41" s="17"/>
      <c r="I41" s="8"/>
      <c r="K41" s="45"/>
      <c r="L41" s="42"/>
      <c r="M41" s="40"/>
    </row>
    <row r="42" spans="2:18" ht="15.6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G36:G42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G12:G22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I36:I42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2"/>
  <sheetViews>
    <sheetView showGridLines="0" zoomScale="80" zoomScaleNormal="80" workbookViewId="0">
      <selection activeCell="F27" sqref="F27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'04'!B1+1</f>
        <v>45082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1313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SUM(I6:I42)</f>
        <v>2670.7</v>
      </c>
      <c r="D6" s="2"/>
      <c r="E6" s="18">
        <v>2766</v>
      </c>
      <c r="F6" s="25" t="s">
        <v>60</v>
      </c>
      <c r="G6" s="26" t="s">
        <v>10</v>
      </c>
      <c r="H6" s="8">
        <v>399</v>
      </c>
      <c r="I6" s="8">
        <v>30</v>
      </c>
      <c r="J6" s="2"/>
      <c r="K6" s="25"/>
      <c r="L6" s="9"/>
      <c r="M6" s="16"/>
      <c r="R6" s="1">
        <f>IF(vend5[[#This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58">
        <v>2767</v>
      </c>
      <c r="F7" s="25" t="s">
        <v>61</v>
      </c>
      <c r="G7" s="26" t="s">
        <v>62</v>
      </c>
      <c r="H7" s="8">
        <v>350</v>
      </c>
      <c r="I7" s="59">
        <v>20</v>
      </c>
      <c r="J7" s="2"/>
      <c r="K7" s="25"/>
      <c r="L7" s="9"/>
      <c r="M7" s="16"/>
      <c r="R7" s="1">
        <f>IF(vend5[[#This Row],[Nº Venda]]&gt;1,1,0)</f>
        <v>1</v>
      </c>
    </row>
    <row r="8" spans="2:18" ht="15.6">
      <c r="B8" s="28" t="s">
        <v>25</v>
      </c>
      <c r="C8" s="29">
        <f>SUM(C6:C7)</f>
        <v>2670.7</v>
      </c>
      <c r="D8" s="2"/>
      <c r="E8" s="18">
        <v>2768</v>
      </c>
      <c r="F8" s="25" t="s">
        <v>63</v>
      </c>
      <c r="G8" s="26" t="s">
        <v>9</v>
      </c>
      <c r="H8" s="8">
        <v>264</v>
      </c>
      <c r="I8" s="8">
        <v>264</v>
      </c>
      <c r="J8" s="2"/>
      <c r="K8" s="25"/>
      <c r="L8" s="9"/>
      <c r="M8" s="16"/>
      <c r="R8" s="1">
        <f>IF(vend5[[#This Row],[Nº Venda]]&gt;1,1,0)</f>
        <v>1</v>
      </c>
    </row>
    <row r="9" spans="2:18" ht="15.6">
      <c r="B9" s="2"/>
      <c r="C9" s="2"/>
      <c r="D9" s="2"/>
      <c r="E9" s="60">
        <v>2769</v>
      </c>
      <c r="F9" s="61" t="s">
        <v>64</v>
      </c>
      <c r="G9" s="62"/>
      <c r="H9" s="63" t="s">
        <v>65</v>
      </c>
      <c r="I9" s="63"/>
      <c r="J9" s="2"/>
      <c r="K9" s="25"/>
      <c r="L9" s="9"/>
      <c r="M9" s="16"/>
      <c r="R9" s="1">
        <f>IF(vend5[[#This Row],[Nº Venda]]&gt;1,1,0)</f>
        <v>1</v>
      </c>
    </row>
    <row r="10" spans="2:18" ht="15.6">
      <c r="B10" s="88" t="s">
        <v>5</v>
      </c>
      <c r="C10" s="88"/>
      <c r="D10" s="2"/>
      <c r="E10" s="18">
        <v>2770</v>
      </c>
      <c r="F10" s="64" t="s">
        <v>66</v>
      </c>
      <c r="G10" s="64" t="s">
        <v>67</v>
      </c>
      <c r="H10" s="52">
        <v>400</v>
      </c>
      <c r="I10" s="52">
        <v>0</v>
      </c>
      <c r="J10" s="2"/>
      <c r="K10" s="25"/>
      <c r="L10" s="9"/>
      <c r="M10" s="16"/>
      <c r="R10" s="1">
        <f>IF(vend5[[#This Row],[Nº Venda]]&gt;1,1,0)</f>
        <v>1</v>
      </c>
    </row>
    <row r="11" spans="2:18" ht="15.6">
      <c r="B11" s="30" t="s">
        <v>6</v>
      </c>
      <c r="C11" s="31">
        <f>(SUMIF($G$2:$G$31,B11,$I$2:$I$31))+(SUMIF($G$36:$G$42,B11,$H$36:$H$42))</f>
        <v>466.7</v>
      </c>
      <c r="D11" s="2"/>
      <c r="E11" s="18">
        <v>2771</v>
      </c>
      <c r="F11" s="25" t="s">
        <v>68</v>
      </c>
      <c r="G11" s="26" t="s">
        <v>8</v>
      </c>
      <c r="H11" s="8">
        <v>300</v>
      </c>
      <c r="I11" s="8">
        <v>15</v>
      </c>
      <c r="J11" s="2"/>
      <c r="K11" s="27"/>
      <c r="L11" s="9"/>
      <c r="M11" s="16"/>
      <c r="O11" s="1">
        <f>IF(C16=0,0,1)</f>
        <v>1</v>
      </c>
      <c r="R11" s="1">
        <f>IF(vend5[[#This Row],[Nº Venda]]&gt;1,1,0)</f>
        <v>1</v>
      </c>
    </row>
    <row r="12" spans="2:18" ht="15.6">
      <c r="B12" s="30" t="s">
        <v>7</v>
      </c>
      <c r="C12" s="31">
        <f>(SUMIF($G$2:$G$31,B12,$I$2:$I$31))+(SUMIF($G$36:$G$42,B12,$H$36:$H$42))</f>
        <v>500</v>
      </c>
      <c r="D12" s="2"/>
      <c r="E12" s="18"/>
      <c r="F12" s="25"/>
      <c r="G12" s="48"/>
      <c r="H12" s="8"/>
      <c r="I12" s="8"/>
      <c r="J12" s="2"/>
      <c r="R12" s="1">
        <f>IF(vend5[[#This Row],[Nº Venda]]&gt;1,1,0)</f>
        <v>0</v>
      </c>
    </row>
    <row r="13" spans="2:18" ht="15.6">
      <c r="B13" s="30" t="s">
        <v>8</v>
      </c>
      <c r="C13" s="31">
        <f>(SUMIF($G$2:$G$31,B13,$I$2:$I$31))+(SUMIF($G$36:$G$42,B13,$H$36:$H$42))</f>
        <v>15</v>
      </c>
      <c r="D13" s="2"/>
      <c r="E13" s="18"/>
      <c r="F13" s="25"/>
      <c r="G13" s="48"/>
      <c r="H13" s="8"/>
      <c r="I13" s="8"/>
      <c r="J13" s="2"/>
      <c r="K13" s="90" t="s">
        <v>28</v>
      </c>
      <c r="L13" s="91"/>
      <c r="M13" s="92"/>
      <c r="R13" s="1">
        <f>IF(vend5[[#This Row],[Nº Venda]]&gt;1,1,0)</f>
        <v>0</v>
      </c>
    </row>
    <row r="14" spans="2:18" ht="15.6">
      <c r="B14" s="30" t="s">
        <v>9</v>
      </c>
      <c r="C14" s="31">
        <f>(SUMIF($G$2:$G$31,B14,$I$2:$I$31))+(SUMIF($G$36:$G$42,B14,$H$36:$H$42))</f>
        <v>264</v>
      </c>
      <c r="D14" s="2"/>
      <c r="E14" s="18"/>
      <c r="F14" s="25"/>
      <c r="G14" s="48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IF(vend5[[#This Row],[Nº Venda]]&gt;1,1,0)</f>
        <v>0</v>
      </c>
    </row>
    <row r="15" spans="2:18" ht="15.6">
      <c r="B15" s="30" t="s">
        <v>10</v>
      </c>
      <c r="C15" s="31">
        <f>(SUMIF($G$2:$G$31,B15,$I$2:$I$31))+(SUMIF($G$36:$G$42,B15,$H$36:$H$42))</f>
        <v>725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6">
      <c r="B16" s="28" t="s">
        <v>11</v>
      </c>
      <c r="C16" s="32">
        <f>SUM(C11:C15)</f>
        <v>1970.7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6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1313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2546</v>
      </c>
      <c r="F26" s="25" t="s">
        <v>69</v>
      </c>
      <c r="G26" s="26" t="s">
        <v>7</v>
      </c>
      <c r="H26" s="8"/>
      <c r="I26" s="8">
        <v>500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2675</v>
      </c>
      <c r="F27" s="25" t="s">
        <v>70</v>
      </c>
      <c r="G27" s="26" t="s">
        <v>62</v>
      </c>
      <c r="H27" s="8"/>
      <c r="I27" s="8">
        <v>150</v>
      </c>
      <c r="J27" s="2"/>
      <c r="K27" s="25"/>
      <c r="L27" s="9"/>
      <c r="M27" s="16"/>
    </row>
    <row r="28" spans="2:18" ht="15.6">
      <c r="B28" s="2"/>
      <c r="C28" s="2"/>
      <c r="D28" s="2"/>
      <c r="E28" s="35">
        <v>2717</v>
      </c>
      <c r="F28" s="36" t="s">
        <v>71</v>
      </c>
      <c r="G28" s="65" t="s">
        <v>62</v>
      </c>
      <c r="H28" s="66"/>
      <c r="I28" s="66">
        <v>100</v>
      </c>
      <c r="J28" s="2"/>
      <c r="K28" s="25"/>
      <c r="L28" s="9"/>
      <c r="M28" s="16"/>
    </row>
    <row r="29" spans="2:18" ht="15.6">
      <c r="B29" s="2"/>
      <c r="C29" s="2"/>
      <c r="D29" s="2"/>
      <c r="E29" s="54">
        <v>2747</v>
      </c>
      <c r="F29" s="55" t="s">
        <v>72</v>
      </c>
      <c r="G29" s="67" t="s">
        <v>6</v>
      </c>
      <c r="H29" s="68"/>
      <c r="I29" s="68">
        <v>200</v>
      </c>
      <c r="J29" s="2"/>
      <c r="K29" s="25"/>
      <c r="L29" s="9"/>
      <c r="M29" s="16"/>
    </row>
    <row r="30" spans="2:18" ht="15.6">
      <c r="B30" s="2"/>
      <c r="C30" s="2"/>
      <c r="D30" s="2"/>
      <c r="E30" s="18">
        <v>2551</v>
      </c>
      <c r="F30" s="25" t="s">
        <v>73</v>
      </c>
      <c r="G30" s="69" t="s">
        <v>6</v>
      </c>
      <c r="H30" s="70"/>
      <c r="I30" s="70">
        <v>266.7</v>
      </c>
      <c r="J30" s="2"/>
      <c r="K30" s="25"/>
      <c r="L30" s="9"/>
      <c r="M30" s="16"/>
    </row>
    <row r="31" spans="2:18" ht="15.6">
      <c r="B31" s="2"/>
      <c r="C31" s="2"/>
      <c r="D31" s="2"/>
      <c r="E31" s="18">
        <v>2631</v>
      </c>
      <c r="F31" s="25" t="s">
        <v>74</v>
      </c>
      <c r="G31" s="26" t="s">
        <v>62</v>
      </c>
      <c r="H31" s="8"/>
      <c r="I31" s="8">
        <v>425</v>
      </c>
      <c r="J31" s="2"/>
      <c r="K31" s="25"/>
      <c r="L31" s="9"/>
      <c r="M31" s="16"/>
    </row>
    <row r="32" spans="2:18" ht="15.6">
      <c r="B32" s="2"/>
      <c r="C32" s="2"/>
      <c r="E32" s="18">
        <v>2741</v>
      </c>
      <c r="F32" s="25" t="s">
        <v>75</v>
      </c>
      <c r="G32" s="69" t="s">
        <v>62</v>
      </c>
      <c r="H32" s="70"/>
      <c r="I32" s="70">
        <v>700</v>
      </c>
    </row>
    <row r="33" spans="2:18" ht="14.45">
      <c r="B33" s="2"/>
      <c r="C33" s="2"/>
      <c r="E33" s="33"/>
      <c r="K33" s="90" t="s">
        <v>12</v>
      </c>
      <c r="L33" s="91"/>
      <c r="M33" s="92"/>
    </row>
    <row r="34" spans="2:18" ht="14.45">
      <c r="E34" s="89" t="s">
        <v>37</v>
      </c>
      <c r="F34" s="89"/>
      <c r="G34" s="89"/>
      <c r="H34" s="89"/>
      <c r="I34" s="89"/>
      <c r="K34" s="14" t="s">
        <v>29</v>
      </c>
      <c r="L34" s="6" t="s">
        <v>40</v>
      </c>
      <c r="M34" s="15" t="s">
        <v>41</v>
      </c>
    </row>
    <row r="35" spans="2:18" ht="14.45">
      <c r="E35" s="10" t="s">
        <v>29</v>
      </c>
      <c r="F35" s="10" t="s">
        <v>15</v>
      </c>
      <c r="G35" s="11" t="s">
        <v>16</v>
      </c>
      <c r="H35" s="12" t="s">
        <v>38</v>
      </c>
      <c r="I35" s="13" t="s">
        <v>39</v>
      </c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25"/>
      <c r="G39" s="26"/>
      <c r="H39" s="8"/>
      <c r="I39" s="8"/>
      <c r="K39" s="25"/>
      <c r="L39" s="42"/>
      <c r="M39" s="16"/>
    </row>
    <row r="40" spans="2:18" ht="15.6">
      <c r="E40" s="18"/>
      <c r="F40" s="39"/>
      <c r="G40" s="26"/>
      <c r="H40" s="8"/>
      <c r="I40" s="8"/>
      <c r="K40" s="36"/>
      <c r="L40" s="43"/>
      <c r="M40" s="40"/>
      <c r="Q40" s="1" t="s">
        <v>42</v>
      </c>
      <c r="R40" s="1">
        <f>SUM(R6:R21)</f>
        <v>6</v>
      </c>
    </row>
    <row r="41" spans="2:18" ht="15.6">
      <c r="E41" s="35"/>
      <c r="F41" s="36"/>
      <c r="G41" s="37"/>
      <c r="H41" s="17"/>
      <c r="I41" s="8"/>
      <c r="K41" s="45"/>
      <c r="L41" s="42"/>
      <c r="M41" s="40"/>
    </row>
    <row r="42" spans="2:18" ht="15.6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G12:G22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G36:G42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I36:I42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tabSelected="1" topLeftCell="A11" zoomScale="80" zoomScaleNormal="80" workbookViewId="0">
      <selection activeCell="E9" sqref="E9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'05'!B1+1</f>
        <v>45083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3990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2661.99</v>
      </c>
      <c r="D6" s="2"/>
      <c r="E6" s="18">
        <v>2772</v>
      </c>
      <c r="F6" s="25" t="s">
        <v>76</v>
      </c>
      <c r="G6" s="26" t="s">
        <v>22</v>
      </c>
      <c r="H6" s="8">
        <v>0</v>
      </c>
      <c r="I6" s="8">
        <v>0</v>
      </c>
      <c r="J6" s="2"/>
      <c r="K6" s="25"/>
      <c r="L6" s="9"/>
      <c r="M6" s="16"/>
      <c r="R6" s="1">
        <f>IF(vend[[#This Row],[Nº Venda]]&gt;1,1,0)</f>
        <v>1</v>
      </c>
    </row>
    <row r="7" spans="2:18" ht="14.45">
      <c r="B7" s="23" t="s">
        <v>3</v>
      </c>
      <c r="C7" s="24">
        <f>SUM(M6:M11)</f>
        <v>0</v>
      </c>
      <c r="D7" s="2"/>
      <c r="E7" s="71">
        <v>2773</v>
      </c>
      <c r="F7" s="25" t="s">
        <v>77</v>
      </c>
      <c r="G7" s="72" t="s">
        <v>7</v>
      </c>
      <c r="H7" s="52">
        <v>1790</v>
      </c>
      <c r="I7" s="52">
        <v>790</v>
      </c>
      <c r="J7" s="2"/>
      <c r="K7" s="25"/>
      <c r="L7" s="9"/>
      <c r="M7" s="16"/>
      <c r="R7" s="1">
        <f>IF(vend[[#This Row],[Nº Venda]]&gt;1,1,0)</f>
        <v>1</v>
      </c>
    </row>
    <row r="8" spans="2:18" ht="15.6">
      <c r="B8" s="28" t="s">
        <v>25</v>
      </c>
      <c r="C8" s="29">
        <f>SUM(C6:C7)</f>
        <v>2661.99</v>
      </c>
      <c r="D8" s="2"/>
      <c r="E8" s="71">
        <v>27732</v>
      </c>
      <c r="F8" s="25" t="s">
        <v>78</v>
      </c>
      <c r="G8" s="26" t="s">
        <v>22</v>
      </c>
      <c r="H8" s="8">
        <v>0</v>
      </c>
      <c r="I8" s="8">
        <v>0</v>
      </c>
      <c r="J8" s="2"/>
      <c r="K8" s="25"/>
      <c r="L8" s="9"/>
      <c r="M8" s="16"/>
      <c r="R8" s="1">
        <f>IF(vend[[#This Row],[Nº Venda]]&gt;1,1,0)</f>
        <v>1</v>
      </c>
    </row>
    <row r="9" spans="2:18" ht="15.6">
      <c r="B9" s="2"/>
      <c r="C9" s="2"/>
      <c r="D9" s="2"/>
      <c r="E9" s="18">
        <v>2774</v>
      </c>
      <c r="F9" s="25" t="s">
        <v>79</v>
      </c>
      <c r="G9" s="26" t="s">
        <v>8</v>
      </c>
      <c r="H9" s="8">
        <v>1650</v>
      </c>
      <c r="I9" s="8">
        <v>50</v>
      </c>
      <c r="J9" s="2"/>
      <c r="K9" s="25"/>
      <c r="L9" s="9"/>
      <c r="M9" s="16"/>
      <c r="R9" s="1">
        <f>IF(vend[[#This Row],[Nº Venda]]&gt;1,1,0)</f>
        <v>1</v>
      </c>
    </row>
    <row r="10" spans="2:18" ht="15.6">
      <c r="B10" s="88" t="s">
        <v>5</v>
      </c>
      <c r="C10" s="88"/>
      <c r="D10" s="2"/>
      <c r="E10" s="18">
        <v>2775</v>
      </c>
      <c r="F10" s="25" t="s">
        <v>80</v>
      </c>
      <c r="G10" s="26" t="s">
        <v>8</v>
      </c>
      <c r="H10" s="8">
        <v>550</v>
      </c>
      <c r="I10" s="8">
        <v>150</v>
      </c>
      <c r="J10" s="2"/>
      <c r="K10" s="25"/>
      <c r="L10" s="9"/>
      <c r="M10" s="16"/>
      <c r="R10" s="1">
        <f>IF(vend[[#This Row],[Nº Venda]]&gt;1,1,0)</f>
        <v>1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790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6">
      <c r="B13" s="30" t="s">
        <v>8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IF(vend[[#This Row],[Nº Venda]]&gt;1,1,0)</f>
        <v>0</v>
      </c>
    </row>
    <row r="14" spans="2:18" ht="15.6">
      <c r="B14" s="30" t="s">
        <v>9</v>
      </c>
      <c r="C14" s="31">
        <f t="shared" si="0"/>
        <v>1029.99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IF(vend[[#This Row],[Nº Venda]]&gt;1,1,0)</f>
        <v>0</v>
      </c>
    </row>
    <row r="15" spans="2:18" ht="15.6">
      <c r="B15" s="30" t="s">
        <v>10</v>
      </c>
      <c r="C15" s="31">
        <f t="shared" si="0"/>
        <v>642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6">
      <c r="B16" s="28" t="s">
        <v>11</v>
      </c>
      <c r="C16" s="32">
        <f>SUM(C11:C15)</f>
        <v>2661.99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6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3990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2314</v>
      </c>
      <c r="F26" s="25" t="s">
        <v>81</v>
      </c>
      <c r="G26" s="26" t="s">
        <v>10</v>
      </c>
      <c r="H26" s="8"/>
      <c r="I26" s="8">
        <v>140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2138</v>
      </c>
      <c r="F27" s="25" t="s">
        <v>82</v>
      </c>
      <c r="G27" s="26" t="s">
        <v>10</v>
      </c>
      <c r="H27" s="8"/>
      <c r="I27" s="8">
        <v>77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2631</v>
      </c>
      <c r="F28" s="25" t="s">
        <v>83</v>
      </c>
      <c r="G28" s="26" t="s">
        <v>10</v>
      </c>
      <c r="H28" s="8"/>
      <c r="I28" s="8">
        <v>425</v>
      </c>
      <c r="J28" s="2"/>
      <c r="K28" s="25"/>
      <c r="L28" s="9"/>
      <c r="M28" s="16"/>
    </row>
    <row r="29" spans="2:18" ht="15.6">
      <c r="B29" s="2"/>
      <c r="C29" s="2"/>
      <c r="D29" s="2"/>
      <c r="E29" s="18">
        <v>2744</v>
      </c>
      <c r="F29" s="25" t="s">
        <v>84</v>
      </c>
      <c r="G29" s="26" t="s">
        <v>9</v>
      </c>
      <c r="H29" s="8"/>
      <c r="I29" s="8">
        <v>1029.99</v>
      </c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5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G35:G41 G30:G31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G11:G22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topLeftCell="A7" zoomScale="80" zoomScaleNormal="80" workbookViewId="0">
      <selection activeCell="F12" sqref="F12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'06'!B1+1</f>
        <v>45084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3000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1931</v>
      </c>
      <c r="D6" s="2"/>
      <c r="E6" s="18">
        <v>2776</v>
      </c>
      <c r="F6" s="25" t="s">
        <v>85</v>
      </c>
      <c r="G6" s="26" t="s">
        <v>22</v>
      </c>
      <c r="H6" s="8">
        <v>0</v>
      </c>
      <c r="I6" s="8">
        <v>0</v>
      </c>
      <c r="J6" s="2"/>
      <c r="K6" s="25"/>
      <c r="L6" s="9"/>
      <c r="M6" s="16"/>
      <c r="R6" s="1">
        <f>IF(vend7[[#This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2777</v>
      </c>
      <c r="F7" s="25" t="s">
        <v>86</v>
      </c>
      <c r="G7" s="26" t="s">
        <v>9</v>
      </c>
      <c r="H7" s="8">
        <v>3000</v>
      </c>
      <c r="I7" s="8">
        <v>500</v>
      </c>
      <c r="J7" s="2"/>
      <c r="K7" s="25"/>
      <c r="L7" s="9"/>
      <c r="M7" s="16"/>
      <c r="R7" s="1">
        <f>IF(vend7[[#This Row],[Nº Venda]]&gt;1,1,0)</f>
        <v>1</v>
      </c>
    </row>
    <row r="8" spans="2:18" ht="15.6">
      <c r="B8" s="28" t="s">
        <v>25</v>
      </c>
      <c r="C8" s="29">
        <f>SUM(C6:C7)</f>
        <v>1931</v>
      </c>
      <c r="D8" s="2"/>
      <c r="E8" s="18">
        <v>27772</v>
      </c>
      <c r="F8" s="25" t="s">
        <v>87</v>
      </c>
      <c r="G8" s="26" t="s">
        <v>22</v>
      </c>
      <c r="H8" s="8">
        <v>0</v>
      </c>
      <c r="I8" s="8">
        <v>0</v>
      </c>
      <c r="J8" s="2"/>
      <c r="K8" s="25"/>
      <c r="L8" s="9"/>
      <c r="M8" s="16"/>
      <c r="R8" s="1">
        <f>IF(vend7[[#This Row],[Nº Venda]]&gt;1,1,0)</f>
        <v>1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131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1050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IF(vend7[[#This Row],[Nº Venda]]&gt;1,1,0)</f>
        <v>0</v>
      </c>
    </row>
    <row r="14" spans="2:18" ht="15.6">
      <c r="B14" s="30" t="s">
        <v>9</v>
      </c>
      <c r="C14" s="31">
        <f t="shared" si="0"/>
        <v>750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IF(vend7[[#This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IF(vend7[[#This Row],[Nº Venda]]&gt;1,1,0)</f>
        <v>0</v>
      </c>
    </row>
    <row r="16" spans="2:18" ht="15.6">
      <c r="B16" s="28" t="s">
        <v>11</v>
      </c>
      <c r="C16" s="32">
        <f>SUM(C11:C15)</f>
        <v>1931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IF(vend7[[#This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6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6">
      <c r="B22" s="28" t="s">
        <v>32</v>
      </c>
      <c r="C22" s="32">
        <f>C5</f>
        <v>3000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4.45">
      <c r="B23" s="2"/>
      <c r="C23" s="2"/>
      <c r="D23" s="2"/>
      <c r="E23" s="33"/>
      <c r="H23" s="7"/>
      <c r="J23" s="2"/>
      <c r="K23" s="47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47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6">
      <c r="B26" s="2"/>
      <c r="C26" s="2"/>
      <c r="D26" s="2"/>
      <c r="E26" s="18">
        <v>2280</v>
      </c>
      <c r="F26" s="25" t="s">
        <v>88</v>
      </c>
      <c r="G26" s="26" t="s">
        <v>7</v>
      </c>
      <c r="H26" s="73"/>
      <c r="I26" s="8">
        <v>400</v>
      </c>
      <c r="J26" s="2"/>
      <c r="K26" s="47"/>
      <c r="L26" s="9"/>
      <c r="M26" s="16"/>
    </row>
    <row r="27" spans="2:18" ht="15.6">
      <c r="B27" s="2"/>
      <c r="C27" s="2"/>
      <c r="D27" s="2"/>
      <c r="E27" s="18">
        <v>2425</v>
      </c>
      <c r="F27" s="25" t="s">
        <v>89</v>
      </c>
      <c r="G27" s="26" t="s">
        <v>6</v>
      </c>
      <c r="H27" s="8"/>
      <c r="I27" s="8">
        <v>50</v>
      </c>
      <c r="J27" s="2"/>
      <c r="K27" s="47"/>
      <c r="L27" s="9"/>
      <c r="M27" s="16"/>
    </row>
    <row r="28" spans="2:18" ht="15.6">
      <c r="B28" s="2"/>
      <c r="C28" s="2"/>
      <c r="D28" s="2"/>
      <c r="E28" s="18">
        <v>2751</v>
      </c>
      <c r="F28" s="25" t="s">
        <v>36</v>
      </c>
      <c r="G28" s="26" t="s">
        <v>6</v>
      </c>
      <c r="H28" s="8"/>
      <c r="I28" s="8">
        <v>81</v>
      </c>
      <c r="J28" s="2"/>
      <c r="K28" s="47"/>
      <c r="L28" s="9"/>
      <c r="M28" s="16"/>
    </row>
    <row r="29" spans="2:18" ht="15.6">
      <c r="B29" s="2"/>
      <c r="C29" s="2"/>
      <c r="D29" s="2"/>
      <c r="E29" s="18">
        <v>2739</v>
      </c>
      <c r="F29" s="25" t="s">
        <v>90</v>
      </c>
      <c r="G29" s="26" t="s">
        <v>7</v>
      </c>
      <c r="H29" s="8"/>
      <c r="I29" s="8">
        <v>650</v>
      </c>
      <c r="J29" s="2"/>
      <c r="K29" s="47"/>
      <c r="L29" s="9"/>
      <c r="M29" s="16"/>
    </row>
    <row r="30" spans="2:18" ht="15.6">
      <c r="B30" s="2"/>
      <c r="C30" s="2"/>
      <c r="D30" s="2"/>
      <c r="E30" s="35">
        <v>2756</v>
      </c>
      <c r="F30" s="25" t="s">
        <v>91</v>
      </c>
      <c r="G30" s="37" t="s">
        <v>9</v>
      </c>
      <c r="H30" s="17"/>
      <c r="I30" s="17">
        <v>250</v>
      </c>
      <c r="J30" s="2"/>
      <c r="K30" s="47"/>
      <c r="L30" s="9"/>
      <c r="M30" s="16"/>
    </row>
    <row r="31" spans="2:18" ht="15.6">
      <c r="B31" s="2"/>
      <c r="C31" s="2"/>
      <c r="D31" s="2"/>
      <c r="E31" s="18"/>
      <c r="F31" s="50"/>
      <c r="G31" s="49"/>
      <c r="H31" s="17"/>
      <c r="I31" s="17"/>
      <c r="J31" s="2"/>
      <c r="K31" s="47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3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G9:G22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G35:G41 G31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E26" sqref="E26:I30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'07'!B1+1</f>
        <v>45085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4.45">
      <c r="B6" s="23" t="s">
        <v>2</v>
      </c>
      <c r="C6" s="24">
        <f>SUM(I6:I41)</f>
        <v>0</v>
      </c>
      <c r="D6" s="2"/>
      <c r="E6" s="51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4.45">
      <c r="B7" s="23" t="s">
        <v>3</v>
      </c>
      <c r="C7" s="24">
        <f>SUM(M6:M11)</f>
        <v>0</v>
      </c>
      <c r="D7" s="2"/>
      <c r="E7" s="51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6">
      <c r="B8" s="28" t="s">
        <v>25</v>
      </c>
      <c r="C8" s="29">
        <f>SUM(C6:C7)</f>
        <v>0</v>
      </c>
      <c r="D8" s="2"/>
      <c r="E8" s="51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4.45">
      <c r="B9" s="2"/>
      <c r="C9" s="2"/>
      <c r="D9" s="2"/>
      <c r="E9" s="51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4.45">
      <c r="B10" s="88" t="s">
        <v>5</v>
      </c>
      <c r="C10" s="88"/>
      <c r="D10" s="2"/>
      <c r="E10" s="51"/>
      <c r="F10" s="8"/>
      <c r="G10" s="8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4.45">
      <c r="B11" s="30" t="s">
        <v>6</v>
      </c>
      <c r="C11" s="31">
        <f>(SUMIF($G$2:$G$31,B11,$I$2:$I$31))+(SUMIF($G$35:$G$41,B11,$H$35:$H$41))</f>
        <v>0</v>
      </c>
      <c r="D11" s="2"/>
      <c r="E11" s="51"/>
      <c r="F11" s="8"/>
      <c r="G11" s="8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4.4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51"/>
      <c r="F12" s="8"/>
      <c r="G12" s="8"/>
      <c r="H12" s="8"/>
      <c r="I12" s="8"/>
      <c r="J12" s="2"/>
      <c r="R12" s="1">
        <f>IF(vend8[[#This Row],[Nº Venda]]&gt;1,1,0)</f>
        <v>0</v>
      </c>
    </row>
    <row r="13" spans="2:18" ht="14.45">
      <c r="B13" s="30" t="s">
        <v>8</v>
      </c>
      <c r="C13" s="31">
        <f t="shared" si="0"/>
        <v>0</v>
      </c>
      <c r="D13" s="2"/>
      <c r="E13" s="51"/>
      <c r="F13" s="8"/>
      <c r="G13" s="8"/>
      <c r="H13" s="8"/>
      <c r="I13" s="8"/>
      <c r="J13" s="2"/>
      <c r="K13" s="90" t="s">
        <v>28</v>
      </c>
      <c r="L13" s="91"/>
      <c r="M13" s="92"/>
      <c r="R13" s="1">
        <f>IF(vend8[[#This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IF(vend8[[#This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6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6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87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F31" sqref="F31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'08'!B1+1</f>
        <v>45086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4609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4759.6000000000004</v>
      </c>
      <c r="D6" s="2"/>
      <c r="E6" s="18">
        <v>2778</v>
      </c>
      <c r="F6" s="25" t="s">
        <v>92</v>
      </c>
      <c r="G6" s="26" t="s">
        <v>6</v>
      </c>
      <c r="H6" s="8">
        <v>200</v>
      </c>
      <c r="I6" s="8">
        <v>200</v>
      </c>
      <c r="J6" s="2"/>
      <c r="K6" s="25"/>
      <c r="L6" s="9"/>
      <c r="M6" s="16"/>
      <c r="R6" s="1">
        <f>IF(vend9[[#This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2779</v>
      </c>
      <c r="F7" s="25" t="s">
        <v>93</v>
      </c>
      <c r="G7" s="26" t="s">
        <v>7</v>
      </c>
      <c r="H7" s="8">
        <v>1669</v>
      </c>
      <c r="I7" s="8">
        <v>1669</v>
      </c>
      <c r="J7" s="2"/>
      <c r="K7" s="25"/>
      <c r="L7" s="9"/>
      <c r="M7" s="16"/>
      <c r="R7" s="1">
        <f>IF(vend9[[#This Row],[Nº Venda]]&gt;1,1,0)</f>
        <v>1</v>
      </c>
    </row>
    <row r="8" spans="2:18" ht="15.6">
      <c r="B8" s="28" t="s">
        <v>25</v>
      </c>
      <c r="C8" s="29">
        <f>SUM(C6:C7)</f>
        <v>4759.6000000000004</v>
      </c>
      <c r="D8" s="2"/>
      <c r="E8" s="18">
        <v>2780</v>
      </c>
      <c r="F8" s="25" t="s">
        <v>90</v>
      </c>
      <c r="G8" s="26" t="s">
        <v>6</v>
      </c>
      <c r="H8" s="8">
        <v>10</v>
      </c>
      <c r="I8" s="8">
        <v>10</v>
      </c>
      <c r="J8" s="2"/>
      <c r="K8" s="25"/>
      <c r="L8" s="9"/>
      <c r="M8" s="16"/>
      <c r="R8" s="1">
        <f>IF(vend9[[#This Row],[Nº Venda]]&gt;1,1,0)</f>
        <v>1</v>
      </c>
    </row>
    <row r="9" spans="2:18" ht="15.6">
      <c r="B9" s="2"/>
      <c r="C9" s="2"/>
      <c r="D9" s="2"/>
      <c r="E9" s="18">
        <v>2781</v>
      </c>
      <c r="F9" s="25" t="s">
        <v>94</v>
      </c>
      <c r="G9" s="26" t="s">
        <v>22</v>
      </c>
      <c r="H9" s="8">
        <v>0</v>
      </c>
      <c r="I9" s="8">
        <v>0</v>
      </c>
      <c r="J9" s="2"/>
      <c r="K9" s="25"/>
      <c r="L9" s="9"/>
      <c r="M9" s="16"/>
      <c r="R9" s="1">
        <f>IF(vend9[[#This Row],[Nº Venda]]&gt;1,1,0)</f>
        <v>1</v>
      </c>
    </row>
    <row r="10" spans="2:18" ht="15.6">
      <c r="B10" s="88" t="s">
        <v>5</v>
      </c>
      <c r="C10" s="88"/>
      <c r="D10" s="2"/>
      <c r="E10" s="18">
        <v>2782</v>
      </c>
      <c r="F10" s="25" t="s">
        <v>95</v>
      </c>
      <c r="G10" s="26" t="s">
        <v>7</v>
      </c>
      <c r="H10" s="8">
        <v>800</v>
      </c>
      <c r="I10" s="8">
        <v>300</v>
      </c>
      <c r="J10" s="2"/>
      <c r="K10" s="25"/>
      <c r="L10" s="9"/>
      <c r="M10" s="16"/>
      <c r="R10" s="1">
        <f>IF(vend9[[#This Row],[Nº Venda]]&gt;1,1,0)</f>
        <v>1</v>
      </c>
    </row>
    <row r="11" spans="2:18" ht="15.6">
      <c r="B11" s="30" t="s">
        <v>6</v>
      </c>
      <c r="C11" s="31">
        <f>(SUMIF($G$2:$G$31,B11,$I$2:$I$31))+(SUMIF($G$35:$G$41,B11,$H$35:$H$41))</f>
        <v>210</v>
      </c>
      <c r="D11" s="2"/>
      <c r="E11" s="18">
        <v>2783</v>
      </c>
      <c r="F11" s="25" t="s">
        <v>96</v>
      </c>
      <c r="G11" s="26" t="s">
        <v>9</v>
      </c>
      <c r="H11" s="8">
        <v>890</v>
      </c>
      <c r="I11" s="8">
        <v>890</v>
      </c>
      <c r="J11" s="2"/>
      <c r="K11" s="27"/>
      <c r="L11" s="9"/>
      <c r="M11" s="16"/>
      <c r="O11" s="1">
        <f>IF(C16=0,0,1)</f>
        <v>1</v>
      </c>
      <c r="R11" s="1">
        <f>IF(vend9[[#This Row],[Nº Venda]]&gt;1,1,0)</f>
        <v>1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1969</v>
      </c>
      <c r="D12" s="2"/>
      <c r="E12" s="18">
        <v>2784</v>
      </c>
      <c r="F12" s="25" t="s">
        <v>97</v>
      </c>
      <c r="G12" s="26" t="s">
        <v>9</v>
      </c>
      <c r="H12" s="8">
        <v>790</v>
      </c>
      <c r="I12" s="8">
        <v>790</v>
      </c>
      <c r="J12" s="2"/>
      <c r="R12" s="1">
        <f>IF(vend9[[#This Row],[Nº Venda]]&gt;1,1,0)</f>
        <v>1</v>
      </c>
    </row>
    <row r="13" spans="2:18" ht="15.6">
      <c r="B13" s="30" t="s">
        <v>8</v>
      </c>
      <c r="C13" s="31">
        <f t="shared" si="0"/>
        <v>150.6</v>
      </c>
      <c r="D13" s="2"/>
      <c r="E13" s="18">
        <v>2785</v>
      </c>
      <c r="F13" s="25" t="s">
        <v>98</v>
      </c>
      <c r="G13" s="26" t="s">
        <v>22</v>
      </c>
      <c r="H13" s="8">
        <v>0</v>
      </c>
      <c r="I13" s="8">
        <v>0</v>
      </c>
      <c r="J13" s="2"/>
      <c r="K13" s="90" t="s">
        <v>28</v>
      </c>
      <c r="L13" s="91"/>
      <c r="M13" s="92"/>
      <c r="R13" s="1">
        <f>IF(vend9[[#This Row],[Nº Venda]]&gt;1,1,0)</f>
        <v>1</v>
      </c>
    </row>
    <row r="14" spans="2:18" ht="15.6">
      <c r="B14" s="30" t="s">
        <v>9</v>
      </c>
      <c r="C14" s="31">
        <f t="shared" si="0"/>
        <v>2180</v>
      </c>
      <c r="D14" s="2"/>
      <c r="E14" s="18">
        <v>2786</v>
      </c>
      <c r="F14" s="25" t="s">
        <v>99</v>
      </c>
      <c r="G14" s="26" t="s">
        <v>10</v>
      </c>
      <c r="H14" s="8">
        <v>250</v>
      </c>
      <c r="I14" s="8">
        <v>250</v>
      </c>
      <c r="J14" s="2"/>
      <c r="K14" s="14" t="s">
        <v>29</v>
      </c>
      <c r="L14" s="6" t="s">
        <v>30</v>
      </c>
      <c r="M14" s="15" t="s">
        <v>31</v>
      </c>
      <c r="R14" s="1">
        <f>IF(vend9[[#This Row],[Nº Venda]]&gt;1,1,0)</f>
        <v>1</v>
      </c>
    </row>
    <row r="15" spans="2:18" ht="15.6">
      <c r="B15" s="30" t="s">
        <v>10</v>
      </c>
      <c r="C15" s="31">
        <f t="shared" si="0"/>
        <v>250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6">
      <c r="B16" s="28" t="s">
        <v>11</v>
      </c>
      <c r="C16" s="32">
        <f>SUM(C11:C15)</f>
        <v>4759.6000000000004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6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4609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2566</v>
      </c>
      <c r="F26" s="25" t="s">
        <v>100</v>
      </c>
      <c r="G26" s="26" t="s">
        <v>8</v>
      </c>
      <c r="H26" s="8"/>
      <c r="I26" s="8">
        <v>150.6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2759</v>
      </c>
      <c r="F27" s="25" t="s">
        <v>45</v>
      </c>
      <c r="G27" s="26" t="s">
        <v>9</v>
      </c>
      <c r="H27" s="8"/>
      <c r="I27" s="8">
        <v>500</v>
      </c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48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9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G15:G22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G35:G41 G28:G31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2"/>
  <sheetViews>
    <sheetView showGridLines="0" zoomScale="80" zoomScaleNormal="80" workbookViewId="0">
      <selection activeCell="E31" sqref="E31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'09'!B1+1</f>
        <v>45087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4435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SUM(I6:I42)</f>
        <v>5693</v>
      </c>
      <c r="D6" s="2"/>
      <c r="E6" s="18">
        <v>2787</v>
      </c>
      <c r="F6" s="25" t="s">
        <v>101</v>
      </c>
      <c r="G6" s="26" t="s">
        <v>7</v>
      </c>
      <c r="H6" s="8">
        <v>950</v>
      </c>
      <c r="I6" s="8">
        <v>950</v>
      </c>
      <c r="J6" s="2"/>
      <c r="K6" s="25"/>
      <c r="L6" s="9"/>
      <c r="M6" s="16"/>
      <c r="R6" s="1">
        <f>IF(vend10[[#This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2788</v>
      </c>
      <c r="F7" s="25" t="s">
        <v>102</v>
      </c>
      <c r="G7" s="26" t="s">
        <v>10</v>
      </c>
      <c r="H7" s="8">
        <v>450</v>
      </c>
      <c r="I7" s="8">
        <v>10</v>
      </c>
      <c r="J7" s="2"/>
      <c r="K7" s="25"/>
      <c r="L7" s="9"/>
      <c r="M7" s="16"/>
      <c r="R7" s="1">
        <f>IF(vend10[[#This Row],[Nº Venda]]&gt;1,1,0)</f>
        <v>1</v>
      </c>
    </row>
    <row r="8" spans="2:18" ht="15.6">
      <c r="B8" s="28" t="s">
        <v>25</v>
      </c>
      <c r="C8" s="29">
        <f>SUM(C6:C7)</f>
        <v>5693</v>
      </c>
      <c r="D8" s="2"/>
      <c r="E8" s="18">
        <v>2789</v>
      </c>
      <c r="F8" s="25" t="s">
        <v>103</v>
      </c>
      <c r="G8" s="26" t="s">
        <v>10</v>
      </c>
      <c r="H8" s="8">
        <v>2200</v>
      </c>
      <c r="I8" s="8">
        <v>1000</v>
      </c>
      <c r="J8" s="2"/>
      <c r="K8" s="25"/>
      <c r="L8" s="9"/>
      <c r="M8" s="16"/>
      <c r="R8" s="1">
        <f>IF(vend10[[#This Row],[Nº Venda]]&gt;1,1,0)</f>
        <v>1</v>
      </c>
    </row>
    <row r="9" spans="2:18" ht="15.6">
      <c r="B9" s="2"/>
      <c r="C9" s="2"/>
      <c r="D9" s="2"/>
      <c r="E9" s="18">
        <v>2790</v>
      </c>
      <c r="F9" s="25" t="s">
        <v>104</v>
      </c>
      <c r="G9" s="26" t="s">
        <v>22</v>
      </c>
      <c r="H9" s="8">
        <v>0</v>
      </c>
      <c r="I9" s="8">
        <v>0</v>
      </c>
      <c r="J9" s="2"/>
      <c r="K9" s="25"/>
      <c r="L9" s="9"/>
      <c r="M9" s="16"/>
      <c r="R9" s="1">
        <f>IF(vend10[[#This Row],[Nº Venda]]&gt;1,1,0)</f>
        <v>1</v>
      </c>
    </row>
    <row r="10" spans="2:18" ht="15.6">
      <c r="B10" s="88" t="s">
        <v>5</v>
      </c>
      <c r="C10" s="88"/>
      <c r="D10" s="2"/>
      <c r="E10" s="18">
        <v>2791</v>
      </c>
      <c r="F10" s="74" t="s">
        <v>105</v>
      </c>
      <c r="G10" s="37" t="s">
        <v>7</v>
      </c>
      <c r="H10" s="17">
        <v>35</v>
      </c>
      <c r="I10" s="17">
        <v>35</v>
      </c>
      <c r="J10" s="2"/>
      <c r="K10" s="25"/>
      <c r="L10" s="9"/>
      <c r="M10" s="16"/>
      <c r="R10" s="1">
        <f>IF(vend10[[#This Row],[Nº Venda]]&gt;1,1,0)</f>
        <v>1</v>
      </c>
    </row>
    <row r="11" spans="2:18" ht="15.6">
      <c r="B11" s="30" t="s">
        <v>6</v>
      </c>
      <c r="C11" s="31">
        <f>(SUMIF($G$2:$G$31,B11,$I$2:$I$31))+(SUMIF($G$36:$G$42,B11,$H$36:$H$42))</f>
        <v>320</v>
      </c>
      <c r="D11" s="2"/>
      <c r="E11" s="18">
        <v>2792</v>
      </c>
      <c r="F11" s="25" t="s">
        <v>106</v>
      </c>
      <c r="G11" s="26" t="s">
        <v>9</v>
      </c>
      <c r="H11" s="8">
        <v>400</v>
      </c>
      <c r="I11" s="8">
        <v>400</v>
      </c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1</v>
      </c>
    </row>
    <row r="12" spans="2:18" ht="15.6">
      <c r="B12" s="30" t="s">
        <v>7</v>
      </c>
      <c r="C12" s="31">
        <f>(SUMIF($G$2:$G$31,B12,$I$2:$I$31))+(SUMIF($G$36:$G$42,B12,$H$36:$H$42))</f>
        <v>1525</v>
      </c>
      <c r="D12" s="2"/>
      <c r="E12" s="18">
        <v>2793</v>
      </c>
      <c r="F12" s="25" t="s">
        <v>107</v>
      </c>
      <c r="G12" s="26" t="s">
        <v>6</v>
      </c>
      <c r="H12" s="8">
        <v>400</v>
      </c>
      <c r="I12" s="8">
        <v>120</v>
      </c>
      <c r="J12" s="2"/>
      <c r="R12" s="1">
        <f>IF(vend10[[#This Row],[Nº Venda]]&gt;1,1,0)</f>
        <v>1</v>
      </c>
    </row>
    <row r="13" spans="2:18" ht="15.6">
      <c r="B13" s="30" t="s">
        <v>8</v>
      </c>
      <c r="C13" s="31">
        <f>(SUMIF($G$2:$G$31,B13,$I$2:$I$31))+(SUMIF($G$36:$G$42,B13,$H$36:$H$42))</f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IF(vend10[[#This Row],[Nº Venda]]&gt;1,1,0)</f>
        <v>0</v>
      </c>
    </row>
    <row r="14" spans="2:18" ht="15.6">
      <c r="B14" s="30" t="s">
        <v>9</v>
      </c>
      <c r="C14" s="31">
        <f>(SUMIF($G$2:$G$31,B14,$I$2:$I$31))+(SUMIF($G$36:$G$42,B14,$H$36:$H$42))</f>
        <v>1950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IF(vend10[[#This Row],[Nº Venda]]&gt;1,1,0)</f>
        <v>0</v>
      </c>
    </row>
    <row r="15" spans="2:18" ht="15.6">
      <c r="B15" s="30" t="s">
        <v>10</v>
      </c>
      <c r="C15" s="31">
        <f>(SUMIF($G$2:$G$31,B15,$I$2:$I$31))+(SUMIF($G$36:$G$42,B15,$H$36:$H$42))</f>
        <v>1810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6">
      <c r="B16" s="28" t="s">
        <v>11</v>
      </c>
      <c r="C16" s="32">
        <f>SUM(C11:C15)</f>
        <v>5605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6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4435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2735</v>
      </c>
      <c r="F26" s="25" t="s">
        <v>108</v>
      </c>
      <c r="G26" s="26" t="s">
        <v>9</v>
      </c>
      <c r="H26" s="73"/>
      <c r="I26" s="8">
        <v>700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2735</v>
      </c>
      <c r="F27" s="25" t="s">
        <v>108</v>
      </c>
      <c r="G27" s="26" t="s">
        <v>6</v>
      </c>
      <c r="H27" s="8"/>
      <c r="I27" s="8">
        <v>200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2757</v>
      </c>
      <c r="F28" s="25" t="s">
        <v>27</v>
      </c>
      <c r="G28" s="26" t="s">
        <v>9</v>
      </c>
      <c r="H28" s="8"/>
      <c r="I28" s="8">
        <v>850</v>
      </c>
      <c r="J28" s="2"/>
      <c r="K28" s="25"/>
      <c r="L28" s="9"/>
      <c r="M28" s="16"/>
    </row>
    <row r="29" spans="2:18" ht="15.6">
      <c r="B29" s="2"/>
      <c r="C29" s="2"/>
      <c r="D29" s="2"/>
      <c r="E29" s="18">
        <v>2742</v>
      </c>
      <c r="F29" s="25" t="s">
        <v>109</v>
      </c>
      <c r="G29" s="26" t="s">
        <v>10</v>
      </c>
      <c r="H29" s="8"/>
      <c r="I29" s="8">
        <v>800</v>
      </c>
      <c r="J29" s="2"/>
      <c r="K29" s="25"/>
      <c r="L29" s="9"/>
      <c r="M29" s="16"/>
    </row>
    <row r="30" spans="2:18" ht="15.6">
      <c r="B30" s="2"/>
      <c r="C30" s="2"/>
      <c r="D30" s="2"/>
      <c r="E30" s="35">
        <v>2671</v>
      </c>
      <c r="F30" s="36" t="s">
        <v>110</v>
      </c>
      <c r="G30" s="37" t="s">
        <v>7</v>
      </c>
      <c r="H30" s="17"/>
      <c r="I30" s="17">
        <v>490</v>
      </c>
      <c r="J30" s="2"/>
      <c r="K30" s="25"/>
      <c r="L30" s="9"/>
      <c r="M30" s="16"/>
    </row>
    <row r="31" spans="2:18" ht="15.6">
      <c r="B31" s="2"/>
      <c r="C31" s="2"/>
      <c r="D31" s="2"/>
      <c r="E31" s="18">
        <v>2652</v>
      </c>
      <c r="F31" s="74" t="s">
        <v>111</v>
      </c>
      <c r="G31" s="37" t="s">
        <v>7</v>
      </c>
      <c r="H31" s="17"/>
      <c r="I31" s="17">
        <v>50</v>
      </c>
      <c r="J31" s="2"/>
      <c r="K31" s="25"/>
      <c r="L31" s="9"/>
      <c r="M31" s="16"/>
    </row>
    <row r="32" spans="2:18" ht="15.6">
      <c r="B32" s="2"/>
      <c r="C32" s="2"/>
      <c r="E32" s="18">
        <v>2639</v>
      </c>
      <c r="F32" s="74" t="s">
        <v>112</v>
      </c>
      <c r="G32" s="37" t="s">
        <v>6</v>
      </c>
      <c r="H32" s="17"/>
      <c r="I32" s="17">
        <v>88</v>
      </c>
    </row>
    <row r="33" spans="2:18" ht="14.45">
      <c r="B33" s="2"/>
      <c r="C33" s="2"/>
      <c r="E33" s="33"/>
      <c r="K33" s="90" t="s">
        <v>12</v>
      </c>
      <c r="L33" s="91"/>
      <c r="M33" s="92"/>
    </row>
    <row r="34" spans="2:18" ht="14.45">
      <c r="E34" s="89" t="s">
        <v>37</v>
      </c>
      <c r="F34" s="89"/>
      <c r="G34" s="89"/>
      <c r="H34" s="89"/>
      <c r="I34" s="89"/>
      <c r="K34" s="14" t="s">
        <v>29</v>
      </c>
      <c r="L34" s="6" t="s">
        <v>40</v>
      </c>
      <c r="M34" s="15" t="s">
        <v>41</v>
      </c>
    </row>
    <row r="35" spans="2:18" ht="14.45">
      <c r="E35" s="10" t="s">
        <v>29</v>
      </c>
      <c r="F35" s="10" t="s">
        <v>15</v>
      </c>
      <c r="G35" s="11" t="s">
        <v>16</v>
      </c>
      <c r="H35" s="12" t="s">
        <v>38</v>
      </c>
      <c r="I35" s="13" t="s">
        <v>39</v>
      </c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25"/>
      <c r="G39" s="26"/>
      <c r="H39" s="8"/>
      <c r="I39" s="8"/>
      <c r="K39" s="25"/>
      <c r="L39" s="42"/>
      <c r="M39" s="16"/>
    </row>
    <row r="40" spans="2:18" ht="15.6">
      <c r="E40" s="18"/>
      <c r="F40" s="39"/>
      <c r="G40" s="26"/>
      <c r="H40" s="8"/>
      <c r="I40" s="8"/>
      <c r="K40" s="36"/>
      <c r="L40" s="43"/>
      <c r="M40" s="40"/>
      <c r="Q40" s="1" t="s">
        <v>42</v>
      </c>
      <c r="R40" s="1">
        <f>SUM(R6:R21)</f>
        <v>7</v>
      </c>
    </row>
    <row r="41" spans="2:18" ht="15.6">
      <c r="E41" s="35"/>
      <c r="F41" s="36"/>
      <c r="G41" s="37"/>
      <c r="H41" s="17"/>
      <c r="I41" s="8"/>
      <c r="K41" s="45"/>
      <c r="L41" s="42"/>
      <c r="M41" s="40"/>
    </row>
    <row r="42" spans="2:18" ht="15.6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G13:G22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A15" sqref="A15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'10'!B1+1</f>
        <v>45088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6">
      <c r="B8" s="28" t="s">
        <v>25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6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IF(vend11[[#This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IF(vend11[[#This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/>
      <c r="L15" s="9"/>
      <c r="M15" s="16"/>
      <c r="R15" s="1">
        <f>IF(vend11[[#This Row],[Nº Venda]]&gt;1,1,0)</f>
        <v>0</v>
      </c>
    </row>
    <row r="16" spans="2:18" ht="15.6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18"/>
      <c r="L16" s="9"/>
      <c r="M16" s="16"/>
      <c r="R16" s="1">
        <f>IF(vend11[[#This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6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48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E26" sqref="E26:I30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'11'!B1+1</f>
        <v>45089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2150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3875</v>
      </c>
      <c r="D6" s="2"/>
      <c r="E6" s="18">
        <v>2794</v>
      </c>
      <c r="F6" s="25" t="s">
        <v>113</v>
      </c>
      <c r="G6" s="26" t="s">
        <v>9</v>
      </c>
      <c r="H6" s="8">
        <v>550</v>
      </c>
      <c r="I6" s="8">
        <v>550</v>
      </c>
      <c r="J6" s="2"/>
      <c r="K6" s="25"/>
      <c r="L6" s="9"/>
      <c r="M6" s="16"/>
      <c r="R6" s="1">
        <f>IF(vend12[[#This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2795</v>
      </c>
      <c r="F7" s="25" t="s">
        <v>114</v>
      </c>
      <c r="G7" s="26" t="s">
        <v>7</v>
      </c>
      <c r="H7" s="8">
        <v>400</v>
      </c>
      <c r="I7" s="8">
        <v>200</v>
      </c>
      <c r="J7" s="2"/>
      <c r="K7" s="25"/>
      <c r="L7" s="9"/>
      <c r="M7" s="16"/>
      <c r="R7" s="1">
        <f>IF(vend12[[#This Row],[Nº Venda]]&gt;1,1,0)</f>
        <v>1</v>
      </c>
    </row>
    <row r="8" spans="2:18" ht="15.6">
      <c r="B8" s="28" t="s">
        <v>25</v>
      </c>
      <c r="C8" s="29">
        <f>SUM(C6:C7)</f>
        <v>3875</v>
      </c>
      <c r="D8" s="2"/>
      <c r="E8" s="18">
        <v>2796</v>
      </c>
      <c r="F8" s="25" t="s">
        <v>115</v>
      </c>
      <c r="G8" s="26" t="s">
        <v>9</v>
      </c>
      <c r="H8" s="8">
        <v>200</v>
      </c>
      <c r="I8" s="8">
        <v>200</v>
      </c>
      <c r="J8" s="2"/>
      <c r="K8" s="25"/>
      <c r="L8" s="9"/>
      <c r="M8" s="16"/>
      <c r="R8" s="1">
        <f>IF(vend12[[#This Row],[Nº Venda]]&gt;1,1,0)</f>
        <v>1</v>
      </c>
    </row>
    <row r="9" spans="2:18" ht="15.6">
      <c r="B9" s="2"/>
      <c r="C9" s="2"/>
      <c r="D9" s="2"/>
      <c r="E9" s="18">
        <v>2797</v>
      </c>
      <c r="F9" s="25" t="s">
        <v>116</v>
      </c>
      <c r="G9" s="26" t="s">
        <v>7</v>
      </c>
      <c r="H9" s="8">
        <v>400</v>
      </c>
      <c r="I9" s="8">
        <v>400</v>
      </c>
      <c r="J9" s="2"/>
      <c r="K9" s="25"/>
      <c r="L9" s="9"/>
      <c r="M9" s="16"/>
      <c r="R9" s="1">
        <f>IF(vend12[[#This Row],[Nº Venda]]&gt;1,1,0)</f>
        <v>1</v>
      </c>
    </row>
    <row r="10" spans="2:18" ht="15.6">
      <c r="B10" s="88" t="s">
        <v>5</v>
      </c>
      <c r="C10" s="88"/>
      <c r="D10" s="2"/>
      <c r="E10" s="18">
        <v>2798</v>
      </c>
      <c r="F10" s="25" t="s">
        <v>117</v>
      </c>
      <c r="G10" s="26" t="s">
        <v>9</v>
      </c>
      <c r="H10" s="8">
        <v>600</v>
      </c>
      <c r="I10" s="8">
        <v>600</v>
      </c>
      <c r="J10" s="2"/>
      <c r="K10" s="25"/>
      <c r="L10" s="9"/>
      <c r="M10" s="16"/>
      <c r="R10" s="1">
        <f>IF(vend12[[#This Row],[Nº Venda]]&gt;1,1,0)</f>
        <v>1</v>
      </c>
    </row>
    <row r="11" spans="2:18" ht="15.6">
      <c r="B11" s="30" t="s">
        <v>6</v>
      </c>
      <c r="C11" s="31">
        <f>(SUMIF($G$2:$G$31,B11,$I$2:$I$31))+(SUMIF($G$35:$G$41,B11,$H$35:$H$41))</f>
        <v>1150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725</v>
      </c>
      <c r="D12" s="2"/>
      <c r="E12" s="18"/>
      <c r="F12" s="25"/>
      <c r="G12" s="48"/>
      <c r="H12" s="8"/>
      <c r="I12" s="8"/>
      <c r="J12" s="2"/>
      <c r="R12" s="1">
        <f>IF(vend12[[#This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48"/>
      <c r="H13" s="8"/>
      <c r="I13" s="8"/>
      <c r="J13" s="2"/>
      <c r="K13" s="90" t="s">
        <v>28</v>
      </c>
      <c r="L13" s="91"/>
      <c r="M13" s="92"/>
      <c r="R13" s="1">
        <f>IF(vend12[[#This Row],[Nº Venda]]&gt;1,1,0)</f>
        <v>0</v>
      </c>
    </row>
    <row r="14" spans="2:18" ht="15.6">
      <c r="B14" s="30" t="s">
        <v>9</v>
      </c>
      <c r="C14" s="31">
        <f t="shared" si="0"/>
        <v>1350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IF(vend12[[#This Row],[Nº Venda]]&gt;1,1,0)</f>
        <v>0</v>
      </c>
    </row>
    <row r="15" spans="2:18" ht="15.6">
      <c r="B15" s="30" t="s">
        <v>10</v>
      </c>
      <c r="C15" s="31">
        <f t="shared" si="0"/>
        <v>650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6">
      <c r="B16" s="28" t="s">
        <v>11</v>
      </c>
      <c r="C16" s="32">
        <f>SUM(C11:C15)</f>
        <v>3875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6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2150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2761</v>
      </c>
      <c r="F26" s="25" t="s">
        <v>52</v>
      </c>
      <c r="G26" s="26" t="s">
        <v>6</v>
      </c>
      <c r="H26" s="8"/>
      <c r="I26" s="8">
        <v>200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2758</v>
      </c>
      <c r="F27" s="25" t="s">
        <v>43</v>
      </c>
      <c r="G27" s="26" t="s">
        <v>6</v>
      </c>
      <c r="H27" s="8"/>
      <c r="I27" s="8">
        <v>500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2539</v>
      </c>
      <c r="F28" s="25" t="s">
        <v>118</v>
      </c>
      <c r="G28" s="26" t="s">
        <v>7</v>
      </c>
      <c r="H28" s="8"/>
      <c r="I28" s="8">
        <v>125</v>
      </c>
      <c r="J28" s="2"/>
      <c r="K28" s="25"/>
      <c r="L28" s="9"/>
      <c r="M28" s="16"/>
    </row>
    <row r="29" spans="2:18" ht="15.6">
      <c r="B29" s="2"/>
      <c r="C29" s="2"/>
      <c r="D29" s="2"/>
      <c r="E29" s="18">
        <v>2734</v>
      </c>
      <c r="F29" s="25" t="s">
        <v>119</v>
      </c>
      <c r="G29" s="26" t="s">
        <v>6</v>
      </c>
      <c r="H29" s="8"/>
      <c r="I29" s="8">
        <v>450</v>
      </c>
      <c r="J29" s="2"/>
      <c r="K29" s="25"/>
      <c r="L29" s="9"/>
      <c r="M29" s="16"/>
    </row>
    <row r="30" spans="2:18" ht="15.6">
      <c r="B30" s="2"/>
      <c r="C30" s="2"/>
      <c r="D30" s="2"/>
      <c r="E30" s="35">
        <v>2672</v>
      </c>
      <c r="F30" s="36" t="s">
        <v>120</v>
      </c>
      <c r="G30" s="37" t="s">
        <v>10</v>
      </c>
      <c r="H30" s="17"/>
      <c r="I30" s="17">
        <v>650</v>
      </c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5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G35:G41 G31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G11:G22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E26" sqref="E26:I27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'12'!B1+1</f>
        <v>45090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3500</v>
      </c>
      <c r="D6" s="2"/>
      <c r="E6" s="75">
        <v>2799</v>
      </c>
      <c r="F6" s="76" t="s">
        <v>121</v>
      </c>
      <c r="G6" s="76" t="s">
        <v>8</v>
      </c>
      <c r="H6" s="77">
        <v>500</v>
      </c>
      <c r="I6" s="77">
        <v>430</v>
      </c>
      <c r="J6" s="2"/>
      <c r="K6" s="25"/>
      <c r="L6" s="9"/>
      <c r="M6" s="16"/>
      <c r="R6" s="1">
        <f>IF(vend13[[#This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75">
        <v>2799</v>
      </c>
      <c r="F7" s="76" t="s">
        <v>121</v>
      </c>
      <c r="G7" s="76" t="s">
        <v>6</v>
      </c>
      <c r="H7" s="77">
        <v>0</v>
      </c>
      <c r="I7" s="77">
        <v>70</v>
      </c>
      <c r="J7" s="2"/>
      <c r="K7" s="25"/>
      <c r="L7" s="9"/>
      <c r="M7" s="16"/>
      <c r="R7" s="1">
        <f>IF(vend13[[#This Row],[Nº Venda]]&gt;1,1,0)</f>
        <v>1</v>
      </c>
    </row>
    <row r="8" spans="2:18" ht="15.6">
      <c r="B8" s="28" t="s">
        <v>25</v>
      </c>
      <c r="C8" s="29">
        <f>SUM(C6:C7)</f>
        <v>3500</v>
      </c>
      <c r="D8" s="2"/>
      <c r="E8" s="78"/>
      <c r="F8" s="76"/>
      <c r="G8" s="76"/>
      <c r="H8" s="77"/>
      <c r="I8" s="77"/>
      <c r="J8" s="2"/>
      <c r="K8" s="25"/>
      <c r="L8" s="9"/>
      <c r="M8" s="16"/>
      <c r="R8" s="1">
        <f>IF(vend13[[#This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6">
      <c r="B13" s="30" t="s">
        <v>8</v>
      </c>
      <c r="C13" s="31">
        <f t="shared" si="0"/>
        <v>430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IF(vend13[[#This Row],[Nº Venda]]&gt;1,1,0)</f>
        <v>0</v>
      </c>
    </row>
    <row r="14" spans="2:18" ht="15.6">
      <c r="B14" s="30" t="s">
        <v>9</v>
      </c>
      <c r="C14" s="31">
        <f t="shared" si="0"/>
        <v>3000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IF(vend13[[#This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6">
      <c r="B16" s="28" t="s">
        <v>11</v>
      </c>
      <c r="C16" s="32">
        <f>SUM(C11:C15)</f>
        <v>3500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6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2741</v>
      </c>
      <c r="F26" s="25" t="s">
        <v>122</v>
      </c>
      <c r="G26" s="26" t="s">
        <v>9</v>
      </c>
      <c r="H26" s="8"/>
      <c r="I26" s="8">
        <v>3000</v>
      </c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2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G9:G22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G35:G41 G28:G31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E25" sqref="E25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'13'!B1+1</f>
        <v>45091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800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1585</v>
      </c>
      <c r="D6" s="2"/>
      <c r="E6" s="18">
        <v>2800</v>
      </c>
      <c r="F6" s="25" t="s">
        <v>123</v>
      </c>
      <c r="G6" s="26" t="s">
        <v>7</v>
      </c>
      <c r="H6" s="52">
        <v>300</v>
      </c>
      <c r="I6" s="8">
        <v>50</v>
      </c>
      <c r="J6" s="2"/>
      <c r="K6" s="25"/>
      <c r="L6" s="9"/>
      <c r="M6" s="16"/>
      <c r="R6" s="1">
        <f>IF(vend14[[#This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2801</v>
      </c>
      <c r="F7" s="25" t="s">
        <v>124</v>
      </c>
      <c r="G7" s="72" t="s">
        <v>7</v>
      </c>
      <c r="H7" s="52">
        <v>500</v>
      </c>
      <c r="I7" s="52">
        <v>500</v>
      </c>
      <c r="J7" s="2"/>
      <c r="K7" s="25"/>
      <c r="L7" s="9"/>
      <c r="M7" s="16"/>
      <c r="R7" s="1">
        <f>IF(vend14[[#This Row],[Nº Venda]]&gt;1,1,0)</f>
        <v>1</v>
      </c>
    </row>
    <row r="8" spans="2:18" ht="15.6">
      <c r="B8" s="28" t="s">
        <v>25</v>
      </c>
      <c r="C8" s="29">
        <f>SUM(C6:C7)</f>
        <v>1585</v>
      </c>
      <c r="D8" s="2"/>
      <c r="E8" s="18"/>
      <c r="F8" s="64"/>
      <c r="G8" s="64"/>
      <c r="H8" s="52"/>
      <c r="I8" s="52"/>
      <c r="J8" s="2"/>
      <c r="K8" s="25"/>
      <c r="L8" s="9"/>
      <c r="M8" s="16"/>
      <c r="R8" s="1">
        <f>IF(vend14[[#This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825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IF(vend14[[#This Row],[Nº Venda]]&gt;1,1,0)</f>
        <v>0</v>
      </c>
    </row>
    <row r="14" spans="2:18" ht="15.6">
      <c r="B14" s="30" t="s">
        <v>9</v>
      </c>
      <c r="C14" s="31">
        <f t="shared" si="0"/>
        <v>690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IF(vend14[[#This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6">
      <c r="B16" s="28" t="s">
        <v>11</v>
      </c>
      <c r="C16" s="32">
        <f>SUM(C11:C15)</f>
        <v>1585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6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800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2665</v>
      </c>
      <c r="F26" s="72" t="s">
        <v>125</v>
      </c>
      <c r="G26" s="26" t="s">
        <v>6</v>
      </c>
      <c r="H26" s="8"/>
      <c r="I26" s="8">
        <v>70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2764</v>
      </c>
      <c r="F27" s="72" t="s">
        <v>126</v>
      </c>
      <c r="G27" s="26" t="s">
        <v>9</v>
      </c>
      <c r="H27" s="8"/>
      <c r="I27" s="8">
        <v>690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2764</v>
      </c>
      <c r="F28" s="72" t="s">
        <v>126</v>
      </c>
      <c r="G28" s="26" t="s">
        <v>7</v>
      </c>
      <c r="H28" s="8"/>
      <c r="I28" s="8">
        <v>200</v>
      </c>
      <c r="J28" s="2"/>
      <c r="K28" s="25"/>
      <c r="L28" s="9"/>
      <c r="M28" s="16"/>
    </row>
    <row r="29" spans="2:18" ht="15.6">
      <c r="B29" s="2"/>
      <c r="C29" s="2"/>
      <c r="D29" s="2"/>
      <c r="E29" s="18">
        <v>2587</v>
      </c>
      <c r="F29" s="25" t="s">
        <v>127</v>
      </c>
      <c r="G29" s="26" t="s">
        <v>7</v>
      </c>
      <c r="H29" s="8"/>
      <c r="I29" s="8">
        <v>75</v>
      </c>
      <c r="J29" s="2"/>
      <c r="K29" s="25"/>
      <c r="L29" s="9"/>
      <c r="M29" s="16"/>
    </row>
    <row r="30" spans="2:18" ht="15.6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2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G9:G22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G35:G41 G31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2"/>
  <sheetViews>
    <sheetView showGridLines="0" zoomScale="80" zoomScaleNormal="80" workbookViewId="0">
      <selection activeCell="E26" sqref="E26:I29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45092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1510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SUM(I6:I42)</f>
        <v>930.2</v>
      </c>
      <c r="D6" s="2"/>
      <c r="E6" s="54">
        <v>2802</v>
      </c>
      <c r="F6" s="55" t="s">
        <v>128</v>
      </c>
      <c r="G6" s="56" t="s">
        <v>7</v>
      </c>
      <c r="H6" s="79">
        <v>10</v>
      </c>
      <c r="I6" s="57">
        <v>10</v>
      </c>
      <c r="J6" s="2"/>
      <c r="K6" s="25"/>
      <c r="L6" s="9"/>
      <c r="M6" s="16"/>
      <c r="R6" s="1">
        <f>IF(vend15[[#This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2803</v>
      </c>
      <c r="F7" s="25" t="s">
        <v>129</v>
      </c>
      <c r="G7" s="72" t="s">
        <v>9</v>
      </c>
      <c r="H7" s="52">
        <v>480</v>
      </c>
      <c r="I7" s="52">
        <v>480</v>
      </c>
      <c r="J7" s="2"/>
      <c r="K7" s="25"/>
      <c r="L7" s="9"/>
      <c r="M7" s="16"/>
      <c r="R7" s="1">
        <f>IF(vend15[[#This Row],[Nº Venda]]&gt;1,1,0)</f>
        <v>1</v>
      </c>
    </row>
    <row r="8" spans="2:18" ht="15.6">
      <c r="B8" s="28" t="s">
        <v>25</v>
      </c>
      <c r="C8" s="29">
        <f>SUM(C6:C7)</f>
        <v>930.2</v>
      </c>
      <c r="D8" s="2"/>
      <c r="E8" s="18">
        <v>2804</v>
      </c>
      <c r="F8" s="72" t="s">
        <v>48</v>
      </c>
      <c r="G8" s="72" t="s">
        <v>6</v>
      </c>
      <c r="H8" s="52">
        <v>20</v>
      </c>
      <c r="I8" s="52">
        <v>20</v>
      </c>
      <c r="J8" s="2"/>
      <c r="K8" s="25"/>
      <c r="L8" s="9"/>
      <c r="M8" s="16"/>
      <c r="R8" s="1">
        <f>IF(vend15[[#This Row],[Nº Venda]]&gt;1,1,0)</f>
        <v>1</v>
      </c>
    </row>
    <row r="9" spans="2:18" ht="15.6">
      <c r="B9" s="2"/>
      <c r="C9" s="2"/>
      <c r="D9" s="2"/>
      <c r="E9" s="18">
        <v>2805</v>
      </c>
      <c r="F9" s="72" t="s">
        <v>130</v>
      </c>
      <c r="G9" s="72" t="s">
        <v>7</v>
      </c>
      <c r="H9" s="52">
        <v>1000</v>
      </c>
      <c r="I9" s="52">
        <v>50</v>
      </c>
      <c r="J9" s="2"/>
      <c r="K9" s="25"/>
      <c r="L9" s="9"/>
      <c r="M9" s="16"/>
      <c r="R9" s="1">
        <f>IF(vend15[[#This Row],[Nº Venda]]&gt;1,1,0)</f>
        <v>1</v>
      </c>
    </row>
    <row r="10" spans="2:18" ht="15.6">
      <c r="B10" s="88" t="s">
        <v>5</v>
      </c>
      <c r="C10" s="88"/>
      <c r="D10" s="2"/>
      <c r="E10" s="18"/>
      <c r="F10" s="64"/>
      <c r="G10" s="64"/>
      <c r="H10" s="52"/>
      <c r="I10" s="52"/>
      <c r="J10" s="2"/>
      <c r="K10" s="25"/>
      <c r="L10" s="9"/>
      <c r="M10" s="16"/>
      <c r="R10" s="1">
        <f>IF(vend15[[#This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240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IF(vend15[[#This Row],[Nº Venda]]&gt;1,1,0)</f>
        <v>0</v>
      </c>
    </row>
    <row r="14" spans="2:18" ht="15.6">
      <c r="B14" s="30" t="s">
        <v>9</v>
      </c>
      <c r="C14" s="31">
        <f t="shared" si="0"/>
        <v>480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IF(vend15[[#This Row],[Nº Venda]]&gt;1,1,0)</f>
        <v>0</v>
      </c>
    </row>
    <row r="15" spans="2:18" ht="15.6">
      <c r="B15" s="30" t="s">
        <v>10</v>
      </c>
      <c r="C15" s="31">
        <f t="shared" si="0"/>
        <v>190.2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6">
      <c r="B16" s="28" t="s">
        <v>11</v>
      </c>
      <c r="C16" s="32">
        <f>SUM(C11:C15)</f>
        <v>930.2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6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1510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2603</v>
      </c>
      <c r="F26" s="25" t="s">
        <v>131</v>
      </c>
      <c r="G26" s="26" t="s">
        <v>10</v>
      </c>
      <c r="H26" s="8"/>
      <c r="I26" s="8">
        <v>190.2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2751</v>
      </c>
      <c r="F27" s="25" t="s">
        <v>36</v>
      </c>
      <c r="G27" s="26" t="s">
        <v>7</v>
      </c>
      <c r="H27" s="8"/>
      <c r="I27" s="8">
        <v>80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2775</v>
      </c>
      <c r="F28" s="25" t="s">
        <v>80</v>
      </c>
      <c r="G28" s="26" t="s">
        <v>7</v>
      </c>
      <c r="H28" s="8"/>
      <c r="I28" s="8">
        <v>100</v>
      </c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50"/>
      <c r="G30" s="48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49"/>
      <c r="H31" s="17"/>
      <c r="I31" s="17"/>
      <c r="J31" s="2"/>
      <c r="K31" s="25"/>
      <c r="L31" s="9"/>
      <c r="M31" s="16"/>
    </row>
    <row r="32" spans="2:18" ht="15.6">
      <c r="B32" s="2"/>
      <c r="C32" s="2"/>
      <c r="E32" s="18"/>
      <c r="F32" s="25"/>
      <c r="G32" s="26"/>
      <c r="H32" s="8"/>
      <c r="I32" s="8"/>
    </row>
    <row r="33" spans="2:18" ht="14.45">
      <c r="B33" s="2"/>
      <c r="C33" s="2"/>
      <c r="E33" s="33"/>
      <c r="K33" s="90" t="s">
        <v>12</v>
      </c>
      <c r="L33" s="91"/>
      <c r="M33" s="92"/>
    </row>
    <row r="34" spans="2:18" ht="14.45">
      <c r="E34" s="89"/>
      <c r="F34" s="89"/>
      <c r="G34" s="89"/>
      <c r="H34" s="89"/>
      <c r="I34" s="89"/>
      <c r="K34" s="14" t="s">
        <v>29</v>
      </c>
      <c r="L34" s="6" t="s">
        <v>40</v>
      </c>
      <c r="M34" s="15" t="s">
        <v>41</v>
      </c>
    </row>
    <row r="35" spans="2:18" ht="14.45">
      <c r="E35" s="10"/>
      <c r="F35" s="10"/>
      <c r="G35" s="11"/>
      <c r="H35" s="12"/>
      <c r="I35" s="13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25"/>
      <c r="G39" s="26"/>
      <c r="H39" s="8"/>
      <c r="I39" s="8"/>
      <c r="K39" s="25"/>
      <c r="L39" s="42"/>
      <c r="M39" s="16"/>
    </row>
    <row r="40" spans="2:18" ht="15.6">
      <c r="E40" s="18"/>
      <c r="F40" s="39"/>
      <c r="G40" s="26"/>
      <c r="H40" s="8"/>
      <c r="I40" s="8"/>
      <c r="K40" s="36"/>
      <c r="L40" s="43"/>
      <c r="M40" s="40"/>
      <c r="Q40" s="1" t="s">
        <v>42</v>
      </c>
      <c r="R40" s="1">
        <f>SUM(R6:R21)</f>
        <v>4</v>
      </c>
    </row>
    <row r="41" spans="2:18" ht="15.6">
      <c r="E41" s="35"/>
      <c r="F41" s="36"/>
      <c r="G41" s="37"/>
      <c r="H41" s="17"/>
      <c r="I41" s="8"/>
      <c r="K41" s="45"/>
      <c r="L41" s="42"/>
      <c r="M41" s="40"/>
    </row>
    <row r="42" spans="2:18" ht="15.6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5">
    <tablePart r:id="rId2"/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G11:G22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G36:G42 G30:G32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I36:I42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F23" sqref="F23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45093</v>
      </c>
    </row>
    <row r="2" spans="2:18" ht="18">
      <c r="B2" s="93"/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6145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6655</v>
      </c>
      <c r="D6" s="2"/>
      <c r="E6" s="18">
        <v>2806</v>
      </c>
      <c r="F6" s="80" t="s">
        <v>132</v>
      </c>
      <c r="G6" s="26" t="s">
        <v>9</v>
      </c>
      <c r="H6" s="52">
        <v>1480</v>
      </c>
      <c r="I6" s="8">
        <v>1480</v>
      </c>
      <c r="J6" s="2"/>
      <c r="K6" s="25"/>
      <c r="L6" s="9"/>
      <c r="M6" s="16"/>
      <c r="R6" s="1">
        <f>IF(vend16[[#This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2807</v>
      </c>
      <c r="F7" s="80" t="s">
        <v>133</v>
      </c>
      <c r="G7" s="64" t="s">
        <v>9</v>
      </c>
      <c r="H7" s="52">
        <v>1000</v>
      </c>
      <c r="I7" s="52">
        <v>1000</v>
      </c>
      <c r="J7" s="2"/>
      <c r="K7" s="25"/>
      <c r="L7" s="9"/>
      <c r="M7" s="16"/>
      <c r="R7" s="1">
        <f>IF(vend16[[#This Row],[Nº Venda]]&gt;1,1,0)</f>
        <v>1</v>
      </c>
    </row>
    <row r="8" spans="2:18" ht="15.6">
      <c r="B8" s="28" t="s">
        <v>25</v>
      </c>
      <c r="C8" s="29">
        <f>SUM(C6:C7)</f>
        <v>6655</v>
      </c>
      <c r="D8" s="2"/>
      <c r="E8" s="18">
        <v>2808</v>
      </c>
      <c r="F8" s="81" t="s">
        <v>134</v>
      </c>
      <c r="G8" s="72" t="s">
        <v>22</v>
      </c>
      <c r="H8" s="52">
        <v>0</v>
      </c>
      <c r="I8" s="52">
        <v>0</v>
      </c>
      <c r="J8" s="2"/>
      <c r="K8" s="25"/>
      <c r="L8" s="9"/>
      <c r="M8" s="16"/>
      <c r="R8" s="1">
        <f>IF(vend16[[#This Row],[Nº Venda]]&gt;1,1,0)</f>
        <v>1</v>
      </c>
    </row>
    <row r="9" spans="2:18" ht="15.6">
      <c r="B9" s="2"/>
      <c r="C9" s="2"/>
      <c r="D9" s="2"/>
      <c r="E9" s="18">
        <v>2809</v>
      </c>
      <c r="F9" s="81" t="s">
        <v>135</v>
      </c>
      <c r="G9" s="64" t="s">
        <v>9</v>
      </c>
      <c r="H9" s="52">
        <v>1575</v>
      </c>
      <c r="I9" s="52">
        <v>1575</v>
      </c>
      <c r="J9" s="2"/>
      <c r="K9" s="25"/>
      <c r="L9" s="9"/>
      <c r="M9" s="16"/>
      <c r="R9" s="1">
        <f>IF(vend16[[#This Row],[Nº Venda]]&gt;1,1,0)</f>
        <v>1</v>
      </c>
    </row>
    <row r="10" spans="2:18" ht="15.6">
      <c r="B10" s="88" t="s">
        <v>5</v>
      </c>
      <c r="C10" s="88"/>
      <c r="D10" s="2"/>
      <c r="E10" s="18">
        <v>2810</v>
      </c>
      <c r="F10" s="81" t="s">
        <v>136</v>
      </c>
      <c r="G10" s="72" t="s">
        <v>22</v>
      </c>
      <c r="H10" s="52">
        <v>0</v>
      </c>
      <c r="I10" s="52">
        <v>0</v>
      </c>
      <c r="J10" s="2"/>
      <c r="K10" s="25"/>
      <c r="L10" s="9"/>
      <c r="M10" s="16"/>
      <c r="R10" s="1">
        <f>IF(vend16[[#This Row],[Nº Venda]]&gt;1,1,0)</f>
        <v>1</v>
      </c>
    </row>
    <row r="11" spans="2:18" ht="15.6">
      <c r="B11" s="30" t="s">
        <v>6</v>
      </c>
      <c r="C11" s="31">
        <f>(SUMIF($G$2:$G$31,B11,$I$2:$I$31))+(SUMIF($G$35:$G$41,B11,$H$35:$H$41))</f>
        <v>500</v>
      </c>
      <c r="D11" s="2"/>
      <c r="E11" s="18">
        <v>2811</v>
      </c>
      <c r="F11" s="81" t="s">
        <v>137</v>
      </c>
      <c r="G11" s="72" t="s">
        <v>22</v>
      </c>
      <c r="H11" s="52">
        <v>900</v>
      </c>
      <c r="I11" s="52">
        <v>0</v>
      </c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>
        <v>2812</v>
      </c>
      <c r="F12" s="81" t="s">
        <v>138</v>
      </c>
      <c r="G12" s="72" t="s">
        <v>22</v>
      </c>
      <c r="H12" s="52">
        <v>0</v>
      </c>
      <c r="I12" s="52">
        <v>0</v>
      </c>
      <c r="J12" s="2"/>
      <c r="R12" s="1">
        <f>IF(vend16[[#This Row],[Nº Venda]]&gt;1,1,0)</f>
        <v>1</v>
      </c>
    </row>
    <row r="13" spans="2:18" ht="15.6">
      <c r="B13" s="30" t="s">
        <v>8</v>
      </c>
      <c r="C13" s="31">
        <f t="shared" si="0"/>
        <v>0</v>
      </c>
      <c r="D13" s="2"/>
      <c r="E13" s="18">
        <v>2813</v>
      </c>
      <c r="F13" s="80" t="s">
        <v>139</v>
      </c>
      <c r="G13" s="26" t="s">
        <v>22</v>
      </c>
      <c r="H13" s="8">
        <v>0</v>
      </c>
      <c r="I13" s="8">
        <v>0</v>
      </c>
      <c r="J13" s="2"/>
      <c r="K13" s="90" t="s">
        <v>28</v>
      </c>
      <c r="L13" s="91"/>
      <c r="M13" s="92"/>
      <c r="R13" s="1">
        <f>IF(vend16[[#This Row],[Nº Venda]]&gt;1,1,0)</f>
        <v>1</v>
      </c>
    </row>
    <row r="14" spans="2:18" ht="15.6">
      <c r="B14" s="30" t="s">
        <v>9</v>
      </c>
      <c r="C14" s="31">
        <f t="shared" si="0"/>
        <v>5655</v>
      </c>
      <c r="D14" s="2"/>
      <c r="E14" s="18">
        <v>2814</v>
      </c>
      <c r="F14" s="80" t="s">
        <v>140</v>
      </c>
      <c r="G14" s="26" t="s">
        <v>141</v>
      </c>
      <c r="H14" s="8">
        <v>600</v>
      </c>
      <c r="I14" s="8">
        <v>200</v>
      </c>
      <c r="J14" s="2"/>
      <c r="K14" s="14" t="s">
        <v>29</v>
      </c>
      <c r="L14" s="6" t="s">
        <v>30</v>
      </c>
      <c r="M14" s="15" t="s">
        <v>31</v>
      </c>
      <c r="R14" s="1">
        <f>IF(vend16[[#This Row],[Nº Venda]]&gt;1,1,0)</f>
        <v>1</v>
      </c>
    </row>
    <row r="15" spans="2:18" ht="15.6">
      <c r="B15" s="30" t="s">
        <v>10</v>
      </c>
      <c r="C15" s="31">
        <f t="shared" si="0"/>
        <v>200</v>
      </c>
      <c r="D15" s="2"/>
      <c r="E15" s="18">
        <v>2815</v>
      </c>
      <c r="F15" s="80" t="s">
        <v>142</v>
      </c>
      <c r="G15" s="26" t="s">
        <v>7</v>
      </c>
      <c r="H15" s="8">
        <v>500</v>
      </c>
      <c r="I15" s="8">
        <v>50</v>
      </c>
      <c r="J15" s="2"/>
      <c r="K15" s="25"/>
      <c r="L15" s="9"/>
      <c r="M15" s="16"/>
      <c r="R15" s="1">
        <f>IF(vend16[[#This Row],[Nº Venda]]&gt;1,1,0)</f>
        <v>1</v>
      </c>
    </row>
    <row r="16" spans="2:18" ht="15.6">
      <c r="B16" s="28" t="s">
        <v>11</v>
      </c>
      <c r="C16" s="32">
        <f>SUM(C11:C15)</f>
        <v>6655</v>
      </c>
      <c r="D16" s="2"/>
      <c r="E16" s="18">
        <v>2816</v>
      </c>
      <c r="F16" s="25" t="s">
        <v>143</v>
      </c>
      <c r="G16" s="26" t="s">
        <v>7</v>
      </c>
      <c r="H16" s="8">
        <v>990</v>
      </c>
      <c r="I16" s="8">
        <v>90</v>
      </c>
      <c r="J16" s="2"/>
      <c r="K16" s="25"/>
      <c r="L16" s="9"/>
      <c r="M16" s="16"/>
      <c r="R16" s="1">
        <f>IF(vend16[[#This Row],[Nº Venda]]&gt;1,1,0)</f>
        <v>1</v>
      </c>
    </row>
    <row r="17" spans="2:18" ht="15.6">
      <c r="B17" s="2"/>
      <c r="C17" s="2"/>
      <c r="D17" s="2"/>
      <c r="E17" s="18">
        <v>2817</v>
      </c>
      <c r="F17" s="80" t="s">
        <v>139</v>
      </c>
      <c r="G17" s="26" t="s">
        <v>22</v>
      </c>
      <c r="H17" s="8">
        <v>0</v>
      </c>
      <c r="I17" s="8">
        <v>0</v>
      </c>
      <c r="J17" s="2"/>
      <c r="K17" s="25"/>
      <c r="L17" s="9"/>
      <c r="M17" s="16"/>
      <c r="R17" s="1">
        <f>IF(vend16[[#This Row],[Nº Venda]]&gt;1,1,0)</f>
        <v>1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6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6145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2372</v>
      </c>
      <c r="F26" s="25" t="s">
        <v>144</v>
      </c>
      <c r="G26" s="26" t="s">
        <v>7</v>
      </c>
      <c r="H26" s="8"/>
      <c r="I26" s="8">
        <v>160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2777</v>
      </c>
      <c r="F27" s="25" t="s">
        <v>145</v>
      </c>
      <c r="G27" s="26" t="s">
        <v>6</v>
      </c>
      <c r="H27" s="8"/>
      <c r="I27" s="8">
        <v>500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2774</v>
      </c>
      <c r="F28" s="25" t="s">
        <v>146</v>
      </c>
      <c r="G28" s="26" t="s">
        <v>9</v>
      </c>
      <c r="H28" s="8"/>
      <c r="I28" s="8">
        <v>1600</v>
      </c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12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G35:G41 G30:G31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G19:G22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topLeftCell="B1" zoomScale="80" zoomScaleNormal="80" workbookViewId="0">
      <selection activeCell="F14" sqref="F14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45094</v>
      </c>
    </row>
    <row r="2" spans="2:18" ht="18">
      <c r="B2" s="93"/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1800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2320</v>
      </c>
      <c r="D6" s="2"/>
      <c r="E6" s="18">
        <v>2818</v>
      </c>
      <c r="F6" s="82" t="s">
        <v>147</v>
      </c>
      <c r="G6" s="26" t="s">
        <v>9</v>
      </c>
      <c r="H6" s="52">
        <v>400</v>
      </c>
      <c r="I6" s="8">
        <v>400</v>
      </c>
      <c r="J6" s="2"/>
      <c r="K6" s="25"/>
      <c r="L6" s="9"/>
      <c r="M6" s="16"/>
      <c r="R6" s="1">
        <f>IF(vend17[[#This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2819</v>
      </c>
      <c r="F7" s="25" t="s">
        <v>148</v>
      </c>
      <c r="G7" s="64" t="s">
        <v>10</v>
      </c>
      <c r="H7" s="52">
        <v>700</v>
      </c>
      <c r="I7" s="52">
        <v>200</v>
      </c>
      <c r="J7" s="2"/>
      <c r="K7" s="25"/>
      <c r="L7" s="9"/>
      <c r="M7" s="16"/>
      <c r="R7" s="1">
        <f>IF(vend17[[#This Row],[Nº Venda]]&gt;1,1,0)</f>
        <v>1</v>
      </c>
    </row>
    <row r="8" spans="2:18" ht="15.6">
      <c r="B8" s="28" t="s">
        <v>25</v>
      </c>
      <c r="C8" s="29">
        <f>SUM(C6:C7)</f>
        <v>2320</v>
      </c>
      <c r="D8" s="2"/>
      <c r="E8" s="18">
        <v>2820</v>
      </c>
      <c r="F8" s="64" t="s">
        <v>149</v>
      </c>
      <c r="G8" s="64" t="s">
        <v>10</v>
      </c>
      <c r="H8" s="52">
        <v>350</v>
      </c>
      <c r="I8" s="79">
        <v>30</v>
      </c>
      <c r="J8" s="2"/>
      <c r="K8" s="25"/>
      <c r="L8" s="9"/>
      <c r="M8" s="16"/>
      <c r="R8" s="1">
        <f>IF(vend17[[#This Row],[Nº Venda]]&gt;1,1,0)</f>
        <v>1</v>
      </c>
    </row>
    <row r="9" spans="2:18" ht="15.6">
      <c r="B9" s="2"/>
      <c r="C9" s="2"/>
      <c r="D9" s="2"/>
      <c r="E9" s="18">
        <v>2821</v>
      </c>
      <c r="F9" s="64" t="s">
        <v>48</v>
      </c>
      <c r="G9" s="64" t="s">
        <v>9</v>
      </c>
      <c r="H9" s="52">
        <v>350</v>
      </c>
      <c r="I9" s="52">
        <v>350</v>
      </c>
      <c r="J9" s="2"/>
      <c r="K9" s="25"/>
      <c r="L9" s="9"/>
      <c r="M9" s="16"/>
      <c r="R9" s="1">
        <f>IF(vend17[[#This Row],[Nº Venda]]&gt;1,1,0)</f>
        <v>1</v>
      </c>
    </row>
    <row r="10" spans="2:18" ht="15.6">
      <c r="B10" s="88" t="s">
        <v>5</v>
      </c>
      <c r="C10" s="88"/>
      <c r="D10" s="2"/>
      <c r="E10" s="18"/>
      <c r="F10" s="64"/>
      <c r="G10" s="64"/>
      <c r="H10" s="52"/>
      <c r="I10" s="52"/>
      <c r="J10" s="2"/>
      <c r="K10" s="25"/>
      <c r="L10" s="9"/>
      <c r="M10" s="16"/>
      <c r="R10" s="1">
        <f>IF(vend17[[#This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237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IF(vend17[[#This Row],[Nº Venda]]&gt;1,1,0)</f>
        <v>0</v>
      </c>
    </row>
    <row r="14" spans="2:18" ht="15.6">
      <c r="B14" s="30" t="s">
        <v>9</v>
      </c>
      <c r="C14" s="31">
        <f t="shared" si="0"/>
        <v>2090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IF(vend17[[#This Row],[Nº Venda]]&gt;1,1,0)</f>
        <v>0</v>
      </c>
    </row>
    <row r="15" spans="2:18" ht="15.6">
      <c r="B15" s="30" t="s">
        <v>10</v>
      </c>
      <c r="C15" s="31">
        <f t="shared" si="0"/>
        <v>306</v>
      </c>
      <c r="D15" s="2"/>
      <c r="E15" s="18"/>
      <c r="F15" s="25"/>
      <c r="G15" s="26"/>
      <c r="H15" s="8"/>
      <c r="I15" s="8"/>
      <c r="J15" s="2"/>
      <c r="K15" s="25">
        <v>2965</v>
      </c>
      <c r="L15" s="9" t="s">
        <v>150</v>
      </c>
      <c r="M15" s="16" t="s">
        <v>151</v>
      </c>
      <c r="R15" s="1">
        <f>IF(vend17[[#This Row],[Nº Venda]]&gt;1,1,0)</f>
        <v>0</v>
      </c>
    </row>
    <row r="16" spans="2:18" ht="15.6">
      <c r="B16" s="28" t="s">
        <v>11</v>
      </c>
      <c r="C16" s="32">
        <f>SUM(C11:C15)</f>
        <v>2633</v>
      </c>
      <c r="D16" s="2"/>
      <c r="E16" s="18"/>
      <c r="F16" s="25"/>
      <c r="G16" s="26"/>
      <c r="H16" s="8"/>
      <c r="I16" s="8"/>
      <c r="J16" s="2"/>
      <c r="K16" s="25">
        <v>2938</v>
      </c>
      <c r="L16" s="9" t="s">
        <v>150</v>
      </c>
      <c r="M16" s="16" t="s">
        <v>151</v>
      </c>
      <c r="R16" s="1">
        <f>IF(vend17[[#This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6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1800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2997</v>
      </c>
      <c r="F26" s="25" t="s">
        <v>152</v>
      </c>
      <c r="G26" s="26" t="s">
        <v>9</v>
      </c>
      <c r="H26" s="8"/>
      <c r="I26" s="8">
        <v>1340</v>
      </c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>
        <v>2717</v>
      </c>
      <c r="F35" s="25" t="s">
        <v>153</v>
      </c>
      <c r="G35" s="26" t="s">
        <v>7</v>
      </c>
      <c r="H35" s="8">
        <v>237</v>
      </c>
      <c r="I35" s="8" t="s">
        <v>154</v>
      </c>
      <c r="K35" s="25"/>
      <c r="L35" s="42"/>
      <c r="M35" s="16"/>
    </row>
    <row r="36" spans="2:18" ht="15.6">
      <c r="E36" s="18">
        <v>2233</v>
      </c>
      <c r="F36" s="25" t="s">
        <v>155</v>
      </c>
      <c r="G36" s="26" t="s">
        <v>10</v>
      </c>
      <c r="H36" s="8">
        <v>76</v>
      </c>
      <c r="I36" s="8" t="s">
        <v>156</v>
      </c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4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G11:G22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B1" sqref="B1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45369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6">
      <c r="B8" s="28" t="s">
        <v>25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IF(vend18[[#This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IF(vend18[[#This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6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6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topLeftCell="B1" zoomScale="80" zoomScaleNormal="80" workbookViewId="0">
      <selection activeCell="E26" sqref="E26:I29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45004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1356</v>
      </c>
      <c r="D6" s="2"/>
      <c r="E6" s="18">
        <v>2822</v>
      </c>
      <c r="F6" s="25" t="s">
        <v>157</v>
      </c>
      <c r="G6" s="72" t="s">
        <v>22</v>
      </c>
      <c r="H6" s="83">
        <v>0</v>
      </c>
      <c r="I6" s="83">
        <v>0</v>
      </c>
      <c r="J6" s="2"/>
      <c r="K6" s="25"/>
      <c r="L6" s="9"/>
      <c r="M6" s="16"/>
      <c r="R6" s="1">
        <f>IF(vend19[[#This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2823</v>
      </c>
      <c r="F7" s="25" t="s">
        <v>158</v>
      </c>
      <c r="G7" s="26" t="s">
        <v>22</v>
      </c>
      <c r="H7" s="83">
        <v>0</v>
      </c>
      <c r="I7" s="8">
        <v>0</v>
      </c>
      <c r="J7" s="2"/>
      <c r="K7" s="25"/>
      <c r="L7" s="9"/>
      <c r="M7" s="16"/>
      <c r="R7" s="1">
        <f>IF(vend19[[#This Row],[Nº Venda]]&gt;1,1,0)</f>
        <v>1</v>
      </c>
    </row>
    <row r="8" spans="2:18" ht="15.6">
      <c r="B8" s="28" t="s">
        <v>25</v>
      </c>
      <c r="C8" s="29">
        <f>SUM(C6:C7)</f>
        <v>1356</v>
      </c>
      <c r="D8" s="2"/>
      <c r="E8" s="54"/>
      <c r="F8" s="84"/>
      <c r="G8" s="84"/>
      <c r="H8" s="79"/>
      <c r="I8" s="79"/>
      <c r="J8" s="2"/>
      <c r="K8" s="25"/>
      <c r="L8" s="9"/>
      <c r="M8" s="16"/>
      <c r="R8" s="1">
        <f>IF(vend19[[#This Row],[Nº Venda]]&gt;1,1,0)</f>
        <v>0</v>
      </c>
    </row>
    <row r="9" spans="2:18" ht="15.6">
      <c r="B9" s="2"/>
      <c r="C9" s="2"/>
      <c r="D9" s="2"/>
      <c r="E9" s="18"/>
      <c r="F9" s="64"/>
      <c r="G9" s="64"/>
      <c r="H9" s="52"/>
      <c r="I9" s="52"/>
      <c r="J9" s="2"/>
      <c r="K9" s="25"/>
      <c r="L9" s="9"/>
      <c r="M9" s="16"/>
      <c r="R9" s="1">
        <f>IF(vend19[[#This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6">
      <c r="B13" s="30" t="s">
        <v>8</v>
      </c>
      <c r="C13" s="31">
        <f t="shared" si="0"/>
        <v>156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IF(vend19[[#This Row],[Nº Venda]]&gt;1,1,0)</f>
        <v>0</v>
      </c>
    </row>
    <row r="14" spans="2:18" ht="15.6">
      <c r="B14" s="30" t="s">
        <v>9</v>
      </c>
      <c r="C14" s="31">
        <f t="shared" si="0"/>
        <v>1000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IF(vend19[[#This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6">
      <c r="B16" s="28" t="s">
        <v>11</v>
      </c>
      <c r="C16" s="32">
        <f>SUM(C11:C15)</f>
        <v>1356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6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2773</v>
      </c>
      <c r="F26" s="25" t="s">
        <v>77</v>
      </c>
      <c r="G26" s="26" t="s">
        <v>9</v>
      </c>
      <c r="H26" s="8"/>
      <c r="I26" s="8">
        <v>1000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2795</v>
      </c>
      <c r="F27" s="25" t="s">
        <v>159</v>
      </c>
      <c r="G27" s="26" t="s">
        <v>7</v>
      </c>
      <c r="H27" s="8"/>
      <c r="I27" s="8">
        <v>200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2611</v>
      </c>
      <c r="F28" s="25" t="s">
        <v>160</v>
      </c>
      <c r="G28" s="26" t="s">
        <v>8</v>
      </c>
      <c r="H28" s="8"/>
      <c r="I28" s="8">
        <v>156</v>
      </c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2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G35:G41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G10:G22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2"/>
  <sheetViews>
    <sheetView showGridLines="0" zoomScale="80" zoomScaleNormal="80" workbookViewId="0">
      <selection activeCell="F28" sqref="F28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45097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3700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SUM(I6:I42)</f>
        <v>3934</v>
      </c>
      <c r="D6" s="2"/>
      <c r="E6" s="18">
        <v>2824</v>
      </c>
      <c r="F6" s="25" t="s">
        <v>161</v>
      </c>
      <c r="G6" s="26" t="s">
        <v>7</v>
      </c>
      <c r="H6" s="52">
        <v>450</v>
      </c>
      <c r="I6" s="8">
        <v>50</v>
      </c>
      <c r="J6" s="2"/>
      <c r="K6" s="25"/>
      <c r="L6" s="9"/>
      <c r="M6" s="16"/>
      <c r="R6" s="1">
        <f>IF(vend20[[#This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2825</v>
      </c>
      <c r="F7" s="25" t="s">
        <v>162</v>
      </c>
      <c r="G7" s="64" t="s">
        <v>9</v>
      </c>
      <c r="H7" s="52">
        <v>3100</v>
      </c>
      <c r="I7" s="52">
        <v>3100</v>
      </c>
      <c r="J7" s="2"/>
      <c r="K7" s="25"/>
      <c r="L7" s="9"/>
      <c r="M7" s="16"/>
      <c r="R7" s="1">
        <f>IF(vend20[[#This Row],[Nº Venda]]&gt;1,1,0)</f>
        <v>1</v>
      </c>
    </row>
    <row r="8" spans="2:18" ht="15.6">
      <c r="B8" s="28" t="s">
        <v>25</v>
      </c>
      <c r="C8" s="29">
        <f>SUM(C6:C7)</f>
        <v>3934</v>
      </c>
      <c r="D8" s="2"/>
      <c r="E8" s="18">
        <v>2826</v>
      </c>
      <c r="F8" s="25" t="s">
        <v>163</v>
      </c>
      <c r="G8" s="72" t="s">
        <v>22</v>
      </c>
      <c r="H8" s="52">
        <v>0</v>
      </c>
      <c r="I8" s="52">
        <v>0</v>
      </c>
      <c r="J8" s="2"/>
      <c r="K8" s="25"/>
      <c r="L8" s="9"/>
      <c r="M8" s="16"/>
      <c r="R8" s="1">
        <f>IF(vend20[[#This Row],[Nº Venda]]&gt;1,1,0)</f>
        <v>1</v>
      </c>
    </row>
    <row r="9" spans="2:18" ht="15.6">
      <c r="B9" s="2"/>
      <c r="C9" s="2"/>
      <c r="D9" s="2"/>
      <c r="E9" s="18">
        <v>2827</v>
      </c>
      <c r="F9" s="25" t="s">
        <v>163</v>
      </c>
      <c r="G9" s="72" t="s">
        <v>22</v>
      </c>
      <c r="H9" s="52">
        <v>0</v>
      </c>
      <c r="I9" s="52">
        <v>0</v>
      </c>
      <c r="J9" s="2"/>
      <c r="K9" s="25"/>
      <c r="L9" s="9"/>
      <c r="M9" s="16"/>
      <c r="R9" s="1">
        <f>IF(vend20[[#This Row],[Nº Venda]]&gt;1,1,0)</f>
        <v>1</v>
      </c>
    </row>
    <row r="10" spans="2:18" ht="15.6">
      <c r="B10" s="88" t="s">
        <v>5</v>
      </c>
      <c r="C10" s="88"/>
      <c r="D10" s="2"/>
      <c r="E10" s="18">
        <v>2828</v>
      </c>
      <c r="F10" s="72" t="s">
        <v>164</v>
      </c>
      <c r="G10" s="72" t="s">
        <v>22</v>
      </c>
      <c r="H10" s="52">
        <v>200</v>
      </c>
      <c r="I10" s="52">
        <v>0</v>
      </c>
      <c r="J10" s="2"/>
      <c r="K10" s="25"/>
      <c r="L10" s="9"/>
      <c r="M10" s="16"/>
      <c r="R10" s="1">
        <f>IF(vend20[[#This Row],[Nº Venda]]&gt;1,1,0)</f>
        <v>1</v>
      </c>
    </row>
    <row r="11" spans="2:18" ht="15.6">
      <c r="B11" s="30" t="s">
        <v>6</v>
      </c>
      <c r="C11" s="31">
        <f>(SUMIF($G$2:$G$31,B11,$I$2:$I$31))+(SUMIF($G$36:$G$42,B11,$H$36:$H$42))</f>
        <v>360</v>
      </c>
      <c r="D11" s="2"/>
      <c r="E11" s="18">
        <v>2829</v>
      </c>
      <c r="F11" s="72" t="s">
        <v>165</v>
      </c>
      <c r="G11" s="72" t="s">
        <v>7</v>
      </c>
      <c r="H11" s="52">
        <v>150</v>
      </c>
      <c r="I11" s="83">
        <v>150</v>
      </c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1</v>
      </c>
    </row>
    <row r="12" spans="2:18" ht="15.6">
      <c r="B12" s="30" t="s">
        <v>7</v>
      </c>
      <c r="C12" s="31">
        <f>(SUMIF($G$2:$G$31,B12,$I$2:$I$31))+(SUMIF($G$36:$G$42,B12,$H$36:$H$42))</f>
        <v>257</v>
      </c>
      <c r="D12" s="2"/>
      <c r="E12" s="18"/>
      <c r="F12" s="72"/>
      <c r="G12" s="64"/>
      <c r="H12" s="83"/>
      <c r="I12" s="52"/>
      <c r="J12" s="2"/>
      <c r="R12" s="1">
        <f>IF(vend20[[#This Row],[Nº Venda]]&gt;1,1,0)</f>
        <v>0</v>
      </c>
    </row>
    <row r="13" spans="2:18" ht="15.6">
      <c r="B13" s="30" t="s">
        <v>8</v>
      </c>
      <c r="C13" s="31">
        <f>(SUMIF($G$2:$G$31,B13,$I$2:$I$31))+(SUMIF($G$36:$G$42,B13,$H$36:$H$42))</f>
        <v>97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IF(vend20[[#This Row],[Nº Venda]]&gt;1,1,0)</f>
        <v>0</v>
      </c>
    </row>
    <row r="14" spans="2:18" ht="15.6">
      <c r="B14" s="30" t="s">
        <v>9</v>
      </c>
      <c r="C14" s="31">
        <f>(SUMIF($G$2:$G$31,B14,$I$2:$I$31))+(SUMIF($G$36:$G$42,B14,$H$36:$H$42))</f>
        <v>3100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IF(vend20[[#This Row],[Nº Venda]]&gt;1,1,0)</f>
        <v>0</v>
      </c>
    </row>
    <row r="15" spans="2:18" ht="15.6">
      <c r="B15" s="30" t="s">
        <v>10</v>
      </c>
      <c r="C15" s="31">
        <f>(SUMIF($G$2:$G$31,B15,$I$2:$I$31))+(SUMIF($G$36:$G$42,B15,$H$36:$H$42))</f>
        <v>120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6">
      <c r="B16" s="28" t="s">
        <v>11</v>
      </c>
      <c r="C16" s="32">
        <f>SUM(C11:C15)</f>
        <v>3934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6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3700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2329</v>
      </c>
      <c r="F26" s="25" t="s">
        <v>166</v>
      </c>
      <c r="G26" s="26" t="s">
        <v>8</v>
      </c>
      <c r="H26" s="8"/>
      <c r="I26" s="8">
        <v>97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2468</v>
      </c>
      <c r="F27" s="25" t="s">
        <v>167</v>
      </c>
      <c r="G27" s="26" t="s">
        <v>10</v>
      </c>
      <c r="H27" s="8"/>
      <c r="I27" s="8">
        <v>120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2156</v>
      </c>
      <c r="F28" s="25" t="s">
        <v>168</v>
      </c>
      <c r="G28" s="26" t="s">
        <v>7</v>
      </c>
      <c r="H28" s="8"/>
      <c r="I28" s="8">
        <v>57</v>
      </c>
      <c r="J28" s="2"/>
      <c r="K28" s="25"/>
      <c r="L28" s="9"/>
      <c r="M28" s="16"/>
    </row>
    <row r="29" spans="2:18" ht="15.6">
      <c r="B29" s="2"/>
      <c r="C29" s="2"/>
      <c r="D29" s="2"/>
      <c r="E29" s="18">
        <v>2716</v>
      </c>
      <c r="F29" s="25" t="s">
        <v>169</v>
      </c>
      <c r="G29" s="26" t="s">
        <v>6</v>
      </c>
      <c r="H29" s="8"/>
      <c r="I29" s="8">
        <v>75</v>
      </c>
      <c r="J29" s="2"/>
      <c r="K29" s="25"/>
      <c r="L29" s="9"/>
      <c r="M29" s="16"/>
    </row>
    <row r="30" spans="2:18" ht="15.6">
      <c r="B30" s="2"/>
      <c r="C30" s="2"/>
      <c r="D30" s="2"/>
      <c r="E30" s="35">
        <v>2771</v>
      </c>
      <c r="F30" s="36" t="s">
        <v>170</v>
      </c>
      <c r="G30" s="37" t="s">
        <v>6</v>
      </c>
      <c r="H30" s="17"/>
      <c r="I30" s="17">
        <v>285</v>
      </c>
      <c r="J30" s="2"/>
      <c r="K30" s="25"/>
      <c r="L30" s="9"/>
      <c r="M30" s="16"/>
    </row>
    <row r="31" spans="2:18" ht="15.6">
      <c r="B31" s="2"/>
      <c r="C31" s="2"/>
      <c r="D31" s="2"/>
      <c r="E31" s="85"/>
      <c r="F31" s="74"/>
      <c r="G31" s="37"/>
      <c r="H31" s="17"/>
      <c r="I31" s="17"/>
      <c r="J31" s="2"/>
      <c r="K31" s="25"/>
      <c r="L31" s="9"/>
      <c r="M31" s="16"/>
    </row>
    <row r="32" spans="2:18" ht="15.6">
      <c r="B32" s="2"/>
      <c r="C32" s="2"/>
      <c r="E32" s="86"/>
      <c r="F32" s="74"/>
      <c r="G32" s="37"/>
      <c r="H32" s="17"/>
      <c r="I32" s="17"/>
    </row>
    <row r="33" spans="2:18" ht="14.45">
      <c r="B33" s="2"/>
      <c r="C33" s="2"/>
      <c r="E33" s="33"/>
      <c r="K33" s="90" t="s">
        <v>12</v>
      </c>
      <c r="L33" s="91"/>
      <c r="M33" s="92"/>
    </row>
    <row r="34" spans="2:18" ht="14.45">
      <c r="E34" s="89" t="s">
        <v>37</v>
      </c>
      <c r="F34" s="89"/>
      <c r="G34" s="89"/>
      <c r="H34" s="89"/>
      <c r="I34" s="89"/>
      <c r="K34" s="14" t="s">
        <v>29</v>
      </c>
      <c r="L34" s="6" t="s">
        <v>40</v>
      </c>
      <c r="M34" s="15" t="s">
        <v>41</v>
      </c>
    </row>
    <row r="35" spans="2:18" ht="14.45">
      <c r="E35" s="10" t="s">
        <v>29</v>
      </c>
      <c r="F35" s="10" t="s">
        <v>15</v>
      </c>
      <c r="G35" s="11" t="s">
        <v>16</v>
      </c>
      <c r="H35" s="12" t="s">
        <v>38</v>
      </c>
      <c r="I35" s="13" t="s">
        <v>39</v>
      </c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25"/>
      <c r="G39" s="26"/>
      <c r="H39" s="8"/>
      <c r="I39" s="8"/>
      <c r="K39" s="25"/>
      <c r="L39" s="42"/>
      <c r="M39" s="16"/>
    </row>
    <row r="40" spans="2:18" ht="15.6">
      <c r="E40" s="18"/>
      <c r="F40" s="39"/>
      <c r="G40" s="26"/>
      <c r="H40" s="8"/>
      <c r="I40" s="8"/>
      <c r="K40" s="36"/>
      <c r="L40" s="43"/>
      <c r="M40" s="40"/>
      <c r="Q40" s="1" t="s">
        <v>42</v>
      </c>
      <c r="R40" s="1">
        <f>SUM(R6:R21)</f>
        <v>6</v>
      </c>
    </row>
    <row r="41" spans="2:18" ht="15.6">
      <c r="E41" s="35"/>
      <c r="F41" s="36"/>
      <c r="G41" s="37"/>
      <c r="H41" s="17"/>
      <c r="I41" s="8"/>
      <c r="K41" s="45"/>
      <c r="L41" s="42"/>
      <c r="M41" s="40"/>
    </row>
    <row r="42" spans="2:18" ht="15.6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G36:G42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G14:G22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I36:I42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topLeftCell="B1" zoomScale="80" zoomScaleNormal="80" workbookViewId="0">
      <selection activeCell="E22" sqref="E22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45098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490</v>
      </c>
      <c r="D6" s="2"/>
      <c r="E6" s="18">
        <v>2830</v>
      </c>
      <c r="F6" s="25" t="s">
        <v>171</v>
      </c>
      <c r="G6" s="26" t="s">
        <v>10</v>
      </c>
      <c r="H6" s="52">
        <v>300</v>
      </c>
      <c r="I6" s="8">
        <v>50</v>
      </c>
      <c r="J6" s="2"/>
      <c r="K6" s="25"/>
      <c r="L6" s="9"/>
      <c r="M6" s="16"/>
      <c r="R6" s="1">
        <f>IF(vend21[[#This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64"/>
      <c r="H7" s="52"/>
      <c r="I7" s="52"/>
      <c r="J7" s="2"/>
      <c r="K7" s="25"/>
      <c r="L7" s="9"/>
      <c r="M7" s="16"/>
      <c r="R7" s="1">
        <f>IF(vend21[[#This Row],[Nº Venda]]&gt;1,1,0)</f>
        <v>0</v>
      </c>
    </row>
    <row r="8" spans="2:18" ht="15.6">
      <c r="B8" s="28" t="s">
        <v>25</v>
      </c>
      <c r="C8" s="29">
        <f>SUM(C6:C7)</f>
        <v>490</v>
      </c>
      <c r="D8" s="2"/>
      <c r="E8" s="18"/>
      <c r="F8" s="64"/>
      <c r="G8" s="64"/>
      <c r="H8" s="52"/>
      <c r="I8" s="52"/>
      <c r="J8" s="2"/>
      <c r="K8" s="25"/>
      <c r="L8" s="9"/>
      <c r="M8" s="16"/>
      <c r="R8" s="1">
        <f>IF(vend21[[#This Row],[Nº Venda]]&gt;1,1,0)</f>
        <v>0</v>
      </c>
    </row>
    <row r="9" spans="2:18" ht="15.6">
      <c r="B9" s="2"/>
      <c r="C9" s="2"/>
      <c r="D9" s="2"/>
      <c r="E9" s="18"/>
      <c r="F9" s="64"/>
      <c r="G9" s="64"/>
      <c r="H9" s="52"/>
      <c r="I9" s="52"/>
      <c r="J9" s="2"/>
      <c r="K9" s="25"/>
      <c r="L9" s="9"/>
      <c r="M9" s="16"/>
      <c r="R9" s="1">
        <f>IF(vend21[[#This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IF(vend21[[#This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IF(vend21[[#This Row],[Nº Venda]]&gt;1,1,0)</f>
        <v>0</v>
      </c>
    </row>
    <row r="15" spans="2:18" ht="15.6">
      <c r="B15" s="30" t="s">
        <v>10</v>
      </c>
      <c r="C15" s="31">
        <f t="shared" si="0"/>
        <v>180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6">
      <c r="B16" s="28" t="s">
        <v>11</v>
      </c>
      <c r="C16" s="32">
        <f>SUM(C11:C15)</f>
        <v>490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6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2800</v>
      </c>
      <c r="F26" s="25" t="s">
        <v>172</v>
      </c>
      <c r="G26" s="26" t="s">
        <v>7</v>
      </c>
      <c r="H26" s="8"/>
      <c r="I26" s="8">
        <v>250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2703</v>
      </c>
      <c r="F27" s="25" t="s">
        <v>173</v>
      </c>
      <c r="G27" s="26" t="s">
        <v>6</v>
      </c>
      <c r="H27" s="8"/>
      <c r="I27" s="8">
        <v>60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2680</v>
      </c>
      <c r="F28" s="25" t="s">
        <v>174</v>
      </c>
      <c r="G28" s="26" t="s">
        <v>10</v>
      </c>
      <c r="H28" s="8"/>
      <c r="I28" s="8">
        <v>130</v>
      </c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1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G10:G22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G35:G41 G31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topLeftCell="A14" zoomScale="80" zoomScaleNormal="80" workbookViewId="0">
      <selection activeCell="E26" sqref="E26:I26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45099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1140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1640</v>
      </c>
      <c r="D6" s="2"/>
      <c r="E6" s="18">
        <v>2831</v>
      </c>
      <c r="F6" s="25" t="s">
        <v>175</v>
      </c>
      <c r="G6" s="26" t="s">
        <v>22</v>
      </c>
      <c r="H6" s="52">
        <v>0</v>
      </c>
      <c r="I6" s="8">
        <v>0</v>
      </c>
      <c r="J6" s="2"/>
      <c r="K6" s="25"/>
      <c r="L6" s="9"/>
      <c r="M6" s="16"/>
      <c r="R6" s="1">
        <f>IF(vend22[[#This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2832</v>
      </c>
      <c r="F7" s="25" t="s">
        <v>176</v>
      </c>
      <c r="G7" s="72" t="s">
        <v>9</v>
      </c>
      <c r="H7" s="52">
        <v>940</v>
      </c>
      <c r="I7" s="52">
        <v>940</v>
      </c>
      <c r="J7" s="2"/>
      <c r="K7" s="25"/>
      <c r="L7" s="9"/>
      <c r="M7" s="16"/>
      <c r="R7" s="1">
        <f>IF(vend22[[#This Row],[Nº Venda]]&gt;1,1,0)</f>
        <v>1</v>
      </c>
    </row>
    <row r="8" spans="2:18" ht="15.6">
      <c r="B8" s="28" t="s">
        <v>25</v>
      </c>
      <c r="C8" s="29">
        <f>SUM(C6:C7)</f>
        <v>1640</v>
      </c>
      <c r="D8" s="2"/>
      <c r="E8" s="18">
        <v>2833</v>
      </c>
      <c r="F8" s="72" t="s">
        <v>177</v>
      </c>
      <c r="G8" s="72" t="s">
        <v>9</v>
      </c>
      <c r="H8" s="52">
        <v>200</v>
      </c>
      <c r="I8" s="52">
        <v>200</v>
      </c>
      <c r="J8" s="2"/>
      <c r="K8" s="25"/>
      <c r="L8" s="9"/>
      <c r="M8" s="16"/>
      <c r="R8" s="1">
        <f>IF(vend22[[#This Row],[Nº Venda]]&gt;1,1,0)</f>
        <v>1</v>
      </c>
    </row>
    <row r="9" spans="2:18" ht="15.6">
      <c r="B9" s="2"/>
      <c r="C9" s="2"/>
      <c r="D9" s="2"/>
      <c r="E9" s="18"/>
      <c r="F9" s="64"/>
      <c r="G9" s="64"/>
      <c r="H9" s="52"/>
      <c r="I9" s="52"/>
      <c r="J9" s="2"/>
      <c r="K9" s="25"/>
      <c r="L9" s="9"/>
      <c r="M9" s="16"/>
      <c r="R9" s="1">
        <f>IF(vend22[[#This Row],[Nº Venda]]&gt;1,1,0)</f>
        <v>0</v>
      </c>
    </row>
    <row r="10" spans="2:18" ht="15.6">
      <c r="B10" s="88" t="s">
        <v>5</v>
      </c>
      <c r="C10" s="88"/>
      <c r="D10" s="2"/>
      <c r="E10" s="18"/>
      <c r="F10" s="64"/>
      <c r="G10" s="64"/>
      <c r="H10" s="52"/>
      <c r="I10" s="52"/>
      <c r="J10" s="2"/>
      <c r="K10" s="25"/>
      <c r="L10" s="9"/>
      <c r="M10" s="16"/>
      <c r="R10" s="1">
        <f>IF(vend22[[#This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64"/>
      <c r="G11" s="64"/>
      <c r="H11" s="52"/>
      <c r="I11" s="52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500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IF(vend22[[#This Row],[Nº Venda]]&gt;1,1,0)</f>
        <v>0</v>
      </c>
    </row>
    <row r="14" spans="2:18" ht="15.6">
      <c r="B14" s="30" t="s">
        <v>9</v>
      </c>
      <c r="C14" s="31">
        <f t="shared" si="0"/>
        <v>1140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IF(vend22[[#This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6">
      <c r="B16" s="28" t="s">
        <v>11</v>
      </c>
      <c r="C16" s="32">
        <f>SUM(C11:C15)</f>
        <v>1640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6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1140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2782</v>
      </c>
      <c r="F26" s="25" t="s">
        <v>178</v>
      </c>
      <c r="G26" s="26" t="s">
        <v>7</v>
      </c>
      <c r="H26" s="8"/>
      <c r="I26" s="8">
        <v>500</v>
      </c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3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G35:G41 G27:G31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G12:G22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topLeftCell="B14" zoomScale="80" zoomScaleNormal="80" workbookViewId="0">
      <selection activeCell="E26" sqref="E26:I28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45100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436.6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6">
      <c r="B8" s="28" t="s">
        <v>25</v>
      </c>
      <c r="C8" s="29">
        <f>SUM(C6:C7)</f>
        <v>436.6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IF(vend23[[#This Row],[Nº Venda]]&gt;1,1,0)</f>
        <v>0</v>
      </c>
    </row>
    <row r="14" spans="2:18" ht="15.6">
      <c r="B14" s="30" t="s">
        <v>9</v>
      </c>
      <c r="C14" s="31">
        <f t="shared" si="0"/>
        <v>270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IF(vend23[[#This Row],[Nº Venda]]&gt;1,1,0)</f>
        <v>0</v>
      </c>
    </row>
    <row r="15" spans="2:18" ht="15.6">
      <c r="B15" s="30" t="s">
        <v>10</v>
      </c>
      <c r="C15" s="31">
        <f t="shared" si="0"/>
        <v>116.6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6">
      <c r="B16" s="28" t="s">
        <v>11</v>
      </c>
      <c r="C16" s="32">
        <f>SUM(C11:C15)</f>
        <v>436.6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6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2635</v>
      </c>
      <c r="F26" s="25" t="s">
        <v>179</v>
      </c>
      <c r="G26" s="26" t="s">
        <v>10</v>
      </c>
      <c r="H26" s="8"/>
      <c r="I26" s="8">
        <v>116.6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2820</v>
      </c>
      <c r="F27" s="25" t="s">
        <v>149</v>
      </c>
      <c r="G27" s="26" t="s">
        <v>9</v>
      </c>
      <c r="H27" s="8"/>
      <c r="I27" s="8">
        <v>270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2820</v>
      </c>
      <c r="F28" s="25" t="s">
        <v>149</v>
      </c>
      <c r="G28" s="26" t="s">
        <v>6</v>
      </c>
      <c r="H28" s="8"/>
      <c r="I28" s="8">
        <v>50</v>
      </c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base!$A$2:$A$10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G35:G41 G29:G31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topLeftCell="B1" zoomScale="80" zoomScaleNormal="80" workbookViewId="0">
      <selection activeCell="E26" sqref="E26:I29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45101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1280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2830</v>
      </c>
      <c r="D6" s="2"/>
      <c r="E6" s="18">
        <v>2834</v>
      </c>
      <c r="F6" s="25" t="s">
        <v>180</v>
      </c>
      <c r="G6" s="26" t="s">
        <v>7</v>
      </c>
      <c r="H6" s="52">
        <v>1100</v>
      </c>
      <c r="I6" s="8">
        <v>550</v>
      </c>
      <c r="J6" s="2"/>
      <c r="K6" s="25"/>
      <c r="L6" s="9"/>
      <c r="M6" s="16"/>
      <c r="R6" s="1">
        <f>IF(vend24[[#This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2835</v>
      </c>
      <c r="F7" s="25" t="s">
        <v>181</v>
      </c>
      <c r="G7" s="64" t="s">
        <v>9</v>
      </c>
      <c r="H7" s="52">
        <v>180</v>
      </c>
      <c r="I7" s="52">
        <v>130</v>
      </c>
      <c r="J7" s="2"/>
      <c r="K7" s="25"/>
      <c r="L7" s="9"/>
      <c r="M7" s="16"/>
      <c r="R7" s="1">
        <f>IF(vend24[[#This Row],[Nº Venda]]&gt;1,1,0)</f>
        <v>1</v>
      </c>
    </row>
    <row r="8" spans="2:18" ht="15.6">
      <c r="B8" s="28" t="s">
        <v>25</v>
      </c>
      <c r="C8" s="29">
        <f>SUM(C6:C7)</f>
        <v>2830</v>
      </c>
      <c r="D8" s="2"/>
      <c r="E8" s="18">
        <v>2835</v>
      </c>
      <c r="F8" s="25" t="s">
        <v>181</v>
      </c>
      <c r="G8" s="64" t="s">
        <v>6</v>
      </c>
      <c r="H8" s="52">
        <v>0</v>
      </c>
      <c r="I8" s="52">
        <v>50</v>
      </c>
      <c r="J8" s="2"/>
      <c r="K8" s="25"/>
      <c r="L8" s="9"/>
      <c r="M8" s="16"/>
      <c r="R8" s="1">
        <f>IF(vend24[[#This Row],[Nº Venda]]&gt;1,1,0)</f>
        <v>1</v>
      </c>
    </row>
    <row r="9" spans="2:18" ht="15.6">
      <c r="B9" s="2"/>
      <c r="C9" s="2"/>
      <c r="D9" s="2"/>
      <c r="E9" s="18"/>
      <c r="F9" s="64"/>
      <c r="G9" s="64"/>
      <c r="H9" s="52"/>
      <c r="I9" s="52"/>
      <c r="J9" s="2"/>
      <c r="K9" s="25"/>
      <c r="L9" s="9"/>
      <c r="M9" s="16"/>
      <c r="R9" s="1">
        <f>IF(vend24[[#This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6">
      <c r="B11" s="30" t="s">
        <v>6</v>
      </c>
      <c r="C11" s="53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6">
      <c r="B12" s="30" t="s">
        <v>7</v>
      </c>
      <c r="C12" s="53">
        <f>(SUMIF($G$2:$G$31,B12,$I$2:$I$31))+(SUMIF($G$35:$G$41,B12,$H$35:$H$41))</f>
        <v>1750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6">
      <c r="B13" s="30" t="s">
        <v>8</v>
      </c>
      <c r="C13" s="53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IF(vend24[[#This Row],[Nº Venda]]&gt;1,1,0)</f>
        <v>0</v>
      </c>
    </row>
    <row r="14" spans="2:18" ht="15.6">
      <c r="B14" s="30" t="s">
        <v>9</v>
      </c>
      <c r="C14" s="53">
        <f>(SUMIF($G$2:$G$31,B14,$I$2:$I$31))+(SUMIF($G$35:$G$41,B14,$H$35:$H$41))</f>
        <v>1030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IF(vend24[[#This Row],[Nº Venda]]&gt;1,1,0)</f>
        <v>0</v>
      </c>
    </row>
    <row r="15" spans="2:18" ht="15.6">
      <c r="B15" s="30" t="s">
        <v>10</v>
      </c>
      <c r="C15" s="53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6">
      <c r="B16" s="28" t="s">
        <v>11</v>
      </c>
      <c r="C16" s="32">
        <f>SUM(C11:C15)</f>
        <v>2830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6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1280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2819</v>
      </c>
      <c r="F26" s="25" t="s">
        <v>182</v>
      </c>
      <c r="G26" s="26" t="s">
        <v>9</v>
      </c>
      <c r="H26" s="8"/>
      <c r="I26" s="8">
        <v>500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2824</v>
      </c>
      <c r="F27" s="25" t="s">
        <v>183</v>
      </c>
      <c r="G27" s="26" t="s">
        <v>9</v>
      </c>
      <c r="H27" s="8"/>
      <c r="I27" s="8">
        <v>400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2789</v>
      </c>
      <c r="F28" s="25" t="s">
        <v>103</v>
      </c>
      <c r="G28" s="26" t="s">
        <v>7</v>
      </c>
      <c r="H28" s="8"/>
      <c r="I28" s="8">
        <v>1200</v>
      </c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3</v>
      </c>
    </row>
    <row r="41" spans="2:18" ht="15.6">
      <c r="E41" s="35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G10:G22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G35:G41 G30:G31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C1" sqref="C1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45102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6">
      <c r="B8" s="28" t="s">
        <v>25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IF(vend25[[#This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IF(vend25[[#This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6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6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topLeftCell="A21" zoomScale="80" zoomScaleNormal="80" workbookViewId="0">
      <selection activeCell="E26" sqref="E26:I28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45103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2995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3535</v>
      </c>
      <c r="D6" s="2"/>
      <c r="E6" s="18">
        <v>2836</v>
      </c>
      <c r="F6" s="25" t="s">
        <v>184</v>
      </c>
      <c r="G6" s="26" t="s">
        <v>9</v>
      </c>
      <c r="H6" s="52">
        <v>850</v>
      </c>
      <c r="I6" s="8">
        <v>850</v>
      </c>
      <c r="J6" s="2"/>
      <c r="K6" s="25"/>
      <c r="L6" s="9"/>
      <c r="M6" s="16"/>
      <c r="R6" s="1">
        <f>IF(vend26[[#This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2837</v>
      </c>
      <c r="F7" s="25" t="s">
        <v>185</v>
      </c>
      <c r="G7" s="64" t="s">
        <v>9</v>
      </c>
      <c r="H7" s="52">
        <v>150</v>
      </c>
      <c r="I7" s="52">
        <v>150</v>
      </c>
      <c r="J7" s="2"/>
      <c r="K7" s="25"/>
      <c r="L7" s="9"/>
      <c r="M7" s="16"/>
      <c r="R7" s="1">
        <f>IF(vend26[[#This Row],[Nº Venda]]&gt;1,1,0)</f>
        <v>1</v>
      </c>
    </row>
    <row r="8" spans="2:18" ht="15.6">
      <c r="B8" s="28" t="s">
        <v>25</v>
      </c>
      <c r="C8" s="29">
        <f>SUM(C6:C7)</f>
        <v>3535</v>
      </c>
      <c r="D8" s="2"/>
      <c r="E8" s="18">
        <v>2838</v>
      </c>
      <c r="F8" s="64" t="s">
        <v>186</v>
      </c>
      <c r="G8" s="64" t="s">
        <v>9</v>
      </c>
      <c r="H8" s="52">
        <v>265</v>
      </c>
      <c r="I8" s="52">
        <v>265</v>
      </c>
      <c r="J8" s="2"/>
      <c r="K8" s="25"/>
      <c r="L8" s="9"/>
      <c r="M8" s="16"/>
      <c r="R8" s="1">
        <f>IF(vend26[[#This Row],[Nº Venda]]&gt;1,1,0)</f>
        <v>1</v>
      </c>
    </row>
    <row r="9" spans="2:18" ht="15.6">
      <c r="B9" s="2"/>
      <c r="C9" s="2"/>
      <c r="D9" s="2"/>
      <c r="E9" s="18">
        <v>2839</v>
      </c>
      <c r="F9" s="64" t="s">
        <v>187</v>
      </c>
      <c r="G9" s="64" t="s">
        <v>22</v>
      </c>
      <c r="H9" s="52">
        <v>0</v>
      </c>
      <c r="I9" s="52">
        <v>0</v>
      </c>
      <c r="J9" s="2"/>
      <c r="K9" s="25"/>
      <c r="L9" s="9"/>
      <c r="M9" s="16"/>
      <c r="R9" s="1">
        <f>IF(vend26[[#This Row],[Nº Venda]]&gt;1,1,0)</f>
        <v>1</v>
      </c>
    </row>
    <row r="10" spans="2:18" ht="15.6">
      <c r="B10" s="88" t="s">
        <v>5</v>
      </c>
      <c r="C10" s="88"/>
      <c r="D10" s="2"/>
      <c r="E10" s="18">
        <v>2840</v>
      </c>
      <c r="F10" s="64" t="s">
        <v>188</v>
      </c>
      <c r="G10" s="64" t="s">
        <v>9</v>
      </c>
      <c r="H10" s="52">
        <v>690</v>
      </c>
      <c r="I10" s="52">
        <v>690</v>
      </c>
      <c r="J10" s="2"/>
      <c r="K10" s="25"/>
      <c r="L10" s="9"/>
      <c r="M10" s="16"/>
      <c r="R10" s="1">
        <f>IF(vend26[[#This Row],[Nº Venda]]&gt;1,1,0)</f>
        <v>1</v>
      </c>
    </row>
    <row r="11" spans="2:18" ht="15.6">
      <c r="B11" s="30" t="s">
        <v>6</v>
      </c>
      <c r="C11" s="31">
        <f>(SUMIF($G$2:$G$31,B11,$I$2:$I$31))+(SUMIF($G$35:$G$41,B11,$H$35:$H$41))</f>
        <v>330</v>
      </c>
      <c r="D11" s="2"/>
      <c r="E11" s="18">
        <v>2841</v>
      </c>
      <c r="F11" s="64" t="s">
        <v>189</v>
      </c>
      <c r="G11" s="64" t="s">
        <v>9</v>
      </c>
      <c r="H11" s="52">
        <v>350</v>
      </c>
      <c r="I11" s="52">
        <v>350</v>
      </c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1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>
        <v>2842</v>
      </c>
      <c r="F12" s="64" t="s">
        <v>190</v>
      </c>
      <c r="G12" s="64" t="s">
        <v>6</v>
      </c>
      <c r="H12" s="52">
        <v>690</v>
      </c>
      <c r="I12" s="52">
        <v>50</v>
      </c>
      <c r="J12" s="2"/>
      <c r="R12" s="1">
        <f>IF(vend26[[#This Row],[Nº Venda]]&gt;1,1,0)</f>
        <v>1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IF(vend26[[#This Row],[Nº Venda]]&gt;1,1,0)</f>
        <v>0</v>
      </c>
    </row>
    <row r="14" spans="2:18" ht="15.6">
      <c r="B14" s="30" t="s">
        <v>9</v>
      </c>
      <c r="C14" s="31">
        <f t="shared" si="0"/>
        <v>3205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IF(vend26[[#This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6">
      <c r="B16" s="28" t="s">
        <v>11</v>
      </c>
      <c r="C16" s="32">
        <f>SUM(C11:C15)</f>
        <v>3535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6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2995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2793</v>
      </c>
      <c r="F26" s="25" t="s">
        <v>107</v>
      </c>
      <c r="G26" s="26" t="s">
        <v>6</v>
      </c>
      <c r="H26" s="8"/>
      <c r="I26" s="8">
        <v>280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2816</v>
      </c>
      <c r="F27" s="25" t="s">
        <v>191</v>
      </c>
      <c r="G27" s="26" t="s">
        <v>9</v>
      </c>
      <c r="H27" s="8"/>
      <c r="I27" s="8">
        <v>900</v>
      </c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7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G35:G41 G29:G31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G14:G22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4B92-8D4A-45C2-9A3E-DC6979332D7C}">
  <dimension ref="B1:R41"/>
  <sheetViews>
    <sheetView showGridLines="0" topLeftCell="B1" zoomScale="80" zoomScaleNormal="80" workbookViewId="0">
      <selection activeCell="E6" sqref="E6:I7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45104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 t="s">
        <v>192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700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700</v>
      </c>
      <c r="D6" s="2"/>
      <c r="E6" s="18">
        <v>2843</v>
      </c>
      <c r="F6" s="25" t="s">
        <v>193</v>
      </c>
      <c r="G6" s="26" t="s">
        <v>7</v>
      </c>
      <c r="H6" s="52">
        <v>700</v>
      </c>
      <c r="I6" s="8">
        <v>700</v>
      </c>
      <c r="J6" s="2"/>
      <c r="K6" s="25"/>
      <c r="L6" s="9"/>
      <c r="M6" s="16"/>
      <c r="R6" s="1">
        <f>IF(vend31171[[#This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64"/>
      <c r="H7" s="52"/>
      <c r="I7" s="52"/>
      <c r="J7" s="2"/>
      <c r="K7" s="25"/>
      <c r="L7" s="9"/>
      <c r="M7" s="16"/>
      <c r="R7" s="1">
        <f>IF(vend31171[[#This Row],[Nº Venda]]&gt;1,1,0)</f>
        <v>0</v>
      </c>
    </row>
    <row r="8" spans="2:18" ht="15.6">
      <c r="B8" s="28" t="s">
        <v>25</v>
      </c>
      <c r="C8" s="29">
        <f>SUM(C6:C7)</f>
        <v>700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IF(vend31171[[#This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IF(vend31171[[#This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IF(vend31171[[#This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IF(vend31171[[#This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700</v>
      </c>
      <c r="D12" s="2"/>
      <c r="E12" s="18"/>
      <c r="F12" s="25"/>
      <c r="G12" s="26"/>
      <c r="H12" s="8"/>
      <c r="I12" s="8"/>
      <c r="J12" s="2"/>
      <c r="R12" s="1">
        <f>IF(vend31171[[#This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IF(vend31171[[#This Row],[Nº Venda]]&gt;1,1,0)</f>
        <v>0</v>
      </c>
    </row>
    <row r="14" spans="2:18" ht="15.6">
      <c r="B14" s="30" t="s">
        <v>9</v>
      </c>
      <c r="C14" s="31">
        <v>3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IF(vend31171[[#This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IF(vend31171[[#This Row],[Nº Venda]]&gt;1,1,0)</f>
        <v>0</v>
      </c>
    </row>
    <row r="16" spans="2:18" ht="15.6">
      <c r="B16" s="28" t="s">
        <v>11</v>
      </c>
      <c r="C16" s="32">
        <f>SUM(C11:C15)</f>
        <v>703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IF(vend31171[[#This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IF(vend31171[[#This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IF(vend31171[[#This Row],[Nº Venda]]&gt;1,1,0)</f>
        <v>0</v>
      </c>
    </row>
    <row r="19" spans="2:18" ht="15.6">
      <c r="B19" s="30">
        <f>COUNT(entr_carn31176[OS])</f>
        <v>0</v>
      </c>
      <c r="C19" s="31">
        <f>SUM(entr_carn31176[Valor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IF(vend31171[[#This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IF(vend31171[[#This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700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1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49DF8CB-0505-481C-AF41-2240B541C2A8}">
      <formula1>"1,2,3,4,5,6,7,8,9,10"</formula1>
    </dataValidation>
    <dataValidation type="list" allowBlank="1" showInputMessage="1" showErrorMessage="1" sqref="M15:M31" xr:uid="{15C85B5A-9155-4575-A8F2-D3A15F934CB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C2AC6C1-626C-455F-8608-FB4C5E0C2E7E}">
          <x14:formula1>
            <xm:f>base!$E$2:$E$79</xm:f>
          </x14:formula1>
          <xm:sqref>I35:I41</xm:sqref>
        </x14:dataValidation>
        <x14:dataValidation type="list" allowBlank="1" showInputMessage="1" showErrorMessage="1" xr:uid="{FD3DB8CA-3F82-4544-8A6A-4BE84FFE483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B71D89A-B1DA-4EB1-8505-D66A8BE2E67A}">
          <x14:formula1>
            <xm:f>base!$A$2:$A$9</xm:f>
          </x14:formula1>
          <xm:sqref>G8:G22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topLeftCell="B7" zoomScale="80" zoomScaleNormal="80" workbookViewId="0">
      <selection activeCell="F8" sqref="F8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6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f>'27'!B1+1</f>
        <v>45105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800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757</v>
      </c>
      <c r="D6" s="2"/>
      <c r="E6" s="18">
        <v>2844</v>
      </c>
      <c r="F6" s="25" t="s">
        <v>194</v>
      </c>
      <c r="G6" s="26" t="s">
        <v>22</v>
      </c>
      <c r="H6" s="52">
        <v>0</v>
      </c>
      <c r="I6" s="8">
        <v>0</v>
      </c>
      <c r="J6" s="2"/>
      <c r="K6" s="25" t="s">
        <v>195</v>
      </c>
      <c r="L6" s="9" t="s">
        <v>7</v>
      </c>
      <c r="M6" s="16">
        <v>10</v>
      </c>
      <c r="R6" s="1">
        <f>IF(vend28[[#This Row],[Nº Venda]]&gt;1,1,0)</f>
        <v>1</v>
      </c>
    </row>
    <row r="7" spans="2:18" ht="15.6">
      <c r="B7" s="23" t="s">
        <v>3</v>
      </c>
      <c r="C7" s="24">
        <f>SUM(M6:M11)</f>
        <v>10</v>
      </c>
      <c r="D7" s="2"/>
      <c r="E7" s="18">
        <v>2845</v>
      </c>
      <c r="F7" s="25" t="s">
        <v>196</v>
      </c>
      <c r="G7" s="72" t="s">
        <v>22</v>
      </c>
      <c r="H7" s="52">
        <v>0</v>
      </c>
      <c r="I7" s="52">
        <v>0</v>
      </c>
      <c r="J7" s="2"/>
      <c r="K7" s="25"/>
      <c r="L7" s="9"/>
      <c r="M7" s="16"/>
      <c r="R7" s="1">
        <f>IF(vend28[[#This Row],[Nº Venda]]&gt;1,1,0)</f>
        <v>1</v>
      </c>
    </row>
    <row r="8" spans="2:18" ht="15.6">
      <c r="B8" s="28" t="s">
        <v>25</v>
      </c>
      <c r="C8" s="29">
        <f>SUM(C6:C7)</f>
        <v>767</v>
      </c>
      <c r="D8" s="2"/>
      <c r="E8" s="18">
        <v>2846</v>
      </c>
      <c r="F8" s="72" t="s">
        <v>197</v>
      </c>
      <c r="G8" s="72" t="s">
        <v>7</v>
      </c>
      <c r="H8" s="52">
        <v>350</v>
      </c>
      <c r="I8" s="52">
        <v>50</v>
      </c>
      <c r="J8" s="2"/>
      <c r="K8" s="25"/>
      <c r="L8" s="9"/>
      <c r="M8" s="16"/>
      <c r="R8" s="1">
        <f>IF(vend28[[#This Row],[Nº Venda]]&gt;1,1,0)</f>
        <v>1</v>
      </c>
    </row>
    <row r="9" spans="2:18" ht="15.6">
      <c r="B9" s="2"/>
      <c r="C9" s="2"/>
      <c r="D9" s="2"/>
      <c r="E9" s="18">
        <v>2847</v>
      </c>
      <c r="F9" s="72" t="s">
        <v>198</v>
      </c>
      <c r="G9" s="72" t="s">
        <v>10</v>
      </c>
      <c r="H9" s="52">
        <v>450</v>
      </c>
      <c r="I9" s="52">
        <v>100</v>
      </c>
      <c r="J9" s="2"/>
      <c r="K9" s="25"/>
      <c r="L9" s="9"/>
      <c r="M9" s="16"/>
      <c r="R9" s="1">
        <f>IF(vend28[[#This Row],[Nº Venda]]&gt;1,1,0)</f>
        <v>1</v>
      </c>
    </row>
    <row r="10" spans="2:18" ht="15.6">
      <c r="B10" s="88" t="s">
        <v>5</v>
      </c>
      <c r="C10" s="88"/>
      <c r="D10" s="2"/>
      <c r="E10" s="18"/>
      <c r="F10" s="64"/>
      <c r="G10" s="64"/>
      <c r="H10" s="52"/>
      <c r="I10" s="52"/>
      <c r="J10" s="2"/>
      <c r="K10" s="25"/>
      <c r="L10" s="9"/>
      <c r="M10" s="16"/>
      <c r="R10" s="1">
        <f>IF(vend28[[#This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82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IF(vend28[[#This Row],[Nº Venda]]&gt;1,1,0)</f>
        <v>0</v>
      </c>
    </row>
    <row r="14" spans="2:18" ht="15.6">
      <c r="B14" s="30" t="s">
        <v>9</v>
      </c>
      <c r="C14" s="31">
        <f t="shared" si="0"/>
        <v>400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IF(vend28[[#This Row],[Nº Venda]]&gt;1,1,0)</f>
        <v>0</v>
      </c>
    </row>
    <row r="15" spans="2:18" ht="15.6">
      <c r="B15" s="30" t="s">
        <v>10</v>
      </c>
      <c r="C15" s="31">
        <f t="shared" si="0"/>
        <v>225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6">
      <c r="B16" s="28" t="s">
        <v>11</v>
      </c>
      <c r="C16" s="32">
        <f>SUM(C11:C15)</f>
        <v>757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6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800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2814</v>
      </c>
      <c r="F26" s="25" t="s">
        <v>199</v>
      </c>
      <c r="G26" s="26" t="s">
        <v>9</v>
      </c>
      <c r="H26" s="8"/>
      <c r="I26" s="8">
        <v>400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2542</v>
      </c>
      <c r="F27" s="25" t="s">
        <v>200</v>
      </c>
      <c r="G27" s="26" t="s">
        <v>10</v>
      </c>
      <c r="H27" s="8"/>
      <c r="I27" s="8">
        <v>125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2418</v>
      </c>
      <c r="F28" s="25" t="s">
        <v>201</v>
      </c>
      <c r="G28" s="26" t="s">
        <v>6</v>
      </c>
      <c r="H28" s="8"/>
      <c r="I28" s="8">
        <v>82</v>
      </c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4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G11:G22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G35:G41 G31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K6" sqref="K6:M7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45472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350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20</v>
      </c>
      <c r="D6" s="2"/>
      <c r="E6" s="18">
        <v>2848</v>
      </c>
      <c r="F6" s="25" t="s">
        <v>202</v>
      </c>
      <c r="G6" s="26" t="s">
        <v>7</v>
      </c>
      <c r="H6" s="52">
        <v>350</v>
      </c>
      <c r="I6" s="8">
        <v>20</v>
      </c>
      <c r="J6" s="2"/>
      <c r="K6" s="25" t="s">
        <v>203</v>
      </c>
      <c r="L6" s="9" t="s">
        <v>7</v>
      </c>
      <c r="M6" s="16">
        <v>3.26</v>
      </c>
      <c r="R6" s="1">
        <f>IF(vend29[[#This Row],[Nº Venda]]&gt;1,1,0)</f>
        <v>1</v>
      </c>
    </row>
    <row r="7" spans="2:18" ht="15.6">
      <c r="B7" s="23" t="s">
        <v>3</v>
      </c>
      <c r="C7" s="24">
        <f>SUM(M6:M11)</f>
        <v>3.26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6">
      <c r="B8" s="28" t="s">
        <v>25</v>
      </c>
      <c r="C8" s="29">
        <f>SUM(C6:C7)</f>
        <v>23.259999999999998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20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IF(vend29[[#This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IF(vend29[[#This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6">
      <c r="B16" s="28" t="s">
        <v>11</v>
      </c>
      <c r="C16" s="32">
        <f>SUM(C11:C15)</f>
        <v>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6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350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1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G7:G22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topLeftCell="B1" zoomScale="80" zoomScaleNormal="80" workbookViewId="0">
      <selection activeCell="E29" sqref="E29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>
        <v>45107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3259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1217</v>
      </c>
      <c r="D6" s="2"/>
      <c r="E6" s="18">
        <v>2849</v>
      </c>
      <c r="F6" s="25" t="s">
        <v>204</v>
      </c>
      <c r="G6" s="26" t="s">
        <v>6</v>
      </c>
      <c r="H6" s="52">
        <v>700</v>
      </c>
      <c r="I6" s="8">
        <v>10</v>
      </c>
      <c r="J6" s="2"/>
      <c r="K6" s="18">
        <v>2691</v>
      </c>
      <c r="L6" s="25" t="s">
        <v>205</v>
      </c>
      <c r="M6" s="26" t="s">
        <v>10</v>
      </c>
      <c r="N6" s="8"/>
      <c r="O6" s="8">
        <v>250</v>
      </c>
      <c r="R6" s="1">
        <f>IF(vend30[[#This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2850</v>
      </c>
      <c r="F7" s="25" t="s">
        <v>206</v>
      </c>
      <c r="G7" s="72" t="s">
        <v>9</v>
      </c>
      <c r="H7" s="52">
        <v>400</v>
      </c>
      <c r="I7" s="83">
        <v>400</v>
      </c>
      <c r="J7" s="2"/>
      <c r="K7" s="25"/>
      <c r="L7" s="9"/>
      <c r="M7" s="16"/>
      <c r="R7" s="1">
        <f>IF(vend30[[#This Row],[Nº Venda]]&gt;1,1,0)</f>
        <v>1</v>
      </c>
    </row>
    <row r="8" spans="2:18" ht="15.6">
      <c r="B8" s="28" t="s">
        <v>25</v>
      </c>
      <c r="C8" s="29">
        <f>SUM(C6:C7)</f>
        <v>1217</v>
      </c>
      <c r="D8" s="2"/>
      <c r="E8" s="18">
        <v>2851</v>
      </c>
      <c r="F8" s="72" t="s">
        <v>207</v>
      </c>
      <c r="G8" s="72" t="s">
        <v>9</v>
      </c>
      <c r="H8" s="52">
        <v>380</v>
      </c>
      <c r="I8" s="52">
        <v>380</v>
      </c>
      <c r="J8" s="2"/>
      <c r="K8" s="25"/>
      <c r="L8" s="9"/>
      <c r="M8" s="16"/>
      <c r="R8" s="1">
        <f>IF(vend30[[#This Row],[Nº Venda]]&gt;1,1,0)</f>
        <v>1</v>
      </c>
    </row>
    <row r="9" spans="2:18" ht="15.6">
      <c r="B9" s="2"/>
      <c r="C9" s="2"/>
      <c r="D9" s="2"/>
      <c r="E9" s="18">
        <v>2852</v>
      </c>
      <c r="F9" s="72" t="s">
        <v>208</v>
      </c>
      <c r="G9" s="72" t="s">
        <v>6</v>
      </c>
      <c r="H9" s="52">
        <v>700</v>
      </c>
      <c r="I9" s="52">
        <v>22</v>
      </c>
      <c r="J9" s="2"/>
      <c r="K9" s="25"/>
      <c r="L9" s="9"/>
      <c r="M9" s="16"/>
      <c r="R9" s="1">
        <f>IF(vend30[[#This Row],[Nº Venda]]&gt;1,1,0)</f>
        <v>1</v>
      </c>
    </row>
    <row r="10" spans="2:18" ht="15.6">
      <c r="B10" s="88" t="s">
        <v>5</v>
      </c>
      <c r="C10" s="88"/>
      <c r="D10" s="2"/>
      <c r="E10" s="18">
        <v>2853</v>
      </c>
      <c r="F10" s="72" t="s">
        <v>209</v>
      </c>
      <c r="G10" s="64" t="s">
        <v>6</v>
      </c>
      <c r="H10" s="52">
        <v>280</v>
      </c>
      <c r="I10" s="52">
        <v>150</v>
      </c>
      <c r="J10" s="2"/>
      <c r="K10" s="25"/>
      <c r="L10" s="9"/>
      <c r="M10" s="16"/>
      <c r="R10" s="1">
        <f>IF(vend30[[#This Row],[Nº Venda]]&gt;1,1,0)</f>
        <v>1</v>
      </c>
    </row>
    <row r="11" spans="2:18" ht="15.6">
      <c r="B11" s="30" t="s">
        <v>6</v>
      </c>
      <c r="C11" s="31">
        <f>(SUMIF($G$2:$G$31,B11,$I$2:$I$31))+(SUMIF($G$35:$G$41,B11,$H$35:$H$41))</f>
        <v>187</v>
      </c>
      <c r="D11" s="2"/>
      <c r="E11" s="18">
        <v>2854</v>
      </c>
      <c r="F11" s="72" t="s">
        <v>210</v>
      </c>
      <c r="G11" s="72" t="s">
        <v>22</v>
      </c>
      <c r="H11" s="52">
        <v>0</v>
      </c>
      <c r="I11" s="52">
        <v>0</v>
      </c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1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>
        <v>2855</v>
      </c>
      <c r="F12" s="72" t="s">
        <v>211</v>
      </c>
      <c r="G12" s="72" t="s">
        <v>6</v>
      </c>
      <c r="H12" s="52">
        <v>799</v>
      </c>
      <c r="I12" s="52">
        <v>5</v>
      </c>
      <c r="J12" s="2"/>
      <c r="R12" s="1">
        <f>IF(vend30[[#This Row],[Nº Venda]]&gt;1,1,0)</f>
        <v>1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IF(vend30[[#This Row],[Nº Venda]]&gt;1,1,0)</f>
        <v>0</v>
      </c>
    </row>
    <row r="14" spans="2:18" ht="15.6">
      <c r="B14" s="30" t="s">
        <v>9</v>
      </c>
      <c r="C14" s="31">
        <f t="shared" si="0"/>
        <v>780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IF(vend30[[#This Row],[Nº Venda]]&gt;1,1,0)</f>
        <v>0</v>
      </c>
    </row>
    <row r="15" spans="2:18" ht="15.6">
      <c r="B15" s="30" t="s">
        <v>10</v>
      </c>
      <c r="C15" s="31">
        <f t="shared" si="0"/>
        <v>250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6">
      <c r="B16" s="28" t="s">
        <v>11</v>
      </c>
      <c r="C16" s="32">
        <f>SUM(C11:C15)</f>
        <v>1217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6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3259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2691</v>
      </c>
      <c r="F26" s="25" t="s">
        <v>205</v>
      </c>
      <c r="G26" s="26" t="s">
        <v>10</v>
      </c>
      <c r="H26" s="8"/>
      <c r="I26" s="8">
        <v>250</v>
      </c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7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G35:G41 G27:G31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G13:G22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opLeftCell="A14" zoomScale="80" zoomScaleNormal="80" workbookViewId="0">
      <selection activeCell="B1" sqref="B1"/>
    </sheetView>
  </sheetViews>
  <sheetFormatPr defaultColWidth="9.140625" defaultRowHeight="13.1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1.140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2.9">
      <c r="B1" s="41" t="s">
        <v>212</v>
      </c>
    </row>
    <row r="2" spans="2:18" ht="18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5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6">
      <c r="B8" s="28" t="s">
        <v>25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6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28</v>
      </c>
      <c r="L13" s="91"/>
      <c r="M13" s="92"/>
      <c r="R13" s="1">
        <f>IF(vend31[[#This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IF(vend31[[#This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6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6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6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5">
      <c r="B23" s="2"/>
      <c r="C23" s="2"/>
      <c r="D23" s="2"/>
      <c r="E23" s="33"/>
      <c r="H23" s="7"/>
      <c r="J23" s="2"/>
      <c r="K23" s="25"/>
      <c r="L23" s="9"/>
      <c r="M23" s="16"/>
    </row>
    <row r="24" spans="2:18" ht="14.45">
      <c r="B24" s="2"/>
      <c r="C24" s="2"/>
      <c r="D24" s="2"/>
      <c r="E24" s="89" t="s">
        <v>33</v>
      </c>
      <c r="F24" s="89"/>
      <c r="G24" s="89"/>
      <c r="H24" s="89"/>
      <c r="I24" s="89"/>
      <c r="J24" s="2"/>
      <c r="K24" s="25"/>
      <c r="L24" s="9"/>
      <c r="M24" s="16"/>
    </row>
    <row r="25" spans="2:18" ht="14.4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5">
      <c r="B32" s="2"/>
      <c r="C32" s="2"/>
      <c r="E32" s="33"/>
    </row>
    <row r="33" spans="2:18" ht="14.45">
      <c r="B33" s="2"/>
      <c r="C33" s="2"/>
      <c r="E33" s="89" t="s">
        <v>37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5">
      <c r="E34" s="10" t="s">
        <v>29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29</v>
      </c>
      <c r="L34" s="6" t="s">
        <v>40</v>
      </c>
      <c r="M34" s="15" t="s">
        <v>41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42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B11" sqref="B11"/>
    </sheetView>
  </sheetViews>
  <sheetFormatPr defaultRowHeight="13.15"/>
  <cols>
    <col min="1" max="1" width="13.140625" bestFit="1" customWidth="1"/>
    <col min="2" max="2" width="22.140625" bestFit="1" customWidth="1"/>
    <col min="5" max="5" width="11.5703125" customWidth="1"/>
  </cols>
  <sheetData>
    <row r="1" spans="1:5">
      <c r="A1" s="38" t="s">
        <v>213</v>
      </c>
      <c r="B1" s="38" t="s">
        <v>214</v>
      </c>
      <c r="E1" s="38" t="s">
        <v>215</v>
      </c>
    </row>
    <row r="2" spans="1:5">
      <c r="A2" s="38" t="s">
        <v>6</v>
      </c>
      <c r="B2" s="38" t="s">
        <v>216</v>
      </c>
      <c r="E2" t="s">
        <v>217</v>
      </c>
    </row>
    <row r="3" spans="1:5">
      <c r="A3" s="38" t="s">
        <v>7</v>
      </c>
      <c r="B3" s="38" t="s">
        <v>218</v>
      </c>
      <c r="E3" t="s">
        <v>219</v>
      </c>
    </row>
    <row r="4" spans="1:5">
      <c r="A4" s="38" t="s">
        <v>8</v>
      </c>
      <c r="B4" s="38" t="s">
        <v>220</v>
      </c>
      <c r="E4" t="s">
        <v>221</v>
      </c>
    </row>
    <row r="5" spans="1:5">
      <c r="A5" s="38" t="s">
        <v>9</v>
      </c>
      <c r="B5" s="38" t="s">
        <v>222</v>
      </c>
      <c r="E5" t="s">
        <v>223</v>
      </c>
    </row>
    <row r="6" spans="1:5">
      <c r="A6" s="38" t="s">
        <v>10</v>
      </c>
      <c r="B6" s="38" t="s">
        <v>10</v>
      </c>
      <c r="E6" t="s">
        <v>224</v>
      </c>
    </row>
    <row r="7" spans="1:5">
      <c r="A7" s="38" t="s">
        <v>22</v>
      </c>
      <c r="B7" s="38" t="s">
        <v>225</v>
      </c>
      <c r="E7" t="s">
        <v>226</v>
      </c>
    </row>
    <row r="8" spans="1:5">
      <c r="A8" t="s">
        <v>31</v>
      </c>
      <c r="B8" t="s">
        <v>227</v>
      </c>
      <c r="E8" t="s">
        <v>228</v>
      </c>
    </row>
    <row r="9" spans="1:5">
      <c r="A9" s="38" t="s">
        <v>229</v>
      </c>
      <c r="B9" s="38" t="s">
        <v>230</v>
      </c>
      <c r="E9" t="s">
        <v>231</v>
      </c>
    </row>
    <row r="10" spans="1:5">
      <c r="A10" t="s">
        <v>232</v>
      </c>
      <c r="B10" t="s">
        <v>233</v>
      </c>
      <c r="E10" t="s">
        <v>234</v>
      </c>
    </row>
    <row r="11" spans="1:5">
      <c r="E11" t="s">
        <v>235</v>
      </c>
    </row>
    <row r="12" spans="1:5">
      <c r="E12" t="s">
        <v>236</v>
      </c>
    </row>
    <row r="13" spans="1:5">
      <c r="E13" t="s">
        <v>154</v>
      </c>
    </row>
    <row r="14" spans="1:5">
      <c r="E14" t="s">
        <v>237</v>
      </c>
    </row>
    <row r="15" spans="1:5">
      <c r="E15" t="s">
        <v>238</v>
      </c>
    </row>
    <row r="16" spans="1:5">
      <c r="E16" t="s">
        <v>239</v>
      </c>
    </row>
    <row r="17" spans="5:5">
      <c r="E17" t="s">
        <v>240</v>
      </c>
    </row>
    <row r="18" spans="5:5">
      <c r="E18" t="s">
        <v>241</v>
      </c>
    </row>
    <row r="19" spans="5:5">
      <c r="E19" t="s">
        <v>242</v>
      </c>
    </row>
    <row r="20" spans="5:5">
      <c r="E20" t="s">
        <v>243</v>
      </c>
    </row>
    <row r="21" spans="5:5">
      <c r="E21" t="s">
        <v>244</v>
      </c>
    </row>
    <row r="22" spans="5:5">
      <c r="E22" t="s">
        <v>245</v>
      </c>
    </row>
    <row r="23" spans="5:5">
      <c r="E23" t="s">
        <v>246</v>
      </c>
    </row>
    <row r="24" spans="5:5">
      <c r="E24" t="s">
        <v>247</v>
      </c>
    </row>
    <row r="25" spans="5:5">
      <c r="E25" t="s">
        <v>248</v>
      </c>
    </row>
    <row r="26" spans="5:5">
      <c r="E26" t="s">
        <v>249</v>
      </c>
    </row>
    <row r="27" spans="5:5">
      <c r="E27" t="s">
        <v>156</v>
      </c>
    </row>
    <row r="28" spans="5:5">
      <c r="E28" t="s">
        <v>250</v>
      </c>
    </row>
    <row r="29" spans="5:5">
      <c r="E29" t="s">
        <v>251</v>
      </c>
    </row>
    <row r="30" spans="5:5">
      <c r="E30" t="s">
        <v>252</v>
      </c>
    </row>
    <row r="31" spans="5:5">
      <c r="E31" t="s">
        <v>253</v>
      </c>
    </row>
    <row r="32" spans="5:5">
      <c r="E32" t="s">
        <v>254</v>
      </c>
    </row>
    <row r="33" spans="5:5">
      <c r="E33" t="s">
        <v>255</v>
      </c>
    </row>
    <row r="34" spans="5:5">
      <c r="E34" t="s">
        <v>256</v>
      </c>
    </row>
    <row r="35" spans="5:5">
      <c r="E35" t="s">
        <v>257</v>
      </c>
    </row>
    <row r="36" spans="5:5">
      <c r="E36" t="s">
        <v>258</v>
      </c>
    </row>
    <row r="37" spans="5:5">
      <c r="E37" t="s">
        <v>259</v>
      </c>
    </row>
    <row r="38" spans="5:5">
      <c r="E38" t="s">
        <v>260</v>
      </c>
    </row>
    <row r="39" spans="5:5">
      <c r="E39" t="s">
        <v>261</v>
      </c>
    </row>
    <row r="40" spans="5:5">
      <c r="E40" t="s">
        <v>262</v>
      </c>
    </row>
    <row r="41" spans="5:5">
      <c r="E41" t="s">
        <v>263</v>
      </c>
    </row>
    <row r="42" spans="5:5">
      <c r="E42" t="s">
        <v>264</v>
      </c>
    </row>
    <row r="43" spans="5:5">
      <c r="E43" t="s">
        <v>265</v>
      </c>
    </row>
    <row r="44" spans="5:5">
      <c r="E44" t="s">
        <v>266</v>
      </c>
    </row>
    <row r="45" spans="5:5">
      <c r="E45" t="s">
        <v>267</v>
      </c>
    </row>
    <row r="46" spans="5:5">
      <c r="E46" t="s">
        <v>268</v>
      </c>
    </row>
    <row r="47" spans="5:5">
      <c r="E47" t="s">
        <v>269</v>
      </c>
    </row>
    <row r="48" spans="5:5">
      <c r="E48" t="s">
        <v>270</v>
      </c>
    </row>
    <row r="49" spans="5:5">
      <c r="E49" t="s">
        <v>271</v>
      </c>
    </row>
    <row r="50" spans="5:5">
      <c r="E50" t="s">
        <v>272</v>
      </c>
    </row>
    <row r="51" spans="5:5">
      <c r="E51" t="s">
        <v>273</v>
      </c>
    </row>
    <row r="52" spans="5:5">
      <c r="E52" t="s">
        <v>274</v>
      </c>
    </row>
    <row r="53" spans="5:5">
      <c r="E53" t="s">
        <v>275</v>
      </c>
    </row>
    <row r="54" spans="5:5">
      <c r="E54" t="s">
        <v>276</v>
      </c>
    </row>
    <row r="55" spans="5:5">
      <c r="E55" t="s">
        <v>277</v>
      </c>
    </row>
    <row r="56" spans="5:5">
      <c r="E56" t="s">
        <v>278</v>
      </c>
    </row>
    <row r="57" spans="5:5">
      <c r="E57" t="s">
        <v>279</v>
      </c>
    </row>
    <row r="58" spans="5:5">
      <c r="E58" t="s">
        <v>280</v>
      </c>
    </row>
    <row r="59" spans="5:5">
      <c r="E59" t="s">
        <v>281</v>
      </c>
    </row>
    <row r="60" spans="5:5">
      <c r="E60" t="s">
        <v>282</v>
      </c>
    </row>
    <row r="61" spans="5:5">
      <c r="E61" t="s">
        <v>283</v>
      </c>
    </row>
    <row r="62" spans="5:5">
      <c r="E62" t="s">
        <v>284</v>
      </c>
    </row>
    <row r="63" spans="5:5">
      <c r="E63" t="s">
        <v>285</v>
      </c>
    </row>
    <row r="64" spans="5:5">
      <c r="E64" t="s">
        <v>286</v>
      </c>
    </row>
    <row r="65" spans="5:5">
      <c r="E65" t="s">
        <v>287</v>
      </c>
    </row>
    <row r="66" spans="5:5">
      <c r="E66" t="s">
        <v>288</v>
      </c>
    </row>
    <row r="67" spans="5:5">
      <c r="E67" t="s">
        <v>289</v>
      </c>
    </row>
    <row r="68" spans="5:5">
      <c r="E68" t="s">
        <v>290</v>
      </c>
    </row>
    <row r="69" spans="5:5">
      <c r="E69" t="s">
        <v>291</v>
      </c>
    </row>
    <row r="70" spans="5:5">
      <c r="E70" t="s">
        <v>292</v>
      </c>
    </row>
    <row r="71" spans="5:5">
      <c r="E71" t="s">
        <v>293</v>
      </c>
    </row>
    <row r="72" spans="5:5">
      <c r="E72" t="s">
        <v>294</v>
      </c>
    </row>
    <row r="73" spans="5:5">
      <c r="E73" t="s">
        <v>295</v>
      </c>
    </row>
    <row r="74" spans="5:5">
      <c r="E74" t="s">
        <v>296</v>
      </c>
    </row>
    <row r="75" spans="5:5">
      <c r="E75" t="s">
        <v>297</v>
      </c>
    </row>
    <row r="76" spans="5:5">
      <c r="E76" t="s">
        <v>298</v>
      </c>
    </row>
    <row r="77" spans="5:5">
      <c r="E77" t="s">
        <v>299</v>
      </c>
    </row>
    <row r="78" spans="5:5">
      <c r="E78" t="s">
        <v>300</v>
      </c>
    </row>
    <row r="79" spans="5:5">
      <c r="E79" t="s">
        <v>301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gilberto Junior</cp:lastModifiedBy>
  <cp:revision/>
  <dcterms:created xsi:type="dcterms:W3CDTF">2004-04-07T20:43:43Z</dcterms:created>
  <dcterms:modified xsi:type="dcterms:W3CDTF">2024-03-27T18:33:35Z</dcterms:modified>
  <cp:category/>
  <cp:contentStatus/>
</cp:coreProperties>
</file>