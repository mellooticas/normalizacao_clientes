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4/"/>
    </mc:Choice>
  </mc:AlternateContent>
  <xr:revisionPtr revIDLastSave="383" documentId="13_ncr:1_{220735E2-67A2-4F22-BFD8-BF6871253FB9}" xr6:coauthVersionLast="47" xr6:coauthVersionMax="47" xr10:uidLastSave="{5B118E4A-336B-4EB7-B291-FC481E220F7A}"/>
  <bookViews>
    <workbookView xWindow="-120" yWindow="-120" windowWidth="20730" windowHeight="11160" tabRatio="89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0" l="1"/>
  <c r="C12" i="188" l="1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5"/>
  <c r="C13" i="195"/>
  <c r="C14" i="195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2" i="198"/>
  <c r="C13" i="198"/>
  <c r="C14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5" i="198"/>
  <c r="C21" i="198" s="1"/>
  <c r="C6" i="174"/>
  <c r="C8" i="174" s="1"/>
  <c r="C6" i="173"/>
  <c r="C6" i="172"/>
  <c r="C8" i="172" s="1"/>
  <c r="C6" i="171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8" i="198"/>
  <c r="C19" i="198" s="1"/>
  <c r="B18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8" i="171"/>
  <c r="C19" i="171" s="1"/>
  <c r="B18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1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N11" i="171" s="1"/>
  <c r="Q40" i="171"/>
  <c r="B13" i="200"/>
  <c r="B5" i="200"/>
  <c r="B11" i="200"/>
  <c r="B10" i="200"/>
  <c r="B9" i="200"/>
  <c r="B3" i="200"/>
  <c r="B4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98"/>
  <c r="C8" i="185"/>
  <c r="C8" i="181"/>
  <c r="C8" i="170"/>
  <c r="C8" i="177"/>
  <c r="C8" i="182"/>
  <c r="C15" i="198"/>
  <c r="O11" i="198" s="1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l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<sst xmlns="http://schemas.openxmlformats.org/spreadsheetml/2006/main" count="1711" uniqueCount="180">
  <si>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</si>
  <si>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</si>
  <si>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</si>
  <si>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</si>
  <si>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</si>
  <si>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</si>
  <si>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</si>
  <si>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</si>
  <si>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</si>
  <si>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</si>
  <si>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</si>
  <si>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</si>
  <si>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</si>
  <si>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</si>
  <si>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</si>
  <si>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</si>
  <si>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</si>
  <si>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</si>
  <si>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</si>
  <si>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</si>
  <si>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</si>
  <si>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</si>
  <si>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</si>
  <si>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</si>
  <si>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</si>
  <si>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</si>
  <si>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</si>
  <si>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</si>
  <si>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</si>
  <si>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</si>
  <si>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</si>
  <si>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</si>
  <si>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</si>
  <si>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Não</t>
  </si>
  <si>
    <t xml:space="preserve"> V</t>
  </si>
  <si>
    <t xml:space="preserve"> </t>
  </si>
  <si>
    <t xml:space="preserve">       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</si>
  <si>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</si>
  <si>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</si>
  <si>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</si>
  <si>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</si>
  <si>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</si>
  <si>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</si>
  <si>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</si>
  <si>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</si>
  <si>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</si>
  <si>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PARC. 1/3</t>
  </si>
  <si>
    <t>PARC. 2/3</t>
  </si>
  <si>
    <t>SS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</si>
  <si>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</si>
  <si>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</si>
  <si>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</si>
  <si>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</si>
  <si>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</si>
  <si>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</si>
  <si>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</si>
  <si>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</si>
  <si>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</si>
  <si>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</si>
  <si>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</si>
  <si>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</si>
  <si>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</si>
  <si>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</si>
  <si>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</si>
  <si>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</si>
  <si>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</si>
  <si>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</si>
  <si>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</si>
  <si>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</si>
  <si>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</si>
  <si>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</si>
  <si>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</si>
  <si>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</si>
  <si>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</si>
  <si>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</si>
  <si>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</si>
  <si>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</si>
  <si>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</si>
  <si>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</si>
  <si>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</si>
  <si>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</si>
  <si>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</si>
  <si>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</si>
  <si>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</si>
  <si>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</si>
  <si>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</si>
  <si>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</si>
  <si>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</si>
  <si>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</si>
  <si>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</si>
  <si>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</si>
  <si>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</si>
  <si>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</si>
  <si>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</si>
  <si>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</si>
  <si>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</si>
  <si>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</si>
  <si>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</si>
  <si>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</si>
  <si>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</si>
  <si>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</si>
  <si>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</si>
  <si>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</si>
  <si>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</si>
  <si>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</si>
  <si>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</si>
  <si>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</si>
  <si>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</si>
  <si>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</si>
  <si>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</si>
  <si>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</si>
  <si>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</si>
  <si>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</si>
  <si>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</si>
  <si>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</si>
  <si>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</si>
  <si>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</si>
  <si>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</si>
  <si>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</si>
  <si>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</si>
  <si>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</si>
  <si>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</si>
  <si>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</si>
  <si>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</si>
  <si>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</si>
  <si>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</si>
  <si>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ROSÂNGELA</t>
  </si>
  <si>
    <t>DORACY SANTOS VIEIRA</t>
  </si>
  <si>
    <t>MIRIAN RIBEIRO GOMES</t>
  </si>
  <si>
    <t>FERNANDA DE BRITO</t>
  </si>
  <si>
    <t>GILEANE DE VASCONCELOS</t>
  </si>
  <si>
    <t>SERGIO CHAGAS</t>
  </si>
  <si>
    <t>ELIZANGELA STEIN</t>
  </si>
  <si>
    <t>Marcia Pereira da Silva</t>
  </si>
  <si>
    <t>Celma Pires de Queiroz</t>
  </si>
  <si>
    <t>Beatriz de Fátima Braulino Oliveira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</si>
  <si>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</si>
  <si>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R++</t>
  </si>
  <si>
    <t>Nilzabete Fagundes Vieira</t>
  </si>
  <si>
    <t>Gleton Silva Maia</t>
  </si>
  <si>
    <t>Edilma Gomes da Silva</t>
  </si>
  <si>
    <t>José Lafaiete de Oliveira</t>
  </si>
  <si>
    <t>Silvia Simões Ferreira Cardoso</t>
  </si>
  <si>
    <t>Camila Oliveira</t>
  </si>
  <si>
    <t>Maria Vitória Carneiro Amorim</t>
  </si>
  <si>
    <t>Júlia Vitória</t>
  </si>
  <si>
    <t>Fernando Soares da Silva</t>
  </si>
  <si>
    <t>Dirce Camargo Ribeiro</t>
  </si>
  <si>
    <t>Giovanna Belluomini Mello</t>
  </si>
  <si>
    <t>Fernando Edson dos Santos</t>
  </si>
  <si>
    <t>Franciele Maria de Lima</t>
  </si>
  <si>
    <t>Maria de Almeida Costa</t>
  </si>
  <si>
    <t>Genésio dos Santos</t>
  </si>
  <si>
    <t>Marli Barros Rocha</t>
  </si>
  <si>
    <t>Dinalva Maria Jesus Pereira</t>
  </si>
  <si>
    <t>Elizangela Stein</t>
  </si>
  <si>
    <t>José Costa da Silva</t>
  </si>
  <si>
    <t>Paulo Marcos Demke</t>
  </si>
  <si>
    <t>Selma Eustaqui Lima</t>
  </si>
  <si>
    <t>Ester Amancio dos Santos da Hora</t>
  </si>
  <si>
    <t>Claudinei Vaz Batista</t>
  </si>
  <si>
    <t>Fagner A lcantara Silva</t>
  </si>
  <si>
    <t>Juarez Anotnio Neto da Silva</t>
  </si>
  <si>
    <t>Daiane de Moraes Carvalho</t>
  </si>
  <si>
    <t>Rita de Cassia C. dos Santos</t>
  </si>
  <si>
    <t>Antinio Silva de Oliveira</t>
  </si>
  <si>
    <t>Serio Borges</t>
  </si>
  <si>
    <t>Maria Eduarda</t>
  </si>
  <si>
    <t>Sim</t>
  </si>
  <si>
    <t>Celma Pires</t>
  </si>
  <si>
    <t>Maria José</t>
  </si>
  <si>
    <t xml:space="preserve">Marcela Lopez </t>
  </si>
  <si>
    <t>Paloma gimenez</t>
  </si>
  <si>
    <t>Juliana Alves</t>
  </si>
  <si>
    <t>garantia</t>
  </si>
  <si>
    <t>garania</t>
  </si>
  <si>
    <t>Adrielly dos Santos Rodrigues</t>
  </si>
  <si>
    <t>Silvana Diaz</t>
  </si>
  <si>
    <t>Cleide Gomes da Silva</t>
  </si>
  <si>
    <t>ROGÉRIO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</si>
</sst>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 Black"/>
      <family val="2"/>
    </font>
    <font>
      <sz val="1"/>
      <name val="Arial Black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7" fontId="34" fillId="0" borderId="17" xfId="0" applyNumberFormat="1" applyFont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7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37" fillId="0" borderId="3" xfId="2" applyFont="1" applyFill="1" applyBorder="1" applyAlignment="1">
      <alignment horizontal="center"/>
    </xf>
    <xf numFmtId="166" fontId="38" fillId="0" borderId="3" xfId="2" applyFont="1" applyFill="1" applyBorder="1" applyAlignment="1">
      <alignment horizontal="center"/>
    </xf>
    <xf numFmtId="167" fontId="38" fillId="0" borderId="3" xfId="4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7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3" xfId="0" applyFont="1" applyBorder="1" applyAlignment="1">
      <alignment horizontal="center"/>
    </xf>
    <xf numFmtId="166" fontId="35" fillId="0" borderId="13" xfId="2" applyFont="1" applyFill="1" applyBorder="1" applyAlignment="1">
      <alignment horizontal="center"/>
    </xf>
    <xf numFmtId="166" fontId="36" fillId="0" borderId="13" xfId="2" applyFont="1" applyFill="1" applyBorder="1" applyAlignment="1">
      <alignment horizontal="center"/>
    </xf>
    <xf numFmtId="167" fontId="36" fillId="0" borderId="13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6" fontId="36" fillId="0" borderId="17" xfId="2" applyFont="1" applyFill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166" fontId="37" fillId="0" borderId="17" xfId="2" applyFont="1" applyFill="1" applyBorder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6" fontId="44" fillId="0" borderId="3" xfId="2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0" fontId="41" fillId="0" borderId="17" xfId="2" applyNumberFormat="1" applyFont="1" applyFill="1" applyBorder="1" applyAlignment="1">
      <alignment horizontal="center"/>
    </xf>
    <xf numFmtId="166" fontId="39" fillId="0" borderId="17" xfId="2" applyFont="1" applyFill="1" applyBorder="1" applyAlignment="1">
      <alignment horizontal="center"/>
    </xf>
    <xf numFmtId="167" fontId="39" fillId="0" borderId="17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167" fontId="31" fillId="0" borderId="6" xfId="0" applyNumberFormat="1" applyFont="1" applyBorder="1" applyAlignment="1">
      <alignment horizontal="center"/>
    </xf>
    <xf numFmtId="166" fontId="45" fillId="0" borderId="0" xfId="2" applyFont="1" applyFill="1" applyBorder="1" applyAlignment="1">
      <alignment horizontal="center"/>
    </xf>
    <xf numFmtId="167" fontId="46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166" fontId="47" fillId="0" borderId="0" xfId="2" applyFont="1" applyFill="1" applyBorder="1" applyAlignment="1">
      <alignment horizontal="center"/>
    </xf>
    <xf numFmtId="167" fontId="47" fillId="0" borderId="0" xfId="4" applyNumberFormat="1" applyFont="1" applyFill="1" applyBorder="1" applyAlignment="1">
      <alignment horizontal="center"/>
    </xf>
    <xf numFmtId="167" fontId="47" fillId="0" borderId="0" xfId="0" applyNumberFormat="1" applyFont="1" applyAlignment="1">
      <alignment horizontal="center"/>
    </xf>
    <xf numFmtId="0" fontId="48" fillId="0" borderId="17" xfId="0" applyFont="1" applyBorder="1" applyAlignment="1">
      <alignment horizontal="center"/>
    </xf>
    <xf numFmtId="166" fontId="47" fillId="0" borderId="2" xfId="2" applyFont="1" applyFill="1" applyBorder="1" applyAlignment="1">
      <alignment horizontal="center"/>
    </xf>
    <xf numFmtId="167" fontId="47" fillId="0" borderId="11" xfId="4" applyNumberFormat="1" applyFont="1" applyFill="1" applyBorder="1" applyAlignment="1">
      <alignment horizontal="center"/>
    </xf>
    <xf numFmtId="0" fontId="48" fillId="0" borderId="3" xfId="0" applyFont="1" applyBorder="1" applyAlignment="1">
      <alignment horizontal="center"/>
    </xf>
    <xf numFmtId="166" fontId="48" fillId="0" borderId="17" xfId="2" applyFont="1" applyFill="1" applyBorder="1" applyAlignment="1">
      <alignment horizontal="center"/>
    </xf>
    <xf numFmtId="166" fontId="47" fillId="5" borderId="0" xfId="2" applyFont="1" applyFill="1" applyBorder="1" applyAlignment="1">
      <alignment horizontal="center"/>
    </xf>
    <xf numFmtId="166" fontId="48" fillId="0" borderId="3" xfId="2" applyFont="1" applyFill="1" applyBorder="1" applyAlignment="1">
      <alignment horizontal="center"/>
    </xf>
    <xf numFmtId="0" fontId="49" fillId="0" borderId="17" xfId="0" applyFont="1" applyBorder="1" applyAlignment="1">
      <alignment horizontal="center"/>
    </xf>
    <xf numFmtId="166" fontId="47" fillId="0" borderId="3" xfId="2" applyFont="1" applyFill="1" applyBorder="1" applyAlignment="1">
      <alignment horizontal="center"/>
    </xf>
    <xf numFmtId="167" fontId="47" fillId="0" borderId="3" xfId="4" applyNumberFormat="1" applyFont="1" applyFill="1" applyBorder="1" applyAlignment="1">
      <alignment horizontal="center"/>
    </xf>
    <xf numFmtId="44" fontId="48" fillId="0" borderId="17" xfId="39" applyFont="1" applyFill="1" applyBorder="1" applyAlignment="1">
      <alignment horizontal="center"/>
    </xf>
    <xf numFmtId="167" fontId="48" fillId="0" borderId="17" xfId="4" applyNumberFormat="1" applyFont="1" applyFill="1" applyBorder="1" applyAlignment="1">
      <alignment horizontal="center"/>
    </xf>
    <xf numFmtId="166" fontId="49" fillId="0" borderId="17" xfId="2" applyFont="1" applyFill="1" applyBorder="1" applyAlignment="1">
      <alignment horizontal="center"/>
    </xf>
    <xf numFmtId="167" fontId="49" fillId="0" borderId="17" xfId="4" applyNumberFormat="1" applyFont="1" applyFill="1" applyBorder="1" applyAlignment="1">
      <alignment horizontal="center"/>
    </xf>
    <xf numFmtId="0" fontId="48" fillId="0" borderId="13" xfId="39" applyNumberFormat="1" applyFont="1" applyFill="1" applyBorder="1" applyAlignment="1">
      <alignment horizontal="center"/>
    </xf>
    <xf numFmtId="44" fontId="48" fillId="0" borderId="13" xfId="39" applyFont="1" applyFill="1" applyBorder="1" applyAlignment="1">
      <alignment horizontal="center"/>
    </xf>
    <xf numFmtId="167" fontId="48" fillId="0" borderId="13" xfId="4" applyNumberFormat="1" applyFont="1" applyFill="1" applyBorder="1" applyAlignment="1">
      <alignment horizontal="center"/>
    </xf>
    <xf numFmtId="0" fontId="48" fillId="0" borderId="17" xfId="39" applyNumberFormat="1" applyFont="1" applyFill="1" applyBorder="1" applyAlignment="1">
      <alignment horizontal="center"/>
    </xf>
    <xf numFmtId="167" fontId="48" fillId="0" borderId="3" xfId="4" applyNumberFormat="1" applyFont="1" applyFill="1" applyBorder="1" applyAlignment="1">
      <alignment horizontal="center"/>
    </xf>
    <xf numFmtId="166" fontId="48" fillId="0" borderId="2" xfId="2" applyFont="1" applyFill="1" applyBorder="1" applyAlignment="1">
      <alignment horizontal="center"/>
    </xf>
    <xf numFmtId="166" fontId="48" fillId="0" borderId="0" xfId="2" applyFont="1" applyFill="1" applyBorder="1" applyAlignment="1">
      <alignment horizontal="center"/>
    </xf>
    <xf numFmtId="167" fontId="48" fillId="0" borderId="0" xfId="4" applyNumberFormat="1" applyFont="1" applyFill="1" applyBorder="1" applyAlignment="1">
      <alignment horizontal="center"/>
    </xf>
    <xf numFmtId="167" fontId="48" fillId="0" borderId="17" xfId="0" applyNumberFormat="1" applyFont="1" applyBorder="1" applyAlignment="1">
      <alignment horizontal="center"/>
    </xf>
    <xf numFmtId="167" fontId="48" fillId="0" borderId="6" xfId="0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167" fontId="48" fillId="0" borderId="13" xfId="0" applyNumberFormat="1" applyFont="1" applyBorder="1" applyAlignment="1">
      <alignment horizontal="center"/>
    </xf>
    <xf numFmtId="167" fontId="49" fillId="0" borderId="17" xfId="0" applyNumberFormat="1" applyFont="1" applyBorder="1" applyAlignment="1">
      <alignment horizontal="center"/>
    </xf>
    <xf numFmtId="167" fontId="49" fillId="0" borderId="6" xfId="0" applyNumberFormat="1" applyFont="1" applyBorder="1" applyAlignment="1">
      <alignment horizontal="center"/>
    </xf>
    <xf numFmtId="1" fontId="48" fillId="0" borderId="17" xfId="0" applyNumberFormat="1" applyFont="1" applyBorder="1" applyAlignment="1">
      <alignment horizontal="center"/>
    </xf>
    <xf numFmtId="1" fontId="48" fillId="0" borderId="3" xfId="0" applyNumberFormat="1" applyFont="1" applyBorder="1" applyAlignment="1">
      <alignment horizontal="center"/>
    </xf>
    <xf numFmtId="167" fontId="48" fillId="0" borderId="5" xfId="0" applyNumberFormat="1" applyFont="1" applyBorder="1" applyAlignment="1">
      <alignment horizontal="center"/>
    </xf>
    <xf numFmtId="1" fontId="49" fillId="0" borderId="17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62" headerRowBorderDxfId="1661" tableBorderDxfId="1660" totalsRowBorderDxfId="1659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58" dataCellStyle="Moeda"/>
    <tableColumn id="5" xr3:uid="{45BECD08-8ABE-4A34-BD78-E2D3AFB8C62A}" name="Cliente" dataDxfId="1657" dataCellStyle="Moeda"/>
    <tableColumn id="2" xr3:uid="{A0D6666C-9CF7-4343-AF6B-BDFE62F94469}" name="Forma de Pgto" dataDxfId="1656" dataCellStyle="Moeda"/>
    <tableColumn id="3" xr3:uid="{988F127F-9D83-4428-BB94-C16FBBB1BD89}" name="Valor Venda" dataDxfId="1655" dataCellStyle="Porcentagem"/>
    <tableColumn id="4" xr3:uid="{6A2928C3-17B0-4FA3-B60C-9E1A2C0324E1}" name="Entrada" dataDxfId="1654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53" dataDxfId="1651" headerRowBorderDxfId="1652" tableBorderDxfId="1650" totalsRowBorderDxfId="1649">
  <autoFilter ref="K5:M11" xr:uid="{DD403130-B35C-452C-92F9-290622D77A3D}"/>
  <tableColumns count="3">
    <tableColumn id="1" xr3:uid="{FAD87634-3375-4B41-BEC0-5B072F6B52CE}" name="Descrição" dataDxfId="1648"/>
    <tableColumn id="2" xr3:uid="{7688071E-9548-4552-8BB1-3BA5128DF645}" name="Tipo de Pagto" dataDxfId="1647"/>
    <tableColumn id="3" xr3:uid="{2B260C33-79A5-4C5D-9195-15780C53A861}" name="Valor" dataDxfId="16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45" headerRowBorderDxfId="1644" tableBorderDxfId="1643" totalsRowBorderDxfId="164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41"/>
    <tableColumn id="2" xr3:uid="{606BE417-6802-4580-90D2-86F95EFAAEB7}" name="Cliente" dataDxfId="1640"/>
    <tableColumn id="3" xr3:uid="{2F522A54-F708-4DA3-97E3-CE7C29912E04}" name="Forma de Pgto" dataDxfId="1639" dataCellStyle="Moeda"/>
    <tableColumn id="4" xr3:uid="{7B46EE64-F7F1-4449-A783-67286A94A7C4}" name="Valor Venda" dataDxfId="1638" dataCellStyle="Porcentagem"/>
    <tableColumn id="5" xr3:uid="{389A7D1A-3C35-485E-9958-8A78EF77BE9B}" name="Entrada" dataDxfId="163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36" headerRowBorderDxfId="1635" tableBorderDxfId="1634" totalsRowBorderDxfId="1633">
  <autoFilter ref="K14:M31" xr:uid="{F07D43AD-1A4D-4B31-96B8-824F8623E518}"/>
  <tableColumns count="3">
    <tableColumn id="1" xr3:uid="{3AF01421-A7B6-4D23-9DA8-C20FAFAFDD9C}" name="OS" dataDxfId="1632"/>
    <tableColumn id="2" xr3:uid="{55DCC30E-EB52-427E-A16A-B2C93A41F1CE}" name="Vendedor" dataDxfId="1631"/>
    <tableColumn id="3" xr3:uid="{23EDA46C-42B4-4F6C-97D9-7040D6B9797C}" name="CARNE" dataDxfId="16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29" headerRowBorderDxfId="1628" tableBorderDxfId="1627" totalsRowBorderDxfId="1626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5"/>
    <tableColumn id="2" xr3:uid="{FBA6EA78-F44B-4D22-A27A-92A91C10551F}" name="Cliente" dataDxfId="1624"/>
    <tableColumn id="3" xr3:uid="{749B4D89-29B3-4987-91D3-6BA3C44D9B96}" name="Forma de Pgto" dataDxfId="1623" dataCellStyle="Moeda"/>
    <tableColumn id="4" xr3:uid="{A84A6598-B291-4809-A78D-AB810461733D}" name="Valor Parcela" dataDxfId="1622" dataCellStyle="Porcentagem"/>
    <tableColumn id="5" xr3:uid="{3C45FEEC-5E06-4ED7-87CD-0097DB6BC817}" name="Nº Parcela" dataDxfId="1621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20" headerRowBorderDxfId="1619" tableBorderDxfId="1618" totalsRowBorderDxfId="1617">
  <autoFilter ref="K34:M41" xr:uid="{42BA126A-AECD-4CD6-8583-BD2352D82FB9}"/>
  <tableColumns count="3">
    <tableColumn id="1" xr3:uid="{0989D88A-7CB7-4008-94FC-B7FFB3CAE582}" name="OS" dataDxfId="1616"/>
    <tableColumn id="2" xr3:uid="{AC9D76CC-A537-4210-9893-E8C57DA30B4D}" name="Parcelas" dataDxfId="1615"/>
    <tableColumn id="3" xr3:uid="{D4D72E6E-DAE0-4860-8606-BFD8E469AE3D}" name="Valor Total" dataDxfId="16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3" totalsRowShown="0" headerRowDxfId="1613" dataDxfId="1611" headerRowBorderDxfId="1612" tableBorderDxfId="1610" totalsRowBorderDxfId="1609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29375F81-FDC7-41E7-9EE2-321F943D9DB0}" name="Nº Venda" dataDxfId="1608" dataCellStyle="Moeda"/>
    <tableColumn id="5" xr3:uid="{62DCD49D-7CD9-4268-A2D5-B3A594E461BB}" name="Cliente" dataDxfId="1607" dataCellStyle="Moeda"/>
    <tableColumn id="2" xr3:uid="{50D45495-B1A2-4885-996A-3E6DD92E280E}" name="Forma de Pgto" dataDxfId="1606" dataCellStyle="Moeda"/>
    <tableColumn id="3" xr3:uid="{DE57E226-692B-42B0-911E-ACCF59BC6D86}" name="Valor Venda" dataDxfId="1605" dataCellStyle="Porcentagem"/>
    <tableColumn id="4" xr3:uid="{CE230B3B-D2C9-4A92-A5F3-A5EE4A74409A}" name="Entrada" dataDxfId="1604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3" dataDxfId="1601" headerRowBorderDxfId="1602" tableBorderDxfId="1600" totalsRowBorderDxfId="1599">
  <autoFilter ref="K5:M11" xr:uid="{00000000-0009-0000-0100-000015000000}"/>
  <tableColumns count="3">
    <tableColumn id="1" xr3:uid="{58E2E66D-9AC0-4A69-BF19-1AB9AD59BA2F}" name="Descrição" dataDxfId="1598"/>
    <tableColumn id="2" xr3:uid="{FE1E3124-46C3-49A6-AE83-7C14B341DF59}" name="Tipo de Pagto" dataDxfId="1597"/>
    <tableColumn id="3" xr3:uid="{D8FBF474-04EE-46ED-9B9E-791D937CF715}" name="Valor" dataDxfId="159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6:I32" totalsRowShown="0" headerRowDxfId="1595" dataDxfId="1593" headerRowBorderDxfId="1594" tableBorderDxfId="1592" totalsRowBorderDxfId="1591">
  <autoFilter ref="E26:I32" xr:uid="{00000000-0009-0000-0100-000016000000}"/>
  <sortState xmlns:xlrd2="http://schemas.microsoft.com/office/spreadsheetml/2017/richdata2" ref="E27:I32">
    <sortCondition ref="E26:E32"/>
  </sortState>
  <tableColumns count="5">
    <tableColumn id="1" xr3:uid="{004012A3-88A7-49FD-9D1F-E53F527E4EDD}" name="Nº Venda" dataDxfId="1590"/>
    <tableColumn id="2" xr3:uid="{595EF087-A3B2-4C2B-AEEA-F930A6C2F5F4}" name="Cliente" dataDxfId="1589"/>
    <tableColumn id="3" xr3:uid="{C5C2BC75-6E8D-4808-A5EE-A5F9251ECE6C}" name="Forma de Pgto" dataDxfId="1588" dataCellStyle="Moeda"/>
    <tableColumn id="4" xr3:uid="{20CF776B-B9F4-48DD-9379-961689B40B71}" name="Valor Venda" dataDxfId="1587" dataCellStyle="Porcentagem"/>
    <tableColumn id="5" xr3:uid="{65177CB6-6D07-42E6-8EFE-435282A2F5BA}" name="Entrada" dataDxfId="1586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5" dataDxfId="1583" headerRowBorderDxfId="1584" tableBorderDxfId="1582" totalsRowBorderDxfId="15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0"/>
    <tableColumn id="2" xr3:uid="{D1AEFC99-FF9D-4A0D-BE93-D866BDC7A817}" name="Vendedor" dataDxfId="1579"/>
    <tableColumn id="3" xr3:uid="{CA30546E-8A3F-45D5-BE2B-24DCF738F1F2}" name="CARNE" dataDxfId="15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5:I42" totalsRowShown="0" headerRowDxfId="1577" dataDxfId="1575" headerRowBorderDxfId="1576" tableBorderDxfId="1574" totalsRowBorderDxfId="1573">
  <autoFilter ref="E35:I42" xr:uid="{B9E2F984-8588-4F2C-9FB9-680284154679}"/>
  <sortState xmlns:xlrd2="http://schemas.microsoft.com/office/spreadsheetml/2017/richdata2" ref="E36:I41">
    <sortCondition ref="E26:E32"/>
  </sortState>
  <tableColumns count="5">
    <tableColumn id="1" xr3:uid="{07E4FA26-C4CE-4094-A8B1-84A0D1090D09}" name="OS" dataDxfId="1572"/>
    <tableColumn id="2" xr3:uid="{7D38F106-0145-4B73-951B-86BF22EC7FAB}" name="Cliente" dataDxfId="1571"/>
    <tableColumn id="3" xr3:uid="{11A4EEBE-D35C-4719-B2B9-16486260EF79}" name="Forma de Pgto" dataDxfId="1570" dataCellStyle="Moeda"/>
    <tableColumn id="4" xr3:uid="{1BAB2FC5-9F2C-41DD-994A-6BA83A984883}" name="Valor Parcela" dataDxfId="1569" dataCellStyle="Porcentagem"/>
    <tableColumn id="5" xr3:uid="{8C539F89-5F96-4DB9-B7A4-784EA1B5350C}" name="Nº Parcela" dataDxfId="1568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67" headerRowBorderDxfId="1566" tableBorderDxfId="1565" totalsRowBorderDxfId="1564">
  <autoFilter ref="K34:M41" xr:uid="{1B8643D4-6AC3-4029-882A-C62E9D7CB225}"/>
  <tableColumns count="3">
    <tableColumn id="1" xr3:uid="{0B93901B-D681-410F-8B28-E186D9A3CAC3}" name="OS" dataDxfId="1563"/>
    <tableColumn id="2" xr3:uid="{A57C0E02-6258-48F0-9407-2095CD96B2D4}" name="Parcelas" dataDxfId="1562"/>
    <tableColumn id="3" xr3:uid="{1EA087CF-658D-4951-89BB-508667E3BBBE}" name="Valor Total" dataDxfId="156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0" dataDxfId="1558" headerRowBorderDxfId="1559" tableBorderDxfId="1557" totalsRowBorderDxfId="15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5" dataCellStyle="Moeda"/>
    <tableColumn id="5" xr3:uid="{98DC42E5-632F-4288-9CC5-1F032859A7E7}" name="Cliente" dataDxfId="1554" dataCellStyle="Moeda"/>
    <tableColumn id="2" xr3:uid="{4AE32B81-9EBD-470B-9ABE-A82D6658F3FE}" name="Forma de Pgto" dataDxfId="1553" dataCellStyle="Moeda"/>
    <tableColumn id="3" xr3:uid="{6E5BAEC1-2689-4ABB-93EC-298595B5C82E}" name="Valor Venda" dataDxfId="1552" dataCellStyle="Porcentagem"/>
    <tableColumn id="4" xr3:uid="{24493E7B-FE77-4A85-8810-0F0A4A84D997}" name="Entrada" dataDxfId="1551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0" dataDxfId="1548" headerRowBorderDxfId="1549" tableBorderDxfId="1547" totalsRowBorderDxfId="1546">
  <autoFilter ref="K5:M11" xr:uid="{00000000-0009-0000-0100-000015000000}"/>
  <tableColumns count="3">
    <tableColumn id="1" xr3:uid="{DA50BBFB-ECA9-45DE-9949-F3F90EEC3BA7}" name="Descrição" dataDxfId="1545"/>
    <tableColumn id="2" xr3:uid="{A64D4F88-B62D-440B-BA71-6D7BB28D542E}" name="Tipo de Pagto" dataDxfId="1544"/>
    <tableColumn id="3" xr3:uid="{0406A209-0652-47F9-9AB4-3256B26876D2}" name="Valor" dataDxfId="154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2" dataDxfId="1540" headerRowBorderDxfId="1541" tableBorderDxfId="1539" totalsRowBorderDxfId="15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37"/>
    <tableColumn id="2" xr3:uid="{8B8D24E4-1123-478B-838C-FCF56EABBDFD}" name="Cliente" dataDxfId="1536"/>
    <tableColumn id="3" xr3:uid="{8B7DE8DF-8D5D-4245-A63D-EF550AE347E3}" name="Forma de Pgto" dataDxfId="1535" dataCellStyle="Moeda"/>
    <tableColumn id="4" xr3:uid="{95A77C0C-49D0-45A2-8B99-A765C4741CE7}" name="Valor Venda" dataDxfId="1534" dataCellStyle="Porcentagem"/>
    <tableColumn id="5" xr3:uid="{FF4FDD32-DA70-4723-A8FB-07B3FB04B5CD}" name="Entrada" dataDxfId="1533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2" dataDxfId="1530" headerRowBorderDxfId="1531" tableBorderDxfId="1529" totalsRowBorderDxfId="1528">
  <autoFilter ref="K14:M31" xr:uid="{C83FE64B-E221-4DAA-89EA-5307A7BC98B3}"/>
  <tableColumns count="3">
    <tableColumn id="1" xr3:uid="{A31E67F7-E266-4220-8D3F-09556FCE20B1}" name="OS" dataDxfId="1527"/>
    <tableColumn id="2" xr3:uid="{2ED39269-8DA5-4157-9E82-8C8ED0C828A3}" name="Vendedor" dataDxfId="1526"/>
    <tableColumn id="3" xr3:uid="{F550B35D-6F70-4E2E-9037-3A7DF5BB4D86}" name="CARNE" dataDxfId="152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4" dataDxfId="1522" headerRowBorderDxfId="1523" tableBorderDxfId="1521" totalsRowBorderDxfId="15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19"/>
    <tableColumn id="2" xr3:uid="{58D563AD-1DCA-4768-9170-A0079A20A1DF}" name="Cliente" dataDxfId="1518"/>
    <tableColumn id="3" xr3:uid="{FE883FCE-942C-4DE5-904D-B12FE6C4992D}" name="Forma de Pgto" dataDxfId="1517" dataCellStyle="Moeda"/>
    <tableColumn id="4" xr3:uid="{21451B08-4DF0-4C35-AC45-94C183AA6A59}" name="Valor Parcela" dataDxfId="1516" dataCellStyle="Porcentagem"/>
    <tableColumn id="5" xr3:uid="{8F93C3AE-47D0-4E55-A038-445341804CE9}" name="Nº Parcela" dataDxfId="1515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4" headerRowBorderDxfId="1513" tableBorderDxfId="1512" totalsRowBorderDxfId="1511">
  <autoFilter ref="K34:M41" xr:uid="{1B8643D4-6AC3-4029-882A-C62E9D7CB225}"/>
  <tableColumns count="3">
    <tableColumn id="1" xr3:uid="{2687574F-C0F9-4AD1-A54B-286C1AE50D97}" name="OS" dataDxfId="1510"/>
    <tableColumn id="2" xr3:uid="{AE623FF4-38C1-45D9-B220-1CD4A553B7C1}" name="Parcelas" dataDxfId="1509"/>
    <tableColumn id="3" xr3:uid="{EEBFC521-3084-43FF-A36B-C25CE198B817}" name="Valor Total" dataDxfId="150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7" dataDxfId="1505" headerRowBorderDxfId="1506" tableBorderDxfId="1504" totalsRowBorderDxfId="15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2" dataCellStyle="Moeda"/>
    <tableColumn id="5" xr3:uid="{F5DA840E-A051-4AE4-AE1A-9DAFAF8FFC3B}" name="Cliente" dataDxfId="1501" dataCellStyle="Moeda"/>
    <tableColumn id="2" xr3:uid="{DF65CD3D-444A-4025-B98B-F38F11610432}" name="Forma de Pgto" dataDxfId="1500" dataCellStyle="Moeda"/>
    <tableColumn id="3" xr3:uid="{9A4839DC-9153-466A-B0AF-456FAEF79174}" name="Valor Venda" dataDxfId="1499" dataCellStyle="Porcentagem"/>
    <tableColumn id="4" xr3:uid="{EF410A7C-DBD1-4367-A43B-616826FFEB4F}" name="Entrada" dataDxfId="1498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7" dataDxfId="1495" headerRowBorderDxfId="1496" tableBorderDxfId="1494" totalsRowBorderDxfId="1493">
  <autoFilter ref="K5:M11" xr:uid="{00000000-0009-0000-0100-000015000000}"/>
  <tableColumns count="3">
    <tableColumn id="1" xr3:uid="{F1C90853-2F5A-4C32-8AC3-18ECE1FDDF43}" name="Descrição" dataDxfId="1492"/>
    <tableColumn id="2" xr3:uid="{DEB32F17-2D52-4FBB-90C4-1C3AE9C104E6}" name="Tipo de Pagto" dataDxfId="1491"/>
    <tableColumn id="3" xr3:uid="{089B3650-C090-496F-BF9A-6E8466DBF76A}" name="Valor" dataDxfId="149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89" dataDxfId="1487" headerRowBorderDxfId="1488" tableBorderDxfId="1486" totalsRowBorderDxfId="14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4"/>
    <tableColumn id="2" xr3:uid="{73AEC7DD-005C-4428-9D1D-1A3761F2192B}" name="Cliente" dataDxfId="1483"/>
    <tableColumn id="3" xr3:uid="{FA28017F-3137-49BD-B826-2E261901E543}" name="Forma de Pgto" dataDxfId="1482" dataCellStyle="Moeda"/>
    <tableColumn id="4" xr3:uid="{6030418B-B1EC-4D4D-96DF-0EB78B87F6F9}" name="Valor Venda" dataDxfId="1481" dataCellStyle="Porcentagem"/>
    <tableColumn id="5" xr3:uid="{0576A975-F40D-4463-85C0-76AB6FCD63AC}" name="Entrada" dataDxfId="1480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79" dataDxfId="1477" headerRowBorderDxfId="1478" tableBorderDxfId="1476" totalsRowBorderDxfId="1475">
  <autoFilter ref="K14:M31" xr:uid="{C83FE64B-E221-4DAA-89EA-5307A7BC98B3}"/>
  <tableColumns count="3">
    <tableColumn id="1" xr3:uid="{830E23BA-DE90-49EF-B4EA-89C3276575B2}" name="OS" dataDxfId="1474"/>
    <tableColumn id="2" xr3:uid="{679AF5A0-4545-4316-AD6C-E4B7A7BA099A}" name="Vendedor" dataDxfId="1473"/>
    <tableColumn id="3" xr3:uid="{6B801D58-D05B-4A78-A6FE-BC9EF408DC10}" name="CARNE" dataDxfId="147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1" dataDxfId="1469" headerRowBorderDxfId="1470" tableBorderDxfId="1468" totalsRowBorderDxfId="14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6"/>
    <tableColumn id="2" xr3:uid="{953837B7-D16A-40C2-9C83-CD7E7171C88F}" name="Cliente" dataDxfId="1465"/>
    <tableColumn id="3" xr3:uid="{63860264-C651-4A12-8F01-E9F622A843C0}" name="Forma de Pgto" dataDxfId="1464" dataCellStyle="Moeda"/>
    <tableColumn id="4" xr3:uid="{584373BD-23BA-4A1E-A4FC-3D4A594F4148}" name="Valor Parcela" dataDxfId="1463" dataCellStyle="Porcentagem"/>
    <tableColumn id="5" xr3:uid="{7CBAF04B-D82E-4180-A8EA-98461BE41F4A}" name="Nº Parcela" dataDxfId="1462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1" headerRowBorderDxfId="1460" tableBorderDxfId="1459" totalsRowBorderDxfId="1458">
  <autoFilter ref="K34:M41" xr:uid="{1B8643D4-6AC3-4029-882A-C62E9D7CB225}"/>
  <tableColumns count="3">
    <tableColumn id="1" xr3:uid="{F555359C-BC20-4C24-A948-500BDD3B5763}" name="OS" dataDxfId="1457"/>
    <tableColumn id="2" xr3:uid="{B72B4820-B8B5-4F80-83B5-9EC54EF78025}" name="Parcelas" dataDxfId="1456"/>
    <tableColumn id="3" xr3:uid="{893DDBC4-5663-4D63-80CB-4E7482811983}" name="Valor Total" dataDxfId="145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4" dataDxfId="1452" headerRowBorderDxfId="1453" tableBorderDxfId="1451" totalsRowBorderDxfId="14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49" dataCellStyle="Moeda"/>
    <tableColumn id="5" xr3:uid="{4F9ED826-A0E1-4FB0-83C6-A561EA7B6750}" name="Cliente" dataDxfId="1448" dataCellStyle="Moeda"/>
    <tableColumn id="2" xr3:uid="{C2B928FE-CB2E-4271-AE3D-2FE26117248E}" name="Forma de Pgto" dataDxfId="1447" dataCellStyle="Moeda"/>
    <tableColumn id="3" xr3:uid="{CE23E3D0-4056-4DCB-83C4-5B94BD49CAAC}" name="Valor Venda" dataDxfId="1446" dataCellStyle="Porcentagem"/>
    <tableColumn id="4" xr3:uid="{1F426340-BFB9-4B9E-B988-7A195156D2F2}" name="Entrada" dataDxfId="1445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4" dataDxfId="1442" headerRowBorderDxfId="1443" tableBorderDxfId="1441" totalsRowBorderDxfId="1440">
  <autoFilter ref="K5:M11" xr:uid="{00000000-0009-0000-0100-000015000000}"/>
  <tableColumns count="3">
    <tableColumn id="1" xr3:uid="{F4C840DC-E06E-4A51-B1BF-E769E4EC9ACB}" name="Descrição" dataDxfId="1439"/>
    <tableColumn id="2" xr3:uid="{E6DE1F07-CE97-421A-A22A-4B4270DDF46D}" name="Tipo de Pagto" dataDxfId="1438"/>
    <tableColumn id="3" xr3:uid="{D84FBA92-07C5-41FD-BBA2-2AADF245D1D6}" name="Valor" dataDxfId="143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6" dataDxfId="1434" headerRowBorderDxfId="1435" tableBorderDxfId="1433" totalsRowBorderDxfId="14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1"/>
    <tableColumn id="2" xr3:uid="{CD77FB12-1DAA-4DAF-B42A-0357959803DD}" name="Cliente" dataDxfId="1430"/>
    <tableColumn id="3" xr3:uid="{5F4C4F5C-C920-452A-B2BA-592AD2C18723}" name="Forma de Pgto" dataDxfId="1429" dataCellStyle="Moeda"/>
    <tableColumn id="4" xr3:uid="{3930B2F0-6049-4E02-92B1-EC55A5330B2C}" name="Valor Venda" dataDxfId="1428" dataCellStyle="Porcentagem"/>
    <tableColumn id="5" xr3:uid="{82EBAE08-64CA-459E-9015-FA8F61210D87}" name="Entrada" dataDxfId="1427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6" dataDxfId="1424" headerRowBorderDxfId="1425" tableBorderDxfId="1423" totalsRowBorderDxfId="1422">
  <autoFilter ref="K14:M31" xr:uid="{C83FE64B-E221-4DAA-89EA-5307A7BC98B3}"/>
  <tableColumns count="3">
    <tableColumn id="1" xr3:uid="{E0565617-EB8C-486F-838C-B370E84BC8A2}" name="OS" dataDxfId="1421"/>
    <tableColumn id="2" xr3:uid="{EA20833B-67D8-48B8-B6E4-54A10D0969E8}" name="Vendedor" dataDxfId="1420"/>
    <tableColumn id="3" xr3:uid="{8B1F8993-74A4-499F-AD5E-91A6051BA219}" name="CARNE" dataDxfId="141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8" dataDxfId="1416" headerRowBorderDxfId="1417" tableBorderDxfId="1415" totalsRowBorderDxfId="14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3"/>
    <tableColumn id="2" xr3:uid="{FB461660-91D6-4E31-81FF-113A17320EED}" name="Cliente" dataDxfId="1412"/>
    <tableColumn id="3" xr3:uid="{0A47D0C3-375B-4E2D-B5E9-2048252BC0D3}" name="Forma de Pgto" dataDxfId="1411" dataCellStyle="Moeda"/>
    <tableColumn id="4" xr3:uid="{F9C62ED5-C18D-465D-B7E4-0729BD7B3A10}" name="Valor Parcela" dataDxfId="1410" dataCellStyle="Porcentagem"/>
    <tableColumn id="5" xr3:uid="{DD9D513B-1645-445F-83E9-DC54C163BD4E}" name="Nº Parcela" dataDxfId="1409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8" headerRowBorderDxfId="1407" tableBorderDxfId="1406" totalsRowBorderDxfId="1405">
  <autoFilter ref="K34:M41" xr:uid="{1B8643D4-6AC3-4029-882A-C62E9D7CB225}"/>
  <tableColumns count="3">
    <tableColumn id="1" xr3:uid="{D65B195F-C059-40E5-A4CA-FE91C5DB43DB}" name="OS" dataDxfId="1404"/>
    <tableColumn id="2" xr3:uid="{A2A023CF-C61D-419E-ABB0-2F9CEE35150B}" name="Parcelas" dataDxfId="1403"/>
    <tableColumn id="3" xr3:uid="{F7D650A1-7C3D-42D0-B133-EB49D396C64F}" name="Valor Total" dataDxfId="140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1" dataDxfId="1399" headerRowBorderDxfId="1400" tableBorderDxfId="1398" totalsRowBorderDxfId="13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6" dataCellStyle="Moeda"/>
    <tableColumn id="5" xr3:uid="{FF96847D-D5C5-4F73-905C-E549112972E1}" name="Cliente" dataDxfId="1395" dataCellStyle="Moeda"/>
    <tableColumn id="2" xr3:uid="{1B47815A-C2E2-4886-9A6F-B2A7307F901E}" name="Forma de Pgto" dataDxfId="1394" dataCellStyle="Moeda"/>
    <tableColumn id="3" xr3:uid="{FD86C99A-4E69-452A-8D71-B939B84F2B55}" name="Valor Venda" dataDxfId="1393" dataCellStyle="Porcentagem"/>
    <tableColumn id="4" xr3:uid="{49ECBAAC-14EE-43F3-BE6F-974EF5F3E156}" name="Entrada" dataDxfId="1392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1" dataDxfId="1389" headerRowBorderDxfId="1390" tableBorderDxfId="1388" totalsRowBorderDxfId="1387">
  <autoFilter ref="K5:M11" xr:uid="{00000000-0009-0000-0100-000015000000}"/>
  <tableColumns count="3">
    <tableColumn id="1" xr3:uid="{5236D397-E61A-4AA1-B99C-AD40093239F9}" name="Descrição" dataDxfId="1386"/>
    <tableColumn id="2" xr3:uid="{3341FC2A-819A-41AF-B8A9-B5A195B8D597}" name="Tipo de Pagto" dataDxfId="1385"/>
    <tableColumn id="3" xr3:uid="{D568CA16-B32B-4F86-9DE5-B8B3E9825745}" name="Valor" dataDxfId="138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3" dataDxfId="1381" headerRowBorderDxfId="1382" tableBorderDxfId="1380" totalsRowBorderDxfId="13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8"/>
    <tableColumn id="2" xr3:uid="{DEEB020C-2BC4-4E77-9557-B0FDBCF683E9}" name="Cliente" dataDxfId="1377"/>
    <tableColumn id="3" xr3:uid="{FC27FDBE-5194-4E32-AFD1-DB754ECCEF38}" name="Forma de Pgto" dataDxfId="1376" dataCellStyle="Moeda"/>
    <tableColumn id="4" xr3:uid="{489A4CE9-C3F1-4322-9639-D01F0935FB0E}" name="Valor Venda" dataDxfId="1375" dataCellStyle="Porcentagem"/>
    <tableColumn id="5" xr3:uid="{07E5F22F-7782-466E-98DB-48416B35B9C4}" name="Entrada" dataDxfId="1374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3" dataDxfId="1371" headerRowBorderDxfId="1372" tableBorderDxfId="1370" totalsRowBorderDxfId="1369">
  <autoFilter ref="K14:M31" xr:uid="{C83FE64B-E221-4DAA-89EA-5307A7BC98B3}"/>
  <tableColumns count="3">
    <tableColumn id="1" xr3:uid="{E4926A1A-00A9-4844-90B1-E36D53050FAD}" name="OS" dataDxfId="1368"/>
    <tableColumn id="2" xr3:uid="{CFC62C38-9887-48E6-A3B8-42586D1EC066}" name="Vendedor" dataDxfId="1367"/>
    <tableColumn id="3" xr3:uid="{32577275-2002-496E-8AD4-5FE489DBC179}" name="CARNE" dataDxfId="136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5" dataDxfId="1363" headerRowBorderDxfId="1364" tableBorderDxfId="1362" totalsRowBorderDxfId="13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0"/>
    <tableColumn id="2" xr3:uid="{19438CD0-86D0-4CC4-9B41-5D756AC61E4D}" name="Cliente" dataDxfId="1359"/>
    <tableColumn id="3" xr3:uid="{59621200-4821-4583-9D35-A2EA6C27B52D}" name="Forma de Pgto" dataDxfId="1358" dataCellStyle="Moeda"/>
    <tableColumn id="4" xr3:uid="{35A817E7-6B21-48A7-863E-225DFEDD8B2A}" name="Valor Parcela" dataDxfId="1357" dataCellStyle="Porcentagem"/>
    <tableColumn id="5" xr3:uid="{77D80430-C5F8-4582-B3DF-9A9A9350F565}" name="Nº Parcela" dataDxfId="1356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5" headerRowBorderDxfId="1354" tableBorderDxfId="1353" totalsRowBorderDxfId="1352">
  <autoFilter ref="K34:M41" xr:uid="{1B8643D4-6AC3-4029-882A-C62E9D7CB225}"/>
  <tableColumns count="3">
    <tableColumn id="1" xr3:uid="{503F9F70-E540-4505-B65D-D233FCB88D5F}" name="OS" dataDxfId="1351"/>
    <tableColumn id="2" xr3:uid="{6A2B4927-D830-4C18-8831-6FE23BFAD877}" name="Parcelas" dataDxfId="1350"/>
    <tableColumn id="3" xr3:uid="{8E06E94A-FF62-4D13-8B11-C6CE2990FCDF}" name="Valor Total" dataDxfId="134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8" dataDxfId="1346" headerRowBorderDxfId="1347" tableBorderDxfId="1345" totalsRowBorderDxfId="134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3" dataCellStyle="Moeda"/>
    <tableColumn id="5" xr3:uid="{00000000-0010-0000-0900-000005000000}" name="Cliente" dataDxfId="1342" dataCellStyle="Moeda"/>
    <tableColumn id="2" xr3:uid="{00000000-0010-0000-0900-000002000000}" name="Forma de Pgto" dataDxfId="1341" dataCellStyle="Moeda"/>
    <tableColumn id="3" xr3:uid="{00000000-0010-0000-0900-000003000000}" name="Valor Venda" dataDxfId="1340" dataCellStyle="Porcentagem"/>
    <tableColumn id="4" xr3:uid="{00000000-0010-0000-0900-000004000000}" name="Entrada" dataDxfId="1339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8" dataDxfId="1336" headerRowBorderDxfId="1337" tableBorderDxfId="1335" totalsRowBorderDxfId="1334">
  <autoFilter ref="K5:M11" xr:uid="{00000000-0009-0000-0100-000015000000}"/>
  <tableColumns count="3">
    <tableColumn id="1" xr3:uid="{00000000-0010-0000-0A00-000001000000}" name="Descrição" dataDxfId="1333"/>
    <tableColumn id="2" xr3:uid="{00000000-0010-0000-0A00-000002000000}" name="Tipo de Pagto" dataDxfId="1332"/>
    <tableColumn id="3" xr3:uid="{00000000-0010-0000-0A00-000003000000}" name="Valor" dataDxfId="133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0" dataDxfId="1328" headerRowBorderDxfId="1329" tableBorderDxfId="1327" totalsRowBorderDxfId="132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5"/>
    <tableColumn id="2" xr3:uid="{00000000-0010-0000-0B00-000002000000}" name="Cliente" dataDxfId="1324"/>
    <tableColumn id="3" xr3:uid="{00000000-0010-0000-0B00-000003000000}" name="Forma de Pgto" dataDxfId="1323" dataCellStyle="Moeda"/>
    <tableColumn id="4" xr3:uid="{00000000-0010-0000-0B00-000004000000}" name="Valor Venda" dataDxfId="1322" dataCellStyle="Porcentagem"/>
    <tableColumn id="5" xr3:uid="{00000000-0010-0000-0B00-000005000000}" name="Entrada" dataDxfId="1321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0" dataDxfId="1318" headerRowBorderDxfId="1319" tableBorderDxfId="1317" totalsRowBorderDxfId="1316">
  <autoFilter ref="K14:M31" xr:uid="{C83FE64B-E221-4DAA-89EA-5307A7BC98B3}"/>
  <tableColumns count="3">
    <tableColumn id="1" xr3:uid="{E5EB8AC8-7F8E-49D1-A903-14124A5BA1B1}" name="OS" dataDxfId="1315"/>
    <tableColumn id="2" xr3:uid="{E1794679-294A-42ED-9D8F-4C0874170BFA}" name="Vendedor" dataDxfId="1314"/>
    <tableColumn id="3" xr3:uid="{CB411C23-941D-4548-984D-68460932D683}" name="CARNE" dataDxfId="1313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2" dataDxfId="1310" headerRowBorderDxfId="1311" tableBorderDxfId="1309" totalsRowBorderDxfId="130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7"/>
    <tableColumn id="2" xr3:uid="{430FE27E-32BC-43B0-BB6E-CCBAB36B2A5A}" name="Cliente" dataDxfId="1306"/>
    <tableColumn id="3" xr3:uid="{568CECCF-BE0A-4266-A7C7-9359F722EA0F}" name="Forma de Pgto" dataDxfId="1305" dataCellStyle="Moeda"/>
    <tableColumn id="4" xr3:uid="{9CF4291A-8808-43DB-9F83-A7EB463C5F4A}" name="Valor Parcela" dataDxfId="1304" dataCellStyle="Porcentagem"/>
    <tableColumn id="5" xr3:uid="{736EA743-97FA-4800-BEDD-5C07EEB144A8}" name="Nº Parcela" dataDxfId="1303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2" headerRowBorderDxfId="1301" tableBorderDxfId="1300" totalsRowBorderDxfId="1299">
  <autoFilter ref="K34:M41" xr:uid="{1B8643D4-6AC3-4029-882A-C62E9D7CB225}"/>
  <tableColumns count="3">
    <tableColumn id="1" xr3:uid="{132FEC50-51B3-4AAA-BF48-63FA39ED861C}" name="OS" dataDxfId="1298"/>
    <tableColumn id="2" xr3:uid="{11276640-1C63-48D7-BE0B-1FE7C736A1A8}" name="Parcelas" dataDxfId="1297"/>
    <tableColumn id="3" xr3:uid="{96591591-9F74-40A6-B0B9-BA6D2106107F}" name="Valor Total" dataDxfId="1296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5" dataDxfId="1293" headerRowBorderDxfId="1294" tableBorderDxfId="1292" totalsRowBorderDxfId="12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0" dataCellStyle="Moeda"/>
    <tableColumn id="5" xr3:uid="{795F9F6D-AAE5-4C61-A646-82BF506C503E}" name="Cliente" dataDxfId="1289" dataCellStyle="Moeda"/>
    <tableColumn id="2" xr3:uid="{DD13626B-6361-410E-BFB7-9E75436163A4}" name="Forma de Pgto" dataDxfId="1288" dataCellStyle="Moeda"/>
    <tableColumn id="3" xr3:uid="{8939280F-F6DC-4F66-ADDF-59F6A387460C}" name="Valor Venda" dataDxfId="1287" dataCellStyle="Porcentagem"/>
    <tableColumn id="4" xr3:uid="{FFC83B9E-825A-4058-BFEA-DA64D7159065}" name="Entrada" dataDxfId="1286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5" dataDxfId="1283" headerRowBorderDxfId="1284" tableBorderDxfId="1282" totalsRowBorderDxfId="1281">
  <autoFilter ref="K5:M11" xr:uid="{00000000-0009-0000-0100-000015000000}"/>
  <tableColumns count="3">
    <tableColumn id="1" xr3:uid="{9309A091-2326-4B68-B8C9-B31CF2D72EAF}" name="Descrição" dataDxfId="1280"/>
    <tableColumn id="2" xr3:uid="{910D89CE-506B-440F-8EB2-31633D7CAD51}" name="Tipo de Pagto" dataDxfId="1279"/>
    <tableColumn id="3" xr3:uid="{7155C391-52F1-4F4A-84B1-7BBC44A35A99}" name="Valor" dataDxfId="1278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7" dataDxfId="1275" headerRowBorderDxfId="1276" tableBorderDxfId="1274" totalsRowBorderDxfId="12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2"/>
    <tableColumn id="2" xr3:uid="{75B601B3-9668-4B1A-ADF2-17DA487A3413}" name="Cliente" dataDxfId="1271"/>
    <tableColumn id="3" xr3:uid="{64F47935-52AF-4AE3-9262-06D7472567D7}" name="Forma de Pgto" dataDxfId="1270" dataCellStyle="Moeda"/>
    <tableColumn id="4" xr3:uid="{9257AA0D-34DE-4B38-8406-BC1F561A53B3}" name="Valor Venda" dataDxfId="1269" dataCellStyle="Porcentagem"/>
    <tableColumn id="5" xr3:uid="{4C98958F-FB27-4968-81B6-D7CC6BBD2DAE}" name="Entrada" dataDxfId="1268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7" dataDxfId="1265" headerRowBorderDxfId="1266" tableBorderDxfId="1264" totalsRowBorderDxfId="126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2"/>
    <tableColumn id="2" xr3:uid="{AEB024E2-EB15-40A6-B65B-468339937BD0}" name="Vendedor" dataDxfId="1261"/>
    <tableColumn id="3" xr3:uid="{ACDDDA2A-4116-4E25-B799-0071372A8FAA}" name="CARNE" dataDxfId="1260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9" dataDxfId="1257" headerRowBorderDxfId="1258" tableBorderDxfId="1256" totalsRowBorderDxfId="1255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4"/>
    <tableColumn id="2" xr3:uid="{A06C5B3A-A28C-4563-87C4-B63635D6E7B9}" name="Cliente" dataDxfId="1253"/>
    <tableColumn id="3" xr3:uid="{4AC120F2-6F4A-41F2-87D2-680E8D6F8D96}" name="Forma de Pgto" dataDxfId="1252" dataCellStyle="Moeda"/>
    <tableColumn id="4" xr3:uid="{17DB2EA9-C13D-4AEB-AB97-B4C907D16420}" name="Valor Parcela" dataDxfId="1251" dataCellStyle="Porcentagem"/>
    <tableColumn id="5" xr3:uid="{F6E09F06-2F23-4822-A9B4-D8898604A1E0}" name="Nº Parcela" dataDxfId="1250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9" headerRowBorderDxfId="1248" tableBorderDxfId="1247" totalsRowBorderDxfId="1246">
  <autoFilter ref="K34:M41" xr:uid="{1B8643D4-6AC3-4029-882A-C62E9D7CB225}"/>
  <tableColumns count="3">
    <tableColumn id="1" xr3:uid="{D0DE8F47-9BDA-4E4F-92E6-E2404F920F1B}" name="OS" dataDxfId="1245"/>
    <tableColumn id="2" xr3:uid="{43AD47D8-F738-4D39-8B0B-E0AC217D9D32}" name="Parcelas" dataDxfId="1244"/>
    <tableColumn id="3" xr3:uid="{024ED2FF-C4EC-44DC-9129-9BE8032DC4A5}" name="Valor Total" dataDxfId="1243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2" dataDxfId="1240" headerRowBorderDxfId="1241" tableBorderDxfId="1239" totalsRowBorderDxfId="123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7" dataCellStyle="Moeda"/>
    <tableColumn id="5" xr3:uid="{C13AA79A-76C7-4954-B055-3EC7A6A9008A}" name="Cliente" dataDxfId="1236" dataCellStyle="Moeda"/>
    <tableColumn id="2" xr3:uid="{56D92948-0431-4E11-AC7A-A6D6B6D3D15E}" name="Forma de Pgto" dataDxfId="1235" dataCellStyle="Moeda"/>
    <tableColumn id="3" xr3:uid="{3348DA9C-6AA9-49E4-8450-E8BC22BC5F6C}" name="Valor Venda" dataDxfId="1234" dataCellStyle="Porcentagem"/>
    <tableColumn id="4" xr3:uid="{A03B4BE2-2B4F-4512-98ED-45C3754F4D2A}" name="Entrada" dataDxfId="1233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2" dataDxfId="1230" headerRowBorderDxfId="1231" tableBorderDxfId="1229" totalsRowBorderDxfId="1228">
  <autoFilter ref="K5:M11" xr:uid="{00000000-0009-0000-0100-000015000000}"/>
  <tableColumns count="3">
    <tableColumn id="1" xr3:uid="{2700D0CD-8906-41BB-B51F-AAECD67A05FE}" name="Descrição" dataDxfId="1227"/>
    <tableColumn id="2" xr3:uid="{00E5FAC2-C7E2-44A6-AA64-460782F41E47}" name="Tipo de Pagto" dataDxfId="1226"/>
    <tableColumn id="3" xr3:uid="{70D30678-03EC-4DC1-BB28-EBD756D1976D}" name="Valor" dataDxfId="1225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4" dataDxfId="1222" headerRowBorderDxfId="1223" tableBorderDxfId="1221" totalsRowBorderDxfId="12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9"/>
    <tableColumn id="2" xr3:uid="{59310BF7-C6CA-49AF-8D7C-32023868A553}" name="Cliente" dataDxfId="1218"/>
    <tableColumn id="3" xr3:uid="{C13BE163-BA03-41E0-A121-27164C58ABA3}" name="Forma de Pgto" dataDxfId="1217" dataCellStyle="Moeda"/>
    <tableColumn id="4" xr3:uid="{E9797482-8A01-4C8B-8B66-47DE3D38D78F}" name="Valor Venda" dataDxfId="1216" dataCellStyle="Porcentagem"/>
    <tableColumn id="5" xr3:uid="{864D3F67-D199-48BA-8E16-3EFBAC4AF8A2}" name="Entrada" dataDxfId="1215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4" dataDxfId="1212" headerRowBorderDxfId="1213" tableBorderDxfId="1211" totalsRowBorderDxfId="1210">
  <autoFilter ref="K14:M31" xr:uid="{C83FE64B-E221-4DAA-89EA-5307A7BC98B3}"/>
  <tableColumns count="3">
    <tableColumn id="1" xr3:uid="{92200504-6651-4517-B155-4C75687BBC1E}" name="OS" dataDxfId="1209"/>
    <tableColumn id="2" xr3:uid="{BE1934F5-5D06-41D6-9394-C4D383C8CD33}" name="Vendedor" dataDxfId="1208"/>
    <tableColumn id="3" xr3:uid="{F504E9B2-856C-4C10-AA72-D7A7B035B330}" name="CARNE" dataDxfId="1207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6" dataDxfId="1204" headerRowBorderDxfId="1205" tableBorderDxfId="1203" totalsRowBorderDxfId="12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1"/>
    <tableColumn id="2" xr3:uid="{95B09C40-3752-47D7-9085-F5B42BC487DA}" name="Cliente" dataDxfId="1200"/>
    <tableColumn id="3" xr3:uid="{1A0B311C-327A-4C44-9D04-81730B41B9A2}" name="Forma de Pgto" dataDxfId="1199" dataCellStyle="Moeda"/>
    <tableColumn id="4" xr3:uid="{9A802666-F9A1-4EB6-824C-ECF60066044F}" name="Valor Parcela" dataDxfId="1198" dataCellStyle="Porcentagem"/>
    <tableColumn id="5" xr3:uid="{1CC0AF26-B599-4D4F-8BD5-BBE76DBCE085}" name="Nº Parcela" dataDxfId="1197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6" headerRowBorderDxfId="1195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tabSelected="1" workbookViewId="0">
      <selection activeCell="D10" sqref="D10"/>
    </sheetView>
  </sheetViews>
  <sheetFormatPr defaultColWidth="21.28515625" defaultRowHeight="12.75" x14ac:dyDescent="0.2"/>
  <cols>
    <col min="1" max="1" width="22.28515625" customWidth="1"/>
    <col min="2" max="2" width="26" customWidth="1"/>
  </cols>
  <sheetData>
    <row r="2" spans="1:2" ht="15" x14ac:dyDescent="0.2">
      <c r="A2" s="19" t="s">
        <v>0</v>
      </c>
      <c r="B2" s="62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25928.7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22265.7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22265.7</v>
      </c>
    </row>
    <row r="7" spans="1:2" ht="15" x14ac:dyDescent="0.25">
      <c r="A7" s="2"/>
      <c r="B7" s="2"/>
    </row>
    <row r="8" spans="1:2" ht="15" x14ac:dyDescent="0.2">
      <c r="A8" s="134" t="s">
        <v>5</v>
      </c>
      <c r="B8" s="134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1526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3510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13759.699999999999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'31'!#REF!)</f>
        <v>#REF!</v>
      </c>
    </row>
    <row r="13" spans="1:2" ht="15" x14ac:dyDescent="0.25">
      <c r="A13" s="30" t="s">
        <v>9</v>
      </c>
      <c r="B13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3792.33</v>
      </c>
    </row>
    <row r="14" spans="1:2" ht="15.75" x14ac:dyDescent="0.25">
      <c r="A14" s="28" t="s">
        <v>10</v>
      </c>
      <c r="B14" s="63" t="e">
        <f ca="1">SUM(B9:B13)</f>
        <v>#REF!</v>
      </c>
    </row>
    <row r="15" spans="1:2" ht="15" x14ac:dyDescent="0.25">
      <c r="A15" s="2"/>
      <c r="B15" s="2"/>
    </row>
    <row r="16" spans="1:2" ht="15" x14ac:dyDescent="0.2">
      <c r="A16" s="134" t="s">
        <v>11</v>
      </c>
      <c r="B16" s="134"/>
    </row>
    <row r="17" spans="1:2" ht="15" x14ac:dyDescent="0.25">
      <c r="A17" s="30">
        <f>COUNT(#REF!)</f>
        <v>0</v>
      </c>
      <c r="B17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1490</v>
      </c>
    </row>
    <row r="18" spans="1:2" ht="15.75" x14ac:dyDescent="0.25">
      <c r="A18" s="28" t="s">
        <v>10</v>
      </c>
      <c r="B18" s="63">
        <f>SUM(B17:B17)</f>
        <v>1490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2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v>45383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240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240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240</v>
      </c>
      <c r="D15" s="2"/>
      <c r="E15" s="18"/>
      <c r="F15" s="25"/>
      <c r="G15" s="26"/>
      <c r="H15" s="8"/>
      <c r="I15" s="8"/>
      <c r="J15" s="2"/>
      <c r="K15" s="25">
        <v>3467</v>
      </c>
      <c r="L15" s="9" t="s">
        <v>126</v>
      </c>
      <c r="M15" s="16" t="s">
        <v>33</v>
      </c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3467</v>
      </c>
      <c r="F26" s="25" t="s">
        <v>133</v>
      </c>
      <c r="G26" s="26" t="s">
        <v>9</v>
      </c>
      <c r="H26" s="8">
        <v>0</v>
      </c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3447</v>
      </c>
      <c r="F27" s="25" t="s">
        <v>134</v>
      </c>
      <c r="G27" s="26" t="s">
        <v>9</v>
      </c>
      <c r="H27" s="8">
        <v>0</v>
      </c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2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8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'01'!B1+1</f>
        <v>45384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SUMIF(I6:I32,"&gt;0",H6:H32)</f>
        <v>2202.9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1422.9</v>
      </c>
      <c r="D6" s="2"/>
      <c r="E6" s="18">
        <v>3475</v>
      </c>
      <c r="F6" s="87" t="s">
        <v>128</v>
      </c>
      <c r="G6" s="46" t="s">
        <v>8</v>
      </c>
      <c r="H6" s="8">
        <v>249.9</v>
      </c>
      <c r="I6" s="8">
        <v>249.9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0">
        <v>3476</v>
      </c>
      <c r="F7" s="88" t="s">
        <v>135</v>
      </c>
      <c r="G7" s="89" t="s">
        <v>9</v>
      </c>
      <c r="H7" s="58">
        <v>520</v>
      </c>
      <c r="I7" s="58">
        <v>50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20</v>
      </c>
      <c r="C8" s="29">
        <f>SUM(C6:C7)</f>
        <v>1422.9</v>
      </c>
      <c r="D8" s="2"/>
      <c r="E8" s="90">
        <v>3476</v>
      </c>
      <c r="F8" s="81" t="s">
        <v>135</v>
      </c>
      <c r="G8" s="91" t="s">
        <v>8</v>
      </c>
      <c r="H8" s="92">
        <v>0</v>
      </c>
      <c r="I8" s="92">
        <v>470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3477</v>
      </c>
      <c r="F9" s="87" t="s">
        <v>129</v>
      </c>
      <c r="G9" s="26" t="s">
        <v>8</v>
      </c>
      <c r="H9" s="8">
        <v>149</v>
      </c>
      <c r="I9" s="8">
        <v>149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34" t="s">
        <v>5</v>
      </c>
      <c r="C10" s="134"/>
      <c r="D10" s="2"/>
      <c r="E10" s="18">
        <v>3478</v>
      </c>
      <c r="F10" s="87" t="s">
        <v>130</v>
      </c>
      <c r="G10" s="26" t="s">
        <v>9</v>
      </c>
      <c r="H10" s="8">
        <v>495</v>
      </c>
      <c r="I10" s="8">
        <v>25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449</v>
      </c>
      <c r="D11" s="2"/>
      <c r="E11" s="18">
        <v>3479</v>
      </c>
      <c r="F11" s="87" t="s">
        <v>130</v>
      </c>
      <c r="G11" s="26" t="s">
        <v>9</v>
      </c>
      <c r="H11" s="8">
        <v>495</v>
      </c>
      <c r="I11" s="8">
        <v>25</v>
      </c>
      <c r="J11" s="2"/>
      <c r="K11" s="27"/>
      <c r="L11" s="9"/>
      <c r="M11" s="16"/>
      <c r="O11" s="1">
        <f>IF(C15=0,0,1)</f>
        <v>1</v>
      </c>
      <c r="R11" s="1">
        <f>IF(vend2[[#This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>
        <v>3480</v>
      </c>
      <c r="F12" s="87" t="s">
        <v>131</v>
      </c>
      <c r="G12" s="26" t="s">
        <v>9</v>
      </c>
      <c r="H12" s="8">
        <v>294</v>
      </c>
      <c r="I12" s="8">
        <v>5</v>
      </c>
      <c r="J12" s="2"/>
      <c r="R12" s="1">
        <f>IF(vend2[[#This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868.9</v>
      </c>
      <c r="D13" s="2"/>
      <c r="E13" s="18">
        <v>3481</v>
      </c>
      <c r="F13" s="87" t="s">
        <v>132</v>
      </c>
      <c r="G13" s="26" t="s">
        <v>48</v>
      </c>
      <c r="H13" s="8">
        <v>499</v>
      </c>
      <c r="I13" s="8">
        <v>0</v>
      </c>
      <c r="J13" s="2"/>
      <c r="K13" s="136" t="s">
        <v>21</v>
      </c>
      <c r="L13" s="137"/>
      <c r="M13" s="138"/>
      <c r="R13" s="1">
        <f>IF(vend2[[#This Row],[Nº Venda]]&gt;1,1,0)</f>
        <v>1</v>
      </c>
    </row>
    <row r="14" spans="2:18" ht="15.75" x14ac:dyDescent="0.25">
      <c r="B14" s="30" t="s">
        <v>9</v>
      </c>
      <c r="C14" s="31">
        <f>(SUMIF($G$2:$G$32,B14,$I$2:$I$32))+(SUMIF($G$36:$G$42,B14,$H$36:$H$42))</f>
        <v>105</v>
      </c>
      <c r="D14" s="2"/>
      <c r="E14" s="18"/>
      <c r="F14" s="88"/>
      <c r="G14" s="81"/>
      <c r="H14" s="58"/>
      <c r="I14" s="58"/>
      <c r="J14" s="2"/>
      <c r="K14" s="14" t="s">
        <v>22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1422.9</v>
      </c>
      <c r="D15" s="2"/>
      <c r="E15" s="18"/>
      <c r="F15" s="88"/>
      <c r="G15" s="81"/>
      <c r="H15" s="58"/>
      <c r="I15" s="58"/>
      <c r="J15" s="2"/>
      <c r="K15" s="25">
        <v>3466</v>
      </c>
      <c r="L15" s="9" t="s">
        <v>126</v>
      </c>
      <c r="M15" s="16" t="s">
        <v>33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87"/>
      <c r="G16" s="26"/>
      <c r="H16" s="8"/>
      <c r="I16" s="8"/>
      <c r="J16" s="2"/>
      <c r="K16" s="25">
        <v>3446</v>
      </c>
      <c r="L16" s="9" t="s">
        <v>126</v>
      </c>
      <c r="M16" s="16" t="s">
        <v>33</v>
      </c>
      <c r="R16" s="1">
        <f>IF(vend2[[#This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87"/>
      <c r="G17" s="26"/>
      <c r="H17" s="8"/>
      <c r="I17" s="8"/>
      <c r="J17" s="2"/>
      <c r="K17" s="25">
        <v>3471</v>
      </c>
      <c r="L17" s="9" t="s">
        <v>126</v>
      </c>
      <c r="M17" s="16" t="s">
        <v>33</v>
      </c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87"/>
      <c r="G18" s="26"/>
      <c r="H18" s="8"/>
      <c r="I18" s="8"/>
      <c r="J18" s="2"/>
      <c r="K18" s="25">
        <v>3472</v>
      </c>
      <c r="L18" s="9" t="s">
        <v>126</v>
      </c>
      <c r="M18" s="16" t="s">
        <v>33</v>
      </c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87"/>
      <c r="G19" s="26"/>
      <c r="H19" s="8"/>
      <c r="I19" s="8"/>
      <c r="J19" s="2"/>
      <c r="K19" s="76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2202.9</v>
      </c>
      <c r="D21" s="2"/>
      <c r="E21" s="18"/>
      <c r="F21" s="26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 t="s">
        <v>35</v>
      </c>
      <c r="J22" s="2"/>
      <c r="K22" s="25"/>
      <c r="L22" s="9" t="s">
        <v>136</v>
      </c>
      <c r="M22" s="16"/>
    </row>
    <row r="23" spans="2:18" ht="15.75" x14ac:dyDescent="0.25">
      <c r="B23" s="2"/>
      <c r="C23" s="2"/>
      <c r="D23" s="2"/>
      <c r="E23" s="18"/>
      <c r="F23" s="25"/>
      <c r="G23" s="26"/>
      <c r="H23" s="8"/>
      <c r="I23" s="8"/>
      <c r="J23" s="2"/>
      <c r="K23" s="25"/>
      <c r="L23" s="9"/>
      <c r="M23" s="16"/>
    </row>
    <row r="24" spans="2:18" ht="15" x14ac:dyDescent="0.25">
      <c r="B24" s="2"/>
      <c r="C24" s="2"/>
      <c r="D24" s="2"/>
      <c r="E24" s="33"/>
      <c r="H24" s="7"/>
      <c r="J24" s="2"/>
      <c r="K24" s="25"/>
      <c r="L24" s="9"/>
      <c r="M24" s="16"/>
    </row>
    <row r="25" spans="2:18" ht="15" x14ac:dyDescent="0.25">
      <c r="B25" s="2"/>
      <c r="C25" s="2"/>
      <c r="D25" s="2"/>
      <c r="E25" s="135" t="s">
        <v>137</v>
      </c>
      <c r="F25" s="135"/>
      <c r="G25" s="135"/>
      <c r="H25" s="135"/>
      <c r="I25" s="135"/>
      <c r="J25" s="2"/>
      <c r="K25" s="25"/>
      <c r="L25" s="9"/>
      <c r="M25" s="16"/>
    </row>
    <row r="26" spans="2:18" ht="15" x14ac:dyDescent="0.25">
      <c r="B26" s="2"/>
      <c r="C26" s="2"/>
      <c r="D26" s="2"/>
      <c r="E26" s="10" t="s">
        <v>13</v>
      </c>
      <c r="F26" s="10" t="s">
        <v>14</v>
      </c>
      <c r="G26" s="11" t="s">
        <v>15</v>
      </c>
      <c r="H26" s="12" t="s">
        <v>16</v>
      </c>
      <c r="I26" s="13" t="s">
        <v>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3446</v>
      </c>
      <c r="F27" s="25" t="s">
        <v>127</v>
      </c>
      <c r="G27" s="26" t="s">
        <v>6</v>
      </c>
      <c r="H27" s="8">
        <v>0</v>
      </c>
      <c r="I27" s="8">
        <v>449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39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35"/>
      <c r="F32" s="36"/>
      <c r="G32" s="37"/>
      <c r="H32" s="17"/>
      <c r="I32" s="17"/>
    </row>
    <row r="33" spans="5:21" ht="15" x14ac:dyDescent="0.25">
      <c r="E33" s="33"/>
      <c r="K33" s="136" t="s">
        <v>11</v>
      </c>
      <c r="L33" s="137"/>
      <c r="M33" s="138"/>
    </row>
    <row r="34" spans="5:21" ht="15" x14ac:dyDescent="0.25">
      <c r="E34" s="135" t="s">
        <v>27</v>
      </c>
      <c r="F34" s="135"/>
      <c r="G34" s="135"/>
      <c r="H34" s="135"/>
      <c r="I34" s="135"/>
      <c r="K34" s="14" t="s">
        <v>22</v>
      </c>
      <c r="L34" s="6" t="s">
        <v>30</v>
      </c>
      <c r="M34" s="15" t="s">
        <v>31</v>
      </c>
      <c r="U34" s="1" t="s">
        <v>34</v>
      </c>
    </row>
    <row r="35" spans="5:21" ht="15" x14ac:dyDescent="0.25">
      <c r="E35" s="10" t="s">
        <v>22</v>
      </c>
      <c r="F35" s="10" t="s">
        <v>14</v>
      </c>
      <c r="G35" s="11" t="s">
        <v>15</v>
      </c>
      <c r="H35" s="12" t="s">
        <v>28</v>
      </c>
      <c r="I35" s="13" t="s">
        <v>29</v>
      </c>
      <c r="K35" s="25"/>
      <c r="L35" s="41"/>
      <c r="M35" s="16"/>
    </row>
    <row r="36" spans="5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5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5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5:21" ht="15.75" x14ac:dyDescent="0.25">
      <c r="E39" s="18"/>
      <c r="F39" s="25"/>
      <c r="G39" s="26"/>
      <c r="H39" s="8"/>
      <c r="I39" s="8"/>
      <c r="K39" s="25"/>
      <c r="L39" s="41"/>
      <c r="M39" s="16"/>
    </row>
    <row r="40" spans="5:21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32</v>
      </c>
      <c r="R40" s="1">
        <f>SUM(R6:R21)</f>
        <v>8</v>
      </c>
    </row>
    <row r="41" spans="5:21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21" ht="15.75" x14ac:dyDescent="0.25">
      <c r="E42" s="43"/>
      <c r="F42" s="39"/>
      <c r="G42" s="26"/>
      <c r="H42" s="8"/>
      <c r="I42" s="8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I36:I42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G27:G32 G36:G42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7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'02'!B1+1</f>
        <v>45385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775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775</v>
      </c>
      <c r="D6" s="2"/>
      <c r="E6" s="18">
        <v>3482</v>
      </c>
      <c r="F6" s="25" t="s">
        <v>138</v>
      </c>
      <c r="G6" s="46" t="s">
        <v>7</v>
      </c>
      <c r="H6" s="8">
        <v>475</v>
      </c>
      <c r="I6" s="8">
        <v>475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3483</v>
      </c>
      <c r="F7" s="25" t="s">
        <v>138</v>
      </c>
      <c r="G7" s="26" t="s">
        <v>8</v>
      </c>
      <c r="H7" s="8">
        <v>300</v>
      </c>
      <c r="I7" s="8">
        <v>300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775</v>
      </c>
      <c r="D8" s="2"/>
      <c r="E8" s="18">
        <v>3484</v>
      </c>
      <c r="F8" s="25" t="s">
        <v>139</v>
      </c>
      <c r="G8" s="26" t="s">
        <v>53</v>
      </c>
      <c r="H8" s="8">
        <v>0</v>
      </c>
      <c r="I8" s="8">
        <v>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475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300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775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775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zoomScaleSheetLayoutView="7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'03'!B1+1</f>
        <v>45386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2495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1395</v>
      </c>
      <c r="D6" s="2"/>
      <c r="E6" s="18">
        <v>3485</v>
      </c>
      <c r="F6" s="25" t="s">
        <v>143</v>
      </c>
      <c r="G6" s="46" t="s">
        <v>7</v>
      </c>
      <c r="H6" s="8">
        <v>1985</v>
      </c>
      <c r="I6" s="8">
        <v>795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3486</v>
      </c>
      <c r="F7" s="25" t="s">
        <v>144</v>
      </c>
      <c r="G7" s="46" t="s">
        <v>9</v>
      </c>
      <c r="H7" s="8">
        <v>510</v>
      </c>
      <c r="I7" s="8">
        <v>210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1395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1185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210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1472</v>
      </c>
      <c r="D15" s="2"/>
      <c r="E15" s="18"/>
      <c r="F15" s="25"/>
      <c r="G15" s="26"/>
      <c r="H15" s="8"/>
      <c r="I15" s="8"/>
      <c r="J15" s="2"/>
      <c r="K15" s="93">
        <v>3305</v>
      </c>
      <c r="L15" s="9" t="s">
        <v>126</v>
      </c>
      <c r="M15" s="94" t="s">
        <v>33</v>
      </c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3">
        <v>3477</v>
      </c>
      <c r="L16" s="9" t="s">
        <v>126</v>
      </c>
      <c r="M16" s="94" t="s">
        <v>33</v>
      </c>
      <c r="R16" s="1">
        <f>IF(vend4[[#This Row],[Nº Venda]]&gt;1,1,0)</f>
        <v>0</v>
      </c>
    </row>
    <row r="17" spans="2:18" ht="18.75" x14ac:dyDescent="0.4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54"/>
      <c r="L17" s="55"/>
      <c r="M17" s="56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2495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3305</v>
      </c>
      <c r="F26" s="25" t="s">
        <v>145</v>
      </c>
      <c r="G26" s="46" t="s">
        <v>7</v>
      </c>
      <c r="H26" s="8">
        <v>0</v>
      </c>
      <c r="I26" s="8">
        <v>390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3199</v>
      </c>
      <c r="F35" s="25" t="s">
        <v>146</v>
      </c>
      <c r="G35" s="26" t="s">
        <v>6</v>
      </c>
      <c r="H35" s="8">
        <v>77</v>
      </c>
      <c r="I35" s="8" t="s">
        <v>72</v>
      </c>
      <c r="K35" s="25"/>
      <c r="L35" s="41"/>
      <c r="M35" s="16"/>
    </row>
    <row r="36" spans="5:18" ht="15.75" x14ac:dyDescent="0.25">
      <c r="E36" s="18" t="s">
        <v>35</v>
      </c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80314965" right="0.78740157480314965" top="0.98425196850393704" bottom="0.98425196850393704" header="0.51181102362204722" footer="0.51181102362204722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31.5" x14ac:dyDescent="0.5">
      <c r="B1" s="70">
        <f>'04'!B1+1</f>
        <v>45387</v>
      </c>
    </row>
    <row r="2" spans="2:17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7" ht="15" x14ac:dyDescent="0.25">
      <c r="B5" s="23" t="s">
        <v>1</v>
      </c>
      <c r="C5" s="24">
        <f>SUMIF(I6:I31,"&gt;0",H6:H31)</f>
        <v>2675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7" ht="15.75" x14ac:dyDescent="0.25">
      <c r="B6" s="23" t="s">
        <v>2</v>
      </c>
      <c r="C6" s="24">
        <f>SUM(I6:I41)</f>
        <v>2431</v>
      </c>
      <c r="D6" s="2"/>
      <c r="E6" s="18">
        <v>3487</v>
      </c>
      <c r="F6" s="25" t="s">
        <v>147</v>
      </c>
      <c r="G6" s="46" t="s">
        <v>9</v>
      </c>
      <c r="H6" s="8">
        <v>1480</v>
      </c>
      <c r="I6" s="8">
        <v>500</v>
      </c>
      <c r="J6" s="2"/>
      <c r="K6" s="25"/>
      <c r="L6" s="9"/>
      <c r="M6" s="16"/>
      <c r="Q6" s="1">
        <f>IF(vend5[[#This Row],[Nº Venda]]&gt;1,1,0)</f>
        <v>1</v>
      </c>
    </row>
    <row r="7" spans="2:17" ht="15.75" x14ac:dyDescent="0.25">
      <c r="B7" s="23" t="s">
        <v>3</v>
      </c>
      <c r="C7" s="24">
        <f>SUM(M6:M11)</f>
        <v>0</v>
      </c>
      <c r="D7" s="2"/>
      <c r="E7" s="18">
        <v>3491</v>
      </c>
      <c r="F7" s="25" t="s">
        <v>147</v>
      </c>
      <c r="G7" s="46" t="s">
        <v>9</v>
      </c>
      <c r="H7" s="8">
        <v>1195</v>
      </c>
      <c r="I7" s="8">
        <v>500</v>
      </c>
      <c r="J7" s="2"/>
      <c r="K7" s="25"/>
      <c r="L7" s="9"/>
      <c r="M7" s="16"/>
      <c r="Q7" s="1">
        <f>IF(vend5[[#This Row],[Nº Venda]]&gt;1,1,0)</f>
        <v>1</v>
      </c>
    </row>
    <row r="8" spans="2:17" ht="15.75" x14ac:dyDescent="0.25">
      <c r="B8" s="28" t="s">
        <v>20</v>
      </c>
      <c r="C8" s="29">
        <f>SUM(C6:C7)</f>
        <v>2431</v>
      </c>
      <c r="D8" s="2"/>
      <c r="E8" s="18"/>
      <c r="F8" s="25"/>
      <c r="G8" s="46"/>
      <c r="H8" s="8"/>
      <c r="I8" s="8"/>
      <c r="J8" s="2"/>
      <c r="K8" s="25"/>
      <c r="L8" s="9"/>
      <c r="M8" s="16"/>
      <c r="Q8" s="1">
        <f>IF(vend5[[#This Row],[Nº Venda]]&gt;1,1,0)</f>
        <v>0</v>
      </c>
    </row>
    <row r="9" spans="2:17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Q9" s="1">
        <f>IF(vend5[[#This Row],[Nº Venda]]&gt;1,1,0)</f>
        <v>0</v>
      </c>
    </row>
    <row r="10" spans="2:17" ht="15.75" x14ac:dyDescent="0.25">
      <c r="B10" s="134" t="s">
        <v>5</v>
      </c>
      <c r="C10" s="134"/>
      <c r="D10" s="2"/>
      <c r="E10" s="18"/>
      <c r="F10" s="25"/>
      <c r="G10" s="46"/>
      <c r="H10" s="8"/>
      <c r="I10" s="8"/>
      <c r="J10" s="2"/>
      <c r="K10" s="25"/>
      <c r="L10" s="9"/>
      <c r="M10" s="16"/>
      <c r="Q10" s="1">
        <f>IF(vend5[[#This Row],[Nº Venda]]&gt;1,1,0)</f>
        <v>0</v>
      </c>
    </row>
    <row r="11" spans="2:17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N11" s="1">
        <f>IF(C15=0,0,1)</f>
        <v>1</v>
      </c>
      <c r="Q11" s="1">
        <f>IF(vend5[[#This Row],[Nº Venda]]&gt;1,1,0)</f>
        <v>0</v>
      </c>
    </row>
    <row r="12" spans="2:17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Q12" s="1">
        <f>IF(vend5[[#This Row],[Nº Venda]]&gt;1,1,0)</f>
        <v>0</v>
      </c>
    </row>
    <row r="13" spans="2:17" ht="15.75" x14ac:dyDescent="0.25">
      <c r="B13" s="30" t="s">
        <v>8</v>
      </c>
      <c r="C13" s="31">
        <f t="shared" si="0"/>
        <v>1431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Q13" s="1">
        <f>IF(vend5[[#This Row],[Nº Venda]]&gt;1,1,0)</f>
        <v>0</v>
      </c>
    </row>
    <row r="14" spans="2:17" ht="15.75" x14ac:dyDescent="0.25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Q14" s="1">
        <f>IF(vend5[[#This Row],[Nº Venda]]&gt;1,1,0)</f>
        <v>0</v>
      </c>
    </row>
    <row r="15" spans="2:17" ht="15.75" x14ac:dyDescent="0.25">
      <c r="B15" s="28" t="s">
        <v>10</v>
      </c>
      <c r="C15" s="32">
        <f>SUM(C11:C14)</f>
        <v>2431</v>
      </c>
      <c r="D15" s="2"/>
      <c r="E15" s="18"/>
      <c r="F15" s="25"/>
      <c r="G15" s="26"/>
      <c r="H15" s="8"/>
      <c r="I15" s="8"/>
      <c r="J15" s="2"/>
      <c r="K15" s="25">
        <v>3470</v>
      </c>
      <c r="L15" s="9" t="s">
        <v>126</v>
      </c>
      <c r="M15" s="16" t="s">
        <v>33</v>
      </c>
      <c r="Q15" s="1">
        <f>IF(vend5[[#This Row],[Nº Venda]]&gt;1,1,0)</f>
        <v>0</v>
      </c>
    </row>
    <row r="16" spans="2:17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Q16" s="1">
        <f>IF(vend5[[#This Row],[Nº Venda]]&gt;1,1,0)</f>
        <v>0</v>
      </c>
    </row>
    <row r="17" spans="2:17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Q17" s="1">
        <f>IF(vend5[[#This Row],[Nº Venda]]&gt;1,1,0)</f>
        <v>0</v>
      </c>
    </row>
    <row r="18" spans="2:17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Q18" s="1">
        <f>IF(vend5[[#This Row],[Nº Venda]]&gt;1,1,0)</f>
        <v>0</v>
      </c>
    </row>
    <row r="19" spans="2:17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Q19" s="1">
        <f>IF(vend5[[#This Row],[Nº Venda]]&gt;1,1,0)</f>
        <v>0</v>
      </c>
    </row>
    <row r="20" spans="2:17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Q20" s="1">
        <f>IF(vend5[[#This Row],[Nº Venda]]&gt;1,1,0)</f>
        <v>0</v>
      </c>
    </row>
    <row r="21" spans="2:17" ht="15.75" x14ac:dyDescent="0.25">
      <c r="B21" s="28" t="s">
        <v>25</v>
      </c>
      <c r="C21" s="32">
        <f>C5</f>
        <v>2675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7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7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7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7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7" ht="15.75" x14ac:dyDescent="0.25">
      <c r="B26" s="2"/>
      <c r="C26" s="2"/>
      <c r="D26" s="2"/>
      <c r="E26" s="18">
        <v>3470</v>
      </c>
      <c r="F26" s="25" t="s">
        <v>148</v>
      </c>
      <c r="G26" s="46" t="s">
        <v>8</v>
      </c>
      <c r="H26" s="8">
        <v>0</v>
      </c>
      <c r="I26" s="8">
        <v>1431</v>
      </c>
      <c r="J26" s="2"/>
      <c r="K26" s="25"/>
      <c r="L26" s="9"/>
      <c r="M26" s="16"/>
    </row>
    <row r="27" spans="2:17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7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7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7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7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7" ht="15" x14ac:dyDescent="0.25">
      <c r="B32" s="2"/>
      <c r="C32" s="2"/>
      <c r="E32" s="33"/>
    </row>
    <row r="33" spans="5:17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7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7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7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7" ht="15.75" x14ac:dyDescent="0.25">
      <c r="E37" s="77"/>
      <c r="F37" s="76"/>
      <c r="G37" s="78"/>
      <c r="H37" s="79"/>
      <c r="I37" s="79"/>
      <c r="K37" s="25"/>
      <c r="L37" s="41"/>
      <c r="M37" s="16"/>
    </row>
    <row r="38" spans="5:17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7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7" ht="15.75" x14ac:dyDescent="0.25">
      <c r="E40" s="35"/>
      <c r="F40" s="36"/>
      <c r="G40" s="37"/>
      <c r="H40" s="17"/>
      <c r="I40" s="8"/>
      <c r="K40" s="36"/>
      <c r="L40" s="42"/>
      <c r="M40" s="40"/>
      <c r="P40" s="1" t="s">
        <v>32</v>
      </c>
      <c r="Q40" s="1">
        <f>SUM(Q6:Q21)</f>
        <v>2</v>
      </c>
    </row>
    <row r="41" spans="5:17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5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'05'!B1+1</f>
        <v>45388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SUM(I6:I41, H35:H36)</f>
        <v>942</v>
      </c>
      <c r="D6" s="2"/>
      <c r="E6" s="18">
        <v>3488</v>
      </c>
      <c r="F6" s="25" t="s">
        <v>149</v>
      </c>
      <c r="G6" s="46" t="s">
        <v>7</v>
      </c>
      <c r="H6" s="8">
        <v>350</v>
      </c>
      <c r="I6" s="8">
        <v>150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942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34" t="s">
        <v>5</v>
      </c>
      <c r="C10" s="134"/>
      <c r="D10" s="2"/>
      <c r="E10" s="18"/>
      <c r="F10" s="53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142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942</v>
      </c>
      <c r="D15" s="2"/>
      <c r="E15" s="18"/>
      <c r="F15" s="25"/>
      <c r="G15" s="26"/>
      <c r="H15" s="8"/>
      <c r="I15" s="8"/>
      <c r="J15" s="2"/>
      <c r="K15" s="18">
        <v>3453</v>
      </c>
      <c r="L15" s="9" t="s">
        <v>126</v>
      </c>
      <c r="M15" s="16" t="s">
        <v>33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350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3421</v>
      </c>
      <c r="F26" s="25" t="s">
        <v>150</v>
      </c>
      <c r="G26" s="26" t="s">
        <v>7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3076</v>
      </c>
      <c r="F35" s="25" t="s">
        <v>151</v>
      </c>
      <c r="G35" s="26" t="s">
        <v>9</v>
      </c>
      <c r="H35" s="8">
        <v>142</v>
      </c>
      <c r="I35" s="8" t="s">
        <v>81</v>
      </c>
      <c r="K35" s="25"/>
      <c r="L35" s="41"/>
      <c r="M35" s="16"/>
    </row>
    <row r="36" spans="5:18" ht="15.75" x14ac:dyDescent="0.25">
      <c r="E36" s="18">
        <v>3392</v>
      </c>
      <c r="F36" s="25" t="s">
        <v>152</v>
      </c>
      <c r="G36" s="26" t="s">
        <v>6</v>
      </c>
      <c r="H36" s="8">
        <v>250</v>
      </c>
      <c r="I36" s="8" t="s">
        <v>46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E45" activeCellId="1" sqref="K35 E4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0">
        <f>'06'!B1+1</f>
        <v>45389</v>
      </c>
    </row>
    <row r="2" spans="2:21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68"/>
      <c r="G6" s="68"/>
      <c r="H6" s="69"/>
      <c r="I6" s="69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59"/>
      <c r="F26" s="57"/>
      <c r="G26" s="60"/>
      <c r="H26" s="61"/>
      <c r="I26" s="61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zoomScale="60" zoomScaleNormal="80" workbookViewId="0">
      <selection activeCell="H29" sqref="H29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'07'!B1+1</f>
        <v>45390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4480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3480</v>
      </c>
      <c r="D6" s="2"/>
      <c r="E6" s="18">
        <v>3489</v>
      </c>
      <c r="F6" s="25" t="s">
        <v>154</v>
      </c>
      <c r="G6" s="46" t="s">
        <v>8</v>
      </c>
      <c r="H6" s="8">
        <v>990</v>
      </c>
      <c r="I6" s="8">
        <v>990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71">
        <v>3490</v>
      </c>
      <c r="F7" s="8" t="s">
        <v>153</v>
      </c>
      <c r="G7" s="8" t="s">
        <v>8</v>
      </c>
      <c r="H7" s="8">
        <v>3490</v>
      </c>
      <c r="I7" s="8">
        <v>2490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3480</v>
      </c>
      <c r="D8" s="2"/>
      <c r="E8" s="71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71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6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6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67">
        <f>(SUMIF($G$2:$G$31,B13,$I$2:$I$31))+(SUMIF($G$35:$G$42,B13,$H$35:$H$42))</f>
        <v>3480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IF(vend8[[#This Row],[Nº Venda]]&gt;1,1,0)</f>
        <v>0</v>
      </c>
    </row>
    <row r="14" spans="2:18" ht="15.75" x14ac:dyDescent="0.25">
      <c r="B14" s="30" t="s">
        <v>9</v>
      </c>
      <c r="C14" s="67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3480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4480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/>
      <c r="F26" s="73"/>
      <c r="G26" s="74"/>
      <c r="H26" s="75"/>
      <c r="I26" s="75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2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64"/>
      <c r="G42" s="65"/>
      <c r="H42" s="6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9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31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1.5" x14ac:dyDescent="0.5">
      <c r="B1" s="70">
        <f>'08'!B1+1</f>
        <v>45391</v>
      </c>
    </row>
    <row r="2" spans="2:22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22" ht="15" x14ac:dyDescent="0.25">
      <c r="B5" s="23" t="s">
        <v>1</v>
      </c>
      <c r="C5" s="24">
        <f>SUMIF(I6:I31,"&gt;0",H6:H31)</f>
        <v>1998.9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1499.9</v>
      </c>
      <c r="D6" s="2"/>
      <c r="E6" s="18">
        <v>3492</v>
      </c>
      <c r="F6" s="25" t="s">
        <v>140</v>
      </c>
      <c r="G6" s="46" t="s">
        <v>8</v>
      </c>
      <c r="H6" s="8">
        <v>249.9</v>
      </c>
      <c r="I6" s="8">
        <v>249.9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3493</v>
      </c>
      <c r="F7" s="25" t="s">
        <v>141</v>
      </c>
      <c r="G7" s="46" t="s">
        <v>6</v>
      </c>
      <c r="H7" s="8">
        <v>599</v>
      </c>
      <c r="I7" s="8">
        <v>100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1499.9</v>
      </c>
      <c r="D8" s="2"/>
      <c r="E8" s="18">
        <v>3494</v>
      </c>
      <c r="F8" s="25" t="s">
        <v>157</v>
      </c>
      <c r="G8" s="26" t="s">
        <v>9</v>
      </c>
      <c r="H8" s="8">
        <v>575</v>
      </c>
      <c r="I8" s="8">
        <v>575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3495</v>
      </c>
      <c r="F9" s="25" t="s">
        <v>157</v>
      </c>
      <c r="G9" s="26" t="s">
        <v>9</v>
      </c>
      <c r="H9" s="8">
        <v>575</v>
      </c>
      <c r="I9" s="8">
        <v>575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34" t="s">
        <v>5</v>
      </c>
      <c r="C10" s="13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249.9</v>
      </c>
      <c r="D13" s="2"/>
      <c r="E13" s="18"/>
      <c r="F13" s="25"/>
      <c r="G13" s="26"/>
      <c r="H13" s="8"/>
      <c r="I13" s="8"/>
      <c r="J13" s="2"/>
      <c r="K13" s="136" t="s">
        <v>21</v>
      </c>
      <c r="L13" s="137"/>
      <c r="M13" s="138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1267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1616.9</v>
      </c>
      <c r="D15" s="2"/>
      <c r="E15" s="18"/>
      <c r="F15" s="25"/>
      <c r="G15" s="26"/>
      <c r="H15" s="8"/>
      <c r="I15" s="8"/>
      <c r="J15" s="2"/>
      <c r="K15" s="25">
        <v>3492</v>
      </c>
      <c r="L15" s="9" t="s">
        <v>179</v>
      </c>
      <c r="M15" s="16" t="s">
        <v>33</v>
      </c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34" t="s">
        <v>11</v>
      </c>
      <c r="C17" s="134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1998.9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5" t="s">
        <v>27</v>
      </c>
      <c r="F33" s="135"/>
      <c r="G33" s="135"/>
      <c r="H33" s="135"/>
      <c r="I33" s="135"/>
      <c r="K33" s="136" t="s">
        <v>11</v>
      </c>
      <c r="L33" s="137"/>
      <c r="M33" s="138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3331</v>
      </c>
      <c r="F35" s="25" t="s">
        <v>142</v>
      </c>
      <c r="G35" s="26" t="s">
        <v>9</v>
      </c>
      <c r="H35" s="8">
        <v>117</v>
      </c>
      <c r="I35" s="8" t="s">
        <v>50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32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V46"/>
  <sheetViews>
    <sheetView showGridLines="0" topLeftCell="A14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'09'!B1+1</f>
        <v>45392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SUMIF(I6:I32,"&gt;0",H6:H32)</f>
        <v>499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500</v>
      </c>
      <c r="D6" s="2"/>
      <c r="E6" s="102"/>
      <c r="F6" s="102"/>
      <c r="G6" s="112"/>
      <c r="H6" s="113"/>
      <c r="I6" s="113"/>
      <c r="J6" s="2"/>
      <c r="K6" s="102"/>
      <c r="L6" s="124"/>
      <c r="M6" s="125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12"/>
      <c r="H7" s="113"/>
      <c r="I7" s="113"/>
      <c r="J7" s="2"/>
      <c r="K7" s="102"/>
      <c r="L7" s="124"/>
      <c r="M7" s="125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500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IF(vend10[[#This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400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100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500</v>
      </c>
      <c r="D15" s="2"/>
      <c r="E15" s="102"/>
      <c r="F15" s="102"/>
      <c r="G15" s="106"/>
      <c r="H15" s="113"/>
      <c r="I15" s="113"/>
      <c r="J15" s="2"/>
      <c r="K15" s="102">
        <v>3449</v>
      </c>
      <c r="L15" s="9" t="s">
        <v>126</v>
      </c>
      <c r="M15" s="125" t="s">
        <v>33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IF(vend10[[#This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499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>
        <v>3481</v>
      </c>
      <c r="F26" s="102" t="s">
        <v>155</v>
      </c>
      <c r="G26" s="112" t="s">
        <v>9</v>
      </c>
      <c r="H26" s="113">
        <v>499</v>
      </c>
      <c r="I26" s="113">
        <v>100</v>
      </c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>
        <v>3449</v>
      </c>
      <c r="F27" s="102" t="s">
        <v>156</v>
      </c>
      <c r="G27" s="112" t="s">
        <v>6</v>
      </c>
      <c r="H27" s="113">
        <v>0</v>
      </c>
      <c r="I27" s="113">
        <v>400</v>
      </c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12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02"/>
      <c r="F32" s="106"/>
      <c r="G32" s="106"/>
      <c r="H32" s="113"/>
      <c r="I32" s="11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03"/>
      <c r="F33" s="99"/>
      <c r="G33" s="99"/>
      <c r="H33" s="100"/>
      <c r="I33" s="100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35" t="s">
        <v>27</v>
      </c>
      <c r="F34" s="135"/>
      <c r="G34" s="135"/>
      <c r="H34" s="135"/>
      <c r="I34" s="135"/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" t="s">
        <v>22</v>
      </c>
      <c r="F35" s="10" t="s">
        <v>14</v>
      </c>
      <c r="G35" s="11" t="s">
        <v>15</v>
      </c>
      <c r="H35" s="12" t="s">
        <v>28</v>
      </c>
      <c r="I35" s="13" t="s">
        <v>29</v>
      </c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2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2"/>
      <c r="F40" s="106"/>
      <c r="G40" s="106"/>
      <c r="H40" s="113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5"/>
      <c r="F41" s="105"/>
      <c r="G41" s="108"/>
      <c r="H41" s="120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06"/>
      <c r="F42" s="106"/>
      <c r="G42" s="106"/>
      <c r="H42" s="113"/>
      <c r="I42" s="11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V46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'10'!B1+1</f>
        <v>45393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4150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4150</v>
      </c>
      <c r="D6" s="2"/>
      <c r="E6" s="102">
        <v>3496</v>
      </c>
      <c r="F6" s="102" t="s">
        <v>158</v>
      </c>
      <c r="G6" s="106" t="s">
        <v>8</v>
      </c>
      <c r="H6" s="113">
        <v>2490</v>
      </c>
      <c r="I6" s="113">
        <v>2490</v>
      </c>
      <c r="J6" s="2"/>
      <c r="K6" s="102"/>
      <c r="L6" s="124"/>
      <c r="M6" s="125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>
        <v>3497</v>
      </c>
      <c r="F7" s="102" t="s">
        <v>159</v>
      </c>
      <c r="G7" s="106" t="s">
        <v>8</v>
      </c>
      <c r="H7" s="113">
        <v>670</v>
      </c>
      <c r="I7" s="113">
        <v>670</v>
      </c>
      <c r="J7" s="2"/>
      <c r="K7" s="102"/>
      <c r="L7" s="124"/>
      <c r="M7" s="125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4150</v>
      </c>
      <c r="D8" s="2"/>
      <c r="E8" s="102">
        <v>3499</v>
      </c>
      <c r="F8" s="102" t="s">
        <v>160</v>
      </c>
      <c r="G8" s="106" t="s">
        <v>8</v>
      </c>
      <c r="H8" s="113">
        <v>990</v>
      </c>
      <c r="I8" s="113">
        <v>990</v>
      </c>
      <c r="J8" s="2"/>
      <c r="K8" s="102"/>
      <c r="L8" s="124"/>
      <c r="M8" s="125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IF(vend11[[#This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4150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4150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IF(vend11[[#This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IF(vend11[[#This Row],[Nº Venda]]&gt;1,1,0)</f>
        <v>0</v>
      </c>
    </row>
    <row r="21" spans="2:18" ht="15.75" x14ac:dyDescent="0.25">
      <c r="B21" s="28" t="s">
        <v>25</v>
      </c>
      <c r="C21" s="32">
        <f>C5</f>
        <v>4150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12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3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V46"/>
  <sheetViews>
    <sheetView showGridLines="0" topLeftCell="A16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45394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1370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1370</v>
      </c>
      <c r="D6" s="2"/>
      <c r="E6" s="116">
        <v>3498</v>
      </c>
      <c r="F6" s="117" t="s">
        <v>161</v>
      </c>
      <c r="G6" s="117" t="s">
        <v>8</v>
      </c>
      <c r="H6" s="118">
        <v>1370</v>
      </c>
      <c r="I6" s="118">
        <v>1370</v>
      </c>
      <c r="J6" s="2"/>
      <c r="K6" s="102"/>
      <c r="L6" s="124"/>
      <c r="M6" s="125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19"/>
      <c r="F7" s="112"/>
      <c r="G7" s="112"/>
      <c r="H7" s="113"/>
      <c r="I7" s="113"/>
      <c r="J7" s="2"/>
      <c r="K7" s="102"/>
      <c r="L7" s="124"/>
      <c r="M7" s="125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1370</v>
      </c>
      <c r="D8" s="2"/>
      <c r="E8" s="119"/>
      <c r="F8" s="112"/>
      <c r="G8" s="112"/>
      <c r="H8" s="113"/>
      <c r="I8" s="113"/>
      <c r="J8" s="2"/>
      <c r="K8" s="102"/>
      <c r="L8" s="124"/>
      <c r="M8" s="125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IF(vend12[[#This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1370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1370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IF(vend12[[#This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1370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12"/>
      <c r="G26" s="112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V46"/>
  <sheetViews>
    <sheetView showGridLines="0" topLeftCell="A16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45395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1030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1030</v>
      </c>
      <c r="D6" s="2"/>
      <c r="E6" s="102">
        <v>3500</v>
      </c>
      <c r="F6" s="102" t="s">
        <v>162</v>
      </c>
      <c r="G6" s="106" t="s">
        <v>8</v>
      </c>
      <c r="H6" s="113">
        <v>640</v>
      </c>
      <c r="I6" s="113">
        <v>640</v>
      </c>
      <c r="J6" s="2"/>
      <c r="K6" s="102"/>
      <c r="L6" s="124"/>
      <c r="M6" s="125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>
        <v>3501</v>
      </c>
      <c r="F7" s="102" t="s">
        <v>163</v>
      </c>
      <c r="G7" s="106" t="s">
        <v>8</v>
      </c>
      <c r="H7" s="113">
        <v>390</v>
      </c>
      <c r="I7" s="113">
        <v>390</v>
      </c>
      <c r="J7" s="2"/>
      <c r="K7" s="102"/>
      <c r="L7" s="124"/>
      <c r="M7" s="125"/>
      <c r="R7" s="1">
        <f>IF(vend13[[#This Row],[Nº Venda]]&gt;1,1,0)</f>
        <v>1</v>
      </c>
    </row>
    <row r="8" spans="2:18" ht="15.75" x14ac:dyDescent="0.25">
      <c r="B8" s="28" t="s">
        <v>20</v>
      </c>
      <c r="C8" s="29">
        <f>SUM(C6:C7)</f>
        <v>1030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IF(vend13[[#This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1030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1030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IF(vend13[[#This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1030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2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V46"/>
  <sheetViews>
    <sheetView showGridLines="0" topLeftCell="A11" zoomScale="80" zoomScaleNormal="80" workbookViewId="0">
      <selection activeCell="I45" sqref="I4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45396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12"/>
      <c r="H6" s="113"/>
      <c r="I6" s="113"/>
      <c r="J6" s="2"/>
      <c r="K6" s="102"/>
      <c r="L6" s="124"/>
      <c r="M6" s="125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12"/>
      <c r="H7" s="113"/>
      <c r="I7" s="113"/>
      <c r="J7" s="2"/>
      <c r="K7" s="102"/>
      <c r="L7" s="124"/>
      <c r="M7" s="125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IF(vend14[[#This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IF(vend14[[#This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V46"/>
  <sheetViews>
    <sheetView showGridLines="0" topLeftCell="A14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'14'!B1+1</f>
        <v>45397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12"/>
      <c r="H6" s="113"/>
      <c r="I6" s="113"/>
      <c r="J6" s="2"/>
      <c r="K6" s="102"/>
      <c r="L6" s="124"/>
      <c r="M6" s="125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12"/>
      <c r="H7" s="113"/>
      <c r="I7" s="113"/>
      <c r="J7" s="2"/>
      <c r="K7" s="102"/>
      <c r="L7" s="124"/>
      <c r="M7" s="125"/>
      <c r="R7" s="1">
        <f>IF(vend15[[#This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IF(vend15[[#This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128.33000000000001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128.33000000000001</v>
      </c>
      <c r="D15" s="2"/>
      <c r="E15" s="102"/>
      <c r="F15" s="102"/>
      <c r="G15" s="106"/>
      <c r="H15" s="113"/>
      <c r="I15" s="113"/>
      <c r="J15" s="2"/>
      <c r="K15" s="109"/>
      <c r="L15" s="128"/>
      <c r="M15" s="129"/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IF(vend15[[#This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9"/>
      <c r="L19" s="128"/>
      <c r="M19" s="129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12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>
        <v>3265</v>
      </c>
      <c r="F35" s="87" t="s">
        <v>164</v>
      </c>
      <c r="G35" s="26" t="s">
        <v>9</v>
      </c>
      <c r="H35" s="8">
        <v>128.33000000000001</v>
      </c>
      <c r="I35" s="8" t="s">
        <v>50</v>
      </c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ht="15" x14ac:dyDescent="0.3">
      <c r="E45" s="95"/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V46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'15'!B1+1</f>
        <v>45398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1340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350</v>
      </c>
      <c r="D6" s="2"/>
      <c r="E6" s="102">
        <v>3502</v>
      </c>
      <c r="F6" s="102" t="s">
        <v>165</v>
      </c>
      <c r="G6" s="112" t="s">
        <v>6</v>
      </c>
      <c r="H6" s="113">
        <v>990</v>
      </c>
      <c r="I6" s="113">
        <v>150</v>
      </c>
      <c r="J6" s="2"/>
      <c r="K6" s="102"/>
      <c r="L6" s="124"/>
      <c r="M6" s="125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12"/>
      <c r="H7" s="113"/>
      <c r="I7" s="113"/>
      <c r="J7" s="2"/>
      <c r="K7" s="102"/>
      <c r="L7" s="124"/>
      <c r="M7" s="125"/>
      <c r="R7" s="1">
        <f>IF(vend16[[#This Row],[Nº Venda]]&gt;1,1,0)</f>
        <v>0</v>
      </c>
    </row>
    <row r="8" spans="2:18" ht="15.75" x14ac:dyDescent="0.25">
      <c r="B8" s="28" t="s">
        <v>20</v>
      </c>
      <c r="C8" s="29">
        <f>SUM(C6:C7)</f>
        <v>350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IF(vend16[[#This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200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350</v>
      </c>
      <c r="D15" s="2"/>
      <c r="E15" s="102"/>
      <c r="F15" s="102"/>
      <c r="G15" s="106"/>
      <c r="H15" s="113"/>
      <c r="I15" s="113"/>
      <c r="J15" s="2"/>
      <c r="K15" s="102">
        <v>3459</v>
      </c>
      <c r="L15" s="9" t="s">
        <v>126</v>
      </c>
      <c r="M15" s="125" t="s">
        <v>33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3488</v>
      </c>
      <c r="L16" s="9" t="s">
        <v>126</v>
      </c>
      <c r="M16" s="125" t="s">
        <v>33</v>
      </c>
      <c r="R16" s="1">
        <f>IF(vend16[[#This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9"/>
      <c r="L17" s="128"/>
      <c r="M17" s="129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1340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>
        <v>3488</v>
      </c>
      <c r="F26" s="102" t="s">
        <v>149</v>
      </c>
      <c r="G26" s="112" t="s">
        <v>7</v>
      </c>
      <c r="H26" s="113">
        <v>350</v>
      </c>
      <c r="I26" s="113">
        <v>200</v>
      </c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V46"/>
  <sheetViews>
    <sheetView showGridLines="0" topLeftCell="A13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45399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IF(vend17[[#This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IF(vend17[[#This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IF(vend17[[#This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6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V46"/>
  <sheetViews>
    <sheetView showGridLines="0" topLeftCell="A15" zoomScale="80" zoomScaleNormal="80" workbookViewId="0">
      <selection activeCell="I50" sqref="I5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'17'!B1+1</f>
        <v>45400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9"/>
      <c r="F6" s="109"/>
      <c r="G6" s="114"/>
      <c r="H6" s="115"/>
      <c r="I6" s="115"/>
      <c r="J6" s="2"/>
      <c r="K6" s="102"/>
      <c r="L6" s="127"/>
      <c r="M6" s="125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IF(vend18[[#This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IF(vend18[[#This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IF(vend18[[#This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10"/>
      <c r="F23" s="110"/>
      <c r="G23" s="110"/>
      <c r="H23" s="111"/>
      <c r="I23" s="111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6"/>
  <sheetViews>
    <sheetView showGridLines="0" topLeftCell="A14" zoomScale="80" zoomScaleNormal="80" zoomScaleSheetLayoutView="7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'18'!B1+1</f>
        <v>45401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280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280</v>
      </c>
      <c r="D6" s="2"/>
      <c r="E6" s="102">
        <v>3504</v>
      </c>
      <c r="F6" s="102" t="s">
        <v>178</v>
      </c>
      <c r="G6" s="106" t="s">
        <v>8</v>
      </c>
      <c r="H6" s="113">
        <v>280</v>
      </c>
      <c r="I6" s="113">
        <v>280</v>
      </c>
      <c r="J6" s="2"/>
      <c r="K6" s="102"/>
      <c r="L6" s="124"/>
      <c r="M6" s="125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280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09"/>
      <c r="F9" s="109"/>
      <c r="G9" s="114"/>
      <c r="H9" s="115"/>
      <c r="I9" s="115"/>
      <c r="J9" s="2"/>
      <c r="K9" s="102"/>
      <c r="L9" s="124"/>
      <c r="M9" s="125"/>
      <c r="R9" s="1">
        <f>IF(vend19[[#This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280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280</v>
      </c>
      <c r="D15" s="2"/>
      <c r="E15" s="102"/>
      <c r="F15" s="102"/>
      <c r="G15" s="106"/>
      <c r="H15" s="113"/>
      <c r="I15" s="113"/>
      <c r="J15" s="2"/>
      <c r="K15" s="102">
        <v>3495</v>
      </c>
      <c r="L15" s="9" t="s">
        <v>126</v>
      </c>
      <c r="M15" s="125" t="s">
        <v>33</v>
      </c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3494</v>
      </c>
      <c r="L16" s="9" t="s">
        <v>126</v>
      </c>
      <c r="M16" s="125" t="s">
        <v>33</v>
      </c>
      <c r="R16" s="1">
        <f>IF(vend19[[#This Row],[Nº Venda]]&gt;1,1,0)</f>
        <v>0</v>
      </c>
    </row>
    <row r="17" spans="2:22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>
        <v>3484</v>
      </c>
      <c r="L17" s="9" t="s">
        <v>126</v>
      </c>
      <c r="M17" s="125" t="s">
        <v>33</v>
      </c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102"/>
      <c r="F18" s="102"/>
      <c r="G18" s="106"/>
      <c r="H18" s="113"/>
      <c r="I18" s="113"/>
      <c r="J18" s="2"/>
      <c r="K18" s="102">
        <v>3504</v>
      </c>
      <c r="L18" s="9" t="s">
        <v>126</v>
      </c>
      <c r="M18" s="125" t="s">
        <v>33</v>
      </c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IF(vend19[[#This Row],[Nº Venda]]&gt;1,1,0)</f>
        <v>0</v>
      </c>
      <c r="V20" s="1" t="s">
        <v>35</v>
      </c>
    </row>
    <row r="21" spans="2:22" ht="15.75" x14ac:dyDescent="0.25">
      <c r="B21" s="28" t="s">
        <v>25</v>
      </c>
      <c r="C21" s="32">
        <f>C5</f>
        <v>280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22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22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22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22" ht="15.75" x14ac:dyDescent="0.25">
      <c r="B26" s="2"/>
      <c r="C26" s="2"/>
      <c r="D26" s="2"/>
      <c r="E26" s="102"/>
      <c r="F26" s="106"/>
      <c r="G26" s="106"/>
      <c r="H26" s="113"/>
      <c r="I26" s="113"/>
      <c r="J26" s="2"/>
      <c r="K26" s="102"/>
      <c r="L26" s="124"/>
      <c r="M26" s="125"/>
    </row>
    <row r="27" spans="2:22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22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22" ht="15.75" x14ac:dyDescent="0.25">
      <c r="B29" s="2"/>
      <c r="C29" s="2"/>
      <c r="D29" s="2"/>
      <c r="E29" s="102"/>
      <c r="F29" s="102"/>
      <c r="G29" s="106"/>
      <c r="H29" s="106"/>
      <c r="I29" s="113"/>
      <c r="J29" s="2"/>
      <c r="K29" s="102"/>
      <c r="L29" s="124"/>
      <c r="M29" s="125"/>
    </row>
    <row r="30" spans="2:22" ht="15.75" x14ac:dyDescent="0.25">
      <c r="B30" s="2"/>
      <c r="C30" s="2"/>
      <c r="D30" s="2"/>
      <c r="E30" s="102"/>
      <c r="F30" s="102"/>
      <c r="G30" s="106"/>
      <c r="H30" s="113"/>
      <c r="I30" s="113"/>
      <c r="J30" s="2"/>
      <c r="K30" s="102"/>
      <c r="L30" s="124"/>
      <c r="M30" s="125"/>
    </row>
    <row r="31" spans="2:22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22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V46"/>
  <sheetViews>
    <sheetView showGridLines="0" topLeftCell="A7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'19'!B1+1</f>
        <v>45402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IF(vend20[[#This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9"/>
      <c r="L15" s="124"/>
      <c r="M15" s="125"/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9"/>
      <c r="L16" s="128"/>
      <c r="M16" s="129"/>
      <c r="R16" s="1">
        <f>IF(vend20[[#This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9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9"/>
      <c r="L36" s="133"/>
      <c r="M36" s="129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V46"/>
  <sheetViews>
    <sheetView showGridLines="0" topLeftCell="A2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45403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IF(vend21[[#This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IF(vend21[[#This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V46"/>
  <sheetViews>
    <sheetView showGridLines="0" topLeftCell="A6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45404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599.9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649.9</v>
      </c>
      <c r="D6" s="2"/>
      <c r="E6" s="102">
        <v>3503</v>
      </c>
      <c r="F6" s="102" t="s">
        <v>173</v>
      </c>
      <c r="G6" s="106"/>
      <c r="H6" s="113" t="s">
        <v>174</v>
      </c>
      <c r="I6" s="113" t="s">
        <v>175</v>
      </c>
      <c r="J6" s="2"/>
      <c r="K6" s="102"/>
      <c r="L6" s="124"/>
      <c r="M6" s="125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>
        <v>3506</v>
      </c>
      <c r="F7" s="102" t="s">
        <v>176</v>
      </c>
      <c r="G7" s="106" t="s">
        <v>8</v>
      </c>
      <c r="H7" s="113">
        <v>599.9</v>
      </c>
      <c r="I7" s="113">
        <v>599.9</v>
      </c>
      <c r="J7" s="2"/>
      <c r="K7" s="102"/>
      <c r="L7" s="124"/>
      <c r="M7" s="125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649.9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IF(vend22[[#This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599.9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649.9</v>
      </c>
      <c r="D15" s="2"/>
      <c r="E15" s="102"/>
      <c r="F15" s="102"/>
      <c r="G15" s="106"/>
      <c r="H15" s="113"/>
      <c r="I15" s="113"/>
      <c r="J15" s="2"/>
      <c r="K15" s="102">
        <v>3486</v>
      </c>
      <c r="L15" s="9" t="s">
        <v>126</v>
      </c>
      <c r="M15" s="125" t="s">
        <v>168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3500</v>
      </c>
      <c r="L16" s="9" t="s">
        <v>126</v>
      </c>
      <c r="M16" s="125" t="s">
        <v>33</v>
      </c>
      <c r="R16" s="1">
        <f>IF(vend22[[#This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IF(vend22[[#This Row],[Nº Venda]]&gt;1,1,0)</f>
        <v>0</v>
      </c>
    </row>
    <row r="18" spans="2:18" ht="15.75" x14ac:dyDescent="0.25">
      <c r="B18" s="30">
        <f>COUNT(entr_carn22[OS])</f>
        <v>1</v>
      </c>
      <c r="C18" s="31">
        <f>SUM(entr_carn22[Valor Total])</f>
        <v>300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300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599.9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>
        <v>3447</v>
      </c>
      <c r="F26" s="102" t="s">
        <v>177</v>
      </c>
      <c r="G26" s="106" t="s">
        <v>9</v>
      </c>
      <c r="H26" s="113"/>
      <c r="I26" s="113">
        <v>50</v>
      </c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>
        <v>3486</v>
      </c>
      <c r="L35" s="130">
        <v>3</v>
      </c>
      <c r="M35" s="125">
        <v>300</v>
      </c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2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V46"/>
  <sheetViews>
    <sheetView showGridLines="0" topLeftCell="A1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45405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IF(vend23[[#This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IF(vend23[[#This Row],[Nº Venda]]&gt;1,1,0)</f>
        <v>0</v>
      </c>
    </row>
    <row r="11" spans="2:18" ht="15.75" x14ac:dyDescent="0.25">
      <c r="B11" s="30" t="s">
        <v>6</v>
      </c>
      <c r="C11" s="107">
        <f>(SUMIF($G$2:$G$31,B11,$I$2:$I$31))+(SUMIF($G$35:$G$44,B11,$H$35:$H$44))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107">
        <f>(SUMIF($G$2:$G$31,B12,$I$2:$I$31))+(SUMIF($G$35:$G$44,B12,$H$35:$H$44))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IF(vend23[[#This Row],[Nº Venda]]&gt;1,1,0)</f>
        <v>0</v>
      </c>
    </row>
    <row r="13" spans="2:18" ht="15.75" x14ac:dyDescent="0.25">
      <c r="B13" s="30" t="s">
        <v>8</v>
      </c>
      <c r="C13" s="107">
        <f>(SUMIF($G$2:$G$31,B13,$I$2:$I$31))+(SUMIF($G$35:$G$44,B13,$H$35:$H$44))</f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IF(vend23[[#This Row],[Nº Venda]]&gt;1,1,0)</f>
        <v>0</v>
      </c>
    </row>
    <row r="14" spans="2:18" ht="15.75" x14ac:dyDescent="0.25">
      <c r="B14" s="30" t="s">
        <v>9</v>
      </c>
      <c r="C14" s="107">
        <f>(SUMIF($G$2:$G$31,B14,$I$2:$I$31))+(SUMIF($G$35:$G$44,B14,$H$35:$H$44))</f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IF(vend23[[#This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5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05"/>
      <c r="F42" s="108"/>
      <c r="G42" s="108"/>
      <c r="H42" s="120"/>
      <c r="I42" s="120"/>
      <c r="J42" s="98"/>
      <c r="K42" s="101"/>
      <c r="L42" s="101"/>
      <c r="M42" s="101"/>
    </row>
    <row r="43" spans="2:22" ht="15.75" x14ac:dyDescent="0.25">
      <c r="E43" s="85"/>
      <c r="F43" s="83"/>
      <c r="G43" s="82"/>
      <c r="H43" s="84"/>
      <c r="I43" s="8"/>
    </row>
    <row r="44" spans="2:22" ht="15.75" x14ac:dyDescent="0.25">
      <c r="E44" s="86"/>
      <c r="F44" s="64"/>
      <c r="G44" s="65"/>
      <c r="H44" s="66"/>
      <c r="I44" s="17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V46"/>
  <sheetViews>
    <sheetView showGridLines="0" topLeftCell="A9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45406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1150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1150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IF(vend24[[#This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1100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1150</v>
      </c>
      <c r="D15" s="2"/>
      <c r="E15" s="102"/>
      <c r="F15" s="102"/>
      <c r="G15" s="106"/>
      <c r="H15" s="113"/>
      <c r="I15" s="113"/>
      <c r="J15" s="2"/>
      <c r="K15" s="102">
        <v>3473</v>
      </c>
      <c r="L15" s="9" t="s">
        <v>126</v>
      </c>
      <c r="M15" s="125" t="s">
        <v>33</v>
      </c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3503</v>
      </c>
      <c r="L16" s="9" t="s">
        <v>126</v>
      </c>
      <c r="M16" s="125" t="s">
        <v>33</v>
      </c>
      <c r="R16" s="1">
        <f>IF(vend24[[#This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>
        <v>3499</v>
      </c>
      <c r="L17" s="9" t="s">
        <v>126</v>
      </c>
      <c r="M17" s="125" t="s">
        <v>33</v>
      </c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>
        <v>3473</v>
      </c>
      <c r="F26" s="102" t="s">
        <v>171</v>
      </c>
      <c r="G26" s="106" t="s">
        <v>7</v>
      </c>
      <c r="H26" s="113"/>
      <c r="I26" s="113">
        <v>1100</v>
      </c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>
        <v>3447</v>
      </c>
      <c r="F27" s="106" t="s">
        <v>172</v>
      </c>
      <c r="G27" s="106" t="s">
        <v>9</v>
      </c>
      <c r="H27" s="113"/>
      <c r="I27" s="113">
        <v>50</v>
      </c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V46"/>
  <sheetViews>
    <sheetView showGridLines="0" topLeftCell="A11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45407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939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370</v>
      </c>
      <c r="D6" s="2"/>
      <c r="E6" s="102">
        <v>3508</v>
      </c>
      <c r="F6" s="102" t="s">
        <v>170</v>
      </c>
      <c r="G6" s="106" t="s">
        <v>9</v>
      </c>
      <c r="H6" s="113">
        <v>939</v>
      </c>
      <c r="I6" s="113">
        <v>370</v>
      </c>
      <c r="J6" s="2"/>
      <c r="K6" s="102"/>
      <c r="L6" s="124"/>
      <c r="M6" s="125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IF(vend25[[#This Row],[Nº Venda]]&gt;1,1,0)</f>
        <v>0</v>
      </c>
    </row>
    <row r="8" spans="2:18" ht="15.75" x14ac:dyDescent="0.25">
      <c r="B8" s="28" t="s">
        <v>20</v>
      </c>
      <c r="C8" s="29">
        <f>SUM(C6:C7)</f>
        <v>370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IF(vend25[[#This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 ca="1">IF(C15=0,0,1)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370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2:18" ht="15.75" x14ac:dyDescent="0.25">
      <c r="B15" s="28" t="s">
        <v>10</v>
      </c>
      <c r="C15" s="32">
        <f ca="1">SUM(C11:C14)</f>
        <v>370</v>
      </c>
      <c r="D15" s="2"/>
      <c r="E15" s="102"/>
      <c r="F15" s="102"/>
      <c r="G15" s="106"/>
      <c r="H15" s="113"/>
      <c r="I15" s="113"/>
      <c r="J15" s="2"/>
      <c r="K15" s="102">
        <v>3501</v>
      </c>
      <c r="L15" s="9" t="s">
        <v>126</v>
      </c>
      <c r="M15" s="125" t="s">
        <v>33</v>
      </c>
      <c r="R15" s="1">
        <f>IF(vend25[[#This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IF(vend25[[#This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IF(vend25[[#This Row],[Nº Venda]]&gt;1,1,0)</f>
        <v>0</v>
      </c>
    </row>
    <row r="21" spans="2:18" ht="15.75" x14ac:dyDescent="0.25">
      <c r="B21" s="28" t="s">
        <v>25</v>
      </c>
      <c r="C21" s="32">
        <f>C5</f>
        <v>939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61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V46"/>
  <sheetViews>
    <sheetView showGridLines="0" topLeftCell="A11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45408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150</v>
      </c>
      <c r="D6" s="2"/>
      <c r="E6" s="102">
        <v>3507</v>
      </c>
      <c r="F6" s="102" t="s">
        <v>167</v>
      </c>
      <c r="G6" s="106" t="s">
        <v>6</v>
      </c>
      <c r="H6" s="113">
        <v>350</v>
      </c>
      <c r="I6" s="113">
        <v>100</v>
      </c>
      <c r="J6" s="2"/>
      <c r="K6" s="102"/>
      <c r="L6" s="124"/>
      <c r="M6" s="125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150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IF(vend26[[#This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150</v>
      </c>
      <c r="D15" s="2"/>
      <c r="E15" s="102"/>
      <c r="F15" s="102"/>
      <c r="G15" s="106"/>
      <c r="H15" s="113"/>
      <c r="I15" s="113"/>
      <c r="J15" s="2"/>
      <c r="K15" s="102">
        <v>3457</v>
      </c>
      <c r="L15" s="9" t="s">
        <v>126</v>
      </c>
      <c r="M15" s="125" t="s">
        <v>33</v>
      </c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3447</v>
      </c>
      <c r="L16" s="9" t="s">
        <v>126</v>
      </c>
      <c r="M16" s="125" t="s">
        <v>33</v>
      </c>
      <c r="R16" s="1">
        <f>IF(vend26[[#This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>
        <v>3485</v>
      </c>
      <c r="L17" s="9" t="s">
        <v>126</v>
      </c>
      <c r="M17" s="125" t="s">
        <v>168</v>
      </c>
      <c r="R17" s="1">
        <f>IF(vend26[[#This Row],[Nº Venda]]&gt;1,1,0)</f>
        <v>0</v>
      </c>
    </row>
    <row r="18" spans="2:18" ht="15.75" x14ac:dyDescent="0.25">
      <c r="B18" s="30">
        <f>COUNT(entr_carn26[OS])</f>
        <v>1</v>
      </c>
      <c r="C18" s="31">
        <f>SUM(entr_carn26[Valor Total])</f>
        <v>1190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1190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350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>
        <v>3447</v>
      </c>
      <c r="F26" s="102" t="s">
        <v>169</v>
      </c>
      <c r="G26" s="106" t="s">
        <v>9</v>
      </c>
      <c r="H26" s="113"/>
      <c r="I26" s="113">
        <v>50</v>
      </c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>
        <v>3485</v>
      </c>
      <c r="L35" s="130">
        <v>6</v>
      </c>
      <c r="M35" s="125">
        <v>1190</v>
      </c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V46"/>
  <sheetViews>
    <sheetView showGridLines="0" topLeftCell="A1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45409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394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80</v>
      </c>
      <c r="D6" s="2"/>
      <c r="E6" s="102">
        <v>3509</v>
      </c>
      <c r="F6" s="102" t="s">
        <v>166</v>
      </c>
      <c r="G6" s="106" t="s">
        <v>9</v>
      </c>
      <c r="H6" s="113">
        <v>394</v>
      </c>
      <c r="I6" s="113">
        <v>80</v>
      </c>
      <c r="J6" s="2"/>
      <c r="K6" s="102"/>
      <c r="L6" s="124"/>
      <c r="M6" s="125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IF(vend27[[#This Row],[Nº Venda]]&gt;1,1,0)</f>
        <v>0</v>
      </c>
    </row>
    <row r="8" spans="2:18" ht="15.75" x14ac:dyDescent="0.25">
      <c r="B8" s="28" t="s">
        <v>20</v>
      </c>
      <c r="C8" s="29">
        <f>SUM(C6:C7)</f>
        <v>80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IF(vend27[[#This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80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80</v>
      </c>
      <c r="D15" s="2"/>
      <c r="E15" s="102"/>
      <c r="F15" s="102"/>
      <c r="G15" s="106"/>
      <c r="H15" s="113"/>
      <c r="I15" s="113"/>
      <c r="J15" s="2"/>
      <c r="K15" s="102">
        <v>3504</v>
      </c>
      <c r="L15" s="9" t="s">
        <v>126</v>
      </c>
      <c r="M15" s="125" t="s">
        <v>33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>
        <v>3464</v>
      </c>
      <c r="L16" s="9" t="s">
        <v>126</v>
      </c>
      <c r="M16" s="125" t="s">
        <v>33</v>
      </c>
      <c r="R16" s="1">
        <f>IF(vend27[[#This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394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1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V46"/>
  <sheetViews>
    <sheetView showGridLines="0" topLeftCell="A4" zoomScale="80" zoomScaleNormal="80" workbookViewId="0">
      <selection activeCell="K16" sqref="K15: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45410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IF(vend28[[#This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IF(vend28[[#This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V46"/>
  <sheetViews>
    <sheetView showGridLines="0" topLeftCell="A7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'28'!B1+1</f>
        <v>45411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IF(vend29[[#This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IF(vend29[[#This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9">
        <v>3505</v>
      </c>
      <c r="L15" s="9" t="s">
        <v>126</v>
      </c>
      <c r="M15" s="125" t="s">
        <v>33</v>
      </c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9"/>
      <c r="L16" s="124"/>
      <c r="M16" s="125"/>
      <c r="R16" s="1">
        <f>IF(vend29[[#This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9"/>
      <c r="L17" s="124"/>
      <c r="M17" s="125"/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6"/>
  <sheetViews>
    <sheetView showGridLines="0" topLeftCell="A16" zoomScale="80" zoomScaleNormal="80" workbookViewId="0">
      <selection activeCell="I16" sqref="I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45412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IF(vend30[[#This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IF(vend30[[#This Row],[Nº Venda]]&gt;1,1,0)</f>
        <v>0</v>
      </c>
    </row>
    <row r="17" spans="2:22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  <c r="V21" s="1" t="s">
        <v>36</v>
      </c>
    </row>
    <row r="22" spans="2:22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22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22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22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22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22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22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22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22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22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V46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45413</v>
      </c>
    </row>
    <row r="2" spans="2:18" ht="18.75" x14ac:dyDescent="0.2">
      <c r="B2" s="139" t="s">
        <v>12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2" t="s">
        <v>1</v>
      </c>
      <c r="F4" s="142"/>
      <c r="G4" s="142"/>
      <c r="H4" s="142"/>
      <c r="I4" s="142"/>
      <c r="J4" s="22"/>
      <c r="K4" s="136" t="s">
        <v>3</v>
      </c>
      <c r="L4" s="137"/>
      <c r="M4" s="13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02"/>
      <c r="F6" s="102"/>
      <c r="G6" s="106"/>
      <c r="H6" s="113"/>
      <c r="I6" s="113"/>
      <c r="J6" s="2"/>
      <c r="K6" s="102"/>
      <c r="L6" s="124"/>
      <c r="M6" s="125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2"/>
      <c r="F7" s="102"/>
      <c r="G7" s="106"/>
      <c r="H7" s="113"/>
      <c r="I7" s="113"/>
      <c r="J7" s="2"/>
      <c r="K7" s="102"/>
      <c r="L7" s="124"/>
      <c r="M7" s="125"/>
      <c r="R7" s="1">
        <f>IF(vend31[[#This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02"/>
      <c r="F8" s="102"/>
      <c r="G8" s="106"/>
      <c r="H8" s="113"/>
      <c r="I8" s="113"/>
      <c r="J8" s="2"/>
      <c r="K8" s="102"/>
      <c r="L8" s="124"/>
      <c r="M8" s="125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02"/>
      <c r="F9" s="102"/>
      <c r="G9" s="106"/>
      <c r="H9" s="113"/>
      <c r="I9" s="113"/>
      <c r="J9" s="2"/>
      <c r="K9" s="102"/>
      <c r="L9" s="124"/>
      <c r="M9" s="125"/>
      <c r="R9" s="1">
        <f>IF(vend31[[#This Row],[Nº Venda]]&gt;1,1,0)</f>
        <v>0</v>
      </c>
    </row>
    <row r="10" spans="2:18" ht="15.75" x14ac:dyDescent="0.25">
      <c r="B10" s="134" t="s">
        <v>5</v>
      </c>
      <c r="C10" s="134"/>
      <c r="D10" s="2"/>
      <c r="E10" s="102"/>
      <c r="F10" s="102"/>
      <c r="G10" s="106"/>
      <c r="H10" s="113"/>
      <c r="I10" s="113"/>
      <c r="J10" s="2"/>
      <c r="K10" s="102"/>
      <c r="L10" s="124"/>
      <c r="M10" s="125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02"/>
      <c r="F11" s="102"/>
      <c r="G11" s="106"/>
      <c r="H11" s="113"/>
      <c r="I11" s="113"/>
      <c r="J11" s="2"/>
      <c r="K11" s="126"/>
      <c r="L11" s="124"/>
      <c r="M11" s="125"/>
      <c r="O11" s="1">
        <f>IF(C15=0,0,1)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02"/>
      <c r="F12" s="102"/>
      <c r="G12" s="106"/>
      <c r="H12" s="113"/>
      <c r="I12" s="113"/>
      <c r="J12" s="2"/>
      <c r="K12" s="101"/>
      <c r="L12" s="101"/>
      <c r="M12" s="101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02"/>
      <c r="F13" s="102"/>
      <c r="G13" s="106"/>
      <c r="H13" s="113"/>
      <c r="I13" s="113"/>
      <c r="J13" s="2"/>
      <c r="K13" s="136" t="s">
        <v>21</v>
      </c>
      <c r="L13" s="137"/>
      <c r="M13" s="138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02"/>
      <c r="F14" s="102"/>
      <c r="G14" s="106"/>
      <c r="H14" s="113"/>
      <c r="I14" s="113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02"/>
      <c r="F15" s="102"/>
      <c r="G15" s="106"/>
      <c r="H15" s="113"/>
      <c r="I15" s="113"/>
      <c r="J15" s="2"/>
      <c r="K15" s="102"/>
      <c r="L15" s="124"/>
      <c r="M15" s="125"/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102"/>
      <c r="F16" s="102"/>
      <c r="G16" s="106"/>
      <c r="H16" s="113"/>
      <c r="I16" s="113"/>
      <c r="J16" s="2"/>
      <c r="K16" s="102"/>
      <c r="L16" s="124"/>
      <c r="M16" s="125"/>
      <c r="R16" s="1">
        <f>IF(vend31[[#This Row],[Nº Venda]]&gt;1,1,0)</f>
        <v>0</v>
      </c>
    </row>
    <row r="17" spans="2:18" ht="15.75" x14ac:dyDescent="0.25">
      <c r="B17" s="134" t="s">
        <v>11</v>
      </c>
      <c r="C17" s="134"/>
      <c r="D17" s="2"/>
      <c r="E17" s="102"/>
      <c r="F17" s="102"/>
      <c r="G17" s="106"/>
      <c r="H17" s="113"/>
      <c r="I17" s="113"/>
      <c r="J17" s="2"/>
      <c r="K17" s="102"/>
      <c r="L17" s="124"/>
      <c r="M17" s="125"/>
      <c r="R17" s="1">
        <f>IF(vend31[[#This Row],[Nº Venda]]&gt;1,1,0)</f>
        <v>0</v>
      </c>
    </row>
    <row r="18" spans="2:18" ht="15.75" x14ac:dyDescent="0.25">
      <c r="B18" s="30">
        <f>COUNT(entr_carn31[OS])</f>
        <v>0</v>
      </c>
      <c r="C18" s="31">
        <f>SUM(entr_carn31[Valor Total])</f>
        <v>0</v>
      </c>
      <c r="D18" s="2"/>
      <c r="E18" s="102"/>
      <c r="F18" s="102"/>
      <c r="G18" s="106"/>
      <c r="H18" s="113"/>
      <c r="I18" s="113"/>
      <c r="J18" s="2"/>
      <c r="K18" s="102"/>
      <c r="L18" s="124"/>
      <c r="M18" s="125"/>
      <c r="R18" s="1">
        <f>IF(vend31[[#This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02"/>
      <c r="F19" s="102"/>
      <c r="G19" s="106"/>
      <c r="H19" s="113"/>
      <c r="I19" s="113"/>
      <c r="J19" s="2"/>
      <c r="K19" s="102"/>
      <c r="L19" s="124"/>
      <c r="M19" s="125"/>
      <c r="R19" s="1">
        <f>IF(vend31[[#This Row],[Nº Venda]]&gt;1,1,0)</f>
        <v>0</v>
      </c>
    </row>
    <row r="20" spans="2:18" ht="15.75" x14ac:dyDescent="0.25">
      <c r="B20" s="2"/>
      <c r="C20" s="2"/>
      <c r="D20" s="2"/>
      <c r="E20" s="102"/>
      <c r="F20" s="106"/>
      <c r="G20" s="106"/>
      <c r="H20" s="113"/>
      <c r="I20" s="113"/>
      <c r="J20" s="2"/>
      <c r="K20" s="102"/>
      <c r="L20" s="124"/>
      <c r="M20" s="125"/>
      <c r="R20" s="1">
        <f>IF(vend31[[#This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02"/>
      <c r="F21" s="102"/>
      <c r="G21" s="106"/>
      <c r="H21" s="113"/>
      <c r="I21" s="113"/>
      <c r="J21" s="2"/>
      <c r="K21" s="102"/>
      <c r="L21" s="124"/>
      <c r="M21" s="125"/>
    </row>
    <row r="22" spans="2:18" ht="15.75" x14ac:dyDescent="0.25">
      <c r="B22" s="2"/>
      <c r="C22" s="2"/>
      <c r="D22" s="2"/>
      <c r="E22" s="102"/>
      <c r="F22" s="102"/>
      <c r="G22" s="106"/>
      <c r="H22" s="113"/>
      <c r="I22" s="113"/>
      <c r="J22" s="2"/>
      <c r="K22" s="102"/>
      <c r="L22" s="124"/>
      <c r="M22" s="125"/>
    </row>
    <row r="23" spans="2:18" ht="15.75" x14ac:dyDescent="0.25">
      <c r="B23" s="2"/>
      <c r="C23" s="2"/>
      <c r="D23" s="2"/>
      <c r="E23" s="103"/>
      <c r="F23" s="99"/>
      <c r="G23" s="99"/>
      <c r="H23" s="104"/>
      <c r="I23" s="100"/>
      <c r="J23" s="2"/>
      <c r="K23" s="102"/>
      <c r="L23" s="124"/>
      <c r="M23" s="125"/>
    </row>
    <row r="24" spans="2:18" ht="15.75" x14ac:dyDescent="0.25">
      <c r="B24" s="2"/>
      <c r="C24" s="2"/>
      <c r="D24" s="2"/>
      <c r="E24" s="135" t="s">
        <v>26</v>
      </c>
      <c r="F24" s="135"/>
      <c r="G24" s="135"/>
      <c r="H24" s="135"/>
      <c r="I24" s="135"/>
      <c r="J24" s="2"/>
      <c r="K24" s="102"/>
      <c r="L24" s="124"/>
      <c r="M24" s="12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2"/>
      <c r="L25" s="124"/>
      <c r="M25" s="125"/>
    </row>
    <row r="26" spans="2:18" ht="15.75" x14ac:dyDescent="0.25">
      <c r="B26" s="2"/>
      <c r="C26" s="2"/>
      <c r="D26" s="2"/>
      <c r="E26" s="102"/>
      <c r="F26" s="102"/>
      <c r="G26" s="106"/>
      <c r="H26" s="113"/>
      <c r="I26" s="113"/>
      <c r="J26" s="2"/>
      <c r="K26" s="102"/>
      <c r="L26" s="124"/>
      <c r="M26" s="125"/>
    </row>
    <row r="27" spans="2:18" ht="15.75" x14ac:dyDescent="0.25">
      <c r="B27" s="2"/>
      <c r="C27" s="2"/>
      <c r="D27" s="2"/>
      <c r="E27" s="102"/>
      <c r="F27" s="102"/>
      <c r="G27" s="106"/>
      <c r="H27" s="113"/>
      <c r="I27" s="113"/>
      <c r="J27" s="2"/>
      <c r="K27" s="102"/>
      <c r="L27" s="124"/>
      <c r="M27" s="125"/>
    </row>
    <row r="28" spans="2:18" ht="15.75" x14ac:dyDescent="0.25">
      <c r="B28" s="2"/>
      <c r="C28" s="2"/>
      <c r="D28" s="2"/>
      <c r="E28" s="102"/>
      <c r="F28" s="102"/>
      <c r="G28" s="106"/>
      <c r="H28" s="113"/>
      <c r="I28" s="113"/>
      <c r="J28" s="2"/>
      <c r="K28" s="102"/>
      <c r="L28" s="124"/>
      <c r="M28" s="125"/>
    </row>
    <row r="29" spans="2:18" ht="15.75" x14ac:dyDescent="0.25">
      <c r="B29" s="2"/>
      <c r="C29" s="2"/>
      <c r="D29" s="2"/>
      <c r="E29" s="102"/>
      <c r="F29" s="102"/>
      <c r="G29" s="106"/>
      <c r="H29" s="113"/>
      <c r="I29" s="113"/>
      <c r="J29" s="2"/>
      <c r="K29" s="102"/>
      <c r="L29" s="124"/>
      <c r="M29" s="125"/>
    </row>
    <row r="30" spans="2:18" ht="15.75" x14ac:dyDescent="0.25">
      <c r="B30" s="2"/>
      <c r="C30" s="2"/>
      <c r="D30" s="2"/>
      <c r="E30" s="102"/>
      <c r="F30" s="106"/>
      <c r="G30" s="106"/>
      <c r="H30" s="113"/>
      <c r="I30" s="113"/>
      <c r="J30" s="2"/>
      <c r="K30" s="102"/>
      <c r="L30" s="124"/>
      <c r="M30" s="125"/>
    </row>
    <row r="31" spans="2:18" ht="15.75" x14ac:dyDescent="0.25">
      <c r="B31" s="2"/>
      <c r="C31" s="2"/>
      <c r="D31" s="2"/>
      <c r="E31" s="105"/>
      <c r="F31" s="105"/>
      <c r="G31" s="108"/>
      <c r="H31" s="120"/>
      <c r="I31" s="120"/>
      <c r="J31" s="2"/>
      <c r="K31" s="102"/>
      <c r="L31" s="124"/>
      <c r="M31" s="125"/>
    </row>
    <row r="32" spans="2:18" ht="15.75" x14ac:dyDescent="0.25">
      <c r="B32" s="2"/>
      <c r="C32" s="2"/>
      <c r="D32" s="98"/>
      <c r="E32" s="121"/>
      <c r="F32" s="122"/>
      <c r="G32" s="122"/>
      <c r="H32" s="123"/>
      <c r="I32" s="123"/>
      <c r="J32" s="98"/>
      <c r="K32" s="101"/>
      <c r="L32" s="101"/>
      <c r="M32" s="101"/>
    </row>
    <row r="33" spans="2:22" ht="15" x14ac:dyDescent="0.25">
      <c r="B33" s="98"/>
      <c r="C33" s="98"/>
      <c r="D33" s="98"/>
      <c r="E33" s="135" t="s">
        <v>27</v>
      </c>
      <c r="F33" s="135"/>
      <c r="G33" s="135"/>
      <c r="H33" s="135"/>
      <c r="I33" s="135"/>
      <c r="J33" s="98"/>
      <c r="K33" s="136" t="s">
        <v>11</v>
      </c>
      <c r="L33" s="137"/>
      <c r="M33" s="138"/>
    </row>
    <row r="34" spans="2:22" ht="15" x14ac:dyDescent="0.25">
      <c r="B34" s="98"/>
      <c r="C34" s="98"/>
      <c r="D34" s="98"/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J34" s="98"/>
      <c r="K34" s="14" t="s">
        <v>22</v>
      </c>
      <c r="L34" s="6" t="s">
        <v>30</v>
      </c>
      <c r="M34" s="15" t="s">
        <v>31</v>
      </c>
    </row>
    <row r="35" spans="2:22" ht="15.75" x14ac:dyDescent="0.25">
      <c r="B35" s="98"/>
      <c r="C35" s="98"/>
      <c r="D35" s="98"/>
      <c r="E35" s="102"/>
      <c r="F35" s="87"/>
      <c r="G35" s="26"/>
      <c r="H35" s="8"/>
      <c r="I35" s="8"/>
      <c r="J35" s="98"/>
      <c r="K35" s="102"/>
      <c r="L35" s="130"/>
      <c r="M35" s="125"/>
    </row>
    <row r="36" spans="2:22" ht="15.75" x14ac:dyDescent="0.25">
      <c r="B36" s="98"/>
      <c r="C36" s="98"/>
      <c r="D36" s="98"/>
      <c r="E36" s="102"/>
      <c r="F36" s="102"/>
      <c r="G36" s="106"/>
      <c r="H36" s="113"/>
      <c r="I36" s="113"/>
      <c r="J36" s="98"/>
      <c r="K36" s="102"/>
      <c r="L36" s="130"/>
      <c r="M36" s="125"/>
    </row>
    <row r="37" spans="2:22" ht="15.75" x14ac:dyDescent="0.25">
      <c r="B37" s="98"/>
      <c r="C37" s="98"/>
      <c r="D37" s="98"/>
      <c r="E37" s="102"/>
      <c r="F37" s="102"/>
      <c r="G37" s="106"/>
      <c r="H37" s="113"/>
      <c r="I37" s="113"/>
      <c r="J37" s="98"/>
      <c r="K37" s="102"/>
      <c r="L37" s="130"/>
      <c r="M37" s="125"/>
    </row>
    <row r="38" spans="2:22" ht="15.75" x14ac:dyDescent="0.25">
      <c r="B38" s="98"/>
      <c r="C38" s="98"/>
      <c r="D38" s="98"/>
      <c r="E38" s="102"/>
      <c r="F38" s="102"/>
      <c r="G38" s="106"/>
      <c r="H38" s="113"/>
      <c r="I38" s="113"/>
      <c r="J38" s="98"/>
      <c r="K38" s="102"/>
      <c r="L38" s="130"/>
      <c r="M38" s="125"/>
    </row>
    <row r="39" spans="2:22" ht="15.75" x14ac:dyDescent="0.25">
      <c r="B39" s="98"/>
      <c r="C39" s="98"/>
      <c r="D39" s="98"/>
      <c r="E39" s="102"/>
      <c r="F39" s="106"/>
      <c r="G39" s="106"/>
      <c r="H39" s="113"/>
      <c r="I39" s="113"/>
      <c r="J39" s="98"/>
      <c r="K39" s="102"/>
      <c r="L39" s="130"/>
      <c r="M39" s="125"/>
    </row>
    <row r="40" spans="2:22" ht="15.75" x14ac:dyDescent="0.25">
      <c r="B40" s="98"/>
      <c r="C40" s="98"/>
      <c r="D40" s="98"/>
      <c r="E40" s="105"/>
      <c r="F40" s="105"/>
      <c r="G40" s="108"/>
      <c r="H40" s="120"/>
      <c r="I40" s="113"/>
      <c r="J40" s="98"/>
      <c r="K40" s="105"/>
      <c r="L40" s="131"/>
      <c r="M40" s="132"/>
      <c r="Q40" s="1" t="s">
        <v>32</v>
      </c>
      <c r="R40" s="1">
        <f>SUM(R6:R21)</f>
        <v>0</v>
      </c>
    </row>
    <row r="41" spans="2:22" ht="15.75" x14ac:dyDescent="0.25">
      <c r="B41" s="98"/>
      <c r="C41" s="98"/>
      <c r="D41" s="98"/>
      <c r="E41" s="106"/>
      <c r="F41" s="106"/>
      <c r="G41" s="106"/>
      <c r="H41" s="113"/>
      <c r="I41" s="113"/>
      <c r="J41" s="98"/>
      <c r="K41" s="124"/>
      <c r="L41" s="130"/>
      <c r="M41" s="132"/>
    </row>
    <row r="42" spans="2:22" ht="15.75" x14ac:dyDescent="0.25">
      <c r="B42" s="98"/>
      <c r="C42" s="98"/>
      <c r="D42" s="98"/>
      <c r="E42" s="122"/>
      <c r="F42" s="122"/>
      <c r="G42" s="122"/>
      <c r="H42" s="123"/>
      <c r="I42" s="123"/>
      <c r="J42" s="98"/>
      <c r="K42" s="101"/>
      <c r="L42" s="101"/>
      <c r="M42" s="101"/>
    </row>
    <row r="45" spans="2:22" x14ac:dyDescent="0.2">
      <c r="L45" s="96"/>
    </row>
    <row r="46" spans="2:22" x14ac:dyDescent="0.2">
      <c r="L46" s="96"/>
      <c r="V46" s="9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9" sqref="B19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37</v>
      </c>
      <c r="B1" s="38" t="s">
        <v>38</v>
      </c>
      <c r="E1" s="38" t="s">
        <v>39</v>
      </c>
    </row>
    <row r="2" spans="1:5" x14ac:dyDescent="0.2">
      <c r="A2" s="38" t="s">
        <v>6</v>
      </c>
      <c r="B2" s="38" t="s">
        <v>40</v>
      </c>
      <c r="E2" t="s">
        <v>41</v>
      </c>
    </row>
    <row r="3" spans="1:5" x14ac:dyDescent="0.2">
      <c r="A3" s="38" t="s">
        <v>7</v>
      </c>
      <c r="B3" s="38" t="s">
        <v>42</v>
      </c>
      <c r="E3" t="s">
        <v>43</v>
      </c>
    </row>
    <row r="4" spans="1:5" x14ac:dyDescent="0.2">
      <c r="A4" s="38" t="s">
        <v>8</v>
      </c>
      <c r="B4" s="38" t="s">
        <v>44</v>
      </c>
      <c r="E4" t="s">
        <v>45</v>
      </c>
    </row>
    <row r="5" spans="1:5" x14ac:dyDescent="0.2">
      <c r="A5" s="38" t="s">
        <v>9</v>
      </c>
      <c r="B5" s="38" t="s">
        <v>9</v>
      </c>
      <c r="E5" t="s">
        <v>46</v>
      </c>
    </row>
    <row r="6" spans="1:5" x14ac:dyDescent="0.2">
      <c r="A6" s="38" t="s">
        <v>48</v>
      </c>
      <c r="B6" s="38" t="s">
        <v>49</v>
      </c>
      <c r="E6" t="s">
        <v>47</v>
      </c>
    </row>
    <row r="7" spans="1:5" x14ac:dyDescent="0.2">
      <c r="A7" t="s">
        <v>24</v>
      </c>
      <c r="B7" t="s">
        <v>51</v>
      </c>
      <c r="E7" t="s">
        <v>50</v>
      </c>
    </row>
    <row r="8" spans="1:5" x14ac:dyDescent="0.2">
      <c r="A8" s="38" t="s">
        <v>53</v>
      </c>
      <c r="B8" s="38" t="s">
        <v>54</v>
      </c>
      <c r="E8" t="s">
        <v>52</v>
      </c>
    </row>
    <row r="9" spans="1:5" x14ac:dyDescent="0.2">
      <c r="E9" t="s">
        <v>55</v>
      </c>
    </row>
    <row r="10" spans="1:5" x14ac:dyDescent="0.2">
      <c r="E10" t="s">
        <v>56</v>
      </c>
    </row>
    <row r="11" spans="1:5" x14ac:dyDescent="0.2">
      <c r="E11" t="s">
        <v>57</v>
      </c>
    </row>
    <row r="12" spans="1:5" x14ac:dyDescent="0.2">
      <c r="E12" t="s">
        <v>58</v>
      </c>
    </row>
    <row r="13" spans="1:5" x14ac:dyDescent="0.2">
      <c r="E13" t="s">
        <v>59</v>
      </c>
    </row>
    <row r="14" spans="1:5" x14ac:dyDescent="0.2">
      <c r="E14" t="s">
        <v>60</v>
      </c>
    </row>
    <row r="15" spans="1:5" x14ac:dyDescent="0.2">
      <c r="E15" t="s">
        <v>61</v>
      </c>
    </row>
    <row r="16" spans="1:5" x14ac:dyDescent="0.2">
      <c r="E16" t="s">
        <v>62</v>
      </c>
    </row>
    <row r="17" spans="5:5" x14ac:dyDescent="0.2">
      <c r="E17" t="s">
        <v>63</v>
      </c>
    </row>
    <row r="18" spans="5:5" x14ac:dyDescent="0.2">
      <c r="E18" t="s">
        <v>64</v>
      </c>
    </row>
    <row r="19" spans="5:5" x14ac:dyDescent="0.2">
      <c r="E19" t="s">
        <v>65</v>
      </c>
    </row>
    <row r="20" spans="5:5" x14ac:dyDescent="0.2">
      <c r="E20" t="s">
        <v>66</v>
      </c>
    </row>
    <row r="21" spans="5:5" x14ac:dyDescent="0.2">
      <c r="E21" t="s">
        <v>67</v>
      </c>
    </row>
    <row r="22" spans="5:5" x14ac:dyDescent="0.2">
      <c r="E22" t="s">
        <v>68</v>
      </c>
    </row>
    <row r="23" spans="5:5" x14ac:dyDescent="0.2">
      <c r="E23" t="s">
        <v>69</v>
      </c>
    </row>
    <row r="24" spans="5:5" x14ac:dyDescent="0.2">
      <c r="E24" t="s">
        <v>70</v>
      </c>
    </row>
    <row r="25" spans="5:5" x14ac:dyDescent="0.2">
      <c r="E25" t="s">
        <v>71</v>
      </c>
    </row>
    <row r="26" spans="5:5" x14ac:dyDescent="0.2">
      <c r="E26" t="s">
        <v>72</v>
      </c>
    </row>
    <row r="27" spans="5:5" x14ac:dyDescent="0.2">
      <c r="E27" t="s">
        <v>73</v>
      </c>
    </row>
    <row r="28" spans="5:5" x14ac:dyDescent="0.2">
      <c r="E28" t="s">
        <v>74</v>
      </c>
    </row>
    <row r="29" spans="5:5" x14ac:dyDescent="0.2">
      <c r="E29" t="s">
        <v>75</v>
      </c>
    </row>
    <row r="30" spans="5:5" x14ac:dyDescent="0.2">
      <c r="E30" t="s">
        <v>76</v>
      </c>
    </row>
    <row r="31" spans="5:5" x14ac:dyDescent="0.2">
      <c r="E31" t="s">
        <v>77</v>
      </c>
    </row>
    <row r="32" spans="5:5" x14ac:dyDescent="0.2">
      <c r="E32" t="s">
        <v>78</v>
      </c>
    </row>
    <row r="33" spans="5:5" x14ac:dyDescent="0.2">
      <c r="E33" t="s">
        <v>79</v>
      </c>
    </row>
    <row r="34" spans="5:5" x14ac:dyDescent="0.2">
      <c r="E34" t="s">
        <v>80</v>
      </c>
    </row>
    <row r="35" spans="5:5" x14ac:dyDescent="0.2">
      <c r="E35" t="s">
        <v>81</v>
      </c>
    </row>
    <row r="36" spans="5:5" x14ac:dyDescent="0.2">
      <c r="E36" t="s">
        <v>82</v>
      </c>
    </row>
    <row r="37" spans="5:5" x14ac:dyDescent="0.2">
      <c r="E37" t="s">
        <v>83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2024-05-23T14:10:45Z</cp:lastPrinted>
  <dcterms:created xsi:type="dcterms:W3CDTF">2004-04-07T20:43:43Z</dcterms:created>
  <dcterms:modified xsi:type="dcterms:W3CDTF">2024-12-20T13:18:17Z</dcterms:modified>
  <cp:category/>
  <cp:contentStatus/>
</cp:coreProperties>
</file>