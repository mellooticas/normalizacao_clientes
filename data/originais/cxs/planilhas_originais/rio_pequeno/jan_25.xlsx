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133" documentId="8_{B3B8B47A-3DB5-4B57-8C03-A6D96B357B35}" xr6:coauthVersionLast="47" xr6:coauthVersionMax="47" xr10:uidLastSave="{56969EE5-9A62-4D84-8A40-E5519E2805A5}"/>
  <bookViews>
    <workbookView xWindow="-120" yWindow="-120" windowWidth="20730" windowHeight="11160" tabRatio="895" activeTab="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4" l="1"/>
  <c r="C6" i="173"/>
  <c r="C6" i="172"/>
  <c r="C6" i="171"/>
  <c r="C6" i="170"/>
  <c r="C6" i="103"/>
  <c r="C6" i="178"/>
  <c r="C6" i="182"/>
  <c r="C6" i="183"/>
  <c r="C6" i="181"/>
  <c r="C6" i="179"/>
  <c r="C6" i="184"/>
  <c r="C6" i="186"/>
  <c r="C6" i="187"/>
  <c r="C6" i="194"/>
  <c r="C6" i="197"/>
  <c r="C6" i="196"/>
  <c r="C6" i="192"/>
  <c r="C6" i="199"/>
  <c r="C6" i="198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79"/>
  <c r="C8" i="187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92"/>
  <c r="C8" i="183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C16" i="188"/>
  <c r="C16" i="185"/>
  <c r="C8" i="178"/>
  <c r="C8" i="198"/>
  <c r="C8" i="181"/>
  <c r="C8" i="170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C16" i="191"/>
  <c r="C16" i="190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C16" i="176"/>
  <c r="C16" i="177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3" l="1"/>
  <c r="C6" i="193"/>
  <c r="C8" i="193" s="1"/>
  <c r="O11" i="188"/>
  <c r="C6" i="188"/>
  <c r="C8" i="188" s="1"/>
  <c r="O11" i="191"/>
  <c r="C6" i="191"/>
  <c r="C8" i="191" s="1"/>
  <c r="O11" i="190"/>
  <c r="C6" i="190"/>
  <c r="C8" i="190" s="1"/>
  <c r="O11" i="189"/>
  <c r="C6" i="189"/>
  <c r="C8" i="189" s="1"/>
  <c r="O11" i="185"/>
  <c r="C6" i="185"/>
  <c r="C8" i="185" s="1"/>
  <c r="O11" i="180"/>
  <c r="C6" i="180"/>
  <c r="C8" i="180" s="1"/>
  <c r="O11" i="176"/>
  <c r="C6" i="176"/>
  <c r="C8" i="176" s="1"/>
  <c r="O11" i="177"/>
  <c r="C6" i="177"/>
  <c r="C8" i="177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<sst xmlns="http://schemas.openxmlformats.org/spreadsheetml/2006/main" count="1656" uniqueCount="153">
  <si>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</si>
  <si>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</si>
  <si>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</si>
  <si>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</si>
  <si>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</si>
  <si>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</si>
  <si>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</si>
  <si>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</si>
  <si>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</si>
  <si>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</si>
  <si>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</si>
  <si>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</si>
  <si>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</si>
  <si>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</si>
  <si>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</si>
  <si>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</si>
  <si>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</si>
  <si>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</si>
  <si>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</si>
  <si>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</si>
  <si>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</si>
  <si>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</si>
  <si>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</si>
  <si>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</si>
  <si>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</si>
  <si>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</si>
  <si>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</si>
  <si>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</si>
  <si>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</si>
  <si>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</si>
  <si>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</si>
  <si>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</si>
  <si>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</si>
  <si>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</si>
  <si>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</si>
  <si>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</si>
  <si>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</si>
  <si>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</si>
  <si>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</si>
  <si>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</si>
  <si>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</si>
  <si>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</si>
  <si>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</si>
  <si>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</si>
  <si>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</si>
  <si>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</si>
  <si>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</si>
  <si>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</si>
  <si>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</si>
  <si>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</si>
  <si>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</si>
  <si>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</si>
  <si>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</si>
  <si>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</si>
  <si>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</si>
  <si>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</si>
  <si>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</si>
  <si>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</si>
  <si>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</si>
  <si>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</si>
  <si>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</si>
  <si>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</si>
  <si>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</si>
  <si>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</si>
  <si>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</si>
  <si>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</si>
  <si>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</si>
  <si>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</si>
  <si>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</si>
  <si>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</si>
  <si>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</si>
  <si>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</si>
  <si>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</si>
  <si>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</si>
  <si>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</si>
  <si>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</si>
  <si>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</si>
  <si>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</si>
  <si>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</si>
  <si>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</si>
  <si>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</si>
  <si>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</si>
  <si>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</si>
  <si>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</si>
  <si>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</si>
  <si>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</si>
  <si>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</si>
  <si>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</si>
  <si>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</si>
  <si>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</si>
  <si>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</si>
  <si>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</si>
  <si>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</si>
  <si>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</si>
  <si>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</si>
  <si>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</si>
  <si>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</si>
  <si>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</si>
  <si>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</si>
  <si>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</si>
  <si>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</si>
  <si>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</si>
  <si>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</si>
  <si>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</si>
  <si>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</si>
  <si>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</si>
  <si>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</si>
  <si>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</si>
  <si>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</si>
  <si>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</si>
  <si>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</si>
  <si>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</si>
  <si>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</si>
  <si>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</si>
  <si>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</si>
  <si>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</si>
  <si>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</si>
  <si>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</si>
  <si>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</si>
  <si>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</si>
  <si>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</si>
  <si>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</si>
  <si>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</si>
  <si>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</si>
  <si>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</si>
  <si>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</si>
  <si>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</si>
  <si>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</si>
  <si>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</si>
  <si>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</si>
  <si>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</si>
  <si>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</si>
  <si>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</si>
  <si>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</si>
  <si>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</si>
  <si>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</si>
  <si>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</si>
  <si>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</si>
  <si>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</si>
  <si>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</si>
  <si>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</si>
  <si>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RIO PEQUENO</t>
  </si>
  <si>
    <t>ELISABETE MARQUES</t>
  </si>
  <si>
    <t>MARIA APDA SILVA</t>
  </si>
  <si>
    <t>Não</t>
  </si>
  <si>
    <t>MARIA OCILIA</t>
  </si>
  <si>
    <t>ROSANGELA BASTOS</t>
  </si>
  <si>
    <t xml:space="preserve">     </t>
  </si>
  <si>
    <t>grace stutz</t>
  </si>
  <si>
    <t>ELIANA PELEGRINO</t>
  </si>
  <si>
    <t>William Brunholi</t>
  </si>
  <si>
    <t>ELIETE GOMES MARQUES</t>
  </si>
  <si>
    <t>RAIMUNDO NONATO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</si>
</sst>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22"/>
      <name val="Arial Black"/>
      <family val="2"/>
    </font>
    <font>
      <b/>
      <u/>
      <sz val="16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7" fillId="0" borderId="0" xfId="0" applyFont="1"/>
    <xf numFmtId="165" fontId="38" fillId="0" borderId="0" xfId="0" applyNumberFormat="1" applyFont="1" applyAlignment="1">
      <alignment horizontal="center"/>
    </xf>
    <xf numFmtId="0" fontId="38" fillId="0" borderId="0" xfId="0" applyFont="1"/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D8" sqref="D8"/>
    </sheetView>
  </sheetViews>
  <sheetFormatPr defaultColWidth="21.28515625" defaultRowHeight="12.75" x14ac:dyDescent="0.2"/>
  <cols>
    <col min="2" max="2" width="24.42578125" customWidth="1"/>
  </cols>
  <sheetData>
    <row r="1" spans="1:16" ht="33.75" x14ac:dyDescent="0.65">
      <c r="B1" s="80"/>
      <c r="L1" s="82" t="s">
        <v>141</v>
      </c>
      <c r="P1" t="s">
        <v>127</v>
      </c>
    </row>
    <row r="2" spans="1:16" ht="15" x14ac:dyDescent="0.2">
      <c r="A2" s="18" t="s">
        <v>0</v>
      </c>
      <c r="B2" s="57" t="s">
        <v>13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1296.24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131</v>
      </c>
    </row>
    <row r="6" spans="1:16" ht="15.75" x14ac:dyDescent="0.25">
      <c r="A6" s="27" t="s">
        <v>4</v>
      </c>
      <c r="B6" s="28">
        <f ca="1">SUM(B4:B5)</f>
        <v>1296.24</v>
      </c>
      <c r="E6" s="37"/>
      <c r="F6" s="37"/>
      <c r="G6" s="37"/>
      <c r="H6" s="37"/>
      <c r="I6" s="37"/>
      <c r="K6" s="37"/>
      <c r="L6" s="37"/>
      <c r="M6" s="37"/>
      <c r="P6" t="s">
        <v>132</v>
      </c>
    </row>
    <row r="7" spans="1:16" ht="15" x14ac:dyDescent="0.25">
      <c r="A7" s="2"/>
      <c r="B7" s="2"/>
      <c r="E7" s="37"/>
      <c r="F7" s="37"/>
      <c r="G7" s="37"/>
      <c r="H7" s="37"/>
      <c r="I7" s="37"/>
      <c r="K7" s="37"/>
      <c r="L7" s="37"/>
      <c r="M7" s="37"/>
      <c r="P7" t="s">
        <v>133</v>
      </c>
    </row>
    <row r="8" spans="1:16" ht="15" x14ac:dyDescent="0.2">
      <c r="A8" s="92" t="s">
        <v>5</v>
      </c>
      <c r="B8" s="92"/>
      <c r="E8" s="37"/>
      <c r="F8" s="37"/>
      <c r="G8" s="37"/>
      <c r="H8" s="37"/>
      <c r="I8" s="37"/>
      <c r="K8" s="37"/>
      <c r="L8" s="37"/>
      <c r="M8" s="37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623.66</v>
      </c>
      <c r="E9" s="37"/>
      <c r="F9" s="37"/>
      <c r="G9" s="37"/>
      <c r="H9" s="37"/>
      <c r="I9" s="37"/>
      <c r="K9" s="37"/>
      <c r="L9" s="37"/>
      <c r="M9" s="37"/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116.33</v>
      </c>
      <c r="E10" s="37"/>
      <c r="F10" s="37"/>
      <c r="G10" s="37"/>
      <c r="H10" s="37"/>
      <c r="I10" s="37"/>
      <c r="K10" s="37"/>
      <c r="L10" s="37"/>
      <c r="M10" s="37"/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E11" s="37"/>
      <c r="F11" s="37"/>
      <c r="G11" s="37"/>
      <c r="H11" s="37"/>
      <c r="I11" s="37"/>
      <c r="K11" s="37"/>
      <c r="L11" s="37"/>
      <c r="M11" s="37"/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37"/>
      <c r="F12" s="37"/>
      <c r="G12" s="37"/>
      <c r="H12" s="37"/>
      <c r="I12" s="37"/>
      <c r="P12" t="s">
        <v>138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556.25</v>
      </c>
      <c r="E13" s="37"/>
      <c r="F13" s="37"/>
      <c r="G13" s="37"/>
      <c r="H13" s="37"/>
      <c r="I13" s="37"/>
      <c r="P13" t="s">
        <v>139</v>
      </c>
    </row>
    <row r="14" spans="1:16" ht="15.75" x14ac:dyDescent="0.25">
      <c r="A14" s="27" t="s">
        <v>11</v>
      </c>
      <c r="B14" s="58">
        <f ca="1">SUM(B9:B13)</f>
        <v>1296.24</v>
      </c>
      <c r="E14" s="37"/>
      <c r="F14" s="37"/>
      <c r="G14" s="37"/>
      <c r="H14" s="37"/>
      <c r="I14" s="37"/>
    </row>
    <row r="15" spans="1:16" ht="15" x14ac:dyDescent="0.25">
      <c r="A15" s="2"/>
      <c r="B15" s="2"/>
      <c r="E15" s="37"/>
      <c r="F15" s="37"/>
      <c r="G15" s="37"/>
      <c r="H15" s="37"/>
      <c r="I15" s="37"/>
      <c r="K15" s="37"/>
      <c r="L15" s="37"/>
      <c r="M15" s="37"/>
    </row>
    <row r="16" spans="1:16" ht="15" x14ac:dyDescent="0.2">
      <c r="A16" s="92" t="s">
        <v>12</v>
      </c>
      <c r="B16" s="92"/>
      <c r="E16" s="37"/>
      <c r="F16" s="37"/>
      <c r="G16" s="37"/>
      <c r="H16" s="37"/>
      <c r="I16" s="37"/>
      <c r="K16" s="37"/>
      <c r="L16" s="37"/>
      <c r="M16" s="37"/>
    </row>
    <row r="17" spans="1:13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E17" s="37"/>
      <c r="F17" s="37"/>
      <c r="G17" s="37"/>
      <c r="H17" s="37"/>
      <c r="I17" s="37"/>
      <c r="K17" s="37"/>
      <c r="L17" s="37"/>
      <c r="M17" s="37"/>
    </row>
    <row r="18" spans="1:13" ht="15.75" x14ac:dyDescent="0.25">
      <c r="A18" s="27" t="s">
        <v>11</v>
      </c>
      <c r="B18" s="58">
        <f>SUM(B17:B17)</f>
        <v>0</v>
      </c>
      <c r="E18" s="37"/>
      <c r="F18" s="37"/>
      <c r="G18" s="37"/>
      <c r="H18" s="37"/>
      <c r="I18" s="37"/>
      <c r="K18" s="37"/>
      <c r="L18" s="37"/>
      <c r="M18" s="37"/>
    </row>
    <row r="19" spans="1:13" x14ac:dyDescent="0.2">
      <c r="E19" s="37"/>
      <c r="F19" s="37"/>
      <c r="G19" s="37"/>
      <c r="H19" s="37"/>
      <c r="I19" s="37"/>
      <c r="K19" s="37"/>
      <c r="L19" s="37"/>
      <c r="M19" s="37"/>
    </row>
    <row r="20" spans="1:13" x14ac:dyDescent="0.2">
      <c r="E20" s="37"/>
      <c r="F20" s="37"/>
      <c r="G20" s="37"/>
      <c r="H20" s="37"/>
      <c r="I20" s="37"/>
      <c r="K20" s="37"/>
      <c r="L20" s="37"/>
      <c r="M20" s="37"/>
    </row>
    <row r="21" spans="1:13" x14ac:dyDescent="0.2">
      <c r="E21" s="37"/>
      <c r="F21" s="37"/>
      <c r="G21" s="37"/>
      <c r="H21" s="37"/>
      <c r="I21" s="37"/>
      <c r="K21" s="37"/>
      <c r="L21" s="37"/>
      <c r="M21" s="37"/>
    </row>
    <row r="22" spans="1:13" x14ac:dyDescent="0.2">
      <c r="E22" s="37"/>
      <c r="F22" s="37"/>
      <c r="G22" s="37"/>
      <c r="H22" s="37"/>
      <c r="I22" s="37"/>
      <c r="K22" s="37"/>
      <c r="L22" s="37"/>
      <c r="M22" s="37"/>
    </row>
    <row r="23" spans="1:13" x14ac:dyDescent="0.2">
      <c r="K23" s="37"/>
      <c r="L23" s="37"/>
      <c r="M23" s="37"/>
    </row>
    <row r="24" spans="1:13" x14ac:dyDescent="0.2">
      <c r="K24" s="37"/>
      <c r="L24" s="37"/>
      <c r="M24" s="37"/>
    </row>
    <row r="25" spans="1:13" x14ac:dyDescent="0.2">
      <c r="K25" s="37"/>
      <c r="L25" s="37"/>
      <c r="M25" s="37"/>
    </row>
    <row r="26" spans="1:13" x14ac:dyDescent="0.2">
      <c r="E26" s="37"/>
      <c r="F26" s="37"/>
      <c r="G26" s="37"/>
      <c r="H26" s="37"/>
      <c r="I26" s="37"/>
      <c r="K26" s="37"/>
      <c r="L26" s="37"/>
      <c r="M26" s="37"/>
    </row>
    <row r="27" spans="1:13" x14ac:dyDescent="0.2">
      <c r="E27" s="37"/>
      <c r="F27" s="37"/>
      <c r="G27" s="37"/>
      <c r="H27" s="37"/>
      <c r="I27" s="37"/>
      <c r="K27" s="37"/>
      <c r="L27" s="37"/>
      <c r="M27" s="37"/>
    </row>
    <row r="28" spans="1:13" x14ac:dyDescent="0.2">
      <c r="E28" s="37"/>
      <c r="F28" s="37"/>
      <c r="G28" s="37"/>
      <c r="H28" s="37"/>
      <c r="I28" s="37"/>
      <c r="K28" s="37"/>
      <c r="L28" s="37"/>
      <c r="M28" s="37"/>
    </row>
    <row r="29" spans="1:13" x14ac:dyDescent="0.2">
      <c r="E29" s="37"/>
      <c r="F29" s="37"/>
      <c r="G29" s="37"/>
      <c r="H29" s="37"/>
      <c r="I29" s="37"/>
      <c r="K29" s="37"/>
      <c r="L29" s="37"/>
      <c r="M29" s="37"/>
    </row>
    <row r="30" spans="1:13" x14ac:dyDescent="0.2">
      <c r="E30" s="37"/>
      <c r="F30" s="37"/>
      <c r="G30" s="37"/>
      <c r="H30" s="37"/>
      <c r="I30" s="37"/>
      <c r="K30" s="37"/>
      <c r="L30" s="37"/>
      <c r="M30" s="37"/>
    </row>
    <row r="31" spans="1:13" x14ac:dyDescent="0.2">
      <c r="E31" s="37"/>
      <c r="F31" s="37"/>
      <c r="G31" s="37"/>
      <c r="H31" s="37"/>
      <c r="I31" s="37"/>
      <c r="K31" s="37"/>
      <c r="L31" s="37"/>
      <c r="M31" s="37"/>
    </row>
    <row r="35" spans="5:13" x14ac:dyDescent="0.2">
      <c r="E35" s="37"/>
      <c r="F35" s="37"/>
      <c r="G35" s="37"/>
      <c r="H35" s="37"/>
      <c r="I35" s="37"/>
      <c r="K35" s="37"/>
      <c r="L35" s="37"/>
      <c r="M35" s="37"/>
    </row>
    <row r="36" spans="5:13" x14ac:dyDescent="0.2">
      <c r="E36" s="37"/>
      <c r="F36" s="37"/>
      <c r="G36" s="37"/>
      <c r="H36" s="37"/>
      <c r="I36" s="37"/>
      <c r="K36" s="37"/>
      <c r="L36" s="37"/>
      <c r="M36" s="37"/>
    </row>
    <row r="37" spans="5:13" x14ac:dyDescent="0.2">
      <c r="E37" s="37"/>
      <c r="F37" s="37"/>
      <c r="G37" s="37"/>
      <c r="H37" s="37"/>
      <c r="I37" s="37"/>
      <c r="K37" s="37"/>
      <c r="L37" s="37"/>
      <c r="M37" s="37"/>
    </row>
    <row r="38" spans="5:13" x14ac:dyDescent="0.2">
      <c r="E38" s="37"/>
      <c r="F38" s="37"/>
      <c r="G38" s="37"/>
      <c r="H38" s="37"/>
      <c r="I38" s="37"/>
      <c r="K38" s="37"/>
      <c r="L38" s="37"/>
      <c r="M38" s="37"/>
    </row>
    <row r="39" spans="5:13" x14ac:dyDescent="0.2">
      <c r="E39" s="37"/>
      <c r="F39" s="37"/>
      <c r="G39" s="37"/>
      <c r="H39" s="37"/>
      <c r="I39" s="37"/>
      <c r="K39" s="37"/>
      <c r="L39" s="37"/>
      <c r="M39" s="37"/>
    </row>
    <row r="40" spans="5:13" x14ac:dyDescent="0.2">
      <c r="E40" s="37"/>
      <c r="F40" s="37"/>
      <c r="G40" s="37"/>
      <c r="H40" s="37"/>
      <c r="I40" s="37"/>
      <c r="K40" s="37"/>
      <c r="L40" s="37"/>
      <c r="M40" s="37"/>
    </row>
    <row r="41" spans="5:13" x14ac:dyDescent="0.2">
      <c r="E41" s="37"/>
      <c r="F41" s="37"/>
      <c r="G41" s="37"/>
      <c r="H41" s="37"/>
      <c r="I41" s="37"/>
      <c r="K41" s="37"/>
      <c r="L41" s="37"/>
      <c r="M41" s="37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5" zoomScale="90" zoomScaleNormal="90" workbookViewId="0">
      <selection activeCell="E18" sqref="E18:I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v>45658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0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3" zoomScale="9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'01'!B1+1</f>
        <v>45659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70"/>
      <c r="F35" s="24"/>
      <c r="G35" s="25"/>
      <c r="H35" s="8"/>
      <c r="I35" s="8"/>
      <c r="K35" s="77"/>
      <c r="L35" s="40"/>
      <c r="M35" s="16"/>
    </row>
    <row r="36" spans="2:21" ht="15.75" x14ac:dyDescent="0.25">
      <c r="E36" s="70"/>
      <c r="F36" s="24"/>
      <c r="G36" s="25"/>
      <c r="H36" s="8"/>
      <c r="I36" s="8"/>
      <c r="K36" s="77"/>
      <c r="L36" s="40"/>
      <c r="M36" s="16"/>
    </row>
    <row r="37" spans="2:21" ht="15.75" x14ac:dyDescent="0.25">
      <c r="E37" s="70"/>
      <c r="F37" s="24"/>
      <c r="G37" s="25"/>
      <c r="H37" s="8"/>
      <c r="I37" s="8"/>
      <c r="K37" s="77"/>
      <c r="L37" s="40"/>
      <c r="M37" s="16"/>
    </row>
    <row r="38" spans="2:21" ht="15.75" x14ac:dyDescent="0.25">
      <c r="E38" s="70"/>
      <c r="F38" s="24"/>
      <c r="G38" s="25"/>
      <c r="H38" s="8"/>
      <c r="I38" s="8"/>
      <c r="K38" s="77"/>
      <c r="L38" s="40"/>
      <c r="M38" s="16"/>
    </row>
    <row r="39" spans="2:21" ht="15.75" x14ac:dyDescent="0.25">
      <c r="E39" s="70"/>
      <c r="F39" s="38"/>
      <c r="G39" s="25"/>
      <c r="H39" s="8"/>
      <c r="I39" s="8"/>
      <c r="K39" s="77"/>
      <c r="L39" s="40"/>
      <c r="M39" s="16"/>
    </row>
    <row r="40" spans="2:21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8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'02'!B1+1</f>
        <v>45660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IF(vend3[[#This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0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'03'!B1+1</f>
        <v>45661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50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5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50"/>
      <c r="R17" s="1">
        <f>IF(vend4[[#This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0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'04'!B1+1</f>
        <v>45662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90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89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IF(vend5[[#This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6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2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'05'!B1+1</f>
        <v>45663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86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(SUMIF($G$2:$G$31,B13,$I$2:$I$31))+(SUMIF($G$35:$G$41,B13,$H$35:$H$41))</f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(SUMIF($G$2:$G$31,B14,$I$2:$I$31))+(SUMIF($G$35:$G$41,B14,$H$35:$H$41))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(SUMIF($G$2:$G$31,B15,$I$2:$I$31))+(SUMIF($G$35:$G$41,B15,$H$35:$H$41))</f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4"/>
      <c r="F41" s="38"/>
      <c r="G41" s="25"/>
      <c r="H41" s="8"/>
      <c r="I41" s="8"/>
      <c r="K41" s="77"/>
      <c r="L41" s="40"/>
      <c r="M41" s="39"/>
    </row>
    <row r="42" spans="2:18" x14ac:dyDescent="0.2">
      <c r="F42" s="69"/>
      <c r="G42" s="69"/>
      <c r="H42" s="68"/>
      <c r="I42" s="6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79">
        <f>'06'!B1+1</f>
        <v>45664</v>
      </c>
      <c r="L1" s="81" t="s">
        <v>141</v>
      </c>
    </row>
    <row r="2" spans="2:21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0</v>
      </c>
      <c r="D6" s="2"/>
      <c r="E6" s="70"/>
      <c r="F6" s="83"/>
      <c r="G6" s="83"/>
      <c r="H6" s="84"/>
      <c r="I6" s="84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70"/>
      <c r="F7" s="85"/>
      <c r="G7" s="85"/>
      <c r="H7" s="54"/>
      <c r="I7" s="5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44"/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IF(vend7[[#This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51"/>
      <c r="G26" s="55"/>
      <c r="H26" s="56"/>
      <c r="I26" s="56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2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'07'!B1+1</f>
        <v>45665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70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(SUMIF($G$2:$G$31,B11,$I$2:$I$31))+(SUMIF($G$35:$G$42,B11,$H$35:$H$42))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(SUMIF($G$2:$G$31,B12,$I$2:$I$31))+(SUMIF($G$35:$G$42,B12,$H$35:$H$42))</f>
        <v>0</v>
      </c>
      <c r="D12" s="2"/>
      <c r="E12" s="70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(SUMIF($G$2:$G$31,B13,$I$2:$I$31))+(SUMIF($G$35:$G$42,B13,$H$35:$H$42))</f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IF(vend8[[#This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(SUMIF($G$2:$G$31,B14,$I$2:$I$31))+(SUMIF($G$35:$G$42,B14,$H$35:$H$42))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(SUMIF($G$2:$G$31,B15,$I$2:$I$31))+(SUMIF($G$35:$G$42,B15,$H$35:$H$42))</f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IF(vend8[[#This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87"/>
      <c r="G26" s="88"/>
      <c r="H26" s="56"/>
      <c r="I26" s="56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43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24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4"/>
      <c r="F41" s="38"/>
      <c r="G41" s="25"/>
      <c r="H41" s="8"/>
      <c r="I41" s="8"/>
      <c r="K41" s="77"/>
      <c r="L41" s="40"/>
      <c r="M41" s="39"/>
    </row>
    <row r="42" spans="2:18" ht="15.75" x14ac:dyDescent="0.25">
      <c r="E42" s="34"/>
      <c r="F42" s="59"/>
      <c r="G42" s="60"/>
      <c r="H42" s="6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abSelected="1" topLeftCell="A20" zoomScale="90" zoomScaleNormal="9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79">
        <f>'08'!B1+1</f>
        <v>45666</v>
      </c>
      <c r="L1" s="81" t="s">
        <v>141</v>
      </c>
    </row>
    <row r="2" spans="2:22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76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76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76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76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IF(vend9[[#This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4"/>
      <c r="G20" s="25"/>
      <c r="H20" s="8"/>
      <c r="I20" s="8"/>
      <c r="J20" s="2"/>
      <c r="K20" s="77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3803</v>
      </c>
      <c r="F35" s="24" t="s">
        <v>142</v>
      </c>
      <c r="G35" s="25" t="s">
        <v>6</v>
      </c>
      <c r="H35" s="8">
        <v>76</v>
      </c>
      <c r="I35" s="8" t="s">
        <v>71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C20" zoomScale="90" zoomScaleNormal="9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'09'!B1+1</f>
        <v>45667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250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250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70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250</v>
      </c>
      <c r="D15" s="2"/>
      <c r="E15" s="70"/>
      <c r="F15" s="24"/>
      <c r="G15" s="25"/>
      <c r="H15" s="8"/>
      <c r="I15" s="8"/>
      <c r="J15" s="2"/>
      <c r="K15" s="77">
        <v>3832</v>
      </c>
      <c r="L15" s="9" t="s">
        <v>134</v>
      </c>
      <c r="M15" s="16" t="s">
        <v>144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250</v>
      </c>
      <c r="D16" s="2"/>
      <c r="E16" s="70"/>
      <c r="F16" s="24"/>
      <c r="G16" s="25"/>
      <c r="H16" s="8"/>
      <c r="I16" s="8"/>
      <c r="J16" s="2"/>
      <c r="K16" s="77"/>
      <c r="L16" s="9"/>
      <c r="M16" s="89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IF(vend10[[#This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94" t="s">
        <v>12</v>
      </c>
      <c r="L33" s="95"/>
      <c r="M33" s="96"/>
    </row>
    <row r="34" spans="2:18" ht="15" x14ac:dyDescent="0.25">
      <c r="E34" s="93" t="s">
        <v>28</v>
      </c>
      <c r="F34" s="93"/>
      <c r="G34" s="93"/>
      <c r="H34" s="93"/>
      <c r="I34" s="93"/>
      <c r="K34" s="14" t="s">
        <v>23</v>
      </c>
      <c r="L34" s="6" t="s">
        <v>31</v>
      </c>
      <c r="M34" s="15" t="s">
        <v>32</v>
      </c>
    </row>
    <row r="35" spans="2:18" ht="15" x14ac:dyDescent="0.25">
      <c r="E35" s="75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77"/>
      <c r="L35" s="40"/>
      <c r="M35" s="16"/>
    </row>
    <row r="36" spans="2:18" ht="15.75" x14ac:dyDescent="0.25">
      <c r="E36" s="70">
        <v>3766</v>
      </c>
      <c r="F36" s="24" t="s">
        <v>143</v>
      </c>
      <c r="G36" s="25" t="s">
        <v>10</v>
      </c>
      <c r="H36" s="8">
        <v>250</v>
      </c>
      <c r="I36" s="8" t="s">
        <v>67</v>
      </c>
      <c r="K36" s="77"/>
      <c r="L36" s="40"/>
      <c r="M36" s="16"/>
    </row>
    <row r="37" spans="2:18" ht="15.75" x14ac:dyDescent="0.25">
      <c r="E37" s="73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24"/>
      <c r="G39" s="25"/>
      <c r="H39" s="8"/>
      <c r="I39" s="8"/>
      <c r="K39" s="77"/>
      <c r="L39" s="40"/>
      <c r="M39" s="16"/>
    </row>
    <row r="40" spans="2:18" ht="15.75" x14ac:dyDescent="0.25">
      <c r="E40" s="70"/>
      <c r="F40" s="38"/>
      <c r="G40" s="25"/>
      <c r="H40" s="8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5"/>
      <c r="G41" s="36"/>
      <c r="H41" s="17"/>
      <c r="I41" s="8"/>
      <c r="K41" s="77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'10'!B1+1</f>
        <v>45668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246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246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246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>
        <v>3833</v>
      </c>
      <c r="L15" s="9" t="s">
        <v>128</v>
      </c>
      <c r="M15" s="16" t="s">
        <v>144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246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IF(vend11[[#This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3743</v>
      </c>
      <c r="F35" s="24" t="s">
        <v>145</v>
      </c>
      <c r="G35" s="25" t="s">
        <v>6</v>
      </c>
      <c r="H35" s="8">
        <v>123</v>
      </c>
      <c r="I35" s="8" t="s">
        <v>76</v>
      </c>
      <c r="K35" s="77"/>
      <c r="L35" s="40"/>
      <c r="M35" s="16"/>
    </row>
    <row r="36" spans="2:18" ht="15.75" x14ac:dyDescent="0.25">
      <c r="E36" s="73">
        <v>3743</v>
      </c>
      <c r="F36" s="24" t="s">
        <v>145</v>
      </c>
      <c r="G36" s="25" t="s">
        <v>6</v>
      </c>
      <c r="H36" s="8">
        <v>123</v>
      </c>
      <c r="I36" s="8" t="s">
        <v>77</v>
      </c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3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'11'!B1+1</f>
        <v>45669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45"/>
      <c r="G6" s="45"/>
      <c r="H6" s="46"/>
      <c r="I6" s="46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47"/>
      <c r="G7" s="47"/>
      <c r="H7" s="48"/>
      <c r="I7" s="48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47"/>
      <c r="G8" s="47"/>
      <c r="H8" s="48"/>
      <c r="I8" s="48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IF(vend12[[#This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49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6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'12'!B1+1</f>
        <v>45670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IF(vend13[[#This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3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'13'!B1+1</f>
        <v>45671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IF(vend14[[#This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'14'!B1+1</f>
        <v>45672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IF(vend15[[#This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8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'15'!B1+1</f>
        <v>45673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IF(vend16[[#This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B1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'16'!B1+1</f>
        <v>45674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116.33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116.33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116.33</v>
      </c>
      <c r="D12" s="2"/>
      <c r="E12" s="70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>
        <v>3830</v>
      </c>
      <c r="L15" s="9" t="s">
        <v>134</v>
      </c>
      <c r="M15" s="16" t="s">
        <v>144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116.33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IF(vend17[[#This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3750</v>
      </c>
      <c r="F35" s="24" t="s">
        <v>146</v>
      </c>
      <c r="G35" s="25" t="s">
        <v>7</v>
      </c>
      <c r="H35" s="8">
        <v>116.33</v>
      </c>
      <c r="I35" s="8" t="s">
        <v>73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8" zoomScale="90" zoomScaleNormal="90" workbookViewId="0">
      <selection activeCell="B37" sqref="B3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'17'!B1+1</f>
        <v>45675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1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IF(vend18[[#This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52"/>
      <c r="F23" s="52"/>
      <c r="G23" s="52"/>
      <c r="H23" s="53"/>
      <c r="I23" s="53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 t="s">
        <v>58</v>
      </c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 t="s">
        <v>58</v>
      </c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 t="s">
        <v>147</v>
      </c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'18'!B1+1</f>
        <v>45676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54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IF(vend19[[#This Row],[Nº Venda]]&gt;1,1,0)</f>
        <v>0</v>
      </c>
    </row>
    <row r="18" spans="2:22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22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22" ht="15.75" x14ac:dyDescent="0.25">
      <c r="B26" s="2"/>
      <c r="C26" s="2"/>
      <c r="D26" s="2"/>
      <c r="E26" s="70"/>
      <c r="F26" s="38"/>
      <c r="G26" s="25"/>
      <c r="H26" s="8"/>
      <c r="I26" s="8"/>
      <c r="J26" s="2"/>
      <c r="K26" s="77"/>
      <c r="L26" s="9"/>
      <c r="M26" s="16"/>
    </row>
    <row r="27" spans="2:22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22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22" ht="15.75" x14ac:dyDescent="0.25">
      <c r="B29" s="2"/>
      <c r="C29" s="2"/>
      <c r="D29" s="2"/>
      <c r="E29" s="70"/>
      <c r="F29" s="24"/>
      <c r="G29" s="25"/>
      <c r="H29" s="25"/>
      <c r="I29" s="8"/>
      <c r="J29" s="2"/>
      <c r="K29" s="77"/>
      <c r="L29" s="9"/>
      <c r="M29" s="16"/>
    </row>
    <row r="30" spans="2:22" ht="15.75" x14ac:dyDescent="0.25">
      <c r="B30" s="2"/>
      <c r="C30" s="2"/>
      <c r="D30" s="2"/>
      <c r="E30" s="70"/>
      <c r="F30" s="24"/>
      <c r="G30" s="25"/>
      <c r="H30" s="8"/>
      <c r="I30" s="8"/>
      <c r="J30" s="2"/>
      <c r="K30" s="77"/>
      <c r="L30" s="9"/>
      <c r="M30" s="16"/>
    </row>
    <row r="31" spans="2:22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0" zoomScale="90" zoomScaleNormal="90" workbookViewId="0">
      <selection activeCell="B32" sqref="B3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'19'!B1+1</f>
        <v>45677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103.25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103.25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103.25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103.25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IF(vend20[[#This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3752</v>
      </c>
      <c r="F35" s="24" t="s">
        <v>148</v>
      </c>
      <c r="G35" s="25" t="s">
        <v>10</v>
      </c>
      <c r="H35" s="8">
        <v>103.25</v>
      </c>
      <c r="I35" s="8" t="s">
        <v>77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0" zoomScale="90" zoomScaleNormal="9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'20'!B1+1</f>
        <v>45678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125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125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125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125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IF(vend21[[#This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3609</v>
      </c>
      <c r="F35" s="24" t="s">
        <v>149</v>
      </c>
      <c r="G35" s="25" t="s">
        <v>10</v>
      </c>
      <c r="H35" s="8">
        <v>125</v>
      </c>
      <c r="I35" s="8" t="s">
        <v>79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1" zoomScale="90" zoomScaleNormal="90" workbookViewId="0">
      <selection activeCell="B44" sqref="B44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'21'!B1+1</f>
        <v>45679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78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78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78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78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IF(vend22[[#This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3818</v>
      </c>
      <c r="F35" s="24" t="s">
        <v>150</v>
      </c>
      <c r="G35" s="25" t="s">
        <v>10</v>
      </c>
      <c r="H35" s="8">
        <v>78</v>
      </c>
      <c r="I35" s="8" t="s">
        <v>71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8" zoomScale="90" zoomScaleNormal="90" workbookViewId="0">
      <selection activeCell="B36" sqref="B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'22'!B1+1</f>
        <v>45680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76.66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76.66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(SUMIF($G$2:$G$31,B11,$I$2:$I$31))+(SUMIF($G$35:$G$44,B11,$H$35:$H$44))</f>
        <v>76.66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(SUMIF($G$2:$G$31,B12,$I$2:$I$31))+(SUMIF($G$35:$G$44,B12,$H$35:$H$44))</f>
        <v>0</v>
      </c>
      <c r="D12" s="2"/>
      <c r="E12" s="70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(SUMIF($G$2:$G$31,B13,$I$2:$I$31))+(SUMIF($G$35:$G$44,B13,$H$35:$H$44))</f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IF(vend23[[#This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(SUMIF($G$2:$G$31,B14,$I$2:$I$31))+(SUMIF($G$35:$G$44,B14,$H$35:$H$44))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(SUMIF($G$2:$G$31,B15,$I$2:$I$31))+(SUMIF($G$35:$G$44,B15,$H$35:$H$44))</f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76.66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IF(vend23[[#This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3773</v>
      </c>
      <c r="F35" s="24" t="s">
        <v>151</v>
      </c>
      <c r="G35" s="25" t="s">
        <v>6</v>
      </c>
      <c r="H35" s="8">
        <v>76.66</v>
      </c>
      <c r="I35" s="8" t="s">
        <v>73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4"/>
      <c r="F41" s="38"/>
      <c r="G41" s="25"/>
      <c r="H41" s="8"/>
      <c r="I41" s="8"/>
      <c r="K41" s="77"/>
      <c r="L41" s="40"/>
      <c r="M41" s="39"/>
    </row>
    <row r="42" spans="2:18" ht="15.75" x14ac:dyDescent="0.25">
      <c r="E42" s="66"/>
      <c r="F42" s="59"/>
      <c r="G42" s="60"/>
      <c r="H42" s="61"/>
      <c r="I42" s="17"/>
    </row>
    <row r="43" spans="2:18" ht="15.75" x14ac:dyDescent="0.25">
      <c r="E43" s="66"/>
      <c r="F43" s="64"/>
      <c r="G43" s="63"/>
      <c r="H43" s="65"/>
      <c r="I43" s="8"/>
    </row>
    <row r="44" spans="2:18" ht="15.75" x14ac:dyDescent="0.25">
      <c r="E44" s="67"/>
      <c r="F44" s="59"/>
      <c r="G44" s="60"/>
      <c r="H44" s="61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30" zoomScale="90" zoomScaleNormal="9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'23'!B1+1</f>
        <v>45681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225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225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225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225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IF(vend24[[#This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3831</v>
      </c>
      <c r="F26" s="24" t="s">
        <v>152</v>
      </c>
      <c r="G26" s="25" t="s">
        <v>6</v>
      </c>
      <c r="H26" s="8"/>
      <c r="I26" s="8">
        <v>225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'24'!B1+1</f>
        <v>45682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70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IF(vend25[[#This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56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'25'!B1+1</f>
        <v>45683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IF(vend26[[#This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'26'!B1+1</f>
        <v>45684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IF(vend27[[#This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'27'!B1+1</f>
        <v>45685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IF(vend28[[#This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'28'!B1+1</f>
        <v>45686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5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IF(vend29[[#This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'29'!B1+1</f>
        <v>45687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IF(vend30[[#This Row],[Nº Venda]]&gt;1,1,0)</f>
        <v>0</v>
      </c>
    </row>
    <row r="18" spans="2:22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22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22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22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22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22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22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22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9">
        <f>'30'!B1+1</f>
        <v>45688</v>
      </c>
      <c r="L1" s="81" t="s">
        <v>141</v>
      </c>
    </row>
    <row r="2" spans="2:18" ht="18.75" x14ac:dyDescent="0.2">
      <c r="B2" s="97" t="s">
        <v>13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0" t="s">
        <v>1</v>
      </c>
      <c r="F4" s="100"/>
      <c r="G4" s="100"/>
      <c r="H4" s="100"/>
      <c r="I4" s="100"/>
      <c r="J4" s="21"/>
      <c r="K4" s="94" t="s">
        <v>3</v>
      </c>
      <c r="L4" s="95"/>
      <c r="M4" s="9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92" t="s">
        <v>5</v>
      </c>
      <c r="C10" s="92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94" t="s">
        <v>22</v>
      </c>
      <c r="L13" s="95"/>
      <c r="M13" s="96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IF(vend31[[#This Row],[Nº Venda]]&gt;1,1,0)</f>
        <v>0</v>
      </c>
    </row>
    <row r="18" spans="2:18" ht="15.75" x14ac:dyDescent="0.25">
      <c r="B18" s="92" t="s">
        <v>12</v>
      </c>
      <c r="C18" s="92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3" t="s">
        <v>27</v>
      </c>
      <c r="F24" s="93"/>
      <c r="G24" s="93"/>
      <c r="H24" s="93"/>
      <c r="I24" s="93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3" t="s">
        <v>28</v>
      </c>
      <c r="F33" s="93"/>
      <c r="G33" s="93"/>
      <c r="H33" s="93"/>
      <c r="I33" s="93"/>
      <c r="K33" s="94" t="s">
        <v>12</v>
      </c>
      <c r="L33" s="95"/>
      <c r="M33" s="9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2025-01-22T20:49:35Z</cp:lastPrinted>
  <dcterms:created xsi:type="dcterms:W3CDTF">2004-04-07T20:43:43Z</dcterms:created>
  <dcterms:modified xsi:type="dcterms:W3CDTF">2025-02-14T14:14:34Z</dcterms:modified>
  <cp:category/>
  <cp:contentStatus/>
</cp:coreProperties>
</file>