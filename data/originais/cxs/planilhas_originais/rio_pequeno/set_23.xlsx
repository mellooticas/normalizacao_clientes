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2" documentId="13_ncr:1_{BC701987-4577-46CA-ABBF-3C8609F1293B}" xr6:coauthVersionLast="47" xr6:coauthVersionMax="47" xr10:uidLastSave="{7269BA27-69EB-44AE-8330-931D7994B92B}"/>
  <bookViews>
    <workbookView xWindow="-120" yWindow="-120" windowWidth="29040" windowHeight="15720" tabRatio="895" firstSheet="11" activeTab="1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3" l="1"/>
  <c r="C13" i="173"/>
  <c r="C14" i="173"/>
  <c r="C15" i="173"/>
  <c r="C12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4"/>
  <c r="C13" i="174"/>
  <c r="C14" i="174"/>
  <c r="C15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4"/>
  <c r="C12" i="175"/>
  <c r="C13" i="175"/>
  <c r="C14" i="175"/>
  <c r="C15" i="175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5" i="175"/>
  <c r="C22" i="175" s="1"/>
  <c r="C6" i="174"/>
  <c r="C8" i="174" s="1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40" i="198" s="1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19" i="103"/>
  <c r="B19" i="103"/>
  <c r="R40" i="199" l="1"/>
  <c r="R40" i="197"/>
  <c r="R40" i="195"/>
  <c r="C8" i="188"/>
  <c r="B3" i="200"/>
  <c r="R40" i="188"/>
  <c r="R40" i="191"/>
  <c r="C8" i="191"/>
  <c r="R40" i="190"/>
  <c r="R40" i="189"/>
  <c r="R40" i="187"/>
  <c r="R40" i="186"/>
  <c r="B17" i="200"/>
  <c r="B18" i="200" s="1"/>
  <c r="R40" i="183"/>
  <c r="R40" i="180"/>
  <c r="C16" i="170"/>
  <c r="O11" i="17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<sst xmlns="http://schemas.openxmlformats.org/spreadsheetml/2006/main" count="2049" uniqueCount="261">
  <si>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</si>
  <si>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</si>
  <si>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</si>
  <si>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</si>
  <si>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</si>
  <si>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</si>
  <si>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</si>
  <si>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</si>
  <si>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</si>
  <si>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</si>
  <si>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</si>
  <si>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</si>
  <si>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</si>
  <si>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 xml:space="preserve"> 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</si>
  <si>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</si>
  <si>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</si>
  <si>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</si>
  <si>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</si>
  <si>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</si>
  <si>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</si>
  <si>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</si>
  <si>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</si>
  <si>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SELMA CHINCOA</t>
  </si>
  <si>
    <t>WILLIAN TENORIO</t>
  </si>
  <si>
    <t>Total  entrada</t>
  </si>
  <si>
    <t>WILLIAN TENORIO (ANEXO)</t>
  </si>
  <si>
    <t>SS</t>
  </si>
  <si>
    <t>VALQUIRIA CAVALCANTE</t>
  </si>
  <si>
    <t>OS Entregue no Dia</t>
  </si>
  <si>
    <t>OS</t>
  </si>
  <si>
    <t>Vendedor</t>
  </si>
  <si>
    <t>CARNE</t>
  </si>
  <si>
    <t>BRUNO</t>
  </si>
  <si>
    <t>Sim</t>
  </si>
  <si>
    <t>Venda</t>
  </si>
  <si>
    <t>Restante Entrada</t>
  </si>
  <si>
    <t>TALITA GOMES</t>
  </si>
  <si>
    <t>Recebimento de Carnê</t>
  </si>
  <si>
    <t>Valor Parcela</t>
  </si>
  <si>
    <t>Nº Parcela</t>
  </si>
  <si>
    <t>Parcelas</t>
  </si>
  <si>
    <t>Valor Total</t>
  </si>
  <si>
    <t>FERNANDA FIGUEIREDO</t>
  </si>
  <si>
    <t>PARC. 1/5</t>
  </si>
  <si>
    <t>PARC. 3/5</t>
  </si>
  <si>
    <t>ANTONIA ELIANE</t>
  </si>
  <si>
    <t>PARC. 3/3</t>
  </si>
  <si>
    <t>Total de OS</t>
  </si>
  <si>
    <t>MIRELLA FERNANDA</t>
  </si>
  <si>
    <t>OLIVIA GEOVANA</t>
  </si>
  <si>
    <t>TANIA DE JESUS</t>
  </si>
  <si>
    <t>Não</t>
  </si>
  <si>
    <t>\</t>
  </si>
  <si>
    <t>ELENILTON SANTOS</t>
  </si>
  <si>
    <t>CARLOS ROBERTO</t>
  </si>
  <si>
    <t>ORMEZINDA DA SILVA</t>
  </si>
  <si>
    <t>VALDOMIRO ROLDÃO</t>
  </si>
  <si>
    <t xml:space="preserve">FRANCISCO PEREIRA </t>
  </si>
  <si>
    <t>KETLIN ELISA</t>
  </si>
  <si>
    <t>CAMYLLE CARDOSO</t>
  </si>
  <si>
    <t>PRISCILA APARECIDA</t>
  </si>
  <si>
    <t>W</t>
  </si>
  <si>
    <t>YURI SANTOS</t>
  </si>
  <si>
    <t>KRYSNA FERREIRA</t>
  </si>
  <si>
    <t>JULIANA PASSIONE</t>
  </si>
  <si>
    <t>ALEX FRANCISCO</t>
  </si>
  <si>
    <t>WEVILLY</t>
  </si>
  <si>
    <t>TIECO TAMURA</t>
  </si>
  <si>
    <t xml:space="preserve">MARIA DE LOURDES </t>
  </si>
  <si>
    <t>MARIA APARECIDA</t>
  </si>
  <si>
    <t>PATRICIA GODOY</t>
  </si>
  <si>
    <t>GENÉSIO DOS SANTOS</t>
  </si>
  <si>
    <t>ORLANDO RODRIGUES</t>
  </si>
  <si>
    <t>PARC. 3/8</t>
  </si>
  <si>
    <t>MARIA SELMA</t>
  </si>
  <si>
    <t>CELSO DOS SANTOS</t>
  </si>
  <si>
    <t>LILIAN APARECIDA (GARANTIA)</t>
  </si>
  <si>
    <t>JOÃO VICTOR</t>
  </si>
  <si>
    <t>ROSANGELA</t>
  </si>
  <si>
    <t>AUREA ROSA</t>
  </si>
  <si>
    <t>PARC. 4/4</t>
  </si>
  <si>
    <t>DANIELLA MORGAN</t>
  </si>
  <si>
    <t xml:space="preserve">EDSON GREGORIO </t>
  </si>
  <si>
    <t>MARIA ZELIA DE SOUZA</t>
  </si>
  <si>
    <t>MILENE DA SILVA</t>
  </si>
  <si>
    <t>KARINA LIMA</t>
  </si>
  <si>
    <t>ANA PAULA</t>
  </si>
  <si>
    <t>PARC. 4/5</t>
  </si>
  <si>
    <t xml:space="preserve">              </t>
  </si>
  <si>
    <t>Josenita dos Anjos</t>
  </si>
  <si>
    <t>Miriam Madeira  cruz</t>
  </si>
  <si>
    <t>PARC. 5/10</t>
  </si>
  <si>
    <t>3068</t>
  </si>
  <si>
    <t>VICTOR SANTANA</t>
  </si>
  <si>
    <t>3067</t>
  </si>
  <si>
    <t>THALIA SOUZA</t>
  </si>
  <si>
    <t>SILVIA ALVES</t>
  </si>
  <si>
    <t>elaine freitas</t>
  </si>
  <si>
    <t>ROGERIO</t>
  </si>
  <si>
    <t>IRENE MARQUES</t>
  </si>
  <si>
    <t>WILSON PEREIRA</t>
  </si>
  <si>
    <t>ADILSON GOMES</t>
  </si>
  <si>
    <t>IDA CARDOSO (anexo)</t>
  </si>
  <si>
    <t>KEREN</t>
  </si>
  <si>
    <t>THALIA APARECIDA</t>
  </si>
  <si>
    <t>MELLANY CRISTINE</t>
  </si>
  <si>
    <t>LUCIANA GUIMARÃES</t>
  </si>
  <si>
    <t>MILENE FIGUEREDO</t>
  </si>
  <si>
    <t>ALCIONE DE JESUS</t>
  </si>
  <si>
    <t>PARC. 2/6</t>
  </si>
  <si>
    <t>JOSÉ MARCOS</t>
  </si>
  <si>
    <t xml:space="preserve">ROSANA COUTINHO </t>
  </si>
  <si>
    <t>ELIZABETE MORAES</t>
  </si>
  <si>
    <t>PARC. 6/8</t>
  </si>
  <si>
    <t>ELISABETE DE MORAES</t>
  </si>
  <si>
    <t>PARC. 5/8</t>
  </si>
  <si>
    <t>ERICA NOGUEIRA</t>
  </si>
  <si>
    <t>LILA DO CARMO</t>
  </si>
  <si>
    <t>GARANTIA</t>
  </si>
  <si>
    <t>MARCELIA CONCEIÇÃO</t>
  </si>
  <si>
    <t>MARIA DE ALMEIDA</t>
  </si>
  <si>
    <t>RAQUEL COSTA</t>
  </si>
  <si>
    <t>EDILEINE RAMOS</t>
  </si>
  <si>
    <t>BEATRIZ SANTOS</t>
  </si>
  <si>
    <t>JORGE WILLIAM</t>
  </si>
  <si>
    <t>IVONETE APARECIDA</t>
  </si>
  <si>
    <t>JAQUELINE OLAITAN</t>
  </si>
  <si>
    <t>JENI PEREIRA</t>
  </si>
  <si>
    <t>LEONARDO AUGUSTO</t>
  </si>
  <si>
    <t>KAUE OLIVEIRA LEAL</t>
  </si>
  <si>
    <t>SANTANA PEREIRA</t>
  </si>
  <si>
    <t>CRISTIANE CARDOSO</t>
  </si>
  <si>
    <t>ANNA LUIZA</t>
  </si>
  <si>
    <t>MARIA SOCORRO SOARES</t>
  </si>
  <si>
    <t>MARIA APAREECIDA</t>
  </si>
  <si>
    <t>CRISTINA PEREIRA</t>
  </si>
  <si>
    <t>GABRIELA SOARES</t>
  </si>
  <si>
    <t>KARINA ARAUJO</t>
  </si>
  <si>
    <t>]]</t>
  </si>
  <si>
    <t>[]</t>
  </si>
  <si>
    <t>]</t>
  </si>
  <si>
    <t>QUITERIA SANTOS</t>
  </si>
  <si>
    <t>EDSON MINORU</t>
  </si>
  <si>
    <t>CHARLENE FERREIRA</t>
  </si>
  <si>
    <t xml:space="preserve">VANESSA DOMINGOS </t>
  </si>
  <si>
    <t>MARIA A. DUQUE</t>
  </si>
  <si>
    <t>IVANE SANTOS</t>
  </si>
  <si>
    <t>EDSON NIMORU</t>
  </si>
  <si>
    <t>KAYLLANE MORRETTI</t>
  </si>
  <si>
    <t>JOSE MARCOS</t>
  </si>
  <si>
    <t>MARILDA DA GLÓRIA</t>
  </si>
  <si>
    <t>THAMIRES CAVALCANTE</t>
  </si>
  <si>
    <t>WILLIANS TENORIO</t>
  </si>
  <si>
    <t>MARIA COSTA</t>
  </si>
  <si>
    <t>EDSON CATARINO</t>
  </si>
  <si>
    <t>PARC. 4/10</t>
  </si>
  <si>
    <t>SAMANTA ROSA</t>
  </si>
  <si>
    <t>PARC. 5/5</t>
  </si>
  <si>
    <t>ELAINE BISPO</t>
  </si>
  <si>
    <t>BRUNO OLIVEIRA</t>
  </si>
  <si>
    <t>LARISSA BRAGA</t>
  </si>
  <si>
    <t>MARIA DAS GRAÇAS</t>
  </si>
  <si>
    <t>ANA MARIA</t>
  </si>
  <si>
    <t>PAULO HENRIQUE</t>
  </si>
  <si>
    <t>DIVA CAETANO</t>
  </si>
  <si>
    <t>ROGÉRIO</t>
  </si>
  <si>
    <t>CARLOS PEDROSO</t>
  </si>
  <si>
    <t>JENNIFER SILVA</t>
  </si>
  <si>
    <t>WALTER TELLO</t>
  </si>
  <si>
    <t>PARC. 6/10</t>
  </si>
  <si>
    <t>SARAH KOSHIYAMA</t>
  </si>
  <si>
    <t>VICTOR PEREIRA</t>
  </si>
  <si>
    <t>JUAN CONRADO</t>
  </si>
  <si>
    <t>ISABELLE CRUZ</t>
  </si>
  <si>
    <t>JAQUELINE OLATAN</t>
  </si>
  <si>
    <t>ROSALIA FERREIRA</t>
  </si>
  <si>
    <t>CAROLINE NETTO</t>
  </si>
  <si>
    <t>PARC. 4/8</t>
  </si>
  <si>
    <t>CECILIA LIMA</t>
  </si>
  <si>
    <t>EDSON GREGORIO</t>
  </si>
  <si>
    <t>MARIA ALMEIDA</t>
  </si>
  <si>
    <t>VITORIA LIANDRO</t>
  </si>
  <si>
    <t>VILMA APARECIDA</t>
  </si>
  <si>
    <t>PARC. 2/4</t>
  </si>
  <si>
    <t>ELMA VIEIRA BARRETO</t>
  </si>
  <si>
    <t>DANIELA FRANCA DE JESUS</t>
  </si>
  <si>
    <t>JEFFERSON FRANÇA</t>
  </si>
  <si>
    <t>LUIZA DANIOL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</si>
  <si>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</si>
  <si>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</si>
  <si>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</si>
  <si>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</si>
  <si>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</si>
  <si>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</si>
  <si>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</si>
  <si>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</si>
  <si>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</si>
  <si>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</si>
  <si>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</si>
  <si>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</si>
  <si>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</si>
  <si>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 xml:space="preserve">Carne </t>
  </si>
  <si>
    <t>PARC. 1/4</t>
  </si>
  <si>
    <t>Todas as Garantias</t>
  </si>
  <si>
    <t>PARC. 3/4</t>
  </si>
  <si>
    <t>PARC. 2/5</t>
  </si>
  <si>
    <t>PARC. 1/6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</si>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</sst>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3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165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5" fontId="29" fillId="0" borderId="16">
      <alignment horizontal="center" vertical="center"/>
    </xf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4" fontId="21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6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164" fontId="0" fillId="0" borderId="17" xfId="39" applyFont="1" applyFill="1" applyBorder="1" applyAlignment="1">
      <alignment horizontal="center"/>
    </xf>
    <xf numFmtId="16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2" fillId="0" borderId="13" xfId="39" applyNumberFormat="1" applyFont="1" applyFill="1" applyBorder="1" applyAlignment="1">
      <alignment horizontal="center"/>
    </xf>
    <xf numFmtId="164" fontId="32" fillId="0" borderId="13" xfId="39" applyFont="1" applyFill="1" applyBorder="1" applyAlignment="1">
      <alignment horizontal="center"/>
    </xf>
    <xf numFmtId="167" fontId="32" fillId="0" borderId="13" xfId="4" applyNumberFormat="1" applyFont="1" applyFill="1" applyBorder="1" applyAlignment="1">
      <alignment horizontal="center"/>
    </xf>
    <xf numFmtId="49" fontId="32" fillId="0" borderId="17" xfId="39" applyNumberFormat="1" applyFont="1" applyFill="1" applyBorder="1" applyAlignment="1">
      <alignment horizontal="center"/>
    </xf>
    <xf numFmtId="164" fontId="32" fillId="0" borderId="17" xfId="39" applyFont="1" applyFill="1" applyBorder="1" applyAlignment="1">
      <alignment horizontal="center"/>
    </xf>
    <xf numFmtId="167" fontId="32" fillId="0" borderId="17" xfId="4" applyNumberFormat="1" applyFont="1" applyFill="1" applyBorder="1" applyAlignment="1">
      <alignment horizontal="center"/>
    </xf>
    <xf numFmtId="164" fontId="24" fillId="0" borderId="17" xfId="39" applyFont="1" applyFill="1" applyBorder="1" applyAlignment="1">
      <alignment horizontal="center"/>
    </xf>
    <xf numFmtId="0" fontId="32" fillId="0" borderId="17" xfId="39" applyNumberFormat="1" applyFont="1" applyFill="1" applyBorder="1" applyAlignment="1">
      <alignment horizontal="center"/>
    </xf>
    <xf numFmtId="166" fontId="31" fillId="0" borderId="0" xfId="2" applyFont="1" applyFill="1" applyBorder="1" applyAlignment="1">
      <alignment horizontal="center"/>
    </xf>
    <xf numFmtId="166" fontId="0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3" headerRowBorderDxfId="1641" tableBorderDxfId="1642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3" headerRowBorderDxfId="1631" tableBorderDxfId="1632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5" headerRowBorderDxfId="1623" tableBorderDxfId="1624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5" headerRowBorderDxfId="1613" tableBorderDxfId="1614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7" headerRowBorderDxfId="1605" tableBorderDxfId="1606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6" tableBorderDxfId="1597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90" headerRowBorderDxfId="1588" tableBorderDxfId="1589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80" headerRowBorderDxfId="1578" tableBorderDxfId="1579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2" headerRowBorderDxfId="1570" tableBorderDxfId="1571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2" headerRowBorderDxfId="1560" tableBorderDxfId="1561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4" headerRowBorderDxfId="1552" tableBorderDxfId="1553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3" tableBorderDxfId="1544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7" headerRowBorderDxfId="1535" tableBorderDxfId="1536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7" headerRowBorderDxfId="1525" tableBorderDxfId="1526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9" headerRowBorderDxfId="1517" tableBorderDxfId="1518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9" headerRowBorderDxfId="1507" tableBorderDxfId="1508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1" headerRowBorderDxfId="1499" tableBorderDxfId="1500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0" tableBorderDxfId="1491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4" headerRowBorderDxfId="1482" tableBorderDxfId="1483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4" headerRowBorderDxfId="1472" tableBorderDxfId="1473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6" headerRowBorderDxfId="1464" tableBorderDxfId="1465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6" headerRowBorderDxfId="1454" tableBorderDxfId="1455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8" headerRowBorderDxfId="1446" tableBorderDxfId="1447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7" tableBorderDxfId="1438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1" headerRowBorderDxfId="1429" tableBorderDxfId="1430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1" headerRowBorderDxfId="1419" tableBorderDxfId="1420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3" headerRowBorderDxfId="1411" tableBorderDxfId="1412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3" headerRowBorderDxfId="1401" tableBorderDxfId="1402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5" headerRowBorderDxfId="1393" tableBorderDxfId="1394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4" tableBorderDxfId="1385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8" headerRowBorderDxfId="1376" tableBorderDxfId="1377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8" headerRowBorderDxfId="1366" tableBorderDxfId="1367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60" headerRowBorderDxfId="1358" tableBorderDxfId="1359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50" headerRowBorderDxfId="1348" tableBorderDxfId="1349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2" headerRowBorderDxfId="1340" tableBorderDxfId="1341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1" tableBorderDxfId="1332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7" headerRowBorderDxfId="1295" tableBorderDxfId="1296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9" headerRowBorderDxfId="1287" tableBorderDxfId="1288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8" tableBorderDxfId="1279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2" headerRowBorderDxfId="1270" tableBorderDxfId="1271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2" headerRowBorderDxfId="1260" tableBorderDxfId="1261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4" headerRowBorderDxfId="1252" tableBorderDxfId="1253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4" headerRowBorderDxfId="1242" tableBorderDxfId="1243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6" headerRowBorderDxfId="1234" tableBorderDxfId="1235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5" tableBorderDxfId="1226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9" headerRowBorderDxfId="1217" tableBorderDxfId="1218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9" headerRowBorderDxfId="1207" tableBorderDxfId="1208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1" headerRowBorderDxfId="1199" tableBorderDxfId="1200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1" headerRowBorderDxfId="1189" tableBorderDxfId="1190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3" headerRowBorderDxfId="1181" tableBorderDxfId="1182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2" tableBorderDxfId="1173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6" headerRowBorderDxfId="1164" tableBorderDxfId="1165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6" headerRowBorderDxfId="1154" tableBorderDxfId="1155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8" headerRowBorderDxfId="1146" tableBorderDxfId="1147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8" headerRowBorderDxfId="1136" tableBorderDxfId="1137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30" headerRowBorderDxfId="1128" tableBorderDxfId="1129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19" tableBorderDxfId="1120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3" headerRowBorderDxfId="1111" tableBorderDxfId="1112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3" headerRowBorderDxfId="1101" tableBorderDxfId="1102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5" headerRowBorderDxfId="1093" tableBorderDxfId="1094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5" headerRowBorderDxfId="1083" tableBorderDxfId="1084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7" headerRowBorderDxfId="1075" tableBorderDxfId="1076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6" tableBorderDxfId="1067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60" headerRowBorderDxfId="1058" tableBorderDxfId="1059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50" headerRowBorderDxfId="1048" tableBorderDxfId="1049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2" headerRowBorderDxfId="1040" tableBorderDxfId="1041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2" headerRowBorderDxfId="1030" tableBorderDxfId="1031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4" headerRowBorderDxfId="1022" tableBorderDxfId="1023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3" tableBorderDxfId="1014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7" headerRowBorderDxfId="1005" tableBorderDxfId="1006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7" headerRowBorderDxfId="995" tableBorderDxfId="996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9" headerRowBorderDxfId="987" tableBorderDxfId="988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9" headerRowBorderDxfId="977" tableBorderDxfId="978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1" headerRowBorderDxfId="969" tableBorderDxfId="970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0" tableBorderDxfId="961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4" headerRowBorderDxfId="952" tableBorderDxfId="953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4" headerRowBorderDxfId="942" tableBorderDxfId="943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6" headerRowBorderDxfId="934" tableBorderDxfId="935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6" headerRowBorderDxfId="924" tableBorderDxfId="925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8" headerRowBorderDxfId="916" tableBorderDxfId="917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7" tableBorderDxfId="908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1" headerRowBorderDxfId="899" tableBorderDxfId="900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1" headerRowBorderDxfId="889" tableBorderDxfId="890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3" headerRowBorderDxfId="881" tableBorderDxfId="882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3" headerRowBorderDxfId="871" tableBorderDxfId="872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5" headerRowBorderDxfId="863" tableBorderDxfId="864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4" tableBorderDxfId="855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8" headerRowBorderDxfId="846" tableBorderDxfId="847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8" headerRowBorderDxfId="836" tableBorderDxfId="837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30" headerRowBorderDxfId="828" tableBorderDxfId="829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20" headerRowBorderDxfId="818" tableBorderDxfId="819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2" headerRowBorderDxfId="810" tableBorderDxfId="811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1" tableBorderDxfId="802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5" headerRowBorderDxfId="793" tableBorderDxfId="794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5" headerRowBorderDxfId="783" tableBorderDxfId="784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7" headerRowBorderDxfId="775" tableBorderDxfId="776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7" headerRowBorderDxfId="765" tableBorderDxfId="766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9" headerRowBorderDxfId="757" tableBorderDxfId="758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8" tableBorderDxfId="749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2" headerRowBorderDxfId="740" tableBorderDxfId="741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2" headerRowBorderDxfId="730" tableBorderDxfId="731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4" headerRowBorderDxfId="722" tableBorderDxfId="723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4" headerRowBorderDxfId="712" tableBorderDxfId="713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6" headerRowBorderDxfId="704" tableBorderDxfId="705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5" tableBorderDxfId="696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9" headerRowBorderDxfId="687" tableBorderDxfId="688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9" headerRowBorderDxfId="677" tableBorderDxfId="678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1" headerRowBorderDxfId="669" tableBorderDxfId="670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1" headerRowBorderDxfId="659" tableBorderDxfId="660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3" headerRowBorderDxfId="651" tableBorderDxfId="652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2" tableBorderDxfId="643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6" headerRowBorderDxfId="634" tableBorderDxfId="635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6" headerRowBorderDxfId="624" tableBorderDxfId="625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8" headerRowBorderDxfId="616" tableBorderDxfId="617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8" headerRowBorderDxfId="606" tableBorderDxfId="607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600" headerRowBorderDxfId="598" tableBorderDxfId="599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89" tableBorderDxfId="590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3" totalsRowShown="0" headerRowDxfId="584" dataDxfId="583" headerRowBorderDxfId="581" tableBorderDxfId="582" totalsRowBorderDxfId="580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3" headerRowBorderDxfId="571" tableBorderDxfId="572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6:I32" totalsRowShown="0" headerRowDxfId="566" dataDxfId="565" headerRowBorderDxfId="563" tableBorderDxfId="564" totalsRowBorderDxfId="562">
  <autoFilter ref="E26:I32" xr:uid="{00000000-0009-0000-0100-000016000000}"/>
  <sortState xmlns:xlrd2="http://schemas.microsoft.com/office/spreadsheetml/2017/richdata2" ref="E27:I32">
    <sortCondition ref="E26:E32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5" headerRowBorderDxfId="553" tableBorderDxfId="554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5:I42" totalsRowShown="0" headerRowDxfId="548" dataDxfId="547" headerRowBorderDxfId="545" tableBorderDxfId="546" totalsRowBorderDxfId="544">
  <autoFilter ref="E35:I42" xr:uid="{B9E2F984-8588-4F2C-9FB9-680284154679}"/>
  <sortState xmlns:xlrd2="http://schemas.microsoft.com/office/spreadsheetml/2017/richdata2" ref="E36:I41">
    <sortCondition ref="E26:E32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6" tableBorderDxfId="537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30" headerRowBorderDxfId="528" tableBorderDxfId="529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20" headerRowBorderDxfId="518" tableBorderDxfId="519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2" headerRowBorderDxfId="510" tableBorderDxfId="511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2" headerRowBorderDxfId="500" tableBorderDxfId="501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4" headerRowBorderDxfId="492" tableBorderDxfId="493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3" tableBorderDxfId="484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7" headerRowBorderDxfId="475" tableBorderDxfId="476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7" headerRowBorderDxfId="465" tableBorderDxfId="466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9" headerRowBorderDxfId="457" tableBorderDxfId="458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9" headerRowBorderDxfId="447" tableBorderDxfId="448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1" headerRowBorderDxfId="439" tableBorderDxfId="440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0" tableBorderDxfId="431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4" headerRowBorderDxfId="422" tableBorderDxfId="423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4" headerRowBorderDxfId="412" tableBorderDxfId="413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6" headerRowBorderDxfId="404" tableBorderDxfId="405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6" headerRowBorderDxfId="394" tableBorderDxfId="395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8" headerRowBorderDxfId="386" tableBorderDxfId="387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7" tableBorderDxfId="378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1" headerRowBorderDxfId="369" tableBorderDxfId="370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1" headerRowBorderDxfId="359" tableBorderDxfId="360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3" headerRowBorderDxfId="351" tableBorderDxfId="352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3" headerRowBorderDxfId="341" tableBorderDxfId="342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5" headerRowBorderDxfId="333" tableBorderDxfId="334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4" tableBorderDxfId="325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8" headerRowBorderDxfId="316" tableBorderDxfId="317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8" headerRowBorderDxfId="306" tableBorderDxfId="307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300" headerRowBorderDxfId="298" tableBorderDxfId="299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90" headerRowBorderDxfId="288" tableBorderDxfId="289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2" headerRowBorderDxfId="280" tableBorderDxfId="281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1" tableBorderDxfId="272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5" headerRowBorderDxfId="263" tableBorderDxfId="264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5" headerRowBorderDxfId="253" tableBorderDxfId="254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7" headerRowBorderDxfId="245" tableBorderDxfId="246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7" headerRowBorderDxfId="235" tableBorderDxfId="236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9" headerRowBorderDxfId="227" tableBorderDxfId="228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8" tableBorderDxfId="219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2" headerRowBorderDxfId="210" tableBorderDxfId="211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2" headerRowBorderDxfId="200" tableBorderDxfId="201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4" headerRowBorderDxfId="192" tableBorderDxfId="193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4" headerRowBorderDxfId="182" tableBorderDxfId="183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6" headerRowBorderDxfId="174" tableBorderDxfId="175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5" tableBorderDxfId="166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9" headerRowBorderDxfId="157" tableBorderDxfId="158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9" headerRowBorderDxfId="147" tableBorderDxfId="148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1" headerRowBorderDxfId="139" tableBorderDxfId="140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1" headerRowBorderDxfId="129" tableBorderDxfId="130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3" headerRowBorderDxfId="121" tableBorderDxfId="122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2" tableBorderDxfId="113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6" headerRowBorderDxfId="104" tableBorderDxfId="105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6" headerRowBorderDxfId="94" tableBorderDxfId="95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8" headerRowBorderDxfId="86" tableBorderDxfId="87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8" headerRowBorderDxfId="76" tableBorderDxfId="77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70" headerRowBorderDxfId="68" tableBorderDxfId="69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59" tableBorderDxfId="60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3" headerRowBorderDxfId="51" tableBorderDxfId="52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3" headerRowBorderDxfId="41" tableBorderDxfId="42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5" headerRowBorderDxfId="33" tableBorderDxfId="34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5" headerRowBorderDxfId="23" tableBorderDxfId="24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7" headerRowBorderDxfId="15" tableBorderDxfId="16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6" tableBorderDxfId="7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23"/>
  <sheetViews>
    <sheetView workbookViewId="0">
      <selection activeCell="B3" sqref="B3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42583.520000000004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36745.47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>
      <c r="A6" s="28" t="s">
        <v>4</v>
      </c>
      <c r="B6" s="29">
        <f>SUM(B4:B5)</f>
        <v>36745.47</v>
      </c>
    </row>
    <row r="7" spans="1:2" ht="15">
      <c r="A7" s="2"/>
      <c r="B7" s="2"/>
    </row>
    <row r="8" spans="1:2" ht="15">
      <c r="A8" s="69" t="s">
        <v>5</v>
      </c>
      <c r="B8" s="69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4484.75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8787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2209.5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19029.72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5082.2</v>
      </c>
    </row>
    <row r="14" spans="1:2" ht="15.75">
      <c r="A14" s="28" t="s">
        <v>11</v>
      </c>
      <c r="B14" s="32">
        <f>SUM(B9:B13)</f>
        <v>39593.17</v>
      </c>
    </row>
    <row r="15" spans="1:2" ht="15">
      <c r="A15" s="2"/>
      <c r="B15" s="2"/>
    </row>
    <row r="16" spans="1:2" ht="15">
      <c r="A16" s="69" t="s">
        <v>12</v>
      </c>
      <c r="B16" s="69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2672.25</v>
      </c>
    </row>
    <row r="18" spans="1:2" ht="15.75">
      <c r="A18" s="28" t="s">
        <v>11</v>
      </c>
      <c r="B18" s="32">
        <f>SUM(B17:B17)</f>
        <v>2672.25</v>
      </c>
    </row>
    <row r="23" spans="1:2">
      <c r="A23" t="s">
        <v>13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I9" sqref="I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45170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2790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750</v>
      </c>
      <c r="D6" s="2"/>
      <c r="E6" s="18">
        <v>3042</v>
      </c>
      <c r="F6" s="25" t="s">
        <v>22</v>
      </c>
      <c r="G6" s="48" t="s">
        <v>8</v>
      </c>
      <c r="H6" s="8">
        <v>500</v>
      </c>
      <c r="I6" s="8">
        <v>100</v>
      </c>
      <c r="J6" s="2"/>
      <c r="K6" s="25"/>
      <c r="L6" s="9"/>
      <c r="M6" s="16"/>
      <c r="R6" s="1">
        <f>IF(vend1[[#This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3043</v>
      </c>
      <c r="F7" s="25" t="s">
        <v>23</v>
      </c>
      <c r="G7" s="48" t="s">
        <v>7</v>
      </c>
      <c r="H7" s="8">
        <v>990</v>
      </c>
      <c r="I7" s="8">
        <v>200</v>
      </c>
      <c r="J7" s="2"/>
      <c r="K7" s="25"/>
      <c r="L7" s="9"/>
      <c r="M7" s="16"/>
      <c r="R7" s="1">
        <f>IF(vend1[[#This Row],[Nº Venda]]&gt;1,1,0)</f>
        <v>1</v>
      </c>
    </row>
    <row r="8" spans="2:18" ht="15.75">
      <c r="B8" s="28" t="s">
        <v>24</v>
      </c>
      <c r="C8" s="29">
        <f>SUM(C6:C7)</f>
        <v>750</v>
      </c>
      <c r="D8" s="2"/>
      <c r="E8" s="18">
        <v>3044</v>
      </c>
      <c r="F8" s="25" t="s">
        <v>25</v>
      </c>
      <c r="G8" s="26" t="s">
        <v>26</v>
      </c>
      <c r="H8" s="8">
        <v>0</v>
      </c>
      <c r="I8" s="8">
        <v>0</v>
      </c>
      <c r="J8" s="2"/>
      <c r="K8" s="25"/>
      <c r="L8" s="9"/>
      <c r="M8" s="16"/>
      <c r="R8" s="1">
        <f>IF(vend1[[#This Row],[Nº Venda]]&gt;1,1,0)</f>
        <v>1</v>
      </c>
    </row>
    <row r="9" spans="2:18" ht="15.75">
      <c r="B9" s="2"/>
      <c r="C9" s="2"/>
      <c r="D9" s="2"/>
      <c r="E9" s="18">
        <v>3045</v>
      </c>
      <c r="F9" s="25" t="s">
        <v>27</v>
      </c>
      <c r="G9" s="26" t="s">
        <v>7</v>
      </c>
      <c r="H9" s="8">
        <v>1300</v>
      </c>
      <c r="I9" s="8">
        <v>100</v>
      </c>
      <c r="J9" s="2"/>
      <c r="K9" s="25"/>
      <c r="L9" s="9"/>
      <c r="M9" s="16"/>
      <c r="R9" s="1">
        <f>IF(vend1[[#This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IF(vend1[[#This Row],[Nº Venda]]&gt;1,1,0)</f>
        <v>0</v>
      </c>
    </row>
    <row r="15" spans="2:18" ht="15.75">
      <c r="B15" s="30" t="s">
        <v>10</v>
      </c>
      <c r="C15" s="31">
        <f t="shared" si="0"/>
        <v>520</v>
      </c>
      <c r="D15" s="2"/>
      <c r="E15" s="18"/>
      <c r="F15" s="25"/>
      <c r="G15" s="26"/>
      <c r="H15" s="8"/>
      <c r="I15" s="8"/>
      <c r="J15" s="2"/>
      <c r="K15" s="25">
        <v>2996</v>
      </c>
      <c r="L15" s="9" t="s">
        <v>32</v>
      </c>
      <c r="M15" s="16" t="s">
        <v>33</v>
      </c>
      <c r="R15" s="1">
        <f>IF(vend1[[#This Row],[Nº Venda]]&gt;1,1,0)</f>
        <v>0</v>
      </c>
    </row>
    <row r="16" spans="2:18" ht="15.75">
      <c r="B16" s="28" t="s">
        <v>11</v>
      </c>
      <c r="C16" s="32">
        <f>SUM(C11:C15)</f>
        <v>1270</v>
      </c>
      <c r="D16" s="2"/>
      <c r="E16" s="18"/>
      <c r="F16" s="25"/>
      <c r="G16" s="26"/>
      <c r="H16" s="8"/>
      <c r="I16" s="8"/>
      <c r="J16" s="2"/>
      <c r="K16" s="25">
        <v>3003</v>
      </c>
      <c r="L16" s="9" t="s">
        <v>32</v>
      </c>
      <c r="M16" s="16" t="s">
        <v>33</v>
      </c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2790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3003</v>
      </c>
      <c r="F26" s="25" t="s">
        <v>36</v>
      </c>
      <c r="G26" s="26" t="s">
        <v>6</v>
      </c>
      <c r="H26" s="8"/>
      <c r="I26" s="8">
        <v>350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6" t="s">
        <v>29</v>
      </c>
      <c r="L34" s="6" t="s">
        <v>40</v>
      </c>
      <c r="M34" s="6" t="s">
        <v>41</v>
      </c>
    </row>
    <row r="35" spans="2:18" ht="15.75">
      <c r="E35" s="18">
        <v>2979</v>
      </c>
      <c r="F35" s="25" t="s">
        <v>42</v>
      </c>
      <c r="G35" s="26" t="s">
        <v>10</v>
      </c>
      <c r="H35" s="8">
        <v>110</v>
      </c>
      <c r="I35" s="8" t="s">
        <v>43</v>
      </c>
      <c r="K35" s="25"/>
      <c r="L35" s="42"/>
      <c r="M35" s="9"/>
    </row>
    <row r="36" spans="2:18" ht="15.75">
      <c r="E36" s="18">
        <v>2752</v>
      </c>
      <c r="F36" s="25" t="s">
        <v>42</v>
      </c>
      <c r="G36" s="26" t="s">
        <v>10</v>
      </c>
      <c r="H36" s="8">
        <v>160</v>
      </c>
      <c r="I36" s="8" t="s">
        <v>44</v>
      </c>
      <c r="K36" s="25"/>
      <c r="L36" s="42"/>
      <c r="M36" s="9"/>
    </row>
    <row r="37" spans="2:18" ht="15.75">
      <c r="E37" s="18">
        <v>2691</v>
      </c>
      <c r="F37" s="39" t="s">
        <v>45</v>
      </c>
      <c r="G37" s="26" t="s">
        <v>10</v>
      </c>
      <c r="H37" s="8">
        <v>250</v>
      </c>
      <c r="I37" s="8" t="s">
        <v>46</v>
      </c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47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7" zoomScale="80" zoomScaleNormal="80" workbookViewId="0">
      <selection activeCell="M16" sqref="M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45171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1390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1995</v>
      </c>
      <c r="D6" s="2"/>
      <c r="E6" s="18">
        <v>3046</v>
      </c>
      <c r="F6" s="25" t="s">
        <v>48</v>
      </c>
      <c r="G6" s="48" t="s">
        <v>7</v>
      </c>
      <c r="H6" s="8">
        <v>500</v>
      </c>
      <c r="I6" s="8">
        <v>500</v>
      </c>
      <c r="J6" s="2"/>
      <c r="K6" s="25"/>
      <c r="L6" s="9"/>
      <c r="M6" s="16"/>
      <c r="R6" s="1">
        <f>IF(vend2[[#This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3047</v>
      </c>
      <c r="F7" s="25" t="s">
        <v>49</v>
      </c>
      <c r="G7" s="48" t="s">
        <v>7</v>
      </c>
      <c r="H7" s="8">
        <v>500</v>
      </c>
      <c r="I7" s="8">
        <v>500</v>
      </c>
      <c r="J7" s="2"/>
      <c r="K7" s="25"/>
      <c r="L7" s="9"/>
      <c r="M7" s="16"/>
      <c r="R7" s="1">
        <f>IF(vend2[[#This Row],[Nº Venda]]&gt;1,1,0)</f>
        <v>1</v>
      </c>
    </row>
    <row r="8" spans="2:18" ht="15.75">
      <c r="B8" s="28" t="s">
        <v>24</v>
      </c>
      <c r="C8" s="29">
        <f>SUM(C6:C7)</f>
        <v>1995</v>
      </c>
      <c r="D8" s="2"/>
      <c r="E8" s="18">
        <v>3048</v>
      </c>
      <c r="F8" s="25" t="s">
        <v>50</v>
      </c>
      <c r="G8" s="26" t="s">
        <v>8</v>
      </c>
      <c r="H8" s="8">
        <v>390</v>
      </c>
      <c r="I8" s="8">
        <v>195</v>
      </c>
      <c r="J8" s="2"/>
      <c r="K8" s="25"/>
      <c r="L8" s="9"/>
      <c r="M8" s="16"/>
      <c r="R8" s="1">
        <f>IF(vend2[[#This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495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2994</v>
      </c>
      <c r="L15" s="9" t="s">
        <v>32</v>
      </c>
      <c r="M15" s="16" t="s">
        <v>51</v>
      </c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1995</v>
      </c>
      <c r="D16" s="2"/>
      <c r="E16" s="18"/>
      <c r="F16" s="25" t="s">
        <v>52</v>
      </c>
      <c r="G16" s="26"/>
      <c r="H16" s="8"/>
      <c r="I16" s="8"/>
      <c r="J16" s="2"/>
      <c r="K16" s="25">
        <v>3015</v>
      </c>
      <c r="L16" s="9" t="s">
        <v>32</v>
      </c>
      <c r="M16" s="16" t="s">
        <v>51</v>
      </c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3011</v>
      </c>
      <c r="L17" s="9" t="s">
        <v>32</v>
      </c>
      <c r="M17" s="16" t="s">
        <v>51</v>
      </c>
      <c r="R17" s="1">
        <f>IF(vend2[[#This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2915</v>
      </c>
      <c r="L18" s="9" t="s">
        <v>32</v>
      </c>
      <c r="M18" s="16" t="s">
        <v>51</v>
      </c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1390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3015</v>
      </c>
      <c r="F26" s="25" t="s">
        <v>53</v>
      </c>
      <c r="G26" s="26" t="s">
        <v>9</v>
      </c>
      <c r="H26" s="8"/>
      <c r="I26" s="8">
        <v>500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2915</v>
      </c>
      <c r="F27" s="25" t="s">
        <v>54</v>
      </c>
      <c r="G27" s="26" t="s">
        <v>8</v>
      </c>
      <c r="H27" s="8"/>
      <c r="I27" s="8">
        <v>300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2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45172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I6" sqref="I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45173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2199.92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1999.92</v>
      </c>
      <c r="D6" s="2"/>
      <c r="E6" s="18">
        <v>3049</v>
      </c>
      <c r="F6" s="25" t="s">
        <v>55</v>
      </c>
      <c r="G6" s="48" t="s">
        <v>7</v>
      </c>
      <c r="H6" s="8">
        <v>750</v>
      </c>
      <c r="I6" s="8">
        <v>150</v>
      </c>
      <c r="J6" s="2"/>
      <c r="K6" s="25"/>
      <c r="L6" s="9"/>
      <c r="M6" s="16"/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3049</v>
      </c>
      <c r="F7" s="25" t="s">
        <v>55</v>
      </c>
      <c r="G7" s="48" t="s">
        <v>9</v>
      </c>
      <c r="H7" s="8">
        <v>0</v>
      </c>
      <c r="I7" s="8">
        <v>600</v>
      </c>
      <c r="J7" s="2"/>
      <c r="K7" s="25"/>
      <c r="L7" s="9"/>
      <c r="M7" s="16"/>
      <c r="R7" s="1">
        <f>IF(vend4[[#This Row],[Nº Venda]]&gt;1,1,0)</f>
        <v>1</v>
      </c>
    </row>
    <row r="8" spans="2:18" ht="15.75">
      <c r="B8" s="28" t="s">
        <v>24</v>
      </c>
      <c r="C8" s="29">
        <f>SUM(C6:C7)</f>
        <v>1999.92</v>
      </c>
      <c r="D8" s="2"/>
      <c r="E8" s="18">
        <v>3050</v>
      </c>
      <c r="F8" s="25" t="s">
        <v>56</v>
      </c>
      <c r="G8" s="48" t="s">
        <v>6</v>
      </c>
      <c r="H8" s="8">
        <v>600</v>
      </c>
      <c r="I8" s="8">
        <v>90</v>
      </c>
      <c r="J8" s="2"/>
      <c r="K8" s="25"/>
      <c r="L8" s="9"/>
      <c r="M8" s="16"/>
      <c r="R8" s="1">
        <f>IF(vend4[[#This Row],[Nº Venda]]&gt;1,1,0)</f>
        <v>1</v>
      </c>
    </row>
    <row r="9" spans="2:18" ht="15.75">
      <c r="B9" s="2"/>
      <c r="C9" s="2"/>
      <c r="D9" s="2"/>
      <c r="E9" s="18">
        <v>3050</v>
      </c>
      <c r="F9" s="25" t="s">
        <v>56</v>
      </c>
      <c r="G9" s="48" t="s">
        <v>9</v>
      </c>
      <c r="H9" s="8">
        <v>0</v>
      </c>
      <c r="I9" s="8">
        <v>510</v>
      </c>
      <c r="J9" s="2"/>
      <c r="K9" s="25"/>
      <c r="L9" s="9"/>
      <c r="M9" s="16"/>
      <c r="R9" s="1">
        <f>IF(vend4[[#This Row],[Nº Venda]]&gt;1,1,0)</f>
        <v>1</v>
      </c>
    </row>
    <row r="10" spans="2:18" ht="15.75">
      <c r="B10" s="69" t="s">
        <v>5</v>
      </c>
      <c r="C10" s="69"/>
      <c r="D10" s="2"/>
      <c r="E10" s="18">
        <v>3051</v>
      </c>
      <c r="F10" s="25" t="s">
        <v>57</v>
      </c>
      <c r="G10" s="26" t="s">
        <v>6</v>
      </c>
      <c r="H10" s="8">
        <v>100</v>
      </c>
      <c r="I10" s="8">
        <v>100</v>
      </c>
      <c r="J10" s="2"/>
      <c r="K10" s="25"/>
      <c r="L10" s="9"/>
      <c r="M10" s="16"/>
      <c r="R10" s="1">
        <f>IF(vend4[[#This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190</v>
      </c>
      <c r="D11" s="2"/>
      <c r="E11" s="18">
        <v>3052</v>
      </c>
      <c r="F11" s="25" t="s">
        <v>58</v>
      </c>
      <c r="G11" s="26" t="s">
        <v>9</v>
      </c>
      <c r="H11" s="8">
        <v>249.92</v>
      </c>
      <c r="I11" s="8">
        <v>249.92</v>
      </c>
      <c r="J11" s="2"/>
      <c r="K11" s="27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>
        <v>3053</v>
      </c>
      <c r="F12" s="25" t="s">
        <v>59</v>
      </c>
      <c r="G12" s="26" t="s">
        <v>9</v>
      </c>
      <c r="H12" s="8">
        <v>500</v>
      </c>
      <c r="I12" s="8">
        <v>300</v>
      </c>
      <c r="J12" s="2"/>
      <c r="R12" s="1">
        <f>IF(vend4[[#This Row],[Nº Venda]]&gt;1,1,0)</f>
        <v>1</v>
      </c>
    </row>
    <row r="13" spans="2:18" ht="15.75">
      <c r="B13" s="30" t="s">
        <v>8</v>
      </c>
      <c r="C13" s="31"/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1659.92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2099.92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2199.92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2775</v>
      </c>
      <c r="F35" s="25" t="s">
        <v>60</v>
      </c>
      <c r="G35" s="26" t="s">
        <v>10</v>
      </c>
      <c r="H35" s="8">
        <v>100</v>
      </c>
      <c r="I35" s="8" t="s">
        <v>46</v>
      </c>
      <c r="K35" s="25"/>
      <c r="L35" s="42"/>
      <c r="M35" s="16"/>
    </row>
    <row r="36" spans="2:18" ht="15.75">
      <c r="B36" s="1" t="s">
        <v>61</v>
      </c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7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M17" sqref="M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45174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989.9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1640</v>
      </c>
      <c r="D6" s="2"/>
      <c r="E6" s="18">
        <v>3054</v>
      </c>
      <c r="F6" s="25" t="s">
        <v>62</v>
      </c>
      <c r="G6" s="48" t="s">
        <v>9</v>
      </c>
      <c r="H6" s="8">
        <v>690</v>
      </c>
      <c r="I6" s="8">
        <v>690</v>
      </c>
      <c r="J6" s="2"/>
      <c r="K6" s="25"/>
      <c r="L6" s="9"/>
      <c r="M6" s="16"/>
      <c r="R6" s="1">
        <f>IF(vend5[[#This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24</v>
      </c>
      <c r="C8" s="29">
        <f>SUM(C6:C7)</f>
        <v>1640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1540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2924</v>
      </c>
      <c r="L15" s="9" t="s">
        <v>32</v>
      </c>
      <c r="M15" s="16" t="s">
        <v>51</v>
      </c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1640</v>
      </c>
      <c r="D16" s="2"/>
      <c r="E16" s="18"/>
      <c r="F16" s="25"/>
      <c r="G16" s="26"/>
      <c r="H16" s="8"/>
      <c r="I16" s="8"/>
      <c r="J16" s="2"/>
      <c r="K16" s="25">
        <v>2970</v>
      </c>
      <c r="L16" s="9" t="s">
        <v>32</v>
      </c>
      <c r="M16" s="16" t="s">
        <v>51</v>
      </c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989.9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3030</v>
      </c>
      <c r="F26" s="25" t="s">
        <v>63</v>
      </c>
      <c r="G26" s="48" t="s">
        <v>10</v>
      </c>
      <c r="H26" s="8">
        <v>299.89999999999998</v>
      </c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2924</v>
      </c>
      <c r="F27" s="25" t="s">
        <v>64</v>
      </c>
      <c r="G27" s="48" t="s">
        <v>9</v>
      </c>
      <c r="H27" s="8"/>
      <c r="I27" s="8">
        <v>850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 G26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G35:G41 G27:G31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8" zoomScale="85" zoomScaleNormal="85" workbookViewId="0">
      <selection activeCell="I7" sqref="I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45175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1150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1680</v>
      </c>
      <c r="D6" s="2"/>
      <c r="E6" s="18">
        <v>3055</v>
      </c>
      <c r="F6" s="25" t="s">
        <v>65</v>
      </c>
      <c r="G6" s="26" t="s">
        <v>7</v>
      </c>
      <c r="H6" s="8">
        <v>1100</v>
      </c>
      <c r="I6" s="8">
        <v>100</v>
      </c>
      <c r="J6" s="2"/>
      <c r="K6" s="25"/>
      <c r="L6" s="9"/>
      <c r="M6" s="16"/>
      <c r="R6" s="1">
        <f>IF(vend[[#This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>
      <c r="B8" s="28" t="s">
        <v>24</v>
      </c>
      <c r="C8" s="29">
        <f>SUM(C6:C7)</f>
        <v>1680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410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1430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2993</v>
      </c>
      <c r="L15" s="9" t="s">
        <v>32</v>
      </c>
      <c r="M15" s="16" t="s">
        <v>33</v>
      </c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2290</v>
      </c>
      <c r="D16" s="2"/>
      <c r="E16" s="18"/>
      <c r="F16" s="25"/>
      <c r="G16" s="26"/>
      <c r="H16" s="8"/>
      <c r="I16" s="8"/>
      <c r="J16" s="2"/>
      <c r="K16" s="25">
        <v>2573</v>
      </c>
      <c r="L16" s="9" t="s">
        <v>66</v>
      </c>
      <c r="M16" s="16" t="s">
        <v>51</v>
      </c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3036</v>
      </c>
      <c r="L17" s="9" t="s">
        <v>32</v>
      </c>
      <c r="M17" s="16" t="s">
        <v>51</v>
      </c>
      <c r="R17" s="1">
        <f>IF(vend[[#This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3053</v>
      </c>
      <c r="L18" s="9" t="s">
        <v>32</v>
      </c>
      <c r="M18" s="16" t="s">
        <v>51</v>
      </c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>
        <v>2980</v>
      </c>
      <c r="L19" s="9" t="s">
        <v>32</v>
      </c>
      <c r="M19" s="16" t="s">
        <v>51</v>
      </c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3023</v>
      </c>
      <c r="L20" s="9" t="s">
        <v>32</v>
      </c>
      <c r="M20" s="16" t="s">
        <v>51</v>
      </c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1150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2573</v>
      </c>
      <c r="F26" s="25" t="s">
        <v>67</v>
      </c>
      <c r="G26" s="26" t="s">
        <v>7</v>
      </c>
      <c r="H26" s="8"/>
      <c r="I26" s="8">
        <v>280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3036</v>
      </c>
      <c r="F27" s="25" t="s">
        <v>68</v>
      </c>
      <c r="G27" s="26" t="s">
        <v>6</v>
      </c>
      <c r="H27" s="8">
        <v>50</v>
      </c>
      <c r="I27" s="8">
        <v>50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3053</v>
      </c>
      <c r="F28" s="25" t="s">
        <v>59</v>
      </c>
      <c r="G28" s="26" t="s">
        <v>10</v>
      </c>
      <c r="H28" s="8"/>
      <c r="I28" s="8">
        <v>50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2980</v>
      </c>
      <c r="F29" s="25" t="s">
        <v>69</v>
      </c>
      <c r="G29" s="26" t="s">
        <v>7</v>
      </c>
      <c r="H29" s="8"/>
      <c r="I29" s="8">
        <v>800</v>
      </c>
      <c r="J29" s="2"/>
      <c r="K29" s="25"/>
      <c r="L29" s="9"/>
      <c r="M29" s="16"/>
    </row>
    <row r="30" spans="2:18" ht="15.75">
      <c r="B30" s="2"/>
      <c r="C30" s="2"/>
      <c r="D30" s="2"/>
      <c r="E30" s="18">
        <v>3023</v>
      </c>
      <c r="F30" s="39" t="s">
        <v>70</v>
      </c>
      <c r="G30" s="26" t="s">
        <v>9</v>
      </c>
      <c r="H30" s="8"/>
      <c r="I30" s="8">
        <v>400</v>
      </c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2984</v>
      </c>
      <c r="F35" s="25" t="s">
        <v>71</v>
      </c>
      <c r="G35" s="26" t="s">
        <v>6</v>
      </c>
      <c r="H35" s="8">
        <v>360</v>
      </c>
      <c r="I35" s="8" t="s">
        <v>43</v>
      </c>
      <c r="K35" s="25"/>
      <c r="L35" s="42"/>
      <c r="M35" s="16"/>
    </row>
    <row r="36" spans="2:18" ht="15.75">
      <c r="E36" s="18">
        <v>2777</v>
      </c>
      <c r="F36" s="25" t="s">
        <v>72</v>
      </c>
      <c r="G36" s="26" t="s">
        <v>7</v>
      </c>
      <c r="H36" s="8">
        <v>250</v>
      </c>
      <c r="I36" s="8" t="s">
        <v>73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45176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">
      <c r="B6" s="23" t="s">
        <v>2</v>
      </c>
      <c r="C6" s="24">
        <f>SUM(I6:I41)</f>
        <v>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56"/>
      <c r="M15" s="57"/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47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47"/>
      <c r="L25" s="9"/>
      <c r="M25" s="16"/>
    </row>
    <row r="26" spans="2:18" ht="15.75">
      <c r="B26" s="2"/>
      <c r="C26" s="2"/>
      <c r="D26" s="2"/>
      <c r="E26" s="78"/>
      <c r="F26" s="79"/>
      <c r="G26" s="80"/>
      <c r="H26" s="81"/>
      <c r="I26" s="81"/>
      <c r="J26" s="2"/>
      <c r="K26" s="47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topLeftCell="A3" zoomScale="80" zoomScaleNormal="80" workbookViewId="0">
      <selection activeCell="C34" sqref="C3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4.28515625" style="34" customWidth="1"/>
    <col min="6" max="6" width="30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45177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1200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">
      <c r="B6" s="23" t="s">
        <v>2</v>
      </c>
      <c r="C6" s="24">
        <f>SUM(I6:I41)</f>
        <v>1100</v>
      </c>
      <c r="D6" s="2"/>
      <c r="E6" s="58">
        <v>3056</v>
      </c>
      <c r="F6" s="8" t="s">
        <v>74</v>
      </c>
      <c r="G6" s="8" t="s">
        <v>10</v>
      </c>
      <c r="H6" s="8">
        <v>600</v>
      </c>
      <c r="I6" s="8">
        <v>500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58">
        <v>3057</v>
      </c>
      <c r="F7" s="8" t="s">
        <v>75</v>
      </c>
      <c r="G7" s="8" t="s">
        <v>10</v>
      </c>
      <c r="H7" s="8">
        <v>400</v>
      </c>
      <c r="I7" s="8">
        <v>400</v>
      </c>
      <c r="J7" s="2"/>
      <c r="K7" s="25"/>
      <c r="L7" s="9"/>
      <c r="M7" s="16"/>
      <c r="R7" s="1">
        <f>IF(vend8[[#This Row],[Nº Venda]]&gt;1,1,0)</f>
        <v>1</v>
      </c>
    </row>
    <row r="8" spans="2:18" ht="15.75">
      <c r="B8" s="28" t="s">
        <v>24</v>
      </c>
      <c r="C8" s="29">
        <f>SUM(C6:C7)</f>
        <v>1100</v>
      </c>
      <c r="D8" s="2"/>
      <c r="E8" s="58">
        <v>3058</v>
      </c>
      <c r="F8" s="8" t="s">
        <v>76</v>
      </c>
      <c r="G8" s="8" t="s">
        <v>26</v>
      </c>
      <c r="H8" s="8">
        <v>0</v>
      </c>
      <c r="I8" s="8">
        <v>0</v>
      </c>
      <c r="J8" s="2"/>
      <c r="K8" s="25"/>
      <c r="L8" s="9"/>
      <c r="M8" s="16"/>
      <c r="R8" s="1">
        <f>IF(vend8[[#This Row],[Nº Venda]]&gt;1,1,0)</f>
        <v>1</v>
      </c>
    </row>
    <row r="9" spans="2:18" ht="15">
      <c r="B9" s="2"/>
      <c r="C9" s="2"/>
      <c r="D9" s="2"/>
      <c r="E9" s="58">
        <v>3059</v>
      </c>
      <c r="F9" s="8" t="s">
        <v>77</v>
      </c>
      <c r="G9" s="8" t="s">
        <v>9</v>
      </c>
      <c r="H9" s="8">
        <v>200</v>
      </c>
      <c r="I9" s="8">
        <v>200</v>
      </c>
      <c r="J9" s="2"/>
      <c r="K9" s="25"/>
      <c r="L9" s="9"/>
      <c r="M9" s="16"/>
      <c r="R9" s="1">
        <f>IF(vend8[[#This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129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900</v>
      </c>
      <c r="D15" s="2"/>
      <c r="E15" s="18"/>
      <c r="F15" s="25"/>
      <c r="G15" s="26"/>
      <c r="H15" s="8"/>
      <c r="I15" s="8"/>
      <c r="J15" s="2"/>
      <c r="K15" s="25">
        <v>3001</v>
      </c>
      <c r="L15" s="9" t="s">
        <v>78</v>
      </c>
      <c r="M15" s="16" t="s">
        <v>51</v>
      </c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1229</v>
      </c>
      <c r="D16" s="2"/>
      <c r="E16" s="18"/>
      <c r="F16" s="25"/>
      <c r="G16" s="26"/>
      <c r="H16" s="8"/>
      <c r="I16" s="8"/>
      <c r="J16" s="2"/>
      <c r="K16" s="25">
        <v>3029</v>
      </c>
      <c r="L16" s="9" t="s">
        <v>32</v>
      </c>
      <c r="M16" s="16" t="s">
        <v>51</v>
      </c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1200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78"/>
      <c r="F26" s="79"/>
      <c r="G26" s="80"/>
      <c r="H26" s="81"/>
      <c r="I26" s="81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2372</v>
      </c>
      <c r="F35" s="25" t="s">
        <v>79</v>
      </c>
      <c r="G35" s="26" t="s">
        <v>7</v>
      </c>
      <c r="H35" s="8">
        <v>129</v>
      </c>
      <c r="I35" s="8" t="s">
        <v>80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T51"/>
  <sheetViews>
    <sheetView showGridLines="0" topLeftCell="A2" zoomScale="70" zoomScaleNormal="70" workbookViewId="0">
      <selection activeCell="H16" sqref="H16"/>
    </sheetView>
  </sheetViews>
  <sheetFormatPr defaultColWidth="9.140625" defaultRowHeight="12.75"/>
  <cols>
    <col min="1" max="1" width="3.7109375" style="1" customWidth="1"/>
    <col min="2" max="2" width="26.140625" style="1" customWidth="1"/>
    <col min="3" max="3" width="14" style="1" customWidth="1"/>
    <col min="4" max="4" width="0.855468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85546875" style="1" customWidth="1"/>
    <col min="11" max="11" width="26.7109375" style="3" customWidth="1"/>
    <col min="12" max="12" width="19" style="3" customWidth="1"/>
    <col min="13" max="13" width="15.7109375" style="3" customWidth="1"/>
    <col min="14" max="14" width="51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19" width="0" style="1" hidden="1" customWidth="1"/>
    <col min="20" max="20" width="0.42578125" style="1" hidden="1" customWidth="1"/>
    <col min="21" max="21" width="22.42578125" style="1" customWidth="1"/>
    <col min="22" max="16384" width="9.140625" style="1"/>
  </cols>
  <sheetData>
    <row r="1" spans="2:18" ht="23.25">
      <c r="B1" s="41">
        <f>'08'!B1+1</f>
        <v>45178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2849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549</v>
      </c>
      <c r="D6" s="2"/>
      <c r="E6" s="18">
        <v>3060</v>
      </c>
      <c r="F6" s="25" t="s">
        <v>81</v>
      </c>
      <c r="G6" s="48" t="s">
        <v>7</v>
      </c>
      <c r="H6" s="8">
        <v>99</v>
      </c>
      <c r="I6" s="8">
        <v>99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3061</v>
      </c>
      <c r="F7" s="25" t="s">
        <v>82</v>
      </c>
      <c r="G7" s="26" t="s">
        <v>6</v>
      </c>
      <c r="H7" s="8">
        <v>2100</v>
      </c>
      <c r="I7" s="8">
        <v>200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24</v>
      </c>
      <c r="C8" s="29">
        <f>SUM(C6:C7)</f>
        <v>549</v>
      </c>
      <c r="D8" s="2"/>
      <c r="E8" s="18">
        <v>3062</v>
      </c>
      <c r="F8" s="25" t="s">
        <v>83</v>
      </c>
      <c r="G8" s="26" t="s">
        <v>7</v>
      </c>
      <c r="H8" s="8">
        <v>200</v>
      </c>
      <c r="I8" s="8">
        <v>200</v>
      </c>
      <c r="J8" s="2"/>
      <c r="K8" s="25"/>
      <c r="L8" s="9"/>
      <c r="M8" s="16"/>
      <c r="R8" s="1">
        <f>IF(vend9[[#This Row],[Nº Venda]]&gt;1,1,0)</f>
        <v>1</v>
      </c>
    </row>
    <row r="9" spans="2:18" ht="15.75">
      <c r="B9" s="2"/>
      <c r="C9" s="2"/>
      <c r="D9" s="2"/>
      <c r="E9" s="18">
        <v>3063</v>
      </c>
      <c r="F9" s="25" t="s">
        <v>84</v>
      </c>
      <c r="G9" s="26" t="s">
        <v>26</v>
      </c>
      <c r="H9" s="8">
        <v>50</v>
      </c>
      <c r="I9" s="8"/>
      <c r="J9" s="2"/>
      <c r="K9" s="25"/>
      <c r="L9" s="9"/>
      <c r="M9" s="16"/>
      <c r="R9" s="1">
        <f>IF(vend9[[#This Row],[Nº Venda]]&gt;1,1,0)</f>
        <v>1</v>
      </c>
    </row>
    <row r="10" spans="2:18" ht="15.75">
      <c r="B10" s="69" t="s">
        <v>5</v>
      </c>
      <c r="C10" s="69"/>
      <c r="D10" s="2"/>
      <c r="E10" s="18">
        <v>3064</v>
      </c>
      <c r="F10" s="25" t="s">
        <v>85</v>
      </c>
      <c r="G10" s="26" t="s">
        <v>10</v>
      </c>
      <c r="H10" s="8">
        <v>450</v>
      </c>
      <c r="I10" s="8">
        <v>50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387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3017</v>
      </c>
      <c r="L15" s="9" t="s">
        <v>32</v>
      </c>
      <c r="M15" s="16" t="s">
        <v>33</v>
      </c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637</v>
      </c>
      <c r="D16" s="2"/>
      <c r="E16" s="18"/>
      <c r="F16" s="25"/>
      <c r="G16" s="26"/>
      <c r="H16" s="8"/>
      <c r="I16" s="8"/>
      <c r="J16" s="2"/>
      <c r="K16" s="25">
        <v>3026</v>
      </c>
      <c r="L16" s="9" t="s">
        <v>78</v>
      </c>
      <c r="M16" s="16" t="s">
        <v>51</v>
      </c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3033</v>
      </c>
      <c r="L17" s="9" t="s">
        <v>32</v>
      </c>
      <c r="M17" s="16" t="s">
        <v>51</v>
      </c>
      <c r="R17" s="1">
        <f>IF(vend9[[#This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3035</v>
      </c>
      <c r="L18" s="9" t="s">
        <v>78</v>
      </c>
      <c r="M18" s="16" t="s">
        <v>33</v>
      </c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>
        <v>3060</v>
      </c>
      <c r="L19" s="9" t="s">
        <v>78</v>
      </c>
      <c r="M19" s="16" t="s">
        <v>51</v>
      </c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3062</v>
      </c>
      <c r="L20" s="9" t="s">
        <v>32</v>
      </c>
      <c r="M20" s="16" t="s">
        <v>51</v>
      </c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2849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2639</v>
      </c>
      <c r="F35" s="25" t="s">
        <v>86</v>
      </c>
      <c r="G35" s="26" t="s">
        <v>7</v>
      </c>
      <c r="H35" s="8">
        <v>88</v>
      </c>
      <c r="I35" s="8" t="s">
        <v>87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  <row r="45" spans="2:18">
      <c r="L45" s="3" t="s">
        <v>88</v>
      </c>
    </row>
    <row r="51" spans="7:7" ht="23.25">
      <c r="G51" s="6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10" zoomScale="80" zoomScaleNormal="80" workbookViewId="0">
      <selection activeCell="B25" sqref="B2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45179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abSelected="1" topLeftCell="A10" zoomScale="80" zoomScaleNormal="80" workbookViewId="0">
      <selection activeCell="E36" sqref="E3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45180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200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200</v>
      </c>
      <c r="D6" s="2"/>
      <c r="E6" s="18">
        <v>3065</v>
      </c>
      <c r="F6" s="25" t="s">
        <v>89</v>
      </c>
      <c r="G6" s="26" t="s">
        <v>9</v>
      </c>
      <c r="H6" s="8">
        <v>200</v>
      </c>
      <c r="I6" s="8">
        <v>200</v>
      </c>
      <c r="J6" s="2"/>
      <c r="K6" s="25"/>
      <c r="L6" s="9"/>
      <c r="M6" s="16"/>
      <c r="R6" s="1">
        <f>IF(vend11[[#This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24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190.2</v>
      </c>
      <c r="D15" s="2"/>
      <c r="E15" s="18"/>
      <c r="F15" s="25"/>
      <c r="G15" s="26"/>
      <c r="H15" s="8"/>
      <c r="I15" s="8"/>
      <c r="J15" s="2"/>
      <c r="K15" s="25">
        <v>3007</v>
      </c>
      <c r="L15" s="9" t="s">
        <v>32</v>
      </c>
      <c r="M15" s="16" t="s">
        <v>51</v>
      </c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390.2</v>
      </c>
      <c r="D16" s="2"/>
      <c r="E16" s="18"/>
      <c r="F16" s="25"/>
      <c r="G16" s="26"/>
      <c r="H16" s="8"/>
      <c r="I16" s="8"/>
      <c r="J16" s="2"/>
      <c r="K16" s="25">
        <v>3024</v>
      </c>
      <c r="L16" s="9" t="s">
        <v>32</v>
      </c>
      <c r="M16" s="16" t="s">
        <v>51</v>
      </c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3031</v>
      </c>
      <c r="L17" s="9" t="s">
        <v>32</v>
      </c>
      <c r="M17" s="16" t="s">
        <v>51</v>
      </c>
      <c r="R17" s="1">
        <f>IF(vend11[[#This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3065</v>
      </c>
      <c r="L18" s="9" t="s">
        <v>32</v>
      </c>
      <c r="M18" s="16" t="s">
        <v>51</v>
      </c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2601</v>
      </c>
      <c r="F35" s="25" t="s">
        <v>90</v>
      </c>
      <c r="G35" s="26" t="s">
        <v>10</v>
      </c>
      <c r="H35" s="8">
        <v>190.2</v>
      </c>
      <c r="I35" s="8" t="s">
        <v>91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6" zoomScale="80" zoomScaleNormal="80" workbookViewId="0">
      <selection activeCell="I7" sqref="I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45181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348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">
      <c r="B6" s="23" t="s">
        <v>2</v>
      </c>
      <c r="C6" s="24">
        <f>SUM(I6:I41)</f>
        <v>898</v>
      </c>
      <c r="D6" s="2"/>
      <c r="E6" s="59" t="s">
        <v>92</v>
      </c>
      <c r="F6" s="60" t="s">
        <v>93</v>
      </c>
      <c r="G6" s="60" t="s">
        <v>7</v>
      </c>
      <c r="H6" s="61">
        <v>99</v>
      </c>
      <c r="I6" s="61">
        <v>99</v>
      </c>
      <c r="J6" s="2"/>
      <c r="K6" s="25"/>
      <c r="L6" s="9"/>
      <c r="M6" s="16"/>
      <c r="R6" s="1">
        <f>IF(vend12[[#This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2" t="s">
        <v>94</v>
      </c>
      <c r="F7" s="63" t="s">
        <v>95</v>
      </c>
      <c r="G7" s="63" t="s">
        <v>26</v>
      </c>
      <c r="H7" s="64">
        <v>200</v>
      </c>
      <c r="I7" s="64"/>
      <c r="J7" s="2"/>
      <c r="K7" s="25"/>
      <c r="L7" s="9"/>
      <c r="M7" s="16"/>
      <c r="R7" s="1">
        <f>IF(vend12[[#This Row],[Nº Venda]]&gt;1,1,0)</f>
        <v>1</v>
      </c>
    </row>
    <row r="8" spans="2:18" ht="15.75">
      <c r="B8" s="28" t="s">
        <v>24</v>
      </c>
      <c r="C8" s="29">
        <f>SUM(C6:C7)</f>
        <v>898</v>
      </c>
      <c r="D8" s="2"/>
      <c r="E8" s="66">
        <v>3066</v>
      </c>
      <c r="F8" s="63" t="s">
        <v>96</v>
      </c>
      <c r="G8" s="63" t="s">
        <v>26</v>
      </c>
      <c r="H8" s="64">
        <v>100</v>
      </c>
      <c r="I8" s="64"/>
      <c r="J8" s="2"/>
      <c r="K8" s="25"/>
      <c r="L8" s="9"/>
      <c r="M8" s="16"/>
      <c r="R8" s="1">
        <f>IF(vend12[[#This Row],[Nº Venda]]&gt;1,1,0)</f>
        <v>1</v>
      </c>
    </row>
    <row r="9" spans="2:18" ht="15.75">
      <c r="B9" s="2"/>
      <c r="C9" s="2"/>
      <c r="D9" s="2"/>
      <c r="E9" s="18">
        <v>3069</v>
      </c>
      <c r="F9" s="25" t="s">
        <v>97</v>
      </c>
      <c r="G9" s="26" t="s">
        <v>7</v>
      </c>
      <c r="H9" s="8">
        <v>249</v>
      </c>
      <c r="I9" s="8">
        <v>249</v>
      </c>
      <c r="J9" s="2"/>
      <c r="K9" s="25"/>
      <c r="L9" s="9"/>
      <c r="M9" s="16"/>
      <c r="R9" s="1">
        <f>IF(vend12[[#This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490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408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3038</v>
      </c>
      <c r="L15" s="9" t="s">
        <v>78</v>
      </c>
      <c r="M15" s="16" t="s">
        <v>51</v>
      </c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898</v>
      </c>
      <c r="D16" s="2"/>
      <c r="E16" s="18"/>
      <c r="F16" s="25"/>
      <c r="G16" s="26"/>
      <c r="H16" s="8"/>
      <c r="I16" s="8"/>
      <c r="J16" s="2"/>
      <c r="K16" s="25">
        <v>3047</v>
      </c>
      <c r="L16" s="9" t="s">
        <v>32</v>
      </c>
      <c r="M16" s="16" t="s">
        <v>51</v>
      </c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3046</v>
      </c>
      <c r="L17" s="9" t="s">
        <v>32</v>
      </c>
      <c r="M17" s="16" t="s">
        <v>51</v>
      </c>
      <c r="R17" s="1">
        <f>IF(vend12[[#This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3040</v>
      </c>
      <c r="L18" s="9" t="s">
        <v>78</v>
      </c>
      <c r="M18" s="16" t="s">
        <v>51</v>
      </c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>
        <v>3018</v>
      </c>
      <c r="L19" s="9" t="s">
        <v>32</v>
      </c>
      <c r="M19" s="16" t="s">
        <v>51</v>
      </c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3068</v>
      </c>
      <c r="L20" s="9" t="s">
        <v>78</v>
      </c>
      <c r="M20" s="16" t="s">
        <v>51</v>
      </c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>
        <v>3069</v>
      </c>
      <c r="L21" s="9" t="s">
        <v>98</v>
      </c>
      <c r="M21" s="16" t="s">
        <v>51</v>
      </c>
    </row>
    <row r="22" spans="2:18" ht="15.75">
      <c r="B22" s="28" t="s">
        <v>34</v>
      </c>
      <c r="C22" s="32">
        <f>C5</f>
        <v>348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3038</v>
      </c>
      <c r="F26" s="65" t="s">
        <v>99</v>
      </c>
      <c r="G26" s="48" t="s">
        <v>7</v>
      </c>
      <c r="H26" s="8"/>
      <c r="I26" s="8">
        <v>60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3040</v>
      </c>
      <c r="F27" s="25" t="s">
        <v>100</v>
      </c>
      <c r="G27" s="26" t="s">
        <v>6</v>
      </c>
      <c r="H27" s="8"/>
      <c r="I27" s="8">
        <v>490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7" zoomScale="80" zoomScaleNormal="80" workbookViewId="0">
      <selection activeCell="K19" sqref="K1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45182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2430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2560</v>
      </c>
      <c r="D6" s="2"/>
      <c r="E6" s="18">
        <v>3070</v>
      </c>
      <c r="F6" s="25" t="s">
        <v>101</v>
      </c>
      <c r="G6" s="26" t="s">
        <v>7</v>
      </c>
      <c r="H6" s="8">
        <v>2130</v>
      </c>
      <c r="I6" s="8">
        <v>1000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3070</v>
      </c>
      <c r="F7" s="25" t="s">
        <v>101</v>
      </c>
      <c r="G7" s="26" t="s">
        <v>9</v>
      </c>
      <c r="H7" s="8">
        <v>0</v>
      </c>
      <c r="I7" s="8">
        <v>1130</v>
      </c>
      <c r="J7" s="2"/>
      <c r="K7" s="25"/>
      <c r="L7" s="9"/>
      <c r="M7" s="16"/>
      <c r="R7" s="1">
        <f>IF(vend13[[#This Row],[Nº Venda]]&gt;1,1,0)</f>
        <v>1</v>
      </c>
    </row>
    <row r="8" spans="2:18" ht="15.75">
      <c r="B8" s="28" t="s">
        <v>24</v>
      </c>
      <c r="C8" s="29">
        <f>SUM(C6:C7)</f>
        <v>2560</v>
      </c>
      <c r="D8" s="2"/>
      <c r="E8" s="18">
        <v>3071</v>
      </c>
      <c r="F8" s="25" t="s">
        <v>102</v>
      </c>
      <c r="G8" s="26" t="s">
        <v>26</v>
      </c>
      <c r="H8" s="8">
        <v>0</v>
      </c>
      <c r="I8" s="8">
        <v>0</v>
      </c>
      <c r="J8" s="2"/>
      <c r="K8" s="25"/>
      <c r="L8" s="9"/>
      <c r="M8" s="16"/>
      <c r="R8" s="1">
        <f>IF(vend13[[#This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1330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1130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3066</v>
      </c>
      <c r="L15" s="9" t="s">
        <v>78</v>
      </c>
      <c r="M15" s="16" t="s">
        <v>51</v>
      </c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2560</v>
      </c>
      <c r="D16" s="2"/>
      <c r="E16" s="18"/>
      <c r="F16" s="25"/>
      <c r="G16" s="26"/>
      <c r="H16" s="8"/>
      <c r="I16" s="8"/>
      <c r="J16" s="2"/>
      <c r="K16" s="25">
        <v>3067</v>
      </c>
      <c r="L16" s="9" t="s">
        <v>78</v>
      </c>
      <c r="M16" s="16" t="s">
        <v>51</v>
      </c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2997</v>
      </c>
      <c r="L17" s="9" t="s">
        <v>78</v>
      </c>
      <c r="M17" s="16" t="s">
        <v>51</v>
      </c>
      <c r="R17" s="1">
        <f>IF(vend13[[#This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3025</v>
      </c>
      <c r="L18" s="9" t="s">
        <v>32</v>
      </c>
      <c r="M18" s="16" t="s">
        <v>51</v>
      </c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>
        <v>3039</v>
      </c>
      <c r="L19" s="9" t="s">
        <v>103</v>
      </c>
      <c r="M19" s="16" t="s">
        <v>51</v>
      </c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2430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3066</v>
      </c>
      <c r="F26" s="25" t="s">
        <v>96</v>
      </c>
      <c r="G26" s="26" t="s">
        <v>6</v>
      </c>
      <c r="H26" s="8">
        <v>100</v>
      </c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3067</v>
      </c>
      <c r="F27" s="25" t="s">
        <v>104</v>
      </c>
      <c r="G27" s="26" t="s">
        <v>7</v>
      </c>
      <c r="H27" s="8">
        <v>200</v>
      </c>
      <c r="I27" s="8">
        <v>200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3025</v>
      </c>
      <c r="F28" s="25" t="s">
        <v>105</v>
      </c>
      <c r="G28" s="26" t="s">
        <v>7</v>
      </c>
      <c r="H28" s="8"/>
      <c r="I28" s="8">
        <v>130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5" zoomScale="80" zoomScaleNormal="80" workbookViewId="0">
      <selection activeCell="F26" sqref="F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45183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50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250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24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146.5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3030</v>
      </c>
      <c r="L15" s="9" t="s">
        <v>78</v>
      </c>
      <c r="M15" s="16" t="s">
        <v>33</v>
      </c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346.5</v>
      </c>
      <c r="D16" s="2"/>
      <c r="E16" s="18"/>
      <c r="F16" s="25"/>
      <c r="G16" s="26"/>
      <c r="H16" s="8"/>
      <c r="I16" s="8"/>
      <c r="J16" s="2"/>
      <c r="K16" s="25">
        <v>3063</v>
      </c>
      <c r="L16" s="9" t="s">
        <v>32</v>
      </c>
      <c r="M16" s="16" t="s">
        <v>51</v>
      </c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1</v>
      </c>
      <c r="C19" s="31">
        <f>SUM(entr_carn14[Valor Total])</f>
        <v>199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199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3021</v>
      </c>
      <c r="F26" s="25" t="s">
        <v>106</v>
      </c>
      <c r="G26" s="26" t="s">
        <v>10</v>
      </c>
      <c r="H26" s="8"/>
      <c r="I26" s="8">
        <v>200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3063</v>
      </c>
      <c r="F27" s="25" t="s">
        <v>107</v>
      </c>
      <c r="G27" s="26" t="s">
        <v>6</v>
      </c>
      <c r="H27" s="8">
        <v>50</v>
      </c>
      <c r="I27" s="8">
        <v>50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2852</v>
      </c>
      <c r="F35" s="25" t="s">
        <v>108</v>
      </c>
      <c r="G35" s="26" t="s">
        <v>6</v>
      </c>
      <c r="H35" s="8">
        <v>96.5</v>
      </c>
      <c r="I35" s="8" t="s">
        <v>109</v>
      </c>
      <c r="K35" s="25">
        <v>3030</v>
      </c>
      <c r="L35" s="42">
        <v>3</v>
      </c>
      <c r="M35" s="16">
        <v>199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topLeftCell="A9" zoomScale="80" zoomScaleNormal="80" workbookViewId="0">
      <selection activeCell="E7" sqref="E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45184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570</v>
      </c>
      <c r="D6" s="2"/>
      <c r="E6" s="18">
        <v>3072</v>
      </c>
      <c r="F6" s="25" t="s">
        <v>110</v>
      </c>
      <c r="G6" s="48" t="s">
        <v>26</v>
      </c>
      <c r="H6" s="8">
        <v>0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24</v>
      </c>
      <c r="C8" s="29">
        <f>SUM(C6:C7)</f>
        <v>570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75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570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82</v>
      </c>
      <c r="D15" s="2"/>
      <c r="E15" s="18"/>
      <c r="F15" s="25"/>
      <c r="G15" s="26"/>
      <c r="H15" s="8"/>
      <c r="I15" s="8"/>
      <c r="J15" s="2"/>
      <c r="K15" s="25">
        <v>3019</v>
      </c>
      <c r="L15" s="9" t="s">
        <v>78</v>
      </c>
      <c r="M15" s="16" t="s">
        <v>51</v>
      </c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727</v>
      </c>
      <c r="D16" s="2"/>
      <c r="E16" s="18"/>
      <c r="F16" s="25"/>
      <c r="G16" s="26"/>
      <c r="H16" s="8"/>
      <c r="I16" s="8"/>
      <c r="J16" s="2"/>
      <c r="K16" s="25">
        <v>3050</v>
      </c>
      <c r="L16" s="9" t="s">
        <v>32</v>
      </c>
      <c r="M16" s="16" t="s">
        <v>51</v>
      </c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2956</v>
      </c>
      <c r="L17" s="9" t="s">
        <v>32</v>
      </c>
      <c r="M17" s="16" t="s">
        <v>51</v>
      </c>
      <c r="R17" s="1">
        <f>IF(vend15[[#This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3021</v>
      </c>
      <c r="L18" s="9" t="s">
        <v>32</v>
      </c>
      <c r="M18" s="16" t="s">
        <v>51</v>
      </c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>
        <v>3016</v>
      </c>
      <c r="L19" s="9" t="s">
        <v>32</v>
      </c>
      <c r="M19" s="16" t="s">
        <v>51</v>
      </c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3021</v>
      </c>
      <c r="F26" s="25" t="s">
        <v>106</v>
      </c>
      <c r="G26" s="48" t="s">
        <v>9</v>
      </c>
      <c r="H26" s="8"/>
      <c r="I26" s="8">
        <v>400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3016</v>
      </c>
      <c r="F27" s="25" t="s">
        <v>111</v>
      </c>
      <c r="G27" s="26" t="s">
        <v>9</v>
      </c>
      <c r="H27" s="8"/>
      <c r="I27" s="8">
        <v>170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2418</v>
      </c>
      <c r="F35" s="25" t="s">
        <v>112</v>
      </c>
      <c r="G35" s="26" t="s">
        <v>10</v>
      </c>
      <c r="H35" s="8">
        <v>82</v>
      </c>
      <c r="I35" s="8" t="s">
        <v>113</v>
      </c>
      <c r="K35" s="25"/>
      <c r="L35" s="42"/>
      <c r="M35" s="16"/>
    </row>
    <row r="36" spans="2:18" ht="15.75">
      <c r="E36" s="18">
        <v>2587</v>
      </c>
      <c r="F36" s="25" t="s">
        <v>114</v>
      </c>
      <c r="G36" s="26" t="s">
        <v>7</v>
      </c>
      <c r="H36" s="8">
        <v>75</v>
      </c>
      <c r="I36" s="8" t="s">
        <v>115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4" zoomScale="80" zoomScaleNormal="80" workbookViewId="0">
      <selection activeCell="E9" sqref="E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45185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5548.9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2319</v>
      </c>
      <c r="D6" s="2"/>
      <c r="E6" s="18">
        <v>3073</v>
      </c>
      <c r="F6" s="25" t="s">
        <v>116</v>
      </c>
      <c r="G6" s="48" t="s">
        <v>9</v>
      </c>
      <c r="H6" s="8">
        <v>490</v>
      </c>
      <c r="I6" s="8">
        <v>390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3073</v>
      </c>
      <c r="F7" s="25" t="s">
        <v>116</v>
      </c>
      <c r="G7" s="48" t="s">
        <v>10</v>
      </c>
      <c r="H7" s="8">
        <v>0</v>
      </c>
      <c r="I7" s="8">
        <v>100</v>
      </c>
      <c r="J7" s="2"/>
      <c r="K7" s="25"/>
      <c r="L7" s="9"/>
      <c r="M7" s="16"/>
      <c r="R7" s="1">
        <f>IF(vend16[[#This Row],[Nº Venda]]&gt;1,1,0)</f>
        <v>1</v>
      </c>
    </row>
    <row r="8" spans="2:18" ht="15.75">
      <c r="B8" s="28" t="s">
        <v>24</v>
      </c>
      <c r="C8" s="29">
        <f>SUM(C6:C7)</f>
        <v>2319</v>
      </c>
      <c r="D8" s="2"/>
      <c r="E8" s="18">
        <v>3074</v>
      </c>
      <c r="F8" s="25" t="s">
        <v>117</v>
      </c>
      <c r="G8" s="26" t="s">
        <v>118</v>
      </c>
      <c r="H8" s="8">
        <v>0</v>
      </c>
      <c r="I8" s="8">
        <v>0</v>
      </c>
      <c r="J8" s="2"/>
      <c r="K8" s="25"/>
      <c r="L8" s="9"/>
      <c r="M8" s="16"/>
      <c r="R8" s="1">
        <f>IF(vend16[[#This Row],[Nº Venda]]&gt;1,1,0)</f>
        <v>1</v>
      </c>
    </row>
    <row r="9" spans="2:18" ht="15.75">
      <c r="B9" s="2"/>
      <c r="C9" s="2"/>
      <c r="D9" s="2"/>
      <c r="E9" s="18">
        <v>3075</v>
      </c>
      <c r="F9" s="25" t="s">
        <v>119</v>
      </c>
      <c r="G9" s="26" t="s">
        <v>10</v>
      </c>
      <c r="H9" s="8">
        <v>999.9</v>
      </c>
      <c r="I9" s="8">
        <v>200</v>
      </c>
      <c r="J9" s="2"/>
      <c r="K9" s="25"/>
      <c r="L9" s="9"/>
      <c r="M9" s="16"/>
      <c r="R9" s="1">
        <f>IF(vend16[[#This Row],[Nº Venda]]&gt;1,1,0)</f>
        <v>1</v>
      </c>
    </row>
    <row r="10" spans="2:18" ht="15.75">
      <c r="B10" s="69" t="s">
        <v>5</v>
      </c>
      <c r="C10" s="69"/>
      <c r="D10" s="2"/>
      <c r="E10" s="18">
        <v>3076</v>
      </c>
      <c r="F10" s="25" t="s">
        <v>120</v>
      </c>
      <c r="G10" s="26" t="s">
        <v>6</v>
      </c>
      <c r="H10" s="8">
        <v>1980</v>
      </c>
      <c r="I10" s="8">
        <v>50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150</v>
      </c>
      <c r="D11" s="2"/>
      <c r="E11" s="18">
        <v>3076</v>
      </c>
      <c r="F11" s="25" t="s">
        <v>120</v>
      </c>
      <c r="G11" s="26" t="s">
        <v>7</v>
      </c>
      <c r="H11" s="8">
        <v>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>
      <c r="B12" s="30" t="s">
        <v>7</v>
      </c>
      <c r="C12" s="31">
        <f>(SUMIF($G$2:$G$31,B12,$I$2:$I$31))+(SUMIF($G$35:$G$41,B12,$H$35:$H$41))</f>
        <v>800</v>
      </c>
      <c r="D12" s="2"/>
      <c r="E12" s="18">
        <v>3077</v>
      </c>
      <c r="F12" s="25" t="s">
        <v>121</v>
      </c>
      <c r="G12" s="26" t="s">
        <v>7</v>
      </c>
      <c r="H12" s="8">
        <v>580</v>
      </c>
      <c r="I12" s="8">
        <v>290</v>
      </c>
      <c r="J12" s="2"/>
      <c r="R12" s="1">
        <f>IF(vend16[[#This Row],[Nº Venda]]&gt;1,1,0)</f>
        <v>1</v>
      </c>
    </row>
    <row r="13" spans="2:18" ht="15.75">
      <c r="B13" s="30" t="s">
        <v>8</v>
      </c>
      <c r="C13" s="31">
        <f>(SUMIF($G$2:$G$31,B13,$I$2:$I$31))+(SUMIF($G$35:$G$41,B13,$H$35:$H$41))</f>
        <v>0</v>
      </c>
      <c r="D13" s="2"/>
      <c r="E13" s="18">
        <v>3078</v>
      </c>
      <c r="F13" s="25" t="s">
        <v>122</v>
      </c>
      <c r="G13" s="26" t="s">
        <v>118</v>
      </c>
      <c r="H13" s="8">
        <v>0</v>
      </c>
      <c r="I13" s="8">
        <v>0</v>
      </c>
      <c r="J13" s="2"/>
      <c r="K13" s="71" t="s">
        <v>28</v>
      </c>
      <c r="L13" s="72"/>
      <c r="M13" s="73"/>
      <c r="R13" s="1">
        <f>IF(vend16[[#This Row],[Nº Venda]]&gt;1,1,0)</f>
        <v>1</v>
      </c>
    </row>
    <row r="14" spans="2:18" ht="15.75">
      <c r="B14" s="30" t="s">
        <v>9</v>
      </c>
      <c r="C14" s="31">
        <f>(SUMIF($G$2:$G$31,B14,$I$2:$I$31))+(SUMIF($G$35:$G$41,B14,$H$35:$H$41))</f>
        <v>390</v>
      </c>
      <c r="D14" s="2"/>
      <c r="E14" s="18">
        <v>3079</v>
      </c>
      <c r="F14" s="25" t="s">
        <v>123</v>
      </c>
      <c r="G14" s="26" t="s">
        <v>10</v>
      </c>
      <c r="H14" s="8">
        <v>679</v>
      </c>
      <c r="I14" s="8">
        <v>679</v>
      </c>
      <c r="J14" s="2"/>
      <c r="K14" s="14" t="s">
        <v>29</v>
      </c>
      <c r="L14" s="6" t="s">
        <v>30</v>
      </c>
      <c r="M14" s="15" t="s">
        <v>31</v>
      </c>
      <c r="R14" s="1">
        <f>IF(vend16[[#This Row],[Nº Venda]]&gt;1,1,0)</f>
        <v>1</v>
      </c>
    </row>
    <row r="15" spans="2:18" ht="15.75">
      <c r="B15" s="30" t="s">
        <v>10</v>
      </c>
      <c r="C15" s="31">
        <f>(SUMIF($G$2:$G$31,B15,$I$2:$I$31))+(SUMIF($G$35:$G$41,B15,$H$35:$H$41))</f>
        <v>979</v>
      </c>
      <c r="D15" s="2"/>
      <c r="E15" s="18">
        <v>3080</v>
      </c>
      <c r="F15" s="25" t="s">
        <v>124</v>
      </c>
      <c r="G15" s="26" t="s">
        <v>26</v>
      </c>
      <c r="H15" s="8">
        <v>1650</v>
      </c>
      <c r="I15" s="8">
        <v>0</v>
      </c>
      <c r="J15" s="2"/>
      <c r="K15" s="25">
        <v>3056</v>
      </c>
      <c r="L15" s="9" t="s">
        <v>32</v>
      </c>
      <c r="M15" s="16" t="s">
        <v>51</v>
      </c>
      <c r="R15" s="1">
        <f>IF(vend16[[#This Row],[Nº Venda]]&gt;1,1,0)</f>
        <v>1</v>
      </c>
    </row>
    <row r="16" spans="2:18" ht="15.75">
      <c r="B16" s="28" t="s">
        <v>11</v>
      </c>
      <c r="C16" s="32">
        <f>SUM(C11:C15)</f>
        <v>2319</v>
      </c>
      <c r="D16" s="2"/>
      <c r="E16" s="18">
        <v>3081</v>
      </c>
      <c r="F16" s="25" t="s">
        <v>125</v>
      </c>
      <c r="G16" s="26" t="s">
        <v>7</v>
      </c>
      <c r="H16" s="8">
        <v>820</v>
      </c>
      <c r="I16" s="8">
        <v>410</v>
      </c>
      <c r="J16" s="2"/>
      <c r="K16" s="25"/>
      <c r="L16" s="9"/>
      <c r="M16" s="16"/>
      <c r="R16" s="1">
        <f>IF(vend16[[#This Row],[Nº Venda]]&gt;1,1,0)</f>
        <v>1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5548.9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3056</v>
      </c>
      <c r="F26" s="25" t="s">
        <v>74</v>
      </c>
      <c r="G26" s="48" t="s">
        <v>6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11" zoomScale="80" zoomScaleNormal="80" workbookViewId="0">
      <selection activeCell="W20" sqref="W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45186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45187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1667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1048</v>
      </c>
      <c r="D6" s="2"/>
      <c r="E6" s="18">
        <v>3082</v>
      </c>
      <c r="F6" s="25" t="s">
        <v>126</v>
      </c>
      <c r="G6" s="26" t="s">
        <v>10</v>
      </c>
      <c r="H6" s="8">
        <v>719</v>
      </c>
      <c r="I6" s="8">
        <v>100</v>
      </c>
      <c r="J6" s="2"/>
      <c r="K6" s="25"/>
      <c r="L6" s="9"/>
      <c r="M6" s="16"/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3083</v>
      </c>
      <c r="F7" s="25" t="s">
        <v>127</v>
      </c>
      <c r="G7" s="26" t="s">
        <v>9</v>
      </c>
      <c r="H7" s="8">
        <v>898</v>
      </c>
      <c r="I7" s="8">
        <v>834</v>
      </c>
      <c r="J7" s="2"/>
      <c r="K7" s="25"/>
      <c r="L7" s="9"/>
      <c r="M7" s="16"/>
      <c r="R7" s="1">
        <f>IF(vend18[[#This Row],[Nº Venda]]&gt;1,1,0)</f>
        <v>1</v>
      </c>
    </row>
    <row r="8" spans="2:18" ht="15.75">
      <c r="B8" s="28" t="s">
        <v>24</v>
      </c>
      <c r="C8" s="29">
        <f>SUM(C6:C7)</f>
        <v>1048</v>
      </c>
      <c r="D8" s="2"/>
      <c r="E8" s="18">
        <v>3083</v>
      </c>
      <c r="F8" s="25" t="s">
        <v>127</v>
      </c>
      <c r="G8" s="26" t="s">
        <v>8</v>
      </c>
      <c r="H8" s="8">
        <v>0</v>
      </c>
      <c r="I8" s="8">
        <v>64</v>
      </c>
      <c r="J8" s="2"/>
      <c r="K8" s="25"/>
      <c r="L8" s="9"/>
      <c r="M8" s="16"/>
      <c r="R8" s="1">
        <f>IF(vend18[[#This Row],[Nº Venda]]&gt;1,1,0)</f>
        <v>1</v>
      </c>
    </row>
    <row r="9" spans="2:18" ht="15.75">
      <c r="B9" s="2"/>
      <c r="C9" s="2"/>
      <c r="D9" s="2"/>
      <c r="E9" s="18">
        <v>3084</v>
      </c>
      <c r="F9" s="25" t="s">
        <v>128</v>
      </c>
      <c r="G9" s="26" t="s">
        <v>7</v>
      </c>
      <c r="H9" s="8">
        <v>50</v>
      </c>
      <c r="I9" s="8">
        <v>50</v>
      </c>
      <c r="J9" s="2"/>
      <c r="K9" s="25"/>
      <c r="L9" s="9"/>
      <c r="M9" s="16"/>
      <c r="R9" s="1">
        <f>IF(vend18[[#This Row],[Nº Venda]]&gt;1,1,0)</f>
        <v>1</v>
      </c>
    </row>
    <row r="10" spans="2:18" ht="15.75">
      <c r="B10" s="69" t="s">
        <v>5</v>
      </c>
      <c r="C10" s="69"/>
      <c r="D10" s="2"/>
      <c r="E10" s="18">
        <v>3085</v>
      </c>
      <c r="F10" s="25" t="s">
        <v>129</v>
      </c>
      <c r="G10" s="26" t="s">
        <v>26</v>
      </c>
      <c r="H10" s="8">
        <v>1390</v>
      </c>
      <c r="I10" s="8">
        <v>0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64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834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3078</v>
      </c>
      <c r="L15" s="9" t="s">
        <v>118</v>
      </c>
      <c r="M15" s="16" t="s">
        <v>51</v>
      </c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1048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1667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K35" sqref="K35:M4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45188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2579.9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2579.9</v>
      </c>
      <c r="D6" s="2"/>
      <c r="E6" s="18">
        <v>3086</v>
      </c>
      <c r="F6" s="25" t="s">
        <v>130</v>
      </c>
      <c r="G6" s="26" t="s">
        <v>6</v>
      </c>
      <c r="H6" s="8">
        <v>300</v>
      </c>
      <c r="I6" s="8">
        <v>300</v>
      </c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3087</v>
      </c>
      <c r="F7" s="25" t="s">
        <v>131</v>
      </c>
      <c r="G7" s="26" t="s">
        <v>9</v>
      </c>
      <c r="H7" s="8">
        <v>299.89999999999998</v>
      </c>
      <c r="I7" s="8">
        <v>299.89999999999998</v>
      </c>
      <c r="J7" s="2"/>
      <c r="K7" s="25"/>
      <c r="L7" s="9"/>
      <c r="M7" s="16"/>
      <c r="R7" s="1">
        <f>IF(vend19[[#This Row],[Nº Venda]]&gt;1,1,0)</f>
        <v>1</v>
      </c>
    </row>
    <row r="8" spans="2:18" ht="15.75">
      <c r="B8" s="28" t="s">
        <v>24</v>
      </c>
      <c r="C8" s="29">
        <f>SUM(C6:C7)</f>
        <v>2579.9</v>
      </c>
      <c r="D8" s="2"/>
      <c r="E8" s="18">
        <v>3088</v>
      </c>
      <c r="F8" s="25" t="s">
        <v>131</v>
      </c>
      <c r="G8" s="26" t="s">
        <v>9</v>
      </c>
      <c r="H8" s="8">
        <v>50</v>
      </c>
      <c r="I8" s="8">
        <v>50</v>
      </c>
      <c r="J8" s="2"/>
      <c r="K8" s="25"/>
      <c r="L8" s="9"/>
      <c r="M8" s="16"/>
      <c r="R8" s="1">
        <f>IF(vend19[[#This Row],[Nº Venda]]&gt;1,1,0)</f>
        <v>1</v>
      </c>
    </row>
    <row r="9" spans="2:18" ht="15.75">
      <c r="B9" s="2"/>
      <c r="C9" s="2"/>
      <c r="D9" s="2"/>
      <c r="E9" s="18">
        <v>3089</v>
      </c>
      <c r="F9" s="25" t="s">
        <v>132</v>
      </c>
      <c r="G9" s="26" t="s">
        <v>9</v>
      </c>
      <c r="H9" s="8">
        <v>730</v>
      </c>
      <c r="I9" s="8">
        <v>730</v>
      </c>
      <c r="J9" s="2"/>
      <c r="K9" s="25"/>
      <c r="L9" s="9"/>
      <c r="M9" s="16"/>
      <c r="R9" s="1">
        <f>IF(vend19[[#This Row],[Nº Venda]]&gt;1,1,0)</f>
        <v>1</v>
      </c>
    </row>
    <row r="10" spans="2:18" ht="15.75">
      <c r="B10" s="69" t="s">
        <v>5</v>
      </c>
      <c r="C10" s="69"/>
      <c r="D10" s="2"/>
      <c r="E10" s="18">
        <v>3090</v>
      </c>
      <c r="F10" s="25" t="s">
        <v>133</v>
      </c>
      <c r="G10" s="26" t="s">
        <v>9</v>
      </c>
      <c r="H10" s="8">
        <v>1200</v>
      </c>
      <c r="I10" s="8">
        <v>1200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2279.9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3049</v>
      </c>
      <c r="L15" s="9" t="s">
        <v>78</v>
      </c>
      <c r="M15" s="16" t="s">
        <v>51</v>
      </c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2579.9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2579.9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B26" sqref="B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45189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938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1338</v>
      </c>
      <c r="D6" s="2"/>
      <c r="E6" s="18">
        <v>3091</v>
      </c>
      <c r="F6" s="25" t="s">
        <v>134</v>
      </c>
      <c r="G6" s="26" t="s">
        <v>118</v>
      </c>
      <c r="H6" s="8">
        <v>0</v>
      </c>
      <c r="I6" s="8">
        <v>0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3092</v>
      </c>
      <c r="F7" s="25" t="s">
        <v>135</v>
      </c>
      <c r="G7" s="26" t="s">
        <v>8</v>
      </c>
      <c r="H7" s="8">
        <v>50</v>
      </c>
      <c r="I7" s="8">
        <v>50</v>
      </c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24</v>
      </c>
      <c r="C8" s="29">
        <f>SUM(C6:C7)</f>
        <v>1338</v>
      </c>
      <c r="D8" s="2"/>
      <c r="E8" s="18">
        <v>3093</v>
      </c>
      <c r="F8" s="25" t="s">
        <v>136</v>
      </c>
      <c r="G8" s="26" t="s">
        <v>10</v>
      </c>
      <c r="H8" s="8">
        <v>888</v>
      </c>
      <c r="I8" s="8">
        <v>100</v>
      </c>
      <c r="J8" s="2"/>
      <c r="K8" s="25"/>
      <c r="L8" s="9"/>
      <c r="M8" s="16"/>
      <c r="R8" s="1">
        <f>IF(vend20[[#This Row],[Nº Venda]]&gt;1,1,0)</f>
        <v>1</v>
      </c>
    </row>
    <row r="9" spans="2:18" ht="15.75">
      <c r="B9" s="2"/>
      <c r="C9" s="2"/>
      <c r="D9" s="2"/>
      <c r="E9" s="18">
        <v>3093</v>
      </c>
      <c r="F9" s="25" t="s">
        <v>136</v>
      </c>
      <c r="G9" s="26" t="s">
        <v>9</v>
      </c>
      <c r="H9" s="8">
        <v>0</v>
      </c>
      <c r="I9" s="8">
        <v>788</v>
      </c>
      <c r="J9" s="2"/>
      <c r="K9" s="25"/>
      <c r="L9" s="9"/>
      <c r="M9" s="16"/>
      <c r="R9" s="1">
        <f>IF(vend20[[#This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1188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3020</v>
      </c>
      <c r="L15" s="9" t="s">
        <v>78</v>
      </c>
      <c r="M15" s="16" t="s">
        <v>51</v>
      </c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1338</v>
      </c>
      <c r="D16" s="2"/>
      <c r="E16" s="18"/>
      <c r="F16" s="25"/>
      <c r="G16" s="26"/>
      <c r="H16" s="8"/>
      <c r="I16" s="8"/>
      <c r="J16" s="2"/>
      <c r="K16" s="25">
        <v>3064</v>
      </c>
      <c r="L16" s="9" t="s">
        <v>32</v>
      </c>
      <c r="M16" s="16" t="s">
        <v>51</v>
      </c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938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3064</v>
      </c>
      <c r="F26" s="25" t="s">
        <v>137</v>
      </c>
      <c r="G26" s="26" t="s">
        <v>9</v>
      </c>
      <c r="H26" s="8"/>
      <c r="I26" s="8">
        <v>400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 t="s">
        <v>138</v>
      </c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 t="s">
        <v>139</v>
      </c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 t="s">
        <v>140</v>
      </c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 t="s">
        <v>140</v>
      </c>
      <c r="C32" s="2"/>
      <c r="E32" s="33"/>
    </row>
    <row r="33" spans="2:18" ht="15">
      <c r="B33" s="2" t="s">
        <v>140</v>
      </c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B34" s="1" t="s">
        <v>140</v>
      </c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B35" s="1" t="s">
        <v>140</v>
      </c>
      <c r="E35" s="18"/>
      <c r="F35" s="25"/>
      <c r="G35" s="26"/>
      <c r="H35" s="8"/>
      <c r="I35" s="8"/>
      <c r="K35" s="25"/>
      <c r="L35" s="42"/>
      <c r="M35" s="16"/>
    </row>
    <row r="36" spans="2:18" ht="15.75">
      <c r="B36" s="1" t="s">
        <v>140</v>
      </c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2"/>
  <sheetViews>
    <sheetView showGridLines="0" zoomScale="80" zoomScaleNormal="80" workbookViewId="0">
      <selection activeCell="I11" sqref="I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45190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SUMIF(I6:I32,"&gt;0",H6:H32)</f>
        <v>3187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SUM(I6:I42)</f>
        <v>2699</v>
      </c>
      <c r="D6" s="2"/>
      <c r="E6" s="18">
        <v>3094</v>
      </c>
      <c r="F6" s="25" t="s">
        <v>141</v>
      </c>
      <c r="G6" s="26" t="s">
        <v>8</v>
      </c>
      <c r="H6" s="8">
        <v>999</v>
      </c>
      <c r="I6" s="8">
        <v>300</v>
      </c>
      <c r="J6" s="2"/>
      <c r="K6" s="25"/>
      <c r="L6" s="9"/>
      <c r="M6" s="16"/>
      <c r="R6" s="1">
        <f>IF(vend21[[#This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3094</v>
      </c>
      <c r="F7" s="25" t="s">
        <v>141</v>
      </c>
      <c r="G7" s="26" t="s">
        <v>7</v>
      </c>
      <c r="H7" s="8">
        <v>0</v>
      </c>
      <c r="I7" s="8">
        <v>200</v>
      </c>
      <c r="J7" s="2"/>
      <c r="K7" s="25"/>
      <c r="L7" s="9"/>
      <c r="M7" s="16"/>
      <c r="R7" s="1">
        <f>IF(vend21[[#This Row],[Nº Venda]]&gt;1,1,0)</f>
        <v>1</v>
      </c>
    </row>
    <row r="8" spans="2:18" ht="15.75">
      <c r="B8" s="28" t="s">
        <v>24</v>
      </c>
      <c r="C8" s="29">
        <f>SUM(C6:C7)</f>
        <v>2699</v>
      </c>
      <c r="D8" s="2"/>
      <c r="E8" s="18">
        <v>3095</v>
      </c>
      <c r="F8" s="25" t="s">
        <v>142</v>
      </c>
      <c r="G8" s="26" t="s">
        <v>118</v>
      </c>
      <c r="H8" s="8">
        <v>0</v>
      </c>
      <c r="I8" s="8">
        <v>0</v>
      </c>
      <c r="J8" s="2"/>
      <c r="K8" s="25"/>
      <c r="L8" s="9"/>
      <c r="M8" s="16"/>
      <c r="R8" s="1">
        <f>IF(vend21[[#This Row],[Nº Venda]]&gt;1,1,0)</f>
        <v>1</v>
      </c>
    </row>
    <row r="9" spans="2:18" ht="15.75">
      <c r="B9" s="2"/>
      <c r="C9" s="2"/>
      <c r="D9" s="2"/>
      <c r="E9" s="18">
        <v>3096</v>
      </c>
      <c r="F9" s="68" t="s">
        <v>143</v>
      </c>
      <c r="G9" s="68" t="s">
        <v>118</v>
      </c>
      <c r="H9" s="49">
        <v>0</v>
      </c>
      <c r="I9" s="49">
        <v>0</v>
      </c>
      <c r="J9" s="2"/>
      <c r="K9" s="25"/>
      <c r="L9" s="9"/>
      <c r="M9" s="16"/>
      <c r="R9" s="1">
        <f>IF(vend21[[#This Row],[Nº Venda]]&gt;1,1,0)</f>
        <v>1</v>
      </c>
    </row>
    <row r="10" spans="2:18" ht="15.75">
      <c r="B10" s="69" t="s">
        <v>5</v>
      </c>
      <c r="C10" s="69"/>
      <c r="D10" s="2"/>
      <c r="E10" s="18">
        <v>3097</v>
      </c>
      <c r="F10" s="25" t="s">
        <v>144</v>
      </c>
      <c r="G10" s="26" t="s">
        <v>6</v>
      </c>
      <c r="H10" s="8">
        <v>399</v>
      </c>
      <c r="I10" s="8">
        <v>20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>
      <c r="B11" s="30" t="s">
        <v>6</v>
      </c>
      <c r="C11" s="31">
        <f>(SUMIF($G$2:$G$32,B11,$I$2:$I$32))+(SUMIF($G$36:$G$42,B11,$H$36:$H$42))</f>
        <v>250</v>
      </c>
      <c r="D11" s="2"/>
      <c r="E11" s="18">
        <v>3098</v>
      </c>
      <c r="F11" s="25" t="s">
        <v>145</v>
      </c>
      <c r="G11" s="26" t="s">
        <v>6</v>
      </c>
      <c r="H11" s="8">
        <v>690</v>
      </c>
      <c r="I11" s="8">
        <v>230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>
      <c r="B12" s="30" t="s">
        <v>7</v>
      </c>
      <c r="C12" s="31">
        <f>(SUMIF($G$2:$G$32,B12,$I$2:$I$32))+(SUMIF($G$36:$G$42,B12,$H$36:$H$42))</f>
        <v>200</v>
      </c>
      <c r="D12" s="2"/>
      <c r="E12" s="18">
        <v>3099</v>
      </c>
      <c r="F12" s="25" t="s">
        <v>146</v>
      </c>
      <c r="G12" s="26" t="s">
        <v>9</v>
      </c>
      <c r="H12" s="8">
        <v>1099</v>
      </c>
      <c r="I12" s="8">
        <v>1099</v>
      </c>
      <c r="J12" s="2"/>
      <c r="R12" s="1">
        <f>IF(vend21[[#This Row],[Nº Venda]]&gt;1,1,0)</f>
        <v>1</v>
      </c>
    </row>
    <row r="13" spans="2:18" ht="15.75">
      <c r="B13" s="30" t="s">
        <v>8</v>
      </c>
      <c r="C13" s="31">
        <f>(SUMIF($G$2:$G$32,B13,$I$2:$I$32))+(SUMIF($G$36:$G$42,B13,$H$36:$H$42))</f>
        <v>300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IF(vend21[[#This Row],[Nº Venda]]&gt;1,1,0)</f>
        <v>0</v>
      </c>
    </row>
    <row r="14" spans="2:18" ht="15.75">
      <c r="B14" s="30" t="s">
        <v>9</v>
      </c>
      <c r="C14" s="31">
        <f>(SUMIF($G$2:$G$32,B14,$I$2:$I$32))+(SUMIF($G$36:$G$42,B14,$H$36:$H$42))</f>
        <v>1949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IF(vend21[[#This Row],[Nº Venda]]&gt;1,1,0)</f>
        <v>0</v>
      </c>
    </row>
    <row r="15" spans="2:18" ht="15.7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>
        <v>3048</v>
      </c>
      <c r="L15" s="9" t="s">
        <v>78</v>
      </c>
      <c r="M15" s="16" t="s">
        <v>33</v>
      </c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2699</v>
      </c>
      <c r="D16" s="2"/>
      <c r="E16" s="18"/>
      <c r="F16" s="25"/>
      <c r="G16" s="26"/>
      <c r="H16" s="8"/>
      <c r="I16" s="8"/>
      <c r="J16" s="2"/>
      <c r="K16" s="25">
        <v>3054</v>
      </c>
      <c r="L16" s="9" t="s">
        <v>78</v>
      </c>
      <c r="M16" s="16" t="s">
        <v>51</v>
      </c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3032</v>
      </c>
      <c r="L17" s="9" t="s">
        <v>32</v>
      </c>
      <c r="M17" s="16" t="s">
        <v>51</v>
      </c>
      <c r="R17" s="1">
        <f>IF(vend21[[#This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3041</v>
      </c>
      <c r="L18" s="9" t="s">
        <v>78</v>
      </c>
      <c r="M18" s="16" t="s">
        <v>51</v>
      </c>
      <c r="R18" s="1">
        <f>IF(vend21[[#This Row],[Nº Venda]]&gt;1,1,0)</f>
        <v>0</v>
      </c>
    </row>
    <row r="19" spans="2:18" ht="15.75">
      <c r="B19" s="30">
        <f>COUNT(entr_carn21[OS])</f>
        <v>1</v>
      </c>
      <c r="C19" s="31">
        <f>SUM(entr_carn21[Valor Total])</f>
        <v>200</v>
      </c>
      <c r="D19" s="2"/>
      <c r="E19" s="18"/>
      <c r="F19" s="25"/>
      <c r="G19" s="26"/>
      <c r="H19" s="8"/>
      <c r="I19" s="8"/>
      <c r="J19" s="2"/>
      <c r="K19" s="25">
        <v>3053</v>
      </c>
      <c r="L19" s="9" t="s">
        <v>32</v>
      </c>
      <c r="M19" s="16" t="s">
        <v>33</v>
      </c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200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6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3187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.75">
      <c r="B23" s="2"/>
      <c r="C23" s="2"/>
      <c r="D23" s="2"/>
      <c r="E23" s="18"/>
      <c r="F23" s="25"/>
      <c r="G23" s="26"/>
      <c r="H23" s="8"/>
      <c r="I23" s="8"/>
      <c r="J23" s="2"/>
      <c r="K23" s="25"/>
      <c r="L23" s="9"/>
      <c r="M23" s="16"/>
    </row>
    <row r="24" spans="2:18" ht="15">
      <c r="B24" s="2"/>
      <c r="C24" s="2"/>
      <c r="D24" s="2"/>
      <c r="E24" s="33"/>
      <c r="H24" s="7"/>
      <c r="J24" s="2"/>
      <c r="K24" s="25"/>
      <c r="L24" s="9"/>
      <c r="M24" s="16"/>
    </row>
    <row r="25" spans="2:18" ht="15">
      <c r="B25" s="2"/>
      <c r="C25" s="2"/>
      <c r="D25" s="2"/>
      <c r="E25" s="70" t="s">
        <v>35</v>
      </c>
      <c r="F25" s="70"/>
      <c r="G25" s="70"/>
      <c r="H25" s="70"/>
      <c r="I25" s="70"/>
      <c r="J25" s="2"/>
      <c r="K25" s="25"/>
      <c r="L25" s="9"/>
      <c r="M25" s="16"/>
    </row>
    <row r="26" spans="2:18" ht="15">
      <c r="B26" s="2"/>
      <c r="C26" s="2"/>
      <c r="D26" s="2"/>
      <c r="E26" s="10" t="s">
        <v>15</v>
      </c>
      <c r="F26" s="10" t="s">
        <v>16</v>
      </c>
      <c r="G26" s="11" t="s">
        <v>17</v>
      </c>
      <c r="H26" s="12" t="s">
        <v>18</v>
      </c>
      <c r="I26" s="13" t="s">
        <v>2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3032</v>
      </c>
      <c r="F27" s="25" t="s">
        <v>147</v>
      </c>
      <c r="G27" s="26" t="s">
        <v>9</v>
      </c>
      <c r="H27" s="8"/>
      <c r="I27" s="8">
        <v>850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18"/>
      <c r="F31" s="39"/>
      <c r="G31" s="26"/>
      <c r="H31" s="8"/>
      <c r="I31" s="8"/>
      <c r="J31" s="2"/>
      <c r="K31" s="25"/>
      <c r="L31" s="9"/>
      <c r="M31" s="16"/>
    </row>
    <row r="32" spans="2:18" ht="15.75">
      <c r="B32" s="2"/>
      <c r="C32" s="2"/>
      <c r="E32" s="35"/>
      <c r="F32" s="36"/>
      <c r="G32" s="37"/>
      <c r="H32" s="17"/>
      <c r="I32" s="17"/>
    </row>
    <row r="33" spans="2:18" ht="15">
      <c r="B33" s="2"/>
      <c r="C33" s="2"/>
      <c r="E33" s="33"/>
      <c r="K33" s="71" t="s">
        <v>12</v>
      </c>
      <c r="L33" s="72"/>
      <c r="M33" s="73"/>
    </row>
    <row r="34" spans="2:18" ht="15">
      <c r="E34" s="70" t="s">
        <v>37</v>
      </c>
      <c r="F34" s="70"/>
      <c r="G34" s="70"/>
      <c r="H34" s="70"/>
      <c r="I34" s="70"/>
      <c r="K34" s="14" t="s">
        <v>29</v>
      </c>
      <c r="L34" s="6" t="s">
        <v>40</v>
      </c>
      <c r="M34" s="15" t="s">
        <v>41</v>
      </c>
    </row>
    <row r="35" spans="2:18" ht="15">
      <c r="E35" s="10" t="s">
        <v>29</v>
      </c>
      <c r="F35" s="10" t="s">
        <v>16</v>
      </c>
      <c r="G35" s="11" t="s">
        <v>17</v>
      </c>
      <c r="H35" s="12" t="s">
        <v>38</v>
      </c>
      <c r="I35" s="13" t="s">
        <v>39</v>
      </c>
      <c r="K35" s="25">
        <v>3053</v>
      </c>
      <c r="L35" s="42">
        <v>2</v>
      </c>
      <c r="M35" s="16">
        <v>200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25"/>
      <c r="G39" s="26"/>
      <c r="H39" s="8"/>
      <c r="I39" s="8"/>
      <c r="K39" s="25"/>
      <c r="L39" s="42"/>
      <c r="M39" s="16"/>
    </row>
    <row r="40" spans="2:18" ht="15.75">
      <c r="E40" s="18"/>
      <c r="F40" s="39"/>
      <c r="G40" s="26"/>
      <c r="H40" s="8"/>
      <c r="I40" s="8"/>
      <c r="K40" s="36"/>
      <c r="L40" s="43"/>
      <c r="M40" s="40"/>
      <c r="Q40" s="1" t="s">
        <v>47</v>
      </c>
      <c r="R40" s="1">
        <f>SUM(R6:R21)</f>
        <v>7</v>
      </c>
    </row>
    <row r="41" spans="2:18" ht="15.75">
      <c r="E41" s="35"/>
      <c r="F41" s="36"/>
      <c r="G41" s="37"/>
      <c r="H41" s="17"/>
      <c r="I41" s="8"/>
      <c r="K41" s="45"/>
      <c r="L41" s="42"/>
      <c r="M41" s="40"/>
    </row>
    <row r="42" spans="2:18" ht="15.75">
      <c r="E42" s="44"/>
      <c r="F42" s="39"/>
      <c r="G42" s="26"/>
      <c r="H42" s="8"/>
      <c r="I42" s="8"/>
    </row>
  </sheetData>
  <mergeCells count="9">
    <mergeCell ref="E25:I25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3E37F0E-21A1-4DE8-BED5-A17FD3FC6FE9}">
          <x14:formula1>
            <xm:f>base!$A$2:$A$6</xm:f>
          </x14:formula1>
          <xm:sqref>G27:G32 G36:G42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I36:I42</xm:sqref>
        </x14:dataValidation>
        <x14:dataValidation type="list" allowBlank="1" showInputMessage="1" showErrorMessage="1" xr:uid="{112AC7CD-ADD6-4750-8A3B-76F63CB62447}">
          <x14:formula1>
            <xm:f>base!$A$2:$A$9</xm:f>
          </x14:formula1>
          <xm:sqref>G6:G23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I9" sqref="I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45191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1625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2209.5</v>
      </c>
      <c r="D6" s="2"/>
      <c r="E6" s="18">
        <v>3100</v>
      </c>
      <c r="F6" s="25" t="s">
        <v>148</v>
      </c>
      <c r="G6" s="26" t="s">
        <v>8</v>
      </c>
      <c r="H6" s="8">
        <v>150</v>
      </c>
      <c r="I6" s="8">
        <v>150</v>
      </c>
      <c r="J6" s="2"/>
      <c r="K6" s="25"/>
      <c r="L6" s="9"/>
      <c r="M6" s="16"/>
      <c r="R6" s="1">
        <f>IF(vend22[[#This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3101</v>
      </c>
      <c r="F7" s="25" t="s">
        <v>149</v>
      </c>
      <c r="G7" s="26" t="s">
        <v>7</v>
      </c>
      <c r="H7" s="8">
        <v>264</v>
      </c>
      <c r="I7" s="8">
        <v>264</v>
      </c>
      <c r="J7" s="2"/>
      <c r="K7" s="25"/>
      <c r="L7" s="9"/>
      <c r="M7" s="16"/>
      <c r="R7" s="1">
        <f>IF(vend22[[#This Row],[Nº Venda]]&gt;1,1,0)</f>
        <v>1</v>
      </c>
    </row>
    <row r="8" spans="2:18" ht="15.75">
      <c r="B8" s="28" t="s">
        <v>24</v>
      </c>
      <c r="C8" s="29">
        <f>SUM(C6:C7)</f>
        <v>2209.5</v>
      </c>
      <c r="D8" s="2"/>
      <c r="E8" s="18">
        <v>3102</v>
      </c>
      <c r="F8" s="25" t="s">
        <v>149</v>
      </c>
      <c r="G8" s="26" t="s">
        <v>7</v>
      </c>
      <c r="H8" s="8">
        <v>299</v>
      </c>
      <c r="I8" s="8">
        <v>299</v>
      </c>
      <c r="J8" s="2"/>
      <c r="K8" s="25"/>
      <c r="L8" s="9"/>
      <c r="M8" s="16"/>
      <c r="R8" s="1">
        <f>IF(vend22[[#This Row],[Nº Venda]]&gt;1,1,0)</f>
        <v>1</v>
      </c>
    </row>
    <row r="9" spans="2:18" ht="15.75">
      <c r="B9" s="2"/>
      <c r="C9" s="2"/>
      <c r="D9" s="2"/>
      <c r="E9" s="18">
        <v>3103</v>
      </c>
      <c r="F9" s="25" t="s">
        <v>150</v>
      </c>
      <c r="G9" s="26" t="s">
        <v>8</v>
      </c>
      <c r="H9" s="8">
        <v>513</v>
      </c>
      <c r="I9" s="8">
        <v>256.5</v>
      </c>
      <c r="J9" s="2"/>
      <c r="K9" s="25"/>
      <c r="L9" s="9"/>
      <c r="M9" s="16"/>
      <c r="R9" s="1">
        <f>IF(vend22[[#This Row],[Nº Venda]]&gt;1,1,0)</f>
        <v>1</v>
      </c>
    </row>
    <row r="10" spans="2:18" ht="15.75">
      <c r="B10" s="69" t="s">
        <v>5</v>
      </c>
      <c r="C10" s="69"/>
      <c r="D10" s="2"/>
      <c r="E10" s="18">
        <v>3104</v>
      </c>
      <c r="F10" s="25" t="s">
        <v>151</v>
      </c>
      <c r="G10" s="26" t="s">
        <v>10</v>
      </c>
      <c r="H10" s="8">
        <v>399</v>
      </c>
      <c r="I10" s="8">
        <v>150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1528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406.5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232</v>
      </c>
      <c r="D15" s="2"/>
      <c r="E15" s="18"/>
      <c r="F15" s="25"/>
      <c r="G15" s="26"/>
      <c r="H15" s="8"/>
      <c r="I15" s="8"/>
      <c r="J15" s="2"/>
      <c r="K15" s="25">
        <v>3043</v>
      </c>
      <c r="L15" s="9" t="s">
        <v>78</v>
      </c>
      <c r="M15" s="16" t="s">
        <v>51</v>
      </c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2366.5</v>
      </c>
      <c r="D16" s="2"/>
      <c r="E16" s="18"/>
      <c r="F16" s="25"/>
      <c r="G16" s="26"/>
      <c r="H16" s="8"/>
      <c r="I16" s="8"/>
      <c r="J16" s="2"/>
      <c r="K16" s="25">
        <v>3044</v>
      </c>
      <c r="L16" s="9" t="s">
        <v>78</v>
      </c>
      <c r="M16" s="16" t="s">
        <v>51</v>
      </c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3102</v>
      </c>
      <c r="L17" s="9" t="s">
        <v>98</v>
      </c>
      <c r="M17" s="16" t="s">
        <v>51</v>
      </c>
      <c r="R17" s="1">
        <f>IF(vend22[[#This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1625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3043</v>
      </c>
      <c r="F26" s="25" t="s">
        <v>152</v>
      </c>
      <c r="G26" s="26" t="s">
        <v>7</v>
      </c>
      <c r="H26" s="8"/>
      <c r="I26" s="8">
        <v>790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3076</v>
      </c>
      <c r="F27" s="25" t="s">
        <v>153</v>
      </c>
      <c r="G27" s="26" t="s">
        <v>7</v>
      </c>
      <c r="H27" s="8"/>
      <c r="I27" s="8">
        <v>100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3076</v>
      </c>
      <c r="F28" s="25" t="s">
        <v>153</v>
      </c>
      <c r="G28" s="26" t="s">
        <v>6</v>
      </c>
      <c r="H28" s="8"/>
      <c r="I28" s="8">
        <v>200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2716</v>
      </c>
      <c r="F35" s="25" t="s">
        <v>154</v>
      </c>
      <c r="G35" s="26" t="s">
        <v>7</v>
      </c>
      <c r="H35" s="8">
        <v>75</v>
      </c>
      <c r="I35" s="8" t="s">
        <v>155</v>
      </c>
      <c r="K35" s="25"/>
      <c r="L35" s="42"/>
      <c r="M35" s="16"/>
    </row>
    <row r="36" spans="2:18" ht="15.75">
      <c r="E36" s="18">
        <v>2637</v>
      </c>
      <c r="F36" s="25" t="s">
        <v>156</v>
      </c>
      <c r="G36" s="26" t="s">
        <v>10</v>
      </c>
      <c r="H36" s="8">
        <v>82</v>
      </c>
      <c r="I36" s="8" t="s">
        <v>157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45192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3107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1170</v>
      </c>
      <c r="D6" s="2"/>
      <c r="E6" s="18">
        <v>3107</v>
      </c>
      <c r="F6" s="25" t="s">
        <v>158</v>
      </c>
      <c r="G6" s="26" t="s">
        <v>26</v>
      </c>
      <c r="H6" s="8">
        <v>499.9</v>
      </c>
      <c r="I6" s="8">
        <v>0</v>
      </c>
      <c r="J6" s="2"/>
      <c r="K6" s="25"/>
      <c r="L6" s="9"/>
      <c r="M6" s="16"/>
      <c r="R6" s="1">
        <f>IF(vend23[[#This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3108</v>
      </c>
      <c r="F7" s="25" t="s">
        <v>159</v>
      </c>
      <c r="G7" s="26" t="s">
        <v>8</v>
      </c>
      <c r="H7" s="8">
        <v>838</v>
      </c>
      <c r="I7" s="8">
        <v>200</v>
      </c>
      <c r="J7" s="2"/>
      <c r="K7" s="25"/>
      <c r="L7" s="9"/>
      <c r="M7" s="16"/>
      <c r="R7" s="1">
        <f>IF(vend23[[#This Row],[Nº Venda]]&gt;1,1,0)</f>
        <v>1</v>
      </c>
    </row>
    <row r="8" spans="2:18" ht="15.75">
      <c r="B8" s="28" t="s">
        <v>24</v>
      </c>
      <c r="C8" s="29">
        <f>SUM(C6:C7)</f>
        <v>1170</v>
      </c>
      <c r="D8" s="2"/>
      <c r="E8" s="18">
        <v>3109</v>
      </c>
      <c r="F8" s="25" t="s">
        <v>160</v>
      </c>
      <c r="G8" s="26" t="s">
        <v>6</v>
      </c>
      <c r="H8" s="8">
        <v>570</v>
      </c>
      <c r="I8" s="8">
        <v>570</v>
      </c>
      <c r="J8" s="2"/>
      <c r="K8" s="25"/>
      <c r="L8" s="9"/>
      <c r="M8" s="16"/>
      <c r="R8" s="1">
        <f>IF(vend23[[#This Row],[Nº Venda]]&gt;1,1,0)</f>
        <v>1</v>
      </c>
    </row>
    <row r="9" spans="2:18" ht="15.75">
      <c r="B9" s="2"/>
      <c r="C9" s="2"/>
      <c r="D9" s="2"/>
      <c r="E9" s="18">
        <v>3110</v>
      </c>
      <c r="F9" s="25" t="s">
        <v>161</v>
      </c>
      <c r="G9" s="26" t="s">
        <v>7</v>
      </c>
      <c r="H9" s="8">
        <v>1699</v>
      </c>
      <c r="I9" s="8">
        <v>400</v>
      </c>
      <c r="J9" s="2"/>
      <c r="K9" s="25"/>
      <c r="L9" s="9"/>
      <c r="M9" s="16"/>
      <c r="R9" s="1">
        <f>IF(vend23[[#This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1170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3107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 t="s">
        <v>140</v>
      </c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45193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B26" sqref="B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45194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3018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1800</v>
      </c>
      <c r="D6" s="2"/>
      <c r="E6" s="18">
        <v>3111</v>
      </c>
      <c r="F6" s="25" t="s">
        <v>162</v>
      </c>
      <c r="G6" s="26" t="s">
        <v>7</v>
      </c>
      <c r="H6" s="8">
        <v>179</v>
      </c>
      <c r="I6" s="8">
        <v>25</v>
      </c>
      <c r="J6" s="2"/>
      <c r="K6" s="25"/>
      <c r="L6" s="9"/>
      <c r="M6" s="16"/>
      <c r="R6" s="1">
        <f>IF(vend25[[#This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3112</v>
      </c>
      <c r="F7" s="25" t="s">
        <v>163</v>
      </c>
      <c r="G7" s="26" t="s">
        <v>7</v>
      </c>
      <c r="H7" s="8">
        <v>499</v>
      </c>
      <c r="I7" s="8">
        <v>25</v>
      </c>
      <c r="J7" s="2"/>
      <c r="K7" s="25"/>
      <c r="L7" s="9"/>
      <c r="M7" s="16"/>
      <c r="R7" s="1">
        <f>IF(vend25[[#This Row],[Nº Venda]]&gt;1,1,0)</f>
        <v>1</v>
      </c>
    </row>
    <row r="8" spans="2:18" ht="15.75">
      <c r="B8" s="28" t="s">
        <v>24</v>
      </c>
      <c r="C8" s="29">
        <f>SUM(C6:C7)</f>
        <v>1800</v>
      </c>
      <c r="D8" s="2"/>
      <c r="E8" s="18">
        <v>3113</v>
      </c>
      <c r="F8" s="25" t="s">
        <v>164</v>
      </c>
      <c r="G8" s="26" t="s">
        <v>6</v>
      </c>
      <c r="H8" s="8">
        <v>690</v>
      </c>
      <c r="I8" s="8">
        <v>100</v>
      </c>
      <c r="J8" s="2"/>
      <c r="K8" s="25"/>
      <c r="L8" s="9"/>
      <c r="M8" s="16"/>
      <c r="R8" s="1">
        <f>IF(vend25[[#This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IF(vend25[[#This Row],[Nº Venda]]&gt;1,1,0)</f>
        <v>0</v>
      </c>
    </row>
    <row r="14" spans="2:18" ht="15.75">
      <c r="B14" s="30" t="s">
        <v>9</v>
      </c>
      <c r="C14" s="31">
        <f t="shared" si="0"/>
        <v>1650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3092</v>
      </c>
      <c r="L15" s="9" t="s">
        <v>165</v>
      </c>
      <c r="M15" s="16" t="s">
        <v>51</v>
      </c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1800</v>
      </c>
      <c r="D16" s="2"/>
      <c r="E16" s="18"/>
      <c r="F16" s="25"/>
      <c r="G16" s="26"/>
      <c r="H16" s="8"/>
      <c r="I16" s="8"/>
      <c r="J16" s="2"/>
      <c r="K16" s="25">
        <v>3073</v>
      </c>
      <c r="L16" s="9" t="s">
        <v>165</v>
      </c>
      <c r="M16" s="16" t="s">
        <v>51</v>
      </c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3084</v>
      </c>
      <c r="L17" s="9" t="s">
        <v>165</v>
      </c>
      <c r="M17" s="16" t="s">
        <v>51</v>
      </c>
      <c r="R17" s="1">
        <f>IF(vend25[[#This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3018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3080</v>
      </c>
      <c r="F26" s="25" t="s">
        <v>124</v>
      </c>
      <c r="G26" s="26" t="s">
        <v>9</v>
      </c>
      <c r="H26" s="8">
        <v>1650</v>
      </c>
      <c r="I26" s="8">
        <v>1650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B7" zoomScale="70" zoomScaleNormal="70" workbookViewId="0">
      <selection activeCell="H10" sqref="H1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45195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200</v>
      </c>
      <c r="D6" s="2"/>
      <c r="E6" s="18">
        <v>3114</v>
      </c>
      <c r="F6" s="25" t="s">
        <v>166</v>
      </c>
      <c r="G6" s="26" t="s">
        <v>26</v>
      </c>
      <c r="H6" s="8">
        <v>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24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3091</v>
      </c>
      <c r="L15" s="9" t="s">
        <v>118</v>
      </c>
      <c r="M15" s="16" t="s">
        <v>51</v>
      </c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>
        <v>2892</v>
      </c>
      <c r="L16" s="9" t="s">
        <v>32</v>
      </c>
      <c r="M16" s="16" t="s">
        <v>33</v>
      </c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1</v>
      </c>
      <c r="C19" s="31">
        <f>SUM(entr_carn26[Valor Total])</f>
        <v>489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489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2892</v>
      </c>
      <c r="F26" s="25" t="s">
        <v>167</v>
      </c>
      <c r="G26" s="26" t="s">
        <v>8</v>
      </c>
      <c r="H26" s="8"/>
      <c r="I26" s="8">
        <v>200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2314</v>
      </c>
      <c r="F35" s="25" t="s">
        <v>168</v>
      </c>
      <c r="G35" s="26" t="s">
        <v>10</v>
      </c>
      <c r="H35" s="8">
        <v>140</v>
      </c>
      <c r="I35" s="8" t="s">
        <v>169</v>
      </c>
      <c r="K35" s="25">
        <v>2892</v>
      </c>
      <c r="L35" s="42">
        <v>5</v>
      </c>
      <c r="M35" s="16">
        <v>489</v>
      </c>
    </row>
    <row r="36" spans="2:18" ht="15.75">
      <c r="E36" s="18">
        <v>2703</v>
      </c>
      <c r="F36" s="25" t="s">
        <v>170</v>
      </c>
      <c r="G36" s="26" t="s">
        <v>6</v>
      </c>
      <c r="H36" s="8">
        <v>60</v>
      </c>
      <c r="I36" s="8" t="s">
        <v>87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I27" sqref="I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45196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1789.9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2408.9</v>
      </c>
      <c r="D6" s="2"/>
      <c r="E6" s="18">
        <v>3115</v>
      </c>
      <c r="F6" s="25" t="s">
        <v>171</v>
      </c>
      <c r="G6" s="26" t="s">
        <v>9</v>
      </c>
      <c r="H6" s="8">
        <v>1290</v>
      </c>
      <c r="I6" s="8">
        <v>700</v>
      </c>
      <c r="J6" s="2"/>
      <c r="K6" s="25"/>
      <c r="L6" s="9"/>
      <c r="M6" s="16"/>
      <c r="R6" s="1">
        <f>IF(vend27[[#This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3115</v>
      </c>
      <c r="F7" s="25" t="s">
        <v>171</v>
      </c>
      <c r="G7" s="26" t="s">
        <v>7</v>
      </c>
      <c r="H7" s="8">
        <v>0</v>
      </c>
      <c r="I7" s="8">
        <v>290</v>
      </c>
      <c r="J7" s="2"/>
      <c r="K7" s="25"/>
      <c r="L7" s="9"/>
      <c r="M7" s="16"/>
      <c r="R7" s="1">
        <f>IF(vend27[[#This Row],[Nº Venda]]&gt;1,1,0)</f>
        <v>1</v>
      </c>
    </row>
    <row r="8" spans="2:18" ht="15.75">
      <c r="B8" s="28" t="s">
        <v>24</v>
      </c>
      <c r="C8" s="29">
        <f>SUM(C6:C7)</f>
        <v>2408.9</v>
      </c>
      <c r="D8" s="2"/>
      <c r="E8" s="18">
        <v>3115</v>
      </c>
      <c r="F8" s="25" t="s">
        <v>171</v>
      </c>
      <c r="G8" s="26" t="s">
        <v>7</v>
      </c>
      <c r="H8" s="8">
        <v>0</v>
      </c>
      <c r="I8" s="8">
        <v>200</v>
      </c>
      <c r="J8" s="2"/>
      <c r="K8" s="25"/>
      <c r="L8" s="9"/>
      <c r="M8" s="16"/>
      <c r="R8" s="1">
        <f>IF(vend27[[#This Row],[Nº Venda]]&gt;1,1,0)</f>
        <v>1</v>
      </c>
    </row>
    <row r="9" spans="2:18" ht="15.75">
      <c r="B9" s="2"/>
      <c r="C9" s="2"/>
      <c r="D9" s="2"/>
      <c r="E9" s="18">
        <v>3115</v>
      </c>
      <c r="F9" s="25" t="s">
        <v>171</v>
      </c>
      <c r="G9" s="26" t="s">
        <v>6</v>
      </c>
      <c r="H9" s="8">
        <v>0</v>
      </c>
      <c r="I9" s="8">
        <v>100</v>
      </c>
      <c r="J9" s="2"/>
      <c r="K9" s="25"/>
      <c r="L9" s="9"/>
      <c r="M9" s="16"/>
      <c r="R9" s="1">
        <f>IF(vend27[[#This Row],[Nº Venda]]&gt;1,1,0)</f>
        <v>1</v>
      </c>
    </row>
    <row r="10" spans="2:18" ht="15.75">
      <c r="B10" s="69" t="s">
        <v>5</v>
      </c>
      <c r="C10" s="69"/>
      <c r="D10" s="2"/>
      <c r="E10" s="18">
        <v>3116</v>
      </c>
      <c r="F10" s="25" t="s">
        <v>172</v>
      </c>
      <c r="G10" s="26" t="s">
        <v>9</v>
      </c>
      <c r="H10" s="8">
        <v>499.9</v>
      </c>
      <c r="I10" s="8">
        <v>499.9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200</v>
      </c>
      <c r="D11" s="2"/>
      <c r="E11" s="18">
        <v>3117</v>
      </c>
      <c r="F11" s="25" t="s">
        <v>173</v>
      </c>
      <c r="G11" s="26" t="s">
        <v>118</v>
      </c>
      <c r="H11" s="8" t="s">
        <v>26</v>
      </c>
      <c r="I11" s="8" t="s">
        <v>26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490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1199.9000000000001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869</v>
      </c>
      <c r="D15" s="2"/>
      <c r="E15" s="18"/>
      <c r="F15" s="25"/>
      <c r="G15" s="26"/>
      <c r="H15" s="8"/>
      <c r="I15" s="8"/>
      <c r="J15" s="2"/>
      <c r="K15" s="25">
        <v>3082</v>
      </c>
      <c r="L15" s="9" t="s">
        <v>165</v>
      </c>
      <c r="M15" s="16" t="s">
        <v>51</v>
      </c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2758.9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1789.9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3082</v>
      </c>
      <c r="F26" s="25" t="s">
        <v>174</v>
      </c>
      <c r="G26" s="26" t="s">
        <v>10</v>
      </c>
      <c r="H26" s="8"/>
      <c r="I26" s="8">
        <v>619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2572</v>
      </c>
      <c r="F35" s="25" t="s">
        <v>175</v>
      </c>
      <c r="G35" s="26" t="s">
        <v>6</v>
      </c>
      <c r="H35" s="8">
        <v>100</v>
      </c>
      <c r="I35" s="8" t="s">
        <v>46</v>
      </c>
      <c r="K35" s="25"/>
      <c r="L35" s="42"/>
      <c r="M35" s="16"/>
    </row>
    <row r="36" spans="2:18" ht="15.75">
      <c r="E36" s="18">
        <v>2542</v>
      </c>
      <c r="F36" s="25" t="s">
        <v>176</v>
      </c>
      <c r="G36" s="26" t="s">
        <v>10</v>
      </c>
      <c r="H36" s="8">
        <v>125</v>
      </c>
      <c r="I36" s="8" t="s">
        <v>177</v>
      </c>
      <c r="K36" s="25"/>
      <c r="L36" s="42"/>
      <c r="M36" s="16"/>
    </row>
    <row r="37" spans="2:18" ht="15.75">
      <c r="E37" s="18">
        <v>2542</v>
      </c>
      <c r="F37" s="25" t="s">
        <v>176</v>
      </c>
      <c r="G37" s="26" t="s">
        <v>10</v>
      </c>
      <c r="H37" s="8">
        <v>125</v>
      </c>
      <c r="I37" s="8" t="s">
        <v>115</v>
      </c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6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A17" zoomScale="80" zoomScaleNormal="80" workbookViewId="0">
      <selection activeCell="H22" sqref="H2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45197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549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2354</v>
      </c>
      <c r="D6" s="2"/>
      <c r="E6" s="18">
        <v>3118</v>
      </c>
      <c r="F6" s="25" t="s">
        <v>178</v>
      </c>
      <c r="G6" s="26" t="s">
        <v>7</v>
      </c>
      <c r="H6" s="8">
        <v>549</v>
      </c>
      <c r="I6" s="8">
        <v>60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>
      <c r="B8" s="28" t="s">
        <v>24</v>
      </c>
      <c r="C8" s="29">
        <f>SUM(C6:C7)</f>
        <v>2354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60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394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1900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3077</v>
      </c>
      <c r="L15" s="9" t="s">
        <v>165</v>
      </c>
      <c r="M15" s="16" t="s">
        <v>33</v>
      </c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2354</v>
      </c>
      <c r="D16" s="2"/>
      <c r="E16" s="18"/>
      <c r="F16" s="25"/>
      <c r="G16" s="26"/>
      <c r="H16" s="8"/>
      <c r="I16" s="8"/>
      <c r="J16" s="2"/>
      <c r="K16" s="25">
        <v>3061</v>
      </c>
      <c r="L16" s="9" t="s">
        <v>32</v>
      </c>
      <c r="M16" s="16" t="s">
        <v>51</v>
      </c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3083</v>
      </c>
      <c r="L17" s="9" t="s">
        <v>165</v>
      </c>
      <c r="M17" s="16" t="s">
        <v>51</v>
      </c>
      <c r="R17" s="1">
        <f>IF(vend28[[#This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1</v>
      </c>
      <c r="C19" s="31">
        <f>SUM(entr_carn28[Valor Total])</f>
        <v>290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290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549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3061</v>
      </c>
      <c r="F26" s="25" t="s">
        <v>179</v>
      </c>
      <c r="G26" s="26" t="s">
        <v>9</v>
      </c>
      <c r="H26" s="8"/>
      <c r="I26" s="8">
        <v>1900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3076</v>
      </c>
      <c r="F27" s="25" t="s">
        <v>180</v>
      </c>
      <c r="G27" s="26" t="s">
        <v>8</v>
      </c>
      <c r="H27" s="8"/>
      <c r="I27" s="8">
        <v>394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>
        <v>3077</v>
      </c>
      <c r="L35" s="42">
        <v>3</v>
      </c>
      <c r="M35" s="16">
        <v>290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A7" zoomScale="80" zoomScaleNormal="80" workbookViewId="0">
      <selection activeCell="L38" sqref="L3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45198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40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20</v>
      </c>
      <c r="D6" s="2"/>
      <c r="E6" s="18">
        <v>3119</v>
      </c>
      <c r="F6" s="25" t="s">
        <v>181</v>
      </c>
      <c r="G6" s="26" t="s">
        <v>10</v>
      </c>
      <c r="H6" s="8">
        <v>40</v>
      </c>
      <c r="I6" s="8">
        <v>20</v>
      </c>
      <c r="J6" s="2"/>
      <c r="K6" s="25"/>
      <c r="L6" s="9"/>
      <c r="M6" s="16"/>
      <c r="R6" s="1">
        <f>IF(vend29[[#This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>
      <c r="B8" s="28" t="s">
        <v>24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270</v>
      </c>
      <c r="D15" s="2"/>
      <c r="E15" s="18"/>
      <c r="F15" s="25"/>
      <c r="G15" s="26"/>
      <c r="H15" s="8"/>
      <c r="I15" s="8"/>
      <c r="J15" s="2"/>
      <c r="K15" s="25">
        <v>3071</v>
      </c>
      <c r="L15" s="9" t="s">
        <v>98</v>
      </c>
      <c r="M15" s="16" t="s">
        <v>51</v>
      </c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270</v>
      </c>
      <c r="D16" s="2"/>
      <c r="E16" s="18"/>
      <c r="F16" s="25"/>
      <c r="G16" s="26"/>
      <c r="H16" s="8"/>
      <c r="I16" s="8"/>
      <c r="J16" s="2"/>
      <c r="K16" s="25">
        <v>3070</v>
      </c>
      <c r="L16" s="9" t="s">
        <v>98</v>
      </c>
      <c r="M16" s="16" t="s">
        <v>51</v>
      </c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3089</v>
      </c>
      <c r="L17" s="9" t="s">
        <v>98</v>
      </c>
      <c r="M17" s="16" t="s">
        <v>51</v>
      </c>
      <c r="R17" s="1">
        <f>IF(vend29[[#This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>
        <v>2618</v>
      </c>
      <c r="F35" s="25" t="s">
        <v>182</v>
      </c>
      <c r="G35" s="26" t="s">
        <v>10</v>
      </c>
      <c r="H35" s="8">
        <v>250</v>
      </c>
      <c r="I35" s="8" t="s">
        <v>183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78" zoomScaleNormal="78" workbookViewId="0">
      <selection activeCell="W13" sqref="W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45199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2937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2407.25</v>
      </c>
      <c r="D6" s="2"/>
      <c r="E6" s="18">
        <v>3120</v>
      </c>
      <c r="F6" s="25" t="s">
        <v>184</v>
      </c>
      <c r="G6" s="26" t="s">
        <v>9</v>
      </c>
      <c r="H6" s="8">
        <v>1190</v>
      </c>
      <c r="I6" s="8">
        <v>1190</v>
      </c>
      <c r="J6" s="2"/>
      <c r="K6" s="25"/>
      <c r="L6" s="9"/>
      <c r="M6" s="16"/>
      <c r="R6" s="1">
        <f>IF(vend30[[#This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3121</v>
      </c>
      <c r="F7" s="25" t="s">
        <v>185</v>
      </c>
      <c r="G7" s="26" t="s">
        <v>10</v>
      </c>
      <c r="H7" s="8">
        <v>599</v>
      </c>
      <c r="I7" s="8">
        <v>100</v>
      </c>
      <c r="J7" s="2"/>
      <c r="K7" s="25"/>
      <c r="L7" s="9"/>
      <c r="M7" s="16"/>
      <c r="R7" s="1">
        <f>IF(vend30[[#This Row],[Nº Venda]]&gt;1,1,0)</f>
        <v>1</v>
      </c>
    </row>
    <row r="8" spans="2:18" ht="15.75">
      <c r="B8" s="28" t="s">
        <v>24</v>
      </c>
      <c r="C8" s="29">
        <f>SUM(C6:C7)</f>
        <v>2407.25</v>
      </c>
      <c r="D8" s="2"/>
      <c r="E8" s="18">
        <v>3122</v>
      </c>
      <c r="F8" s="25" t="s">
        <v>186</v>
      </c>
      <c r="G8" s="26" t="s">
        <v>10</v>
      </c>
      <c r="H8" s="8">
        <v>899</v>
      </c>
      <c r="I8" s="8">
        <v>100</v>
      </c>
      <c r="J8" s="2"/>
      <c r="K8" s="25"/>
      <c r="L8" s="9"/>
      <c r="M8" s="16"/>
      <c r="R8" s="1">
        <f>IF(vend30[[#This Row],[Nº Venda]]&gt;1,1,0)</f>
        <v>1</v>
      </c>
    </row>
    <row r="9" spans="2:18" ht="15.75">
      <c r="B9" s="2"/>
      <c r="C9" s="2"/>
      <c r="D9" s="2"/>
      <c r="E9" s="18">
        <v>3123</v>
      </c>
      <c r="F9" s="25" t="s">
        <v>187</v>
      </c>
      <c r="G9" s="26" t="s">
        <v>9</v>
      </c>
      <c r="H9" s="8">
        <v>249</v>
      </c>
      <c r="I9" s="8">
        <v>249</v>
      </c>
      <c r="J9" s="2"/>
      <c r="K9" s="25"/>
      <c r="L9" s="9"/>
      <c r="M9" s="16"/>
      <c r="R9" s="1">
        <f>IF(vend30[[#This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768.25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1439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3090</v>
      </c>
      <c r="L15" s="9" t="s">
        <v>98</v>
      </c>
      <c r="M15" s="16" t="s">
        <v>51</v>
      </c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2407.25</v>
      </c>
      <c r="D16" s="2"/>
      <c r="E16" s="18"/>
      <c r="F16" s="25"/>
      <c r="G16" s="26"/>
      <c r="H16" s="8"/>
      <c r="I16" s="8"/>
      <c r="J16" s="2"/>
      <c r="K16" s="25">
        <v>3081</v>
      </c>
      <c r="L16" s="9" t="s">
        <v>98</v>
      </c>
      <c r="M16" s="16" t="s">
        <v>51</v>
      </c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3098</v>
      </c>
      <c r="L17" s="9" t="s">
        <v>98</v>
      </c>
      <c r="M17" s="16" t="s">
        <v>33</v>
      </c>
      <c r="R17" s="1">
        <f>IF(vend30[[#This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3076</v>
      </c>
      <c r="L18" s="9" t="s">
        <v>98</v>
      </c>
      <c r="M18" s="16" t="s">
        <v>33</v>
      </c>
      <c r="R18" s="1">
        <f>IF(vend30[[#This Row],[Nº Venda]]&gt;1,1,0)</f>
        <v>0</v>
      </c>
    </row>
    <row r="19" spans="2:18" ht="15.75">
      <c r="B19" s="30">
        <f>COUNT(entr_carn30[OS])</f>
        <v>3</v>
      </c>
      <c r="C19" s="31">
        <f>SUM(entr_carn30[Valor Total])</f>
        <v>1494.25</v>
      </c>
      <c r="D19" s="2"/>
      <c r="E19" s="18"/>
      <c r="F19" s="25"/>
      <c r="G19" s="26"/>
      <c r="H19" s="8"/>
      <c r="I19" s="8"/>
      <c r="J19" s="2"/>
      <c r="K19" s="25">
        <v>3087</v>
      </c>
      <c r="L19" s="9" t="s">
        <v>98</v>
      </c>
      <c r="M19" s="16" t="s">
        <v>51</v>
      </c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1494.25</v>
      </c>
      <c r="D20" s="2"/>
      <c r="E20" s="18"/>
      <c r="F20" s="26"/>
      <c r="G20" s="26"/>
      <c r="H20" s="8"/>
      <c r="I20" s="8"/>
      <c r="J20" s="2"/>
      <c r="K20" s="25">
        <v>3109</v>
      </c>
      <c r="L20" s="9" t="s">
        <v>98</v>
      </c>
      <c r="M20" s="16" t="s">
        <v>51</v>
      </c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>
        <v>3086</v>
      </c>
      <c r="L21" s="9" t="s">
        <v>98</v>
      </c>
      <c r="M21" s="16" t="s">
        <v>51</v>
      </c>
    </row>
    <row r="22" spans="2:18" ht="15.75">
      <c r="B22" s="28" t="s">
        <v>34</v>
      </c>
      <c r="C22" s="32">
        <f>C5</f>
        <v>2937</v>
      </c>
      <c r="D22" s="2"/>
      <c r="E22" s="18"/>
      <c r="F22" s="25"/>
      <c r="G22" s="26"/>
      <c r="H22" s="8"/>
      <c r="I22" s="8"/>
      <c r="J22" s="2"/>
      <c r="K22" s="25">
        <v>3103</v>
      </c>
      <c r="L22" s="9" t="s">
        <v>98</v>
      </c>
      <c r="M22" s="16" t="s">
        <v>33</v>
      </c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3081</v>
      </c>
      <c r="F26" s="25" t="s">
        <v>125</v>
      </c>
      <c r="G26" s="26" t="s">
        <v>6</v>
      </c>
      <c r="H26" s="8"/>
      <c r="I26" s="8">
        <v>410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3098</v>
      </c>
      <c r="F27" s="25" t="s">
        <v>69</v>
      </c>
      <c r="G27" s="26" t="s">
        <v>6</v>
      </c>
      <c r="H27" s="8"/>
      <c r="I27" s="8">
        <v>230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3103</v>
      </c>
      <c r="F28" s="25" t="s">
        <v>150</v>
      </c>
      <c r="G28" s="26" t="s">
        <v>6</v>
      </c>
      <c r="H28" s="8"/>
      <c r="I28" s="8">
        <v>128.25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>
        <v>3076</v>
      </c>
      <c r="L35" s="42">
        <v>8</v>
      </c>
      <c r="M35" s="16">
        <v>1136</v>
      </c>
    </row>
    <row r="36" spans="2:18" ht="15.75">
      <c r="E36" s="18"/>
      <c r="F36" s="25"/>
      <c r="G36" s="26"/>
      <c r="H36" s="8"/>
      <c r="I36" s="8"/>
      <c r="K36" s="25">
        <v>3103</v>
      </c>
      <c r="L36" s="42">
        <v>1</v>
      </c>
      <c r="M36" s="16">
        <v>128.25</v>
      </c>
    </row>
    <row r="37" spans="2:18" ht="15.75">
      <c r="E37" s="18"/>
      <c r="F37" s="25"/>
      <c r="G37" s="26"/>
      <c r="H37" s="8"/>
      <c r="I37" s="8"/>
      <c r="K37" s="25">
        <v>3098</v>
      </c>
      <c r="L37" s="42">
        <v>1</v>
      </c>
      <c r="M37" s="16">
        <v>230</v>
      </c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C13" sqref="C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45200</v>
      </c>
    </row>
    <row r="2" spans="2:18" ht="18.75">
      <c r="B2" s="74" t="s">
        <v>14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15</v>
      </c>
      <c r="F5" s="10" t="s">
        <v>16</v>
      </c>
      <c r="G5" s="11" t="s">
        <v>17</v>
      </c>
      <c r="H5" s="12" t="s">
        <v>18</v>
      </c>
      <c r="I5" s="13" t="s">
        <v>2</v>
      </c>
      <c r="J5" s="2"/>
      <c r="K5" s="14" t="s">
        <v>19</v>
      </c>
      <c r="L5" s="6" t="s">
        <v>20</v>
      </c>
      <c r="M5" s="15" t="s">
        <v>21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28</v>
      </c>
      <c r="L13" s="72"/>
      <c r="M13" s="73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34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35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15</v>
      </c>
      <c r="F25" s="10" t="s">
        <v>16</v>
      </c>
      <c r="G25" s="11" t="s">
        <v>17</v>
      </c>
      <c r="H25" s="12" t="s">
        <v>18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37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29</v>
      </c>
      <c r="F34" s="10" t="s">
        <v>16</v>
      </c>
      <c r="G34" s="11" t="s">
        <v>17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47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188</v>
      </c>
      <c r="B1" s="38" t="s">
        <v>189</v>
      </c>
      <c r="E1" s="38" t="s">
        <v>190</v>
      </c>
    </row>
    <row r="2" spans="1:5">
      <c r="A2" s="38" t="s">
        <v>6</v>
      </c>
      <c r="B2" s="38" t="s">
        <v>191</v>
      </c>
      <c r="E2" t="s">
        <v>192</v>
      </c>
    </row>
    <row r="3" spans="1:5">
      <c r="A3" s="38" t="s">
        <v>7</v>
      </c>
      <c r="B3" s="38" t="s">
        <v>193</v>
      </c>
      <c r="E3" t="s">
        <v>194</v>
      </c>
    </row>
    <row r="4" spans="1:5">
      <c r="A4" s="38" t="s">
        <v>8</v>
      </c>
      <c r="B4" s="38" t="s">
        <v>195</v>
      </c>
      <c r="E4" t="s">
        <v>196</v>
      </c>
    </row>
    <row r="5" spans="1:5">
      <c r="A5" s="38" t="s">
        <v>9</v>
      </c>
      <c r="B5" s="38" t="s">
        <v>197</v>
      </c>
      <c r="E5" t="s">
        <v>198</v>
      </c>
    </row>
    <row r="6" spans="1:5">
      <c r="A6" s="38" t="s">
        <v>10</v>
      </c>
      <c r="B6" s="38" t="s">
        <v>10</v>
      </c>
      <c r="E6" t="s">
        <v>199</v>
      </c>
    </row>
    <row r="7" spans="1:5">
      <c r="A7" s="38" t="s">
        <v>26</v>
      </c>
      <c r="B7" s="38" t="s">
        <v>200</v>
      </c>
      <c r="E7" t="s">
        <v>46</v>
      </c>
    </row>
    <row r="8" spans="1:5">
      <c r="A8" t="s">
        <v>31</v>
      </c>
      <c r="B8" t="s">
        <v>201</v>
      </c>
      <c r="E8" t="s">
        <v>202</v>
      </c>
    </row>
    <row r="9" spans="1:5">
      <c r="A9" s="38" t="s">
        <v>118</v>
      </c>
      <c r="B9" s="38" t="s">
        <v>203</v>
      </c>
      <c r="E9" t="s">
        <v>183</v>
      </c>
    </row>
    <row r="10" spans="1:5">
      <c r="E10" t="s">
        <v>204</v>
      </c>
    </row>
    <row r="11" spans="1:5">
      <c r="E11" t="s">
        <v>80</v>
      </c>
    </row>
    <row r="12" spans="1:5">
      <c r="E12" t="s">
        <v>43</v>
      </c>
    </row>
    <row r="13" spans="1:5">
      <c r="E13" t="s">
        <v>205</v>
      </c>
    </row>
    <row r="14" spans="1:5">
      <c r="E14" t="s">
        <v>44</v>
      </c>
    </row>
    <row r="15" spans="1:5">
      <c r="E15" t="s">
        <v>87</v>
      </c>
    </row>
    <row r="16" spans="1:5">
      <c r="E16" t="s">
        <v>157</v>
      </c>
    </row>
    <row r="17" spans="5:5">
      <c r="E17" t="s">
        <v>206</v>
      </c>
    </row>
    <row r="18" spans="5:5">
      <c r="E18" t="s">
        <v>109</v>
      </c>
    </row>
    <row r="19" spans="5:5">
      <c r="E19" t="s">
        <v>207</v>
      </c>
    </row>
    <row r="20" spans="5:5">
      <c r="E20" t="s">
        <v>208</v>
      </c>
    </row>
    <row r="21" spans="5:5">
      <c r="E21" t="s">
        <v>209</v>
      </c>
    </row>
    <row r="22" spans="5:5">
      <c r="E22" t="s">
        <v>210</v>
      </c>
    </row>
    <row r="23" spans="5:5">
      <c r="E23" t="s">
        <v>211</v>
      </c>
    </row>
    <row r="24" spans="5:5">
      <c r="E24" t="s">
        <v>212</v>
      </c>
    </row>
    <row r="25" spans="5:5">
      <c r="E25" t="s">
        <v>213</v>
      </c>
    </row>
    <row r="26" spans="5:5">
      <c r="E26" t="s">
        <v>214</v>
      </c>
    </row>
    <row r="27" spans="5:5">
      <c r="E27" t="s">
        <v>215</v>
      </c>
    </row>
    <row r="28" spans="5:5">
      <c r="E28" t="s">
        <v>216</v>
      </c>
    </row>
    <row r="29" spans="5:5">
      <c r="E29" t="s">
        <v>217</v>
      </c>
    </row>
    <row r="30" spans="5:5">
      <c r="E30" t="s">
        <v>218</v>
      </c>
    </row>
    <row r="31" spans="5:5">
      <c r="E31" t="s">
        <v>219</v>
      </c>
    </row>
    <row r="32" spans="5:5">
      <c r="E32" t="s">
        <v>73</v>
      </c>
    </row>
    <row r="33" spans="5:5">
      <c r="E33" t="s">
        <v>177</v>
      </c>
    </row>
    <row r="34" spans="5:5">
      <c r="E34" t="s">
        <v>115</v>
      </c>
    </row>
    <row r="35" spans="5:5">
      <c r="E35" t="s">
        <v>113</v>
      </c>
    </row>
    <row r="36" spans="5:5">
      <c r="E36" t="s">
        <v>220</v>
      </c>
    </row>
    <row r="37" spans="5:5">
      <c r="E37" t="s">
        <v>221</v>
      </c>
    </row>
    <row r="38" spans="5:5">
      <c r="E38" t="s">
        <v>222</v>
      </c>
    </row>
    <row r="39" spans="5:5">
      <c r="E39" t="s">
        <v>223</v>
      </c>
    </row>
    <row r="40" spans="5:5">
      <c r="E40" t="s">
        <v>224</v>
      </c>
    </row>
    <row r="41" spans="5:5">
      <c r="E41" t="s">
        <v>225</v>
      </c>
    </row>
    <row r="42" spans="5:5">
      <c r="E42" t="s">
        <v>226</v>
      </c>
    </row>
    <row r="43" spans="5:5">
      <c r="E43" t="s">
        <v>227</v>
      </c>
    </row>
    <row r="44" spans="5:5">
      <c r="E44" t="s">
        <v>228</v>
      </c>
    </row>
    <row r="45" spans="5:5">
      <c r="E45" t="s">
        <v>229</v>
      </c>
    </row>
    <row r="46" spans="5:5">
      <c r="E46" t="s">
        <v>230</v>
      </c>
    </row>
    <row r="47" spans="5:5">
      <c r="E47" t="s">
        <v>231</v>
      </c>
    </row>
    <row r="48" spans="5:5">
      <c r="E48" t="s">
        <v>232</v>
      </c>
    </row>
    <row r="49" spans="5:5">
      <c r="E49" t="s">
        <v>233</v>
      </c>
    </row>
    <row r="50" spans="5:5">
      <c r="E50" t="s">
        <v>155</v>
      </c>
    </row>
    <row r="51" spans="5:5">
      <c r="E51" t="s">
        <v>91</v>
      </c>
    </row>
    <row r="52" spans="5:5">
      <c r="E52" t="s">
        <v>169</v>
      </c>
    </row>
    <row r="53" spans="5:5">
      <c r="E53" t="s">
        <v>234</v>
      </c>
    </row>
    <row r="54" spans="5:5">
      <c r="E54" t="s">
        <v>235</v>
      </c>
    </row>
    <row r="55" spans="5:5">
      <c r="E55" t="s">
        <v>236</v>
      </c>
    </row>
    <row r="56" spans="5:5">
      <c r="E56" t="s">
        <v>237</v>
      </c>
    </row>
    <row r="57" spans="5:5">
      <c r="E57" t="s">
        <v>238</v>
      </c>
    </row>
    <row r="58" spans="5:5">
      <c r="E58" t="s">
        <v>239</v>
      </c>
    </row>
    <row r="59" spans="5:5">
      <c r="E59" t="s">
        <v>240</v>
      </c>
    </row>
    <row r="60" spans="5:5">
      <c r="E60" t="s">
        <v>241</v>
      </c>
    </row>
    <row r="61" spans="5:5">
      <c r="E61" t="s">
        <v>242</v>
      </c>
    </row>
    <row r="62" spans="5:5">
      <c r="E62" t="s">
        <v>243</v>
      </c>
    </row>
    <row r="63" spans="5:5">
      <c r="E63" t="s">
        <v>244</v>
      </c>
    </row>
    <row r="64" spans="5:5">
      <c r="E64" t="s">
        <v>245</v>
      </c>
    </row>
    <row r="65" spans="5:5">
      <c r="E65" t="s">
        <v>246</v>
      </c>
    </row>
    <row r="66" spans="5:5">
      <c r="E66" t="s">
        <v>247</v>
      </c>
    </row>
    <row r="67" spans="5:5">
      <c r="E67" t="s">
        <v>248</v>
      </c>
    </row>
    <row r="68" spans="5:5">
      <c r="E68" t="s">
        <v>249</v>
      </c>
    </row>
    <row r="69" spans="5:5">
      <c r="E69" t="s">
        <v>250</v>
      </c>
    </row>
    <row r="70" spans="5:5">
      <c r="E70" t="s">
        <v>251</v>
      </c>
    </row>
    <row r="71" spans="5:5">
      <c r="E71" t="s">
        <v>252</v>
      </c>
    </row>
    <row r="72" spans="5:5">
      <c r="E72" t="s">
        <v>253</v>
      </c>
    </row>
    <row r="73" spans="5:5">
      <c r="E73" t="s">
        <v>254</v>
      </c>
    </row>
    <row r="74" spans="5:5">
      <c r="E74" t="s">
        <v>255</v>
      </c>
    </row>
    <row r="75" spans="5:5">
      <c r="E75" t="s">
        <v>256</v>
      </c>
    </row>
    <row r="76" spans="5:5">
      <c r="E76" t="s">
        <v>257</v>
      </c>
    </row>
    <row r="77" spans="5:5">
      <c r="E77" t="s">
        <v>258</v>
      </c>
    </row>
    <row r="78" spans="5:5">
      <c r="E78" t="s">
        <v>259</v>
      </c>
    </row>
    <row r="79" spans="5:5">
      <c r="E79" t="s">
        <v>260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dcterms:created xsi:type="dcterms:W3CDTF">2004-04-07T20:43:43Z</dcterms:created>
  <dcterms:modified xsi:type="dcterms:W3CDTF">2024-09-21T13:25:07Z</dcterms:modified>
  <cp:category/>
  <cp:contentStatus/>
</cp:coreProperties>
</file>