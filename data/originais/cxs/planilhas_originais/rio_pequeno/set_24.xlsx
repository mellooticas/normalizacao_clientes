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comments1.xml" ContentType="application/vnd.openxmlformats-officedocument.spreadsheetml.comments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1175" documentId="13_ncr:1_{0402BA61-346E-4614-9EF8-32644BD0418E}" xr6:coauthVersionLast="47" xr6:coauthVersionMax="47" xr10:uidLastSave="{AC64653B-A44B-4B94-9064-FA3A631B0774}"/>
  <bookViews>
    <workbookView xWindow="-120" yWindow="-120" windowWidth="20730" windowHeight="11160" tabRatio="89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Planilha1" sheetId="202" r:id="rId32"/>
    <sheet name="31" sheetId="198" r:id="rId33"/>
    <sheet name="base_OS" sheetId="201" r:id="rId34"/>
    <sheet name="base" sheetId="36" state="hidden" r:id="rId35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5" l="1"/>
  <c r="C6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GTN Holding</author>
  </authors>
  <commentList>
    <comment ref="H10" authorId="0" shapeId="0" xr:uid="{C876F20B-8CFC-4FC0-9737-4175E13BAEB2}">
      <text>
        <r>
          <rPr>
            <b/>
            <sz val="9"/>
            <color indexed="81"/>
            <rFont val="Segoe UI"/>
            <family val="2"/>
          </rPr>
          <t>GTN Holding - OS CANCELADA</t>
        </r>
        <r>
          <rPr>
            <sz val="9"/>
            <color indexed="81"/>
            <rFont val="Segoe UI"/>
            <family val="2"/>
          </rPr>
          <t xml:space="preserve">
valor da venda: 
R$ 599,00 
sinal: R$ 10,00 - DN</t>
        </r>
      </text>
    </comment>
  </commentList>
</comments>
</file>

<file path=xl/sharedStrings.xml><?xml version="1.0" encoding="utf-8"?>
<sst xmlns="http://schemas.openxmlformats.org/spreadsheetml/2006/main" count="1797" uniqueCount="202">
  <si>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</si>
  <si>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</si>
  <si>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</si>
  <si>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</si>
  <si>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</si>
  <si>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</si>
  <si>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</si>
  <si>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</si>
  <si>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</si>
  <si>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</si>
  <si>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</si>
  <si>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</si>
  <si>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</si>
  <si>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</si>
  <si>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</si>
  <si>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</si>
  <si>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</si>
  <si>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</si>
  <si>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</si>
  <si>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</si>
  <si>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</si>
  <si>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</si>
  <si>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</si>
  <si>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</si>
  <si>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</si>
  <si>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</si>
  <si>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</si>
  <si>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</si>
  <si>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</si>
  <si>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</si>
  <si>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</si>
  <si>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</si>
  <si>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</si>
  <si>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</si>
  <si>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</si>
  <si>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</si>
  <si>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</si>
  <si>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</si>
  <si>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</si>
  <si>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</si>
  <si>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</si>
  <si>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</si>
  <si>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</si>
  <si>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</si>
  <si>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</si>
  <si>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</si>
  <si>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</si>
  <si>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</si>
  <si>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</si>
  <si>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</si>
  <si>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</si>
  <si>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</si>
  <si>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</si>
  <si>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</si>
  <si>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</si>
  <si>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</si>
  <si>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</si>
  <si>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</si>
  <si>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</si>
  <si>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</si>
  <si>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</si>
  <si>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</si>
  <si>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</si>
  <si>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</si>
  <si>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</si>
  <si>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</si>
  <si>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</si>
  <si>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</si>
  <si>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</si>
  <si>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</si>
  <si>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</si>
  <si>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</si>
  <si>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</si>
  <si>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</si>
  <si>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</si>
  <si>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</si>
  <si>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</si>
  <si>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</si>
  <si>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</si>
  <si>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</si>
  <si>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</si>
  <si>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</si>
  <si>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</si>
  <si>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</si>
  <si>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</si>
  <si>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</si>
  <si>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</si>
  <si>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</si>
  <si>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</si>
  <si>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</si>
  <si>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</si>
  <si>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</si>
  <si>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</si>
  <si>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</si>
  <si>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</si>
  <si>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</si>
  <si>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</si>
  <si>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</si>
  <si>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</si>
  <si>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</si>
  <si>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</si>
  <si>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</si>
  <si>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</si>
  <si>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</si>
  <si>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</si>
  <si>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</si>
  <si>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</si>
  <si>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</si>
  <si>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</si>
  <si>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</si>
  <si>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</si>
  <si>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</si>
  <si>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</si>
  <si>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</si>
  <si>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</si>
  <si>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</si>
  <si>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</si>
  <si>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</si>
  <si>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</si>
  <si>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</si>
  <si>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</si>
  <si>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</si>
  <si>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</si>
  <si>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</si>
  <si>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</si>
  <si>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</si>
  <si>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</si>
  <si>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</si>
  <si>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</si>
  <si>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</si>
  <si>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</si>
  <si>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</si>
  <si>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</si>
  <si>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</si>
  <si>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</si>
  <si>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</si>
  <si>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</si>
  <si>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</si>
  <si>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</si>
  <si>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</si>
  <si>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</si>
  <si>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</si>
  <si>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william dos santos</t>
  </si>
  <si>
    <t>Não</t>
  </si>
  <si>
    <t>CHRISLENE CARVALHO</t>
  </si>
  <si>
    <t xml:space="preserve"> LIRIAH  PENNA</t>
  </si>
  <si>
    <t>EDNALVA BATISTA ALMEIDA</t>
  </si>
  <si>
    <t xml:space="preserve">MARIA VALERIA </t>
  </si>
  <si>
    <t>MARILENA LOURENÇO</t>
  </si>
  <si>
    <t>ALESSANDRA LOURENÇO</t>
  </si>
  <si>
    <t>GENESIO DOS SANTOS</t>
  </si>
  <si>
    <t>CRISTINA FERREIRA BRITO</t>
  </si>
  <si>
    <t>ROGERIO</t>
  </si>
  <si>
    <t xml:space="preserve">RICARDO ANTERO </t>
  </si>
  <si>
    <t>JUCELINO SILVA LIMA</t>
  </si>
  <si>
    <t xml:space="preserve">MARIA APARECIDA </t>
  </si>
  <si>
    <t>JORGE NISHIRA</t>
  </si>
  <si>
    <t>MISLENE</t>
  </si>
  <si>
    <t xml:space="preserve">JENIFER SILVA VIEIRA </t>
  </si>
  <si>
    <t>JORGE R. DE O. PINTO</t>
  </si>
  <si>
    <t>LUCA SANTOS</t>
  </si>
  <si>
    <t>SELMA LUCIA PINHEIRO</t>
  </si>
  <si>
    <t xml:space="preserve">VANESSA </t>
  </si>
  <si>
    <t>GEOVANA SILVA</t>
  </si>
  <si>
    <t>SAMIRA DE OLIVEIRA</t>
  </si>
  <si>
    <t>COPIA DE CHAVE</t>
  </si>
  <si>
    <t>CHIP C/ RECARGA</t>
  </si>
  <si>
    <t xml:space="preserve">AGUA </t>
  </si>
  <si>
    <t xml:space="preserve">vanessa </t>
  </si>
  <si>
    <t xml:space="preserve">VITOR SIMPHRONIO </t>
  </si>
  <si>
    <t>NAILSON FERREIRA</t>
  </si>
  <si>
    <t>MIRELLA ALBINO</t>
  </si>
  <si>
    <t>JORGE NISHIKAWA</t>
  </si>
  <si>
    <t xml:space="preserve">PABLO FERREIRA </t>
  </si>
  <si>
    <t>JOAQUIM ANDRE</t>
  </si>
  <si>
    <t>DORALICE BORGES</t>
  </si>
  <si>
    <t>SILVIA INES TOZZI</t>
  </si>
  <si>
    <t>WALMIRA P. DE MOURA</t>
  </si>
  <si>
    <t>IRANILDES DE JESUS</t>
  </si>
  <si>
    <t>CABO DE INTERNET</t>
  </si>
  <si>
    <t>REUSLI DE FATIMA</t>
  </si>
  <si>
    <t xml:space="preserve">WALTER SOARES </t>
  </si>
  <si>
    <t>GIOVANNA DIAS</t>
  </si>
  <si>
    <t>CARLOS EDUARDO</t>
  </si>
  <si>
    <t>JOSE MILTON PINHEIRO</t>
  </si>
  <si>
    <t xml:space="preserve">LUAN FRANÇA </t>
  </si>
  <si>
    <t>KARLENY DA S. CARVALHO</t>
  </si>
  <si>
    <t>NEUSA GOMES PAULINO</t>
  </si>
  <si>
    <t xml:space="preserve">     </t>
  </si>
  <si>
    <t>TEREZINHA FERNANDES</t>
  </si>
  <si>
    <t xml:space="preserve">    </t>
  </si>
  <si>
    <t>HICKAME  ADAME</t>
  </si>
  <si>
    <t>Walmira Moura</t>
  </si>
  <si>
    <t xml:space="preserve">             </t>
  </si>
  <si>
    <t>HELLEN DE MORAES</t>
  </si>
  <si>
    <t>JOÃO CARLOS ABRAL</t>
  </si>
  <si>
    <t>MARIA OCILIA</t>
  </si>
  <si>
    <t xml:space="preserve">                           </t>
  </si>
  <si>
    <t>HICHAN ADANE</t>
  </si>
  <si>
    <t>MARIA DE LURDES</t>
  </si>
  <si>
    <t>CANCELADA 07/10/24</t>
  </si>
  <si>
    <t>CANCELADA 07/10/2024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</si>
</sst>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  <font>
      <strike/>
      <sz val="12"/>
      <name val="Arial"/>
      <family val="2"/>
    </font>
    <font>
      <strike/>
      <sz val="11"/>
      <name val="Calibri"/>
      <family val="2"/>
    </font>
    <font>
      <strike/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0" fontId="46" fillId="0" borderId="17" xfId="0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164" fontId="48" fillId="0" borderId="17" xfId="2" applyFont="1" applyFill="1" applyBorder="1" applyAlignment="1">
      <alignment horizontal="center"/>
    </xf>
    <xf numFmtId="165" fontId="48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5.xml"/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Relationship Id="rId9" Type="http://schemas.openxmlformats.org/officeDocument/2006/relationships/comments" Target="../comments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tabSelected="1" workbookViewId="0">
      <selection activeCell="F19" sqref="F19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2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27321</v>
      </c>
      <c r="P3" t="s">
        <v>130</v>
      </c>
    </row>
    <row r="4" spans="1:16" ht="15" x14ac:dyDescent="0.25">
      <c r="A4" s="23" t="s">
        <v>2</v>
      </c>
      <c r="B4" s="24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24776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381</v>
      </c>
      <c r="P5" t="s">
        <v>132</v>
      </c>
    </row>
    <row r="6" spans="1:16" ht="15.75" x14ac:dyDescent="0.25">
      <c r="A6" s="28" t="s">
        <v>4</v>
      </c>
      <c r="B6" s="29">
        <f ca="1">SUM(B4:B5)</f>
        <v>25157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99" t="s">
        <v>5</v>
      </c>
      <c r="B8" s="99"/>
      <c r="P8" t="s">
        <v>135</v>
      </c>
    </row>
    <row r="9" spans="1:16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2532</v>
      </c>
      <c r="P9" t="s">
        <v>136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1867</v>
      </c>
      <c r="P10" t="s">
        <v>137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17794</v>
      </c>
      <c r="F11" t="s">
        <v>197</v>
      </c>
      <c r="P11" t="s">
        <v>138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3171</v>
      </c>
      <c r="P13" t="s">
        <v>140</v>
      </c>
    </row>
    <row r="14" spans="1:16" ht="15.75" x14ac:dyDescent="0.25">
      <c r="A14" s="28" t="s">
        <v>11</v>
      </c>
      <c r="B14" s="73">
        <f ca="1">SUM(B9:B13)</f>
        <v>25364</v>
      </c>
    </row>
    <row r="15" spans="1:16" ht="15" x14ac:dyDescent="0.25">
      <c r="A15" s="2"/>
      <c r="B15" s="2"/>
    </row>
    <row r="16" spans="1:16" ht="15" x14ac:dyDescent="0.2">
      <c r="A16" s="99" t="s">
        <v>12</v>
      </c>
      <c r="B16" s="99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</row>
    <row r="18" spans="1:2" ht="15.75" x14ac:dyDescent="0.25">
      <c r="A18" s="28" t="s">
        <v>11</v>
      </c>
      <c r="B18" s="73">
        <f>SUM(B17:B17)</f>
        <v>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E1" zoomScale="90" zoomScaleNormal="90" workbookViewId="0">
      <selection activeCell="K15" sqref="K15: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v>45536</v>
      </c>
    </row>
    <row r="2" spans="2:18" ht="18.75" x14ac:dyDescent="0.2">
      <c r="B2" s="104" t="s">
        <v>127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4" zoomScale="80" zoomScaleNormal="80" workbookViewId="0">
      <selection activeCell="M23" sqref="M23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32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'01'!B1+1</f>
        <v>45537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499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499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450</v>
      </c>
      <c r="D13" s="2"/>
      <c r="E13" s="87"/>
      <c r="F13" s="58"/>
      <c r="G13" s="88"/>
      <c r="H13" s="69"/>
      <c r="I13" s="69"/>
      <c r="J13" s="2"/>
      <c r="K13" s="101" t="s">
        <v>22</v>
      </c>
      <c r="L13" s="102"/>
      <c r="M13" s="103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58"/>
      <c r="G14" s="88"/>
      <c r="H14" s="69"/>
      <c r="I14" s="69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49</v>
      </c>
      <c r="D15" s="2"/>
      <c r="E15" s="18"/>
      <c r="F15" s="25"/>
      <c r="G15" s="26"/>
      <c r="H15" s="8"/>
      <c r="I15" s="8"/>
      <c r="J15" s="2"/>
      <c r="K15" s="25">
        <v>3705</v>
      </c>
      <c r="L15" s="9" t="s">
        <v>129</v>
      </c>
      <c r="M15" s="16" t="s">
        <v>143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499</v>
      </c>
      <c r="D16" s="2"/>
      <c r="E16" s="18"/>
      <c r="F16" s="25"/>
      <c r="G16" s="26"/>
      <c r="H16" s="8"/>
      <c r="I16" s="8"/>
      <c r="J16" s="2"/>
      <c r="K16" s="25">
        <v>3704</v>
      </c>
      <c r="L16" s="9" t="s">
        <v>129</v>
      </c>
      <c r="M16" s="16" t="s">
        <v>143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3701</v>
      </c>
      <c r="L17" s="9" t="s">
        <v>129</v>
      </c>
      <c r="M17" s="16" t="s">
        <v>143</v>
      </c>
      <c r="R17" s="1">
        <f>IF(vend2[[#This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3705</v>
      </c>
      <c r="F26" s="25" t="s">
        <v>142</v>
      </c>
      <c r="G26" s="26" t="s">
        <v>8</v>
      </c>
      <c r="H26" s="8"/>
      <c r="I26" s="8">
        <v>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3705</v>
      </c>
      <c r="F27" s="25" t="s">
        <v>142</v>
      </c>
      <c r="G27" s="26" t="s">
        <v>10</v>
      </c>
      <c r="H27" s="8"/>
      <c r="I27" s="8">
        <v>49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50" zoomScaleNormal="5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60.285156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'02'!B1+1</f>
        <v>45538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415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415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165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3614</v>
      </c>
      <c r="L15" s="9" t="s">
        <v>129</v>
      </c>
      <c r="M15" s="16" t="s">
        <v>143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415</v>
      </c>
      <c r="D16" s="2"/>
      <c r="E16" s="18"/>
      <c r="F16" s="25"/>
      <c r="G16" s="26"/>
      <c r="H16" s="8"/>
      <c r="I16" s="8"/>
      <c r="J16" s="2"/>
      <c r="K16" s="25">
        <v>3703</v>
      </c>
      <c r="L16" s="9" t="s">
        <v>129</v>
      </c>
      <c r="M16" s="16" t="s">
        <v>143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3614</v>
      </c>
      <c r="F26" s="25" t="s">
        <v>144</v>
      </c>
      <c r="G26" s="45" t="s">
        <v>6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3703</v>
      </c>
      <c r="F27" s="25" t="s">
        <v>145</v>
      </c>
      <c r="G27" s="26" t="s">
        <v>7</v>
      </c>
      <c r="H27" s="8"/>
      <c r="I27" s="8">
        <v>165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E4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22.42578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21" width="7.5703125" style="1" customWidth="1"/>
    <col min="22" max="16384" width="9.140625" style="1"/>
  </cols>
  <sheetData>
    <row r="1" spans="2:18" ht="27" x14ac:dyDescent="0.5">
      <c r="B1" s="54">
        <f>'03'!B1+1</f>
        <v>45539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2191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2191</v>
      </c>
      <c r="D6" s="2"/>
      <c r="E6" s="18">
        <v>3710</v>
      </c>
      <c r="F6" s="25" t="s">
        <v>147</v>
      </c>
      <c r="G6" s="26" t="s">
        <v>8</v>
      </c>
      <c r="H6" s="8">
        <v>930</v>
      </c>
      <c r="I6" s="8">
        <v>800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3710</v>
      </c>
      <c r="F7" s="25" t="s">
        <v>147</v>
      </c>
      <c r="G7" s="26" t="s">
        <v>6</v>
      </c>
      <c r="H7" s="8"/>
      <c r="I7" s="8">
        <v>100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2191</v>
      </c>
      <c r="D8" s="2"/>
      <c r="E8" s="18">
        <v>3710</v>
      </c>
      <c r="F8" s="25" t="s">
        <v>147</v>
      </c>
      <c r="G8" s="26" t="s">
        <v>10</v>
      </c>
      <c r="H8" s="8"/>
      <c r="I8" s="8">
        <v>30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3711</v>
      </c>
      <c r="F9" s="25" t="s">
        <v>148</v>
      </c>
      <c r="G9" s="26" t="s">
        <v>8</v>
      </c>
      <c r="H9" s="8">
        <v>862</v>
      </c>
      <c r="I9" s="8">
        <v>862</v>
      </c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99" t="s">
        <v>5</v>
      </c>
      <c r="C10" s="99"/>
      <c r="D10" s="2"/>
      <c r="E10" s="18">
        <v>3712</v>
      </c>
      <c r="F10" s="25" t="s">
        <v>149</v>
      </c>
      <c r="G10" s="26" t="s">
        <v>8</v>
      </c>
      <c r="H10" s="8">
        <v>399</v>
      </c>
      <c r="I10" s="8">
        <v>399</v>
      </c>
      <c r="J10" s="2"/>
      <c r="K10" s="25"/>
      <c r="L10" s="9"/>
      <c r="M10" s="16"/>
      <c r="R10" s="1">
        <f>IF(vend4[[#This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267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2061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30</v>
      </c>
      <c r="D15" s="2"/>
      <c r="E15" s="18"/>
      <c r="F15" s="25"/>
      <c r="G15" s="26"/>
      <c r="H15" s="8"/>
      <c r="I15" s="8"/>
      <c r="J15" s="2"/>
      <c r="K15" s="25">
        <v>3617</v>
      </c>
      <c r="L15" s="9" t="s">
        <v>135</v>
      </c>
      <c r="M15" s="56" t="s">
        <v>143</v>
      </c>
      <c r="R15" s="1">
        <f>IF(vend4[[#This Row],[Nº Venda]]&gt;1,1,0)</f>
        <v>0</v>
      </c>
    </row>
    <row r="16" spans="2:18" ht="18.75" x14ac:dyDescent="0.4">
      <c r="B16" s="28" t="s">
        <v>11</v>
      </c>
      <c r="C16" s="32">
        <f>SUM(C11:C15)</f>
        <v>2358</v>
      </c>
      <c r="D16" s="2"/>
      <c r="E16" s="18"/>
      <c r="F16" s="25"/>
      <c r="G16" s="26"/>
      <c r="H16" s="8"/>
      <c r="I16" s="8"/>
      <c r="J16" s="2"/>
      <c r="K16" s="25"/>
      <c r="L16" s="9"/>
      <c r="M16" s="56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56"/>
      <c r="R17" s="1">
        <f>IF(vend4[[#This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2191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3611</v>
      </c>
      <c r="F35" s="25" t="s">
        <v>146</v>
      </c>
      <c r="G35" s="26" t="s">
        <v>6</v>
      </c>
      <c r="H35" s="8">
        <v>167</v>
      </c>
      <c r="I35" s="8" t="s">
        <v>53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25" right="0.25" top="0.75" bottom="0.75" header="0.3" footer="0.3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X41"/>
  <sheetViews>
    <sheetView showGridLines="0" zoomScale="70" zoomScaleNormal="70" workbookViewId="0">
      <selection activeCell="Y26" sqref="Y2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'04'!B1+1</f>
        <v>45540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5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45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5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1"/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60"/>
      <c r="N16" s="16"/>
      <c r="R16" s="1">
        <f>IF(vend5[[#This Row],[Nº Venda]]&gt;1,1,0)</f>
        <v>0</v>
      </c>
    </row>
    <row r="17" spans="2:24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24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24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24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24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4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4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4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24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4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24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  <c r="X27" s="1">
        <v>0</v>
      </c>
    </row>
    <row r="28" spans="2:24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24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4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4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4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 t="s">
        <v>46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84"/>
      <c r="G37" s="85"/>
      <c r="H37" s="86"/>
      <c r="I37" s="86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7" zoomScale="80" zoomScaleNormal="80" workbookViewId="0">
      <selection activeCell="H13" sqref="H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'05'!B1+1</f>
        <v>45541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1490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1099</v>
      </c>
      <c r="D6" s="2"/>
      <c r="E6" s="18">
        <v>3713</v>
      </c>
      <c r="F6" s="25" t="s">
        <v>151</v>
      </c>
      <c r="G6" s="26" t="s">
        <v>10</v>
      </c>
      <c r="H6" s="8">
        <v>1490</v>
      </c>
      <c r="I6" s="8">
        <v>350</v>
      </c>
      <c r="J6" s="2"/>
      <c r="K6" s="25" t="s">
        <v>152</v>
      </c>
      <c r="L6" s="9" t="s">
        <v>6</v>
      </c>
      <c r="M6" s="16">
        <v>280</v>
      </c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280</v>
      </c>
      <c r="D7" s="2"/>
      <c r="E7" s="18">
        <v>3713</v>
      </c>
      <c r="F7" s="25" t="s">
        <v>151</v>
      </c>
      <c r="G7" s="26" t="s">
        <v>7</v>
      </c>
      <c r="H7" s="8"/>
      <c r="I7" s="8">
        <v>50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1379</v>
      </c>
      <c r="D8" s="2"/>
      <c r="E8" s="18">
        <v>3713</v>
      </c>
      <c r="F8" s="25" t="s">
        <v>151</v>
      </c>
      <c r="G8" s="26" t="s">
        <v>6</v>
      </c>
      <c r="H8" s="8"/>
      <c r="I8" s="8">
        <v>100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5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649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350</v>
      </c>
      <c r="D15" s="2"/>
      <c r="E15" s="18"/>
      <c r="F15" s="25"/>
      <c r="G15" s="26"/>
      <c r="H15" s="8"/>
      <c r="I15" s="8"/>
      <c r="J15" s="2"/>
      <c r="K15" s="25">
        <v>3698</v>
      </c>
      <c r="L15" s="9" t="s">
        <v>129</v>
      </c>
      <c r="M15" s="16" t="s">
        <v>143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1279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3698</v>
      </c>
      <c r="F26" s="25" t="s">
        <v>153</v>
      </c>
      <c r="G26" s="26" t="s">
        <v>7</v>
      </c>
      <c r="H26" s="8"/>
      <c r="I26" s="8">
        <v>599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3592</v>
      </c>
      <c r="F35" s="25" t="s">
        <v>150</v>
      </c>
      <c r="G35" s="26" t="s">
        <v>6</v>
      </c>
      <c r="H35" s="8">
        <v>180</v>
      </c>
      <c r="I35" s="8" t="s">
        <v>53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zoomScale="80" zoomScaleNormal="80" zoomScaleSheetLayoutView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'06'!B1+1</f>
        <v>45542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3895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2547</v>
      </c>
      <c r="D6" s="2"/>
      <c r="E6" s="18">
        <v>3714</v>
      </c>
      <c r="F6" s="78" t="s">
        <v>154</v>
      </c>
      <c r="G6" s="78" t="s">
        <v>8</v>
      </c>
      <c r="H6" s="79">
        <v>1999</v>
      </c>
      <c r="I6" s="79">
        <v>1999</v>
      </c>
      <c r="J6" s="2"/>
      <c r="K6" s="25"/>
      <c r="L6" s="9"/>
      <c r="M6" s="16"/>
      <c r="R6" s="1">
        <f>IF(vend7[[#This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3715</v>
      </c>
      <c r="F7" s="47" t="s">
        <v>155</v>
      </c>
      <c r="G7" s="47" t="s">
        <v>6</v>
      </c>
      <c r="H7" s="46">
        <v>699</v>
      </c>
      <c r="I7" s="46">
        <v>25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21</v>
      </c>
      <c r="C8" s="29">
        <f>SUM(C6:C7)</f>
        <v>2547</v>
      </c>
      <c r="D8" s="2"/>
      <c r="E8" s="18">
        <v>3716</v>
      </c>
      <c r="F8" s="25" t="s">
        <v>156</v>
      </c>
      <c r="G8" s="26" t="s">
        <v>6</v>
      </c>
      <c r="H8" s="8">
        <v>699</v>
      </c>
      <c r="I8" s="8">
        <v>25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18">
        <v>3717</v>
      </c>
      <c r="F9" s="25" t="s">
        <v>157</v>
      </c>
      <c r="G9" s="26" t="s">
        <v>10</v>
      </c>
      <c r="H9" s="8">
        <v>498</v>
      </c>
      <c r="I9" s="8">
        <v>498</v>
      </c>
      <c r="J9" s="2"/>
      <c r="K9" s="25"/>
      <c r="L9" s="9"/>
      <c r="M9" s="16"/>
      <c r="R9" s="1">
        <f>IF(vend7[[#This Row],[Nº Venda]]&gt;1,1,0)</f>
        <v>1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1999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498</v>
      </c>
      <c r="D15" s="2"/>
      <c r="E15" s="18"/>
      <c r="F15" s="25"/>
      <c r="G15" s="26"/>
      <c r="H15" s="8"/>
      <c r="I15" s="8"/>
      <c r="J15" s="2"/>
      <c r="K15" s="25"/>
      <c r="L15" s="9"/>
      <c r="M15" s="48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2547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IF(vend7[[#This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3895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7"/>
      <c r="G26" s="70"/>
      <c r="H26" s="71"/>
      <c r="I26" s="71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zoomScale="60" zoomScaleNormal="87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'07'!B1+1</f>
        <v>45543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1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(SUMIF($G$2:$G$31,B13,$I$2:$I$31))+(SUMIF($G$35:$G$42,B13,$H$35:$H$42))</f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IF(vend8[[#This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(SUMIF($G$2:$G$31,B14,$I$2:$I$31))+(SUMIF($G$35:$G$42,B14,$H$35:$H$42))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81"/>
      <c r="G26" s="82"/>
      <c r="H26" s="83"/>
      <c r="I26" s="83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5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74"/>
      <c r="G42" s="75"/>
      <c r="H42" s="76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2" zoomScale="80" zoomScaleNormal="80" workbookViewId="0">
      <selection activeCell="J6" sqref="J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4">
        <f>'08'!B1+1</f>
        <v>45544</v>
      </c>
    </row>
    <row r="2" spans="2:22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22" ht="15" x14ac:dyDescent="0.25">
      <c r="B5" s="23" t="s">
        <v>1</v>
      </c>
      <c r="C5" s="24">
        <f>SUMIF(I6:I31,"&gt;0",H6:H31)</f>
        <v>690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690</v>
      </c>
      <c r="D6" s="2"/>
      <c r="E6" s="18">
        <v>3718</v>
      </c>
      <c r="F6" s="25" t="s">
        <v>158</v>
      </c>
      <c r="G6" s="45" t="s">
        <v>8</v>
      </c>
      <c r="H6" s="8">
        <v>690</v>
      </c>
      <c r="I6" s="8">
        <v>690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690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690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3717</v>
      </c>
      <c r="L15" s="9" t="s">
        <v>135</v>
      </c>
      <c r="M15" s="16" t="s">
        <v>143</v>
      </c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690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4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'09'!B1+1</f>
        <v>45545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SUMIF(I6:I32,"&gt;0",H6:H32)</f>
        <v>2028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1903.5</v>
      </c>
      <c r="D6" s="2"/>
      <c r="E6" s="18">
        <v>3719</v>
      </c>
      <c r="F6" s="25" t="s">
        <v>159</v>
      </c>
      <c r="G6" s="45" t="s">
        <v>40</v>
      </c>
      <c r="H6" s="8">
        <v>0</v>
      </c>
      <c r="I6" s="8">
        <v>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3720</v>
      </c>
      <c r="F7" s="25" t="s">
        <v>160</v>
      </c>
      <c r="G7" s="45" t="s">
        <v>6</v>
      </c>
      <c r="H7" s="8">
        <v>799</v>
      </c>
      <c r="I7" s="8">
        <v>200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1903.5</v>
      </c>
      <c r="D8" s="2"/>
      <c r="E8" s="18">
        <v>3720</v>
      </c>
      <c r="F8" s="25" t="s">
        <v>160</v>
      </c>
      <c r="G8" s="26" t="s">
        <v>8</v>
      </c>
      <c r="H8" s="8"/>
      <c r="I8" s="8">
        <v>599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3721</v>
      </c>
      <c r="F9" s="25" t="s">
        <v>161</v>
      </c>
      <c r="G9" s="26" t="s">
        <v>8</v>
      </c>
      <c r="H9" s="8">
        <v>260</v>
      </c>
      <c r="I9" s="8">
        <v>260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99" t="s">
        <v>5</v>
      </c>
      <c r="C10" s="99"/>
      <c r="D10" s="2"/>
      <c r="E10" s="18">
        <v>3722</v>
      </c>
      <c r="F10" s="25" t="s">
        <v>162</v>
      </c>
      <c r="G10" s="26" t="s">
        <v>10</v>
      </c>
      <c r="H10" s="8">
        <v>249</v>
      </c>
      <c r="I10" s="8">
        <v>124.5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200</v>
      </c>
      <c r="D11" s="2"/>
      <c r="E11" s="18">
        <v>3723</v>
      </c>
      <c r="F11" s="25" t="s">
        <v>163</v>
      </c>
      <c r="G11" s="26" t="s">
        <v>8</v>
      </c>
      <c r="H11" s="8">
        <v>720</v>
      </c>
      <c r="I11" s="8">
        <v>720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1579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124.5</v>
      </c>
      <c r="D15" s="2"/>
      <c r="E15" s="18"/>
      <c r="F15" s="25"/>
      <c r="G15" s="26"/>
      <c r="H15" s="8"/>
      <c r="I15" s="8"/>
      <c r="J15" s="2"/>
      <c r="K15" s="25">
        <v>3721</v>
      </c>
      <c r="L15" s="9" t="s">
        <v>135</v>
      </c>
      <c r="M15" s="16" t="s">
        <v>143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1903.5</v>
      </c>
      <c r="D16" s="2"/>
      <c r="E16" s="18"/>
      <c r="F16" s="25"/>
      <c r="G16" s="26"/>
      <c r="H16" s="8"/>
      <c r="I16" s="8"/>
      <c r="J16" s="2"/>
      <c r="K16" s="25">
        <v>3706</v>
      </c>
      <c r="L16" s="9" t="s">
        <v>129</v>
      </c>
      <c r="M16" s="60" t="s">
        <v>143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2028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35"/>
      <c r="F32" s="39"/>
      <c r="G32" s="26"/>
      <c r="H32" s="8"/>
      <c r="I32" s="8"/>
    </row>
    <row r="33" spans="2:18" ht="15" x14ac:dyDescent="0.25">
      <c r="B33" s="2"/>
      <c r="C33" s="2"/>
      <c r="E33" s="33"/>
      <c r="K33" s="101" t="s">
        <v>12</v>
      </c>
      <c r="L33" s="102"/>
      <c r="M33" s="103"/>
    </row>
    <row r="34" spans="2:18" ht="15" x14ac:dyDescent="0.25">
      <c r="E34" s="100" t="s">
        <v>28</v>
      </c>
      <c r="F34" s="100"/>
      <c r="G34" s="100"/>
      <c r="H34" s="100"/>
      <c r="I34" s="100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4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B32" sqref="B32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'10'!B1+1</f>
        <v>45546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165</v>
      </c>
      <c r="L6" s="9" t="s">
        <v>10</v>
      </c>
      <c r="M6" s="16">
        <v>25</v>
      </c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25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25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133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133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3624</v>
      </c>
      <c r="F35" s="25" t="s">
        <v>164</v>
      </c>
      <c r="G35" s="26" t="s">
        <v>10</v>
      </c>
      <c r="H35" s="8">
        <v>133</v>
      </c>
      <c r="I35" s="8" t="s">
        <v>33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72" zoomScaleNormal="72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'11'!B1+1</f>
        <v>45547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49"/>
      <c r="G6" s="49"/>
      <c r="H6" s="50"/>
      <c r="I6" s="50"/>
      <c r="J6" s="2"/>
      <c r="K6" s="25"/>
      <c r="L6" s="9"/>
      <c r="M6" s="16"/>
      <c r="R6" s="1">
        <f>IF(vend12[[#This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51"/>
      <c r="G7" s="51"/>
      <c r="H7" s="52"/>
      <c r="I7" s="5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51"/>
      <c r="G8" s="51"/>
      <c r="H8" s="52"/>
      <c r="I8" s="5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3709</v>
      </c>
      <c r="L15" s="9" t="s">
        <v>129</v>
      </c>
      <c r="M15" s="16" t="s">
        <v>143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3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" zoomScale="80" zoomScaleNormal="8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'12'!B1+1</f>
        <v>45548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124.5</v>
      </c>
      <c r="D6" s="2"/>
      <c r="E6" s="18"/>
      <c r="F6" s="25"/>
      <c r="G6" s="26"/>
      <c r="H6" s="8"/>
      <c r="I6" s="8"/>
      <c r="J6" s="2"/>
      <c r="K6" s="25" t="s">
        <v>166</v>
      </c>
      <c r="L6" s="9" t="s">
        <v>10</v>
      </c>
      <c r="M6" s="16">
        <v>28</v>
      </c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56</v>
      </c>
      <c r="D7" s="2"/>
      <c r="E7" s="18"/>
      <c r="F7" s="25"/>
      <c r="G7" s="26"/>
      <c r="H7" s="8"/>
      <c r="I7" s="8"/>
      <c r="J7" s="2"/>
      <c r="K7" s="25" t="s">
        <v>167</v>
      </c>
      <c r="L7" s="9" t="s">
        <v>10</v>
      </c>
      <c r="M7" s="16">
        <v>28</v>
      </c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180.5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124.5</v>
      </c>
      <c r="D15" s="2"/>
      <c r="E15" s="18"/>
      <c r="F15" s="25"/>
      <c r="G15" s="26"/>
      <c r="H15" s="8"/>
      <c r="I15" s="8"/>
      <c r="J15" s="2"/>
      <c r="K15" s="25">
        <v>3708</v>
      </c>
      <c r="L15" s="9" t="s">
        <v>129</v>
      </c>
      <c r="M15" s="16" t="s">
        <v>143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124.5</v>
      </c>
      <c r="D16" s="2"/>
      <c r="E16" s="18"/>
      <c r="F16" s="25"/>
      <c r="G16" s="26"/>
      <c r="H16" s="8"/>
      <c r="I16" s="8"/>
      <c r="J16" s="2"/>
      <c r="K16" s="25">
        <v>3722</v>
      </c>
      <c r="L16" s="9" t="s">
        <v>135</v>
      </c>
      <c r="M16" s="16" t="s">
        <v>143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3722</v>
      </c>
      <c r="F26" s="25" t="s">
        <v>168</v>
      </c>
      <c r="G26" s="26" t="s">
        <v>10</v>
      </c>
      <c r="H26" s="8"/>
      <c r="I26" s="8">
        <v>124.5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B4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'13'!B1+1</f>
        <v>45549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3718</v>
      </c>
      <c r="L15" s="9" t="s">
        <v>135</v>
      </c>
      <c r="M15" s="16" t="s">
        <v>143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'14'!B1+1</f>
        <v>45550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6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68" zoomScaleNormal="68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'15'!B1+1</f>
        <v>45551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3689</v>
      </c>
      <c r="L15" s="9" t="s">
        <v>135</v>
      </c>
      <c r="M15" s="16" t="s">
        <v>143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3719</v>
      </c>
      <c r="L16" s="9" t="s">
        <v>129</v>
      </c>
      <c r="M16" s="16" t="s">
        <v>143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3712</v>
      </c>
      <c r="L17" s="9" t="s">
        <v>129</v>
      </c>
      <c r="M17" s="66" t="s">
        <v>143</v>
      </c>
      <c r="R17" s="1">
        <f>IF(vend16[[#This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>
        <v>3711</v>
      </c>
      <c r="L18" s="9" t="s">
        <v>129</v>
      </c>
      <c r="M18" s="16" t="s">
        <v>143</v>
      </c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view="pageLayout" topLeftCell="B1" zoomScale="80" zoomScaleNormal="100" zoomScalePageLayoutView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'16'!B1+1</f>
        <v>45552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775</v>
      </c>
      <c r="D6" s="2"/>
      <c r="E6" s="18">
        <v>3724</v>
      </c>
      <c r="F6" s="25" t="s">
        <v>171</v>
      </c>
      <c r="G6" s="26" t="s">
        <v>8</v>
      </c>
      <c r="H6" s="8">
        <v>65</v>
      </c>
      <c r="I6" s="8">
        <v>65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775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108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575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3714</v>
      </c>
      <c r="L15" s="9" t="s">
        <v>129</v>
      </c>
      <c r="M15" s="16" t="s">
        <v>143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883</v>
      </c>
      <c r="D16" s="2"/>
      <c r="E16" s="18"/>
      <c r="F16" s="25"/>
      <c r="G16" s="26"/>
      <c r="H16" s="8"/>
      <c r="I16" s="8"/>
      <c r="J16" s="2"/>
      <c r="K16" s="25">
        <v>3720</v>
      </c>
      <c r="L16" s="9" t="s">
        <v>129</v>
      </c>
      <c r="M16" s="16" t="s">
        <v>143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3620</v>
      </c>
      <c r="L17" s="9" t="s">
        <v>129</v>
      </c>
      <c r="M17" s="16" t="s">
        <v>143</v>
      </c>
      <c r="R17" s="1">
        <f>IF(vend17[[#This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3620</v>
      </c>
      <c r="F26" s="25" t="s">
        <v>170</v>
      </c>
      <c r="G26" s="26" t="s">
        <v>10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3620</v>
      </c>
      <c r="F27" s="25" t="s">
        <v>170</v>
      </c>
      <c r="G27" s="26" t="s">
        <v>8</v>
      </c>
      <c r="H27" s="8"/>
      <c r="I27" s="8">
        <v>510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3637</v>
      </c>
      <c r="F35" s="25" t="s">
        <v>169</v>
      </c>
      <c r="G35" s="26" t="s">
        <v>7</v>
      </c>
      <c r="H35" s="8">
        <v>108</v>
      </c>
      <c r="I35" s="8" t="s">
        <v>53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'17'!B1+1</f>
        <v>45553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58"/>
      <c r="G6" s="88"/>
      <c r="H6" s="69"/>
      <c r="I6" s="69"/>
      <c r="J6" s="2"/>
      <c r="K6" s="25"/>
      <c r="L6" s="64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3723</v>
      </c>
      <c r="L15" s="9" t="s">
        <v>129</v>
      </c>
      <c r="M15" s="16" t="s">
        <v>143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2"/>
      <c r="F23" s="62"/>
      <c r="G23" s="62"/>
      <c r="H23" s="63"/>
      <c r="I23" s="63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view="pageLayout" topLeftCell="C1" zoomScaleNormal="90" zoomScaleSheetLayoutView="70" workbookViewId="0">
      <selection activeCell="F20" sqref="F2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6.57031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'18'!B1+1</f>
        <v>45554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495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774</v>
      </c>
      <c r="D6" s="2"/>
      <c r="E6" s="18">
        <v>3725</v>
      </c>
      <c r="F6" s="25" t="s">
        <v>173</v>
      </c>
      <c r="G6" s="26" t="s">
        <v>10</v>
      </c>
      <c r="H6" s="8">
        <v>495</v>
      </c>
      <c r="I6" s="8">
        <v>100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65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774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58"/>
      <c r="G9" s="88"/>
      <c r="H9" s="69"/>
      <c r="I9" s="69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14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660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774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495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3716</v>
      </c>
      <c r="F26" s="39" t="s">
        <v>172</v>
      </c>
      <c r="G26" s="26" t="s">
        <v>8</v>
      </c>
      <c r="H26" s="8"/>
      <c r="I26" s="8">
        <v>660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3716</v>
      </c>
      <c r="F27" s="25" t="s">
        <v>172</v>
      </c>
      <c r="G27" s="26" t="s">
        <v>7</v>
      </c>
      <c r="H27" s="8"/>
      <c r="I27" s="8">
        <v>14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89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B1" zoomScale="80" zoomScaleNormal="80" workbookViewId="0">
      <selection activeCell="F20" sqref="F2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'19'!B1+1</f>
        <v>45555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629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790</v>
      </c>
      <c r="D6" s="2"/>
      <c r="E6" s="18">
        <v>3726</v>
      </c>
      <c r="F6" s="25" t="s">
        <v>174</v>
      </c>
      <c r="G6" s="26" t="s">
        <v>10</v>
      </c>
      <c r="H6" s="8">
        <v>629</v>
      </c>
      <c r="I6" s="8">
        <v>100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790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3710</v>
      </c>
      <c r="L15" s="9" t="s">
        <v>129</v>
      </c>
      <c r="M15" s="16" t="s">
        <v>143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790</v>
      </c>
      <c r="D16" s="2"/>
      <c r="E16" s="18"/>
      <c r="F16" s="25"/>
      <c r="G16" s="26"/>
      <c r="H16" s="8"/>
      <c r="I16" s="8"/>
      <c r="J16" s="2"/>
      <c r="K16" s="25">
        <v>3724</v>
      </c>
      <c r="L16" s="9" t="s">
        <v>129</v>
      </c>
      <c r="M16" s="66" t="s">
        <v>143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3702</v>
      </c>
      <c r="L17" s="9" t="s">
        <v>129</v>
      </c>
      <c r="M17" s="16" t="s">
        <v>143</v>
      </c>
      <c r="R17" s="1">
        <f>IF(vend20[[#This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629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3702</v>
      </c>
      <c r="F26" s="25" t="s">
        <v>175</v>
      </c>
      <c r="G26" s="26" t="s">
        <v>7</v>
      </c>
      <c r="H26" s="8"/>
      <c r="I26" s="8">
        <v>190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3702</v>
      </c>
      <c r="F27" s="25" t="s">
        <v>175</v>
      </c>
      <c r="G27" s="26" t="s">
        <v>6</v>
      </c>
      <c r="H27" s="8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66"/>
    </row>
    <row r="36" spans="2:18" ht="15.75" x14ac:dyDescent="0.25">
      <c r="E36" s="94"/>
      <c r="F36" s="25"/>
      <c r="G36" s="26"/>
      <c r="H36" s="8"/>
      <c r="I36" s="8"/>
      <c r="K36" s="25"/>
      <c r="L36" s="67"/>
      <c r="M36" s="6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B31" sqref="B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'20'!B1+1</f>
        <v>45556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70" zoomScaleNormal="7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'21'!B1+1</f>
        <v>45557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C3" zoomScale="90" zoomScaleNormal="90" workbookViewId="0">
      <selection activeCell="V16" sqref="V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'22'!B1+1</f>
        <v>45558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3400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550</v>
      </c>
      <c r="D6" s="2"/>
      <c r="E6" s="18">
        <v>3727</v>
      </c>
      <c r="F6" s="25" t="s">
        <v>176</v>
      </c>
      <c r="G6" s="26" t="s">
        <v>7</v>
      </c>
      <c r="H6" s="8">
        <v>2100</v>
      </c>
      <c r="I6" s="8">
        <v>10</v>
      </c>
      <c r="J6" s="2"/>
      <c r="K6" s="25" t="s">
        <v>179</v>
      </c>
      <c r="L6" s="9" t="s">
        <v>6</v>
      </c>
      <c r="M6" s="16">
        <v>20</v>
      </c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20</v>
      </c>
      <c r="D7" s="2"/>
      <c r="E7" s="18">
        <v>3728</v>
      </c>
      <c r="F7" s="25" t="s">
        <v>177</v>
      </c>
      <c r="G7" s="26" t="s">
        <v>6</v>
      </c>
      <c r="H7" s="8">
        <v>800</v>
      </c>
      <c r="I7" s="8">
        <v>40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570</v>
      </c>
      <c r="D8" s="2"/>
      <c r="E8" s="18">
        <v>3729</v>
      </c>
      <c r="F8" s="25" t="s">
        <v>178</v>
      </c>
      <c r="G8" s="26" t="s">
        <v>8</v>
      </c>
      <c r="H8" s="8">
        <v>250</v>
      </c>
      <c r="I8" s="8">
        <v>250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3730</v>
      </c>
      <c r="F9" s="25" t="s">
        <v>178</v>
      </c>
      <c r="G9" s="26" t="s">
        <v>8</v>
      </c>
      <c r="H9" s="8">
        <v>250</v>
      </c>
      <c r="I9" s="8">
        <v>250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(SUMIF($G$2:$G$31,B11,$I$2:$I$31))+(SUMIF($G$35:$G$44,B11,$H$35:$H$44))</f>
        <v>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(SUMIF($G$2:$G$31,B12,$I$2:$I$31))+(SUMIF($G$35:$G$44,B12,$H$35:$H$44))</f>
        <v>10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(SUMIF($G$2:$G$31,B13,$I$2:$I$31))+(SUMIF($G$35:$G$44,B13,$H$35:$H$44))</f>
        <v>500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IF(vend23[[#This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(SUMIF($G$2:$G$31,B14,$I$2:$I$31))+(SUMIF($G$35:$G$44,B14,$H$35:$H$44))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550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92"/>
      <c r="F42" s="74"/>
      <c r="G42" s="75"/>
      <c r="H42" s="76"/>
      <c r="I42" s="17"/>
    </row>
    <row r="43" spans="2:18" ht="15.75" x14ac:dyDescent="0.25">
      <c r="E43" s="92"/>
      <c r="F43" s="90"/>
      <c r="G43" s="89"/>
      <c r="H43" s="91"/>
      <c r="I43" s="8"/>
    </row>
    <row r="44" spans="2:18" ht="15.75" x14ac:dyDescent="0.25">
      <c r="E44" s="93"/>
      <c r="F44" s="74"/>
      <c r="G44" s="75"/>
      <c r="H44" s="76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I8" sqref="I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23.42578125" style="4" bestFit="1" customWidth="1"/>
    <col min="9" max="9" width="21" style="4" bestFit="1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'23'!B1+1</f>
        <v>45559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5937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3587</v>
      </c>
      <c r="D6" s="2"/>
      <c r="E6" s="18">
        <v>3731</v>
      </c>
      <c r="F6" s="25" t="s">
        <v>180</v>
      </c>
      <c r="G6" s="26" t="s">
        <v>8</v>
      </c>
      <c r="H6" s="8">
        <v>2700</v>
      </c>
      <c r="I6" s="8">
        <v>2000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3731</v>
      </c>
      <c r="F7" s="25" t="s">
        <v>180</v>
      </c>
      <c r="G7" s="26" t="s">
        <v>8</v>
      </c>
      <c r="H7" s="8">
        <v>0</v>
      </c>
      <c r="I7" s="8">
        <v>300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3587</v>
      </c>
      <c r="D8" s="2"/>
      <c r="E8" s="18">
        <v>3732</v>
      </c>
      <c r="F8" s="25" t="s">
        <v>180</v>
      </c>
      <c r="G8" s="26" t="s">
        <v>8</v>
      </c>
      <c r="H8" s="8">
        <v>200</v>
      </c>
      <c r="I8" s="8">
        <v>100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3733</v>
      </c>
      <c r="F9" s="25" t="s">
        <v>181</v>
      </c>
      <c r="G9" s="26" t="s">
        <v>10</v>
      </c>
      <c r="H9" s="8">
        <v>1390</v>
      </c>
      <c r="I9" s="8">
        <v>139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99" t="s">
        <v>5</v>
      </c>
      <c r="C10" s="99"/>
      <c r="D10" s="2"/>
      <c r="E10" s="95">
        <v>3734</v>
      </c>
      <c r="F10" s="96" t="s">
        <v>182</v>
      </c>
      <c r="G10" s="97" t="s">
        <v>50</v>
      </c>
      <c r="H10" s="98" t="s">
        <v>201</v>
      </c>
      <c r="I10" s="98" t="s">
        <v>200</v>
      </c>
      <c r="J10" s="2"/>
      <c r="K10" s="25"/>
      <c r="L10" s="9"/>
      <c r="M10" s="16"/>
      <c r="R10" s="1">
        <f>IF(vend24[[#This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>
        <v>3735</v>
      </c>
      <c r="F11" s="25" t="s">
        <v>183</v>
      </c>
      <c r="G11" s="26" t="s">
        <v>6</v>
      </c>
      <c r="H11" s="8">
        <v>399</v>
      </c>
      <c r="I11" s="8">
        <v>20</v>
      </c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>
        <v>3735</v>
      </c>
      <c r="F12" s="25" t="s">
        <v>183</v>
      </c>
      <c r="G12" s="26" t="s">
        <v>10</v>
      </c>
      <c r="H12" s="8">
        <v>0</v>
      </c>
      <c r="I12" s="8">
        <v>379</v>
      </c>
      <c r="J12" s="2"/>
      <c r="R12" s="1">
        <f>IF(vend24[[#This Row],[Nº Venda]]&gt;1,1,0)</f>
        <v>1</v>
      </c>
    </row>
    <row r="13" spans="2:18" ht="15.75" x14ac:dyDescent="0.25">
      <c r="B13" s="30" t="s">
        <v>8</v>
      </c>
      <c r="C13" s="31">
        <f t="shared" si="0"/>
        <v>2400</v>
      </c>
      <c r="D13" s="2"/>
      <c r="E13" s="87">
        <v>3736</v>
      </c>
      <c r="F13" s="25" t="s">
        <v>184</v>
      </c>
      <c r="G13" s="26" t="s">
        <v>7</v>
      </c>
      <c r="H13" s="8">
        <v>699</v>
      </c>
      <c r="I13" s="8">
        <v>100</v>
      </c>
      <c r="J13" s="2"/>
      <c r="K13" s="101" t="s">
        <v>22</v>
      </c>
      <c r="L13" s="102"/>
      <c r="M13" s="103"/>
      <c r="R13" s="1">
        <f>IF(vend24[[#This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>
        <v>3737</v>
      </c>
      <c r="F14" s="25" t="s">
        <v>185</v>
      </c>
      <c r="G14" s="26" t="s">
        <v>10</v>
      </c>
      <c r="H14" s="8">
        <v>549</v>
      </c>
      <c r="I14" s="8">
        <v>549</v>
      </c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1</v>
      </c>
    </row>
    <row r="15" spans="2:18" ht="15.75" x14ac:dyDescent="0.25">
      <c r="B15" s="30" t="s">
        <v>10</v>
      </c>
      <c r="C15" s="31">
        <f t="shared" si="0"/>
        <v>1067</v>
      </c>
      <c r="D15" s="2"/>
      <c r="E15" s="18"/>
      <c r="F15" s="25"/>
      <c r="G15" s="26"/>
      <c r="H15" s="8"/>
      <c r="I15" s="8"/>
      <c r="J15" s="2"/>
      <c r="K15" s="25">
        <v>3707</v>
      </c>
      <c r="L15" s="9" t="s">
        <v>135</v>
      </c>
      <c r="M15" s="16" t="s">
        <v>143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3587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5937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V41"/>
  <sheetViews>
    <sheetView showGridLines="0" view="pageBreakPreview" topLeftCell="A2" zoomScale="60" zoomScaleNormal="8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4">
        <f>'24'!B1+1</f>
        <v>45560</v>
      </c>
    </row>
    <row r="2" spans="2:22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22" ht="15" x14ac:dyDescent="0.25">
      <c r="B5" s="23" t="s">
        <v>1</v>
      </c>
      <c r="C5" s="24">
        <f>SUMIF(I6:I31,"&gt;0",H6:H31)</f>
        <v>3807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 ca="1">C16</f>
        <v>6012</v>
      </c>
      <c r="D6" s="2"/>
      <c r="E6" s="18">
        <v>3738</v>
      </c>
      <c r="F6" s="25" t="s">
        <v>186</v>
      </c>
      <c r="G6" s="26" t="s">
        <v>7</v>
      </c>
      <c r="H6" s="8">
        <v>817</v>
      </c>
      <c r="I6" s="8">
        <v>300</v>
      </c>
      <c r="J6" s="2"/>
      <c r="K6" s="25"/>
      <c r="L6" s="9"/>
      <c r="M6" s="16"/>
      <c r="R6" s="1">
        <f>IF(vend25[[#This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3738</v>
      </c>
      <c r="F7" s="25" t="s">
        <v>186</v>
      </c>
      <c r="G7" s="26" t="s">
        <v>8</v>
      </c>
      <c r="H7" s="8"/>
      <c r="I7" s="8">
        <v>517</v>
      </c>
      <c r="J7" s="2"/>
      <c r="K7" s="25"/>
      <c r="L7" s="9"/>
      <c r="M7" s="16"/>
      <c r="R7" s="1">
        <f>IF(vend25[[#This Row],[Nº Venda]]&gt;1,1,0)</f>
        <v>1</v>
      </c>
    </row>
    <row r="8" spans="2:22" ht="15.75" x14ac:dyDescent="0.25">
      <c r="B8" s="28" t="s">
        <v>21</v>
      </c>
      <c r="C8" s="29">
        <f ca="1">SUM(C6:C7)</f>
        <v>6012</v>
      </c>
      <c r="D8" s="2"/>
      <c r="E8" s="18">
        <v>3739</v>
      </c>
      <c r="F8" s="25" t="s">
        <v>189</v>
      </c>
      <c r="G8" s="26" t="s">
        <v>8</v>
      </c>
      <c r="H8" s="8">
        <v>2990</v>
      </c>
      <c r="I8" s="8">
        <v>2990</v>
      </c>
      <c r="J8" s="2"/>
      <c r="K8" s="25"/>
      <c r="L8" s="9"/>
      <c r="M8" s="16"/>
      <c r="R8" s="1">
        <f>IF(vend25[[#This Row],[Nº Venda]]&gt;1,1,0)</f>
        <v>1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22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115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  <c r="V11" s="1" t="s">
        <v>188</v>
      </c>
    </row>
    <row r="12" spans="2:22" ht="15.75" x14ac:dyDescent="0.25">
      <c r="B12" s="30" t="s">
        <v>7</v>
      </c>
      <c r="C12" s="31">
        <f ca="1">(SUMIF($G$2:$G$31,B12,$I$2:$I$31))+(SUMIF($G$35:$G$41,B12,$H$36:$H$41))</f>
        <v>300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22" ht="15.75" x14ac:dyDescent="0.25">
      <c r="B13" s="30" t="s">
        <v>8</v>
      </c>
      <c r="C13" s="31">
        <f ca="1">(SUMIF($G$2:$G$31,B13,$I$2:$I$31))+(SUMIF($G$35:$G$41,B13,$H$36:$H$41))</f>
        <v>5597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IF(vend25[[#This Row],[Nº Venda]]&gt;1,1,0)</f>
        <v>0</v>
      </c>
    </row>
    <row r="14" spans="2:22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87"/>
      <c r="F14" s="25"/>
      <c r="G14" s="26"/>
      <c r="H14" s="8" t="s">
        <v>190</v>
      </c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22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>
        <v>3716</v>
      </c>
      <c r="L15" s="9" t="s">
        <v>129</v>
      </c>
      <c r="M15" s="16" t="s">
        <v>143</v>
      </c>
      <c r="R15" s="1">
        <f>IF(vend25[[#This Row],[Nº Venda]]&gt;1,1,0)</f>
        <v>0</v>
      </c>
    </row>
    <row r="16" spans="2:22" ht="15.75" x14ac:dyDescent="0.25">
      <c r="B16" s="28" t="s">
        <v>11</v>
      </c>
      <c r="C16" s="32">
        <f ca="1">SUM(C11:C15)</f>
        <v>6012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3807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3727</v>
      </c>
      <c r="F26" s="25" t="s">
        <v>176</v>
      </c>
      <c r="G26" s="26" t="s">
        <v>8</v>
      </c>
      <c r="H26" s="8"/>
      <c r="I26" s="8">
        <v>2090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3553</v>
      </c>
      <c r="F35" s="25" t="s">
        <v>187</v>
      </c>
      <c r="G35" s="26" t="s">
        <v>6</v>
      </c>
      <c r="H35" s="71">
        <v>115</v>
      </c>
      <c r="I35" s="8" t="s">
        <v>45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X41"/>
  <sheetViews>
    <sheetView showGridLines="0" zoomScale="60" zoomScaleNormal="60" workbookViewId="0">
      <selection activeCell="J7" sqref="J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'25'!B1+1</f>
        <v>45561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893</v>
      </c>
      <c r="D6" s="2"/>
      <c r="E6" s="18">
        <v>3740</v>
      </c>
      <c r="F6" s="25" t="s">
        <v>191</v>
      </c>
      <c r="G6" s="26" t="s">
        <v>8</v>
      </c>
      <c r="H6" s="8">
        <v>399</v>
      </c>
      <c r="I6" s="8">
        <v>133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3741</v>
      </c>
      <c r="F7" s="25" t="s">
        <v>194</v>
      </c>
      <c r="G7" s="26" t="s">
        <v>40</v>
      </c>
      <c r="H7" s="8">
        <v>0</v>
      </c>
      <c r="I7" s="8">
        <v>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893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133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3728</v>
      </c>
      <c r="L15" s="9" t="s">
        <v>129</v>
      </c>
      <c r="M15" s="16" t="s">
        <v>143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893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3728</v>
      </c>
      <c r="F26" s="25" t="s">
        <v>192</v>
      </c>
      <c r="G26" s="26" t="s">
        <v>6</v>
      </c>
      <c r="H26" s="8"/>
      <c r="I26" s="8">
        <v>760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4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24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24" ht="15.75" x14ac:dyDescent="0.25">
      <c r="E35" s="18"/>
      <c r="F35" s="25"/>
      <c r="G35" s="26"/>
      <c r="H35" s="8"/>
      <c r="I35" s="8"/>
      <c r="K35" s="25"/>
      <c r="L35" s="41"/>
      <c r="M35" s="16"/>
    </row>
    <row r="36" spans="2:24" ht="15.75" x14ac:dyDescent="0.25">
      <c r="E36" s="94"/>
      <c r="F36" s="25"/>
      <c r="G36" s="26"/>
      <c r="H36" s="8"/>
      <c r="I36" s="8"/>
      <c r="K36" s="25"/>
      <c r="L36" s="41"/>
      <c r="M36" s="16"/>
    </row>
    <row r="37" spans="2:24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4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4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4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  <c r="X40" s="1" t="s">
        <v>193</v>
      </c>
    </row>
    <row r="41" spans="2:24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" zoomScale="70" zoomScaleNormal="70" workbookViewId="0">
      <selection activeCell="G13" sqref="G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'26'!B1+1</f>
        <v>45562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65</v>
      </c>
      <c r="D6" s="2"/>
      <c r="E6" s="18">
        <v>3742</v>
      </c>
      <c r="F6" s="25" t="s">
        <v>195</v>
      </c>
      <c r="G6" s="26" t="s">
        <v>7</v>
      </c>
      <c r="H6" s="8">
        <v>65</v>
      </c>
      <c r="I6" s="8">
        <v>65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65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65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" zoomScale="70" zoomScaleNormal="70" workbookViewId="0">
      <selection activeCell="C26" sqref="C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'27'!B1+1</f>
        <v>45563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1080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3743</v>
      </c>
      <c r="F6" s="25" t="s">
        <v>196</v>
      </c>
      <c r="G6" s="26" t="s">
        <v>6</v>
      </c>
      <c r="H6" s="8">
        <v>1080</v>
      </c>
      <c r="I6" s="8">
        <v>50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9">
        <f>'28'!B1+1</f>
        <v>45564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6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view="pageBreakPreview" zoomScale="70" zoomScaleNormal="100" zoomScaleSheetLayoutView="70" workbookViewId="0">
      <selection activeCell="X21" sqref="X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22.42578125" style="1" customWidth="1"/>
    <col min="4" max="4" width="2.7109375" style="1" customWidth="1"/>
    <col min="5" max="5" width="24.710937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7" style="3" customWidth="1"/>
    <col min="12" max="12" width="16.710937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'29'!B1+1</f>
        <v>45565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1150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1811</v>
      </c>
      <c r="D6" s="2"/>
      <c r="E6" s="18">
        <v>3744</v>
      </c>
      <c r="F6" s="25" t="s">
        <v>199</v>
      </c>
      <c r="G6" s="26" t="s">
        <v>8</v>
      </c>
      <c r="H6" s="8">
        <v>1150</v>
      </c>
      <c r="I6" s="8">
        <v>1150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1811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266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1150</v>
      </c>
      <c r="D13" s="2"/>
      <c r="E13" s="87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395</v>
      </c>
      <c r="D15" s="2"/>
      <c r="E15" s="18"/>
      <c r="F15" s="25"/>
      <c r="G15" s="26"/>
      <c r="H15" s="8"/>
      <c r="I15" s="8"/>
      <c r="J15" s="2"/>
      <c r="K15" s="25">
        <v>3740</v>
      </c>
      <c r="L15" s="9" t="s">
        <v>135</v>
      </c>
      <c r="M15" s="16" t="s">
        <v>143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1811</v>
      </c>
      <c r="D16" s="2"/>
      <c r="E16" s="18"/>
      <c r="F16" s="25"/>
      <c r="G16" s="26"/>
      <c r="H16" s="8"/>
      <c r="I16" s="8"/>
      <c r="J16" s="2"/>
      <c r="K16" s="25">
        <v>3725</v>
      </c>
      <c r="L16" s="9" t="s">
        <v>129</v>
      </c>
      <c r="M16" s="16" t="s">
        <v>143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3729</v>
      </c>
      <c r="L17" s="9" t="s">
        <v>129</v>
      </c>
      <c r="M17" s="16" t="s">
        <v>143</v>
      </c>
      <c r="R17" s="1">
        <f>IF(vend30[[#This Row],[Nº Venda]]&gt;1,1,0)</f>
        <v>0</v>
      </c>
    </row>
    <row r="18" spans="2:22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1150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3740</v>
      </c>
      <c r="F26" s="25" t="s">
        <v>198</v>
      </c>
      <c r="G26" s="26" t="s">
        <v>7</v>
      </c>
      <c r="H26" s="8"/>
      <c r="I26" s="8">
        <v>266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3725</v>
      </c>
      <c r="F27" s="25" t="s">
        <v>173</v>
      </c>
      <c r="G27" s="26" t="s">
        <v>10</v>
      </c>
      <c r="H27" s="8"/>
      <c r="I27" s="8">
        <v>395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A059-9AB8-4F12-A94D-4CE2D901DC69}">
  <dimension ref="A1"/>
  <sheetViews>
    <sheetView view="pageLayout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'30'!B1+1</f>
        <v>45566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7" t="s">
        <v>1</v>
      </c>
      <c r="F4" s="107"/>
      <c r="G4" s="107"/>
      <c r="H4" s="107"/>
      <c r="I4" s="107"/>
      <c r="J4" s="22"/>
      <c r="K4" s="101" t="s">
        <v>3</v>
      </c>
      <c r="L4" s="102"/>
      <c r="M4" s="10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9" t="s">
        <v>5</v>
      </c>
      <c r="C10" s="9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1" t="s">
        <v>22</v>
      </c>
      <c r="L13" s="102"/>
      <c r="M13" s="103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9" t="s">
        <v>12</v>
      </c>
      <c r="C18" s="9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topLeftCell="A2" workbookViewId="0">
      <selection activeCell="A2" sqref="A2:A13000"/>
    </sheetView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35</vt:i4>
      </vt:variant>
      <vt:variant>
        <vt:lpstr>Intervalos Nomeados</vt:lpstr>
      </vt:variant>
      <vt:variant>
        <vt:i4>5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Planilha1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2024-10-01T20:16:53Z</cp:lastPrinted>
  <dcterms:created xsi:type="dcterms:W3CDTF">2004-04-07T20:43:43Z</dcterms:created>
  <dcterms:modified xsi:type="dcterms:W3CDTF">2024-10-31T18:45:00Z</dcterms:modified>
  <cp:category/>
  <cp:contentStatus/>
</cp:coreProperties>
</file>