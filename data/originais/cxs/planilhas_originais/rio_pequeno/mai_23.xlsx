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comments2.xml" ContentType="application/vnd.openxmlformats-officedocument.spreadsheetml.comments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657" documentId="13_ncr:1_{FA6CA665-8FAA-4642-A6DD-419F138C01C4}" xr6:coauthVersionLast="47" xr6:coauthVersionMax="47" xr10:uidLastSave="{1C7EA64A-AA59-4810-8161-7139F409D2A5}"/>
  <bookViews>
    <workbookView xWindow="-120" yWindow="330" windowWidth="29040" windowHeight="15990" tabRatio="895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204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88" l="1"/>
  <c r="B1" i="193" s="1"/>
  <c r="B1" i="195" s="1"/>
  <c r="B1" i="194" s="1"/>
  <c r="B1" i="204" s="1"/>
  <c r="B1" i="196" s="1"/>
  <c r="B1" i="191"/>
  <c r="B1" i="190"/>
  <c r="B1" i="189"/>
  <c r="B1" i="187"/>
  <c r="B1" i="186"/>
  <c r="B1" i="185"/>
  <c r="B1" i="184"/>
  <c r="B1" i="179"/>
  <c r="C14" i="204"/>
  <c r="C14" i="191"/>
  <c r="C13" i="204"/>
  <c r="R20" i="204"/>
  <c r="R19" i="204"/>
  <c r="C19" i="204"/>
  <c r="C20" i="204" s="1"/>
  <c r="B19" i="204"/>
  <c r="R18" i="204"/>
  <c r="R17" i="204"/>
  <c r="R16" i="204"/>
  <c r="R15" i="204"/>
  <c r="C15" i="204"/>
  <c r="R14" i="204"/>
  <c r="R13" i="204"/>
  <c r="R12" i="204"/>
  <c r="C12" i="204"/>
  <c r="R11" i="204"/>
  <c r="C11" i="204"/>
  <c r="R10" i="204"/>
  <c r="R9" i="204"/>
  <c r="R8" i="204"/>
  <c r="R7" i="204"/>
  <c r="C7" i="204"/>
  <c r="R6" i="204"/>
  <c r="C6" i="204"/>
  <c r="C8" i="204" s="1"/>
  <c r="C5" i="204"/>
  <c r="C22" i="204" s="1"/>
  <c r="C15" i="193"/>
  <c r="C12" i="193"/>
  <c r="C13" i="193"/>
  <c r="C14" i="193"/>
  <c r="C11" i="19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5" i="191"/>
  <c r="C12" i="188"/>
  <c r="C13" i="188"/>
  <c r="C14" i="188"/>
  <c r="C15" i="188"/>
  <c r="C12" i="195"/>
  <c r="C13" i="195"/>
  <c r="C14" i="195"/>
  <c r="C15" i="195"/>
  <c r="C12" i="194"/>
  <c r="C13" i="194"/>
  <c r="C14" i="194"/>
  <c r="C15" i="194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5"/>
  <c r="C11" i="194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6" i="196"/>
  <c r="C6" i="192"/>
  <c r="C8" i="192" s="1"/>
  <c r="C6" i="199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C16" i="204" l="1"/>
  <c r="O11" i="204" s="1"/>
  <c r="R40" i="204"/>
  <c r="B5" i="200"/>
  <c r="C8" i="174"/>
  <c r="C8" i="175"/>
  <c r="R40" i="198"/>
  <c r="B17" i="200"/>
  <c r="B18" i="200" s="1"/>
  <c r="R40" i="199"/>
  <c r="B9" i="200"/>
  <c r="B11" i="200"/>
  <c r="B10" i="200"/>
  <c r="B13" i="200"/>
  <c r="B12" i="200"/>
  <c r="B4" i="200"/>
  <c r="B3" i="200"/>
  <c r="R40" i="196"/>
  <c r="R40" i="192"/>
  <c r="R40" i="194"/>
  <c r="C8" i="194"/>
  <c r="R40" i="195"/>
  <c r="R40" i="193"/>
  <c r="R40" i="188"/>
  <c r="C8" i="188"/>
  <c r="R40" i="191"/>
  <c r="C8" i="191"/>
  <c r="R40" i="190"/>
  <c r="R40" i="187"/>
  <c r="R40" i="186"/>
  <c r="C20" i="185"/>
  <c r="R40" i="185"/>
  <c r="R40" i="18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92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H7" authorId="0" shapeId="0" xr:uid="{489FCBB0-C028-4710-9F27-5F76922A7B84}">
      <text>
        <r>
          <rPr>
            <sz val="10"/>
            <rFont val="Arial"/>
            <family val="2"/>
          </rPr>
          <t xml:space="preserve">
 Valor da venda ficou R$ 3.721,00, porém teve renegociação da venda, fechando no valor de R$ 3.000,00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G7" authorId="0" shapeId="0" xr:uid="{0FB770F0-AABA-47C2-855B-7D5DC7E8C91F}">
      <text>
        <r>
          <rPr>
            <sz val="10"/>
            <rFont val="Arial"/>
            <family val="2"/>
          </rPr>
          <t xml:space="preserve">
 Parcelado em 4x no cartão de crédito
</t>
        </r>
      </text>
    </comment>
  </commentList>
</comments>
</file>

<file path=xl/sharedStrings.xml><?xml version="1.0" encoding="utf-8"?>
<sst xmlns="http://schemas.openxmlformats.org/spreadsheetml/2006/main" count="2023" uniqueCount="332">
  <si>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</si>
  <si>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</si>
  <si>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</si>
  <si>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</si>
  <si>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</si>
  <si>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</si>
  <si>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</si>
  <si>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</si>
  <si>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</si>
  <si>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</si>
  <si>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</si>
  <si>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</si>
  <si>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</si>
  <si>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</si>
  <si>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</si>
  <si>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</si>
  <si>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</si>
  <si>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</si>
  <si>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</si>
  <si>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</si>
  <si>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</si>
  <si>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SS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</si>
  <si>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</si>
  <si>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</si>
  <si>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</si>
  <si>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</si>
  <si>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</si>
  <si>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</si>
  <si>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</si>
  <si>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</si>
  <si>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</si>
  <si>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</si>
  <si>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</si>
  <si>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</si>
  <si>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</si>
  <si>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EDSON CATARINO</t>
  </si>
  <si>
    <t>PARC. 2/5</t>
  </si>
  <si>
    <t>PARC. 5/7</t>
  </si>
  <si>
    <t>PARC. 3/5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</si>
  <si>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</si>
  <si>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</si>
  <si>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</si>
  <si>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</si>
  <si>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</si>
  <si>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</si>
  <si>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</si>
  <si>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</si>
  <si>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</si>
  <si>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</si>
  <si>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</si>
  <si>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</si>
  <si>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</si>
  <si>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</si>
  <si>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</si>
  <si>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</si>
  <si>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</si>
  <si>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</si>
  <si>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</si>
  <si>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</si>
  <si>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</si>
  <si>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</si>
  <si>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</si>
  <si>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</si>
  <si>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</si>
  <si>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</si>
  <si>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</si>
  <si>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</si>
  <si>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</si>
  <si>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</si>
  <si>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</si>
  <si>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</si>
  <si>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</si>
  <si>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</si>
  <si>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</si>
  <si>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</si>
  <si>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</si>
  <si>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</si>
  <si>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</si>
  <si>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</si>
  <si>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</si>
  <si>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</si>
  <si>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</si>
  <si>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</si>
  <si>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</si>
  <si>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</si>
  <si>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</si>
  <si>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</si>
  <si>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</si>
  <si>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</si>
  <si>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</si>
  <si>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</si>
  <si>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</si>
  <si>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</si>
  <si>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</si>
  <si>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</si>
  <si>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</si>
  <si>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</si>
  <si>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</si>
  <si>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</si>
  <si>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</si>
  <si>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</si>
  <si>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</si>
  <si>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</si>
  <si>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</si>
  <si>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</si>
  <si>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</si>
  <si>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</si>
  <si>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</si>
  <si>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</si>
  <si>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</si>
  <si>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</si>
  <si>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</si>
  <si>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</si>
  <si>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</si>
  <si>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</si>
  <si>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</si>
  <si>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</si>
  <si>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</si>
  <si>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</si>
  <si>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</si>
  <si>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</si>
  <si>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</si>
  <si>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</si>
  <si>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</si>
  <si>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</si>
  <si>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PERMUTA</t>
  </si>
  <si>
    <t>permuta com prestadores  de serviço</t>
  </si>
  <si>
    <t>27/0</t>
  </si>
  <si>
    <t>GIOVANNA V.</t>
  </si>
  <si>
    <t>MARIA IZABEL</t>
  </si>
  <si>
    <t>WESLEY AL</t>
  </si>
  <si>
    <t>Raimunda Tomaz de Araújo</t>
  </si>
  <si>
    <t>Thaís de Araújo (anexo OS 2642)</t>
  </si>
  <si>
    <t>cartolina</t>
  </si>
  <si>
    <t>dn</t>
  </si>
  <si>
    <t>canetão</t>
  </si>
  <si>
    <t>pão</t>
  </si>
  <si>
    <t>ctd</t>
  </si>
  <si>
    <t>ICARO MAIA SANTOS</t>
  </si>
  <si>
    <t>LARISSE MACHADO</t>
  </si>
  <si>
    <t>CELIA R</t>
  </si>
  <si>
    <t>EDNA MARIA</t>
  </si>
  <si>
    <t>EDNEIDE G</t>
  </si>
  <si>
    <t>DALVA R</t>
  </si>
  <si>
    <t>SAMUEL DE M</t>
  </si>
  <si>
    <t>JOSE NILTON</t>
  </si>
  <si>
    <t>ADRIANA DOS S</t>
  </si>
  <si>
    <t>MARIA DA C</t>
  </si>
  <si>
    <t>MIRALVA D</t>
  </si>
  <si>
    <t>PÃO</t>
  </si>
  <si>
    <t>JULIANA ALVES</t>
  </si>
  <si>
    <t>ANTONIO JOSE</t>
  </si>
  <si>
    <t>DOMICIO GODE</t>
  </si>
  <si>
    <t>ANA MARIA</t>
  </si>
  <si>
    <t>(GARANTIA)</t>
  </si>
  <si>
    <t>Pão</t>
  </si>
  <si>
    <t>Mariana Silva</t>
  </si>
  <si>
    <t>Irene Alves</t>
  </si>
  <si>
    <t>Genesio Santos</t>
  </si>
  <si>
    <t>JOSUE DE O</t>
  </si>
  <si>
    <t>JEANE(ANEXO)</t>
  </si>
  <si>
    <t>KASSIA R</t>
  </si>
  <si>
    <t>MARIA MENDES</t>
  </si>
  <si>
    <t>JOSE ALEXANDRE</t>
  </si>
  <si>
    <t>IVANILDO A</t>
  </si>
  <si>
    <t>ROSANGELA C(ANEXO)</t>
  </si>
  <si>
    <t>ELISABETH V</t>
  </si>
  <si>
    <t>GENY Q</t>
  </si>
  <si>
    <t>ANDRE LUIS</t>
  </si>
  <si>
    <t>CECILIA F</t>
  </si>
  <si>
    <t>SAMANTA ROSA</t>
  </si>
  <si>
    <t>ALMOÇO</t>
  </si>
  <si>
    <t>SUFITE</t>
  </si>
  <si>
    <t>IRACI MARIA DE JESUS</t>
  </si>
  <si>
    <t xml:space="preserve">FRANCINEIDE </t>
  </si>
  <si>
    <t>ROSANA CORREIA</t>
  </si>
  <si>
    <t>FERNANDA S.</t>
  </si>
  <si>
    <t>DAMIANA LINS (CARNÊ)</t>
  </si>
  <si>
    <t>JOAQUIM RODRIGUES</t>
  </si>
  <si>
    <t>RAFAELA SANTOS</t>
  </si>
  <si>
    <t>ANDREA DE S</t>
  </si>
  <si>
    <t>CRISTINA LUDOVICO</t>
  </si>
  <si>
    <t>ELAINE NUNES</t>
  </si>
  <si>
    <t>MARIA DA CONCEIÇÃO</t>
  </si>
  <si>
    <t>LUIZ RICARDO M</t>
  </si>
  <si>
    <t>MARIA CLARA</t>
  </si>
  <si>
    <t>ANA CAROLINA</t>
  </si>
  <si>
    <t>LUCILIA C</t>
  </si>
  <si>
    <t>IDORALINA C</t>
  </si>
  <si>
    <t>EDER DOS S</t>
  </si>
  <si>
    <t>PAULO A</t>
  </si>
  <si>
    <t>PATRICIO R</t>
  </si>
  <si>
    <t>LUCIANA A</t>
  </si>
  <si>
    <t>EDSON B</t>
  </si>
  <si>
    <t>ANE CAROLINE A PEREIRA</t>
  </si>
  <si>
    <t>IGOR NASC</t>
  </si>
  <si>
    <t xml:space="preserve">TALITA </t>
  </si>
  <si>
    <t>ELIENE DA S</t>
  </si>
  <si>
    <t>TALITA JULIANA</t>
  </si>
  <si>
    <t>LILA M</t>
  </si>
  <si>
    <t>PAPEL SUFITE</t>
  </si>
  <si>
    <t>SANDRA MARIA</t>
  </si>
  <si>
    <t>Credz (anexo a OS 2616)</t>
  </si>
  <si>
    <t xml:space="preserve">SORAIA </t>
  </si>
  <si>
    <t xml:space="preserve">EDSON </t>
  </si>
  <si>
    <t>Credz (anexo a OS 2681)</t>
  </si>
  <si>
    <t>LUIZ VICENTE</t>
  </si>
  <si>
    <t>IRENE ALVES</t>
  </si>
  <si>
    <t>GEFFERSON</t>
  </si>
  <si>
    <t>MERCADO</t>
  </si>
  <si>
    <t>Bruna Eduarda de Lima S.</t>
  </si>
  <si>
    <t>ROSANGELA MARIA</t>
  </si>
  <si>
    <t>MARIA ALMEIDA</t>
  </si>
  <si>
    <t>SAMANTA APARECIDA</t>
  </si>
  <si>
    <t>ELENAIDES M</t>
  </si>
  <si>
    <t>LUNNA VITORIA</t>
  </si>
  <si>
    <t>FRANCINEIDE M</t>
  </si>
  <si>
    <t>SAMANTA AP</t>
  </si>
  <si>
    <t>CAMYLLE CARDOSO</t>
  </si>
  <si>
    <t>SOLANGE MARIA</t>
  </si>
  <si>
    <t>AZINILDA</t>
  </si>
  <si>
    <t>ANTONIA ELIANE</t>
  </si>
  <si>
    <t>JULLIA CAROLINA</t>
  </si>
  <si>
    <t>ADRIANA ADAO</t>
  </si>
  <si>
    <t>ADRIELI DA S</t>
  </si>
  <si>
    <t>WALTER TELLO</t>
  </si>
  <si>
    <t>UELTON SANTOS</t>
  </si>
  <si>
    <t>MIRIAN M</t>
  </si>
  <si>
    <t>ELISABETE DE M</t>
  </si>
  <si>
    <t>RAFAELA S</t>
  </si>
  <si>
    <t>ALEIDA MARTINS</t>
  </si>
  <si>
    <t>VALQUIRIA FERREIRA SANTOS</t>
  </si>
  <si>
    <t>MODOU DIEYE</t>
  </si>
  <si>
    <t xml:space="preserve">ELISANGELA MARIA </t>
  </si>
  <si>
    <t>VIVIANE JESUS</t>
  </si>
  <si>
    <t>BRANDON ANTHONY</t>
  </si>
  <si>
    <t>SARAH KOSHIYAMA</t>
  </si>
  <si>
    <t>FRANCISCO CARLOS</t>
  </si>
  <si>
    <t>LUIS CLAUDIO</t>
  </si>
  <si>
    <t>PATRICIA RIOS</t>
  </si>
  <si>
    <t>MARIA RIBEIRO</t>
  </si>
  <si>
    <t>MARIA CONCEIÇÃO</t>
  </si>
  <si>
    <t>LAUREN SOUZA</t>
  </si>
  <si>
    <t>camila alexander</t>
  </si>
  <si>
    <t>roberto medeiros</t>
  </si>
  <si>
    <t>rosangela araujo</t>
  </si>
  <si>
    <t>raimunda salete</t>
  </si>
  <si>
    <t>ivanete maria (carne )</t>
  </si>
  <si>
    <t>MARI LIDIANA</t>
  </si>
  <si>
    <t>NELCIA PEREIRA DE SOUZA</t>
  </si>
  <si>
    <t>DULCINEIA SOARES</t>
  </si>
  <si>
    <t>ARIANA MONTEIRO</t>
  </si>
  <si>
    <t>Maria Edlucia Soares</t>
  </si>
  <si>
    <t>VERIFICAÇÃO</t>
  </si>
  <si>
    <t>Denize Lopes Ladica</t>
  </si>
  <si>
    <t>(anexo OS 2720)</t>
  </si>
  <si>
    <t>AUREA ROSA</t>
  </si>
  <si>
    <t>PATRICIA R</t>
  </si>
  <si>
    <t>IRACI M</t>
  </si>
  <si>
    <t>SARA K</t>
  </si>
  <si>
    <t>LARISSA PEREIRA DA SILVA</t>
  </si>
  <si>
    <t>ADENICIO PEREIRA DE MATOS</t>
  </si>
  <si>
    <t>MICHELE CRUZ DOS SANTOS</t>
  </si>
  <si>
    <t>CARLOS CORREIA DOS SANTOS</t>
  </si>
  <si>
    <t>RODRIGO PINHEIRO BARBOSA</t>
  </si>
  <si>
    <t>ROSARIO DELMIRA</t>
  </si>
  <si>
    <t xml:space="preserve">lourenço/samantha </t>
  </si>
  <si>
    <t>ALMOÇO ARIANI</t>
  </si>
  <si>
    <t>ALMOÇO KEREN</t>
  </si>
  <si>
    <t>ALMOÇO BRUNO</t>
  </si>
  <si>
    <t>GUILHERME A</t>
  </si>
  <si>
    <t>ELIANE NUNES VIEIRA</t>
  </si>
  <si>
    <t>RAFAELA SANTOS SANTANA</t>
  </si>
  <si>
    <t>LETICIA DE SOUZA</t>
  </si>
  <si>
    <t>MONICA ROSEMARIA</t>
  </si>
  <si>
    <t>MARIA CAVALCANTE F</t>
  </si>
  <si>
    <t>DEVOLUÇÃO 2538</t>
  </si>
  <si>
    <t>SILVANA DOS S</t>
  </si>
  <si>
    <t>ROSALIA SANTIAGO FERREIRA</t>
  </si>
  <si>
    <t>ÉDER DOS SANTOS</t>
  </si>
  <si>
    <t>THAYNA APARECIDA ROMERO</t>
  </si>
  <si>
    <t>FRANISCA VANESSA</t>
  </si>
  <si>
    <t>CAROLINE NETTO</t>
  </si>
  <si>
    <t>SAMARA MARIA DA SILVA</t>
  </si>
  <si>
    <t>ADRIELI DA SILVA</t>
  </si>
  <si>
    <t>SIMONE REGINA (GARANTIA)</t>
  </si>
  <si>
    <t>MARIA AUX. GOMES</t>
  </si>
  <si>
    <t>MIRALVA DIOGENS</t>
  </si>
  <si>
    <t>BRANDON A</t>
  </si>
  <si>
    <t>SUILY HELENA RODRIGUEZ</t>
  </si>
  <si>
    <t>CARLOS HARUO (GARANTIA)</t>
  </si>
  <si>
    <t>ANE CAROLINE</t>
  </si>
  <si>
    <t>SARAH KOSHIYAMA REIS</t>
  </si>
  <si>
    <t>DIVACI TEXEIRA SANTOS</t>
  </si>
  <si>
    <t>SAMANTA</t>
  </si>
  <si>
    <t xml:space="preserve">PIX </t>
  </si>
  <si>
    <t>GENI F</t>
  </si>
  <si>
    <t>ROZIMAR C</t>
  </si>
  <si>
    <t>SUZANA DOS S</t>
  </si>
  <si>
    <t xml:space="preserve">CLAYTON A </t>
  </si>
  <si>
    <t>MARIA INS</t>
  </si>
  <si>
    <t>IDA S</t>
  </si>
  <si>
    <t>RAIMUNDA DA S</t>
  </si>
  <si>
    <t xml:space="preserve">SIDNEY A </t>
  </si>
  <si>
    <t>MARIA JOSE</t>
  </si>
  <si>
    <t>FOLHA SULFITE</t>
  </si>
  <si>
    <t>MARIA O</t>
  </si>
  <si>
    <t>RODRIGO P</t>
  </si>
  <si>
    <t xml:space="preserve">EDSON C </t>
  </si>
  <si>
    <t>SANDRA M</t>
  </si>
  <si>
    <t>AZINILDA MARIA</t>
  </si>
  <si>
    <t>DALVA RODRIGUES (GARANTIA)</t>
  </si>
  <si>
    <t>INGRID BERALDO</t>
  </si>
  <si>
    <t>2524/2</t>
  </si>
  <si>
    <t>ANTONIA ELAINE</t>
  </si>
  <si>
    <t>SERGIO LUIZ GARCIA</t>
  </si>
  <si>
    <t>ADENICIO PEREIRA</t>
  </si>
  <si>
    <t>GIOVANA PEREIRA</t>
  </si>
  <si>
    <t>ELIZABETE MARIA</t>
  </si>
  <si>
    <t>PÃO NÃO LANÇADO 27/05</t>
  </si>
  <si>
    <t xml:space="preserve">PÃO </t>
  </si>
  <si>
    <t>CLAYTON RODRIGUES</t>
  </si>
  <si>
    <t>ELIZANGELA MARIA</t>
  </si>
  <si>
    <t>MARIANA SILVA</t>
  </si>
  <si>
    <t>LUBRIFICAÇÃO PORTAS</t>
  </si>
  <si>
    <t>CLAUDETE DOS SANTOS</t>
  </si>
  <si>
    <t>JULIANO PATRICK</t>
  </si>
  <si>
    <t>GIULANA KAROLINE O.</t>
  </si>
  <si>
    <t>RAQUEL MENDONÇA</t>
  </si>
  <si>
    <t>FERNANDA IGUEIREDO</t>
  </si>
  <si>
    <t>SOPHIA CLARICE</t>
  </si>
  <si>
    <t>EDÉR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</si>
</sst>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Calibri"/>
      <family val="2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sz val="12"/>
      <name val="Arial"/>
    </font>
    <font>
      <sz val="11"/>
      <name val="Calibri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44" fontId="14" fillId="0" borderId="17" xfId="83" applyFont="1" applyFill="1" applyBorder="1" applyAlignment="1">
      <alignment horizontal="center"/>
    </xf>
    <xf numFmtId="44" fontId="14" fillId="0" borderId="3" xfId="83" applyFont="1" applyFill="1" applyBorder="1" applyAlignment="1">
      <alignment horizontal="center"/>
    </xf>
    <xf numFmtId="44" fontId="25" fillId="0" borderId="17" xfId="83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165" fontId="14" fillId="0" borderId="0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4" fontId="13" fillId="0" borderId="17" xfId="2" applyFont="1" applyBorder="1" applyAlignment="1">
      <alignment horizontal="center"/>
    </xf>
    <xf numFmtId="165" fontId="13" fillId="0" borderId="17" xfId="4" applyNumberFormat="1" applyFont="1" applyBorder="1" applyAlignment="1">
      <alignment horizontal="center"/>
    </xf>
    <xf numFmtId="164" fontId="14" fillId="0" borderId="17" xfId="2" applyFont="1" applyBorder="1" applyAlignment="1">
      <alignment horizontal="center"/>
    </xf>
    <xf numFmtId="165" fontId="14" fillId="0" borderId="17" xfId="4" applyNumberFormat="1" applyFont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164" fontId="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25" fillId="0" borderId="3" xfId="2" applyFont="1" applyFill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0" fontId="25" fillId="0" borderId="17" xfId="0" applyFont="1" applyBorder="1" applyAlignment="1">
      <alignment horizontal="center" wrapText="1"/>
    </xf>
    <xf numFmtId="165" fontId="6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31" fillId="0" borderId="3" xfId="2" applyNumberFormat="1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0" fontId="31" fillId="0" borderId="17" xfId="2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5" fillId="0" borderId="17" xfId="2" applyNumberFormat="1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164" fontId="47" fillId="0" borderId="17" xfId="2" applyFont="1" applyFill="1" applyBorder="1" applyAlignment="1">
      <alignment horizontal="center"/>
    </xf>
    <xf numFmtId="164" fontId="48" fillId="0" borderId="17" xfId="2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  <xf numFmtId="164" fontId="46" fillId="0" borderId="3" xfId="2" applyFont="1" applyFill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164" fontId="48" fillId="0" borderId="3" xfId="2" applyFont="1" applyFill="1" applyBorder="1" applyAlignment="1">
      <alignment horizontal="center"/>
    </xf>
    <xf numFmtId="165" fontId="48" fillId="0" borderId="3" xfId="4" applyNumberFormat="1" applyFont="1" applyFill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9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87" xr:uid="{CD7A9DF9-6CAA-445E-B40F-82280809B556}"/>
    <cellStyle name="Moeda 2 2 2 3" xfId="72" xr:uid="{6D16C14B-46BE-4A8B-9F75-BDC22C69B2AA}"/>
    <cellStyle name="Moeda 2 2 3" xfId="59" xr:uid="{15876CAD-A58A-417E-942B-B75CA4D12C4A}"/>
    <cellStyle name="Moeda 2 2 3 2" xfId="80" xr:uid="{8D4900A9-8AC3-40C3-BEE9-00E83EC162E2}"/>
    <cellStyle name="Moeda 2 2 4" xfId="65" xr:uid="{8065D580-179B-477E-87DC-913946A8FD9E}"/>
    <cellStyle name="Moeda 2 3" xfId="44" xr:uid="{018D7EC2-457E-4352-8B9D-D98BC95BBE55}"/>
    <cellStyle name="Moeda 2 3 2" xfId="85" xr:uid="{6BCD22B4-C852-4EA5-8932-B68C91C18BDB}"/>
    <cellStyle name="Moeda 2 3 3" xfId="70" xr:uid="{7CC0A578-38B4-4512-8257-AD6B118BB3D0}"/>
    <cellStyle name="Moeda 2 4" xfId="57" xr:uid="{60314F40-4D14-4914-B2FB-F0EF8809BFDC}"/>
    <cellStyle name="Moeda 2 4 2" xfId="78" xr:uid="{9E28F3B5-118E-44BA-8152-9D9920C4D393}"/>
    <cellStyle name="Moeda 2 5" xfId="63" xr:uid="{31872977-5AAF-4354-9B2F-13AFA82D76D8}"/>
    <cellStyle name="Moeda 3" xfId="39" xr:uid="{7AB823BE-4C0E-4C74-AC9F-2ADAE4FB907E}"/>
    <cellStyle name="Moeda 3 2" xfId="83" xr:uid="{1B93A609-08DC-4596-928A-689F28EF63ED}"/>
    <cellStyle name="Moeda 3 3" xfId="68" xr:uid="{1B52ADA3-15E5-46AE-B21C-BBB001F43A69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88" xr:uid="{FB1AF633-AA39-4E57-BD9C-CAC3CE8A50EE}"/>
    <cellStyle name="Normal 4 3 3" xfId="73" xr:uid="{B883533A-59A2-46EB-B6BB-9B633EDF75BF}"/>
    <cellStyle name="Normal 4 4" xfId="60" xr:uid="{AF296A9E-05F1-4EBF-B3A5-6D6A1B6677AA}"/>
    <cellStyle name="Normal 4 4 2" xfId="81" xr:uid="{F1F56DDE-461F-4237-A4AC-3AC7E47A394C}"/>
    <cellStyle name="Normal 4 5" xfId="66" xr:uid="{DE79D2D2-441D-493E-9B47-47ADFEC9E8FE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84" xr:uid="{F69DD2B8-09D9-4EBC-8BF9-8D7EDB453D67}"/>
    <cellStyle name="Separador de milhares 2 2 3" xfId="69" xr:uid="{1AD819CB-0E12-4037-8FAC-89BDEE80F86F}"/>
    <cellStyle name="Separador de milhares 2 3" xfId="56" xr:uid="{1CEB6C10-8A7B-4609-8DF5-0B2F3DA67C9A}"/>
    <cellStyle name="Separador de milhares 2 3 2" xfId="77" xr:uid="{4B5E399E-86AA-4228-99A5-56BB3EF9AE72}"/>
    <cellStyle name="Separador de milhares 2 4" xfId="62" xr:uid="{9A263C74-5D06-4A52-84F8-3C2B833B38C8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89" xr:uid="{42AB6CE5-136F-41A7-8475-9EAFE82210B8}"/>
    <cellStyle name="Separador de milhares 5 2 3" xfId="74" xr:uid="{CF994B4F-91BF-412F-BAE2-D44275397AF4}"/>
    <cellStyle name="Separador de milhares 6" xfId="35" xr:uid="{00000000-0005-0000-0000-000020000000}"/>
    <cellStyle name="Separador de milhares 6 2" xfId="54" xr:uid="{24CAB0AE-3C7D-4F02-905C-447EEBCEA0E5}"/>
    <cellStyle name="Separador de milhares 6 2 2" xfId="90" xr:uid="{009FAD2C-95AD-415B-80FE-27961D325D48}"/>
    <cellStyle name="Separador de milhares 6 2 3" xfId="75" xr:uid="{9C62D7A3-8A2A-486A-A9D7-C19BC42B70F3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86" xr:uid="{BD3E627B-3986-430B-A60D-1864996C5FE9}"/>
    <cellStyle name="Vírgula 10 2 3" xfId="71" xr:uid="{06E302B4-3DE3-4840-92D7-B3508459CB0D}"/>
    <cellStyle name="Vírgula 10 3" xfId="58" xr:uid="{ED20D7A7-29F8-43B5-8992-FFA42C90A8C0}"/>
    <cellStyle name="Vírgula 10 3 2" xfId="79" xr:uid="{0D768A1A-1DDB-49F7-A348-C26F6CB943FA}"/>
    <cellStyle name="Vírgula 10 4" xfId="64" xr:uid="{2FCA6D16-2866-48C6-B008-01CE1C4916E1}"/>
    <cellStyle name="Vírgula 2" xfId="38" xr:uid="{00000000-0005-0000-0000-000027000000}"/>
    <cellStyle name="Vírgula 2 2" xfId="55" xr:uid="{CB37DB63-E913-4772-B017-FD8345B858C4}"/>
    <cellStyle name="Vírgula 2 2 2" xfId="91" xr:uid="{040CEAD6-1377-4C75-B7B6-0EF4F242A69F}"/>
    <cellStyle name="Vírgula 2 2 3" xfId="76" xr:uid="{05C00FC3-9DD9-4563-B3B5-898CC39061DE}"/>
    <cellStyle name="Vírgula 2 3" xfId="61" xr:uid="{79463D6F-D2DA-4A6C-9918-0EF0B9E007F0}"/>
    <cellStyle name="Vírgula 2 3 2" xfId="82" xr:uid="{83D4D31D-7207-44BB-BB7D-B2F02CE0581E}"/>
    <cellStyle name="Vírgula 2 4" xfId="67" xr:uid="{E5B570DE-825B-4152-89DB-977D66DF7158}"/>
  </cellStyles>
  <dxfs count="16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25" dataDxfId="1623" headerRowBorderDxfId="1624" tableBorderDxfId="1622" totalsRowBorderDxfId="16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20" dataCellStyle="Moeda"/>
    <tableColumn id="5" xr3:uid="{4E864FFB-62AE-4C76-999A-80DAC03BA10F}" name="Cliente" dataDxfId="1619" dataCellStyle="Moeda"/>
    <tableColumn id="2" xr3:uid="{39F76C04-E7DF-4C8C-921C-A165689790E9}" name="Forma de Pgto" dataDxfId="1618" dataCellStyle="Moeda"/>
    <tableColumn id="3" xr3:uid="{E9370F52-26BB-4EAF-A1D9-2BD0CAE66157}" name="Valor Venda" dataDxfId="1617" dataCellStyle="Porcentagem"/>
    <tableColumn id="4" xr3:uid="{BA146EFF-288C-407A-B27C-EC83C6C60F64}" name="Entrada" dataDxfId="1616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15" dataDxfId="1613" headerRowBorderDxfId="1614" tableBorderDxfId="1612" totalsRowBorderDxfId="1611">
  <autoFilter ref="K5:M11" xr:uid="{00000000-0009-0000-0100-000015000000}"/>
  <tableColumns count="3">
    <tableColumn id="1" xr3:uid="{0B88E9C0-AB9D-453A-B36F-BD29A8C17D8A}" name="Descrição" dataDxfId="1610"/>
    <tableColumn id="2" xr3:uid="{17C658DA-B17E-40FE-A7BD-DC7D9EC674E9}" name="Tipo de Pagto" dataDxfId="1609"/>
    <tableColumn id="3" xr3:uid="{FF4BC756-9A15-4D47-B863-8A20D3280A08}" name="Valor" dataDxfId="16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07" dataDxfId="1605" headerRowBorderDxfId="1606" tableBorderDxfId="1604" totalsRowBorderDxfId="16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02"/>
    <tableColumn id="2" xr3:uid="{47D41B32-D662-49C2-9421-3A125B03A82A}" name="Cliente" dataDxfId="1601"/>
    <tableColumn id="3" xr3:uid="{39E1C509-0A71-43B1-986F-88861123AB80}" name="Forma de Pgto" dataDxfId="1600" dataCellStyle="Moeda"/>
    <tableColumn id="4" xr3:uid="{47286C2F-E1F6-47AA-8494-04DB96C3E6B1}" name="Valor Venda" dataDxfId="1599" dataCellStyle="Porcentagem"/>
    <tableColumn id="5" xr3:uid="{8CC8BB9B-601E-4BB4-B63E-BE429656D172}" name="Entrada" dataDxfId="1598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97" dataDxfId="1595" headerRowBorderDxfId="1596" tableBorderDxfId="1594" totalsRowBorderDxfId="1593">
  <autoFilter ref="K14:M31" xr:uid="{C83FE64B-E221-4DAA-89EA-5307A7BC98B3}"/>
  <tableColumns count="3">
    <tableColumn id="1" xr3:uid="{4F2E3C78-49DF-438D-A2AF-840084C0C05C}" name="OS" dataDxfId="1592"/>
    <tableColumn id="2" xr3:uid="{2EBF3173-B4D7-4BCC-8593-5878D7F40F65}" name="Vendedor" dataDxfId="1591"/>
    <tableColumn id="3" xr3:uid="{BFD4CEE5-C30B-49BA-951C-C0B0CCFBDF6A}" name="CARNE" dataDxfId="15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89" dataDxfId="1587" headerRowBorderDxfId="1588" tableBorderDxfId="1586" totalsRowBorderDxfId="15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584"/>
    <tableColumn id="2" xr3:uid="{69A152AB-9A1E-4E74-850B-E7190DCBB712}" name="Cliente" dataDxfId="1583"/>
    <tableColumn id="3" xr3:uid="{F918E665-3FA3-4D49-8B7B-662CAB3CB814}" name="Forma de Pgto" dataDxfId="1582" dataCellStyle="Moeda"/>
    <tableColumn id="4" xr3:uid="{31D63A0C-E278-497A-9D40-34077035FD25}" name="Valor Parcela" dataDxfId="1581" dataCellStyle="Porcentagem"/>
    <tableColumn id="5" xr3:uid="{1B552883-A189-4B21-8398-A08FF7756606}" name="Nº Parcela" dataDxfId="158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79" headerRowBorderDxfId="1578" tableBorderDxfId="1577" totalsRowBorderDxfId="1576">
  <autoFilter ref="K34:M41" xr:uid="{1B8643D4-6AC3-4029-882A-C62E9D7CB225}"/>
  <tableColumns count="3">
    <tableColumn id="1" xr3:uid="{8A794627-537E-47A8-A07A-ED4FE9B7FAEE}" name="OS" dataDxfId="1575"/>
    <tableColumn id="2" xr3:uid="{75A5608F-8F26-4C71-A24D-8E79F737416A}" name="Parcelas" dataDxfId="1574"/>
    <tableColumn id="3" xr3:uid="{405D57D3-4E8E-4A9E-A3A3-7DDC45B62F91}" name="Valor Total" dataDxfId="15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72" dataDxfId="1570" headerRowBorderDxfId="1571" tableBorderDxfId="1569" totalsRowBorderDxfId="15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67" dataCellStyle="Moeda"/>
    <tableColumn id="5" xr3:uid="{62DCD49D-7CD9-4268-A2D5-B3A594E461BB}" name="Cliente" dataDxfId="1566" dataCellStyle="Moeda"/>
    <tableColumn id="2" xr3:uid="{50D45495-B1A2-4885-996A-3E6DD92E280E}" name="Forma de Pgto" dataDxfId="1565" dataCellStyle="Moeda"/>
    <tableColumn id="3" xr3:uid="{DE57E226-692B-42B0-911E-ACCF59BC6D86}" name="Valor Venda" dataDxfId="1564" dataCellStyle="Porcentagem"/>
    <tableColumn id="4" xr3:uid="{CE230B3B-D2C9-4A92-A5F3-A5EE4A74409A}" name="Entrada" dataDxfId="1563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62" dataDxfId="1560" headerRowBorderDxfId="1561" tableBorderDxfId="1559" totalsRowBorderDxfId="1558">
  <autoFilter ref="K5:M11" xr:uid="{00000000-0009-0000-0100-000015000000}"/>
  <tableColumns count="3">
    <tableColumn id="1" xr3:uid="{58E2E66D-9AC0-4A69-BF19-1AB9AD59BA2F}" name="Descrição" dataDxfId="1557"/>
    <tableColumn id="2" xr3:uid="{FE1E3124-46C3-49A6-AE83-7C14B341DF59}" name="Tipo de Pagto" dataDxfId="1556"/>
    <tableColumn id="3" xr3:uid="{D8FBF474-04EE-46ED-9B9E-791D937CF715}" name="Valor" dataDxfId="155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2" totalsRowShown="0" headerRowDxfId="1554" headerRowBorderDxfId="1553" tableBorderDxfId="1552" totalsRowBorderDxfId="1551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50"/>
    <tableColumn id="2" xr3:uid="{595EF087-A3B2-4C2B-AEEA-F930A6C2F5F4}" name="Cliente" dataDxfId="1549"/>
    <tableColumn id="3" xr3:uid="{C5C2BC75-6E8D-4808-A5EE-A5F9251ECE6C}" name="Forma de Pgto" dataDxfId="1548" dataCellStyle="Moeda"/>
    <tableColumn id="4" xr3:uid="{20CF776B-B9F4-48DD-9379-961689B40B71}" name="Valor Venda" dataDxfId="1547" dataCellStyle="Porcentagem"/>
    <tableColumn id="5" xr3:uid="{65177CB6-6D07-42E6-8EFE-435282A2F5BA}" name="Entrada" dataDxfId="1546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45" dataDxfId="1543" headerRowBorderDxfId="1544" tableBorderDxfId="1542" totalsRowBorderDxfId="1541">
  <autoFilter ref="K14:M31" xr:uid="{C83FE64B-E221-4DAA-89EA-5307A7BC98B3}"/>
  <tableColumns count="3">
    <tableColumn id="1" xr3:uid="{B4C5A0E6-F291-4369-998D-321E2024DFE1}" name="OS" dataDxfId="1540"/>
    <tableColumn id="2" xr3:uid="{D1AEFC99-FF9D-4A0D-BE93-D866BDC7A817}" name="Vendedor" dataDxfId="1539"/>
    <tableColumn id="3" xr3:uid="{CA30546E-8A3F-45D5-BE2B-24DCF738F1F2}" name="CARNE" dataDxfId="15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5:I42" totalsRowShown="0" headerRowDxfId="1537" dataDxfId="1535" headerRowBorderDxfId="1536" tableBorderDxfId="1534" totalsRowBorderDxfId="1533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7E4FA26-C4CE-4094-A8B1-84A0D1090D09}" name="OS" dataDxfId="1532"/>
    <tableColumn id="2" xr3:uid="{7D38F106-0145-4B73-951B-86BF22EC7FAB}" name="Cliente" dataDxfId="1531"/>
    <tableColumn id="3" xr3:uid="{11A4EEBE-D35C-4719-B2B9-16486260EF79}" name="Forma de Pgto" dataDxfId="1530" dataCellStyle="Moeda"/>
    <tableColumn id="4" xr3:uid="{1BAB2FC5-9F2C-41DD-994A-6BA83A984883}" name="Valor Parcela" dataDxfId="1529" dataCellStyle="Porcentagem"/>
    <tableColumn id="5" xr3:uid="{8C539F89-5F96-4DB9-B7A4-784EA1B5350C}" name="Nº Parcela" dataDxfId="1528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27" headerRowBorderDxfId="1526" tableBorderDxfId="1525" totalsRowBorderDxfId="1524">
  <autoFilter ref="K34:M41" xr:uid="{1B8643D4-6AC3-4029-882A-C62E9D7CB225}"/>
  <tableColumns count="3">
    <tableColumn id="1" xr3:uid="{0B93901B-D681-410F-8B28-E186D9A3CAC3}" name="OS" dataDxfId="1523"/>
    <tableColumn id="2" xr3:uid="{A57C0E02-6258-48F0-9407-2095CD96B2D4}" name="Parcelas" dataDxfId="1522"/>
    <tableColumn id="3" xr3:uid="{1EA087CF-658D-4951-89BB-508667E3BBBE}" name="Valor Total" dataDxfId="152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20" dataDxfId="1518" headerRowBorderDxfId="1519" tableBorderDxfId="1517" totalsRowBorderDxfId="15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15" dataCellStyle="Moeda"/>
    <tableColumn id="5" xr3:uid="{98DC42E5-632F-4288-9CC5-1F032859A7E7}" name="Cliente" dataDxfId="1514" dataCellStyle="Moeda"/>
    <tableColumn id="2" xr3:uid="{4AE32B81-9EBD-470B-9ABE-A82D6658F3FE}" name="Forma de Pgto" dataDxfId="1513" dataCellStyle="Moeda"/>
    <tableColumn id="3" xr3:uid="{6E5BAEC1-2689-4ABB-93EC-298595B5C82E}" name="Valor Venda" dataDxfId="1512" dataCellStyle="Porcentagem"/>
    <tableColumn id="4" xr3:uid="{24493E7B-FE77-4A85-8810-0F0A4A84D997}" name="Entrada" dataDxfId="1511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10" dataDxfId="1508" headerRowBorderDxfId="1509" tableBorderDxfId="1507" totalsRowBorderDxfId="1506">
  <autoFilter ref="K5:M11" xr:uid="{00000000-0009-0000-0100-000015000000}"/>
  <tableColumns count="3">
    <tableColumn id="1" xr3:uid="{DA50BBFB-ECA9-45DE-9949-F3F90EEC3BA7}" name="Descrição" dataDxfId="1505"/>
    <tableColumn id="2" xr3:uid="{A64D4F88-B62D-440B-BA71-6D7BB28D542E}" name="Tipo de Pagto" dataDxfId="1504"/>
    <tableColumn id="3" xr3:uid="{0406A209-0652-47F9-9AB4-3256B26876D2}" name="Valor" dataDxfId="150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02" dataDxfId="1500" headerRowBorderDxfId="1501" tableBorderDxfId="1499" totalsRowBorderDxfId="14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97"/>
    <tableColumn id="2" xr3:uid="{8B8D24E4-1123-478B-838C-FCF56EABBDFD}" name="Cliente" dataDxfId="1496"/>
    <tableColumn id="3" xr3:uid="{8B7DE8DF-8D5D-4245-A63D-EF550AE347E3}" name="Forma de Pgto" dataDxfId="1495" dataCellStyle="Moeda"/>
    <tableColumn id="4" xr3:uid="{95A77C0C-49D0-45A2-8B99-A765C4741CE7}" name="Valor Venda" dataDxfId="1494" dataCellStyle="Porcentagem"/>
    <tableColumn id="5" xr3:uid="{FF4FDD32-DA70-4723-A8FB-07B3FB04B5CD}" name="Entrada" dataDxfId="1493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92" dataDxfId="1490" headerRowBorderDxfId="1491" tableBorderDxfId="1489" totalsRowBorderDxfId="1488">
  <autoFilter ref="K14:M31" xr:uid="{C83FE64B-E221-4DAA-89EA-5307A7BC98B3}"/>
  <tableColumns count="3">
    <tableColumn id="1" xr3:uid="{A31E67F7-E266-4220-8D3F-09556FCE20B1}" name="OS" dataDxfId="1487"/>
    <tableColumn id="2" xr3:uid="{2ED39269-8DA5-4157-9E82-8C8ED0C828A3}" name="Vendedor" dataDxfId="1486"/>
    <tableColumn id="3" xr3:uid="{F550B35D-6F70-4E2E-9037-3A7DF5BB4D86}" name="CARNE" dataDxfId="148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84" dataDxfId="1482" headerRowBorderDxfId="1483" tableBorderDxfId="1481" totalsRowBorderDxfId="14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79"/>
    <tableColumn id="2" xr3:uid="{58D563AD-1DCA-4768-9170-A0079A20A1DF}" name="Cliente" dataDxfId="1478"/>
    <tableColumn id="3" xr3:uid="{FE883FCE-942C-4DE5-904D-B12FE6C4992D}" name="Forma de Pgto" dataDxfId="1477" dataCellStyle="Moeda"/>
    <tableColumn id="4" xr3:uid="{21451B08-4DF0-4C35-AC45-94C183AA6A59}" name="Valor Parcela" dataDxfId="1476" dataCellStyle="Porcentagem"/>
    <tableColumn id="5" xr3:uid="{8F93C3AE-47D0-4E55-A038-445341804CE9}" name="Nº Parcela" dataDxfId="1475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74" headerRowBorderDxfId="1473" tableBorderDxfId="1472" totalsRowBorderDxfId="1471">
  <autoFilter ref="K34:M41" xr:uid="{1B8643D4-6AC3-4029-882A-C62E9D7CB225}"/>
  <tableColumns count="3">
    <tableColumn id="1" xr3:uid="{2687574F-C0F9-4AD1-A54B-286C1AE50D97}" name="OS" dataDxfId="1470"/>
    <tableColumn id="2" xr3:uid="{AE623FF4-38C1-45D9-B220-1CD4A553B7C1}" name="Parcelas" dataDxfId="1469"/>
    <tableColumn id="3" xr3:uid="{EEBFC521-3084-43FF-A36B-C25CE198B817}" name="Valor Total" dataDxfId="146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67" dataDxfId="1465" headerRowBorderDxfId="1466" tableBorderDxfId="1464" totalsRowBorderDxfId="14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62" dataCellStyle="Moeda"/>
    <tableColumn id="5" xr3:uid="{F5DA840E-A051-4AE4-AE1A-9DAFAF8FFC3B}" name="Cliente" dataDxfId="1461" dataCellStyle="Moeda"/>
    <tableColumn id="2" xr3:uid="{DF65CD3D-444A-4025-B98B-F38F11610432}" name="Forma de Pgto" dataDxfId="1460" dataCellStyle="Moeda"/>
    <tableColumn id="3" xr3:uid="{9A4839DC-9153-466A-B0AF-456FAEF79174}" name="Valor Venda" dataDxfId="1459" dataCellStyle="Porcentagem"/>
    <tableColumn id="4" xr3:uid="{EF410A7C-DBD1-4367-A43B-616826FFEB4F}" name="Entrada" dataDxfId="1458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57" dataDxfId="1455" headerRowBorderDxfId="1456" tableBorderDxfId="1454" totalsRowBorderDxfId="1453">
  <autoFilter ref="K5:M11" xr:uid="{00000000-0009-0000-0100-000015000000}"/>
  <tableColumns count="3">
    <tableColumn id="1" xr3:uid="{F1C90853-2F5A-4C32-8AC3-18ECE1FDDF43}" name="Descrição" dataDxfId="1452"/>
    <tableColumn id="2" xr3:uid="{DEB32F17-2D52-4FBB-90C4-1C3AE9C104E6}" name="Tipo de Pagto" dataDxfId="1451"/>
    <tableColumn id="3" xr3:uid="{089B3650-C090-496F-BF9A-6E8466DBF76A}" name="Valor" dataDxfId="145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2" totalsRowShown="0" headerRowDxfId="1449" headerRowBorderDxfId="1448" tableBorderDxfId="1447" totalsRowBorderDxfId="1446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45"/>
    <tableColumn id="2" xr3:uid="{73AEC7DD-005C-4428-9D1D-1A3761F2192B}" name="Cliente" dataDxfId="1444"/>
    <tableColumn id="3" xr3:uid="{FA28017F-3137-49BD-B826-2E261901E543}" name="Forma de Pgto" dataDxfId="1443" dataCellStyle="Moeda"/>
    <tableColumn id="4" xr3:uid="{6030418B-B1EC-4D4D-96DF-0EB78B87F6F9}" name="Valor Venda" dataDxfId="1442" dataCellStyle="Porcentagem"/>
    <tableColumn id="5" xr3:uid="{0576A975-F40D-4463-85C0-76AB6FCD63AC}" name="Entrada" dataDxfId="1441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40" dataDxfId="1438" headerRowBorderDxfId="1439" tableBorderDxfId="1437" totalsRowBorderDxfId="1436">
  <autoFilter ref="K14:M31" xr:uid="{C83FE64B-E221-4DAA-89EA-5307A7BC98B3}"/>
  <tableColumns count="3">
    <tableColumn id="1" xr3:uid="{830E23BA-DE90-49EF-B4EA-89C3276575B2}" name="OS" dataDxfId="1435"/>
    <tableColumn id="2" xr3:uid="{679AF5A0-4545-4316-AD6C-E4B7A7BA099A}" name="Vendedor" dataDxfId="1434"/>
    <tableColumn id="3" xr3:uid="{6B801D58-D05B-4A78-A6FE-BC9EF408DC10}" name="CARNE" dataDxfId="143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5:I42" totalsRowShown="0" headerRowDxfId="1432" dataDxfId="1430" headerRowBorderDxfId="1431" tableBorderDxfId="1429" totalsRowBorderDxfId="1428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6BEE042E-9E35-4BD7-842C-73720AA03CCF}" name="OS" dataDxfId="1427"/>
    <tableColumn id="2" xr3:uid="{953837B7-D16A-40C2-9C83-CD7E7171C88F}" name="Cliente" dataDxfId="1426"/>
    <tableColumn id="3" xr3:uid="{63860264-C651-4A12-8F01-E9F622A843C0}" name="Forma de Pgto" dataDxfId="1425" dataCellStyle="Moeda"/>
    <tableColumn id="4" xr3:uid="{584373BD-23BA-4A1E-A4FC-3D4A594F4148}" name="Valor Parcela" dataDxfId="1424" dataCellStyle="Porcentagem"/>
    <tableColumn id="5" xr3:uid="{7CBAF04B-D82E-4180-A8EA-98461BE41F4A}" name="Nº Parcela" dataDxfId="1423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22" headerRowBorderDxfId="1421" tableBorderDxfId="1420" totalsRowBorderDxfId="1419">
  <autoFilter ref="K34:M41" xr:uid="{1B8643D4-6AC3-4029-882A-C62E9D7CB225}"/>
  <tableColumns count="3">
    <tableColumn id="1" xr3:uid="{F555359C-BC20-4C24-A948-500BDD3B5763}" name="OS" dataDxfId="1418"/>
    <tableColumn id="2" xr3:uid="{B72B4820-B8B5-4F80-83B5-9EC54EF78025}" name="Parcelas" dataDxfId="1417"/>
    <tableColumn id="3" xr3:uid="{893DDBC4-5663-4D63-80CB-4E7482811983}" name="Valor Total" dataDxfId="141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15" dataDxfId="1413" headerRowBorderDxfId="1414" tableBorderDxfId="1412" totalsRowBorderDxfId="14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10" dataCellStyle="Moeda"/>
    <tableColumn id="5" xr3:uid="{4F9ED826-A0E1-4FB0-83C6-A561EA7B6750}" name="Cliente" dataDxfId="1409" dataCellStyle="Moeda"/>
    <tableColumn id="2" xr3:uid="{C2B928FE-CB2E-4271-AE3D-2FE26117248E}" name="Forma de Pgto" dataDxfId="1408" dataCellStyle="Moeda"/>
    <tableColumn id="3" xr3:uid="{CE23E3D0-4056-4DCB-83C4-5B94BD49CAAC}" name="Valor Venda" dataDxfId="1407" dataCellStyle="Porcentagem"/>
    <tableColumn id="4" xr3:uid="{1F426340-BFB9-4B9E-B988-7A195156D2F2}" name="Entrada" dataDxfId="1406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05" dataDxfId="1403" headerRowBorderDxfId="1404" tableBorderDxfId="1402" totalsRowBorderDxfId="1401">
  <autoFilter ref="K5:M11" xr:uid="{00000000-0009-0000-0100-000015000000}"/>
  <tableColumns count="3">
    <tableColumn id="1" xr3:uid="{F4C840DC-E06E-4A51-B1BF-E769E4EC9ACB}" name="Descrição" dataDxfId="1400"/>
    <tableColumn id="2" xr3:uid="{E6DE1F07-CE97-421A-A22A-4B4270DDF46D}" name="Tipo de Pagto" dataDxfId="1399"/>
    <tableColumn id="3" xr3:uid="{D84FBA92-07C5-41FD-BBA2-2AADF245D1D6}" name="Valor" dataDxfId="139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2" totalsRowShown="0" headerRowDxfId="1397" headerRowBorderDxfId="1396" tableBorderDxfId="1395" totalsRowBorderDxfId="1394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93"/>
    <tableColumn id="2" xr3:uid="{CD77FB12-1DAA-4DAF-B42A-0357959803DD}" name="Cliente" dataDxfId="1392"/>
    <tableColumn id="3" xr3:uid="{5F4C4F5C-C920-452A-B2BA-592AD2C18723}" name="Forma de Pgto" dataDxfId="1391" dataCellStyle="Moeda"/>
    <tableColumn id="4" xr3:uid="{3930B2F0-6049-4E02-92B1-EC55A5330B2C}" name="Valor Venda" dataDxfId="1390" dataCellStyle="Porcentagem"/>
    <tableColumn id="5" xr3:uid="{82EBAE08-64CA-459E-9015-FA8F61210D87}" name="Entrada" dataDxfId="1389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88" dataDxfId="1386" headerRowBorderDxfId="1387" tableBorderDxfId="1385" totalsRowBorderDxfId="1384">
  <autoFilter ref="K14:M31" xr:uid="{C83FE64B-E221-4DAA-89EA-5307A7BC98B3}"/>
  <tableColumns count="3">
    <tableColumn id="1" xr3:uid="{E0565617-EB8C-486F-838C-B370E84BC8A2}" name="OS" dataDxfId="1383"/>
    <tableColumn id="2" xr3:uid="{EA20833B-67D8-48B8-B6E4-54A10D0969E8}" name="Vendedor" dataDxfId="1382"/>
    <tableColumn id="3" xr3:uid="{8B1F8993-74A4-499F-AD5E-91A6051BA219}" name="CARNE" dataDxfId="138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5:I42" totalsRowShown="0" headerRowDxfId="1380" dataDxfId="1378" headerRowBorderDxfId="1379" tableBorderDxfId="1377" totalsRowBorderDxfId="1376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20FEE6C9-1400-4BAE-AE31-9EAE96744744}" name="OS" dataDxfId="1375"/>
    <tableColumn id="2" xr3:uid="{FB461660-91D6-4E31-81FF-113A17320EED}" name="Cliente" dataDxfId="1374"/>
    <tableColumn id="3" xr3:uid="{0A47D0C3-375B-4E2D-B5E9-2048252BC0D3}" name="Forma de Pgto" dataDxfId="1373" dataCellStyle="Moeda"/>
    <tableColumn id="4" xr3:uid="{F9C62ED5-C18D-465D-B7E4-0729BD7B3A10}" name="Valor Parcela" dataDxfId="1372" dataCellStyle="Porcentagem"/>
    <tableColumn id="5" xr3:uid="{DD9D513B-1645-445F-83E9-DC54C163BD4E}" name="Nº Parcela" dataDxfId="1371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70" headerRowBorderDxfId="1369" tableBorderDxfId="1368" totalsRowBorderDxfId="1367">
  <autoFilter ref="K34:M41" xr:uid="{1B8643D4-6AC3-4029-882A-C62E9D7CB225}"/>
  <tableColumns count="3">
    <tableColumn id="1" xr3:uid="{D65B195F-C059-40E5-A4CA-FE91C5DB43DB}" name="OS" dataDxfId="1366"/>
    <tableColumn id="2" xr3:uid="{A2A023CF-C61D-419E-ABB0-2F9CEE35150B}" name="Parcelas" dataDxfId="1365"/>
    <tableColumn id="3" xr3:uid="{F7D650A1-7C3D-42D0-B133-EB49D396C64F}" name="Valor Total" dataDxfId="136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63" dataDxfId="1361" headerRowBorderDxfId="1362" tableBorderDxfId="1360" totalsRowBorderDxfId="13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58" dataCellStyle="Moeda"/>
    <tableColumn id="5" xr3:uid="{FF96847D-D5C5-4F73-905C-E549112972E1}" name="Cliente" dataDxfId="1357" dataCellStyle="Moeda"/>
    <tableColumn id="2" xr3:uid="{1B47815A-C2E2-4886-9A6F-B2A7307F901E}" name="Forma de Pgto" dataDxfId="1356" dataCellStyle="Moeda"/>
    <tableColumn id="3" xr3:uid="{FD86C99A-4E69-452A-8D71-B939B84F2B55}" name="Valor Venda" dataDxfId="1355" dataCellStyle="Porcentagem"/>
    <tableColumn id="4" xr3:uid="{49ECBAAC-14EE-43F3-BE6F-974EF5F3E156}" name="Entrada" dataDxfId="1354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53" dataDxfId="1351" headerRowBorderDxfId="1352" tableBorderDxfId="1350" totalsRowBorderDxfId="1349">
  <autoFilter ref="K5:M11" xr:uid="{00000000-0009-0000-0100-000015000000}"/>
  <tableColumns count="3">
    <tableColumn id="1" xr3:uid="{5236D397-E61A-4AA1-B99C-AD40093239F9}" name="Descrição" dataDxfId="1348"/>
    <tableColumn id="2" xr3:uid="{3341FC2A-819A-41AF-B8A9-B5A195B8D597}" name="Tipo de Pagto" dataDxfId="1347"/>
    <tableColumn id="3" xr3:uid="{D568CA16-B32B-4F86-9DE5-B8B3E9825745}" name="Valor" dataDxfId="134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45" dataDxfId="1343" headerRowBorderDxfId="1344" tableBorderDxfId="1342" totalsRowBorderDxfId="13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40"/>
    <tableColumn id="2" xr3:uid="{DEEB020C-2BC4-4E77-9557-B0FDBCF683E9}" name="Cliente" dataDxfId="1339"/>
    <tableColumn id="3" xr3:uid="{FC27FDBE-5194-4E32-AFD1-DB754ECCEF38}" name="Forma de Pgto" dataDxfId="1338" dataCellStyle="Moeda"/>
    <tableColumn id="4" xr3:uid="{489A4CE9-C3F1-4322-9639-D01F0935FB0E}" name="Valor Venda" dataDxfId="1337" dataCellStyle="Porcentagem"/>
    <tableColumn id="5" xr3:uid="{07E5F22F-7782-466E-98DB-48416B35B9C4}" name="Entrada" dataDxfId="1336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35" dataDxfId="1333" headerRowBorderDxfId="1334" tableBorderDxfId="1332" totalsRowBorderDxfId="1331">
  <autoFilter ref="K14:M31" xr:uid="{C83FE64B-E221-4DAA-89EA-5307A7BC98B3}"/>
  <tableColumns count="3">
    <tableColumn id="1" xr3:uid="{E4926A1A-00A9-4844-90B1-E36D53050FAD}" name="OS" dataDxfId="1330"/>
    <tableColumn id="2" xr3:uid="{CFC62C38-9887-48E6-A3B8-42586D1EC066}" name="Vendedor" dataDxfId="1329"/>
    <tableColumn id="3" xr3:uid="{32577275-2002-496E-8AD4-5FE489DBC179}" name="CARNE" dataDxfId="1328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27" dataDxfId="1325" headerRowBorderDxfId="1326" tableBorderDxfId="1324" totalsRowBorderDxfId="13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22"/>
    <tableColumn id="2" xr3:uid="{19438CD0-86D0-4CC4-9B41-5D756AC61E4D}" name="Cliente" dataDxfId="1321"/>
    <tableColumn id="3" xr3:uid="{59621200-4821-4583-9D35-A2EA6C27B52D}" name="Forma de Pgto" dataDxfId="1320" dataCellStyle="Moeda"/>
    <tableColumn id="4" xr3:uid="{35A817E7-6B21-48A7-863E-225DFEDD8B2A}" name="Valor Parcela" dataDxfId="1319" dataCellStyle="Porcentagem"/>
    <tableColumn id="5" xr3:uid="{77D80430-C5F8-4582-B3DF-9A9A9350F565}" name="Nº Parcela" dataDxfId="1318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17" headerRowBorderDxfId="1316" tableBorderDxfId="1315" totalsRowBorderDxfId="1314">
  <autoFilter ref="K34:M41" xr:uid="{1B8643D4-6AC3-4029-882A-C62E9D7CB225}"/>
  <tableColumns count="3">
    <tableColumn id="1" xr3:uid="{503F9F70-E540-4505-B65D-D233FCB88D5F}" name="OS" dataDxfId="1313"/>
    <tableColumn id="2" xr3:uid="{6A2B4927-D830-4C18-8831-6FE23BFAD877}" name="Parcelas" dataDxfId="1312"/>
    <tableColumn id="3" xr3:uid="{8E06E94A-FF62-4D13-8B11-C6CE2990FCDF}" name="Valor Total" dataDxfId="131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10" dataDxfId="1308" headerRowBorderDxfId="1309" tableBorderDxfId="1307" totalsRowBorderDxfId="130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05" dataCellStyle="Moeda"/>
    <tableColumn id="5" xr3:uid="{00000000-0010-0000-0900-000005000000}" name="Cliente" dataDxfId="1304" dataCellStyle="Moeda"/>
    <tableColumn id="2" xr3:uid="{00000000-0010-0000-0900-000002000000}" name="Forma de Pgto" dataDxfId="1303" dataCellStyle="Moeda"/>
    <tableColumn id="3" xr3:uid="{00000000-0010-0000-0900-000003000000}" name="Valor Venda" dataDxfId="1302" dataCellStyle="Porcentagem"/>
    <tableColumn id="4" xr3:uid="{00000000-0010-0000-0900-000004000000}" name="Entrada" dataDxfId="1301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00" dataDxfId="1298" headerRowBorderDxfId="1299" tableBorderDxfId="1297" totalsRowBorderDxfId="1296">
  <autoFilter ref="K5:M11" xr:uid="{00000000-0009-0000-0100-000015000000}"/>
  <tableColumns count="3">
    <tableColumn id="1" xr3:uid="{00000000-0010-0000-0A00-000001000000}" name="Descrição" dataDxfId="1295"/>
    <tableColumn id="2" xr3:uid="{00000000-0010-0000-0A00-000002000000}" name="Tipo de Pagto" dataDxfId="1294"/>
    <tableColumn id="3" xr3:uid="{00000000-0010-0000-0A00-000003000000}" name="Valor" dataDxfId="1293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92" dataDxfId="1290" headerRowBorderDxfId="1291" tableBorderDxfId="1289" totalsRowBorderDxfId="128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87"/>
    <tableColumn id="2" xr3:uid="{00000000-0010-0000-0B00-000002000000}" name="Cliente" dataDxfId="1286"/>
    <tableColumn id="3" xr3:uid="{00000000-0010-0000-0B00-000003000000}" name="Forma de Pgto" dataDxfId="1285" dataCellStyle="Moeda"/>
    <tableColumn id="4" xr3:uid="{00000000-0010-0000-0B00-000004000000}" name="Valor Venda" dataDxfId="1284" dataCellStyle="Porcentagem"/>
    <tableColumn id="5" xr3:uid="{00000000-0010-0000-0B00-000005000000}" name="Entrada" dataDxfId="1283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82" dataDxfId="1280" headerRowBorderDxfId="1281" tableBorderDxfId="1279" totalsRowBorderDxfId="1278">
  <autoFilter ref="K14:M31" xr:uid="{C83FE64B-E221-4DAA-89EA-5307A7BC98B3}"/>
  <tableColumns count="3">
    <tableColumn id="1" xr3:uid="{E5EB8AC8-7F8E-49D1-A903-14124A5BA1B1}" name="OS" dataDxfId="1277"/>
    <tableColumn id="2" xr3:uid="{E1794679-294A-42ED-9D8F-4C0874170BFA}" name="Vendedor" dataDxfId="1276"/>
    <tableColumn id="3" xr3:uid="{CB411C23-941D-4548-984D-68460932D683}" name="CARNE" dataDxfId="127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74" dataDxfId="1272" headerRowBorderDxfId="1273" tableBorderDxfId="1271" totalsRowBorderDxfId="127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69"/>
    <tableColumn id="2" xr3:uid="{430FE27E-32BC-43B0-BB6E-CCBAB36B2A5A}" name="Cliente" dataDxfId="1268"/>
    <tableColumn id="3" xr3:uid="{568CECCF-BE0A-4266-A7C7-9359F722EA0F}" name="Forma de Pgto" dataDxfId="1267" dataCellStyle="Moeda"/>
    <tableColumn id="4" xr3:uid="{9CF4291A-8808-43DB-9F83-A7EB463C5F4A}" name="Valor Parcela" dataDxfId="1266" dataCellStyle="Porcentagem"/>
    <tableColumn id="5" xr3:uid="{736EA743-97FA-4800-BEDD-5C07EEB144A8}" name="Nº Parcela" dataDxfId="1265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64" headerRowBorderDxfId="1263" tableBorderDxfId="1262" totalsRowBorderDxfId="1261">
  <autoFilter ref="K34:M41" xr:uid="{1B8643D4-6AC3-4029-882A-C62E9D7CB225}"/>
  <tableColumns count="3">
    <tableColumn id="1" xr3:uid="{132FEC50-51B3-4AAA-BF48-63FA39ED861C}" name="OS" dataDxfId="1260"/>
    <tableColumn id="2" xr3:uid="{11276640-1C63-48D7-BE0B-1FE7C736A1A8}" name="Parcelas" dataDxfId="1259"/>
    <tableColumn id="3" xr3:uid="{96591591-9F74-40A6-B0B9-BA6D2106107F}" name="Valor Total" dataDxfId="125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57" dataDxfId="1255" headerRowBorderDxfId="1256" tableBorderDxfId="1254" totalsRowBorderDxfId="12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52" dataCellStyle="Moeda"/>
    <tableColumn id="5" xr3:uid="{795F9F6D-AAE5-4C61-A646-82BF506C503E}" name="Cliente" dataDxfId="1251" dataCellStyle="Moeda"/>
    <tableColumn id="2" xr3:uid="{DD13626B-6361-410E-BFB7-9E75436163A4}" name="Forma de Pgto" dataDxfId="1250" dataCellStyle="Moeda"/>
    <tableColumn id="3" xr3:uid="{8939280F-F6DC-4F66-ADDF-59F6A387460C}" name="Valor Venda" dataDxfId="1249" dataCellStyle="Porcentagem"/>
    <tableColumn id="4" xr3:uid="{FFC83B9E-825A-4058-BFEA-DA64D7159065}" name="Entrada" dataDxfId="1248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47" dataDxfId="1245" headerRowBorderDxfId="1246" tableBorderDxfId="1244" totalsRowBorderDxfId="1243">
  <autoFilter ref="K5:M11" xr:uid="{00000000-0009-0000-0100-000015000000}"/>
  <tableColumns count="3">
    <tableColumn id="1" xr3:uid="{9309A091-2326-4B68-B8C9-B31CF2D72EAF}" name="Descrição" dataDxfId="1242"/>
    <tableColumn id="2" xr3:uid="{910D89CE-506B-440F-8EB2-31633D7CAD51}" name="Tipo de Pagto" dataDxfId="1241"/>
    <tableColumn id="3" xr3:uid="{7155C391-52F1-4F4A-84B1-7BBC44A35A99}" name="Valor" dataDxfId="124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39" dataDxfId="1237" headerRowBorderDxfId="1238" tableBorderDxfId="1236" totalsRowBorderDxfId="12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34"/>
    <tableColumn id="2" xr3:uid="{75B601B3-9668-4B1A-ADF2-17DA487A3413}" name="Cliente" dataDxfId="1233"/>
    <tableColumn id="3" xr3:uid="{64F47935-52AF-4AE3-9262-06D7472567D7}" name="Forma de Pgto" dataDxfId="1232" dataCellStyle="Moeda"/>
    <tableColumn id="4" xr3:uid="{9257AA0D-34DE-4B38-8406-BC1F561A53B3}" name="Valor Venda" dataDxfId="1231" dataCellStyle="Porcentagem"/>
    <tableColumn id="5" xr3:uid="{4C98958F-FB27-4968-81B6-D7CC6BBD2DAE}" name="Entrada" dataDxfId="1230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29" dataDxfId="1227" headerRowBorderDxfId="1228" tableBorderDxfId="1226" totalsRowBorderDxfId="1225">
  <autoFilter ref="K14:M31" xr:uid="{C83FE64B-E221-4DAA-89EA-5307A7BC98B3}"/>
  <tableColumns count="3">
    <tableColumn id="1" xr3:uid="{45B76297-FCE6-4684-80C4-601E84D95BB4}" name="OS" dataDxfId="1224"/>
    <tableColumn id="2" xr3:uid="{AEB024E2-EB15-40A6-B65B-468339937BD0}" name="Vendedor" dataDxfId="1223"/>
    <tableColumn id="3" xr3:uid="{ACDDDA2A-4116-4E25-B799-0071372A8FAA}" name="CARNE" dataDxfId="122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21" dataDxfId="1219" headerRowBorderDxfId="1220" tableBorderDxfId="1218" totalsRowBorderDxfId="12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16"/>
    <tableColumn id="2" xr3:uid="{A06C5B3A-A28C-4563-87C4-B63635D6E7B9}" name="Cliente" dataDxfId="1215"/>
    <tableColumn id="3" xr3:uid="{4AC120F2-6F4A-41F2-87D2-680E8D6F8D96}" name="Forma de Pgto" dataDxfId="1214" dataCellStyle="Moeda"/>
    <tableColumn id="4" xr3:uid="{17DB2EA9-C13D-4AEB-AB97-B4C907D16420}" name="Valor Parcela" dataDxfId="1213" dataCellStyle="Porcentagem"/>
    <tableColumn id="5" xr3:uid="{F6E09F06-2F23-4822-A9B4-D8898604A1E0}" name="Nº Parcela" dataDxfId="1212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11" headerRowBorderDxfId="1210" tableBorderDxfId="1209" totalsRowBorderDxfId="1208">
  <autoFilter ref="K34:M41" xr:uid="{1B8643D4-6AC3-4029-882A-C62E9D7CB225}"/>
  <tableColumns count="3">
    <tableColumn id="1" xr3:uid="{D0DE8F47-9BDA-4E4F-92E6-E2404F920F1B}" name="OS" dataDxfId="1207"/>
    <tableColumn id="2" xr3:uid="{43AD47D8-F738-4D39-8B0B-E0AC217D9D32}" name="Parcelas" dataDxfId="1206"/>
    <tableColumn id="3" xr3:uid="{024ED2FF-C4EC-44DC-9129-9BE8032DC4A5}" name="Valor Total" dataDxfId="1205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04" dataDxfId="1202" headerRowBorderDxfId="1203" tableBorderDxfId="1201" totalsRowBorderDxfId="120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99" dataCellStyle="Moeda"/>
    <tableColumn id="5" xr3:uid="{C13AA79A-76C7-4954-B055-3EC7A6A9008A}" name="Cliente" dataDxfId="1198" dataCellStyle="Moeda"/>
    <tableColumn id="2" xr3:uid="{56D92948-0431-4E11-AC7A-A6D6B6D3D15E}" name="Forma de Pgto" dataDxfId="1197" dataCellStyle="Moeda"/>
    <tableColumn id="3" xr3:uid="{3348DA9C-6AA9-49E4-8450-E8BC22BC5F6C}" name="Valor Venda" dataDxfId="1196" dataCellStyle="Porcentagem"/>
    <tableColumn id="4" xr3:uid="{A03B4BE2-2B4F-4512-98ED-45C3754F4D2A}" name="Entrada" dataDxfId="1195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94" dataDxfId="1192" headerRowBorderDxfId="1193" tableBorderDxfId="1191" totalsRowBorderDxfId="1190">
  <autoFilter ref="K5:M11" xr:uid="{00000000-0009-0000-0100-000015000000}"/>
  <tableColumns count="3">
    <tableColumn id="1" xr3:uid="{2700D0CD-8906-41BB-B51F-AAECD67A05FE}" name="Descrição" dataDxfId="1189"/>
    <tableColumn id="2" xr3:uid="{00E5FAC2-C7E2-44A6-AA64-460782F41E47}" name="Tipo de Pagto" dataDxfId="1188"/>
    <tableColumn id="3" xr3:uid="{70D30678-03EC-4DC1-BB28-EBD756D1976D}" name="Valor" dataDxfId="118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86" dataDxfId="1184" headerRowBorderDxfId="1185" tableBorderDxfId="1183" totalsRowBorderDxfId="118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81"/>
    <tableColumn id="2" xr3:uid="{59310BF7-C6CA-49AF-8D7C-32023868A553}" name="Cliente" dataDxfId="1180"/>
    <tableColumn id="3" xr3:uid="{C13BE163-BA03-41E0-A121-27164C58ABA3}" name="Forma de Pgto" dataDxfId="1179" dataCellStyle="Moeda"/>
    <tableColumn id="4" xr3:uid="{E9797482-8A01-4C8B-8B66-47DE3D38D78F}" name="Valor Venda" dataDxfId="1178" dataCellStyle="Porcentagem"/>
    <tableColumn id="5" xr3:uid="{864D3F67-D199-48BA-8E16-3EFBAC4AF8A2}" name="Entrada" dataDxfId="1177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76" dataDxfId="1174" headerRowBorderDxfId="1175" tableBorderDxfId="1173" totalsRowBorderDxfId="1172">
  <autoFilter ref="K14:M31" xr:uid="{C83FE64B-E221-4DAA-89EA-5307A7BC98B3}"/>
  <tableColumns count="3">
    <tableColumn id="1" xr3:uid="{92200504-6651-4517-B155-4C75687BBC1E}" name="OS" dataDxfId="1171"/>
    <tableColumn id="2" xr3:uid="{BE1934F5-5D06-41D6-9394-C4D383C8CD33}" name="Vendedor" dataDxfId="1170"/>
    <tableColumn id="3" xr3:uid="{F504E9B2-856C-4C10-AA72-D7A7B035B330}" name="CARNE" dataDxfId="1169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68" dataDxfId="1166" headerRowBorderDxfId="1167" tableBorderDxfId="1165" totalsRowBorderDxfId="116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63"/>
    <tableColumn id="2" xr3:uid="{95B09C40-3752-47D7-9085-F5B42BC487DA}" name="Cliente" dataDxfId="1162"/>
    <tableColumn id="3" xr3:uid="{1A0B311C-327A-4C44-9D04-81730B41B9A2}" name="Forma de Pgto" dataDxfId="1161" dataCellStyle="Moeda"/>
    <tableColumn id="4" xr3:uid="{9A802666-F9A1-4EB6-824C-ECF60066044F}" name="Valor Parcela" dataDxfId="1160" dataCellStyle="Porcentagem"/>
    <tableColumn id="5" xr3:uid="{1CC0AF26-B599-4D4F-8BD5-BBE76DBCE085}" name="Nº Parcela" dataDxfId="1159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58" headerRowBorderDxfId="1157" tableBorderDxfId="1156" totalsRowBorderDxfId="1155">
  <autoFilter ref="K34:M41" xr:uid="{1B8643D4-6AC3-4029-882A-C62E9D7CB225}"/>
  <tableColumns count="3">
    <tableColumn id="1" xr3:uid="{D712257D-E310-4A34-972E-E8E3502C0E07}" name="OS" dataDxfId="1154"/>
    <tableColumn id="2" xr3:uid="{DE78D123-6817-4646-8C08-920B2F11524F}" name="Parcelas" dataDxfId="1153"/>
    <tableColumn id="3" xr3:uid="{5BFF5A3E-02FE-410E-B1DB-45BB5A31FC42}" name="Valor Total" dataDxfId="1152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51" dataDxfId="1149" headerRowBorderDxfId="1150" tableBorderDxfId="1148" totalsRowBorderDxfId="11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46" dataCellStyle="Moeda"/>
    <tableColumn id="5" xr3:uid="{A57F8BDB-02F9-493C-AD6D-F47611C369D5}" name="Cliente" dataDxfId="1145" dataCellStyle="Moeda"/>
    <tableColumn id="2" xr3:uid="{3BF4EA26-026F-42E1-9B28-3FCC68B54E9F}" name="Forma de Pgto" dataDxfId="1144" dataCellStyle="Moeda"/>
    <tableColumn id="3" xr3:uid="{FD063076-8462-4774-B716-34AAD1738449}" name="Valor Venda" dataDxfId="1143" dataCellStyle="Porcentagem"/>
    <tableColumn id="4" xr3:uid="{690445E0-65B1-450A-A6D3-179070107086}" name="Entrada" dataDxfId="1142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41" dataDxfId="1139" headerRowBorderDxfId="1140" tableBorderDxfId="1138" totalsRowBorderDxfId="1137">
  <autoFilter ref="K5:M11" xr:uid="{00000000-0009-0000-0100-000015000000}"/>
  <tableColumns count="3">
    <tableColumn id="1" xr3:uid="{5D510C76-887A-4F0A-A2F3-BD55732E9E85}" name="Descrição" dataDxfId="1136"/>
    <tableColumn id="2" xr3:uid="{F6C1F4A7-28F4-48F8-905E-708FA62EB574}" name="Tipo de Pagto" dataDxfId="1135"/>
    <tableColumn id="3" xr3:uid="{E62B0002-F6CD-4351-A9EA-673FC7C97B03}" name="Valor" dataDxfId="113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33" headerRowBorderDxfId="1132" tableBorderDxfId="1131" totalsRowBorderDxfId="1130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29"/>
    <tableColumn id="2" xr3:uid="{822B50C3-46B7-46F0-8829-5293CCAFB21E}" name="Cliente" dataDxfId="1128"/>
    <tableColumn id="3" xr3:uid="{F2A36AB3-30D6-4C43-A466-18FF147EE075}" name="Forma de Pgto" dataDxfId="1127" dataCellStyle="Moeda"/>
    <tableColumn id="4" xr3:uid="{AD829CF8-2271-44F1-A1F1-4928D83ED658}" name="Valor Venda" dataDxfId="1126" dataCellStyle="Porcentagem"/>
    <tableColumn id="5" xr3:uid="{7973C843-3740-4AE2-931D-89DE845BA145}" name="Entrada" dataDxfId="1125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24" dataDxfId="1122" headerRowBorderDxfId="1123" tableBorderDxfId="1121" totalsRowBorderDxfId="1120">
  <autoFilter ref="K14:M31" xr:uid="{C83FE64B-E221-4DAA-89EA-5307A7BC98B3}"/>
  <tableColumns count="3">
    <tableColumn id="1" xr3:uid="{404BEA27-9F48-40AC-AF84-177E7CA2ADEC}" name="OS" dataDxfId="1119"/>
    <tableColumn id="2" xr3:uid="{BC07784A-25E9-4C57-B0FF-1E3D183BCD37}" name="Vendedor" dataDxfId="1118"/>
    <tableColumn id="3" xr3:uid="{EFFF7860-5B35-466B-BA53-4485DC02FB15}" name="CARNE" dataDxfId="1117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16" dataDxfId="1114" headerRowBorderDxfId="1115" tableBorderDxfId="1113" totalsRowBorderDxfId="1112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AD70F2E-47A6-41CF-83BB-24674AC9CA07}" name="OS" dataDxfId="1111"/>
    <tableColumn id="2" xr3:uid="{A8D4686B-F05E-4D96-BDB9-FD354C9E28B8}" name="Cliente" dataDxfId="1110"/>
    <tableColumn id="3" xr3:uid="{0FB871EC-4505-4E7C-A162-0EFDB16AB8E5}" name="Forma de Pgto" dataDxfId="1109" dataCellStyle="Moeda"/>
    <tableColumn id="4" xr3:uid="{41436228-3E61-4F7F-80EF-627B1794150B}" name="Valor Parcela" dataDxfId="1108" dataCellStyle="Porcentagem"/>
    <tableColumn id="5" xr3:uid="{9C580DC7-08E3-4AD7-B73C-C1AA4298633B}" name="Nº Parcela" dataDxfId="1107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06" headerRowBorderDxfId="1105" tableBorderDxfId="1104" totalsRowBorderDxfId="1103">
  <autoFilter ref="K34:M41" xr:uid="{1B8643D4-6AC3-4029-882A-C62E9D7CB225}"/>
  <tableColumns count="3">
    <tableColumn id="1" xr3:uid="{6E774D52-7DFE-4ED1-9F2F-47B5899CBAC1}" name="OS" dataDxfId="1102"/>
    <tableColumn id="2" xr3:uid="{39CE62CA-537C-4DF4-B8D5-281ED0EE57C3}" name="Parcelas" dataDxfId="1101"/>
    <tableColumn id="3" xr3:uid="{830AFF05-9BCF-488F-97F3-8D4378DE4DCB}" name="Valor Total" dataDxfId="1100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99" dataDxfId="1097" headerRowBorderDxfId="1098" tableBorderDxfId="1096" totalsRowBorderDxfId="109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94" dataCellStyle="Moeda"/>
    <tableColumn id="5" xr3:uid="{CE0B3E90-9420-4A96-9195-72088311874E}" name="Cliente" dataDxfId="1093" dataCellStyle="Moeda"/>
    <tableColumn id="2" xr3:uid="{3EF1B45D-588D-4066-8ACF-697863B5F984}" name="Forma de Pgto" dataDxfId="1092" dataCellStyle="Moeda"/>
    <tableColumn id="3" xr3:uid="{9ADBAC7B-B04C-4E2B-9C83-E18200698CCE}" name="Valor Venda" dataDxfId="1091" dataCellStyle="Porcentagem"/>
    <tableColumn id="4" xr3:uid="{16823673-1F5B-4F46-A676-8665CF4D02BA}" name="Entrada" dataDxfId="1090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89" dataDxfId="1087" headerRowBorderDxfId="1088" tableBorderDxfId="1086" totalsRowBorderDxfId="1085">
  <autoFilter ref="K5:M11" xr:uid="{00000000-0009-0000-0100-000015000000}"/>
  <tableColumns count="3">
    <tableColumn id="1" xr3:uid="{A02811B4-F6FA-4EDA-94FE-5EDFE6293B48}" name="Descrição" dataDxfId="1084"/>
    <tableColumn id="2" xr3:uid="{39EAD4CE-DDFA-4948-8B1E-10589BABDD84}" name="Tipo de Pagto" dataDxfId="1083"/>
    <tableColumn id="3" xr3:uid="{30C3BD81-38C9-4C67-BF45-044DFDDD7A0B}" name="Valor" dataDxfId="1082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81" dataDxfId="1079" headerRowBorderDxfId="1080" tableBorderDxfId="1078" totalsRowBorderDxfId="107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76"/>
    <tableColumn id="2" xr3:uid="{BE6E3444-490A-4F75-BE63-234EB84D04F7}" name="Cliente" dataDxfId="1075"/>
    <tableColumn id="3" xr3:uid="{868472E6-6C45-4AEC-9672-E559CFA15EA7}" name="Forma de Pgto" dataDxfId="1074" dataCellStyle="Moeda"/>
    <tableColumn id="4" xr3:uid="{DB2D0AA9-9B1E-4A35-B9B2-8B1052EAD782}" name="Valor Venda" dataDxfId="1073" dataCellStyle="Porcentagem"/>
    <tableColumn id="5" xr3:uid="{C23CEEDF-415E-4EFC-ACF7-2661157A84C3}" name="Entrada" dataDxfId="1072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71" dataDxfId="1069" headerRowBorderDxfId="1070" tableBorderDxfId="1068" totalsRowBorderDxfId="1067">
  <autoFilter ref="K14:M31" xr:uid="{C83FE64B-E221-4DAA-89EA-5307A7BC98B3}"/>
  <tableColumns count="3">
    <tableColumn id="1" xr3:uid="{BAA11040-DE86-4FBA-899D-4F8D992FF700}" name="OS" dataDxfId="1066"/>
    <tableColumn id="2" xr3:uid="{13D709D4-8F81-4D58-95F2-22F1C686CB18}" name="Vendedor" dataDxfId="1065"/>
    <tableColumn id="3" xr3:uid="{92130A71-CEC8-4371-B6C9-DA29C0189A09}" name="CARNE" dataDxfId="1064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63" dataDxfId="1061" headerRowBorderDxfId="1062" tableBorderDxfId="1060" totalsRowBorderDxfId="105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58"/>
    <tableColumn id="2" xr3:uid="{7652DD36-D535-400C-856B-02CB62C18176}" name="Cliente" dataDxfId="1057"/>
    <tableColumn id="3" xr3:uid="{129618E1-FDB4-497A-9DB0-29AC7143AF10}" name="Forma de Pgto" dataDxfId="1056" dataCellStyle="Moeda"/>
    <tableColumn id="4" xr3:uid="{EC69F906-8001-4D12-8ED6-D597AE23E936}" name="Valor Parcela" dataDxfId="1055" dataCellStyle="Porcentagem"/>
    <tableColumn id="5" xr3:uid="{65040BF1-55E0-4DD6-926F-3F0324D47077}" name="Nº Parcela" dataDxfId="1054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53" headerRowBorderDxfId="1052" tableBorderDxfId="1051" totalsRowBorderDxfId="1050">
  <autoFilter ref="K34:M41" xr:uid="{1B8643D4-6AC3-4029-882A-C62E9D7CB225}"/>
  <tableColumns count="3">
    <tableColumn id="1" xr3:uid="{710179D9-1888-45A0-96B5-C6E1151FFFF0}" name="OS" dataDxfId="1049"/>
    <tableColumn id="2" xr3:uid="{D9D130F4-6D87-4655-90D8-AF3976107C2A}" name="Parcelas" dataDxfId="1048"/>
    <tableColumn id="3" xr3:uid="{07DCBA20-7E86-4F99-AED4-2BDCD854B71C}" name="Valor Total" dataDxfId="1047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46" dataDxfId="1044" headerRowBorderDxfId="1045" tableBorderDxfId="1043" totalsRowBorderDxfId="104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41" dataCellStyle="Moeda"/>
    <tableColumn id="5" xr3:uid="{C388448A-992D-4C2D-8BB2-14D587C7E260}" name="Cliente" dataDxfId="1040" dataCellStyle="Moeda"/>
    <tableColumn id="2" xr3:uid="{C66BE185-63F5-4991-91CC-2661F40F891F}" name="Forma de Pgto" dataDxfId="1039" dataCellStyle="Moeda"/>
    <tableColumn id="3" xr3:uid="{C86C165C-F04B-4F8A-9769-AE38C03F025E}" name="Valor Venda" dataDxfId="1038" dataCellStyle="Porcentagem"/>
    <tableColumn id="4" xr3:uid="{C11C99C9-E646-4417-8698-61AFF55AB567}" name="Entrada" dataDxfId="1037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36" dataDxfId="1034" headerRowBorderDxfId="1035" tableBorderDxfId="1033" totalsRowBorderDxfId="1032">
  <autoFilter ref="K5:M11" xr:uid="{00000000-0009-0000-0100-000015000000}"/>
  <tableColumns count="3">
    <tableColumn id="1" xr3:uid="{696BC9EF-69BB-4D0D-96DF-B836B5771C08}" name="Descrição" dataDxfId="1031"/>
    <tableColumn id="2" xr3:uid="{4F12E940-09E4-4E51-A2A0-CEF5523233E2}" name="Tipo de Pagto" dataDxfId="1030"/>
    <tableColumn id="3" xr3:uid="{329E2ABB-99D4-47D1-8CEB-C3F4DE69A1C8}" name="Valor" dataDxfId="102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28" dataDxfId="1026" headerRowBorderDxfId="1027" tableBorderDxfId="1025" totalsRowBorderDxfId="102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23"/>
    <tableColumn id="2" xr3:uid="{4745164B-5E29-4C65-87CA-C8C1B31B8272}" name="Cliente" dataDxfId="1022"/>
    <tableColumn id="3" xr3:uid="{69D7D490-36CA-4F69-BF76-2ADB810B4F37}" name="Forma de Pgto" dataDxfId="1021" dataCellStyle="Moeda"/>
    <tableColumn id="4" xr3:uid="{9B6B365B-42F7-499F-B705-B8F5196F8192}" name="Valor Venda" dataDxfId="1020" dataCellStyle="Porcentagem"/>
    <tableColumn id="5" xr3:uid="{7C88B9A2-2920-4AD8-AC1F-7417F3FA8282}" name="Entrada" dataDxfId="1019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18" dataDxfId="1016" headerRowBorderDxfId="1017" tableBorderDxfId="1015" totalsRowBorderDxfId="1014">
  <autoFilter ref="K14:M31" xr:uid="{C83FE64B-E221-4DAA-89EA-5307A7BC98B3}"/>
  <tableColumns count="3">
    <tableColumn id="1" xr3:uid="{5740FA63-223C-47B7-8842-178B003DB4BC}" name="OS" dataDxfId="1013"/>
    <tableColumn id="2" xr3:uid="{5CCC3C75-C80E-44BB-BC37-80F487481DDA}" name="Vendedor" dataDxfId="1012"/>
    <tableColumn id="3" xr3:uid="{585175B8-B982-429E-9344-163CE2687302}" name="CARNE" dataDxfId="101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10" dataDxfId="1008" headerRowBorderDxfId="1009" tableBorderDxfId="1007" totalsRowBorderDxfId="100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05"/>
    <tableColumn id="2" xr3:uid="{2540FF22-68AB-4A04-B72D-DDBC8B064A8D}" name="Cliente" dataDxfId="1004"/>
    <tableColumn id="3" xr3:uid="{A7CB1680-9636-42C6-8AD9-F68C54BBCE0A}" name="Forma de Pgto" dataDxfId="1003" dataCellStyle="Moeda"/>
    <tableColumn id="4" xr3:uid="{727C37A8-450C-4D57-A2C9-396F29733C0A}" name="Valor Parcela" dataDxfId="1002" dataCellStyle="Porcentagem"/>
    <tableColumn id="5" xr3:uid="{4B27DCBF-BD8C-46A2-BC12-DE369C458E8A}" name="Nº Parcela" dataDxfId="1001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00" headerRowBorderDxfId="999" tableBorderDxfId="998" totalsRowBorderDxfId="997">
  <autoFilter ref="K34:M41" xr:uid="{1B8643D4-6AC3-4029-882A-C62E9D7CB225}"/>
  <tableColumns count="3">
    <tableColumn id="1" xr3:uid="{60FAE849-4EC1-49E6-990F-8A43377EE6C3}" name="OS" dataDxfId="996"/>
    <tableColumn id="2" xr3:uid="{B3127003-34D7-49FE-AFFC-7FA256F8BC3F}" name="Parcelas" dataDxfId="995"/>
    <tableColumn id="3" xr3:uid="{412AC98E-5FB9-4C3C-9FBF-2EBE1631A397}" name="Valor Total" dataDxfId="994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93" dataDxfId="991" headerRowBorderDxfId="992" tableBorderDxfId="990" totalsRowBorderDxfId="9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88" dataCellStyle="Moeda"/>
    <tableColumn id="5" xr3:uid="{A1AF61B3-EFAB-450A-92B2-38E357233CD5}" name="Cliente" dataDxfId="987" dataCellStyle="Moeda"/>
    <tableColumn id="2" xr3:uid="{DF277353-579D-439F-85C3-76DEACDE7A39}" name="Forma de Pgto" dataDxfId="986" dataCellStyle="Moeda"/>
    <tableColumn id="3" xr3:uid="{7164D8F5-C0CB-47F7-BD16-B590E7D85EDB}" name="Valor Venda" dataDxfId="985" dataCellStyle="Porcentagem"/>
    <tableColumn id="4" xr3:uid="{065B051D-7958-4E7D-972D-DDB0E8E7D052}" name="Entrada" dataDxfId="984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83" dataDxfId="981" headerRowBorderDxfId="982" tableBorderDxfId="980" totalsRowBorderDxfId="979">
  <autoFilter ref="K5:M11" xr:uid="{00000000-0009-0000-0100-000015000000}"/>
  <tableColumns count="3">
    <tableColumn id="1" xr3:uid="{865498B1-F05E-46C9-B6C1-CCD85D9306C6}" name="Descrição" dataDxfId="978"/>
    <tableColumn id="2" xr3:uid="{37F7AC6A-A7CD-43FB-89B1-5E904BAC1EBD}" name="Tipo de Pagto" dataDxfId="977"/>
    <tableColumn id="3" xr3:uid="{A014E45A-B38A-47C2-A582-411CA2B495EE}" name="Valor" dataDxfId="976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75" dataDxfId="973" headerRowBorderDxfId="974" tableBorderDxfId="972" totalsRowBorderDxfId="9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70"/>
    <tableColumn id="2" xr3:uid="{BC7B7FC1-CF4C-42C2-ABD3-DFEEA234B02B}" name="Cliente" dataDxfId="969"/>
    <tableColumn id="3" xr3:uid="{67F17557-E38E-4865-93F5-DCEF4A7ED2C6}" name="Forma de Pgto" dataDxfId="968" dataCellStyle="Moeda"/>
    <tableColumn id="4" xr3:uid="{D2C10329-9C1A-4D0D-BC74-3A320E9B6593}" name="Valor Venda" dataDxfId="967" dataCellStyle="Porcentagem"/>
    <tableColumn id="5" xr3:uid="{82810E21-D152-4A22-94D5-0A28C60F4849}" name="Entrada" dataDxfId="966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65" dataDxfId="963" headerRowBorderDxfId="964" tableBorderDxfId="962" totalsRowBorderDxfId="961">
  <autoFilter ref="K14:M31" xr:uid="{C83FE64B-E221-4DAA-89EA-5307A7BC98B3}"/>
  <tableColumns count="3">
    <tableColumn id="1" xr3:uid="{7A4CC637-3546-4D1B-9D86-75C6034079BF}" name="OS" dataDxfId="960"/>
    <tableColumn id="2" xr3:uid="{CEB52B1C-2642-45A1-A1EB-26029A9B5402}" name="Vendedor" dataDxfId="959"/>
    <tableColumn id="3" xr3:uid="{8C88CFEB-7155-49BD-9D63-1FCC9096735E}" name="CARNE" dataDxfId="958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57" dataDxfId="955" headerRowBorderDxfId="956" tableBorderDxfId="954" totalsRowBorderDxfId="9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52"/>
    <tableColumn id="2" xr3:uid="{7C3577CA-FC44-4DC9-9002-D4EA74DFF73F}" name="Cliente" dataDxfId="951"/>
    <tableColumn id="3" xr3:uid="{77D25058-5D06-4E37-8746-BF184DDEEA81}" name="Forma de Pgto" dataDxfId="950" dataCellStyle="Moeda"/>
    <tableColumn id="4" xr3:uid="{5EDAFC3F-F478-449C-990C-45300A2C66DF}" name="Valor Parcela" dataDxfId="949" dataCellStyle="Porcentagem"/>
    <tableColumn id="5" xr3:uid="{5DBCC805-C046-4526-8886-13334D431CB2}" name="Nº Parcela" dataDxfId="948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47" headerRowBorderDxfId="946" tableBorderDxfId="945" totalsRowBorderDxfId="944">
  <autoFilter ref="K34:M41" xr:uid="{1B8643D4-6AC3-4029-882A-C62E9D7CB225}"/>
  <tableColumns count="3">
    <tableColumn id="1" xr3:uid="{FDFEB034-D746-488E-9611-5C5421DF9812}" name="OS" dataDxfId="943"/>
    <tableColumn id="2" xr3:uid="{AD1C8A9C-91DA-4D2C-A438-9B8648A5521B}" name="Parcelas" dataDxfId="942"/>
    <tableColumn id="3" xr3:uid="{577D3B3F-3A18-4FE3-8E0F-E82C9012821F}" name="Valor Total" dataDxfId="941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40" dataDxfId="938" headerRowBorderDxfId="939" tableBorderDxfId="937" totalsRowBorderDxfId="9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35" dataCellStyle="Moeda"/>
    <tableColumn id="5" xr3:uid="{53B9FE46-E769-466F-9757-A5C752203582}" name="Cliente" dataDxfId="934" dataCellStyle="Moeda"/>
    <tableColumn id="2" xr3:uid="{9AFD5C78-132A-4E21-96EC-75882307A334}" name="Forma de Pgto" dataDxfId="933" dataCellStyle="Moeda"/>
    <tableColumn id="3" xr3:uid="{0B7791DE-BC7F-4EA7-87CC-E8588E2F6D00}" name="Valor Venda" dataDxfId="932" dataCellStyle="Porcentagem"/>
    <tableColumn id="4" xr3:uid="{EDACC2B7-28DE-40D1-BC9D-356B5D64934D}" name="Entrada" dataDxfId="931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30" dataDxfId="928" headerRowBorderDxfId="929" tableBorderDxfId="927" totalsRowBorderDxfId="926">
  <autoFilter ref="K5:M11" xr:uid="{00000000-0009-0000-0100-000015000000}"/>
  <tableColumns count="3">
    <tableColumn id="1" xr3:uid="{F638F61A-E4B9-4300-BD8D-C0A6A3D7A8E2}" name="Descrição" dataDxfId="925"/>
    <tableColumn id="2" xr3:uid="{9DC04330-37E5-4813-8F2D-4BAA554527A5}" name="Tipo de Pagto" dataDxfId="924"/>
    <tableColumn id="3" xr3:uid="{799A991A-3D2C-4EC1-A2D8-A1F3023DD9AF}" name="Valor" dataDxfId="923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22" dataDxfId="920" headerRowBorderDxfId="921" tableBorderDxfId="919" totalsRowBorderDxfId="9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17"/>
    <tableColumn id="2" xr3:uid="{2FD43CA2-90CA-449B-821F-205F1748177C}" name="Cliente" dataDxfId="916"/>
    <tableColumn id="3" xr3:uid="{A5640B64-FD50-49A5-B305-E61D9280F57A}" name="Forma de Pgto" dataDxfId="915" dataCellStyle="Moeda"/>
    <tableColumn id="4" xr3:uid="{26AD2EE8-2400-4B07-A340-99B1BA546B01}" name="Valor Venda" dataDxfId="914" dataCellStyle="Porcentagem"/>
    <tableColumn id="5" xr3:uid="{DF786930-B464-48C0-92C5-A18D129572D3}" name="Entrada" dataDxfId="913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12" dataDxfId="910" headerRowBorderDxfId="911" tableBorderDxfId="909" totalsRowBorderDxfId="908">
  <autoFilter ref="K14:M31" xr:uid="{C83FE64B-E221-4DAA-89EA-5307A7BC98B3}"/>
  <tableColumns count="3">
    <tableColumn id="1" xr3:uid="{686E8A3B-2CC1-443E-B3F0-07F1D6AF8C19}" name="OS" dataDxfId="907"/>
    <tableColumn id="2" xr3:uid="{1250D1EA-82EB-4EB4-AEDB-99799165C996}" name="Vendedor" dataDxfId="906"/>
    <tableColumn id="3" xr3:uid="{F6A6C0FE-3106-4929-AC63-C2A418BAD9A1}" name="CARNE" dataDxfId="905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04" dataDxfId="902" headerRowBorderDxfId="903" tableBorderDxfId="901" totalsRowBorderDxfId="9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99"/>
    <tableColumn id="2" xr3:uid="{6946C657-632E-4A47-A04C-EBD987018798}" name="Cliente" dataDxfId="898"/>
    <tableColumn id="3" xr3:uid="{11747110-E63B-4D92-AE0D-F744DD494204}" name="Forma de Pgto" dataDxfId="897" dataCellStyle="Moeda"/>
    <tableColumn id="4" xr3:uid="{7637A14A-3C11-482C-A77B-09489718F039}" name="Valor Parcela" dataDxfId="896" dataCellStyle="Porcentagem"/>
    <tableColumn id="5" xr3:uid="{E03E863B-EAD4-4137-9B26-2CA0EAC2F09E}" name="Nº Parcela" dataDxfId="895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94" headerRowBorderDxfId="893" tableBorderDxfId="892" totalsRowBorderDxfId="891">
  <autoFilter ref="K34:M41" xr:uid="{1B8643D4-6AC3-4029-882A-C62E9D7CB225}"/>
  <tableColumns count="3">
    <tableColumn id="1" xr3:uid="{6F6F5FBA-037D-4F8B-8355-AC821A55F803}" name="OS" dataDxfId="890"/>
    <tableColumn id="2" xr3:uid="{BEED8472-6636-42D9-A60A-E43C842B7D8F}" name="Parcelas" dataDxfId="889"/>
    <tableColumn id="3" xr3:uid="{0CE64280-F6A9-46AC-8696-F227912F6552}" name="Valor Total" dataDxfId="888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87" dataDxfId="885" headerRowBorderDxfId="886" tableBorderDxfId="884" totalsRowBorderDxfId="8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82" dataCellStyle="Moeda"/>
    <tableColumn id="5" xr3:uid="{864A4F89-382F-4099-9D59-467A7AB12940}" name="Cliente" dataDxfId="881" dataCellStyle="Moeda"/>
    <tableColumn id="2" xr3:uid="{529253EE-0917-4E7A-AA5F-14D2DCAD4080}" name="Forma de Pgto" dataDxfId="880" dataCellStyle="Moeda"/>
    <tableColumn id="3" xr3:uid="{7A07E6EC-5721-4AB5-B7BB-F8D16153B615}" name="Valor Venda" dataDxfId="879" dataCellStyle="Porcentagem"/>
    <tableColumn id="4" xr3:uid="{E3569DCA-7BA5-47A8-9C20-6FB2B553052E}" name="Entrada" dataDxfId="878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77" dataDxfId="875" headerRowBorderDxfId="876" tableBorderDxfId="874" totalsRowBorderDxfId="873">
  <autoFilter ref="K5:M11" xr:uid="{00000000-0009-0000-0100-000015000000}"/>
  <tableColumns count="3">
    <tableColumn id="1" xr3:uid="{95CF041F-F7B4-4974-9B76-66A5C7C3CF1E}" name="Descrição" dataDxfId="872"/>
    <tableColumn id="2" xr3:uid="{010F2147-2B02-4E80-9D4E-E9E6110BD535}" name="Tipo de Pagto" dataDxfId="871"/>
    <tableColumn id="3" xr3:uid="{667C80AD-481C-4689-8F6A-2426991759A7}" name="Valor" dataDxfId="870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2" totalsRowShown="0" headerRowDxfId="869" dataDxfId="867" headerRowBorderDxfId="868" tableBorderDxfId="866" totalsRowBorderDxfId="86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64"/>
    <tableColumn id="2" xr3:uid="{A401C727-3942-4BDF-BC32-5D789E1F6979}" name="Cliente" dataDxfId="863"/>
    <tableColumn id="3" xr3:uid="{29237CE2-AC3D-477F-ABA7-60B5DA6F8120}" name="Forma de Pgto" dataDxfId="862" dataCellStyle="Moeda"/>
    <tableColumn id="4" xr3:uid="{A39B1F5A-49E3-45B8-BCA8-E3252A43E2CC}" name="Valor Venda" dataDxfId="861" dataCellStyle="Porcentagem"/>
    <tableColumn id="5" xr3:uid="{A1809E96-D43C-48CA-B4B0-F8952BB21709}" name="Entrada" dataDxfId="860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59" dataDxfId="857" headerRowBorderDxfId="858" tableBorderDxfId="856" totalsRowBorderDxfId="855">
  <autoFilter ref="K14:M31" xr:uid="{C83FE64B-E221-4DAA-89EA-5307A7BC98B3}"/>
  <tableColumns count="3">
    <tableColumn id="1" xr3:uid="{56C94D3F-8E22-47DC-AA8B-FBABE57C94EE}" name="OS" dataDxfId="854"/>
    <tableColumn id="2" xr3:uid="{61C3945B-58EB-4D02-A420-14D13F69B1FD}" name="Vendedor" dataDxfId="853"/>
    <tableColumn id="3" xr3:uid="{310A696D-E474-4609-8CAC-92E3BC19A517}" name="CARNE" dataDxfId="852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1" headerRowBorderDxfId="850" tableBorderDxfId="849" totalsRowBorderDxfId="848">
  <autoFilter ref="K34:M41" xr:uid="{1B8643D4-6AC3-4029-882A-C62E9D7CB225}"/>
  <tableColumns count="3">
    <tableColumn id="1" xr3:uid="{182484ED-66B8-43D1-B168-BDEB5996673F}" name="OS" dataDxfId="847"/>
    <tableColumn id="2" xr3:uid="{FC47BB11-B6D3-4928-BFCD-BDAC4B2BDD2F}" name="Parcelas" dataDxfId="846"/>
    <tableColumn id="3" xr3:uid="{F7E0E4E8-A2A1-4513-B1F5-B98008299FD0}" name="Valor Total" dataDxfId="845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4" dataDxfId="842" headerRowBorderDxfId="843" tableBorderDxfId="841" totalsRowBorderDxfId="8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39" dataCellStyle="Moeda"/>
    <tableColumn id="5" xr3:uid="{2B9E675C-5EB2-4EBC-8FDE-19F93E6E7B08}" name="Cliente" dataDxfId="838" dataCellStyle="Moeda"/>
    <tableColumn id="2" xr3:uid="{04A3548D-E88B-4096-85CB-E08243412A85}" name="Forma de Pgto" dataDxfId="837" dataCellStyle="Moeda"/>
    <tableColumn id="3" xr3:uid="{977F794D-E094-4347-935B-1202B7138C52}" name="Valor Venda" dataDxfId="836" dataCellStyle="Porcentagem"/>
    <tableColumn id="4" xr3:uid="{908F3845-FF06-4899-A550-28B1BE92D1A9}" name="Entrada" dataDxfId="835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4" dataDxfId="832" headerRowBorderDxfId="833" tableBorderDxfId="831" totalsRowBorderDxfId="830">
  <autoFilter ref="K5:M11" xr:uid="{00000000-0009-0000-0100-000015000000}"/>
  <tableColumns count="3">
    <tableColumn id="1" xr3:uid="{F9AC75BC-BCF6-4B22-9F75-0F3CC507495B}" name="Descrição" dataDxfId="829"/>
    <tableColumn id="2" xr3:uid="{61D86D1A-7892-4923-9684-5D9A01F0BD5D}" name="Tipo de Pagto" dataDxfId="828"/>
    <tableColumn id="3" xr3:uid="{3F8C718F-C7FE-423F-9F48-66FB2201CFE2}" name="Valor" dataDxfId="827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26" headerRowBorderDxfId="825" tableBorderDxfId="824" totalsRowBorderDxfId="82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2"/>
    <tableColumn id="2" xr3:uid="{994EFF98-DD95-4B94-B1C7-D068C1D5212C}" name="Cliente" dataDxfId="821"/>
    <tableColumn id="3" xr3:uid="{7D4E72E0-4CFA-46C9-B3AF-A1654CF194A1}" name="Forma de Pgto" dataDxfId="820" dataCellStyle="Moeda"/>
    <tableColumn id="4" xr3:uid="{EE367263-F1E4-4631-A484-2013B6BA1F27}" name="Valor Venda" dataDxfId="819" dataCellStyle="Porcentagem"/>
    <tableColumn id="5" xr3:uid="{9DA475CB-BD5A-4734-A11F-3BB7DD0D9D7E}" name="Entrada" dataDxfId="818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17" dataDxfId="815" headerRowBorderDxfId="816" tableBorderDxfId="814" totalsRowBorderDxfId="813">
  <autoFilter ref="K14:M31" xr:uid="{C83FE64B-E221-4DAA-89EA-5307A7BC98B3}"/>
  <tableColumns count="3">
    <tableColumn id="1" xr3:uid="{3DA7B618-15C5-4547-A26D-ABC55A01467A}" name="OS" dataDxfId="812"/>
    <tableColumn id="2" xr3:uid="{9ED68045-86C7-4BE0-8AE0-0417F1DD76FD}" name="Vendedor" dataDxfId="811"/>
    <tableColumn id="3" xr3:uid="{F4076139-8BF9-457D-ADE6-1BCD435E31BB}" name="CARNE" dataDxfId="810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09" dataDxfId="807" headerRowBorderDxfId="808" tableBorderDxfId="806" totalsRowBorderDxfId="80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4"/>
    <tableColumn id="2" xr3:uid="{E89F59BF-5F0B-4E4E-B2BE-7B739967886D}" name="Cliente" dataDxfId="803"/>
    <tableColumn id="3" xr3:uid="{B348335B-A485-46BE-AECB-0672679F4468}" name="Forma de Pgto" dataDxfId="802" dataCellStyle="Moeda"/>
    <tableColumn id="4" xr3:uid="{73B13E6E-5431-4E90-9A6E-E15737DDA887}" name="Valor Parcela" dataDxfId="801" dataCellStyle="Porcentagem"/>
    <tableColumn id="5" xr3:uid="{C738A843-A8FD-4CB7-B2C8-59810BA17BF2}" name="Nº Parcela" dataDxfId="800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99" headerRowBorderDxfId="798" tableBorderDxfId="797" totalsRowBorderDxfId="796">
  <autoFilter ref="K34:M41" xr:uid="{1B8643D4-6AC3-4029-882A-C62E9D7CB225}"/>
  <tableColumns count="3">
    <tableColumn id="1" xr3:uid="{3F5F54B7-8999-4296-A374-3780F172D2B8}" name="OS" dataDxfId="795"/>
    <tableColumn id="2" xr3:uid="{5F252D86-495C-4A65-B391-3FF46311DE83}" name="Parcelas" dataDxfId="794"/>
    <tableColumn id="3" xr3:uid="{50E905DA-42A9-43E1-8D51-FD4BDEAB81C8}" name="Valor Total" dataDxfId="793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5" totalsRowShown="0" headerRowDxfId="792" headerRowBorderDxfId="791" tableBorderDxfId="790" totalsRowBorderDxfId="789">
  <autoFilter ref="E5:I25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88" dataCellStyle="Moeda"/>
    <tableColumn id="5" xr3:uid="{08C272CC-0220-47BB-9263-1AA910D9829C}" name="Cliente" dataDxfId="787" dataCellStyle="Moeda"/>
    <tableColumn id="2" xr3:uid="{DF276F1F-7FCA-4CE9-AD90-5340B6E688D4}" name="Forma de Pgto" dataDxfId="786" dataCellStyle="Moeda"/>
    <tableColumn id="3" xr3:uid="{CF6FE509-8C51-4621-87DF-AAD8645E20D4}" name="Valor Venda" dataDxfId="785" dataCellStyle="Porcentagem"/>
    <tableColumn id="4" xr3:uid="{5AB6BADB-DBB7-45C0-89E8-2C836C831FCF}" name="Entrada" dataDxfId="78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3" dataDxfId="781" headerRowBorderDxfId="782" tableBorderDxfId="780" totalsRowBorderDxfId="779">
  <autoFilter ref="K5:M11" xr:uid="{00000000-0009-0000-0100-000015000000}"/>
  <tableColumns count="3">
    <tableColumn id="1" xr3:uid="{8CE76670-7409-454F-9B3A-4BD739F5C5E3}" name="Descrição" dataDxfId="778"/>
    <tableColumn id="2" xr3:uid="{B2BAF2DB-A6EF-41C6-8A5D-66027E15C8F8}" name="Tipo de Pagto" dataDxfId="777"/>
    <tableColumn id="3" xr3:uid="{99CFD3BD-FC58-49DA-AC21-ACD3EE40336E}" name="Valor" dataDxfId="776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8:I34" totalsRowShown="0" headerRowDxfId="775" dataDxfId="773" headerRowBorderDxfId="774" tableBorderDxfId="772" totalsRowBorderDxfId="771">
  <autoFilter ref="E28:I34" xr:uid="{00000000-0009-0000-0100-000016000000}"/>
  <sortState xmlns:xlrd2="http://schemas.microsoft.com/office/spreadsheetml/2017/richdata2" ref="E29:I34">
    <sortCondition ref="E28:E34"/>
  </sortState>
  <tableColumns count="5">
    <tableColumn id="1" xr3:uid="{31DBDBB2-7502-47F7-B5F7-8561358718FF}" name="Nº Venda" dataDxfId="770"/>
    <tableColumn id="2" xr3:uid="{B886F79B-BD9C-476A-88F8-CB3F80E42FD0}" name="Cliente" dataDxfId="769"/>
    <tableColumn id="3" xr3:uid="{78D9CA4E-E9E8-4359-8144-996DE0EE7A64}" name="Forma de Pgto" dataDxfId="768" dataCellStyle="Moeda"/>
    <tableColumn id="4" xr3:uid="{F327BA72-0013-44A1-B3CE-07FACF46CAC8}" name="Valor Venda" dataDxfId="767" dataCellStyle="Porcentagem"/>
    <tableColumn id="5" xr3:uid="{20494810-9085-4087-A73E-D3FE8DC5C40D}" name="Entrada" dataDxfId="766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5" dataDxfId="763" headerRowBorderDxfId="764" tableBorderDxfId="762" totalsRowBorderDxfId="761">
  <autoFilter ref="K14:M31" xr:uid="{C83FE64B-E221-4DAA-89EA-5307A7BC98B3}"/>
  <tableColumns count="3">
    <tableColumn id="1" xr3:uid="{40D1E49B-6CB3-409E-AFC1-7315BAF42BBF}" name="OS" dataDxfId="760"/>
    <tableColumn id="2" xr3:uid="{4C8709E7-DDF3-475B-9A19-42E8B9FC587D}" name="Vendedor" dataDxfId="759"/>
    <tableColumn id="3" xr3:uid="{185D4DF1-07D8-4494-B6E4-5B4CFC4E2B4E}" name="CARNE" dataDxfId="758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7:I44" totalsRowShown="0" headerRowDxfId="757" dataDxfId="755" headerRowBorderDxfId="756" tableBorderDxfId="754" totalsRowBorderDxfId="753">
  <autoFilter ref="E37:I44" xr:uid="{B9E2F984-8588-4F2C-9FB9-680284154679}"/>
  <sortState xmlns:xlrd2="http://schemas.microsoft.com/office/spreadsheetml/2017/richdata2" ref="E38:I43">
    <sortCondition ref="E28:E34"/>
  </sortState>
  <tableColumns count="5">
    <tableColumn id="1" xr3:uid="{E02D4ED9-E2A5-495E-891D-41D47DE395C4}" name="OS" dataDxfId="752"/>
    <tableColumn id="2" xr3:uid="{CA06119C-2085-4F7F-B293-65E2AF15EEE5}" name="Cliente" dataDxfId="751"/>
    <tableColumn id="3" xr3:uid="{BF529E56-33D1-40B5-8E7B-EFBAB59D2A71}" name="Forma de Pgto" dataDxfId="750" dataCellStyle="Moeda"/>
    <tableColumn id="4" xr3:uid="{66CAC967-C216-41AB-BBFE-D7EC8E60B5DB}" name="Valor Parcela" dataDxfId="749" dataCellStyle="Porcentagem"/>
    <tableColumn id="5" xr3:uid="{684E478E-5460-400B-8F1B-2956E3BF42E8}" name="Nº Parcela" dataDxfId="748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47" headerRowBorderDxfId="746" tableBorderDxfId="745" totalsRowBorderDxfId="744">
  <autoFilter ref="K34:M41" xr:uid="{1B8643D4-6AC3-4029-882A-C62E9D7CB225}"/>
  <tableColumns count="3">
    <tableColumn id="1" xr3:uid="{3DD44433-DB26-4FDD-8D11-D1C35C6FECEB}" name="OS" dataDxfId="743"/>
    <tableColumn id="2" xr3:uid="{A9DC5AE8-407E-40E2-8AD6-B02FE1A5CF20}" name="Parcelas" dataDxfId="742"/>
    <tableColumn id="3" xr3:uid="{6A850C65-FE9A-4796-B920-651ED5594439}" name="Valor Total" dataDxfId="74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0" dataDxfId="738" headerRowBorderDxfId="739" tableBorderDxfId="737" totalsRowBorderDxfId="7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5" dataCellStyle="Moeda"/>
    <tableColumn id="5" xr3:uid="{60E6A65C-186D-4764-A3E8-74F5C0B0AFC1}" name="Cliente" dataDxfId="734" dataCellStyle="Moeda"/>
    <tableColumn id="2" xr3:uid="{22FA520F-5DA7-46FD-9861-DF942B6D91AB}" name="Forma de Pgto" dataDxfId="733" dataCellStyle="Moeda"/>
    <tableColumn id="3" xr3:uid="{7DEE868C-EA7D-401A-A3DF-4CC64A44467F}" name="Valor Venda" dataDxfId="732" dataCellStyle="Porcentagem"/>
    <tableColumn id="4" xr3:uid="{720D25ED-5FF4-421F-94C6-24275CF94733}" name="Entrada" dataDxfId="73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0" dataDxfId="728" headerRowBorderDxfId="729" tableBorderDxfId="727" totalsRowBorderDxfId="726">
  <autoFilter ref="K5:M11" xr:uid="{00000000-0009-0000-0100-000015000000}"/>
  <tableColumns count="3">
    <tableColumn id="1" xr3:uid="{2FBA0522-04E5-4ED5-94F6-52B232AF2373}" name="Descrição" dataDxfId="725"/>
    <tableColumn id="2" xr3:uid="{DB3FC5DE-C5F6-4B07-A662-D19BD76E91F6}" name="Tipo de Pagto" dataDxfId="724"/>
    <tableColumn id="3" xr3:uid="{A2799F30-0033-4E72-9108-ABF645A8DCD3}" name="Valor" dataDxfId="723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2" dataDxfId="720" headerRowBorderDxfId="721" tableBorderDxfId="719" totalsRowBorderDxfId="7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17"/>
    <tableColumn id="2" xr3:uid="{6DECDDC0-CF3A-4677-94C4-62618488FE89}" name="Cliente" dataDxfId="716"/>
    <tableColumn id="3" xr3:uid="{D40EA3F2-0782-4C3D-A060-4DCC1DCF2881}" name="Forma de Pgto" dataDxfId="715" dataCellStyle="Moeda"/>
    <tableColumn id="4" xr3:uid="{A527DD67-780C-4EE1-A7AE-0831114EA80A}" name="Valor Venda" dataDxfId="714" dataCellStyle="Porcentagem"/>
    <tableColumn id="5" xr3:uid="{4082F19A-5570-4E9D-B250-BCD24B16165E}" name="Entrada" dataDxfId="713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2" dataDxfId="710" headerRowBorderDxfId="711" tableBorderDxfId="709" totalsRowBorderDxfId="708">
  <autoFilter ref="K14:M31" xr:uid="{C83FE64B-E221-4DAA-89EA-5307A7BC98B3}"/>
  <tableColumns count="3">
    <tableColumn id="1" xr3:uid="{CF4CC083-8415-4A42-9102-69414AAB96C8}" name="OS" dataDxfId="707"/>
    <tableColumn id="2" xr3:uid="{AFF5A585-6EEA-427D-B49B-A553763AA94C}" name="Vendedor" dataDxfId="706"/>
    <tableColumn id="3" xr3:uid="{2D8D088A-4AB0-487F-929A-89D197884938}" name="CARNE" dataDxfId="705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4" dataDxfId="702" headerRowBorderDxfId="703" tableBorderDxfId="701" totalsRowBorderDxfId="7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699"/>
    <tableColumn id="2" xr3:uid="{71667114-B8E0-4FEE-B3C4-B23C231E71C9}" name="Cliente" dataDxfId="698"/>
    <tableColumn id="3" xr3:uid="{413E4F46-D41F-4D0A-8403-3244651C22ED}" name="Forma de Pgto" dataDxfId="697" dataCellStyle="Moeda"/>
    <tableColumn id="4" xr3:uid="{695A7396-BEC7-498E-8F8D-5C11C17422D0}" name="Valor Parcela" dataDxfId="696" dataCellStyle="Porcentagem"/>
    <tableColumn id="5" xr3:uid="{7D0562F5-5DF1-49C0-BE96-CBD4632BD577}" name="Nº Parcela" dataDxfId="695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4" headerRowBorderDxfId="693" tableBorderDxfId="692" totalsRowBorderDxfId="691">
  <autoFilter ref="K34:M41" xr:uid="{1B8643D4-6AC3-4029-882A-C62E9D7CB225}"/>
  <tableColumns count="3">
    <tableColumn id="1" xr3:uid="{468A4151-2B13-428F-B7B3-DD7850FB056D}" name="OS" dataDxfId="690"/>
    <tableColumn id="2" xr3:uid="{0E5A1628-3806-4E80-9B5C-6CCB43ED7A95}" name="Parcelas" dataDxfId="689"/>
    <tableColumn id="3" xr3:uid="{94527026-C4E7-48B1-ADEC-FAE98EDE2DF7}" name="Valor Total" dataDxfId="68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87" dataDxfId="685" headerRowBorderDxfId="686" tableBorderDxfId="684" totalsRowBorderDxfId="6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2" dataCellStyle="Moeda"/>
    <tableColumn id="5" xr3:uid="{B476382F-8FC0-4C4B-904B-9CEC2FD1737F}" name="Cliente" dataDxfId="681" dataCellStyle="Moeda"/>
    <tableColumn id="2" xr3:uid="{9347CB1E-8ECB-4789-B3B3-F0676BCEF308}" name="Forma de Pgto" dataDxfId="680" dataCellStyle="Moeda"/>
    <tableColumn id="3" xr3:uid="{95E7B651-F8E7-4260-A9CD-31524C1AF920}" name="Valor Venda" dataDxfId="679" dataCellStyle="Porcentagem"/>
    <tableColumn id="4" xr3:uid="{E1F36979-874B-46CF-A70F-6769CE2B4972}" name="Entrada" dataDxfId="67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77" dataDxfId="675" headerRowBorderDxfId="676" tableBorderDxfId="674" totalsRowBorderDxfId="673">
  <autoFilter ref="K5:M11" xr:uid="{00000000-0009-0000-0100-000015000000}"/>
  <tableColumns count="3">
    <tableColumn id="1" xr3:uid="{5DAF9728-D097-46AC-AFA1-2A7D5A636197}" name="Descrição" dataDxfId="672"/>
    <tableColumn id="2" xr3:uid="{7E14BBAB-F602-43F7-BA75-66182DDDFB5A}" name="Tipo de Pagto" dataDxfId="671"/>
    <tableColumn id="3" xr3:uid="{807C6654-E3F5-4B45-B712-93A22255EE13}" name="Valor" dataDxfId="670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69" headerRowBorderDxfId="668" tableBorderDxfId="667" totalsRowBorderDxfId="66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5"/>
    <tableColumn id="2" xr3:uid="{DA2D4CE2-3235-4592-824A-D21C9FEE1324}" name="Cliente" dataDxfId="664"/>
    <tableColumn id="3" xr3:uid="{78436E8E-423C-4634-A0AC-78283D9649B2}" name="Forma de Pgto" dataDxfId="663" dataCellStyle="Moeda"/>
    <tableColumn id="4" xr3:uid="{9B5C140A-AEF6-451D-B599-1B3C00239BF3}" name="Valor Venda" dataDxfId="662" dataCellStyle="Porcentagem"/>
    <tableColumn id="5" xr3:uid="{91C4587E-3C3A-4A8E-B0CF-84D9FBCB29D6}" name="Entrada" dataDxfId="66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0" dataDxfId="658" headerRowBorderDxfId="659" tableBorderDxfId="657" totalsRowBorderDxfId="656">
  <autoFilter ref="K14:M31" xr:uid="{C83FE64B-E221-4DAA-89EA-5307A7BC98B3}"/>
  <tableColumns count="3">
    <tableColumn id="1" xr3:uid="{50109EEB-FA95-426D-A1C8-873B914A4726}" name="OS" dataDxfId="655"/>
    <tableColumn id="2" xr3:uid="{8A5D657B-8F60-4746-999B-0FA3393A39E9}" name="Vendedor" dataDxfId="654"/>
    <tableColumn id="3" xr3:uid="{496CB9CC-67BF-4541-A109-5F5FF565C716}" name="CARNE" dataDxfId="65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2" dataDxfId="650" headerRowBorderDxfId="651" tableBorderDxfId="649" totalsRowBorderDxfId="64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7"/>
    <tableColumn id="2" xr3:uid="{B3362A08-206B-41A8-970B-34C6B8B4C7AA}" name="Cliente" dataDxfId="646"/>
    <tableColumn id="3" xr3:uid="{718A6844-98C1-4F96-8966-19162734BEB9}" name="Forma de Pgto" dataDxfId="645" dataCellStyle="Moeda"/>
    <tableColumn id="4" xr3:uid="{DC15894A-49A7-435B-A661-5666005BEEC8}" name="Valor Parcela" dataDxfId="644" dataCellStyle="Porcentagem"/>
    <tableColumn id="5" xr3:uid="{DE080DD1-0F6B-485E-8515-CE624433C220}" name="Nº Parcela" dataDxfId="64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2" headerRowBorderDxfId="641" tableBorderDxfId="640" totalsRowBorderDxfId="639">
  <autoFilter ref="K34:M41" xr:uid="{1B8643D4-6AC3-4029-882A-C62E9D7CB225}"/>
  <tableColumns count="3">
    <tableColumn id="1" xr3:uid="{DF952D1A-166D-4762-BD7E-3B8C91304310}" name="OS" dataDxfId="638"/>
    <tableColumn id="2" xr3:uid="{4F0F7384-D5B8-477E-9EC7-B82060EBBD78}" name="Parcelas" dataDxfId="637"/>
    <tableColumn id="3" xr3:uid="{8DD00EBF-D0FE-4903-8F44-7064A873609A}" name="Valor Total" dataDxfId="63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5" dataDxfId="633" headerRowBorderDxfId="634" tableBorderDxfId="632" totalsRowBorderDxfId="6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0" dataCellStyle="Moeda"/>
    <tableColumn id="5" xr3:uid="{F65697F3-20D0-4B41-BE55-C2885202D924}" name="Cliente" dataDxfId="629" dataCellStyle="Moeda"/>
    <tableColumn id="2" xr3:uid="{11E8E848-C035-46A3-B1AB-9BBD863CA30A}" name="Forma de Pgto" dataDxfId="628" dataCellStyle="Moeda"/>
    <tableColumn id="3" xr3:uid="{CE50BBF0-66D9-4ABB-AD66-D300C740ED4C}" name="Valor Venda" dataDxfId="627" dataCellStyle="Porcentagem"/>
    <tableColumn id="4" xr3:uid="{A6700982-093E-4E60-A8B4-C0EB11A78A03}" name="Entrada" dataDxfId="62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5" headerRowBorderDxfId="624" tableBorderDxfId="623" totalsRowBorderDxfId="622">
  <autoFilter ref="K5:M11" xr:uid="{00000000-0009-0000-0100-000015000000}"/>
  <tableColumns count="3">
    <tableColumn id="1" xr3:uid="{53B1873C-545D-4906-B601-0C81EDA7CFE1}" name="Descrição" dataDxfId="621"/>
    <tableColumn id="2" xr3:uid="{76E6DB40-F96B-4A9C-8632-7103030C72DC}" name="Tipo de Pagto" dataDxfId="620"/>
    <tableColumn id="3" xr3:uid="{C62F93B6-2A0A-47C6-8FF1-E604490619BC}" name="Valor" dataDxfId="61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2" totalsRowShown="0" headerRowDxfId="618" headerRowBorderDxfId="617" tableBorderDxfId="616" totalsRowBorderDxfId="61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5:I42" totalsRowShown="0" headerRowDxfId="601" dataDxfId="599" headerRowBorderDxfId="600" tableBorderDxfId="598" totalsRowBorderDxfId="597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7" totalsRowShown="0" headerRowDxfId="460" dataDxfId="458" headerRowBorderDxfId="459" tableBorderDxfId="457" totalsRowBorderDxfId="456">
  <autoFilter ref="E25:I37" xr:uid="{00000000-0009-0000-0100-000016000000}"/>
  <sortState xmlns:xlrd2="http://schemas.microsoft.com/office/spreadsheetml/2017/richdata2" ref="E26:I36">
    <sortCondition ref="E25:E36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9:I46" totalsRowShown="0" headerRowDxfId="442" dataDxfId="440" headerRowBorderDxfId="441" tableBorderDxfId="439" totalsRowBorderDxfId="438">
  <autoFilter ref="E39:I46" xr:uid="{B9E2F984-8588-4F2C-9FB9-680284154679}"/>
  <sortState xmlns:xlrd2="http://schemas.microsoft.com/office/spreadsheetml/2017/richdata2" ref="E40:I45">
    <sortCondition ref="E25:E36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62AF445-786E-438C-9775-AFF0F398BC0D}" name="vend31171" displayName="vend31171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6827AAF-4B01-4BCB-8866-0CCAD1D5972A}" name="Nº Venda" dataDxfId="261" dataCellStyle="Moeda"/>
    <tableColumn id="5" xr3:uid="{934334EC-375A-413B-A7D5-81641CCBFC66}" name="Cliente" dataDxfId="260" dataCellStyle="Moeda"/>
    <tableColumn id="2" xr3:uid="{961FF824-33FB-417C-BF08-0E390EC90780}" name="Forma de Pgto" dataDxfId="259" dataCellStyle="Moeda"/>
    <tableColumn id="3" xr3:uid="{82D37B12-136C-4D92-9D16-2BEA4D0E52E0}" name="Valor Venda" dataDxfId="258" dataCellStyle="Porcentagem"/>
    <tableColumn id="4" xr3:uid="{BAD1C12B-7DC4-40A9-AC7E-91B5E591B541}" name="Entrada" dataDxfId="257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11B3F0E6-6A66-40F8-BAC4-CB5234ABC1A4}" name="desp31172" displayName="desp31172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C790A76D-F6C0-4AEA-A3A6-F63844CBE94A}" name="Descrição" dataDxfId="251"/>
    <tableColumn id="2" xr3:uid="{DB6302C2-2FF4-4334-A5E5-F0A062B081F3}" name="Tipo de Pagto" dataDxfId="250"/>
    <tableColumn id="3" xr3:uid="{2CAAF1F1-1882-453F-B654-501B7022CF28}" name="Valor" dataDxfId="249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D674284-1722-4050-BB97-12B1C267C270}" name="rest_entr31173" displayName="rest_entr31173" ref="E25:I33" totalsRowShown="0" headerRowDxfId="248" dataDxfId="246" headerRowBorderDxfId="247" tableBorderDxfId="245" totalsRowBorderDxfId="244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FA4388B1-0DBA-458D-B494-C147E231D3B6}" name="Nº Venda" dataDxfId="243"/>
    <tableColumn id="2" xr3:uid="{2B1CF1E2-A750-4249-BFF7-73E895F73EAA}" name="Cliente" dataDxfId="242"/>
    <tableColumn id="3" xr3:uid="{A12BD29C-5D84-4A92-A1EA-E09E71F2A256}" name="Forma de Pgto" dataDxfId="241" dataCellStyle="Moeda"/>
    <tableColumn id="4" xr3:uid="{6951261A-7F3E-4C2F-A6F2-61FD59221AD7}" name="Valor Venda" dataDxfId="240" dataCellStyle="Porcentagem"/>
    <tableColumn id="5" xr3:uid="{DC8FD531-BF77-4FFC-B1C7-281C5C4590B4}" name="Entrada" dataDxfId="239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4081DBCF-A839-4B8F-A831-A39AA3A0947F}" name="os_entr_dia31174" displayName="os_entr_dia3117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8ACFBEE6-B2AF-439A-B6A0-531A2C58CEEB}" name="OS" dataDxfId="233"/>
    <tableColumn id="2" xr3:uid="{C81129B2-EC0B-41A5-8CC6-D9F1053CDE69}" name="Vendedor" dataDxfId="232"/>
    <tableColumn id="3" xr3:uid="{38DC80F3-B759-4C3F-865B-E60E0FFB08A2}" name="CARNE" dataDxfId="231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64EA1B3-CA68-479F-A6FD-951161B7EE48}" name="rec_carn31175" displayName="rec_carn31175" ref="E36:I43" totalsRowShown="0" headerRowDxfId="230" dataDxfId="228" headerRowBorderDxfId="229" tableBorderDxfId="227" totalsRowBorderDxfId="226">
  <autoFilter ref="E36:I43" xr:uid="{B9E2F984-8588-4F2C-9FB9-680284154679}"/>
  <sortState xmlns:xlrd2="http://schemas.microsoft.com/office/spreadsheetml/2017/richdata2" ref="E37:I42">
    <sortCondition ref="E25:E33"/>
  </sortState>
  <tableColumns count="5">
    <tableColumn id="1" xr3:uid="{1E9F0875-0F63-41DF-B1B9-29E598ED58C7}" name="OS" dataDxfId="225"/>
    <tableColumn id="2" xr3:uid="{979FC187-4967-458C-9EAA-E5D93E454C67}" name="Cliente" dataDxfId="224"/>
    <tableColumn id="3" xr3:uid="{058FCF52-EC06-45CB-AD9B-6D8E6CBB3677}" name="Forma de Pgto" dataDxfId="223" dataCellStyle="Moeda"/>
    <tableColumn id="4" xr3:uid="{9CF725A9-8B81-4F40-8473-45B906A024CB}" name="Valor Parcela" dataDxfId="222" dataCellStyle="Porcentagem"/>
    <tableColumn id="5" xr3:uid="{CF07CE20-D6B2-4253-883E-E93D7BEBDF94}" name="Nº Parcela" dataDxfId="221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B3E0B86-3A4E-44C3-8451-4CC38323ACAE}" name="entr_carn31176" displayName="entr_carn31176" ref="K34:M41" totalsRowShown="0" headerRowDxfId="220" headerRowBorderDxfId="219" tableBorderDxfId="218" totalsRowBorderDxfId="217">
  <autoFilter ref="K34:M41" xr:uid="{1B8643D4-6AC3-4029-882A-C62E9D7CB225}"/>
  <tableColumns count="3">
    <tableColumn id="1" xr3:uid="{7233A26E-C475-4FE9-9B53-C261053C2BC8}" name="OS" dataDxfId="216"/>
    <tableColumn id="2" xr3:uid="{4CB561F3-BE4E-430C-A415-A6E6C307FF2C}" name="Parcelas" dataDxfId="215"/>
    <tableColumn id="3" xr3:uid="{A6A3A1D2-B5F6-4C44-AC08-C8407BF4F801}" name="Valor Total" dataDxfId="21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10" totalsRowShown="0" headerRowDxfId="1">
  <autoFilter ref="A1:B10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8.xml"/><Relationship Id="rId3" Type="http://schemas.openxmlformats.org/officeDocument/2006/relationships/table" Target="../tables/table73.xml"/><Relationship Id="rId7" Type="http://schemas.openxmlformats.org/officeDocument/2006/relationships/table" Target="../tables/table7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6.xml"/><Relationship Id="rId5" Type="http://schemas.openxmlformats.org/officeDocument/2006/relationships/table" Target="../tables/table75.xml"/><Relationship Id="rId4" Type="http://schemas.openxmlformats.org/officeDocument/2006/relationships/table" Target="../tables/table74.xml"/><Relationship Id="rId9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4.xml"/><Relationship Id="rId5" Type="http://schemas.openxmlformats.org/officeDocument/2006/relationships/table" Target="../tables/table93.xml"/><Relationship Id="rId4" Type="http://schemas.openxmlformats.org/officeDocument/2006/relationships/table" Target="../tables/table9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7" Type="http://schemas.openxmlformats.org/officeDocument/2006/relationships/table" Target="../tables/table101.xml"/><Relationship Id="rId2" Type="http://schemas.openxmlformats.org/officeDocument/2006/relationships/table" Target="../tables/table96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0.xml"/><Relationship Id="rId5" Type="http://schemas.openxmlformats.org/officeDocument/2006/relationships/table" Target="../tables/table99.xml"/><Relationship Id="rId4" Type="http://schemas.openxmlformats.org/officeDocument/2006/relationships/table" Target="../tables/table9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4" Type="http://schemas.openxmlformats.org/officeDocument/2006/relationships/table" Target="../tables/table10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9.xml"/><Relationship Id="rId7" Type="http://schemas.openxmlformats.org/officeDocument/2006/relationships/table" Target="../tables/table113.xml"/><Relationship Id="rId2" Type="http://schemas.openxmlformats.org/officeDocument/2006/relationships/table" Target="../tables/table108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2.xml"/><Relationship Id="rId5" Type="http://schemas.openxmlformats.org/officeDocument/2006/relationships/table" Target="../tables/table111.xml"/><Relationship Id="rId4" Type="http://schemas.openxmlformats.org/officeDocument/2006/relationships/table" Target="../tables/table1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7" Type="http://schemas.openxmlformats.org/officeDocument/2006/relationships/table" Target="../tables/table119.xml"/><Relationship Id="rId2" Type="http://schemas.openxmlformats.org/officeDocument/2006/relationships/table" Target="../tables/table114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8.xml"/><Relationship Id="rId5" Type="http://schemas.openxmlformats.org/officeDocument/2006/relationships/table" Target="../tables/table117.xml"/><Relationship Id="rId4" Type="http://schemas.openxmlformats.org/officeDocument/2006/relationships/table" Target="../tables/table1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7" Type="http://schemas.openxmlformats.org/officeDocument/2006/relationships/table" Target="../tables/table125.xml"/><Relationship Id="rId2" Type="http://schemas.openxmlformats.org/officeDocument/2006/relationships/table" Target="../tables/table120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4.xml"/><Relationship Id="rId5" Type="http://schemas.openxmlformats.org/officeDocument/2006/relationships/table" Target="../tables/table123.xml"/><Relationship Id="rId4" Type="http://schemas.openxmlformats.org/officeDocument/2006/relationships/table" Target="../tables/table1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7" Type="http://schemas.openxmlformats.org/officeDocument/2006/relationships/table" Target="../tables/table131.xml"/><Relationship Id="rId2" Type="http://schemas.openxmlformats.org/officeDocument/2006/relationships/table" Target="../tables/table126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0.xml"/><Relationship Id="rId5" Type="http://schemas.openxmlformats.org/officeDocument/2006/relationships/table" Target="../tables/table129.xml"/><Relationship Id="rId4" Type="http://schemas.openxmlformats.org/officeDocument/2006/relationships/table" Target="../tables/table12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3.xml"/><Relationship Id="rId7" Type="http://schemas.openxmlformats.org/officeDocument/2006/relationships/table" Target="../tables/table137.xml"/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6.xml"/><Relationship Id="rId5" Type="http://schemas.openxmlformats.org/officeDocument/2006/relationships/table" Target="../tables/table135.xml"/><Relationship Id="rId4" Type="http://schemas.openxmlformats.org/officeDocument/2006/relationships/table" Target="../tables/table13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9.xml"/><Relationship Id="rId7" Type="http://schemas.openxmlformats.org/officeDocument/2006/relationships/table" Target="../tables/table143.xml"/><Relationship Id="rId2" Type="http://schemas.openxmlformats.org/officeDocument/2006/relationships/table" Target="../tables/table138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2.xml"/><Relationship Id="rId5" Type="http://schemas.openxmlformats.org/officeDocument/2006/relationships/table" Target="../tables/table141.xml"/><Relationship Id="rId4" Type="http://schemas.openxmlformats.org/officeDocument/2006/relationships/table" Target="../tables/table14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5.xml"/><Relationship Id="rId7" Type="http://schemas.openxmlformats.org/officeDocument/2006/relationships/table" Target="../tables/table149.xml"/><Relationship Id="rId2" Type="http://schemas.openxmlformats.org/officeDocument/2006/relationships/table" Target="../tables/table144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8.xml"/><Relationship Id="rId5" Type="http://schemas.openxmlformats.org/officeDocument/2006/relationships/table" Target="../tables/table147.xml"/><Relationship Id="rId4" Type="http://schemas.openxmlformats.org/officeDocument/2006/relationships/table" Target="../tables/table14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1.xml"/><Relationship Id="rId7" Type="http://schemas.openxmlformats.org/officeDocument/2006/relationships/table" Target="../tables/table155.xml"/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4.xml"/><Relationship Id="rId5" Type="http://schemas.openxmlformats.org/officeDocument/2006/relationships/table" Target="../tables/table153.xml"/><Relationship Id="rId4" Type="http://schemas.openxmlformats.org/officeDocument/2006/relationships/table" Target="../tables/table15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7.xml"/><Relationship Id="rId7" Type="http://schemas.openxmlformats.org/officeDocument/2006/relationships/table" Target="../tables/table161.xml"/><Relationship Id="rId2" Type="http://schemas.openxmlformats.org/officeDocument/2006/relationships/table" Target="../tables/table156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0.xml"/><Relationship Id="rId5" Type="http://schemas.openxmlformats.org/officeDocument/2006/relationships/table" Target="../tables/table159.xml"/><Relationship Id="rId4" Type="http://schemas.openxmlformats.org/officeDocument/2006/relationships/table" Target="../tables/table15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3.xml"/><Relationship Id="rId7" Type="http://schemas.openxmlformats.org/officeDocument/2006/relationships/table" Target="../tables/table167.xml"/><Relationship Id="rId2" Type="http://schemas.openxmlformats.org/officeDocument/2006/relationships/table" Target="../tables/table162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6.xml"/><Relationship Id="rId5" Type="http://schemas.openxmlformats.org/officeDocument/2006/relationships/table" Target="../tables/table165.xml"/><Relationship Id="rId4" Type="http://schemas.openxmlformats.org/officeDocument/2006/relationships/table" Target="../tables/table16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9.xml"/><Relationship Id="rId7" Type="http://schemas.openxmlformats.org/officeDocument/2006/relationships/table" Target="../tables/table173.xml"/><Relationship Id="rId2" Type="http://schemas.openxmlformats.org/officeDocument/2006/relationships/table" Target="../tables/table168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2.xml"/><Relationship Id="rId5" Type="http://schemas.openxmlformats.org/officeDocument/2006/relationships/table" Target="../tables/table171.xml"/><Relationship Id="rId4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5.xml"/><Relationship Id="rId7" Type="http://schemas.openxmlformats.org/officeDocument/2006/relationships/table" Target="../tables/table179.xml"/><Relationship Id="rId2" Type="http://schemas.openxmlformats.org/officeDocument/2006/relationships/table" Target="../tables/table174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8.xml"/><Relationship Id="rId5" Type="http://schemas.openxmlformats.org/officeDocument/2006/relationships/table" Target="../tables/table177.xml"/><Relationship Id="rId4" Type="http://schemas.openxmlformats.org/officeDocument/2006/relationships/table" Target="../tables/table17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1.xml"/><Relationship Id="rId7" Type="http://schemas.openxmlformats.org/officeDocument/2006/relationships/table" Target="../tables/table185.xml"/><Relationship Id="rId2" Type="http://schemas.openxmlformats.org/officeDocument/2006/relationships/table" Target="../tables/table180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4.xml"/><Relationship Id="rId5" Type="http://schemas.openxmlformats.org/officeDocument/2006/relationships/table" Target="../tables/table183.xml"/><Relationship Id="rId4" Type="http://schemas.openxmlformats.org/officeDocument/2006/relationships/table" Target="../tables/table18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7.xml"/><Relationship Id="rId1" Type="http://schemas.openxmlformats.org/officeDocument/2006/relationships/table" Target="../tables/table18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3" sqref="B3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75461.929999999993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62673.399999999994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338.62</v>
      </c>
    </row>
    <row r="6" spans="1:2" ht="15.75" x14ac:dyDescent="0.25">
      <c r="A6" s="28" t="s">
        <v>4</v>
      </c>
      <c r="B6" s="29">
        <f>SUM(B4:B5)</f>
        <v>63012.02</v>
      </c>
    </row>
    <row r="7" spans="1:2" ht="15" x14ac:dyDescent="0.25">
      <c r="A7" s="2"/>
      <c r="B7" s="2"/>
    </row>
    <row r="8" spans="1:2" ht="15" x14ac:dyDescent="0.2">
      <c r="A8" s="103" t="s">
        <v>5</v>
      </c>
      <c r="B8" s="103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7674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10578.24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4765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33427.969999999994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5896.1900000000005</v>
      </c>
    </row>
    <row r="14" spans="1:2" ht="15.75" x14ac:dyDescent="0.25">
      <c r="A14" s="28" t="s">
        <v>11</v>
      </c>
      <c r="B14" s="32">
        <f>SUM(B9:B13)</f>
        <v>62341.399999999994</v>
      </c>
    </row>
    <row r="15" spans="1:2" ht="15" x14ac:dyDescent="0.25">
      <c r="A15" s="2"/>
      <c r="B15" s="2"/>
    </row>
    <row r="16" spans="1:2" ht="15" x14ac:dyDescent="0.2">
      <c r="A16" s="103" t="s">
        <v>12</v>
      </c>
      <c r="B16" s="103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8" t="s">
        <v>11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B1" zoomScale="80" zoomScaleNormal="80" workbookViewId="0">
      <selection activeCell="C8" sqref="C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45047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6" t="s">
        <v>24</v>
      </c>
      <c r="L34" s="6" t="s">
        <v>32</v>
      </c>
      <c r="M34" s="6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G12:G22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G35:G41 G29:G31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2"/>
  <sheetViews>
    <sheetView showGridLines="0" zoomScale="80" zoomScaleNormal="8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45048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1689</v>
      </c>
      <c r="D6" s="2"/>
      <c r="E6" s="18">
        <v>2640</v>
      </c>
      <c r="F6" s="25" t="s">
        <v>129</v>
      </c>
      <c r="G6" s="26" t="s">
        <v>6</v>
      </c>
      <c r="H6" s="8">
        <v>99</v>
      </c>
      <c r="I6" s="8">
        <v>99</v>
      </c>
      <c r="J6" s="2"/>
      <c r="K6" s="25" t="s">
        <v>133</v>
      </c>
      <c r="L6" s="9" t="s">
        <v>134</v>
      </c>
      <c r="M6" s="16">
        <v>2.5</v>
      </c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24.58</v>
      </c>
      <c r="D7" s="2"/>
      <c r="E7" s="18">
        <v>2641</v>
      </c>
      <c r="F7" s="25" t="s">
        <v>130</v>
      </c>
      <c r="G7" s="26" t="s">
        <v>21</v>
      </c>
      <c r="H7" s="8">
        <v>780</v>
      </c>
      <c r="I7" s="8"/>
      <c r="J7" s="2"/>
      <c r="K7" s="25" t="s">
        <v>135</v>
      </c>
      <c r="L7" s="9" t="s">
        <v>134</v>
      </c>
      <c r="M7" s="16">
        <v>18</v>
      </c>
      <c r="R7" s="1">
        <f>IF(vend2[[#This Row],[Nº Venda]]&gt;1,1,0)</f>
        <v>1</v>
      </c>
    </row>
    <row r="8" spans="2:18" ht="15.75" x14ac:dyDescent="0.25">
      <c r="B8" s="28" t="s">
        <v>22</v>
      </c>
      <c r="C8" s="29">
        <f>SUM(C6:C7)</f>
        <v>1713.58</v>
      </c>
      <c r="D8" s="2"/>
      <c r="E8" s="58">
        <v>2642</v>
      </c>
      <c r="F8" s="59" t="s">
        <v>131</v>
      </c>
      <c r="G8" s="60" t="s">
        <v>7</v>
      </c>
      <c r="H8" s="61">
        <v>1001</v>
      </c>
      <c r="I8" s="61">
        <v>1001</v>
      </c>
      <c r="J8" s="2"/>
      <c r="K8" s="25" t="s">
        <v>136</v>
      </c>
      <c r="L8" s="9" t="s">
        <v>137</v>
      </c>
      <c r="M8" s="16">
        <v>4.08</v>
      </c>
      <c r="R8" s="1">
        <f>IF(vend2[[#This Row],[Nº Venda]]&gt;1,1,0)</f>
        <v>1</v>
      </c>
    </row>
    <row r="9" spans="2:18" ht="15.75" x14ac:dyDescent="0.25">
      <c r="B9" s="2"/>
      <c r="C9" s="2"/>
      <c r="D9" s="2"/>
      <c r="E9" s="58">
        <v>2643</v>
      </c>
      <c r="F9" s="59" t="s">
        <v>132</v>
      </c>
      <c r="G9" s="60" t="s">
        <v>21</v>
      </c>
      <c r="H9" s="61">
        <v>999</v>
      </c>
      <c r="I9" s="61">
        <v>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(SUMIF($G$2:$G$31,B11,$I$2:$I$31))+(SUMIF($G$36:$G$42,B11,$H$36:$H$42))</f>
        <v>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(SUMIF($G$2:$G$31,B12,$I$2:$I$31))+(SUMIF($G$36:$G$42,B12,$H$36:$H$42))</f>
        <v>1001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(SUMIF($G$2:$G$31,B14,$I$2:$I$31))+(SUMIF($G$36:$G$42,B14,$H$36:$H$42))</f>
        <v>390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(SUMIF($G$2:$G$31,B15,$I$2:$I$31))+(SUMIF($G$36:$G$42,B15,$H$36:$H$42))</f>
        <v>199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1689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2596</v>
      </c>
      <c r="F26" s="25" t="s">
        <v>138</v>
      </c>
      <c r="G26" s="26" t="s">
        <v>10</v>
      </c>
      <c r="H26" s="8"/>
      <c r="I26" s="8">
        <v>199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2568</v>
      </c>
      <c r="F27" s="25" t="s">
        <v>139</v>
      </c>
      <c r="G27" s="26" t="s">
        <v>9</v>
      </c>
      <c r="H27" s="8"/>
      <c r="I27" s="8">
        <v>390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26"/>
      <c r="H32" s="8"/>
      <c r="I32" s="8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 t="s">
        <v>29</v>
      </c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G36:G42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G11:G22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I36:I42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E26" sqref="E26: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45049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2370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1810</v>
      </c>
      <c r="D6" s="2"/>
      <c r="E6" s="18">
        <v>2644</v>
      </c>
      <c r="F6" s="25" t="s">
        <v>140</v>
      </c>
      <c r="G6" s="26" t="s">
        <v>6</v>
      </c>
      <c r="H6" s="8">
        <v>300</v>
      </c>
      <c r="I6" s="8">
        <v>250</v>
      </c>
      <c r="J6" s="2"/>
      <c r="K6" s="25" t="s">
        <v>136</v>
      </c>
      <c r="L6" s="9" t="s">
        <v>137</v>
      </c>
      <c r="M6" s="16">
        <v>1.89</v>
      </c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1.89</v>
      </c>
      <c r="D7" s="2"/>
      <c r="E7" s="18">
        <v>2645</v>
      </c>
      <c r="F7" s="25" t="s">
        <v>141</v>
      </c>
      <c r="G7" s="26" t="s">
        <v>7</v>
      </c>
      <c r="H7" s="8">
        <v>20</v>
      </c>
      <c r="I7" s="8">
        <v>20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22</v>
      </c>
      <c r="C8" s="29">
        <f>SUM(C6:C7)</f>
        <v>1811.89</v>
      </c>
      <c r="D8" s="2"/>
      <c r="E8" s="18">
        <v>2646</v>
      </c>
      <c r="F8" s="25" t="s">
        <v>142</v>
      </c>
      <c r="G8" s="26" t="s">
        <v>6</v>
      </c>
      <c r="H8" s="8">
        <v>800</v>
      </c>
      <c r="I8" s="8">
        <v>800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2647</v>
      </c>
      <c r="F9" s="25" t="s">
        <v>143</v>
      </c>
      <c r="G9" s="26" t="s">
        <v>6</v>
      </c>
      <c r="H9" s="8">
        <v>800</v>
      </c>
      <c r="I9" s="8">
        <v>200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2648</v>
      </c>
      <c r="F10" s="25" t="s">
        <v>144</v>
      </c>
      <c r="G10" s="26" t="s">
        <v>9</v>
      </c>
      <c r="H10" s="8">
        <v>450</v>
      </c>
      <c r="I10" s="8">
        <v>450</v>
      </c>
      <c r="J10" s="2"/>
      <c r="K10" s="25"/>
      <c r="L10" s="9"/>
      <c r="M10" s="16"/>
      <c r="R10" s="1">
        <f>IF(vend3[[#This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1810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2370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2305</v>
      </c>
      <c r="F26" s="25" t="s">
        <v>145</v>
      </c>
      <c r="G26" s="26" t="s">
        <v>7</v>
      </c>
      <c r="H26" s="8"/>
      <c r="I26" s="8">
        <v>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G12:G22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G35:G41 G28:G31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2"/>
  <sheetViews>
    <sheetView showGridLines="0" zoomScale="80" zoomScaleNormal="80" workbookViewId="0">
      <selection activeCell="E31" sqref="E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45050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1270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2305</v>
      </c>
      <c r="D6" s="2"/>
      <c r="E6" s="18">
        <v>2649</v>
      </c>
      <c r="F6" s="25" t="s">
        <v>146</v>
      </c>
      <c r="G6" s="26" t="s">
        <v>9</v>
      </c>
      <c r="H6" s="8">
        <v>770</v>
      </c>
      <c r="I6" s="8">
        <v>770</v>
      </c>
      <c r="J6" s="2"/>
      <c r="K6" s="25" t="s">
        <v>149</v>
      </c>
      <c r="L6" s="9" t="s">
        <v>6</v>
      </c>
      <c r="M6" s="16">
        <v>2.96</v>
      </c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2.96</v>
      </c>
      <c r="D7" s="2"/>
      <c r="E7" s="18">
        <v>2650</v>
      </c>
      <c r="F7" s="25" t="s">
        <v>147</v>
      </c>
      <c r="G7" s="26" t="s">
        <v>21</v>
      </c>
      <c r="H7" s="8">
        <v>600</v>
      </c>
      <c r="I7" s="8"/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22</v>
      </c>
      <c r="C8" s="29">
        <f>SUM(C6:C7)</f>
        <v>2307.96</v>
      </c>
      <c r="D8" s="2"/>
      <c r="E8" s="18">
        <v>2651</v>
      </c>
      <c r="F8" s="25" t="s">
        <v>148</v>
      </c>
      <c r="G8" s="26" t="s">
        <v>7</v>
      </c>
      <c r="H8" s="8">
        <v>500</v>
      </c>
      <c r="I8" s="8">
        <v>50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(SUMIF($G$2:$G$31,B12,$I$2:$I$31))+(SUMIF($G$36:$G$42,B12,$H$36:$H$42))</f>
        <v>50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(SUMIF($G$2:$G$31,B14,$I$2:$I$31))+(SUMIF($G$36:$G$42,B14,$H$36:$H$42))</f>
        <v>2255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2305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1270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2622</v>
      </c>
      <c r="F26" s="25" t="s">
        <v>150</v>
      </c>
      <c r="G26" s="26" t="s">
        <v>9</v>
      </c>
      <c r="H26" s="8"/>
      <c r="I26" s="8">
        <v>635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2510</v>
      </c>
      <c r="F27" s="25" t="s">
        <v>151</v>
      </c>
      <c r="G27" s="26" t="s">
        <v>9</v>
      </c>
      <c r="H27" s="8"/>
      <c r="I27" s="8">
        <v>850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58"/>
      <c r="F29" s="59"/>
      <c r="G29" s="69"/>
      <c r="H29" s="70"/>
      <c r="I29" s="70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71"/>
      <c r="H30" s="72"/>
      <c r="I30" s="72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71"/>
      <c r="H32" s="72"/>
      <c r="I32" s="72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/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G36:G42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G12:G22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I36:I42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2"/>
  <sheetViews>
    <sheetView showGridLines="0" zoomScale="80" zoomScaleNormal="80" workbookViewId="0">
      <selection activeCell="E26" sqref="E26:I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45051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871.5</v>
      </c>
      <c r="D6" s="2"/>
      <c r="E6" s="18">
        <v>2652</v>
      </c>
      <c r="F6" s="25" t="s">
        <v>152</v>
      </c>
      <c r="G6" s="26" t="s">
        <v>21</v>
      </c>
      <c r="H6" s="8">
        <v>50</v>
      </c>
      <c r="I6" s="8">
        <v>0</v>
      </c>
      <c r="J6" s="2"/>
      <c r="K6" s="25" t="s">
        <v>155</v>
      </c>
      <c r="L6" s="9" t="s">
        <v>6</v>
      </c>
      <c r="M6" s="16">
        <v>2.57</v>
      </c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2.57</v>
      </c>
      <c r="D7" s="2"/>
      <c r="E7" s="62">
        <v>2653</v>
      </c>
      <c r="F7" s="25" t="s">
        <v>153</v>
      </c>
      <c r="G7" s="26" t="s">
        <v>21</v>
      </c>
      <c r="H7" s="8" t="s">
        <v>154</v>
      </c>
      <c r="I7" s="63"/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22</v>
      </c>
      <c r="C8" s="29">
        <f>SUM(C6:C7)</f>
        <v>874.07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64"/>
      <c r="F9" s="65"/>
      <c r="G9" s="66"/>
      <c r="H9" s="67"/>
      <c r="I9" s="67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68"/>
      <c r="G10" s="68"/>
      <c r="H10" s="56"/>
      <c r="I10" s="56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(SUMIF($G$2:$G$31,B11,$I$2:$I$31))+(SUMIF($G$36:$G$42,B11,$H$36:$H$42))</f>
        <v>759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(SUMIF($G$2:$G$31,B12,$I$2:$I$31))+(SUMIF($G$36:$G$42,B12,$H$36:$H$42))</f>
        <v>0</v>
      </c>
      <c r="D12" s="2"/>
      <c r="E12" s="18"/>
      <c r="F12" s="25"/>
      <c r="G12" s="52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52"/>
      <c r="H13" s="8"/>
      <c r="I13" s="8"/>
      <c r="J13" s="2"/>
      <c r="K13" s="105" t="s">
        <v>23</v>
      </c>
      <c r="L13" s="106"/>
      <c r="M13" s="107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(SUMIF($G$2:$G$31,B14,$I$2:$I$31))+(SUMIF($G$36:$G$42,B14,$H$36:$H$42))</f>
        <v>0</v>
      </c>
      <c r="D14" s="2"/>
      <c r="E14" s="18"/>
      <c r="F14" s="25"/>
      <c r="G14" s="52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(SUMIF($G$2:$G$31,B15,$I$2:$I$31))+(SUMIF($G$36:$G$42,B15,$H$36:$H$42))</f>
        <v>112.5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871.5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2044</v>
      </c>
      <c r="F26" s="25" t="s">
        <v>156</v>
      </c>
      <c r="G26" s="26" t="s">
        <v>10</v>
      </c>
      <c r="H26" s="8"/>
      <c r="I26" s="8">
        <v>112.5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2024</v>
      </c>
      <c r="F27" s="25" t="s">
        <v>157</v>
      </c>
      <c r="G27" s="26" t="s">
        <v>6</v>
      </c>
      <c r="H27" s="8"/>
      <c r="I27" s="8">
        <v>505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2551</v>
      </c>
      <c r="F28" s="25" t="s">
        <v>158</v>
      </c>
      <c r="G28" s="26" t="s">
        <v>6</v>
      </c>
      <c r="H28" s="8"/>
      <c r="I28" s="8">
        <v>254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71"/>
      <c r="H30" s="72"/>
      <c r="I30" s="72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71"/>
      <c r="H32" s="72"/>
      <c r="I32" s="72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 t="s">
        <v>29</v>
      </c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G12:G22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G36:G42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I36:I42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45052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8499.98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4699.99</v>
      </c>
      <c r="D6" s="2"/>
      <c r="E6" s="18">
        <v>2654</v>
      </c>
      <c r="F6" s="25" t="s">
        <v>159</v>
      </c>
      <c r="G6" s="26" t="s">
        <v>6</v>
      </c>
      <c r="H6" s="8">
        <v>750</v>
      </c>
      <c r="I6" s="8">
        <v>50</v>
      </c>
      <c r="J6" s="2"/>
      <c r="K6" s="25" t="s">
        <v>149</v>
      </c>
      <c r="L6" s="9" t="s">
        <v>6</v>
      </c>
      <c r="M6" s="16">
        <v>2.2999999999999998</v>
      </c>
      <c r="R6" s="1">
        <f>IF(vend[[#This Row],[Nº Venda]]&gt;1,1,0)</f>
        <v>1</v>
      </c>
    </row>
    <row r="7" spans="2:18" ht="15" x14ac:dyDescent="0.25">
      <c r="B7" s="23" t="s">
        <v>3</v>
      </c>
      <c r="C7" s="24">
        <f>SUM(M6:M11)</f>
        <v>30.8</v>
      </c>
      <c r="D7" s="2"/>
      <c r="E7" s="73">
        <v>2655</v>
      </c>
      <c r="F7" s="74" t="s">
        <v>160</v>
      </c>
      <c r="G7" s="74" t="s">
        <v>21</v>
      </c>
      <c r="H7" s="56"/>
      <c r="I7" s="56"/>
      <c r="J7" s="2"/>
      <c r="K7" s="25" t="s">
        <v>171</v>
      </c>
      <c r="L7" s="9" t="s">
        <v>6</v>
      </c>
      <c r="M7" s="16">
        <v>20</v>
      </c>
      <c r="R7" s="1">
        <f>IF(vend[[#This Row],[Nº Venda]]&gt;1,1,0)</f>
        <v>1</v>
      </c>
    </row>
    <row r="8" spans="2:18" ht="15.75" x14ac:dyDescent="0.25">
      <c r="B8" s="28" t="s">
        <v>22</v>
      </c>
      <c r="C8" s="29">
        <f>SUM(C6:C7)</f>
        <v>4730.79</v>
      </c>
      <c r="D8" s="2"/>
      <c r="E8" s="18">
        <v>2656</v>
      </c>
      <c r="F8" s="25" t="s">
        <v>161</v>
      </c>
      <c r="G8" s="26" t="s">
        <v>9</v>
      </c>
      <c r="H8" s="8">
        <v>880</v>
      </c>
      <c r="I8" s="8">
        <v>720</v>
      </c>
      <c r="J8" s="2"/>
      <c r="K8" s="25" t="s">
        <v>172</v>
      </c>
      <c r="L8" s="9" t="s">
        <v>6</v>
      </c>
      <c r="M8" s="16">
        <v>8.5</v>
      </c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2656</v>
      </c>
      <c r="F9" s="25" t="s">
        <v>161</v>
      </c>
      <c r="G9" s="26" t="s">
        <v>7</v>
      </c>
      <c r="H9" s="8"/>
      <c r="I9" s="8">
        <v>160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2657</v>
      </c>
      <c r="F10" s="25" t="s">
        <v>162</v>
      </c>
      <c r="G10" s="26" t="s">
        <v>7</v>
      </c>
      <c r="H10" s="8">
        <v>1390</v>
      </c>
      <c r="I10" s="8">
        <v>100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>
        <v>2658</v>
      </c>
      <c r="F11" s="25" t="s">
        <v>163</v>
      </c>
      <c r="G11" s="26" t="s">
        <v>10</v>
      </c>
      <c r="H11" s="8">
        <v>280</v>
      </c>
      <c r="I11" s="8">
        <v>280</v>
      </c>
      <c r="J11" s="2"/>
      <c r="K11" s="27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1559.99</v>
      </c>
      <c r="D12" s="2"/>
      <c r="E12" s="18">
        <v>2659</v>
      </c>
      <c r="F12" s="25" t="s">
        <v>164</v>
      </c>
      <c r="G12" s="26" t="s">
        <v>7</v>
      </c>
      <c r="H12" s="8">
        <v>2599.9899999999998</v>
      </c>
      <c r="I12" s="8">
        <v>100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2660</v>
      </c>
      <c r="F13" s="25" t="s">
        <v>165</v>
      </c>
      <c r="G13" s="26"/>
      <c r="H13" s="8"/>
      <c r="I13" s="8"/>
      <c r="J13" s="2"/>
      <c r="K13" s="105" t="s">
        <v>23</v>
      </c>
      <c r="L13" s="106"/>
      <c r="M13" s="107"/>
      <c r="R13" s="1">
        <f>IF(vend[[#This Row],[Nº Venda]]&gt;1,1,0)</f>
        <v>1</v>
      </c>
    </row>
    <row r="14" spans="2:18" ht="15.75" x14ac:dyDescent="0.25">
      <c r="B14" s="30" t="s">
        <v>9</v>
      </c>
      <c r="C14" s="31">
        <f t="shared" si="0"/>
        <v>2560</v>
      </c>
      <c r="D14" s="2"/>
      <c r="E14" s="18">
        <v>2661</v>
      </c>
      <c r="F14" s="25" t="s">
        <v>166</v>
      </c>
      <c r="G14" s="26" t="s">
        <v>9</v>
      </c>
      <c r="H14" s="8">
        <v>1400</v>
      </c>
      <c r="I14" s="8">
        <v>1300</v>
      </c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1</v>
      </c>
    </row>
    <row r="15" spans="2:18" ht="15.75" x14ac:dyDescent="0.25">
      <c r="B15" s="30" t="s">
        <v>10</v>
      </c>
      <c r="C15" s="31">
        <f t="shared" si="0"/>
        <v>330</v>
      </c>
      <c r="D15" s="2"/>
      <c r="E15" s="18">
        <v>2662</v>
      </c>
      <c r="F15" s="25" t="s">
        <v>167</v>
      </c>
      <c r="G15" s="26" t="s">
        <v>7</v>
      </c>
      <c r="H15" s="8">
        <v>729.99</v>
      </c>
      <c r="I15" s="8">
        <v>729.99</v>
      </c>
      <c r="J15" s="2"/>
      <c r="K15" s="25"/>
      <c r="L15" s="9"/>
      <c r="M15" s="16"/>
      <c r="R15" s="1">
        <f>IF(vend[[#This Row],[Nº Venda]]&gt;1,1,0)</f>
        <v>1</v>
      </c>
    </row>
    <row r="16" spans="2:18" ht="15.75" x14ac:dyDescent="0.25">
      <c r="B16" s="28" t="s">
        <v>11</v>
      </c>
      <c r="C16" s="32">
        <f>SUM(C11:C15)</f>
        <v>4699.99</v>
      </c>
      <c r="D16" s="2"/>
      <c r="E16" s="18">
        <v>2663</v>
      </c>
      <c r="F16" s="25" t="s">
        <v>168</v>
      </c>
      <c r="G16" s="26" t="s">
        <v>7</v>
      </c>
      <c r="H16" s="8">
        <v>470</v>
      </c>
      <c r="I16" s="8">
        <v>470</v>
      </c>
      <c r="J16" s="2"/>
      <c r="K16" s="25"/>
      <c r="L16" s="9"/>
      <c r="M16" s="16"/>
      <c r="R16" s="1">
        <f>IF(vend[[#This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8499.98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2608</v>
      </c>
      <c r="F26" s="25" t="s">
        <v>169</v>
      </c>
      <c r="G26" s="26" t="s">
        <v>9</v>
      </c>
      <c r="H26" s="8"/>
      <c r="I26" s="8">
        <v>540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2637</v>
      </c>
      <c r="F27" s="25" t="s">
        <v>170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2637</v>
      </c>
      <c r="F28" s="25" t="s">
        <v>170</v>
      </c>
      <c r="G28" s="26" t="s">
        <v>10</v>
      </c>
      <c r="H28" s="8"/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G35:G41 G31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G20:G22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E26" sqref="E26:I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45053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75"/>
      <c r="I26" s="8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35"/>
      <c r="F30" s="25"/>
      <c r="G30" s="37"/>
      <c r="H30" s="17"/>
      <c r="I30" s="17"/>
      <c r="J30" s="2"/>
      <c r="K30" s="47"/>
      <c r="L30" s="9"/>
      <c r="M30" s="16"/>
    </row>
    <row r="31" spans="2:18" ht="15.75" x14ac:dyDescent="0.25">
      <c r="B31" s="2"/>
      <c r="C31" s="2"/>
      <c r="D31" s="2"/>
      <c r="E31" s="18"/>
      <c r="F31" s="54"/>
      <c r="G31" s="53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G9:G22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G35:G41 G31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45054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1930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580</v>
      </c>
      <c r="D6" s="2"/>
      <c r="E6" s="55">
        <v>2664</v>
      </c>
      <c r="F6" s="8" t="s">
        <v>173</v>
      </c>
      <c r="G6" s="8" t="s">
        <v>7</v>
      </c>
      <c r="H6" s="8">
        <v>1100</v>
      </c>
      <c r="I6" s="8">
        <v>100</v>
      </c>
      <c r="J6" s="2"/>
      <c r="K6" s="25" t="s">
        <v>149</v>
      </c>
      <c r="L6" s="9" t="s">
        <v>7</v>
      </c>
      <c r="M6" s="16">
        <v>3.27</v>
      </c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3.27</v>
      </c>
      <c r="D7" s="2"/>
      <c r="E7" s="55">
        <v>2665</v>
      </c>
      <c r="F7" s="8" t="s">
        <v>174</v>
      </c>
      <c r="G7" s="8" t="s">
        <v>6</v>
      </c>
      <c r="H7" s="8">
        <v>750</v>
      </c>
      <c r="I7" s="8">
        <v>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22</v>
      </c>
      <c r="C8" s="29">
        <f>SUM(C6:C7)</f>
        <v>583.27</v>
      </c>
      <c r="D8" s="2"/>
      <c r="E8" s="55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5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" x14ac:dyDescent="0.25">
      <c r="B10" s="103" t="s">
        <v>5</v>
      </c>
      <c r="C10" s="103"/>
      <c r="D10" s="2"/>
      <c r="E10" s="55"/>
      <c r="F10" s="8"/>
      <c r="G10" s="8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400</v>
      </c>
      <c r="D11" s="2"/>
      <c r="E11" s="55"/>
      <c r="F11" s="8"/>
      <c r="G11" s="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55"/>
      <c r="F12" s="8"/>
      <c r="G12" s="8"/>
      <c r="H12" s="8"/>
      <c r="I12" s="8"/>
      <c r="J12" s="2"/>
      <c r="R12" s="1">
        <f>IF(vend8[[#This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55"/>
      <c r="F13" s="8"/>
      <c r="G13" s="8"/>
      <c r="H13" s="8"/>
      <c r="I13" s="8"/>
      <c r="J13" s="2"/>
      <c r="K13" s="105" t="s">
        <v>23</v>
      </c>
      <c r="L13" s="106"/>
      <c r="M13" s="107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580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1930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2599</v>
      </c>
      <c r="F26" s="25" t="s">
        <v>175</v>
      </c>
      <c r="G26" s="26" t="s">
        <v>10</v>
      </c>
      <c r="H26" s="8">
        <v>80</v>
      </c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2639</v>
      </c>
      <c r="F27" s="25" t="s">
        <v>176</v>
      </c>
      <c r="G27" s="26" t="s">
        <v>6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88">
        <v>2425</v>
      </c>
      <c r="F28" s="39" t="s">
        <v>177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88"/>
      <c r="F29" s="39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G35:G41 G30:G31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G9:G22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45055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4699.99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2399.9899999999998</v>
      </c>
      <c r="D6" s="2"/>
      <c r="E6" s="18">
        <v>2666</v>
      </c>
      <c r="F6" s="25" t="s">
        <v>178</v>
      </c>
      <c r="G6" s="26" t="s">
        <v>7</v>
      </c>
      <c r="H6" s="8">
        <v>2000</v>
      </c>
      <c r="I6" s="8">
        <v>2000</v>
      </c>
      <c r="J6" s="2"/>
      <c r="K6" s="25" t="s">
        <v>136</v>
      </c>
      <c r="L6" s="9" t="s">
        <v>137</v>
      </c>
      <c r="M6" s="16">
        <v>2.95</v>
      </c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2.95</v>
      </c>
      <c r="D7" s="2"/>
      <c r="E7" s="18">
        <v>2667</v>
      </c>
      <c r="F7" s="25" t="s">
        <v>179</v>
      </c>
      <c r="G7" s="26" t="s">
        <v>6</v>
      </c>
      <c r="H7" s="8">
        <v>400</v>
      </c>
      <c r="I7" s="8">
        <v>50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22</v>
      </c>
      <c r="C8" s="29">
        <f>SUM(C6:C7)</f>
        <v>2402.9399999999996</v>
      </c>
      <c r="D8" s="2"/>
      <c r="E8" s="18">
        <v>2668</v>
      </c>
      <c r="F8" s="25" t="s">
        <v>180</v>
      </c>
      <c r="G8" s="26" t="s">
        <v>7</v>
      </c>
      <c r="H8" s="8">
        <v>1199.99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2669</v>
      </c>
      <c r="F9" s="25" t="s">
        <v>181</v>
      </c>
      <c r="G9" s="26" t="s">
        <v>21</v>
      </c>
      <c r="H9" s="8"/>
      <c r="I9" s="8"/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2670</v>
      </c>
      <c r="F10" s="25" t="s">
        <v>182</v>
      </c>
      <c r="G10" s="26" t="s">
        <v>8</v>
      </c>
      <c r="H10" s="8">
        <v>500</v>
      </c>
      <c r="I10" s="8">
        <v>50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99.99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2399.9899999999998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4699.99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2650</v>
      </c>
      <c r="F26" s="25" t="s">
        <v>183</v>
      </c>
      <c r="G26" s="26" t="s">
        <v>6</v>
      </c>
      <c r="H26" s="8">
        <v>600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2638</v>
      </c>
      <c r="F27" s="25" t="s">
        <v>184</v>
      </c>
      <c r="G27" s="26" t="s">
        <v>10</v>
      </c>
      <c r="H27" s="8"/>
      <c r="I27" s="8">
        <v>99.99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G15:G22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G35:G41 G30:G31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2"/>
  <sheetViews>
    <sheetView showGridLines="0" zoomScale="80" zoomScaleNormal="8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45056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5869.99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4521.99</v>
      </c>
      <c r="D6" s="2"/>
      <c r="E6" s="18">
        <v>2671</v>
      </c>
      <c r="F6" s="25" t="s">
        <v>185</v>
      </c>
      <c r="G6" s="26" t="s">
        <v>6</v>
      </c>
      <c r="H6" s="8">
        <v>500</v>
      </c>
      <c r="I6" s="8">
        <v>10</v>
      </c>
      <c r="J6" s="2"/>
      <c r="K6" s="25" t="s">
        <v>149</v>
      </c>
      <c r="L6" s="9" t="s">
        <v>7</v>
      </c>
      <c r="M6" s="16">
        <v>3.33</v>
      </c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12.33</v>
      </c>
      <c r="D7" s="2"/>
      <c r="E7" s="58">
        <v>2672</v>
      </c>
      <c r="F7" s="59" t="s">
        <v>186</v>
      </c>
      <c r="G7" s="60" t="s">
        <v>7</v>
      </c>
      <c r="H7" s="61">
        <v>700</v>
      </c>
      <c r="I7" s="61">
        <v>50</v>
      </c>
      <c r="J7" s="2"/>
      <c r="K7" s="25" t="s">
        <v>200</v>
      </c>
      <c r="L7" s="9" t="s">
        <v>6</v>
      </c>
      <c r="M7" s="16">
        <v>9</v>
      </c>
      <c r="R7" s="1">
        <f>IF(vend10[[#This Row],[Nº Venda]]&gt;1,1,0)</f>
        <v>1</v>
      </c>
    </row>
    <row r="8" spans="2:18" ht="15.75" x14ac:dyDescent="0.25">
      <c r="B8" s="28" t="s">
        <v>22</v>
      </c>
      <c r="C8" s="29">
        <f>SUM(C6:C7)</f>
        <v>4534.32</v>
      </c>
      <c r="D8" s="2"/>
      <c r="E8" s="18">
        <v>2673</v>
      </c>
      <c r="F8" s="25" t="s">
        <v>187</v>
      </c>
      <c r="G8" s="26" t="s">
        <v>9</v>
      </c>
      <c r="H8" s="8">
        <v>474.99</v>
      </c>
      <c r="I8" s="8">
        <v>474.99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2674</v>
      </c>
      <c r="F9" s="25" t="s">
        <v>188</v>
      </c>
      <c r="G9" s="26" t="s">
        <v>9</v>
      </c>
      <c r="H9" s="8">
        <v>850</v>
      </c>
      <c r="I9" s="8">
        <v>850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2675</v>
      </c>
      <c r="F10" s="25" t="s">
        <v>189</v>
      </c>
      <c r="G10" s="26" t="s">
        <v>10</v>
      </c>
      <c r="H10" s="8">
        <v>500</v>
      </c>
      <c r="I10" s="8">
        <v>50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(SUMIF($G$2:$G$31,B11,$I$2:$I$31))+(SUMIF($G$36:$G$42,B11,$H$36:$H$42))</f>
        <v>30</v>
      </c>
      <c r="D11" s="2"/>
      <c r="E11" s="18">
        <v>2676</v>
      </c>
      <c r="F11" s="25" t="s">
        <v>190</v>
      </c>
      <c r="G11" s="26" t="s">
        <v>9</v>
      </c>
      <c r="H11" s="8">
        <v>1200</v>
      </c>
      <c r="I11" s="8">
        <v>1200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(SUMIF($G$2:$G$31,B12,$I$2:$I$31))+(SUMIF($G$36:$G$42,B12,$H$36:$H$42))</f>
        <v>352</v>
      </c>
      <c r="D12" s="2"/>
      <c r="E12" s="18">
        <v>2677</v>
      </c>
      <c r="F12" s="25" t="s">
        <v>191</v>
      </c>
      <c r="G12" s="26" t="s">
        <v>7</v>
      </c>
      <c r="H12" s="8">
        <v>150</v>
      </c>
      <c r="I12" s="8">
        <v>150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>(SUMIF($G$2:$G$31,B13,$I$2:$I$31))+(SUMIF($G$36:$G$42,B13,$H$36:$H$42))</f>
        <v>150</v>
      </c>
      <c r="D13" s="2"/>
      <c r="E13" s="18">
        <v>2678</v>
      </c>
      <c r="F13" s="25" t="s">
        <v>192</v>
      </c>
      <c r="G13" s="26" t="s">
        <v>9</v>
      </c>
      <c r="H13" s="8">
        <v>290</v>
      </c>
      <c r="I13" s="8">
        <v>290</v>
      </c>
      <c r="J13" s="2"/>
      <c r="K13" s="105" t="s">
        <v>23</v>
      </c>
      <c r="L13" s="106"/>
      <c r="M13" s="107"/>
      <c r="R13" s="1">
        <f>IF(vend10[[#This Row],[Nº Venda]]&gt;1,1,0)</f>
        <v>1</v>
      </c>
    </row>
    <row r="14" spans="2:18" ht="15.75" x14ac:dyDescent="0.25">
      <c r="B14" s="30" t="s">
        <v>9</v>
      </c>
      <c r="C14" s="31">
        <f>(SUMIF($G$2:$G$31,B14,$I$2:$I$31))+(SUMIF($G$36:$G$42,B14,$H$36:$H$42))</f>
        <v>3489.99</v>
      </c>
      <c r="D14" s="2"/>
      <c r="E14" s="18">
        <v>2679</v>
      </c>
      <c r="F14" s="25" t="s">
        <v>193</v>
      </c>
      <c r="G14" s="26" t="s">
        <v>6</v>
      </c>
      <c r="H14" s="8">
        <v>720</v>
      </c>
      <c r="I14" s="8">
        <v>20</v>
      </c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1</v>
      </c>
    </row>
    <row r="15" spans="2:18" ht="15.75" x14ac:dyDescent="0.25">
      <c r="B15" s="30" t="s">
        <v>10</v>
      </c>
      <c r="C15" s="31">
        <f>(SUMIF($G$2:$G$31,B15,$I$2:$I$31))+(SUMIF($G$36:$G$42,B15,$H$36:$H$42))</f>
        <v>500</v>
      </c>
      <c r="D15" s="2"/>
      <c r="E15" s="18">
        <v>2680</v>
      </c>
      <c r="F15" s="25" t="s">
        <v>194</v>
      </c>
      <c r="G15" s="26" t="s">
        <v>10</v>
      </c>
      <c r="H15" s="8">
        <v>440</v>
      </c>
      <c r="I15" s="8">
        <v>50</v>
      </c>
      <c r="J15" s="2"/>
      <c r="K15" s="25"/>
      <c r="L15" s="9"/>
      <c r="M15" s="16"/>
      <c r="R15" s="1">
        <f>IF(vend10[[#This Row],[Nº Venda]]&gt;1,1,0)</f>
        <v>1</v>
      </c>
    </row>
    <row r="16" spans="2:18" ht="15.75" x14ac:dyDescent="0.25">
      <c r="B16" s="28" t="s">
        <v>11</v>
      </c>
      <c r="C16" s="32">
        <f>SUM(C11:C15)</f>
        <v>4521.99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5869.99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2566</v>
      </c>
      <c r="F26" s="25" t="s">
        <v>195</v>
      </c>
      <c r="G26" s="26" t="s">
        <v>7</v>
      </c>
      <c r="H26" s="75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2623</v>
      </c>
      <c r="F27" s="25" t="s">
        <v>196</v>
      </c>
      <c r="G27" s="26" t="s">
        <v>10</v>
      </c>
      <c r="H27" s="8"/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2204</v>
      </c>
      <c r="F28" s="25" t="s">
        <v>197</v>
      </c>
      <c r="G28" s="26" t="s">
        <v>7</v>
      </c>
      <c r="H28" s="8"/>
      <c r="I28" s="8">
        <v>57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2617</v>
      </c>
      <c r="F29" s="25" t="s">
        <v>198</v>
      </c>
      <c r="G29" s="26" t="s">
        <v>7</v>
      </c>
      <c r="H29" s="8">
        <v>45</v>
      </c>
      <c r="I29" s="8">
        <v>45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35">
        <v>2474</v>
      </c>
      <c r="F30" s="36" t="s">
        <v>199</v>
      </c>
      <c r="G30" s="37" t="s">
        <v>9</v>
      </c>
      <c r="H30" s="17"/>
      <c r="I30" s="17">
        <v>675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18">
        <v>2474</v>
      </c>
      <c r="F31" s="76" t="s">
        <v>199</v>
      </c>
      <c r="G31" s="37" t="s">
        <v>8</v>
      </c>
      <c r="H31" s="17"/>
      <c r="I31" s="17">
        <v>150</v>
      </c>
      <c r="J31" s="2"/>
      <c r="K31" s="25"/>
      <c r="L31" s="9"/>
      <c r="M31" s="16"/>
    </row>
    <row r="32" spans="2:18" ht="15.75" x14ac:dyDescent="0.25">
      <c r="B32" s="2"/>
      <c r="C32" s="2"/>
      <c r="E32" s="87"/>
      <c r="F32" s="76"/>
      <c r="G32" s="37"/>
      <c r="H32" s="17"/>
      <c r="I32" s="17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 t="s">
        <v>29</v>
      </c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10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G18:G22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E26" sqref="E26: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45057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1155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1690</v>
      </c>
      <c r="D6" s="2"/>
      <c r="E6" s="18">
        <v>2681</v>
      </c>
      <c r="F6" s="25" t="s">
        <v>201</v>
      </c>
      <c r="G6" s="26" t="s">
        <v>6</v>
      </c>
      <c r="H6" s="8">
        <v>1140</v>
      </c>
      <c r="I6" s="8">
        <v>100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2681</v>
      </c>
      <c r="F7" s="25" t="s">
        <v>201</v>
      </c>
      <c r="G7" s="26" t="s">
        <v>9</v>
      </c>
      <c r="H7" s="61" t="s">
        <v>202</v>
      </c>
      <c r="I7" s="8">
        <v>835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22</v>
      </c>
      <c r="C8" s="29">
        <f>SUM(C6:C7)</f>
        <v>1690</v>
      </c>
      <c r="D8" s="2"/>
      <c r="E8" s="18">
        <v>2682</v>
      </c>
      <c r="F8" s="25" t="s">
        <v>203</v>
      </c>
      <c r="G8" s="26" t="s">
        <v>7</v>
      </c>
      <c r="H8" s="8">
        <v>15</v>
      </c>
      <c r="I8" s="8">
        <v>15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52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52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1575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1690</v>
      </c>
      <c r="D16" s="2"/>
      <c r="E16" s="18"/>
      <c r="F16" s="25"/>
      <c r="G16" s="26"/>
      <c r="H16" s="8"/>
      <c r="I16" s="8"/>
      <c r="J16" s="2"/>
      <c r="K16" s="18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1155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2616</v>
      </c>
      <c r="F26" s="25" t="s">
        <v>204</v>
      </c>
      <c r="G26" s="26" t="s">
        <v>9</v>
      </c>
      <c r="H26" s="75" t="s">
        <v>205</v>
      </c>
      <c r="I26" s="8">
        <v>740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2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52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G35:G41 G28:G31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G10:G22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45058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270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2683</v>
      </c>
      <c r="F6" s="25" t="s">
        <v>206</v>
      </c>
      <c r="G6" s="26" t="s">
        <v>8</v>
      </c>
      <c r="H6" s="8">
        <v>270</v>
      </c>
      <c r="I6" s="8">
        <v>270</v>
      </c>
      <c r="J6" s="2"/>
      <c r="K6" s="25" t="s">
        <v>209</v>
      </c>
      <c r="L6" s="9" t="s">
        <v>7</v>
      </c>
      <c r="M6" s="16">
        <v>49.2</v>
      </c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49.2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22</v>
      </c>
      <c r="C8" s="29">
        <f>SUM(C6:C7)</f>
        <v>549.20000000000005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230</v>
      </c>
      <c r="D11" s="2"/>
      <c r="E11" s="18"/>
      <c r="F11" s="25"/>
      <c r="G11" s="52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2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270</v>
      </c>
      <c r="D13" s="2"/>
      <c r="E13" s="18"/>
      <c r="F13" s="25"/>
      <c r="G13" s="52"/>
      <c r="H13" s="8"/>
      <c r="I13" s="8"/>
      <c r="J13" s="2"/>
      <c r="K13" s="105" t="s">
        <v>23</v>
      </c>
      <c r="L13" s="106"/>
      <c r="M13" s="107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2024</v>
      </c>
      <c r="F26" s="25" t="s">
        <v>207</v>
      </c>
      <c r="G26" s="26" t="s">
        <v>6</v>
      </c>
      <c r="H26" s="8"/>
      <c r="I26" s="8">
        <v>105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2539</v>
      </c>
      <c r="F27" s="25" t="s">
        <v>208</v>
      </c>
      <c r="G27" s="26" t="s">
        <v>6</v>
      </c>
      <c r="H27" s="8"/>
      <c r="I27" s="8">
        <v>125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G35:G41 G31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G11:G22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45059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1580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1880</v>
      </c>
      <c r="D6" s="2"/>
      <c r="E6" s="89">
        <v>2684</v>
      </c>
      <c r="F6" s="89" t="s">
        <v>210</v>
      </c>
      <c r="G6" s="90" t="s">
        <v>7</v>
      </c>
      <c r="H6" s="91">
        <v>780</v>
      </c>
      <c r="I6" s="91">
        <v>250</v>
      </c>
      <c r="J6" s="2"/>
      <c r="K6" s="25" t="s">
        <v>171</v>
      </c>
      <c r="L6" s="9" t="s">
        <v>6</v>
      </c>
      <c r="M6" s="16">
        <v>30</v>
      </c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30</v>
      </c>
      <c r="D7" s="2"/>
      <c r="E7" s="92">
        <v>2684</v>
      </c>
      <c r="F7" s="90" t="s">
        <v>210</v>
      </c>
      <c r="G7" s="90" t="s">
        <v>9</v>
      </c>
      <c r="H7" s="91">
        <v>0</v>
      </c>
      <c r="I7" s="91">
        <v>530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22</v>
      </c>
      <c r="C8" s="29">
        <f>SUM(C6:C7)</f>
        <v>1910</v>
      </c>
      <c r="D8" s="2"/>
      <c r="E8" s="79">
        <v>2685</v>
      </c>
      <c r="F8" s="79" t="s">
        <v>211</v>
      </c>
      <c r="G8" s="77" t="s">
        <v>7</v>
      </c>
      <c r="H8" s="78">
        <v>550</v>
      </c>
      <c r="I8" s="78">
        <v>50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79">
        <v>2686</v>
      </c>
      <c r="F9" s="77" t="s">
        <v>212</v>
      </c>
      <c r="G9" s="77" t="s">
        <v>8</v>
      </c>
      <c r="H9" s="78">
        <v>50</v>
      </c>
      <c r="I9" s="78">
        <v>50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3" t="s">
        <v>5</v>
      </c>
      <c r="C10" s="103"/>
      <c r="D10" s="2"/>
      <c r="E10" s="79">
        <v>2687</v>
      </c>
      <c r="F10" s="77" t="s">
        <v>213</v>
      </c>
      <c r="G10" s="77" t="s">
        <v>6</v>
      </c>
      <c r="H10" s="78">
        <v>200</v>
      </c>
      <c r="I10" s="78">
        <v>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68"/>
      <c r="G11" s="68"/>
      <c r="H11" s="56"/>
      <c r="I11" s="93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930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1880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1580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2606</v>
      </c>
      <c r="F26" s="25" t="s">
        <v>214</v>
      </c>
      <c r="G26" s="26" t="s">
        <v>7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2633</v>
      </c>
      <c r="F27" s="25" t="s">
        <v>215</v>
      </c>
      <c r="G27" s="26" t="s">
        <v>9</v>
      </c>
      <c r="H27" s="8"/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2665</v>
      </c>
      <c r="F28" s="25" t="s">
        <v>216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2393</v>
      </c>
      <c r="F29" s="25" t="s">
        <v>217</v>
      </c>
      <c r="G29" s="26" t="s">
        <v>6</v>
      </c>
      <c r="H29" s="8"/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G12:G22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G35:G41 G31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26" sqref="E26:I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45060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56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74"/>
      <c r="H7" s="56"/>
      <c r="I7" s="56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68"/>
      <c r="G8" s="68"/>
      <c r="H8" s="56"/>
      <c r="I8" s="56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4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74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74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G9:G22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G35:G41 G31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2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45061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3938.99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1610</v>
      </c>
      <c r="D6" s="2"/>
      <c r="E6" s="18">
        <v>2688</v>
      </c>
      <c r="F6" s="25" t="s">
        <v>218</v>
      </c>
      <c r="G6" s="26" t="s">
        <v>9</v>
      </c>
      <c r="H6" s="56">
        <v>180</v>
      </c>
      <c r="I6" s="8">
        <v>180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2689</v>
      </c>
      <c r="F7" s="25" t="s">
        <v>219</v>
      </c>
      <c r="G7" s="68" t="s">
        <v>7</v>
      </c>
      <c r="H7" s="56">
        <v>700</v>
      </c>
      <c r="I7" s="56">
        <v>200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22</v>
      </c>
      <c r="C8" s="29">
        <f>SUM(C6:C7)</f>
        <v>1610</v>
      </c>
      <c r="D8" s="2"/>
      <c r="E8" s="18">
        <v>2690</v>
      </c>
      <c r="F8" s="68" t="s">
        <v>220</v>
      </c>
      <c r="G8" s="68" t="s">
        <v>7</v>
      </c>
      <c r="H8" s="56">
        <v>1379</v>
      </c>
      <c r="I8" s="56">
        <v>300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2691</v>
      </c>
      <c r="F9" s="68" t="s">
        <v>221</v>
      </c>
      <c r="G9" s="68" t="s">
        <v>7</v>
      </c>
      <c r="H9" s="56">
        <v>1299.99</v>
      </c>
      <c r="I9" s="56">
        <v>250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2692</v>
      </c>
      <c r="F10" s="68" t="s">
        <v>222</v>
      </c>
      <c r="G10" s="68" t="s">
        <v>7</v>
      </c>
      <c r="H10" s="56">
        <v>380</v>
      </c>
      <c r="I10" s="56">
        <v>180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68"/>
      <c r="G11" s="68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930</v>
      </c>
      <c r="D12" s="2"/>
      <c r="E12" s="18"/>
      <c r="F12" s="68"/>
      <c r="G12" s="68"/>
      <c r="H12" s="56"/>
      <c r="I12" s="56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1610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3938.99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2650</v>
      </c>
      <c r="F26" s="25" t="s">
        <v>183</v>
      </c>
      <c r="G26" s="26" t="s">
        <v>6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54"/>
      <c r="G30" s="52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53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49"/>
      <c r="F32" s="50"/>
      <c r="G32" s="51"/>
      <c r="H32" s="48"/>
      <c r="I32" s="48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/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/>
      <c r="F35" s="10"/>
      <c r="G35" s="11"/>
      <c r="H35" s="12"/>
      <c r="I35" s="13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G13:G22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G36:G42 G30:G32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I36:I42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45062</v>
      </c>
    </row>
    <row r="2" spans="2:18" ht="18.75" x14ac:dyDescent="0.2"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1679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2255.1999999999998</v>
      </c>
      <c r="D6" s="2"/>
      <c r="E6" s="18">
        <v>2693</v>
      </c>
      <c r="F6" s="25" t="s">
        <v>223</v>
      </c>
      <c r="G6" s="26" t="s">
        <v>9</v>
      </c>
      <c r="H6" s="56">
        <v>1200</v>
      </c>
      <c r="I6" s="8">
        <v>1200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2694</v>
      </c>
      <c r="F7" s="25" t="s">
        <v>224</v>
      </c>
      <c r="G7" s="68" t="s">
        <v>10</v>
      </c>
      <c r="H7" s="56">
        <v>479</v>
      </c>
      <c r="I7" s="56">
        <v>50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22</v>
      </c>
      <c r="C8" s="29">
        <f>SUM(C6:C7)</f>
        <v>2255.1999999999998</v>
      </c>
      <c r="D8" s="2"/>
      <c r="E8" s="18"/>
      <c r="F8" s="68"/>
      <c r="G8" s="68"/>
      <c r="H8" s="56"/>
      <c r="I8" s="56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68"/>
      <c r="G10" s="68"/>
      <c r="H10" s="56"/>
      <c r="I10" s="56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290</v>
      </c>
      <c r="D11" s="2"/>
      <c r="E11" s="18"/>
      <c r="F11" s="68"/>
      <c r="G11" s="68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82"/>
      <c r="G12" s="74"/>
      <c r="H12" s="56"/>
      <c r="I12" s="56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81"/>
      <c r="G13" s="26"/>
      <c r="H13" s="8"/>
      <c r="I13" s="8"/>
      <c r="J13" s="2"/>
      <c r="K13" s="105" t="s">
        <v>23</v>
      </c>
      <c r="L13" s="106"/>
      <c r="M13" s="107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1200</v>
      </c>
      <c r="D14" s="2"/>
      <c r="E14" s="18"/>
      <c r="F14" s="81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765.2</v>
      </c>
      <c r="D15" s="2"/>
      <c r="E15" s="18"/>
      <c r="F15" s="81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2255.1999999999998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81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1679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2314</v>
      </c>
      <c r="F26" s="25" t="s">
        <v>225</v>
      </c>
      <c r="G26" s="26" t="s">
        <v>10</v>
      </c>
      <c r="H26" s="8">
        <v>0</v>
      </c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2232</v>
      </c>
      <c r="F27" s="25" t="s">
        <v>226</v>
      </c>
      <c r="G27" s="26" t="s">
        <v>10</v>
      </c>
      <c r="H27" s="8">
        <v>0</v>
      </c>
      <c r="I27" s="8">
        <v>310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2603</v>
      </c>
      <c r="F28" s="25" t="s">
        <v>227</v>
      </c>
      <c r="G28" s="26" t="s">
        <v>10</v>
      </c>
      <c r="H28" s="8">
        <v>0</v>
      </c>
      <c r="I28" s="8">
        <v>190.2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2587</v>
      </c>
      <c r="F29" s="25" t="s">
        <v>228</v>
      </c>
      <c r="G29" s="26" t="s">
        <v>10</v>
      </c>
      <c r="H29" s="8">
        <v>0</v>
      </c>
      <c r="I29" s="8">
        <v>75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35">
        <v>2667</v>
      </c>
      <c r="F30" s="36" t="s">
        <v>229</v>
      </c>
      <c r="G30" s="37" t="s">
        <v>6</v>
      </c>
      <c r="H30" s="17">
        <v>0</v>
      </c>
      <c r="I30" s="17">
        <v>290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86"/>
      <c r="F31" s="7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G19:G22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4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45063</v>
      </c>
    </row>
    <row r="2" spans="2:18" ht="18.75" x14ac:dyDescent="0.2">
      <c r="B2" s="108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SUMIF(I6:I34,"&gt;0",H6:H34)</f>
        <v>7130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SUM(I6:I44)</f>
        <v>2749</v>
      </c>
      <c r="D6" s="2"/>
      <c r="E6" s="18">
        <v>2695</v>
      </c>
      <c r="F6" s="83" t="s">
        <v>230</v>
      </c>
      <c r="G6" s="26" t="s">
        <v>6</v>
      </c>
      <c r="H6" s="56">
        <v>1512</v>
      </c>
      <c r="I6" s="8">
        <v>3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2696</v>
      </c>
      <c r="F7" s="25" t="s">
        <v>230</v>
      </c>
      <c r="G7" s="68" t="s">
        <v>6</v>
      </c>
      <c r="H7" s="56">
        <v>250</v>
      </c>
      <c r="I7" s="56">
        <v>1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22</v>
      </c>
      <c r="C8" s="29">
        <f>SUM(C6:C7)</f>
        <v>2749</v>
      </c>
      <c r="D8" s="2"/>
      <c r="E8" s="18">
        <v>2697</v>
      </c>
      <c r="F8" s="68" t="s">
        <v>230</v>
      </c>
      <c r="G8" s="68" t="s">
        <v>6</v>
      </c>
      <c r="H8" s="56">
        <v>151</v>
      </c>
      <c r="I8" s="56">
        <v>1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2698</v>
      </c>
      <c r="F9" s="68" t="s">
        <v>231</v>
      </c>
      <c r="G9" s="68" t="s">
        <v>21</v>
      </c>
      <c r="H9" s="56">
        <v>500</v>
      </c>
      <c r="I9" s="56">
        <v>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2699</v>
      </c>
      <c r="F10" s="68" t="s">
        <v>232</v>
      </c>
      <c r="G10" s="68" t="s">
        <v>21</v>
      </c>
      <c r="H10" s="56">
        <v>500</v>
      </c>
      <c r="I10" s="56">
        <v>0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(SUMIF($G$2:$G$34,B11,$I$2:$I$34))+(SUMIF($G$38:$G$44,B11,$H$38:$H$44))</f>
        <v>385</v>
      </c>
      <c r="D11" s="2"/>
      <c r="E11" s="18">
        <v>2700</v>
      </c>
      <c r="F11" s="68" t="s">
        <v>233</v>
      </c>
      <c r="G11" s="68" t="s">
        <v>6</v>
      </c>
      <c r="H11" s="56">
        <v>799</v>
      </c>
      <c r="I11" s="56">
        <v>200</v>
      </c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>(SUMIF($G$2:$G$34,B12,$I$2:$I$34))+(SUMIF($G$38:$G$44,B12,$H$38:$H$44))</f>
        <v>714</v>
      </c>
      <c r="D12" s="2"/>
      <c r="E12" s="18">
        <v>2701</v>
      </c>
      <c r="F12" s="68" t="s">
        <v>234</v>
      </c>
      <c r="G12" s="68" t="s">
        <v>6</v>
      </c>
      <c r="H12" s="56">
        <v>690</v>
      </c>
      <c r="I12" s="56">
        <v>30</v>
      </c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>(SUMIF($G$2:$G$34,B13,$I$2:$I$34))+(SUMIF($G$38:$G$44,B13,$H$38:$H$44))</f>
        <v>1260</v>
      </c>
      <c r="D13" s="2"/>
      <c r="E13" s="18">
        <v>2702</v>
      </c>
      <c r="F13" s="25" t="s">
        <v>235</v>
      </c>
      <c r="G13" s="26" t="s">
        <v>7</v>
      </c>
      <c r="H13" s="8">
        <v>390</v>
      </c>
      <c r="I13" s="8">
        <v>100</v>
      </c>
      <c r="J13" s="2"/>
      <c r="K13" s="105" t="s">
        <v>23</v>
      </c>
      <c r="L13" s="106"/>
      <c r="M13" s="107"/>
      <c r="R13" s="1">
        <f>IF(vend17[[#This Row],[Nº Venda]]&gt;1,1,0)</f>
        <v>1</v>
      </c>
    </row>
    <row r="14" spans="2:18" ht="15.75" x14ac:dyDescent="0.25">
      <c r="B14" s="30" t="s">
        <v>9</v>
      </c>
      <c r="C14" s="31">
        <f>(SUMIF($G$2:$G$34,B14,$I$2:$I$34))+(SUMIF($G$38:$G$44,B14,$H$38:$H$44))</f>
        <v>0</v>
      </c>
      <c r="D14" s="2"/>
      <c r="E14" s="18">
        <v>2703</v>
      </c>
      <c r="F14" s="25" t="s">
        <v>236</v>
      </c>
      <c r="G14" s="26" t="s">
        <v>21</v>
      </c>
      <c r="H14" s="8">
        <v>450</v>
      </c>
      <c r="I14" s="8">
        <v>0</v>
      </c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1</v>
      </c>
    </row>
    <row r="15" spans="2:18" ht="15.75" x14ac:dyDescent="0.25">
      <c r="B15" s="30" t="s">
        <v>10</v>
      </c>
      <c r="C15" s="31">
        <f>(SUMIF($G$2:$G$34,B15,$I$2:$I$34))+(SUMIF($G$38:$G$44,B15,$H$38:$H$44))</f>
        <v>390</v>
      </c>
      <c r="D15" s="2"/>
      <c r="E15" s="18">
        <v>2704</v>
      </c>
      <c r="F15" s="25" t="s">
        <v>237</v>
      </c>
      <c r="G15" s="26" t="s">
        <v>10</v>
      </c>
      <c r="H15" s="8">
        <v>390</v>
      </c>
      <c r="I15" s="8">
        <v>390</v>
      </c>
      <c r="J15" s="2"/>
      <c r="K15" s="25"/>
      <c r="L15" s="9"/>
      <c r="M15" s="16"/>
      <c r="R15" s="1">
        <f>IF(vend17[[#This Row],[Nº Venda]]&gt;1,1,0)</f>
        <v>1</v>
      </c>
    </row>
    <row r="16" spans="2:18" ht="15.75" x14ac:dyDescent="0.25">
      <c r="B16" s="28" t="s">
        <v>11</v>
      </c>
      <c r="C16" s="32">
        <f>SUM(C11:C15)</f>
        <v>2749</v>
      </c>
      <c r="D16" s="2"/>
      <c r="E16" s="18">
        <v>2705</v>
      </c>
      <c r="F16" s="25" t="s">
        <v>238</v>
      </c>
      <c r="G16" s="26" t="s">
        <v>7</v>
      </c>
      <c r="H16" s="8">
        <v>449</v>
      </c>
      <c r="I16" s="8">
        <v>5</v>
      </c>
      <c r="J16" s="2"/>
      <c r="K16" s="25"/>
      <c r="L16" s="9"/>
      <c r="M16" s="16"/>
      <c r="R16" s="1">
        <f>IF(vend17[[#This Row],[Nº Venda]]&gt;1,1,0)</f>
        <v>1</v>
      </c>
    </row>
    <row r="17" spans="2:18" ht="15.75" x14ac:dyDescent="0.25">
      <c r="B17" s="2"/>
      <c r="C17" s="2"/>
      <c r="D17" s="2"/>
      <c r="E17" s="18">
        <v>2706</v>
      </c>
      <c r="F17" s="25" t="s">
        <v>239</v>
      </c>
      <c r="G17" s="26" t="s">
        <v>8</v>
      </c>
      <c r="H17" s="8">
        <v>120</v>
      </c>
      <c r="I17" s="8">
        <v>60</v>
      </c>
      <c r="J17" s="2"/>
      <c r="K17" s="25"/>
      <c r="L17" s="9"/>
      <c r="M17" s="16"/>
      <c r="R17" s="1">
        <f>IF(vend17[[#This Row],[Nº Venda]]&gt;1,1,0)</f>
        <v>1</v>
      </c>
    </row>
    <row r="18" spans="2:18" ht="15.75" x14ac:dyDescent="0.25">
      <c r="B18" s="103" t="s">
        <v>12</v>
      </c>
      <c r="C18" s="103"/>
      <c r="D18" s="2"/>
      <c r="E18" s="18">
        <v>2707</v>
      </c>
      <c r="F18" s="25" t="s">
        <v>240</v>
      </c>
      <c r="G18" s="26" t="s">
        <v>6</v>
      </c>
      <c r="H18" s="8">
        <v>500</v>
      </c>
      <c r="I18" s="8">
        <v>50</v>
      </c>
      <c r="J18" s="2"/>
      <c r="K18" s="25"/>
      <c r="L18" s="9"/>
      <c r="M18" s="16"/>
      <c r="R18" s="1">
        <f>IF(vend17[[#This Row],[Nº Venda]]&gt;1,1,0)</f>
        <v>1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>
        <v>2708</v>
      </c>
      <c r="F19" s="25" t="s">
        <v>241</v>
      </c>
      <c r="G19" s="26" t="s">
        <v>7</v>
      </c>
      <c r="H19" s="8">
        <v>700</v>
      </c>
      <c r="I19" s="8">
        <v>100</v>
      </c>
      <c r="J19" s="2"/>
      <c r="K19" s="25"/>
      <c r="L19" s="9"/>
      <c r="M19" s="16"/>
      <c r="R19" s="1">
        <f>IF(vend17[[#This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2709</v>
      </c>
      <c r="F20" s="26" t="s">
        <v>242</v>
      </c>
      <c r="G20" s="26" t="s">
        <v>7</v>
      </c>
      <c r="H20" s="8">
        <v>479</v>
      </c>
      <c r="I20" s="8">
        <v>479</v>
      </c>
      <c r="J20" s="2"/>
      <c r="K20" s="25"/>
      <c r="L20" s="9"/>
      <c r="M20" s="16"/>
      <c r="R20" s="1">
        <f>IF(vend17[[#This Row],[Nº Venda]]&gt;1,1,0)</f>
        <v>1</v>
      </c>
    </row>
    <row r="21" spans="2:18" ht="15.75" x14ac:dyDescent="0.25">
      <c r="B21" s="2"/>
      <c r="C21" s="2"/>
      <c r="D21" s="2"/>
      <c r="E21" s="18">
        <v>2710</v>
      </c>
      <c r="F21" s="25" t="s">
        <v>243</v>
      </c>
      <c r="G21" s="26" t="s">
        <v>7</v>
      </c>
      <c r="H21" s="8">
        <v>400</v>
      </c>
      <c r="I21" s="8">
        <v>20</v>
      </c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7130</v>
      </c>
      <c r="D22" s="2"/>
      <c r="E22" s="18">
        <v>2711</v>
      </c>
      <c r="F22" s="25" t="s">
        <v>244</v>
      </c>
      <c r="G22" s="26" t="s">
        <v>7</v>
      </c>
      <c r="H22" s="8">
        <v>150</v>
      </c>
      <c r="I22" s="8">
        <v>10</v>
      </c>
      <c r="J22" s="2"/>
      <c r="K22" s="25"/>
      <c r="L22" s="9"/>
      <c r="M22" s="16"/>
    </row>
    <row r="23" spans="2:18" ht="15.75" x14ac:dyDescent="0.25">
      <c r="B23" s="2"/>
      <c r="C23" s="2"/>
      <c r="D23" s="2"/>
      <c r="E23" s="18">
        <v>2712</v>
      </c>
      <c r="F23" s="25" t="s">
        <v>245</v>
      </c>
      <c r="G23" s="26" t="s">
        <v>8</v>
      </c>
      <c r="H23" s="8">
        <v>150</v>
      </c>
      <c r="I23" s="8">
        <v>150</v>
      </c>
      <c r="J23" s="2"/>
      <c r="K23" s="25"/>
      <c r="L23" s="9"/>
      <c r="M23" s="16"/>
    </row>
    <row r="24" spans="2:18" ht="15" x14ac:dyDescent="0.25">
      <c r="B24" s="2"/>
      <c r="C24" s="2"/>
      <c r="D24" s="2"/>
      <c r="E24" s="26"/>
      <c r="F24" s="26"/>
      <c r="G24" s="26"/>
      <c r="H24" s="8"/>
      <c r="I24" s="8"/>
      <c r="J24" s="2"/>
      <c r="K24" s="25"/>
      <c r="L24" s="9"/>
      <c r="M24" s="16"/>
    </row>
    <row r="25" spans="2:18" ht="15" x14ac:dyDescent="0.25">
      <c r="B25" s="2"/>
      <c r="C25" s="2"/>
      <c r="D25" s="2"/>
      <c r="E25" s="26"/>
      <c r="F25" s="26"/>
      <c r="G25" s="26"/>
      <c r="H25" s="8"/>
      <c r="I25" s="8"/>
      <c r="J25" s="2"/>
      <c r="K25" s="25"/>
      <c r="L25" s="9"/>
      <c r="M25" s="16"/>
    </row>
    <row r="26" spans="2:18" ht="15" x14ac:dyDescent="0.25">
      <c r="B26" s="2"/>
      <c r="C26" s="2"/>
      <c r="D26" s="2"/>
      <c r="E26" s="33"/>
      <c r="H26" s="7"/>
      <c r="J26" s="2"/>
      <c r="K26" s="25"/>
      <c r="L26" s="9"/>
      <c r="M26" s="16"/>
    </row>
    <row r="27" spans="2:18" ht="15" x14ac:dyDescent="0.25">
      <c r="B27" s="2"/>
      <c r="C27" s="2"/>
      <c r="D27" s="2"/>
      <c r="E27" s="104" t="s">
        <v>28</v>
      </c>
      <c r="F27" s="104"/>
      <c r="G27" s="104"/>
      <c r="H27" s="104"/>
      <c r="I27" s="104"/>
      <c r="J27" s="2"/>
      <c r="K27" s="25"/>
      <c r="L27" s="9"/>
      <c r="M27" s="16"/>
    </row>
    <row r="28" spans="2:18" ht="15" x14ac:dyDescent="0.25">
      <c r="B28" s="2"/>
      <c r="C28" s="2"/>
      <c r="D28" s="2"/>
      <c r="E28" s="10" t="s">
        <v>14</v>
      </c>
      <c r="F28" s="10" t="s">
        <v>15</v>
      </c>
      <c r="G28" s="11" t="s">
        <v>16</v>
      </c>
      <c r="H28" s="12" t="s">
        <v>17</v>
      </c>
      <c r="I28" s="13" t="s">
        <v>2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2619</v>
      </c>
      <c r="F29" s="25" t="s">
        <v>246</v>
      </c>
      <c r="G29" s="26" t="s">
        <v>8</v>
      </c>
      <c r="H29" s="8"/>
      <c r="I29" s="8">
        <v>1050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2287</v>
      </c>
      <c r="F30" s="25" t="s">
        <v>247</v>
      </c>
      <c r="G30" s="26" t="s">
        <v>134</v>
      </c>
      <c r="H30" s="8"/>
      <c r="I30" s="8">
        <v>100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26"/>
      <c r="H32" s="8"/>
      <c r="I32" s="8"/>
    </row>
    <row r="33" spans="2:18" ht="15.75" x14ac:dyDescent="0.25">
      <c r="B33" s="2"/>
      <c r="C33" s="2"/>
      <c r="E33" s="18"/>
      <c r="F33" s="39"/>
      <c r="G33" s="26"/>
      <c r="H33" s="8"/>
      <c r="I33" s="8"/>
      <c r="K33" s="105" t="s">
        <v>12</v>
      </c>
      <c r="L33" s="106"/>
      <c r="M33" s="107"/>
    </row>
    <row r="34" spans="2:18" ht="15.75" x14ac:dyDescent="0.25">
      <c r="E34" s="35"/>
      <c r="F34" s="36"/>
      <c r="G34" s="37"/>
      <c r="H34" s="17"/>
      <c r="I34" s="17"/>
      <c r="K34" s="14" t="s">
        <v>24</v>
      </c>
      <c r="L34" s="6" t="s">
        <v>32</v>
      </c>
      <c r="M34" s="15" t="s">
        <v>33</v>
      </c>
    </row>
    <row r="35" spans="2:18" ht="15" x14ac:dyDescent="0.25">
      <c r="E35" s="33"/>
      <c r="K35" s="25"/>
      <c r="L35" s="42"/>
      <c r="M35" s="16"/>
    </row>
    <row r="36" spans="2:18" ht="15" x14ac:dyDescent="0.25">
      <c r="E36" s="104" t="s">
        <v>29</v>
      </c>
      <c r="F36" s="104"/>
      <c r="G36" s="104"/>
      <c r="H36" s="104"/>
      <c r="I36" s="104"/>
      <c r="K36" s="25"/>
      <c r="L36" s="42"/>
      <c r="M36" s="16"/>
    </row>
    <row r="37" spans="2:18" ht="15" x14ac:dyDescent="0.25">
      <c r="E37" s="10" t="s">
        <v>24</v>
      </c>
      <c r="F37" s="10" t="s">
        <v>15</v>
      </c>
      <c r="G37" s="11" t="s">
        <v>16</v>
      </c>
      <c r="H37" s="12" t="s">
        <v>30</v>
      </c>
      <c r="I37" s="13" t="s">
        <v>31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3"/>
      <c r="M40" s="40"/>
      <c r="Q40" s="1" t="s">
        <v>34</v>
      </c>
      <c r="R40" s="1">
        <f>SUM(R6:R21)</f>
        <v>15</v>
      </c>
    </row>
    <row r="41" spans="2:18" ht="15.75" x14ac:dyDescent="0.25">
      <c r="E41" s="18"/>
      <c r="F41" s="25"/>
      <c r="G41" s="26"/>
      <c r="H41" s="8"/>
      <c r="I41" s="8"/>
      <c r="K41" s="45"/>
      <c r="L41" s="42"/>
      <c r="M41" s="40"/>
    </row>
    <row r="42" spans="2:18" ht="15.75" x14ac:dyDescent="0.25">
      <c r="E42" s="18"/>
      <c r="F42" s="39"/>
      <c r="G42" s="26"/>
      <c r="H42" s="8"/>
      <c r="I42" s="8"/>
    </row>
    <row r="43" spans="2:18" ht="15.75" x14ac:dyDescent="0.25">
      <c r="E43" s="35"/>
      <c r="F43" s="36"/>
      <c r="G43" s="37"/>
      <c r="H43" s="17"/>
      <c r="I43" s="8"/>
    </row>
    <row r="44" spans="2:18" ht="15.75" x14ac:dyDescent="0.25">
      <c r="E44" s="44"/>
      <c r="F44" s="39"/>
      <c r="G44" s="26"/>
      <c r="H44" s="8"/>
      <c r="I44" s="8"/>
    </row>
  </sheetData>
  <mergeCells count="9">
    <mergeCell ref="E27:I27"/>
    <mergeCell ref="E36:I36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5660C6-C0D5-4F2B-A331-57FE031E6444}">
          <x14:formula1>
            <xm:f>base!$A$2:$A$6</xm:f>
          </x14:formula1>
          <xm:sqref>G38:G44 G32:G34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I38:I44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45064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6740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2955</v>
      </c>
      <c r="D6" s="2"/>
      <c r="E6" s="18">
        <v>2713</v>
      </c>
      <c r="F6" s="25" t="s">
        <v>248</v>
      </c>
      <c r="G6" s="26" t="s">
        <v>8</v>
      </c>
      <c r="H6" s="56">
        <v>285</v>
      </c>
      <c r="I6" s="8">
        <v>285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2414</v>
      </c>
      <c r="F7" s="25" t="s">
        <v>249</v>
      </c>
      <c r="G7" s="68" t="s">
        <v>8</v>
      </c>
      <c r="H7" s="56">
        <v>1600</v>
      </c>
      <c r="I7" s="56">
        <v>1600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22</v>
      </c>
      <c r="C8" s="29">
        <f>SUM(C6:C7)</f>
        <v>2955</v>
      </c>
      <c r="D8" s="2"/>
      <c r="E8" s="18">
        <v>2715</v>
      </c>
      <c r="F8" s="68" t="s">
        <v>250</v>
      </c>
      <c r="G8" s="68" t="s">
        <v>8</v>
      </c>
      <c r="H8" s="56">
        <v>300</v>
      </c>
      <c r="I8" s="56">
        <v>300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2716</v>
      </c>
      <c r="F9" s="68" t="s">
        <v>35</v>
      </c>
      <c r="G9" s="68" t="s">
        <v>7</v>
      </c>
      <c r="H9" s="56">
        <v>2000</v>
      </c>
      <c r="I9" s="56">
        <v>200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2717</v>
      </c>
      <c r="F10" s="68" t="s">
        <v>251</v>
      </c>
      <c r="G10" s="68" t="s">
        <v>7</v>
      </c>
      <c r="H10" s="56">
        <v>1555</v>
      </c>
      <c r="I10" s="56">
        <v>20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68"/>
      <c r="G11" s="68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220</v>
      </c>
      <c r="D12" s="2"/>
      <c r="E12" s="18"/>
      <c r="F12" s="68"/>
      <c r="G12" s="68"/>
      <c r="H12" s="56"/>
      <c r="I12" s="56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2685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2955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6740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2698</v>
      </c>
      <c r="F26" s="68" t="s">
        <v>231</v>
      </c>
      <c r="G26" s="26" t="s">
        <v>6</v>
      </c>
      <c r="H26" s="8">
        <v>500</v>
      </c>
      <c r="I26" s="8">
        <v>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2699</v>
      </c>
      <c r="F27" s="68" t="s">
        <v>232</v>
      </c>
      <c r="G27" s="26" t="s">
        <v>6</v>
      </c>
      <c r="H27" s="8">
        <v>500</v>
      </c>
      <c r="I27" s="8">
        <v>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2685</v>
      </c>
      <c r="F28" s="25" t="s">
        <v>211</v>
      </c>
      <c r="G28" s="26" t="s">
        <v>8</v>
      </c>
      <c r="H28" s="8"/>
      <c r="I28" s="8">
        <v>500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G35:G41 G30:G31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G13:G22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B1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45065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2790</v>
      </c>
      <c r="D6" s="2"/>
      <c r="E6" s="58">
        <v>2719</v>
      </c>
      <c r="F6" s="59" t="s">
        <v>252</v>
      </c>
      <c r="G6" s="85" t="s">
        <v>21</v>
      </c>
      <c r="H6" s="80" t="s">
        <v>253</v>
      </c>
      <c r="I6" s="56"/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58">
        <v>2720</v>
      </c>
      <c r="F7" s="59" t="s">
        <v>254</v>
      </c>
      <c r="G7" s="60" t="s">
        <v>9</v>
      </c>
      <c r="H7" s="80">
        <v>740</v>
      </c>
      <c r="I7" s="61">
        <v>740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2790</v>
      </c>
      <c r="D8" s="2"/>
      <c r="E8" s="58">
        <v>2721</v>
      </c>
      <c r="F8" s="85" t="s">
        <v>254</v>
      </c>
      <c r="G8" s="85"/>
      <c r="H8" s="80" t="s">
        <v>255</v>
      </c>
      <c r="I8" s="80"/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1740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2790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2372</v>
      </c>
      <c r="F26" s="25" t="s">
        <v>256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2677</v>
      </c>
      <c r="F27" s="25" t="s">
        <v>257</v>
      </c>
      <c r="G27" s="26" t="s">
        <v>8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2664</v>
      </c>
      <c r="F28" s="25" t="s">
        <v>258</v>
      </c>
      <c r="G28" s="26" t="s">
        <v>9</v>
      </c>
      <c r="H28" s="8"/>
      <c r="I28" s="8">
        <v>1000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2703</v>
      </c>
      <c r="F29" s="25" t="s">
        <v>259</v>
      </c>
      <c r="G29" s="26" t="s">
        <v>10</v>
      </c>
      <c r="H29" s="8">
        <v>450</v>
      </c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35">
        <v>2647</v>
      </c>
      <c r="F30" s="36" t="s">
        <v>143</v>
      </c>
      <c r="G30" s="37" t="s">
        <v>6</v>
      </c>
      <c r="H30" s="17"/>
      <c r="I30" s="17">
        <v>600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86"/>
      <c r="F31" s="7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G10:G22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2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45066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5690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5055</v>
      </c>
      <c r="D6" s="2"/>
      <c r="E6" s="18">
        <v>2718</v>
      </c>
      <c r="F6" s="25" t="s">
        <v>260</v>
      </c>
      <c r="G6" s="26" t="s">
        <v>7</v>
      </c>
      <c r="H6" s="56">
        <v>300</v>
      </c>
      <c r="I6" s="8">
        <v>300</v>
      </c>
      <c r="J6" s="2"/>
      <c r="K6" s="25" t="s">
        <v>149</v>
      </c>
      <c r="L6" s="9" t="s">
        <v>7</v>
      </c>
      <c r="M6" s="16">
        <v>3.45</v>
      </c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33.450000000000003</v>
      </c>
      <c r="D7" s="2"/>
      <c r="E7" s="18">
        <v>2722</v>
      </c>
      <c r="F7" s="25" t="s">
        <v>261</v>
      </c>
      <c r="G7" s="68" t="s">
        <v>8</v>
      </c>
      <c r="H7" s="56">
        <v>750</v>
      </c>
      <c r="I7" s="56">
        <v>150</v>
      </c>
      <c r="J7" s="2"/>
      <c r="K7" s="25" t="s">
        <v>267</v>
      </c>
      <c r="L7" s="9" t="s">
        <v>10</v>
      </c>
      <c r="M7" s="16">
        <v>10</v>
      </c>
      <c r="R7" s="1">
        <f>IF(vend20[[#This Row],[Nº Venda]]&gt;1,1,0)</f>
        <v>1</v>
      </c>
    </row>
    <row r="8" spans="2:18" ht="15.75" x14ac:dyDescent="0.25">
      <c r="B8" s="28" t="s">
        <v>22</v>
      </c>
      <c r="C8" s="29">
        <f>SUM(C6:C7)</f>
        <v>5088.45</v>
      </c>
      <c r="D8" s="2"/>
      <c r="E8" s="18">
        <v>2723</v>
      </c>
      <c r="F8" s="68" t="s">
        <v>262</v>
      </c>
      <c r="G8" s="68" t="s">
        <v>6</v>
      </c>
      <c r="H8" s="56">
        <v>450</v>
      </c>
      <c r="I8" s="56">
        <v>100</v>
      </c>
      <c r="J8" s="2"/>
      <c r="K8" s="25" t="s">
        <v>268</v>
      </c>
      <c r="L8" s="9" t="s">
        <v>10</v>
      </c>
      <c r="M8" s="16">
        <v>10</v>
      </c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2724</v>
      </c>
      <c r="F9" s="68" t="s">
        <v>263</v>
      </c>
      <c r="G9" s="68" t="s">
        <v>9</v>
      </c>
      <c r="H9" s="56">
        <v>2350</v>
      </c>
      <c r="I9" s="56">
        <v>2350</v>
      </c>
      <c r="J9" s="2"/>
      <c r="K9" s="25" t="s">
        <v>269</v>
      </c>
      <c r="L9" s="9" t="s">
        <v>10</v>
      </c>
      <c r="M9" s="16">
        <v>10</v>
      </c>
      <c r="R9" s="1">
        <f>IF(vend20[[#This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2725</v>
      </c>
      <c r="F10" s="74" t="s">
        <v>264</v>
      </c>
      <c r="G10" s="68" t="s">
        <v>10</v>
      </c>
      <c r="H10" s="56">
        <v>740</v>
      </c>
      <c r="I10" s="56">
        <v>370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(SUMIF($G$2:$G$31,B11,$I$2:$I$31))+(SUMIF($G$36:$G$42,B11,$H$36:$H$42))</f>
        <v>385</v>
      </c>
      <c r="D11" s="2"/>
      <c r="E11" s="18">
        <v>2726</v>
      </c>
      <c r="F11" s="74" t="s">
        <v>265</v>
      </c>
      <c r="G11" s="68" t="s">
        <v>7</v>
      </c>
      <c r="H11" s="56">
        <v>1100</v>
      </c>
      <c r="I11" s="84">
        <v>200</v>
      </c>
      <c r="J11" s="2"/>
      <c r="K11" s="27">
        <v>0</v>
      </c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>(SUMIF($G$2:$G$31,B12,$I$2:$I$31))+(SUMIF($G$36:$G$42,B12,$H$36:$H$42))</f>
        <v>900</v>
      </c>
      <c r="D12" s="2"/>
      <c r="E12" s="18">
        <v>2726</v>
      </c>
      <c r="F12" s="74" t="s">
        <v>265</v>
      </c>
      <c r="G12" s="68" t="s">
        <v>9</v>
      </c>
      <c r="H12" s="84"/>
      <c r="I12" s="56">
        <v>900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>(SUMIF($G$2:$G$31,B13,$I$2:$I$31))+(SUMIF($G$36:$G$42,B13,$H$36:$H$42))</f>
        <v>150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(SUMIF($G$2:$G$31,B14,$I$2:$I$31))+(SUMIF($G$36:$G$42,B14,$H$36:$H$42))</f>
        <v>3250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(SUMIF($G$2:$G$31,B15,$I$2:$I$31))+(SUMIF($G$36:$G$42,B15,$H$36:$H$42))</f>
        <v>370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5055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2687</v>
      </c>
      <c r="F26" s="25" t="s">
        <v>266</v>
      </c>
      <c r="G26" s="2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2393</v>
      </c>
      <c r="F27" s="25" t="s">
        <v>266</v>
      </c>
      <c r="G27" s="26" t="s">
        <v>7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>
        <v>2771</v>
      </c>
      <c r="F30" s="36" t="s">
        <v>128</v>
      </c>
      <c r="G30" s="37" t="s">
        <v>6</v>
      </c>
      <c r="H30" s="17"/>
      <c r="I30" s="17">
        <v>285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86"/>
      <c r="F31" s="7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87"/>
      <c r="F32" s="76"/>
      <c r="G32" s="37"/>
      <c r="H32" s="17"/>
      <c r="I32" s="17"/>
    </row>
    <row r="33" spans="2:18" ht="15" x14ac:dyDescent="0.25">
      <c r="B33" s="2"/>
      <c r="C33" s="2"/>
      <c r="E33" s="33"/>
      <c r="K33" s="105" t="s">
        <v>12</v>
      </c>
      <c r="L33" s="106"/>
      <c r="M33" s="107"/>
    </row>
    <row r="34" spans="2:18" ht="15" x14ac:dyDescent="0.25">
      <c r="E34" s="104" t="s">
        <v>29</v>
      </c>
      <c r="F34" s="104"/>
      <c r="G34" s="104"/>
      <c r="H34" s="104"/>
      <c r="I34" s="104"/>
      <c r="K34" s="14" t="s">
        <v>24</v>
      </c>
      <c r="L34" s="6" t="s">
        <v>32</v>
      </c>
      <c r="M34" s="15" t="s">
        <v>33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7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G36:G42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G14:G22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I36:I42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B1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45067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56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68"/>
      <c r="H7" s="56"/>
      <c r="I7" s="56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68"/>
      <c r="G8" s="68"/>
      <c r="H8" s="56"/>
      <c r="I8" s="56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G10:G22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Z13" sqref="Z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45068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1467</v>
      </c>
      <c r="D6" s="2"/>
      <c r="E6" s="18">
        <v>2727</v>
      </c>
      <c r="F6" s="25" t="s">
        <v>270</v>
      </c>
      <c r="G6" s="26" t="s">
        <v>10</v>
      </c>
      <c r="H6" s="56">
        <v>850</v>
      </c>
      <c r="I6" s="8">
        <v>57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74"/>
      <c r="H7" s="56"/>
      <c r="I7" s="56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22</v>
      </c>
      <c r="C8" s="29">
        <f>SUM(C6:C7)</f>
        <v>1467</v>
      </c>
      <c r="D8" s="2"/>
      <c r="E8" s="18"/>
      <c r="F8" s="74"/>
      <c r="G8" s="74"/>
      <c r="H8" s="56"/>
      <c r="I8" s="56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68"/>
      <c r="G10" s="68"/>
      <c r="H10" s="56"/>
      <c r="I10" s="56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68"/>
      <c r="G11" s="68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510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900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57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1467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2670</v>
      </c>
      <c r="F26" s="25" t="s">
        <v>271</v>
      </c>
      <c r="G26" s="26" t="s">
        <v>9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2667</v>
      </c>
      <c r="F27" s="25" t="s">
        <v>272</v>
      </c>
      <c r="G27" s="26" t="s">
        <v>7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2717</v>
      </c>
      <c r="F28" s="25" t="s">
        <v>251</v>
      </c>
      <c r="G28" s="26" t="s">
        <v>7</v>
      </c>
      <c r="H28" s="8"/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2654</v>
      </c>
      <c r="F29" s="25" t="s">
        <v>159</v>
      </c>
      <c r="G29" s="26" t="s">
        <v>7</v>
      </c>
      <c r="H29" s="8"/>
      <c r="I29" s="8">
        <v>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2654</v>
      </c>
      <c r="F30" s="39" t="s">
        <v>159</v>
      </c>
      <c r="G30" s="26" t="s">
        <v>9</v>
      </c>
      <c r="H30" s="8"/>
      <c r="I30" s="8">
        <v>450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G35:G41 G27:G31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G12:G22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6"/>
  <sheetViews>
    <sheetView showGridLines="0" topLeftCell="B2" zoomScale="80" zoomScaleNormal="8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45069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SUMIF(I6:I36,"&gt;0",H6:H36)</f>
        <v>959.99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SUM(I6:I46)</f>
        <v>4701.24</v>
      </c>
      <c r="D6" s="2"/>
      <c r="E6" s="18">
        <v>2729</v>
      </c>
      <c r="F6" s="25" t="s">
        <v>273</v>
      </c>
      <c r="G6" s="26" t="s">
        <v>7</v>
      </c>
      <c r="H6" s="8">
        <v>340</v>
      </c>
      <c r="I6" s="8">
        <v>10</v>
      </c>
      <c r="J6" s="2"/>
      <c r="K6" s="25" t="s">
        <v>276</v>
      </c>
      <c r="L6" s="9" t="s">
        <v>6</v>
      </c>
      <c r="M6" s="16">
        <v>100</v>
      </c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105.59</v>
      </c>
      <c r="D7" s="2"/>
      <c r="E7" s="18">
        <v>2728</v>
      </c>
      <c r="F7" s="25" t="s">
        <v>274</v>
      </c>
      <c r="G7" s="26" t="s">
        <v>9</v>
      </c>
      <c r="H7" s="8">
        <v>369.99</v>
      </c>
      <c r="I7" s="8">
        <v>369.99</v>
      </c>
      <c r="J7" s="2"/>
      <c r="K7" s="25" t="s">
        <v>149</v>
      </c>
      <c r="L7" s="9" t="s">
        <v>7</v>
      </c>
      <c r="M7" s="16">
        <v>5.59</v>
      </c>
      <c r="R7" s="1">
        <f>IF(vend23[[#This Row],[Nº Venda]]&gt;1,1,0)</f>
        <v>1</v>
      </c>
    </row>
    <row r="8" spans="2:18" ht="15.75" x14ac:dyDescent="0.25">
      <c r="B8" s="28" t="s">
        <v>22</v>
      </c>
      <c r="C8" s="29">
        <f>SUM(C6:C7)</f>
        <v>4806.83</v>
      </c>
      <c r="D8" s="2"/>
      <c r="E8" s="18">
        <v>2730</v>
      </c>
      <c r="F8" s="25" t="s">
        <v>275</v>
      </c>
      <c r="G8" s="26" t="s">
        <v>9</v>
      </c>
      <c r="H8" s="8">
        <v>250</v>
      </c>
      <c r="I8" s="8">
        <v>250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(SUMIF($G$2:$G$36,B11,$I$2:$I$36))+(SUMIF($G$40:$G$46,B11,$H$40:$H$46))</f>
        <v>450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>(SUMIF($G$2:$G$36,B12,$I$2:$I$36))+(SUMIF($G$40:$G$46,B12,$H$40:$H$46))</f>
        <v>566.25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>(SUMIF($G$2:$G$36,B13,$I$2:$I$36))+(SUMIF($G$40:$G$46,B13,$H$40:$H$46))</f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>(SUMIF($G$2:$G$36,B14,$I$2:$I$36))+(SUMIF($G$40:$G$46,B14,$H$40:$H$46))</f>
        <v>2989.99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>(SUMIF($G$2:$G$36,B15,$I$2:$I$36))+(SUMIF($G$40:$G$46,B15,$H$40:$H$46))</f>
        <v>695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4701.24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959.99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2589</v>
      </c>
      <c r="F26" s="25" t="s">
        <v>277</v>
      </c>
      <c r="G26" s="26" t="s">
        <v>9</v>
      </c>
      <c r="H26" s="8"/>
      <c r="I26" s="8">
        <v>880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2657</v>
      </c>
      <c r="F27" s="25" t="s">
        <v>162</v>
      </c>
      <c r="G27" s="26" t="s">
        <v>9</v>
      </c>
      <c r="H27" s="8"/>
      <c r="I27" s="8">
        <v>1290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2689</v>
      </c>
      <c r="F28" s="25" t="s">
        <v>219</v>
      </c>
      <c r="G28" s="26" t="s">
        <v>7</v>
      </c>
      <c r="H28" s="8"/>
      <c r="I28" s="8">
        <v>500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2572</v>
      </c>
      <c r="F29" s="25" t="s">
        <v>278</v>
      </c>
      <c r="G29" s="26" t="s">
        <v>6</v>
      </c>
      <c r="H29" s="8"/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01">
        <v>2675</v>
      </c>
      <c r="F30" s="102" t="s">
        <v>279</v>
      </c>
      <c r="G30" s="95" t="s">
        <v>10</v>
      </c>
      <c r="H30" s="96"/>
      <c r="I30" s="96">
        <v>150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101">
        <v>2468</v>
      </c>
      <c r="F31" s="102" t="s">
        <v>280</v>
      </c>
      <c r="G31" s="95" t="s">
        <v>10</v>
      </c>
      <c r="H31" s="96"/>
      <c r="I31" s="96">
        <v>120</v>
      </c>
      <c r="J31" s="2"/>
      <c r="K31" s="25"/>
      <c r="L31" s="9"/>
      <c r="M31" s="16"/>
    </row>
    <row r="32" spans="2:18" ht="15.75" x14ac:dyDescent="0.25">
      <c r="B32" s="2"/>
      <c r="C32" s="2"/>
      <c r="E32" s="101">
        <v>2554</v>
      </c>
      <c r="F32" s="102" t="s">
        <v>281</v>
      </c>
      <c r="G32" s="95" t="s">
        <v>10</v>
      </c>
      <c r="H32" s="96"/>
      <c r="I32" s="96">
        <v>300</v>
      </c>
    </row>
    <row r="33" spans="2:18" ht="15.75" x14ac:dyDescent="0.25">
      <c r="B33" s="2"/>
      <c r="C33" s="2"/>
      <c r="E33" s="101">
        <v>2542</v>
      </c>
      <c r="F33" s="102" t="s">
        <v>282</v>
      </c>
      <c r="G33" s="95" t="s">
        <v>10</v>
      </c>
      <c r="H33" s="96"/>
      <c r="I33" s="96">
        <v>125</v>
      </c>
      <c r="K33" s="105" t="s">
        <v>12</v>
      </c>
      <c r="L33" s="106"/>
      <c r="M33" s="107"/>
    </row>
    <row r="34" spans="2:18" ht="15.75" x14ac:dyDescent="0.25">
      <c r="E34" s="18">
        <v>2692</v>
      </c>
      <c r="F34" s="39" t="s">
        <v>222</v>
      </c>
      <c r="G34" s="26" t="s">
        <v>9</v>
      </c>
      <c r="H34" s="8"/>
      <c r="I34" s="8">
        <v>200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01">
        <v>2310</v>
      </c>
      <c r="F35" s="94" t="s">
        <v>283</v>
      </c>
      <c r="G35" s="95" t="s">
        <v>7</v>
      </c>
      <c r="H35" s="96"/>
      <c r="I35" s="96">
        <v>56.25</v>
      </c>
      <c r="K35" s="25"/>
      <c r="L35" s="42"/>
      <c r="M35" s="16"/>
    </row>
    <row r="36" spans="2:18" ht="15.75" x14ac:dyDescent="0.25">
      <c r="E36" s="35">
        <v>2694</v>
      </c>
      <c r="F36" s="36" t="s">
        <v>284</v>
      </c>
      <c r="G36" s="37" t="s">
        <v>6</v>
      </c>
      <c r="H36" s="17"/>
      <c r="I36" s="17">
        <v>350</v>
      </c>
      <c r="K36" s="25"/>
      <c r="L36" s="42"/>
      <c r="M36" s="16"/>
    </row>
    <row r="37" spans="2:18" ht="15.75" x14ac:dyDescent="0.25">
      <c r="E37" s="97"/>
      <c r="F37" s="98"/>
      <c r="G37" s="99"/>
      <c r="H37" s="100"/>
      <c r="I37" s="100"/>
      <c r="K37" s="25"/>
      <c r="L37" s="42"/>
      <c r="M37" s="16"/>
    </row>
    <row r="38" spans="2:18" ht="15" x14ac:dyDescent="0.25">
      <c r="E38" s="104" t="s">
        <v>29</v>
      </c>
      <c r="F38" s="104"/>
      <c r="G38" s="104"/>
      <c r="H38" s="104"/>
      <c r="I38" s="104"/>
      <c r="K38" s="25"/>
      <c r="L38" s="42"/>
      <c r="M38" s="16"/>
    </row>
    <row r="39" spans="2:18" ht="15" x14ac:dyDescent="0.25">
      <c r="E39" s="10" t="s">
        <v>24</v>
      </c>
      <c r="F39" s="10" t="s">
        <v>15</v>
      </c>
      <c r="G39" s="11" t="s">
        <v>16</v>
      </c>
      <c r="H39" s="12" t="s">
        <v>30</v>
      </c>
      <c r="I39" s="13" t="s">
        <v>31</v>
      </c>
      <c r="K39" s="25"/>
      <c r="L39" s="42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75" x14ac:dyDescent="0.25">
      <c r="E41" s="18"/>
      <c r="F41" s="25"/>
      <c r="G41" s="26"/>
      <c r="H41" s="8"/>
      <c r="I41" s="8"/>
      <c r="K41" s="45"/>
      <c r="L41" s="42"/>
      <c r="M41" s="40"/>
    </row>
    <row r="42" spans="2:18" ht="15.75" x14ac:dyDescent="0.25">
      <c r="E42" s="18"/>
      <c r="F42" s="25"/>
      <c r="G42" s="26"/>
      <c r="H42" s="8"/>
      <c r="I42" s="8"/>
    </row>
    <row r="43" spans="2:18" ht="15.75" x14ac:dyDescent="0.25">
      <c r="E43" s="18"/>
      <c r="F43" s="25"/>
      <c r="G43" s="26"/>
      <c r="H43" s="8"/>
      <c r="I43" s="8"/>
    </row>
    <row r="44" spans="2:18" ht="15.75" x14ac:dyDescent="0.25">
      <c r="E44" s="18"/>
      <c r="F44" s="39"/>
      <c r="G44" s="26"/>
      <c r="H44" s="8"/>
      <c r="I44" s="8"/>
    </row>
    <row r="45" spans="2:18" ht="15.75" x14ac:dyDescent="0.25">
      <c r="E45" s="35"/>
      <c r="F45" s="36"/>
      <c r="G45" s="37"/>
      <c r="H45" s="17"/>
      <c r="I45" s="8"/>
    </row>
    <row r="46" spans="2:18" ht="15.75" x14ac:dyDescent="0.25">
      <c r="E46" s="44"/>
      <c r="F46" s="39"/>
      <c r="G46" s="26"/>
      <c r="H46" s="8"/>
      <c r="I46" s="8"/>
    </row>
  </sheetData>
  <mergeCells count="9">
    <mergeCell ref="E24:I24"/>
    <mergeCell ref="E38:I38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base!$A$2:$A$10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G40:G46 G29:G36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I40:I46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B1" zoomScale="80" zoomScaleNormal="80" workbookViewId="0">
      <selection activeCell="K24" sqref="K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45070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480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660</v>
      </c>
      <c r="D6" s="2"/>
      <c r="E6" s="18">
        <v>2731</v>
      </c>
      <c r="F6" s="25" t="s">
        <v>289</v>
      </c>
      <c r="G6" s="26" t="s">
        <v>9</v>
      </c>
      <c r="H6" s="56">
        <v>480</v>
      </c>
      <c r="I6" s="8">
        <v>480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2732</v>
      </c>
      <c r="F7" s="25" t="s">
        <v>290</v>
      </c>
      <c r="G7" s="68" t="s">
        <v>21</v>
      </c>
      <c r="H7" s="56">
        <v>0</v>
      </c>
      <c r="I7" s="56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22</v>
      </c>
      <c r="C8" s="29">
        <f>SUM(C6:C7)</f>
        <v>660</v>
      </c>
      <c r="D8" s="2"/>
      <c r="E8" s="18"/>
      <c r="F8" s="25"/>
      <c r="G8" s="68"/>
      <c r="H8" s="56"/>
      <c r="I8" s="56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57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57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57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IF(vend24[[#This Row],[Nº Venda]]&gt;1,1,0)</f>
        <v>0</v>
      </c>
    </row>
    <row r="14" spans="2:18" ht="15.75" x14ac:dyDescent="0.25">
      <c r="B14" s="30" t="s">
        <v>9</v>
      </c>
      <c r="C14" s="57">
        <f>(SUMIF($G$2:$G$31,B14,$I$2:$I$31))+(SUMIF($G$35:$G$41,B14,$H$35:$H$41))</f>
        <v>480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57">
        <f>(SUMIF($G$2:$G$31,B15,$I$2:$I$31))+(SUMIF($G$35:$G$41,B15,$H$35:$H$41))</f>
        <v>180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660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2680</v>
      </c>
      <c r="F26" s="25" t="s">
        <v>291</v>
      </c>
      <c r="G26" s="26" t="s">
        <v>10</v>
      </c>
      <c r="H26" s="8"/>
      <c r="I26" s="8">
        <v>130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2703</v>
      </c>
      <c r="F27" s="25" t="s">
        <v>292</v>
      </c>
      <c r="G27" s="26" t="s">
        <v>10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G10:G22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G35:G41 G30:G31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E26" sqref="E26: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45071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890</v>
      </c>
      <c r="D6" s="2"/>
      <c r="E6" s="18">
        <v>2733</v>
      </c>
      <c r="F6" s="25" t="s">
        <v>285</v>
      </c>
      <c r="G6" s="26" t="s">
        <v>21</v>
      </c>
      <c r="H6" s="56">
        <v>0</v>
      </c>
      <c r="I6" s="8">
        <v>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2734</v>
      </c>
      <c r="F7" s="25" t="s">
        <v>286</v>
      </c>
      <c r="G7" s="68" t="s">
        <v>6</v>
      </c>
      <c r="H7" s="56">
        <v>940</v>
      </c>
      <c r="I7" s="56">
        <v>500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22</v>
      </c>
      <c r="C8" s="29">
        <f>SUM(C6:C7)</f>
        <v>890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290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890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2651</v>
      </c>
      <c r="F26" s="25" t="s">
        <v>287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2702</v>
      </c>
      <c r="F27" s="25" t="s">
        <v>288</v>
      </c>
      <c r="G27" s="26" t="s">
        <v>9</v>
      </c>
      <c r="H27" s="8"/>
      <c r="I27" s="8">
        <v>290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G8:G22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G35:G41 G28:G31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L26" sqref="L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45072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182</v>
      </c>
      <c r="D6" s="2"/>
      <c r="E6" s="18">
        <v>2735</v>
      </c>
      <c r="F6" s="25" t="s">
        <v>293</v>
      </c>
      <c r="G6" s="26" t="s">
        <v>6</v>
      </c>
      <c r="H6" s="56">
        <v>1000</v>
      </c>
      <c r="I6" s="8">
        <v>100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68"/>
      <c r="H7" s="56"/>
      <c r="I7" s="56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22</v>
      </c>
      <c r="C8" s="29">
        <f>SUM(C6:C7)</f>
        <v>182</v>
      </c>
      <c r="D8" s="2"/>
      <c r="E8" s="18"/>
      <c r="F8" s="68"/>
      <c r="G8" s="68"/>
      <c r="H8" s="56"/>
      <c r="I8" s="56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68"/>
      <c r="G9" s="68"/>
      <c r="H9" s="56"/>
      <c r="I9" s="56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68"/>
      <c r="G10" s="68"/>
      <c r="H10" s="56"/>
      <c r="I10" s="56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68"/>
      <c r="G11" s="68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68"/>
      <c r="G12" s="68"/>
      <c r="H12" s="56"/>
      <c r="I12" s="56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2637</v>
      </c>
      <c r="F26" s="25" t="s">
        <v>294</v>
      </c>
      <c r="G26" s="26" t="s">
        <v>295</v>
      </c>
      <c r="H26" s="8"/>
      <c r="I26" s="8">
        <v>82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G35:G41 G29:G31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G14:G22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92-8D4A-45C2-9A3E-DC6979332D7C}">
  <dimension ref="B1:R43"/>
  <sheetViews>
    <sheetView showGridLines="0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45073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 t="s">
        <v>127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SUMIF(I6:I33,"&gt;0",H6:H33)</f>
        <v>11799.99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SUM(I6:I43)</f>
        <v>10033.99</v>
      </c>
      <c r="D6" s="2"/>
      <c r="E6" s="18">
        <v>2736</v>
      </c>
      <c r="F6" s="25" t="s">
        <v>296</v>
      </c>
      <c r="G6" s="26" t="s">
        <v>9</v>
      </c>
      <c r="H6" s="56">
        <v>750</v>
      </c>
      <c r="I6" s="8">
        <v>750</v>
      </c>
      <c r="J6" s="2"/>
      <c r="K6" s="25" t="s">
        <v>305</v>
      </c>
      <c r="L6" s="9" t="s">
        <v>6</v>
      </c>
      <c r="M6" s="16">
        <v>9.75</v>
      </c>
      <c r="R6" s="1">
        <f>IF(vend31171[[#This Row],[Nº Venda]]&gt;1,1,0)</f>
        <v>1</v>
      </c>
    </row>
    <row r="7" spans="2:18" ht="15.75" x14ac:dyDescent="0.25">
      <c r="B7" s="23" t="s">
        <v>3</v>
      </c>
      <c r="C7" s="24">
        <f>SUM(M6:M11)</f>
        <v>9.75</v>
      </c>
      <c r="D7" s="2"/>
      <c r="E7" s="18">
        <v>2737</v>
      </c>
      <c r="F7" s="25" t="s">
        <v>297</v>
      </c>
      <c r="G7" s="68" t="s">
        <v>9</v>
      </c>
      <c r="H7" s="56">
        <v>1270</v>
      </c>
      <c r="I7" s="56">
        <v>400</v>
      </c>
      <c r="J7" s="2"/>
      <c r="K7" s="25"/>
      <c r="L7" s="9"/>
      <c r="M7" s="16"/>
      <c r="R7" s="1">
        <f>IF(vend31171[[#This Row],[Nº Venda]]&gt;1,1,0)</f>
        <v>1</v>
      </c>
    </row>
    <row r="8" spans="2:18" ht="15.75" x14ac:dyDescent="0.25">
      <c r="B8" s="28" t="s">
        <v>22</v>
      </c>
      <c r="C8" s="29">
        <f>SUM(C6:C7)</f>
        <v>10043.74</v>
      </c>
      <c r="D8" s="2"/>
      <c r="E8" s="18">
        <v>2737</v>
      </c>
      <c r="F8" s="25" t="s">
        <v>297</v>
      </c>
      <c r="G8" s="26" t="s">
        <v>9</v>
      </c>
      <c r="H8" s="8"/>
      <c r="I8" s="8">
        <v>500</v>
      </c>
      <c r="J8" s="2"/>
      <c r="K8" s="25"/>
      <c r="L8" s="9"/>
      <c r="M8" s="16"/>
      <c r="R8" s="1">
        <f>IF(vend31171[[#This Row],[Nº Venda]]&gt;1,1,0)</f>
        <v>1</v>
      </c>
    </row>
    <row r="9" spans="2:18" ht="15.75" x14ac:dyDescent="0.25">
      <c r="B9" s="2"/>
      <c r="C9" s="2"/>
      <c r="D9" s="2"/>
      <c r="E9" s="18">
        <v>2737</v>
      </c>
      <c r="F9" s="25" t="s">
        <v>297</v>
      </c>
      <c r="G9" s="26" t="s">
        <v>9</v>
      </c>
      <c r="H9" s="8"/>
      <c r="I9" s="8">
        <v>370</v>
      </c>
      <c r="J9" s="2"/>
      <c r="K9" s="25"/>
      <c r="L9" s="9"/>
      <c r="M9" s="16"/>
      <c r="R9" s="1">
        <f>IF(vend31171[[#This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2738</v>
      </c>
      <c r="F10" s="25" t="s">
        <v>298</v>
      </c>
      <c r="G10" s="26" t="s">
        <v>9</v>
      </c>
      <c r="H10" s="8">
        <v>400</v>
      </c>
      <c r="I10" s="8">
        <v>400</v>
      </c>
      <c r="J10" s="2"/>
      <c r="K10" s="25"/>
      <c r="L10" s="9"/>
      <c r="M10" s="16"/>
      <c r="R10" s="1">
        <f>IF(vend31171[[#This Row],[Nº Venda]]&gt;1,1,0)</f>
        <v>1</v>
      </c>
    </row>
    <row r="11" spans="2:18" ht="15.75" x14ac:dyDescent="0.25">
      <c r="B11" s="30" t="s">
        <v>6</v>
      </c>
      <c r="C11" s="31">
        <f>(SUMIF($G$2:$G$33,B11,$I$2:$I$33))+(SUMIF($G$37:$G$43,B11,$H$37:$H$43))</f>
        <v>465</v>
      </c>
      <c r="D11" s="2"/>
      <c r="E11" s="18">
        <v>2740</v>
      </c>
      <c r="F11" s="25" t="s">
        <v>299</v>
      </c>
      <c r="G11" s="26" t="s">
        <v>9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IF(vend31171[[#This Row],[Nº Venda]]&gt;1,1,0)</f>
        <v>1</v>
      </c>
    </row>
    <row r="12" spans="2:18" ht="15.75" x14ac:dyDescent="0.25">
      <c r="B12" s="30" t="s">
        <v>7</v>
      </c>
      <c r="C12" s="31">
        <f>(SUMIF($G$2:$G$33,B12,$I$2:$I$33))+(SUMIF($G$37:$G$43,B12,$H$37:$H$43))</f>
        <v>200</v>
      </c>
      <c r="D12" s="2"/>
      <c r="E12" s="18">
        <v>2741</v>
      </c>
      <c r="F12" s="25" t="s">
        <v>300</v>
      </c>
      <c r="G12" s="26" t="s">
        <v>7</v>
      </c>
      <c r="H12" s="8">
        <v>3800</v>
      </c>
      <c r="I12" s="8">
        <v>100</v>
      </c>
      <c r="J12" s="2"/>
      <c r="R12" s="1">
        <f>IF(vend31171[[#This Row],[Nº Venda]]&gt;1,1,0)</f>
        <v>1</v>
      </c>
    </row>
    <row r="13" spans="2:18" ht="15.75" x14ac:dyDescent="0.25">
      <c r="B13" s="30" t="s">
        <v>8</v>
      </c>
      <c r="C13" s="31">
        <f>(SUMIF($G$2:$G$33,B13,$I$2:$I$33))+(SUMIF($G$37:$G$43,B13,$H$37:$H$43))</f>
        <v>0</v>
      </c>
      <c r="D13" s="2"/>
      <c r="E13" s="18">
        <v>2742</v>
      </c>
      <c r="F13" s="25" t="s">
        <v>301</v>
      </c>
      <c r="G13" s="26" t="s">
        <v>6</v>
      </c>
      <c r="H13" s="8">
        <v>900</v>
      </c>
      <c r="I13" s="8">
        <v>100</v>
      </c>
      <c r="J13" s="2"/>
      <c r="K13" s="105" t="s">
        <v>23</v>
      </c>
      <c r="L13" s="106"/>
      <c r="M13" s="107"/>
      <c r="R13" s="1">
        <f>IF(vend31171[[#This Row],[Nº Venda]]&gt;1,1,0)</f>
        <v>1</v>
      </c>
    </row>
    <row r="14" spans="2:18" ht="15.75" x14ac:dyDescent="0.25">
      <c r="B14" s="30" t="s">
        <v>9</v>
      </c>
      <c r="C14" s="31">
        <f>(SUMIF($G$2:$G$33,B14,$I$2:$I$33))+(SUMIF($G$37:$G$43,B14,$H$37:$H$43))</f>
        <v>8998.99</v>
      </c>
      <c r="D14" s="2"/>
      <c r="E14" s="18">
        <v>2743</v>
      </c>
      <c r="F14" s="25" t="s">
        <v>302</v>
      </c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IF(vend31171[[#This Row],[Nº Venda]]&gt;1,1,0)</f>
        <v>1</v>
      </c>
    </row>
    <row r="15" spans="2:18" ht="15.75" x14ac:dyDescent="0.25">
      <c r="B15" s="30" t="s">
        <v>10</v>
      </c>
      <c r="C15" s="31">
        <f>(SUMIF($G$2:$G$33,B15,$I$2:$I$33))+(SUMIF($G$37:$G$43,B15,$H$37:$H$43))</f>
        <v>370</v>
      </c>
      <c r="D15" s="2"/>
      <c r="E15" s="18">
        <v>2739</v>
      </c>
      <c r="F15" s="25" t="s">
        <v>303</v>
      </c>
      <c r="G15" s="26" t="s">
        <v>9</v>
      </c>
      <c r="H15" s="8">
        <v>3250</v>
      </c>
      <c r="I15" s="8">
        <v>2600</v>
      </c>
      <c r="J15" s="2"/>
      <c r="K15" s="25"/>
      <c r="L15" s="9"/>
      <c r="M15" s="16"/>
      <c r="R15" s="1">
        <f>IF(vend31171[[#This Row],[Nº Venda]]&gt;1,1,0)</f>
        <v>1</v>
      </c>
    </row>
    <row r="16" spans="2:18" ht="15.75" x14ac:dyDescent="0.25">
      <c r="B16" s="28" t="s">
        <v>11</v>
      </c>
      <c r="C16" s="32">
        <f>SUM(C11:C15)</f>
        <v>10033.99</v>
      </c>
      <c r="D16" s="2"/>
      <c r="E16" s="18">
        <v>2744</v>
      </c>
      <c r="F16" s="25" t="s">
        <v>304</v>
      </c>
      <c r="G16" s="26" t="s">
        <v>7</v>
      </c>
      <c r="H16" s="8">
        <v>1129.99</v>
      </c>
      <c r="I16" s="8">
        <v>100</v>
      </c>
      <c r="J16" s="2"/>
      <c r="K16" s="25"/>
      <c r="L16" s="9"/>
      <c r="M16" s="16"/>
      <c r="R16" s="1">
        <f>IF(vend31171[[#This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IF(vend31171[[#This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IF(vend31171[[#This Row],[Nº Venda]]&gt;1,1,0)</f>
        <v>0</v>
      </c>
    </row>
    <row r="19" spans="2:18" ht="15.75" x14ac:dyDescent="0.25">
      <c r="B19" s="30">
        <f>COUNT(entr_carn31176[OS])</f>
        <v>0</v>
      </c>
      <c r="C19" s="31">
        <f>SUM(entr_carn31176[Valor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IF(vend31171[[#This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IF(vend31171[[#This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11799.99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2708</v>
      </c>
      <c r="F26" s="25" t="s">
        <v>306</v>
      </c>
      <c r="G26" s="26" t="s">
        <v>9</v>
      </c>
      <c r="H26" s="8"/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2668</v>
      </c>
      <c r="F27" s="25" t="s">
        <v>180</v>
      </c>
      <c r="G27" s="26" t="s">
        <v>9</v>
      </c>
      <c r="H27" s="8"/>
      <c r="I27" s="8">
        <v>949.99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2668</v>
      </c>
      <c r="F28" s="25" t="s">
        <v>180</v>
      </c>
      <c r="G28" s="26" t="s">
        <v>6</v>
      </c>
      <c r="H28" s="8"/>
      <c r="I28" s="8">
        <v>150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2725</v>
      </c>
      <c r="F29" s="25" t="s">
        <v>307</v>
      </c>
      <c r="G29" s="26" t="s">
        <v>10</v>
      </c>
      <c r="H29" s="8"/>
      <c r="I29" s="8">
        <v>370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01">
        <v>2716</v>
      </c>
      <c r="F30" s="102" t="s">
        <v>308</v>
      </c>
      <c r="G30" s="95" t="s">
        <v>9</v>
      </c>
      <c r="H30" s="96"/>
      <c r="I30" s="96">
        <v>1050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101">
        <v>2681</v>
      </c>
      <c r="F31" s="102" t="s">
        <v>309</v>
      </c>
      <c r="G31" s="95" t="s">
        <v>6</v>
      </c>
      <c r="H31" s="96"/>
      <c r="I31" s="96">
        <v>215</v>
      </c>
      <c r="J31" s="2"/>
      <c r="K31" s="25"/>
      <c r="L31" s="9"/>
      <c r="M31" s="16"/>
    </row>
    <row r="32" spans="2:18" ht="15.75" x14ac:dyDescent="0.25">
      <c r="B32" s="2"/>
      <c r="C32" s="2"/>
      <c r="E32" s="18">
        <v>2690</v>
      </c>
      <c r="F32" s="39" t="s">
        <v>310</v>
      </c>
      <c r="G32" s="26" t="s">
        <v>9</v>
      </c>
      <c r="H32" s="8"/>
      <c r="I32" s="8">
        <v>1079</v>
      </c>
    </row>
    <row r="33" spans="2:18" ht="15.75" x14ac:dyDescent="0.25">
      <c r="B33" s="2"/>
      <c r="C33" s="2"/>
      <c r="E33" s="35"/>
      <c r="F33" s="36"/>
      <c r="G33" s="37"/>
      <c r="H33" s="17"/>
      <c r="I33" s="17"/>
      <c r="K33" s="105" t="s">
        <v>12</v>
      </c>
      <c r="L33" s="106"/>
      <c r="M33" s="107"/>
    </row>
    <row r="34" spans="2:18" ht="15" x14ac:dyDescent="0.25">
      <c r="E34" s="33"/>
      <c r="K34" s="14" t="s">
        <v>24</v>
      </c>
      <c r="L34" s="6" t="s">
        <v>32</v>
      </c>
      <c r="M34" s="15" t="s">
        <v>33</v>
      </c>
    </row>
    <row r="35" spans="2:18" ht="15" x14ac:dyDescent="0.25">
      <c r="E35" s="104" t="s">
        <v>29</v>
      </c>
      <c r="F35" s="104"/>
      <c r="G35" s="104"/>
      <c r="H35" s="104"/>
      <c r="I35" s="104"/>
      <c r="K35" s="25"/>
      <c r="L35" s="42"/>
      <c r="M35" s="16"/>
    </row>
    <row r="36" spans="2:18" ht="15" x14ac:dyDescent="0.25">
      <c r="E36" s="10" t="s">
        <v>24</v>
      </c>
      <c r="F36" s="10" t="s">
        <v>15</v>
      </c>
      <c r="G36" s="11" t="s">
        <v>16</v>
      </c>
      <c r="H36" s="12" t="s">
        <v>30</v>
      </c>
      <c r="I36" s="13" t="s">
        <v>31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3"/>
      <c r="M40" s="40"/>
      <c r="Q40" s="1" t="s">
        <v>34</v>
      </c>
      <c r="R40" s="1">
        <f>SUM(R6:R21)</f>
        <v>11</v>
      </c>
    </row>
    <row r="41" spans="2:18" ht="15.75" x14ac:dyDescent="0.25">
      <c r="E41" s="18"/>
      <c r="F41" s="39"/>
      <c r="G41" s="26"/>
      <c r="H41" s="8"/>
      <c r="I41" s="8"/>
      <c r="K41" s="45"/>
      <c r="L41" s="42"/>
      <c r="M41" s="40"/>
    </row>
    <row r="42" spans="2:18" ht="15.75" x14ac:dyDescent="0.25">
      <c r="E42" s="35"/>
      <c r="F42" s="36"/>
      <c r="G42" s="37"/>
      <c r="H42" s="17"/>
      <c r="I42" s="8"/>
    </row>
    <row r="43" spans="2:18" ht="15.75" x14ac:dyDescent="0.25">
      <c r="E43" s="44"/>
      <c r="F43" s="39"/>
      <c r="G43" s="26"/>
      <c r="H43" s="8"/>
      <c r="I43" s="8"/>
    </row>
  </sheetData>
  <mergeCells count="9"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49DF8CB-0505-481C-AF41-2240B541C2A8}">
      <formula1>"1,2,3,4,5,6,7,8,9,10"</formula1>
    </dataValidation>
    <dataValidation type="list" allowBlank="1" showInputMessage="1" showErrorMessage="1" sqref="M15:M31" xr:uid="{15C85B5A-9155-4575-A8F2-D3A15F934CB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2AC6C1-626C-455F-8608-FB4C5E0C2E7E}">
          <x14:formula1>
            <xm:f>base!$E$2:$E$79</xm:f>
          </x14:formula1>
          <xm:sqref>I37:I43</xm:sqref>
        </x14:dataValidation>
        <x14:dataValidation type="list" allowBlank="1" showInputMessage="1" showErrorMessage="1" xr:uid="{FD3DB8CA-3F82-4544-8A6A-4BE84FFE4831}">
          <x14:formula1>
            <xm:f>base!$A$2:$A$6</xm:f>
          </x14:formula1>
          <xm:sqref>G37:G43 G26:G33</xm:sqref>
        </x14:dataValidation>
        <x14:dataValidation type="list" allowBlank="1" showInputMessage="1" showErrorMessage="1" xr:uid="{EB71D89A-B1DA-4EB1-8505-D66A8BE2E67A}">
          <x14:formula1>
            <xm:f>base!$A$2:$A$9</xm:f>
          </x14:formula1>
          <xm:sqref>G8:G22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6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45074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56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74"/>
      <c r="H7" s="56"/>
      <c r="I7" s="56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74"/>
      <c r="G8" s="74"/>
      <c r="H8" s="56"/>
      <c r="I8" s="56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74"/>
      <c r="G9" s="74"/>
      <c r="H9" s="56"/>
      <c r="I9" s="56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68"/>
      <c r="G10" s="68"/>
      <c r="H10" s="56"/>
      <c r="I10" s="56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G11:G22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X10" sqref="X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45075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2257</v>
      </c>
      <c r="D6" s="2"/>
      <c r="E6" s="18">
        <v>2745</v>
      </c>
      <c r="F6" s="25" t="s">
        <v>311</v>
      </c>
      <c r="G6" s="26" t="s">
        <v>21</v>
      </c>
      <c r="H6" s="56">
        <v>0</v>
      </c>
      <c r="I6" s="8">
        <v>0</v>
      </c>
      <c r="J6" s="2"/>
      <c r="K6" s="25" t="s">
        <v>319</v>
      </c>
      <c r="L6" s="9" t="s">
        <v>7</v>
      </c>
      <c r="M6" s="16">
        <v>5</v>
      </c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9.2800000000000011</v>
      </c>
      <c r="D7" s="2"/>
      <c r="E7" s="18">
        <v>2746</v>
      </c>
      <c r="F7" s="25" t="s">
        <v>312</v>
      </c>
      <c r="G7" s="26" t="s">
        <v>9</v>
      </c>
      <c r="H7" s="8">
        <v>699</v>
      </c>
      <c r="I7" s="8">
        <v>699</v>
      </c>
      <c r="J7" s="2"/>
      <c r="K7" s="25" t="s">
        <v>320</v>
      </c>
      <c r="L7" s="9" t="s">
        <v>7</v>
      </c>
      <c r="M7" s="16">
        <v>4.28</v>
      </c>
      <c r="R7" s="1">
        <f>IF(vend29[[#This Row],[Nº Venda]]&gt;1,1,0)</f>
        <v>1</v>
      </c>
    </row>
    <row r="8" spans="2:18" ht="15.75" x14ac:dyDescent="0.25">
      <c r="B8" s="28" t="s">
        <v>22</v>
      </c>
      <c r="C8" s="29">
        <f>SUM(C6:C7)</f>
        <v>2266.2800000000002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1199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676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2257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2691</v>
      </c>
      <c r="F26" s="25" t="s">
        <v>314</v>
      </c>
      <c r="G26" s="26" t="s">
        <v>7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 t="s">
        <v>313</v>
      </c>
      <c r="F27" s="25" t="s">
        <v>315</v>
      </c>
      <c r="G27" s="26" t="s">
        <v>9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2722</v>
      </c>
      <c r="F28" s="25" t="s">
        <v>316</v>
      </c>
      <c r="G28" s="26" t="s">
        <v>10</v>
      </c>
      <c r="H28" s="8"/>
      <c r="I28" s="8">
        <v>600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2233</v>
      </c>
      <c r="F29" s="25" t="s">
        <v>317</v>
      </c>
      <c r="G29" s="26" t="s">
        <v>10</v>
      </c>
      <c r="H29" s="8"/>
      <c r="I29" s="8">
        <v>76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2418</v>
      </c>
      <c r="F30" s="39" t="s">
        <v>318</v>
      </c>
      <c r="G30" s="26" t="s">
        <v>6</v>
      </c>
      <c r="H30" s="8"/>
      <c r="I30" s="8">
        <v>82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G7:G22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45076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536.5</v>
      </c>
      <c r="D6" s="2"/>
      <c r="E6" s="18">
        <v>2747</v>
      </c>
      <c r="F6" s="25" t="s">
        <v>321</v>
      </c>
      <c r="G6" s="26" t="s">
        <v>6</v>
      </c>
      <c r="H6" s="56">
        <v>400</v>
      </c>
      <c r="I6" s="8">
        <v>200</v>
      </c>
      <c r="J6" s="2"/>
      <c r="K6" s="18" t="s">
        <v>324</v>
      </c>
      <c r="L6" s="25" t="s">
        <v>6</v>
      </c>
      <c r="M6" s="26">
        <v>20</v>
      </c>
      <c r="N6" s="8"/>
      <c r="O6" s="8">
        <v>250</v>
      </c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/>
      <c r="F7" s="25"/>
      <c r="G7" s="74"/>
      <c r="H7" s="56"/>
      <c r="I7" s="84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22</v>
      </c>
      <c r="C8" s="29">
        <v>556.5</v>
      </c>
      <c r="D8" s="2"/>
      <c r="E8" s="18"/>
      <c r="F8" s="74"/>
      <c r="G8" s="74"/>
      <c r="H8" s="56"/>
      <c r="I8" s="56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74"/>
      <c r="G9" s="74"/>
      <c r="H9" s="56"/>
      <c r="I9" s="56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18"/>
      <c r="F10" s="74"/>
      <c r="G10" s="68"/>
      <c r="H10" s="56"/>
      <c r="I10" s="56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330</v>
      </c>
      <c r="D11" s="2"/>
      <c r="E11" s="18"/>
      <c r="F11" s="74"/>
      <c r="G11" s="74"/>
      <c r="H11" s="56"/>
      <c r="I11" s="56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74"/>
      <c r="G12" s="74"/>
      <c r="H12" s="56"/>
      <c r="I12" s="56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206.5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536.5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2044</v>
      </c>
      <c r="F26" s="25" t="s">
        <v>323</v>
      </c>
      <c r="G26" s="26" t="s">
        <v>10</v>
      </c>
      <c r="H26" s="8"/>
      <c r="I26" s="8">
        <v>206.5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2700</v>
      </c>
      <c r="F27" s="25" t="s">
        <v>322</v>
      </c>
      <c r="G27" s="26" t="s">
        <v>6</v>
      </c>
      <c r="H27" s="8"/>
      <c r="I27" s="8">
        <v>130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G35:G41 G27:G31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G13:G22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K24" sqref="K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140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45077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5" x14ac:dyDescent="0.25">
      <c r="B5" s="23" t="s">
        <v>1</v>
      </c>
      <c r="C5" s="24">
        <f>SUMIF(I6:I31,"&gt;0",H6:H31)</f>
        <v>3220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1584</v>
      </c>
      <c r="D6" s="2"/>
      <c r="E6" s="18">
        <v>2748</v>
      </c>
      <c r="F6" s="25" t="s">
        <v>325</v>
      </c>
      <c r="G6" s="26" t="s">
        <v>21</v>
      </c>
      <c r="H6" s="8">
        <v>500</v>
      </c>
      <c r="I6" s="8">
        <v>250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2749</v>
      </c>
      <c r="F7" s="25" t="s">
        <v>326</v>
      </c>
      <c r="G7" s="26" t="s">
        <v>10</v>
      </c>
      <c r="H7" s="8">
        <v>295</v>
      </c>
      <c r="I7" s="8">
        <v>295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22</v>
      </c>
      <c r="C8" s="29">
        <f>SUM(C6:C7)</f>
        <v>1584</v>
      </c>
      <c r="D8" s="2"/>
      <c r="E8" s="18">
        <v>2750</v>
      </c>
      <c r="F8" s="25" t="s">
        <v>327</v>
      </c>
      <c r="G8" s="26" t="s">
        <v>9</v>
      </c>
      <c r="H8" s="8">
        <v>550</v>
      </c>
      <c r="I8" s="8">
        <v>550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2751</v>
      </c>
      <c r="F9" s="25" t="s">
        <v>328</v>
      </c>
      <c r="G9" s="26" t="s">
        <v>6</v>
      </c>
      <c r="H9" s="8">
        <v>500</v>
      </c>
      <c r="I9" s="8">
        <v>19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103" t="s">
        <v>5</v>
      </c>
      <c r="C10" s="103"/>
      <c r="D10" s="2"/>
      <c r="E10" s="18">
        <v>2752</v>
      </c>
      <c r="F10" s="25" t="s">
        <v>329</v>
      </c>
      <c r="G10" s="26" t="s">
        <v>10</v>
      </c>
      <c r="H10" s="8">
        <v>1100</v>
      </c>
      <c r="I10" s="8">
        <v>300</v>
      </c>
      <c r="J10" s="2"/>
      <c r="K10" s="25"/>
      <c r="L10" s="9"/>
      <c r="M10" s="1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19</v>
      </c>
      <c r="D11" s="2"/>
      <c r="E11" s="18">
        <v>2753</v>
      </c>
      <c r="F11" s="25" t="s">
        <v>330</v>
      </c>
      <c r="G11" s="26" t="s">
        <v>10</v>
      </c>
      <c r="H11" s="8">
        <v>275</v>
      </c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23</v>
      </c>
      <c r="L13" s="106"/>
      <c r="M13" s="107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550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765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1334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3220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4" t="s">
        <v>28</v>
      </c>
      <c r="F24" s="104"/>
      <c r="G24" s="104"/>
      <c r="H24" s="104"/>
      <c r="I24" s="10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2675</v>
      </c>
      <c r="F26" s="25" t="s">
        <v>331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4" t="s">
        <v>29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B11" sqref="B11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39</v>
      </c>
      <c r="B1" s="38" t="s">
        <v>40</v>
      </c>
      <c r="E1" s="38" t="s">
        <v>41</v>
      </c>
    </row>
    <row r="2" spans="1:5" x14ac:dyDescent="0.2">
      <c r="A2" s="38" t="s">
        <v>6</v>
      </c>
      <c r="B2" s="38" t="s">
        <v>42</v>
      </c>
      <c r="E2" t="s">
        <v>43</v>
      </c>
    </row>
    <row r="3" spans="1:5" x14ac:dyDescent="0.2">
      <c r="A3" s="38" t="s">
        <v>7</v>
      </c>
      <c r="B3" s="38" t="s">
        <v>44</v>
      </c>
      <c r="E3" t="s">
        <v>45</v>
      </c>
    </row>
    <row r="4" spans="1:5" x14ac:dyDescent="0.2">
      <c r="A4" s="38" t="s">
        <v>8</v>
      </c>
      <c r="B4" s="38" t="s">
        <v>46</v>
      </c>
      <c r="E4" t="s">
        <v>47</v>
      </c>
    </row>
    <row r="5" spans="1:5" x14ac:dyDescent="0.2">
      <c r="A5" s="38" t="s">
        <v>9</v>
      </c>
      <c r="B5" s="38" t="s">
        <v>48</v>
      </c>
      <c r="E5" t="s">
        <v>49</v>
      </c>
    </row>
    <row r="6" spans="1:5" x14ac:dyDescent="0.2">
      <c r="A6" s="38" t="s">
        <v>10</v>
      </c>
      <c r="B6" s="38" t="s">
        <v>10</v>
      </c>
      <c r="E6" t="s">
        <v>50</v>
      </c>
    </row>
    <row r="7" spans="1:5" x14ac:dyDescent="0.2">
      <c r="A7" s="38" t="s">
        <v>21</v>
      </c>
      <c r="B7" s="38" t="s">
        <v>51</v>
      </c>
      <c r="E7" t="s">
        <v>52</v>
      </c>
    </row>
    <row r="8" spans="1:5" x14ac:dyDescent="0.2">
      <c r="A8" t="s">
        <v>26</v>
      </c>
      <c r="B8" t="s">
        <v>53</v>
      </c>
      <c r="E8" t="s">
        <v>54</v>
      </c>
    </row>
    <row r="9" spans="1:5" x14ac:dyDescent="0.2">
      <c r="A9" s="38" t="s">
        <v>55</v>
      </c>
      <c r="B9" s="38" t="s">
        <v>56</v>
      </c>
      <c r="E9" t="s">
        <v>57</v>
      </c>
    </row>
    <row r="10" spans="1:5" x14ac:dyDescent="0.2">
      <c r="A10" t="s">
        <v>125</v>
      </c>
      <c r="B10" t="s">
        <v>126</v>
      </c>
      <c r="E10" t="s">
        <v>58</v>
      </c>
    </row>
    <row r="11" spans="1:5" x14ac:dyDescent="0.2">
      <c r="E11" t="s">
        <v>59</v>
      </c>
    </row>
    <row r="12" spans="1:5" x14ac:dyDescent="0.2">
      <c r="E12" t="s">
        <v>60</v>
      </c>
    </row>
    <row r="13" spans="1:5" x14ac:dyDescent="0.2">
      <c r="E13" t="s">
        <v>36</v>
      </c>
    </row>
    <row r="14" spans="1:5" x14ac:dyDescent="0.2">
      <c r="E14" t="s">
        <v>38</v>
      </c>
    </row>
    <row r="15" spans="1:5" x14ac:dyDescent="0.2">
      <c r="E15" t="s">
        <v>61</v>
      </c>
    </row>
    <row r="16" spans="1:5" x14ac:dyDescent="0.2">
      <c r="E16" t="s">
        <v>62</v>
      </c>
    </row>
    <row r="17" spans="5:5" x14ac:dyDescent="0.2">
      <c r="E17" t="s">
        <v>63</v>
      </c>
    </row>
    <row r="18" spans="5:5" x14ac:dyDescent="0.2">
      <c r="E18" t="s">
        <v>64</v>
      </c>
    </row>
    <row r="19" spans="5:5" x14ac:dyDescent="0.2">
      <c r="E19" t="s">
        <v>65</v>
      </c>
    </row>
    <row r="20" spans="5:5" x14ac:dyDescent="0.2">
      <c r="E20" t="s">
        <v>66</v>
      </c>
    </row>
    <row r="21" spans="5:5" x14ac:dyDescent="0.2">
      <c r="E21" t="s">
        <v>67</v>
      </c>
    </row>
    <row r="22" spans="5:5" x14ac:dyDescent="0.2">
      <c r="E22" t="s">
        <v>68</v>
      </c>
    </row>
    <row r="23" spans="5:5" x14ac:dyDescent="0.2">
      <c r="E23" t="s">
        <v>69</v>
      </c>
    </row>
    <row r="24" spans="5:5" x14ac:dyDescent="0.2">
      <c r="E24" t="s">
        <v>70</v>
      </c>
    </row>
    <row r="25" spans="5:5" x14ac:dyDescent="0.2">
      <c r="E25" t="s">
        <v>71</v>
      </c>
    </row>
    <row r="26" spans="5:5" x14ac:dyDescent="0.2">
      <c r="E26" t="s">
        <v>72</v>
      </c>
    </row>
    <row r="27" spans="5:5" x14ac:dyDescent="0.2">
      <c r="E27" t="s">
        <v>37</v>
      </c>
    </row>
    <row r="28" spans="5:5" x14ac:dyDescent="0.2">
      <c r="E28" t="s">
        <v>73</v>
      </c>
    </row>
    <row r="29" spans="5:5" x14ac:dyDescent="0.2">
      <c r="E29" t="s">
        <v>74</v>
      </c>
    </row>
    <row r="30" spans="5:5" x14ac:dyDescent="0.2">
      <c r="E30" t="s">
        <v>75</v>
      </c>
    </row>
    <row r="31" spans="5:5" x14ac:dyDescent="0.2">
      <c r="E31" t="s">
        <v>76</v>
      </c>
    </row>
    <row r="32" spans="5:5" x14ac:dyDescent="0.2">
      <c r="E32" t="s">
        <v>77</v>
      </c>
    </row>
    <row r="33" spans="5:5" x14ac:dyDescent="0.2">
      <c r="E33" t="s">
        <v>78</v>
      </c>
    </row>
    <row r="34" spans="5:5" x14ac:dyDescent="0.2">
      <c r="E34" t="s">
        <v>79</v>
      </c>
    </row>
    <row r="35" spans="5:5" x14ac:dyDescent="0.2">
      <c r="E35" t="s">
        <v>80</v>
      </c>
    </row>
    <row r="36" spans="5:5" x14ac:dyDescent="0.2">
      <c r="E36" t="s">
        <v>81</v>
      </c>
    </row>
    <row r="37" spans="5:5" x14ac:dyDescent="0.2">
      <c r="E37" t="s">
        <v>82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Kayllaine DCL</cp:lastModifiedBy>
  <cp:revision/>
  <cp:lastPrinted>2023-08-31T13:25:47Z</cp:lastPrinted>
  <dcterms:created xsi:type="dcterms:W3CDTF">2004-04-07T20:43:43Z</dcterms:created>
  <dcterms:modified xsi:type="dcterms:W3CDTF">2024-04-05T18:50:25Z</dcterms:modified>
  <cp:category/>
  <cp:contentStatus/>
</cp:coreProperties>
</file>