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comments1.xml" ContentType="application/vnd.openxmlformats-officedocument.spreadsheetml.comments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RIO_PEQUENO/CAIXA/"/>
    </mc:Choice>
  </mc:AlternateContent>
  <xr:revisionPtr revIDLastSave="552" documentId="8_{A04863FD-99A3-4C80-A5AC-7ED4539B7B53}" xr6:coauthVersionLast="47" xr6:coauthVersionMax="47" xr10:uidLastSave="{8E2460FF-CB14-4D37-A2F2-D503B307B432}"/>
  <bookViews>
    <workbookView xWindow="-120" yWindow="-120" windowWidth="20730" windowHeight="11160" tabRatio="895" firstSheet="7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  <definedName name="_xlnm.Print_Area" localSheetId="31">'31'!$A$1:$M$41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90" l="1"/>
  <c r="C14" i="190"/>
  <c r="C13" i="190"/>
  <c r="C12" i="190"/>
  <c r="C15" i="191"/>
  <c r="C14" i="191"/>
  <c r="C13" i="191"/>
  <c r="C12" i="191"/>
  <c r="C15" i="188"/>
  <c r="C14" i="188"/>
  <c r="C13" i="188"/>
  <c r="C12" i="188"/>
  <c r="C15" i="193"/>
  <c r="C14" i="193"/>
  <c r="C13" i="193"/>
  <c r="C12" i="193"/>
  <c r="C15" i="195"/>
  <c r="C14" i="195"/>
  <c r="C13" i="195"/>
  <c r="C12" i="195"/>
  <c r="C11" i="195"/>
  <c r="C12" i="170"/>
  <c r="C13" i="170"/>
  <c r="C14" i="170"/>
  <c r="C15" i="170"/>
  <c r="C11" i="170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8" i="174" s="1"/>
  <c r="C6" i="173"/>
  <c r="C6" i="172"/>
  <c r="C8" i="172" s="1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GTN Holding</author>
  </authors>
  <commentList>
    <comment ref="E8" authorId="0" shapeId="0" xr:uid="{A93C4B32-6F93-4F7D-8CE5-975310B3B48A}">
      <text>
        <r>
          <rPr>
            <b/>
            <sz val="9"/>
            <color indexed="81"/>
            <rFont val="Segoe UI"/>
            <family val="2"/>
          </rPr>
          <t>GTN Holding:</t>
        </r>
        <r>
          <rPr>
            <sz val="9"/>
            <color indexed="81"/>
            <rFont val="Segoe UI"/>
            <family val="2"/>
          </rPr>
          <t xml:space="preserve">
OS CANCELADA - ref. 11/12/2024
&gt; Valor da venda: R$ 555,00
Sinal: R$ 10,00
ESTORNO JÁ REALIZADO ✅</t>
        </r>
      </text>
    </comment>
  </commentList>
</comments>
</file>

<file path=xl/sharedStrings.xml><?xml version="1.0" encoding="utf-8"?>
<sst xmlns="http://schemas.openxmlformats.org/spreadsheetml/2006/main" count="1814" uniqueCount="214">
  <si>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</si>
  <si>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</si>
  <si>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</si>
  <si>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</si>
  <si>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</si>
  <si>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</si>
  <si>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</si>
  <si>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</si>
  <si>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</si>
  <si>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</si>
  <si>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</si>
  <si>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</si>
  <si>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</si>
  <si>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</si>
  <si>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</si>
  <si>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</si>
  <si>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</si>
  <si>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</si>
  <si>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</si>
  <si>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</si>
  <si>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</si>
  <si>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</si>
  <si>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</si>
  <si>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</si>
  <si>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</si>
  <si>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</si>
  <si>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</si>
  <si>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</si>
  <si>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</si>
  <si>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</si>
  <si>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</si>
  <si>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</si>
  <si>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</si>
  <si>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</si>
  <si>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</si>
  <si>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</si>
  <si>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</si>
  <si>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</si>
  <si>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</si>
  <si>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</si>
  <si>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</si>
  <si>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</si>
  <si>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</si>
  <si>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</si>
  <si>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</si>
  <si>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</si>
  <si>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</si>
  <si>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</si>
  <si>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</si>
  <si>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</si>
  <si>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</si>
  <si>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</si>
  <si>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</si>
  <si>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</si>
  <si>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</si>
  <si>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</si>
  <si>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</si>
  <si>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</si>
  <si>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</si>
  <si>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</si>
  <si>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</si>
  <si>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</si>
  <si>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</si>
  <si>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</si>
  <si>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</si>
  <si>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</si>
  <si>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</si>
  <si>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</si>
  <si>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</si>
  <si>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</si>
  <si>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</si>
  <si>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</si>
  <si>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</si>
  <si>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</si>
  <si>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</si>
  <si>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</si>
  <si>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</si>
  <si>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</si>
  <si>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</si>
  <si>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</si>
  <si>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</si>
  <si>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</si>
  <si>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</si>
  <si>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</si>
  <si>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</si>
  <si>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</si>
  <si>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</si>
  <si>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</si>
  <si>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</si>
  <si>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</si>
  <si>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</si>
  <si>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</si>
  <si>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</si>
  <si>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</si>
  <si>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</si>
  <si>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</si>
  <si>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</si>
  <si>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</si>
  <si>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</si>
  <si>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</si>
  <si>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</si>
  <si>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</si>
  <si>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</si>
  <si>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</si>
  <si>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</si>
  <si>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</si>
  <si>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</si>
  <si>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</si>
  <si>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</si>
  <si>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</si>
  <si>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</si>
  <si>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</si>
  <si>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</si>
  <si>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</si>
  <si>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</si>
  <si>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</si>
  <si>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</si>
  <si>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</si>
  <si>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</si>
  <si>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</si>
  <si>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</si>
  <si>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</si>
  <si>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</si>
  <si>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</si>
  <si>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</si>
  <si>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</si>
  <si>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</si>
  <si>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</si>
  <si>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</si>
  <si>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</si>
  <si>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</si>
  <si>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</si>
  <si>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</si>
  <si>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</si>
  <si>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</si>
  <si>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</si>
  <si>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</si>
  <si>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</si>
  <si>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</si>
  <si>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</si>
  <si>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</si>
  <si>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ROSEMEIRE CAMPOS</t>
  </si>
  <si>
    <t>RAQUEL MARIA DOS SANTOS</t>
  </si>
  <si>
    <t>Não</t>
  </si>
  <si>
    <t xml:space="preserve">CARMEM LUCIA </t>
  </si>
  <si>
    <t>MARIA OCILIA</t>
  </si>
  <si>
    <t>RAQUEL MARIA</t>
  </si>
  <si>
    <t>BENEDITA FATIMA</t>
  </si>
  <si>
    <t xml:space="preserve">                 </t>
  </si>
  <si>
    <t>REUSLI CALADO</t>
  </si>
  <si>
    <t>N</t>
  </si>
  <si>
    <t>S</t>
  </si>
  <si>
    <t>LAERCIO DE MELO</t>
  </si>
  <si>
    <t>EDENIZE AMORIM</t>
  </si>
  <si>
    <t>GENESIO DOS SANTOS</t>
  </si>
  <si>
    <t>EDINALVA B.DE ALMEIDA</t>
  </si>
  <si>
    <t>Coluna1</t>
  </si>
  <si>
    <t xml:space="preserve">jose milton </t>
  </si>
  <si>
    <t>ROSANGELA BASTOS</t>
  </si>
  <si>
    <t xml:space="preserve">JOAQUIM ANDRE </t>
  </si>
  <si>
    <t xml:space="preserve">CAMILA DE OLIVEIRA </t>
  </si>
  <si>
    <t>CARMEM LUCIA DE LIMA</t>
  </si>
  <si>
    <t>PEDRO ANTONIO</t>
  </si>
  <si>
    <t xml:space="preserve">VERA LUCIA </t>
  </si>
  <si>
    <t>MARIA RAIMUNDA</t>
  </si>
  <si>
    <t>GRACE KELLY</t>
  </si>
  <si>
    <t>ANTONIO CARLOS</t>
  </si>
  <si>
    <t>CRISTINA F, DE BRITO</t>
  </si>
  <si>
    <t>Sim</t>
  </si>
  <si>
    <t>JOSE PEDRO JUNIOR</t>
  </si>
  <si>
    <t>SAMIRA OLIVEIRA</t>
  </si>
  <si>
    <t>MARILENE LOURENÇO</t>
  </si>
  <si>
    <t xml:space="preserve">LAERCIO MELO </t>
  </si>
  <si>
    <t>MARTA ALVES DA SILVA</t>
  </si>
  <si>
    <t>EDUARDO B. CARVALHO</t>
  </si>
  <si>
    <t>MARIA DE FATIMA</t>
  </si>
  <si>
    <t>WALTER SOARES</t>
  </si>
  <si>
    <t>DANIELA SANTOS DA SILVA</t>
  </si>
  <si>
    <t>HERCILIA COSTA</t>
  </si>
  <si>
    <t>ADRIANO PEREIRA LEITE</t>
  </si>
  <si>
    <t>AGUA</t>
  </si>
  <si>
    <t>PAPEL HIGIENICO</t>
  </si>
  <si>
    <t>VITOR SIMPHORONIO</t>
  </si>
  <si>
    <t>TADEU MELO</t>
  </si>
  <si>
    <t>CAMILA DE OLIVEIRA</t>
  </si>
  <si>
    <t xml:space="preserve">HELIA FERREIRA </t>
  </si>
  <si>
    <t xml:space="preserve">TATIANE OLIVEIRA </t>
  </si>
  <si>
    <t>MARIA APARECIDA SILVA</t>
  </si>
  <si>
    <t>MARIA GUADALUPE</t>
  </si>
  <si>
    <t>CRISTINA FERREIRA</t>
  </si>
  <si>
    <t>RAIMUNDO NONATO</t>
  </si>
  <si>
    <t xml:space="preserve">ROSANGELA BASTOS </t>
  </si>
  <si>
    <t xml:space="preserve">RAIMUNDO NONATO </t>
  </si>
  <si>
    <t>ADRIANO LEITE</t>
  </si>
  <si>
    <t>NATHALIA FERREIRA LIMA</t>
  </si>
  <si>
    <t xml:space="preserve">REUSLI DE FATIMA </t>
  </si>
  <si>
    <t xml:space="preserve">NEUSA GOMES </t>
  </si>
  <si>
    <t>EDINALVA B. CAVALCANTE</t>
  </si>
  <si>
    <t>EDUARDO B. DE CARVALHO</t>
  </si>
  <si>
    <t xml:space="preserve">           </t>
  </si>
  <si>
    <t xml:space="preserve">NORIVAL A. DOS SANTOS </t>
  </si>
  <si>
    <t xml:space="preserve">   </t>
  </si>
  <si>
    <t xml:space="preserve">    </t>
  </si>
  <si>
    <t xml:space="preserve">     </t>
  </si>
  <si>
    <t xml:space="preserve">  </t>
  </si>
  <si>
    <t xml:space="preserve">       </t>
  </si>
  <si>
    <t>ELIETE GOMES MARQUES</t>
  </si>
  <si>
    <t>JOAQUINA PINHEIRO</t>
  </si>
  <si>
    <t>BENEDITA DANTAS</t>
  </si>
  <si>
    <t>IRANILDES DE JESUS</t>
  </si>
  <si>
    <t>HELLEN APARECIDA DE MORAES</t>
  </si>
  <si>
    <t>RUTH COSTA ASSUNÇÃO</t>
  </si>
  <si>
    <t>SIMONE RAMOS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</si>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</sst>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</font>
    <font>
      <sz val="11"/>
      <name val="Calibri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sz val="12"/>
      <name val="Arial"/>
    </font>
    <font>
      <b/>
      <strike/>
      <sz val="12"/>
      <name val="Arial"/>
      <family val="2"/>
    </font>
    <font>
      <b/>
      <strike/>
      <sz val="11"/>
      <name val="Calibri"/>
      <family val="2"/>
    </font>
    <font>
      <b/>
      <strike/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7" fillId="0" borderId="6" xfId="0" applyNumberFormat="1" applyFont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65" fontId="37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9" fillId="0" borderId="3" xfId="2" applyFont="1" applyFill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1" fillId="0" borderId="13" xfId="39" applyFont="1" applyFill="1" applyBorder="1" applyAlignment="1">
      <alignment horizontal="center"/>
    </xf>
    <xf numFmtId="165" fontId="41" fillId="0" borderId="13" xfId="4" applyNumberFormat="1" applyFont="1" applyFill="1" applyBorder="1" applyAlignment="1">
      <alignment horizontal="center"/>
    </xf>
    <xf numFmtId="14" fontId="42" fillId="0" borderId="0" xfId="0" applyNumberFormat="1" applyFont="1" applyAlignment="1">
      <alignment horizontal="center"/>
    </xf>
    <xf numFmtId="164" fontId="35" fillId="0" borderId="13" xfId="2" applyFont="1" applyFill="1" applyBorder="1" applyAlignment="1">
      <alignment horizontal="center"/>
    </xf>
    <xf numFmtId="164" fontId="37" fillId="0" borderId="13" xfId="2" applyFont="1" applyFill="1" applyBorder="1" applyAlignment="1">
      <alignment horizontal="center"/>
    </xf>
    <xf numFmtId="165" fontId="37" fillId="0" borderId="13" xfId="4" applyNumberFormat="1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45" fillId="0" borderId="3" xfId="0" applyFont="1" applyBorder="1" applyAlignment="1">
      <alignment horizontal="center"/>
    </xf>
    <xf numFmtId="164" fontId="45" fillId="0" borderId="3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43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65" fontId="40" fillId="5" borderId="18" xfId="0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1" fontId="46" fillId="0" borderId="17" xfId="0" applyNumberFormat="1" applyFont="1" applyBorder="1" applyAlignment="1">
      <alignment horizontal="center"/>
    </xf>
    <xf numFmtId="0" fontId="47" fillId="0" borderId="17" xfId="0" applyFont="1" applyBorder="1" applyAlignment="1">
      <alignment horizontal="center"/>
    </xf>
    <xf numFmtId="164" fontId="48" fillId="0" borderId="17" xfId="2" applyFont="1" applyFill="1" applyBorder="1" applyAlignment="1">
      <alignment horizontal="center"/>
    </xf>
    <xf numFmtId="165" fontId="48" fillId="0" borderId="17" xfId="4" applyNumberFormat="1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1" headerRowBorderDxfId="1640" tableBorderDxfId="1639" totalsRowBorderDxfId="1638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7" dataCellStyle="Moeda"/>
    <tableColumn id="5" xr3:uid="{45BECD08-8ABE-4A34-BD78-E2D3AFB8C62A}" name="Cliente" dataDxfId="1636" dataCellStyle="Moeda"/>
    <tableColumn id="2" xr3:uid="{A0D6666C-9CF7-4343-AF6B-BDFE62F94469}" name="Forma de Pgto" dataDxfId="1635" dataCellStyle="Moeda"/>
    <tableColumn id="3" xr3:uid="{988F127F-9D83-4428-BB94-C16FBBB1BD89}" name="Valor Venda" dataDxfId="1634" dataCellStyle="Porcentagem"/>
    <tableColumn id="4" xr3:uid="{6A2928C3-17B0-4FA3-B60C-9E1A2C0324E1}" name="Entrada" dataDxfId="1633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32" dataDxfId="1630" headerRowBorderDxfId="1631" tableBorderDxfId="1629" totalsRowBorderDxfId="1628">
  <autoFilter ref="K5:M11" xr:uid="{DD403130-B35C-452C-92F9-290622D77A3D}"/>
  <tableColumns count="3">
    <tableColumn id="1" xr3:uid="{FAD87634-3375-4B41-BEC0-5B072F6B52CE}" name="Descrição" dataDxfId="1627"/>
    <tableColumn id="2" xr3:uid="{7688071E-9548-4552-8BB1-3BA5128DF645}" name="Tipo de Pagto" dataDxfId="1626"/>
    <tableColumn id="3" xr3:uid="{2B260C33-79A5-4C5D-9195-15780C53A861}" name="Valor" dataDxfId="16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4" headerRowBorderDxfId="1623" tableBorderDxfId="1622" totalsRowBorderDxfId="1621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20"/>
    <tableColumn id="2" xr3:uid="{606BE417-6802-4580-90D2-86F95EFAAEB7}" name="Cliente" dataDxfId="1619"/>
    <tableColumn id="3" xr3:uid="{2F522A54-F708-4DA3-97E3-CE7C29912E04}" name="Forma de Pgto" dataDxfId="1618" dataCellStyle="Moeda"/>
    <tableColumn id="4" xr3:uid="{7B46EE64-F7F1-4449-A783-67286A94A7C4}" name="Valor Venda" dataDxfId="1617" dataCellStyle="Porcentagem"/>
    <tableColumn id="5" xr3:uid="{389A7D1A-3C35-485E-9958-8A78EF77BE9B}" name="Entrada" dataDxfId="1616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15" headerRowBorderDxfId="1614" tableBorderDxfId="1613" totalsRowBorderDxfId="1612">
  <autoFilter ref="K14:M31" xr:uid="{F07D43AD-1A4D-4B31-96B8-824F8623E518}"/>
  <tableColumns count="3">
    <tableColumn id="1" xr3:uid="{3AF01421-A7B6-4D23-9DA8-C20FAFAFDD9C}" name="OS" dataDxfId="1611"/>
    <tableColumn id="2" xr3:uid="{55DCC30E-EB52-427E-A16A-B2C93A41F1CE}" name="Vendedor" dataDxfId="1610"/>
    <tableColumn id="3" xr3:uid="{23EDA46C-42B4-4F6C-97D9-7040D6B9797C}" name="CARNE" dataDxfId="160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08" headerRowBorderDxfId="1607" tableBorderDxfId="1606" totalsRowBorderDxfId="160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4"/>
    <tableColumn id="2" xr3:uid="{FBA6EA78-F44B-4D22-A27A-92A91C10551F}" name="Cliente" dataDxfId="1603"/>
    <tableColumn id="3" xr3:uid="{749B4D89-29B3-4987-91D3-6BA3C44D9B96}" name="Forma de Pgto" dataDxfId="1602" dataCellStyle="Moeda"/>
    <tableColumn id="4" xr3:uid="{A84A6598-B291-4809-A78D-AB810461733D}" name="Valor Parcela" dataDxfId="1601" dataCellStyle="Porcentagem"/>
    <tableColumn id="5" xr3:uid="{3C45FEEC-5E06-4ED7-87CD-0097DB6BC817}" name="Nº Parcela" dataDxfId="160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599" headerRowBorderDxfId="1598" tableBorderDxfId="1597" totalsRowBorderDxfId="1596">
  <autoFilter ref="K34:M41" xr:uid="{42BA126A-AECD-4CD6-8583-BD2352D82FB9}"/>
  <tableColumns count="3">
    <tableColumn id="1" xr3:uid="{0989D88A-7CB7-4008-94FC-B7FFB3CAE582}" name="OS" dataDxfId="1595"/>
    <tableColumn id="2" xr3:uid="{AC9D76CC-A537-4210-9893-E8C57DA30B4D}" name="Parcelas" dataDxfId="1594"/>
    <tableColumn id="3" xr3:uid="{D4D72E6E-DAE0-4860-8606-BFD8E469AE3D}" name="Valor Total" dataDxfId="159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2" dataDxfId="1590" headerRowBorderDxfId="1591" tableBorderDxfId="1589" totalsRowBorderDxfId="158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7" dataCellStyle="Moeda"/>
    <tableColumn id="5" xr3:uid="{62DCD49D-7CD9-4268-A2D5-B3A594E461BB}" name="Cliente" dataDxfId="1586" dataCellStyle="Moeda"/>
    <tableColumn id="2" xr3:uid="{50D45495-B1A2-4885-996A-3E6DD92E280E}" name="Forma de Pgto" dataDxfId="1585" dataCellStyle="Moeda"/>
    <tableColumn id="3" xr3:uid="{DE57E226-692B-42B0-911E-ACCF59BC6D86}" name="Valor Venda" dataDxfId="1584" dataCellStyle="Porcentagem"/>
    <tableColumn id="4" xr3:uid="{CE230B3B-D2C9-4A92-A5F3-A5EE4A74409A}" name="Entrada" dataDxfId="1583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2" dataDxfId="1580" headerRowBorderDxfId="1581" tableBorderDxfId="1579" totalsRowBorderDxfId="1578">
  <autoFilter ref="K5:M11" xr:uid="{00000000-0009-0000-0100-000015000000}"/>
  <tableColumns count="3">
    <tableColumn id="1" xr3:uid="{58E2E66D-9AC0-4A69-BF19-1AB9AD59BA2F}" name="Descrição" dataDxfId="1577"/>
    <tableColumn id="2" xr3:uid="{FE1E3124-46C3-49A6-AE83-7C14B341DF59}" name="Tipo de Pagto" dataDxfId="1576"/>
    <tableColumn id="3" xr3:uid="{D8FBF474-04EE-46ED-9B9E-791D937CF715}" name="Valor" dataDxfId="157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4" dataDxfId="1572" headerRowBorderDxfId="1573" tableBorderDxfId="1571" totalsRowBorderDxfId="157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9"/>
    <tableColumn id="2" xr3:uid="{595EF087-A3B2-4C2B-AEEA-F930A6C2F5F4}" name="Cliente" dataDxfId="1568"/>
    <tableColumn id="3" xr3:uid="{C5C2BC75-6E8D-4808-A5EE-A5F9251ECE6C}" name="Forma de Pgto" dataDxfId="1567" dataCellStyle="Moeda"/>
    <tableColumn id="4" xr3:uid="{20CF776B-B9F4-48DD-9379-961689B40B71}" name="Valor Venda" dataDxfId="1566" dataCellStyle="Porcentagem"/>
    <tableColumn id="5" xr3:uid="{65177CB6-6D07-42E6-8EFE-435282A2F5BA}" name="Entrada" dataDxfId="1565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4" dataDxfId="1562" headerRowBorderDxfId="1563" tableBorderDxfId="1561" totalsRowBorderDxfId="156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9"/>
    <tableColumn id="2" xr3:uid="{D1AEFC99-FF9D-4A0D-BE93-D866BDC7A817}" name="Vendedor" dataDxfId="1558"/>
    <tableColumn id="3" xr3:uid="{CA30546E-8A3F-45D5-BE2B-24DCF738F1F2}" name="CARNE" dataDxfId="155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6" dataDxfId="1554" headerRowBorderDxfId="1555" tableBorderDxfId="1553" totalsRowBorderDxfId="155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1"/>
    <tableColumn id="2" xr3:uid="{7D38F106-0145-4B73-951B-86BF22EC7FAB}" name="Cliente" dataDxfId="1550"/>
    <tableColumn id="3" xr3:uid="{11A4EEBE-D35C-4719-B2B9-16486260EF79}" name="Forma de Pgto" dataDxfId="1549" dataCellStyle="Moeda"/>
    <tableColumn id="4" xr3:uid="{1BAB2FC5-9F2C-41DD-994A-6BA83A984883}" name="Valor Parcela" dataDxfId="1548" dataCellStyle="Porcentagem"/>
    <tableColumn id="5" xr3:uid="{8C539F89-5F96-4DB9-B7A4-784EA1B5350C}" name="Nº Parcela" dataDxfId="1547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6" headerRowBorderDxfId="1545" tableBorderDxfId="1544" totalsRowBorderDxfId="1543">
  <autoFilter ref="K34:M41" xr:uid="{1B8643D4-6AC3-4029-882A-C62E9D7CB225}"/>
  <tableColumns count="3">
    <tableColumn id="1" xr3:uid="{0B93901B-D681-410F-8B28-E186D9A3CAC3}" name="OS" dataDxfId="1542"/>
    <tableColumn id="2" xr3:uid="{A57C0E02-6258-48F0-9407-2095CD96B2D4}" name="Parcelas" dataDxfId="1541"/>
    <tableColumn id="3" xr3:uid="{1EA087CF-658D-4951-89BB-508667E3BBBE}" name="Valor Total" dataDxfId="154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9" dataDxfId="1537" headerRowBorderDxfId="1538" tableBorderDxfId="1536" totalsRowBorderDxfId="153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4" dataCellStyle="Moeda"/>
    <tableColumn id="5" xr3:uid="{98DC42E5-632F-4288-9CC5-1F032859A7E7}" name="Cliente" dataDxfId="1533" dataCellStyle="Moeda"/>
    <tableColumn id="2" xr3:uid="{4AE32B81-9EBD-470B-9ABE-A82D6658F3FE}" name="Forma de Pgto" dataDxfId="1532" dataCellStyle="Moeda"/>
    <tableColumn id="3" xr3:uid="{6E5BAEC1-2689-4ABB-93EC-298595B5C82E}" name="Valor Venda" dataDxfId="1531" dataCellStyle="Porcentagem"/>
    <tableColumn id="4" xr3:uid="{24493E7B-FE77-4A85-8810-0F0A4A84D997}" name="Entrada" dataDxfId="1530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9" dataDxfId="1527" headerRowBorderDxfId="1528" tableBorderDxfId="1526" totalsRowBorderDxfId="1525">
  <autoFilter ref="K5:M11" xr:uid="{00000000-0009-0000-0100-000015000000}"/>
  <tableColumns count="3">
    <tableColumn id="1" xr3:uid="{DA50BBFB-ECA9-45DE-9949-F3F90EEC3BA7}" name="Descrição" dataDxfId="1524"/>
    <tableColumn id="2" xr3:uid="{A64D4F88-B62D-440B-BA71-6D7BB28D542E}" name="Tipo de Pagto" dataDxfId="1523"/>
    <tableColumn id="3" xr3:uid="{0406A209-0652-47F9-9AB4-3256B26876D2}" name="Valor" dataDxfId="152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1" dataDxfId="1519" headerRowBorderDxfId="1520" tableBorderDxfId="1518" totalsRowBorderDxfId="151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6"/>
    <tableColumn id="2" xr3:uid="{8B8D24E4-1123-478B-838C-FCF56EABBDFD}" name="Cliente" dataDxfId="1515"/>
    <tableColumn id="3" xr3:uid="{8B7DE8DF-8D5D-4245-A63D-EF550AE347E3}" name="Forma de Pgto" dataDxfId="1514" dataCellStyle="Moeda"/>
    <tableColumn id="4" xr3:uid="{95A77C0C-49D0-45A2-8B99-A765C4741CE7}" name="Valor Venda" dataDxfId="1513" dataCellStyle="Porcentagem"/>
    <tableColumn id="5" xr3:uid="{FF4FDD32-DA70-4723-A8FB-07B3FB04B5CD}" name="Entrada" dataDxfId="1512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1" dataDxfId="1509" headerRowBorderDxfId="1510" tableBorderDxfId="1508" totalsRowBorderDxfId="1507">
  <autoFilter ref="K14:M31" xr:uid="{C83FE64B-E221-4DAA-89EA-5307A7BC98B3}"/>
  <tableColumns count="3">
    <tableColumn id="1" xr3:uid="{A31E67F7-E266-4220-8D3F-09556FCE20B1}" name="OS" dataDxfId="1506"/>
    <tableColumn id="2" xr3:uid="{2ED39269-8DA5-4157-9E82-8C8ED0C828A3}" name="Vendedor" dataDxfId="1505"/>
    <tableColumn id="3" xr3:uid="{F550B35D-6F70-4E2E-9037-3A7DF5BB4D86}" name="CARNE" dataDxfId="150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3" dataDxfId="1501" headerRowBorderDxfId="1502" tableBorderDxfId="1500" totalsRowBorderDxfId="149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8"/>
    <tableColumn id="2" xr3:uid="{58D563AD-1DCA-4768-9170-A0079A20A1DF}" name="Cliente" dataDxfId="1497"/>
    <tableColumn id="3" xr3:uid="{FE883FCE-942C-4DE5-904D-B12FE6C4992D}" name="Forma de Pgto" dataDxfId="1496" dataCellStyle="Moeda"/>
    <tableColumn id="4" xr3:uid="{21451B08-4DF0-4C35-AC45-94C183AA6A59}" name="Valor Parcela" dataDxfId="1495" dataCellStyle="Porcentagem"/>
    <tableColumn id="5" xr3:uid="{8F93C3AE-47D0-4E55-A038-445341804CE9}" name="Nº Parcela" dataDxfId="1494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3" headerRowBorderDxfId="1492" tableBorderDxfId="1491" totalsRowBorderDxfId="1490">
  <autoFilter ref="K34:M41" xr:uid="{1B8643D4-6AC3-4029-882A-C62E9D7CB225}"/>
  <tableColumns count="3">
    <tableColumn id="1" xr3:uid="{2687574F-C0F9-4AD1-A54B-286C1AE50D97}" name="OS" dataDxfId="1489"/>
    <tableColumn id="2" xr3:uid="{AE623FF4-38C1-45D9-B220-1CD4A553B7C1}" name="Parcelas" dataDxfId="1488"/>
    <tableColumn id="3" xr3:uid="{EEBFC521-3084-43FF-A36B-C25CE198B817}" name="Valor Total" dataDxfId="1487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6" dataDxfId="1484" headerRowBorderDxfId="1485" tableBorderDxfId="1483" totalsRowBorderDxfId="148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1" dataCellStyle="Moeda"/>
    <tableColumn id="5" xr3:uid="{F5DA840E-A051-4AE4-AE1A-9DAFAF8FFC3B}" name="Cliente" dataDxfId="1480" dataCellStyle="Moeda"/>
    <tableColumn id="2" xr3:uid="{DF65CD3D-444A-4025-B98B-F38F11610432}" name="Forma de Pgto" dataDxfId="1479" dataCellStyle="Moeda"/>
    <tableColumn id="3" xr3:uid="{9A4839DC-9153-466A-B0AF-456FAEF79174}" name="Valor Venda" dataDxfId="1478" dataCellStyle="Porcentagem"/>
    <tableColumn id="4" xr3:uid="{EF410A7C-DBD1-4367-A43B-616826FFEB4F}" name="Entrada" dataDxfId="1477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6" dataDxfId="1474" headerRowBorderDxfId="1475" tableBorderDxfId="1473" totalsRowBorderDxfId="1472">
  <autoFilter ref="K5:M11" xr:uid="{00000000-0009-0000-0100-000015000000}"/>
  <tableColumns count="3">
    <tableColumn id="1" xr3:uid="{F1C90853-2F5A-4C32-8AC3-18ECE1FDDF43}" name="Descrição" dataDxfId="1471"/>
    <tableColumn id="2" xr3:uid="{DEB32F17-2D52-4FBB-90C4-1C3AE9C104E6}" name="Tipo de Pagto" dataDxfId="1470"/>
    <tableColumn id="3" xr3:uid="{089B3650-C090-496F-BF9A-6E8466DBF76A}" name="Valor" dataDxfId="1469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8" dataDxfId="1466" headerRowBorderDxfId="1467" tableBorderDxfId="1465" totalsRowBorderDxfId="146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3"/>
    <tableColumn id="2" xr3:uid="{73AEC7DD-005C-4428-9D1D-1A3761F2192B}" name="Cliente" dataDxfId="1462"/>
    <tableColumn id="3" xr3:uid="{FA28017F-3137-49BD-B826-2E261901E543}" name="Forma de Pgto" dataDxfId="1461" dataCellStyle="Moeda"/>
    <tableColumn id="4" xr3:uid="{6030418B-B1EC-4D4D-96DF-0EB78B87F6F9}" name="Valor Venda" dataDxfId="1460" dataCellStyle="Porcentagem"/>
    <tableColumn id="5" xr3:uid="{0576A975-F40D-4463-85C0-76AB6FCD63AC}" name="Entrada" dataDxfId="1459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8" dataDxfId="1456" headerRowBorderDxfId="1457" tableBorderDxfId="1455" totalsRowBorderDxfId="1454">
  <autoFilter ref="K14:M31" xr:uid="{C83FE64B-E221-4DAA-89EA-5307A7BC98B3}"/>
  <tableColumns count="3">
    <tableColumn id="1" xr3:uid="{830E23BA-DE90-49EF-B4EA-89C3276575B2}" name="OS" dataDxfId="1453"/>
    <tableColumn id="2" xr3:uid="{679AF5A0-4545-4316-AD6C-E4B7A7BA099A}" name="Vendedor" dataDxfId="1452"/>
    <tableColumn id="3" xr3:uid="{6B801D58-D05B-4A78-A6FE-BC9EF408DC10}" name="CARNE" dataDxfId="145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50" dataDxfId="1448" headerRowBorderDxfId="1449" tableBorderDxfId="1447" totalsRowBorderDxfId="144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5"/>
    <tableColumn id="2" xr3:uid="{953837B7-D16A-40C2-9C83-CD7E7171C88F}" name="Cliente" dataDxfId="1444"/>
    <tableColumn id="3" xr3:uid="{63860264-C651-4A12-8F01-E9F622A843C0}" name="Forma de Pgto" dataDxfId="1443" dataCellStyle="Moeda"/>
    <tableColumn id="4" xr3:uid="{584373BD-23BA-4A1E-A4FC-3D4A594F4148}" name="Valor Parcela" dataDxfId="1442" dataCellStyle="Porcentagem"/>
    <tableColumn id="5" xr3:uid="{7CBAF04B-D82E-4180-A8EA-98461BE41F4A}" name="Nº Parcela" dataDxfId="1441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40" headerRowBorderDxfId="1439" tableBorderDxfId="1438" totalsRowBorderDxfId="1437">
  <autoFilter ref="K34:M41" xr:uid="{1B8643D4-6AC3-4029-882A-C62E9D7CB225}"/>
  <tableColumns count="3">
    <tableColumn id="1" xr3:uid="{F555359C-BC20-4C24-A948-500BDD3B5763}" name="OS" dataDxfId="1436"/>
    <tableColumn id="2" xr3:uid="{B72B4820-B8B5-4F80-83B5-9EC54EF78025}" name="Parcelas" dataDxfId="1435"/>
    <tableColumn id="3" xr3:uid="{893DDBC4-5663-4D63-80CB-4E7482811983}" name="Valor Total" dataDxfId="143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3" dataDxfId="1431" headerRowBorderDxfId="1432" tableBorderDxfId="1430" totalsRowBorderDxfId="1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8" dataCellStyle="Moeda"/>
    <tableColumn id="5" xr3:uid="{4F9ED826-A0E1-4FB0-83C6-A561EA7B6750}" name="Cliente" dataDxfId="1427" dataCellStyle="Moeda"/>
    <tableColumn id="2" xr3:uid="{C2B928FE-CB2E-4271-AE3D-2FE26117248E}" name="Forma de Pgto" dataDxfId="1426" dataCellStyle="Moeda"/>
    <tableColumn id="3" xr3:uid="{CE23E3D0-4056-4DCB-83C4-5B94BD49CAAC}" name="Valor Venda" dataDxfId="1425" dataCellStyle="Porcentagem"/>
    <tableColumn id="4" xr3:uid="{1F426340-BFB9-4B9E-B988-7A195156D2F2}" name="Entrada" dataDxfId="1424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3" dataDxfId="1421" headerRowBorderDxfId="1422" tableBorderDxfId="1420" totalsRowBorderDxfId="1419">
  <autoFilter ref="K5:M11" xr:uid="{00000000-0009-0000-0100-000015000000}"/>
  <tableColumns count="3">
    <tableColumn id="1" xr3:uid="{F4C840DC-E06E-4A51-B1BF-E769E4EC9ACB}" name="Descrição" dataDxfId="1418"/>
    <tableColumn id="2" xr3:uid="{E6DE1F07-CE97-421A-A22A-4B4270DDF46D}" name="Tipo de Pagto" dataDxfId="1417"/>
    <tableColumn id="3" xr3:uid="{D84FBA92-07C5-41FD-BBA2-2AADF245D1D6}" name="Valor" dataDxfId="1416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5" dataDxfId="1413" headerRowBorderDxfId="1414" tableBorderDxfId="1412" totalsRowBorderDxfId="1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10"/>
    <tableColumn id="2" xr3:uid="{CD77FB12-1DAA-4DAF-B42A-0357959803DD}" name="Cliente" dataDxfId="1409"/>
    <tableColumn id="3" xr3:uid="{5F4C4F5C-C920-452A-B2BA-592AD2C18723}" name="Forma de Pgto" dataDxfId="1408" dataCellStyle="Moeda"/>
    <tableColumn id="4" xr3:uid="{3930B2F0-6049-4E02-92B1-EC55A5330B2C}" name="Valor Venda" dataDxfId="1407" dataCellStyle="Porcentagem"/>
    <tableColumn id="5" xr3:uid="{82EBAE08-64CA-459E-9015-FA8F61210D87}" name="Entrada" dataDxfId="1406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5" dataDxfId="1403" headerRowBorderDxfId="1404" tableBorderDxfId="1402" totalsRowBorderDxfId="1401">
  <autoFilter ref="K14:M31" xr:uid="{C83FE64B-E221-4DAA-89EA-5307A7BC98B3}"/>
  <tableColumns count="3">
    <tableColumn id="1" xr3:uid="{E0565617-EB8C-486F-838C-B370E84BC8A2}" name="OS" dataDxfId="1400"/>
    <tableColumn id="2" xr3:uid="{EA20833B-67D8-48B8-B6E4-54A10D0969E8}" name="Vendedor" dataDxfId="1399"/>
    <tableColumn id="3" xr3:uid="{8B1F8993-74A4-499F-AD5E-91A6051BA219}" name="CARNE" dataDxfId="1398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7" dataDxfId="1395" headerRowBorderDxfId="1396" tableBorderDxfId="1394" totalsRowBorderDxfId="1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2"/>
    <tableColumn id="2" xr3:uid="{FB461660-91D6-4E31-81FF-113A17320EED}" name="Cliente" dataDxfId="1391"/>
    <tableColumn id="3" xr3:uid="{0A47D0C3-375B-4E2D-B5E9-2048252BC0D3}" name="Forma de Pgto" dataDxfId="1390" dataCellStyle="Moeda"/>
    <tableColumn id="4" xr3:uid="{F9C62ED5-C18D-465D-B7E4-0729BD7B3A10}" name="Valor Parcela" dataDxfId="1389" dataCellStyle="Porcentagem"/>
    <tableColumn id="5" xr3:uid="{DD9D513B-1645-445F-83E9-DC54C163BD4E}" name="Nº Parcela" dataDxfId="1388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7" headerRowBorderDxfId="1386" tableBorderDxfId="1385" totalsRowBorderDxfId="1384">
  <autoFilter ref="K34:M41" xr:uid="{1B8643D4-6AC3-4029-882A-C62E9D7CB225}"/>
  <tableColumns count="3">
    <tableColumn id="1" xr3:uid="{D65B195F-C059-40E5-A4CA-FE91C5DB43DB}" name="OS" dataDxfId="1383"/>
    <tableColumn id="2" xr3:uid="{A2A023CF-C61D-419E-ABB0-2F9CEE35150B}" name="Parcelas" dataDxfId="1382"/>
    <tableColumn id="3" xr3:uid="{F7D650A1-7C3D-42D0-B133-EB49D396C64F}" name="Valor Total" dataDxfId="138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80" dataDxfId="1378" headerRowBorderDxfId="1379" tableBorderDxfId="1377" totalsRowBorderDxfId="137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5" dataCellStyle="Moeda"/>
    <tableColumn id="5" xr3:uid="{FF96847D-D5C5-4F73-905C-E549112972E1}" name="Cliente" dataDxfId="1374" dataCellStyle="Moeda"/>
    <tableColumn id="2" xr3:uid="{1B47815A-C2E2-4886-9A6F-B2A7307F901E}" name="Forma de Pgto" dataDxfId="1373" dataCellStyle="Moeda"/>
    <tableColumn id="3" xr3:uid="{FD86C99A-4E69-452A-8D71-B939B84F2B55}" name="Valor Venda" dataDxfId="1372" dataCellStyle="Porcentagem"/>
    <tableColumn id="4" xr3:uid="{49ECBAAC-14EE-43F3-BE6F-974EF5F3E156}" name="Entrada" dataDxfId="1371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70" dataDxfId="1368" headerRowBorderDxfId="1369" tableBorderDxfId="1367" totalsRowBorderDxfId="1366">
  <autoFilter ref="K5:M11" xr:uid="{00000000-0009-0000-0100-000015000000}"/>
  <tableColumns count="3">
    <tableColumn id="1" xr3:uid="{5236D397-E61A-4AA1-B99C-AD40093239F9}" name="Descrição" dataDxfId="1365"/>
    <tableColumn id="2" xr3:uid="{3341FC2A-819A-41AF-B8A9-B5A195B8D597}" name="Tipo de Pagto" dataDxfId="1364"/>
    <tableColumn id="3" xr3:uid="{D568CA16-B32B-4F86-9DE5-B8B3E9825745}" name="Valor" dataDxfId="1363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2" dataDxfId="1360" headerRowBorderDxfId="1361" tableBorderDxfId="1359" totalsRowBorderDxfId="135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7"/>
    <tableColumn id="2" xr3:uid="{DEEB020C-2BC4-4E77-9557-B0FDBCF683E9}" name="Cliente" dataDxfId="1356"/>
    <tableColumn id="3" xr3:uid="{FC27FDBE-5194-4E32-AFD1-DB754ECCEF38}" name="Forma de Pgto" dataDxfId="1355" dataCellStyle="Moeda"/>
    <tableColumn id="4" xr3:uid="{489A4CE9-C3F1-4322-9639-D01F0935FB0E}" name="Valor Venda" dataDxfId="1354" dataCellStyle="Porcentagem"/>
    <tableColumn id="5" xr3:uid="{07E5F22F-7782-466E-98DB-48416B35B9C4}" name="Entrada" dataDxfId="1353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2" dataDxfId="1350" headerRowBorderDxfId="1351" tableBorderDxfId="1349" totalsRowBorderDxfId="1348">
  <autoFilter ref="K14:M31" xr:uid="{C83FE64B-E221-4DAA-89EA-5307A7BC98B3}"/>
  <tableColumns count="3">
    <tableColumn id="1" xr3:uid="{E4926A1A-00A9-4844-90B1-E36D53050FAD}" name="OS" dataDxfId="1347"/>
    <tableColumn id="2" xr3:uid="{CFC62C38-9887-48E6-A3B8-42586D1EC066}" name="Vendedor" dataDxfId="1346"/>
    <tableColumn id="3" xr3:uid="{32577275-2002-496E-8AD4-5FE489DBC179}" name="CARNE" dataDxfId="1345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4" dataDxfId="1342" headerRowBorderDxfId="1343" tableBorderDxfId="1341" totalsRowBorderDxfId="134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9"/>
    <tableColumn id="2" xr3:uid="{19438CD0-86D0-4CC4-9B41-5D756AC61E4D}" name="Cliente" dataDxfId="1338"/>
    <tableColumn id="3" xr3:uid="{59621200-4821-4583-9D35-A2EA6C27B52D}" name="Forma de Pgto" dataDxfId="1337" dataCellStyle="Moeda"/>
    <tableColumn id="4" xr3:uid="{35A817E7-6B21-48A7-863E-225DFEDD8B2A}" name="Valor Parcela" dataDxfId="1336" dataCellStyle="Porcentagem"/>
    <tableColumn id="5" xr3:uid="{77D80430-C5F8-4582-B3DF-9A9A9350F565}" name="Nº Parcela" dataDxfId="1335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4" headerRowBorderDxfId="1333" tableBorderDxfId="1332" totalsRowBorderDxfId="1331">
  <autoFilter ref="K34:M41" xr:uid="{1B8643D4-6AC3-4029-882A-C62E9D7CB225}"/>
  <tableColumns count="3">
    <tableColumn id="1" xr3:uid="{503F9F70-E540-4505-B65D-D233FCB88D5F}" name="OS" dataDxfId="1330"/>
    <tableColumn id="2" xr3:uid="{6A2B4927-D830-4C18-8831-6FE23BFAD877}" name="Parcelas" dataDxfId="1329"/>
    <tableColumn id="3" xr3:uid="{8E06E94A-FF62-4D13-8B11-C6CE2990FCDF}" name="Valor Total" dataDxfId="1328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7" dataDxfId="1325" headerRowBorderDxfId="1326" tableBorderDxfId="1324" totalsRowBorderDxfId="13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2" dataCellStyle="Moeda"/>
    <tableColumn id="5" xr3:uid="{00000000-0010-0000-0900-000005000000}" name="Cliente" dataDxfId="1321" dataCellStyle="Moeda"/>
    <tableColumn id="2" xr3:uid="{00000000-0010-0000-0900-000002000000}" name="Forma de Pgto" dataDxfId="1320" dataCellStyle="Moeda"/>
    <tableColumn id="3" xr3:uid="{00000000-0010-0000-0900-000003000000}" name="Valor Venda" dataDxfId="1319" dataCellStyle="Porcentagem"/>
    <tableColumn id="4" xr3:uid="{00000000-0010-0000-0900-000004000000}" name="Entrada" dataDxfId="1318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7" dataDxfId="1315" headerRowBorderDxfId="1316" tableBorderDxfId="1314" totalsRowBorderDxfId="1313">
  <autoFilter ref="K5:M11" xr:uid="{00000000-0009-0000-0100-000015000000}"/>
  <tableColumns count="3">
    <tableColumn id="1" xr3:uid="{00000000-0010-0000-0A00-000001000000}" name="Descrição" dataDxfId="1312"/>
    <tableColumn id="2" xr3:uid="{00000000-0010-0000-0A00-000002000000}" name="Tipo de Pagto" dataDxfId="1311"/>
    <tableColumn id="3" xr3:uid="{00000000-0010-0000-0A00-000003000000}" name="Valor" dataDxfId="1310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9" dataDxfId="1307" headerRowBorderDxfId="1308" tableBorderDxfId="1306" totalsRowBorderDxfId="13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4"/>
    <tableColumn id="2" xr3:uid="{00000000-0010-0000-0B00-000002000000}" name="Cliente" dataDxfId="1303"/>
    <tableColumn id="3" xr3:uid="{00000000-0010-0000-0B00-000003000000}" name="Forma de Pgto" dataDxfId="1302" dataCellStyle="Moeda"/>
    <tableColumn id="4" xr3:uid="{00000000-0010-0000-0B00-000004000000}" name="Valor Venda" dataDxfId="1301" dataCellStyle="Porcentagem"/>
    <tableColumn id="5" xr3:uid="{00000000-0010-0000-0B00-000005000000}" name="Entrada" dataDxfId="1300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N31" totalsRowShown="0" headerRowDxfId="1299" dataDxfId="1297" headerRowBorderDxfId="1298" tableBorderDxfId="1296" totalsRowBorderDxfId="1295">
  <autoFilter ref="K14:N31" xr:uid="{C83FE64B-E221-4DAA-89EA-5307A7BC98B3}"/>
  <tableColumns count="4">
    <tableColumn id="1" xr3:uid="{E5EB8AC8-7F8E-49D1-A903-14124A5BA1B1}" name="OS" dataDxfId="1294"/>
    <tableColumn id="2" xr3:uid="{E1794679-294A-42ED-9D8F-4C0874170BFA}" name="Vendedor" dataDxfId="1293"/>
    <tableColumn id="3" xr3:uid="{CB411C23-941D-4548-984D-68460932D683}" name="CARNE" dataDxfId="1292"/>
    <tableColumn id="4" xr3:uid="{38CDC978-3A8C-499B-A451-BAA85E25C10D}" name="Coluna1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7.xml"/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Relationship Id="rId9" Type="http://schemas.openxmlformats.org/officeDocument/2006/relationships/comments" Target="../comments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24"/>
  <sheetViews>
    <sheetView workbookViewId="0">
      <selection activeCell="E16" sqref="E16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127</v>
      </c>
    </row>
    <row r="2" spans="1:16" ht="15" x14ac:dyDescent="0.2">
      <c r="A2" s="18" t="s">
        <v>0</v>
      </c>
      <c r="B2" s="70">
        <v>0</v>
      </c>
      <c r="P2" t="s">
        <v>128</v>
      </c>
    </row>
    <row r="3" spans="1:16" ht="15" x14ac:dyDescent="0.25">
      <c r="A3" s="22" t="s">
        <v>1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27357.5</v>
      </c>
      <c r="P3" t="s">
        <v>129</v>
      </c>
    </row>
    <row r="4" spans="1:16" ht="15" x14ac:dyDescent="0.25">
      <c r="A4" s="22" t="s">
        <v>2</v>
      </c>
      <c r="B4" s="23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18710</v>
      </c>
      <c r="P4" t="s">
        <v>130</v>
      </c>
    </row>
    <row r="5" spans="1:16" ht="15" x14ac:dyDescent="0.25">
      <c r="A5" s="22" t="s">
        <v>3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32.99</v>
      </c>
      <c r="P5" t="s">
        <v>131</v>
      </c>
    </row>
    <row r="6" spans="1:16" ht="15.75" x14ac:dyDescent="0.25">
      <c r="A6" s="27" t="s">
        <v>4</v>
      </c>
      <c r="B6" s="28">
        <f>SUM(B4:B5)</f>
        <v>18742.990000000002</v>
      </c>
      <c r="P6" t="s">
        <v>132</v>
      </c>
    </row>
    <row r="7" spans="1:16" ht="15" x14ac:dyDescent="0.25">
      <c r="A7" s="2"/>
      <c r="B7" s="2"/>
      <c r="P7" t="s">
        <v>133</v>
      </c>
    </row>
    <row r="8" spans="1:16" ht="15" x14ac:dyDescent="0.2">
      <c r="A8" s="104" t="s">
        <v>5</v>
      </c>
      <c r="B8" s="104"/>
      <c r="P8" t="s">
        <v>134</v>
      </c>
    </row>
    <row r="9" spans="1:16" ht="15" x14ac:dyDescent="0.25">
      <c r="A9" s="29" t="s">
        <v>6</v>
      </c>
      <c r="B9" s="23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2131</v>
      </c>
      <c r="P9" t="s">
        <v>135</v>
      </c>
    </row>
    <row r="10" spans="1:16" ht="15" x14ac:dyDescent="0.25">
      <c r="A10" s="29" t="s">
        <v>7</v>
      </c>
      <c r="B10" s="23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7270</v>
      </c>
      <c r="P10" t="s">
        <v>136</v>
      </c>
    </row>
    <row r="11" spans="1:16" ht="15" x14ac:dyDescent="0.25">
      <c r="A11" s="29" t="s">
        <v>8</v>
      </c>
      <c r="B11" s="23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7297</v>
      </c>
      <c r="P11" t="s">
        <v>137</v>
      </c>
    </row>
    <row r="12" spans="1:16" ht="15" x14ac:dyDescent="0.25">
      <c r="A12" s="29" t="s">
        <v>9</v>
      </c>
      <c r="B12" s="23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138</v>
      </c>
    </row>
    <row r="13" spans="1:16" ht="15" x14ac:dyDescent="0.25">
      <c r="A13" s="29" t="s">
        <v>10</v>
      </c>
      <c r="B13" s="23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4673</v>
      </c>
      <c r="G13" t="s">
        <v>204</v>
      </c>
      <c r="P13" t="s">
        <v>139</v>
      </c>
    </row>
    <row r="14" spans="1:16" ht="15.75" x14ac:dyDescent="0.25">
      <c r="A14" s="27" t="s">
        <v>11</v>
      </c>
      <c r="B14" s="71">
        <f>SUM(B9:B13)</f>
        <v>21371</v>
      </c>
      <c r="G14" s="37" t="s">
        <v>205</v>
      </c>
    </row>
    <row r="15" spans="1:16" ht="15" x14ac:dyDescent="0.25">
      <c r="A15" s="2"/>
      <c r="B15" s="2"/>
    </row>
    <row r="16" spans="1:16" ht="15" x14ac:dyDescent="0.2">
      <c r="A16" s="104" t="s">
        <v>12</v>
      </c>
      <c r="B16" s="104"/>
      <c r="E16" t="s">
        <v>201</v>
      </c>
      <c r="G16" t="s">
        <v>202</v>
      </c>
    </row>
    <row r="17" spans="1:2" ht="15" x14ac:dyDescent="0.25">
      <c r="A17" s="29">
        <f>COUNT(#REF!)</f>
        <v>0</v>
      </c>
      <c r="B17" s="23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3365</v>
      </c>
    </row>
    <row r="18" spans="1:2" ht="15.75" x14ac:dyDescent="0.25">
      <c r="A18" s="27" t="s">
        <v>11</v>
      </c>
      <c r="B18" s="71">
        <f>SUM(B17:B17)</f>
        <v>3365</v>
      </c>
    </row>
    <row r="21" spans="1:2" x14ac:dyDescent="0.2">
      <c r="B21" t="s">
        <v>203</v>
      </c>
    </row>
    <row r="24" spans="1:2" x14ac:dyDescent="0.2">
      <c r="B24" t="s">
        <v>204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A19" zoomScale="80" zoomScaleNormal="80" workbookViewId="0">
      <selection activeCell="G19" sqref="G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v>45566</v>
      </c>
    </row>
    <row r="2" spans="2:18" ht="18.75" x14ac:dyDescent="0.2">
      <c r="B2" s="109" t="s">
        <v>126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4639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260</v>
      </c>
      <c r="D6" s="2"/>
      <c r="E6" s="93">
        <v>3745</v>
      </c>
      <c r="F6" s="24" t="s">
        <v>141</v>
      </c>
      <c r="G6" s="25" t="s">
        <v>7</v>
      </c>
      <c r="H6" s="8">
        <v>3190</v>
      </c>
      <c r="I6" s="8">
        <v>10</v>
      </c>
      <c r="J6" s="2"/>
      <c r="K6" s="24"/>
      <c r="L6" s="9"/>
      <c r="M6" s="16"/>
      <c r="R6" s="1">
        <f>IF(vend1[[#This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3746</v>
      </c>
      <c r="F7" s="24" t="s">
        <v>142</v>
      </c>
      <c r="G7" s="25" t="s">
        <v>7</v>
      </c>
      <c r="H7" s="8">
        <v>549</v>
      </c>
      <c r="I7" s="8">
        <v>50</v>
      </c>
      <c r="J7" s="2"/>
      <c r="K7" s="24"/>
      <c r="L7" s="9"/>
      <c r="M7" s="16"/>
      <c r="R7" s="1">
        <f>IF(vend1[[#This Row],[Nº Venda]]&gt;1,1,0)</f>
        <v>1</v>
      </c>
    </row>
    <row r="8" spans="2:18" ht="15.75" x14ac:dyDescent="0.25">
      <c r="B8" s="27" t="s">
        <v>21</v>
      </c>
      <c r="C8" s="28">
        <f>SUM(C6:C7)</f>
        <v>260</v>
      </c>
      <c r="D8" s="2"/>
      <c r="E8" s="93">
        <v>3747</v>
      </c>
      <c r="F8" s="24" t="s">
        <v>144</v>
      </c>
      <c r="G8" s="25" t="s">
        <v>10</v>
      </c>
      <c r="H8" s="8">
        <v>900</v>
      </c>
      <c r="I8" s="8">
        <v>200</v>
      </c>
      <c r="J8" s="2"/>
      <c r="K8" s="24"/>
      <c r="L8" s="9"/>
      <c r="M8" s="16"/>
      <c r="R8" s="1">
        <f>IF(vend1[[#This Row],[Nº Venda]]&gt;1,1,0)</f>
        <v>1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60</v>
      </c>
      <c r="D12" s="2"/>
      <c r="E12" s="93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29" t="s">
        <v>10</v>
      </c>
      <c r="C15" s="30">
        <f t="shared" si="0"/>
        <v>200</v>
      </c>
      <c r="D15" s="2"/>
      <c r="E15" s="93"/>
      <c r="F15" s="24"/>
      <c r="G15" s="25"/>
      <c r="H15" s="8"/>
      <c r="I15" s="8"/>
      <c r="J15" s="2"/>
      <c r="K15" s="101">
        <v>3737</v>
      </c>
      <c r="L15" s="9" t="s">
        <v>128</v>
      </c>
      <c r="M15" s="16" t="s">
        <v>143</v>
      </c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260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IF(vend1[[#This Row],[Nº Venda]]&gt;1,1,0)</f>
        <v>0</v>
      </c>
    </row>
    <row r="19" spans="2:18" ht="15.75" x14ac:dyDescent="0.25">
      <c r="B19" s="29">
        <f>COUNT(entr_carn1[OS])</f>
        <v>0</v>
      </c>
      <c r="C19" s="30">
        <f>SUM(entr_carn1[Valor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4639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topLeftCell="A16" zoomScale="80" zoomScaleNormal="80" workbookViewId="0">
      <selection activeCell="V35" sqref="V35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'01'!B1+1</f>
        <v>45567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1039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IF(vend2[[#This Row],[Nº Venda]]&gt;1,1,0)</f>
        <v>0</v>
      </c>
    </row>
    <row r="8" spans="2:18" ht="15.75" x14ac:dyDescent="0.25">
      <c r="B8" s="27" t="s">
        <v>21</v>
      </c>
      <c r="C8" s="28">
        <f>SUM(C6:C7)</f>
        <v>1039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540</v>
      </c>
      <c r="D12" s="2"/>
      <c r="E12" s="93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29" t="s">
        <v>8</v>
      </c>
      <c r="C13" s="30">
        <f t="shared" si="0"/>
        <v>499</v>
      </c>
      <c r="D13" s="2"/>
      <c r="E13" s="94"/>
      <c r="F13" s="56"/>
      <c r="G13" s="85"/>
      <c r="H13" s="67"/>
      <c r="I13" s="67"/>
      <c r="J13" s="2"/>
      <c r="K13" s="106" t="s">
        <v>22</v>
      </c>
      <c r="L13" s="107"/>
      <c r="M13" s="108"/>
      <c r="R13" s="1">
        <f>IF(vend2[[#This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56"/>
      <c r="G14" s="85"/>
      <c r="H14" s="67"/>
      <c r="I14" s="67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IF(vend2[[#This Row],[Nº Venda]]&gt;1,1,0)</f>
        <v>0</v>
      </c>
    </row>
    <row r="16" spans="2:18" ht="15.75" x14ac:dyDescent="0.25">
      <c r="B16" s="27" t="s">
        <v>11</v>
      </c>
      <c r="C16" s="31">
        <f>SUM(C11:C15)</f>
        <v>1039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3743</v>
      </c>
      <c r="F26" s="24" t="s">
        <v>145</v>
      </c>
      <c r="G26" s="25" t="s">
        <v>7</v>
      </c>
      <c r="H26" s="8"/>
      <c r="I26" s="8">
        <v>540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>
        <v>3746</v>
      </c>
      <c r="F27" s="24" t="s">
        <v>146</v>
      </c>
      <c r="G27" s="25" t="s">
        <v>8</v>
      </c>
      <c r="H27" s="8"/>
      <c r="I27" s="8">
        <v>499</v>
      </c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14" zoomScale="80" zoomScaleNormal="80" workbookViewId="0">
      <selection activeCell="G8" sqref="G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'02'!B1+1</f>
        <v>45568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>
        <v>3748</v>
      </c>
      <c r="F6" s="24" t="s">
        <v>147</v>
      </c>
      <c r="G6" s="43" t="s">
        <v>39</v>
      </c>
      <c r="H6" s="8">
        <v>0</v>
      </c>
      <c r="I6" s="8">
        <v>0</v>
      </c>
      <c r="J6" s="2"/>
      <c r="K6" s="24"/>
      <c r="L6" s="9"/>
      <c r="M6" s="16"/>
      <c r="R6" s="1">
        <f>IF(vend3[[#This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IF(vend3[[#This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IF(vend3[[#This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19" zoomScale="80" zoomScaleNormal="80" workbookViewId="0">
      <selection activeCell="N17" sqref="N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'03'!B1+1</f>
        <v>45569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43"/>
      <c r="H8" s="8"/>
      <c r="I8" s="8"/>
      <c r="J8" s="2"/>
      <c r="K8" s="24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43"/>
      <c r="H9" s="8"/>
      <c r="I9" s="8"/>
      <c r="J9" s="2"/>
      <c r="K9" s="24"/>
      <c r="L9" s="9"/>
      <c r="M9" s="16"/>
      <c r="R9" s="1">
        <f>IF(vend4[[#This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3735</v>
      </c>
      <c r="L15" s="9" t="s">
        <v>128</v>
      </c>
      <c r="M15" s="54" t="s">
        <v>143</v>
      </c>
      <c r="R15" s="1">
        <f>IF(vend4[[#This Row],[Nº Venda]]&gt;1,1,0)</f>
        <v>0</v>
      </c>
    </row>
    <row r="16" spans="2:18" ht="18.75" x14ac:dyDescent="0.4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>
        <v>3739</v>
      </c>
      <c r="L16" s="9" t="s">
        <v>128</v>
      </c>
      <c r="M16" s="54" t="s">
        <v>143</v>
      </c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93"/>
      <c r="F17" s="24"/>
      <c r="G17" s="25"/>
      <c r="H17" s="8"/>
      <c r="I17" s="8"/>
      <c r="J17" s="2"/>
      <c r="K17" s="101">
        <v>3738</v>
      </c>
      <c r="L17" s="9" t="s">
        <v>128</v>
      </c>
      <c r="M17" s="54" t="s">
        <v>143</v>
      </c>
      <c r="R17" s="1">
        <f>IF(vend4[[#This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IF(vend4[[#This Row],[Nº Venda]]&gt;1,1,0)</f>
        <v>0</v>
      </c>
    </row>
    <row r="19" spans="2:18" ht="15.75" x14ac:dyDescent="0.25">
      <c r="B19" s="29">
        <f>COUNT(entr_carn4[OS])</f>
        <v>0</v>
      </c>
      <c r="C19" s="30">
        <f>SUM(entr_carn4[Valor Total])</f>
        <v>0</v>
      </c>
      <c r="D19" s="2"/>
      <c r="E19" s="93"/>
      <c r="F19" s="24" t="s">
        <v>148</v>
      </c>
      <c r="G19" s="25"/>
      <c r="H19" s="8"/>
      <c r="I19" s="8"/>
      <c r="J19" s="2"/>
      <c r="K19" s="101"/>
      <c r="L19" s="9"/>
      <c r="M19" s="16"/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43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19" zoomScale="80" zoomScaleNormal="80" workbookViewId="0">
      <selection activeCell="V51" sqref="V51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'04'!B1+1</f>
        <v>45570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400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150</v>
      </c>
      <c r="D6" s="2"/>
      <c r="E6" s="93">
        <v>3749</v>
      </c>
      <c r="F6" s="24" t="s">
        <v>152</v>
      </c>
      <c r="G6" s="43" t="s">
        <v>6</v>
      </c>
      <c r="H6" s="8">
        <v>400</v>
      </c>
      <c r="I6" s="8">
        <v>50</v>
      </c>
      <c r="J6" s="2"/>
      <c r="K6" s="24"/>
      <c r="L6" s="9"/>
      <c r="M6" s="16"/>
      <c r="R6" s="1">
        <f>IF(vend5[[#This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IF(vend5[[#This Row],[Nº Venda]]&gt;1,1,0)</f>
        <v>0</v>
      </c>
    </row>
    <row r="8" spans="2:18" ht="15.75" x14ac:dyDescent="0.25">
      <c r="B8" s="27" t="s">
        <v>21</v>
      </c>
      <c r="C8" s="28">
        <f>SUM(C6:C7)</f>
        <v>150</v>
      </c>
      <c r="D8" s="2"/>
      <c r="E8" s="93"/>
      <c r="F8" s="24"/>
      <c r="G8" s="43"/>
      <c r="H8" s="8"/>
      <c r="I8" s="8"/>
      <c r="J8" s="2"/>
      <c r="K8" s="24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43"/>
      <c r="H9" s="8"/>
      <c r="I9" s="8"/>
      <c r="J9" s="2"/>
      <c r="K9" s="24"/>
      <c r="L9" s="9"/>
      <c r="M9" s="16"/>
      <c r="R9" s="1">
        <f>IF(vend5[[#This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43"/>
      <c r="H10" s="8"/>
      <c r="I10" s="8"/>
      <c r="J10" s="2"/>
      <c r="K10" s="24"/>
      <c r="L10" s="9"/>
      <c r="M10" s="16"/>
      <c r="R10" s="1">
        <f>IF(vend5[[#This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100</v>
      </c>
      <c r="D11" s="2"/>
      <c r="E11" s="93"/>
      <c r="F11" s="24"/>
      <c r="G11" s="43"/>
      <c r="H11" s="8"/>
      <c r="I11" s="8"/>
      <c r="J11" s="2"/>
      <c r="K11" s="26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50</v>
      </c>
      <c r="D12" s="2"/>
      <c r="E12" s="93"/>
      <c r="F12" s="24"/>
      <c r="G12" s="25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3732</v>
      </c>
      <c r="L15" s="9" t="s">
        <v>135</v>
      </c>
      <c r="M15" s="59" t="s">
        <v>150</v>
      </c>
      <c r="N15" s="16"/>
      <c r="R15" s="1">
        <f>IF(vend5[[#This Row],[Nº Venda]]&gt;1,1,0)</f>
        <v>0</v>
      </c>
    </row>
    <row r="16" spans="2:18" ht="15.75" x14ac:dyDescent="0.25">
      <c r="B16" s="27" t="s">
        <v>11</v>
      </c>
      <c r="C16" s="31">
        <f>SUM(C11:C15)</f>
        <v>150</v>
      </c>
      <c r="D16" s="2"/>
      <c r="E16" s="93"/>
      <c r="F16" s="24"/>
      <c r="G16" s="25"/>
      <c r="H16" s="8"/>
      <c r="I16" s="8"/>
      <c r="J16" s="2"/>
      <c r="K16" s="101">
        <v>3731</v>
      </c>
      <c r="L16" s="9" t="s">
        <v>135</v>
      </c>
      <c r="M16" s="58" t="s">
        <v>151</v>
      </c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IF(vend5[[#This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IF(vend5[[#This Row],[Nº Venda]]&gt;1,1,0)</f>
        <v>0</v>
      </c>
    </row>
    <row r="19" spans="2:18" ht="15.75" x14ac:dyDescent="0.25">
      <c r="B19" s="29">
        <f>COUNT(entr_carn5[OS])</f>
        <v>1</v>
      </c>
      <c r="C19" s="30">
        <f>SUM(entr_carn5[Valor Total])</f>
        <v>400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IF(vend5[[#This Row],[Nº Venda]]&gt;1,1,0)</f>
        <v>0</v>
      </c>
    </row>
    <row r="20" spans="2:18" ht="15.75" x14ac:dyDescent="0.25">
      <c r="B20" s="27" t="s">
        <v>11</v>
      </c>
      <c r="C20" s="31">
        <f>SUM(C19:C19)</f>
        <v>400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400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3732</v>
      </c>
      <c r="F26" s="24" t="s">
        <v>149</v>
      </c>
      <c r="G26" s="43" t="s">
        <v>6</v>
      </c>
      <c r="H26" s="8"/>
      <c r="I26" s="8">
        <v>50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>
        <v>3732</v>
      </c>
      <c r="F27" s="24" t="s">
        <v>149</v>
      </c>
      <c r="G27" s="43" t="s">
        <v>7</v>
      </c>
      <c r="H27" s="8"/>
      <c r="I27" s="8">
        <v>50</v>
      </c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>
        <v>3731</v>
      </c>
      <c r="L35" s="40">
        <v>4</v>
      </c>
      <c r="M35" s="16">
        <v>400</v>
      </c>
    </row>
    <row r="36" spans="2:18" ht="15.75" x14ac:dyDescent="0.25">
      <c r="E36" s="100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82"/>
      <c r="G37" s="83"/>
      <c r="H37" s="84"/>
      <c r="I37" s="84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topLeftCell="A19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'05'!B1+1</f>
        <v>45571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53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6</v>
      </c>
      <c r="C11" s="75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29" t="s">
        <v>7</v>
      </c>
      <c r="C12" s="75">
        <f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8</v>
      </c>
      <c r="C13" s="75">
        <f>(SUMIF($G$2:$G$31,B13,$I$2:$I$31))+(SUMIF($G$35:$G$41,B13,$H$35:$H$41))</f>
        <v>0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IF(vend[[#This Row],[Nº Venda]]&gt;1,1,0)</f>
        <v>0</v>
      </c>
    </row>
    <row r="14" spans="2:18" ht="15.75" x14ac:dyDescent="0.25">
      <c r="B14" s="29" t="s">
        <v>9</v>
      </c>
      <c r="C14" s="75">
        <f>(SUMIF($G$2:$G$31,B14,$I$2:$I$31))+(SUMIF($G$35:$G$41,B14,$H$35:$H$41))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29" t="s">
        <v>10</v>
      </c>
      <c r="C15" s="75">
        <f>(SUMIF($G$2:$G$31,B15,$I$2:$I$31))+(SUMIF($G$35:$G$41,B15,$H$35:$H$41))</f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IF(vend[[#This Row],[Nº Venda]]&gt;1,1,0)</f>
        <v>0</v>
      </c>
    </row>
    <row r="19" spans="2:18" ht="15.75" x14ac:dyDescent="0.25">
      <c r="B19" s="29">
        <f>COUNT(entr_carn6[OS])</f>
        <v>0</v>
      </c>
      <c r="C19" s="30">
        <f>SUM(entr_carn6[Valor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8"/>
      <c r="F41" s="38"/>
      <c r="G41" s="25"/>
      <c r="H41" s="8"/>
      <c r="I41" s="8"/>
      <c r="K41" s="101"/>
      <c r="L41" s="40"/>
      <c r="M41" s="39"/>
    </row>
    <row r="42" spans="2:18" x14ac:dyDescent="0.2">
      <c r="F42" s="92"/>
      <c r="G42" s="92"/>
      <c r="H42" s="91"/>
      <c r="I42" s="9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15" zoomScale="80" zoomScaleNormal="80" workbookViewId="0">
      <selection activeCell="J6" sqref="J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78">
        <f>'06'!B1+1</f>
        <v>45572</v>
      </c>
    </row>
    <row r="2" spans="2:21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  <c r="U4" s="1">
        <v>0</v>
      </c>
    </row>
    <row r="5" spans="2:21" ht="15" x14ac:dyDescent="0.25">
      <c r="B5" s="22" t="s">
        <v>1</v>
      </c>
      <c r="C5" s="23">
        <f>SUMIF(I6:I31,"&gt;0",H6:H31)</f>
        <v>699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2" t="s">
        <v>2</v>
      </c>
      <c r="C6" s="23">
        <f>SUM(I6:I41)</f>
        <v>699</v>
      </c>
      <c r="D6" s="2"/>
      <c r="E6" s="93">
        <v>3750</v>
      </c>
      <c r="F6" s="76" t="s">
        <v>158</v>
      </c>
      <c r="G6" s="76" t="s">
        <v>7</v>
      </c>
      <c r="H6" s="77">
        <v>699</v>
      </c>
      <c r="I6" s="77">
        <v>100</v>
      </c>
      <c r="J6" s="2"/>
      <c r="K6" s="24"/>
      <c r="L6" s="9"/>
      <c r="M6" s="16"/>
      <c r="R6" s="1">
        <f>IF(vend7[[#This Row],[Nº Venda]]&gt;1,1,0)</f>
        <v>1</v>
      </c>
    </row>
    <row r="7" spans="2:21" ht="15.75" x14ac:dyDescent="0.25">
      <c r="B7" s="22" t="s">
        <v>3</v>
      </c>
      <c r="C7" s="23">
        <f>SUM(M6:M11)</f>
        <v>0</v>
      </c>
      <c r="D7" s="2"/>
      <c r="E7" s="93"/>
      <c r="F7" s="45"/>
      <c r="G7" s="45"/>
      <c r="H7" s="44"/>
      <c r="I7" s="44"/>
      <c r="J7" s="2"/>
      <c r="K7" s="24"/>
      <c r="L7" s="9"/>
      <c r="M7" s="16"/>
      <c r="R7" s="1">
        <f>IF(vend7[[#This Row],[Nº Venda]]&gt;1,1,0)</f>
        <v>0</v>
      </c>
    </row>
    <row r="8" spans="2:21" ht="15.75" x14ac:dyDescent="0.25">
      <c r="B8" s="27" t="s">
        <v>21</v>
      </c>
      <c r="C8" s="28">
        <f>SUM(C6:C7)</f>
        <v>699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IF(vend7[[#This Row],[Nº Venda]]&gt;1,1,0)</f>
        <v>0</v>
      </c>
    </row>
    <row r="10" spans="2:21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IF(vend7[[#This Row],[Nº Venda]]&gt;1,1,0)</f>
        <v>0</v>
      </c>
    </row>
    <row r="11" spans="2:21" ht="15.75" x14ac:dyDescent="0.25">
      <c r="B11" s="29" t="s">
        <v>6</v>
      </c>
      <c r="C11" s="30">
        <f>(SUMIF($G$2:$G$31,B11,$I$2:$I$31))+(SUMIF($G$35:$G$41,B11,$H$35:$H$41))</f>
        <v>346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21" ht="15.75" x14ac:dyDescent="0.25">
      <c r="B12" s="29" t="s">
        <v>7</v>
      </c>
      <c r="C12" s="30">
        <f t="shared" ref="C12:C15" si="0">(SUMIF($G$2:$G$31,B12,$I$2:$I$31))+(SUMIF($G$35:$G$41,B12,$H$35:$H$41))</f>
        <v>100</v>
      </c>
      <c r="D12" s="2"/>
      <c r="E12" s="93"/>
      <c r="F12" s="24"/>
      <c r="G12" s="25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29" t="s">
        <v>8</v>
      </c>
      <c r="C13" s="30">
        <f t="shared" si="0"/>
        <v>599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IF(vend7[[#This Row],[Nº Venda]]&gt;1,1,0)</f>
        <v>0</v>
      </c>
    </row>
    <row r="14" spans="2:21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N14" s="103" t="s">
        <v>156</v>
      </c>
      <c r="R14" s="1">
        <f>IF(vend7[[#This Row],[Nº Venda]]&gt;1,1,0)</f>
        <v>0</v>
      </c>
    </row>
    <row r="15" spans="2:21" ht="15.75" x14ac:dyDescent="0.25">
      <c r="B15" s="29" t="s">
        <v>10</v>
      </c>
      <c r="C15" s="30">
        <f t="shared" si="0"/>
        <v>100</v>
      </c>
      <c r="D15" s="2"/>
      <c r="E15" s="93"/>
      <c r="F15" s="24"/>
      <c r="G15" s="25"/>
      <c r="H15" s="8"/>
      <c r="I15" s="8"/>
      <c r="J15" s="2"/>
      <c r="K15" s="101">
        <v>3742</v>
      </c>
      <c r="L15" s="9" t="s">
        <v>134</v>
      </c>
      <c r="M15" s="46" t="s">
        <v>143</v>
      </c>
      <c r="R15" s="1">
        <f>IF(vend7[[#This Row],[Nº Venda]]&gt;1,1,0)</f>
        <v>0</v>
      </c>
    </row>
    <row r="16" spans="2:21" ht="15.75" x14ac:dyDescent="0.25">
      <c r="B16" s="27" t="s">
        <v>11</v>
      </c>
      <c r="C16" s="31">
        <f>SUM(C11:C15)</f>
        <v>1145</v>
      </c>
      <c r="D16" s="2"/>
      <c r="E16" s="93"/>
      <c r="F16" s="24"/>
      <c r="G16" s="25"/>
      <c r="H16" s="8"/>
      <c r="I16" s="8"/>
      <c r="J16" s="2"/>
      <c r="K16" s="101">
        <v>3736</v>
      </c>
      <c r="L16" s="9" t="s">
        <v>128</v>
      </c>
      <c r="M16" s="16" t="s">
        <v>143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IF(vend7[[#This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IF(vend7[[#This Row],[Nº Venda]]&gt;1,1,0)</f>
        <v>0</v>
      </c>
    </row>
    <row r="19" spans="2:18" ht="15.75" x14ac:dyDescent="0.25">
      <c r="B19" s="29">
        <f>COUNT(entr_carn7[OS])</f>
        <v>0</v>
      </c>
      <c r="C19" s="30">
        <f>SUM(entr_carn7[Valor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699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3736</v>
      </c>
      <c r="F26" s="55" t="s">
        <v>157</v>
      </c>
      <c r="G26" s="68" t="s">
        <v>8</v>
      </c>
      <c r="H26" s="69"/>
      <c r="I26" s="69">
        <v>599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3644</v>
      </c>
      <c r="F35" s="24" t="s">
        <v>153</v>
      </c>
      <c r="G35" s="25" t="s">
        <v>10</v>
      </c>
      <c r="H35" s="8">
        <v>100</v>
      </c>
      <c r="I35" s="8" t="s">
        <v>52</v>
      </c>
      <c r="K35" s="101"/>
      <c r="L35" s="40"/>
      <c r="M35" s="16"/>
    </row>
    <row r="36" spans="2:18" ht="15.75" x14ac:dyDescent="0.25">
      <c r="E36" s="97">
        <v>3592</v>
      </c>
      <c r="F36" s="24" t="s">
        <v>154</v>
      </c>
      <c r="G36" s="25" t="s">
        <v>6</v>
      </c>
      <c r="H36" s="8">
        <v>180</v>
      </c>
      <c r="I36" s="8" t="s">
        <v>46</v>
      </c>
      <c r="K36" s="101"/>
      <c r="L36" s="40"/>
      <c r="M36" s="16"/>
    </row>
    <row r="37" spans="2:18" ht="15.75" x14ac:dyDescent="0.25">
      <c r="E37" s="93">
        <v>3611</v>
      </c>
      <c r="F37" s="24" t="s">
        <v>155</v>
      </c>
      <c r="G37" s="25" t="s">
        <v>6</v>
      </c>
      <c r="H37" s="8">
        <v>166</v>
      </c>
      <c r="I37" s="8" t="s">
        <v>44</v>
      </c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opLeftCell="A21" zoomScale="80" zoomScaleNormal="80" workbookViewId="0">
      <selection activeCell="F40" sqref="F40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'07'!B1+1</f>
        <v>45573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480</v>
      </c>
      <c r="D6" s="2"/>
      <c r="E6" s="93"/>
      <c r="F6" s="8"/>
      <c r="G6" s="8"/>
      <c r="H6" s="8"/>
      <c r="I6" s="8"/>
      <c r="J6" s="2"/>
      <c r="K6" s="24"/>
      <c r="L6" s="9"/>
      <c r="M6" s="16"/>
      <c r="R6" s="1">
        <f>IF(vend8[[#This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8"/>
      <c r="G7" s="8"/>
      <c r="H7" s="8"/>
      <c r="I7" s="8"/>
      <c r="J7" s="2"/>
      <c r="K7" s="24"/>
      <c r="L7" s="9"/>
      <c r="M7" s="16"/>
      <c r="R7" s="1">
        <f>IF(vend8[[#This Row],[Nº Venda]]&gt;1,1,0)</f>
        <v>0</v>
      </c>
    </row>
    <row r="8" spans="2:18" ht="15.75" x14ac:dyDescent="0.25">
      <c r="B8" s="27" t="s">
        <v>21</v>
      </c>
      <c r="C8" s="28">
        <f>SUM(C6:C7)</f>
        <v>480</v>
      </c>
      <c r="D8" s="2"/>
      <c r="E8" s="93"/>
      <c r="F8" s="8"/>
      <c r="G8" s="8"/>
      <c r="H8" s="8"/>
      <c r="I8" s="8"/>
      <c r="J8" s="2"/>
      <c r="K8" s="24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93"/>
      <c r="F9" s="8"/>
      <c r="G9" s="8"/>
      <c r="H9" s="8"/>
      <c r="I9" s="8"/>
      <c r="J9" s="2"/>
      <c r="K9" s="24"/>
      <c r="L9" s="9"/>
      <c r="M9" s="16"/>
      <c r="R9" s="1">
        <f>IF(vend8[[#This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IF(vend8[[#This Row],[Nº Venda]]&gt;1,1,0)</f>
        <v>0</v>
      </c>
    </row>
    <row r="11" spans="2:18" ht="15.75" x14ac:dyDescent="0.25">
      <c r="B11" s="29" t="s">
        <v>6</v>
      </c>
      <c r="C11" s="75">
        <f>(SUMIF($G$2:$G$31,B11,$I$2:$I$31))+(SUMIF($G$35:$G$42,B11,$H$35:$H$42))</f>
        <v>30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29" t="s">
        <v>7</v>
      </c>
      <c r="C12" s="75">
        <f>(SUMIF($G$2:$G$31,B12,$I$2:$I$31))+(SUMIF($G$35:$G$42,B12,$H$35:$H$42))</f>
        <v>0</v>
      </c>
      <c r="D12" s="2"/>
      <c r="E12" s="93"/>
      <c r="F12" s="24"/>
      <c r="G12" s="25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29" t="s">
        <v>8</v>
      </c>
      <c r="C13" s="75">
        <f>(SUMIF($G$2:$G$31,B13,$I$2:$I$31))+(SUMIF($G$35:$G$42,B13,$H$35:$H$42))</f>
        <v>0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IF(vend8[[#This Row],[Nº Venda]]&gt;1,1,0)</f>
        <v>0</v>
      </c>
    </row>
    <row r="14" spans="2:18" ht="15.75" x14ac:dyDescent="0.25">
      <c r="B14" s="29" t="s">
        <v>9</v>
      </c>
      <c r="C14" s="75">
        <f>(SUMIF($G$2:$G$31,B14,$I$2:$I$31))+(SUMIF($G$35:$G$42,B14,$H$35:$H$42))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29" t="s">
        <v>10</v>
      </c>
      <c r="C15" s="75">
        <f>(SUMIF($G$2:$G$31,B15,$I$2:$I$31))+(SUMIF($G$35:$G$42,B15,$H$35:$H$42))</f>
        <v>700</v>
      </c>
      <c r="D15" s="2"/>
      <c r="E15" s="93"/>
      <c r="F15" s="24"/>
      <c r="G15" s="25"/>
      <c r="H15" s="8"/>
      <c r="I15" s="8"/>
      <c r="J15" s="2"/>
      <c r="K15" s="101">
        <v>3726</v>
      </c>
      <c r="L15" s="9" t="s">
        <v>128</v>
      </c>
      <c r="M15" s="16" t="s">
        <v>143</v>
      </c>
      <c r="R15" s="1">
        <f>IF(vend8[[#This Row],[Nº Venda]]&gt;1,1,0)</f>
        <v>0</v>
      </c>
    </row>
    <row r="16" spans="2:18" ht="15.75" x14ac:dyDescent="0.25">
      <c r="B16" s="27" t="s">
        <v>11</v>
      </c>
      <c r="C16" s="31">
        <f>SUM(C11:C15)</f>
        <v>730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IF(vend8[[#This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IF(vend8[[#This Row],[Nº Venda]]&gt;1,1,0)</f>
        <v>0</v>
      </c>
    </row>
    <row r="19" spans="2:18" ht="15.75" x14ac:dyDescent="0.25">
      <c r="B19" s="29">
        <f>COUNT(entr_carn8[OS])</f>
        <v>0</v>
      </c>
      <c r="C19" s="30">
        <f>SUM(entr_carn8[Valor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3726</v>
      </c>
      <c r="F26" s="79" t="s">
        <v>159</v>
      </c>
      <c r="G26" s="80" t="s">
        <v>6</v>
      </c>
      <c r="H26" s="81"/>
      <c r="I26" s="81">
        <v>30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>
        <v>3726</v>
      </c>
      <c r="F27" s="24" t="s">
        <v>159</v>
      </c>
      <c r="G27" s="43" t="s">
        <v>10</v>
      </c>
      <c r="H27" s="8"/>
      <c r="I27" s="8">
        <v>450</v>
      </c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43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24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3566</v>
      </c>
      <c r="F35" s="24" t="s">
        <v>160</v>
      </c>
      <c r="G35" s="25" t="s">
        <v>10</v>
      </c>
      <c r="H35" s="8">
        <v>250</v>
      </c>
      <c r="I35" s="8" t="s">
        <v>76</v>
      </c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8"/>
      <c r="F41" s="38"/>
      <c r="G41" s="25"/>
      <c r="H41" s="8"/>
      <c r="I41" s="8"/>
      <c r="K41" s="101"/>
      <c r="L41" s="40"/>
      <c r="M41" s="39"/>
    </row>
    <row r="42" spans="2:18" ht="15.75" x14ac:dyDescent="0.25">
      <c r="E42" s="34"/>
      <c r="F42" s="72"/>
      <c r="G42" s="73"/>
      <c r="H42" s="74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R41"/>
  <sheetViews>
    <sheetView showGridLines="0" topLeftCell="A17" zoomScale="80" zoomScaleNormal="80" workbookViewId="0">
      <selection activeCell="F20" sqref="F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'08'!B1+1</f>
        <v>45574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IF(vend9[[#This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3746</v>
      </c>
      <c r="L15" s="9" t="s">
        <v>128</v>
      </c>
      <c r="M15" s="16" t="s">
        <v>143</v>
      </c>
      <c r="R15" s="1">
        <f>IF(vend9[[#This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>
        <v>3730</v>
      </c>
      <c r="L16" s="9" t="s">
        <v>128</v>
      </c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IF(vend9[[#This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IF(vend9[[#This Row],[Nº Venda]]&gt;1,1,0)</f>
        <v>0</v>
      </c>
    </row>
    <row r="19" spans="2:18" ht="15.75" x14ac:dyDescent="0.25">
      <c r="B19" s="29">
        <f>COUNT(entr_carn9[OS])</f>
        <v>0</v>
      </c>
      <c r="C19" s="30">
        <f>SUM(entr_carn9[Valor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4"/>
      <c r="G20" s="25"/>
      <c r="H20" s="8"/>
      <c r="I20" s="8"/>
      <c r="J20" s="2"/>
      <c r="K20" s="101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16" zoomScale="80" zoomScaleNormal="80" workbookViewId="0">
      <selection activeCell="E26" sqref="E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'09'!B1+1</f>
        <v>45575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SUM(I6:I42)</f>
        <v>700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IF(vend10[[#This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IF(vend10[[#This Row],[Nº Venda]]&gt;1,1,0)</f>
        <v>0</v>
      </c>
    </row>
    <row r="8" spans="2:18" ht="15.75" x14ac:dyDescent="0.25">
      <c r="B8" s="27" t="s">
        <v>21</v>
      </c>
      <c r="C8" s="28">
        <f>SUM(C6:C7)</f>
        <v>700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IF(vend10[[#This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6</v>
      </c>
      <c r="C11" s="30">
        <f>(SUMIF($G$2:$G$32,B11,$I$2:$I$32))+(SUMIF($G$36:$G$42,B11,$H$36:$H$42))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29" t="s">
        <v>7</v>
      </c>
      <c r="C12" s="30">
        <f>(SUMIF($G$2:$G$32,B12,$I$2:$I$32))+(SUMIF($G$36:$G$42,B12,$H$36:$H$42))</f>
        <v>700</v>
      </c>
      <c r="D12" s="2"/>
      <c r="E12" s="93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8</v>
      </c>
      <c r="C13" s="30">
        <f>(SUMIF($G$2:$G$32,B13,$I$2:$I$32))+(SUMIF($G$36:$G$42,B13,$H$36:$H$42))</f>
        <v>0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IF(vend10[[#This Row],[Nº Venda]]&gt;1,1,0)</f>
        <v>0</v>
      </c>
    </row>
    <row r="14" spans="2:18" ht="15.75" x14ac:dyDescent="0.25">
      <c r="B14" s="29" t="s">
        <v>9</v>
      </c>
      <c r="C14" s="30">
        <f>(SUMIF($G$2:$G$32,B14,$I$2:$I$32))+(SUMIF($G$36:$G$42,B14,$H$36:$H$42))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9" t="s">
        <v>10</v>
      </c>
      <c r="C15" s="30">
        <f>(SUMIF($G$2:$G$32,B15,$I$2:$I$32))+(SUMIF($G$36:$G$42,B15,$H$36:$H$42))</f>
        <v>0</v>
      </c>
      <c r="D15" s="2"/>
      <c r="E15" s="93"/>
      <c r="F15" s="24"/>
      <c r="G15" s="25"/>
      <c r="H15" s="8"/>
      <c r="I15" s="8"/>
      <c r="J15" s="2"/>
      <c r="K15" s="101">
        <v>3747</v>
      </c>
      <c r="L15" s="9" t="s">
        <v>128</v>
      </c>
      <c r="M15" s="16" t="s">
        <v>143</v>
      </c>
      <c r="R15" s="1">
        <f>IF(vend10[[#This Row],[Nº Venda]]&gt;1,1,0)</f>
        <v>0</v>
      </c>
    </row>
    <row r="16" spans="2:18" ht="15.75" x14ac:dyDescent="0.25">
      <c r="B16" s="27" t="s">
        <v>11</v>
      </c>
      <c r="C16" s="31">
        <f>SUM(C11:C15)</f>
        <v>700</v>
      </c>
      <c r="D16" s="2"/>
      <c r="E16" s="93"/>
      <c r="F16" s="24"/>
      <c r="G16" s="25"/>
      <c r="H16" s="8"/>
      <c r="I16" s="8"/>
      <c r="J16" s="2"/>
      <c r="K16" s="101"/>
      <c r="L16" s="9"/>
      <c r="M16" s="58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IF(vend10[[#This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IF(vend10[[#This Row],[Nº Venda]]&gt;1,1,0)</f>
        <v>0</v>
      </c>
    </row>
    <row r="19" spans="2:18" ht="15.75" x14ac:dyDescent="0.25">
      <c r="B19" s="29">
        <f>COUNT(entr_carn10[OS])</f>
        <v>0</v>
      </c>
      <c r="C19" s="30">
        <f>SUM(entr_carn10[Valor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3747</v>
      </c>
      <c r="F26" s="24" t="s">
        <v>161</v>
      </c>
      <c r="G26" s="43" t="s">
        <v>7</v>
      </c>
      <c r="H26" s="8">
        <v>0</v>
      </c>
      <c r="I26" s="8">
        <v>700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43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106" t="s">
        <v>12</v>
      </c>
      <c r="L33" s="107"/>
      <c r="M33" s="108"/>
    </row>
    <row r="34" spans="2:18" ht="15" x14ac:dyDescent="0.25">
      <c r="E34" s="105" t="s">
        <v>28</v>
      </c>
      <c r="F34" s="105"/>
      <c r="G34" s="105"/>
      <c r="H34" s="105"/>
      <c r="I34" s="105"/>
      <c r="K34" s="14" t="s">
        <v>23</v>
      </c>
      <c r="L34" s="6" t="s">
        <v>31</v>
      </c>
      <c r="M34" s="15" t="s">
        <v>32</v>
      </c>
    </row>
    <row r="35" spans="2:18" ht="15" x14ac:dyDescent="0.25">
      <c r="E35" s="99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101"/>
      <c r="L35" s="40"/>
      <c r="M35" s="16"/>
    </row>
    <row r="36" spans="2:18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7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24"/>
      <c r="G39" s="25"/>
      <c r="H39" s="8"/>
      <c r="I39" s="8"/>
      <c r="K39" s="101"/>
      <c r="L39" s="40"/>
      <c r="M39" s="16"/>
    </row>
    <row r="40" spans="2:18" ht="15.75" x14ac:dyDescent="0.25">
      <c r="E40" s="93"/>
      <c r="F40" s="38"/>
      <c r="G40" s="25"/>
      <c r="H40" s="8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5"/>
      <c r="G41" s="36"/>
      <c r="H41" s="17"/>
      <c r="I41" s="8"/>
      <c r="K41" s="101"/>
      <c r="L41" s="40"/>
      <c r="M41" s="39"/>
    </row>
    <row r="42" spans="2:18" ht="15.75" x14ac:dyDescent="0.25">
      <c r="E42" s="42"/>
      <c r="F42" s="38"/>
      <c r="G42" s="25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14" zoomScale="80" zoomScaleNormal="80" workbookViewId="0">
      <selection activeCell="H18" sqref="H18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'10'!B1+1</f>
        <v>45576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5073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1137</v>
      </c>
      <c r="D6" s="2"/>
      <c r="E6" s="93">
        <v>3751</v>
      </c>
      <c r="F6" s="24" t="s">
        <v>163</v>
      </c>
      <c r="G6" s="25" t="s">
        <v>7</v>
      </c>
      <c r="H6" s="8">
        <v>1490</v>
      </c>
      <c r="I6" s="8">
        <v>149</v>
      </c>
      <c r="J6" s="2"/>
      <c r="K6" s="24"/>
      <c r="L6" s="9"/>
      <c r="M6" s="16"/>
      <c r="R6" s="1">
        <f>IF(vend11[[#This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3752</v>
      </c>
      <c r="F7" s="24" t="s">
        <v>165</v>
      </c>
      <c r="G7" s="25" t="s">
        <v>10</v>
      </c>
      <c r="H7" s="8">
        <v>713</v>
      </c>
      <c r="I7" s="8">
        <v>150</v>
      </c>
      <c r="J7" s="2"/>
      <c r="K7" s="24"/>
      <c r="L7" s="9"/>
      <c r="M7" s="16"/>
      <c r="R7" s="1">
        <f>IF(vend11[[#This Row],[Nº Venda]]&gt;1,1,0)</f>
        <v>1</v>
      </c>
    </row>
    <row r="8" spans="2:18" ht="15.75" x14ac:dyDescent="0.25">
      <c r="B8" s="27" t="s">
        <v>21</v>
      </c>
      <c r="C8" s="28">
        <f>SUM(C6:C7)</f>
        <v>1137</v>
      </c>
      <c r="D8" s="2"/>
      <c r="E8" s="93">
        <v>3753</v>
      </c>
      <c r="F8" s="24" t="s">
        <v>166</v>
      </c>
      <c r="G8" s="25" t="s">
        <v>8</v>
      </c>
      <c r="H8" s="8">
        <v>290</v>
      </c>
      <c r="I8" s="8">
        <v>290</v>
      </c>
      <c r="J8" s="2"/>
      <c r="K8" s="24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93">
        <v>3754</v>
      </c>
      <c r="F9" s="24" t="s">
        <v>162</v>
      </c>
      <c r="G9" s="25" t="s">
        <v>7</v>
      </c>
      <c r="H9" s="8">
        <v>1290</v>
      </c>
      <c r="I9" s="8">
        <v>258</v>
      </c>
      <c r="J9" s="2"/>
      <c r="K9" s="24"/>
      <c r="L9" s="9"/>
      <c r="M9" s="16"/>
      <c r="R9" s="1">
        <f>IF(vend11[[#This Row],[Nº Venda]]&gt;1,1,0)</f>
        <v>1</v>
      </c>
    </row>
    <row r="10" spans="2:18" ht="15.75" x14ac:dyDescent="0.25">
      <c r="B10" s="104" t="s">
        <v>5</v>
      </c>
      <c r="C10" s="104"/>
      <c r="D10" s="2"/>
      <c r="E10" s="93">
        <v>3755</v>
      </c>
      <c r="F10" s="24" t="s">
        <v>164</v>
      </c>
      <c r="G10" s="25" t="s">
        <v>10</v>
      </c>
      <c r="H10" s="8">
        <v>1290</v>
      </c>
      <c r="I10" s="8">
        <v>290</v>
      </c>
      <c r="J10" s="2"/>
      <c r="K10" s="24"/>
      <c r="L10" s="9"/>
      <c r="M10" s="16"/>
      <c r="R10" s="1">
        <f>IF(vend11[[#This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407</v>
      </c>
      <c r="D12" s="2"/>
      <c r="E12" s="93"/>
      <c r="F12" s="24"/>
      <c r="G12" s="25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29" t="s">
        <v>8</v>
      </c>
      <c r="C13" s="30">
        <f t="shared" si="0"/>
        <v>290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IF(vend11[[#This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29" t="s">
        <v>10</v>
      </c>
      <c r="C15" s="30">
        <f t="shared" si="0"/>
        <v>440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IF(vend11[[#This Row],[Nº Venda]]&gt;1,1,0)</f>
        <v>0</v>
      </c>
    </row>
    <row r="16" spans="2:18" ht="15.75" x14ac:dyDescent="0.25">
      <c r="B16" s="27" t="s">
        <v>11</v>
      </c>
      <c r="C16" s="31">
        <f>SUM(C11:C15)</f>
        <v>1137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IF(vend11[[#This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IF(vend11[[#This Row],[Nº Venda]]&gt;1,1,0)</f>
        <v>0</v>
      </c>
    </row>
    <row r="19" spans="2:18" ht="15.75" x14ac:dyDescent="0.25">
      <c r="B19" s="29">
        <f>COUNT(entr_carn11[OS])</f>
        <v>0</v>
      </c>
      <c r="C19" s="30">
        <f>SUM(entr_carn11[Valor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5073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5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14" zoomScale="80" zoomScaleNormal="80" workbookViewId="0">
      <selection activeCell="H20" sqref="H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'11'!B1+1</f>
        <v>45577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250</v>
      </c>
      <c r="D6" s="2"/>
      <c r="E6" s="93"/>
      <c r="F6" s="47"/>
      <c r="G6" s="47"/>
      <c r="H6" s="48"/>
      <c r="I6" s="48"/>
      <c r="J6" s="2"/>
      <c r="K6" s="24"/>
      <c r="L6" s="9"/>
      <c r="M6" s="16"/>
      <c r="R6" s="1">
        <f>IF(vend12[[#This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49"/>
      <c r="G7" s="49"/>
      <c r="H7" s="50"/>
      <c r="I7" s="50"/>
      <c r="J7" s="2"/>
      <c r="K7" s="24"/>
      <c r="L7" s="9"/>
      <c r="M7" s="16"/>
      <c r="R7" s="1">
        <f>IF(vend12[[#This Row],[Nº Venda]]&gt;1,1,0)</f>
        <v>0</v>
      </c>
    </row>
    <row r="8" spans="2:18" ht="15.75" x14ac:dyDescent="0.25">
      <c r="B8" s="27" t="s">
        <v>21</v>
      </c>
      <c r="C8" s="28">
        <f>SUM(C6:C7)</f>
        <v>250</v>
      </c>
      <c r="D8" s="2"/>
      <c r="E8" s="93"/>
      <c r="F8" s="49"/>
      <c r="G8" s="49"/>
      <c r="H8" s="50"/>
      <c r="I8" s="50"/>
      <c r="J8" s="2"/>
      <c r="K8" s="24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IF(vend12[[#This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IF(vend12[[#This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29" t="s">
        <v>10</v>
      </c>
      <c r="C15" s="30">
        <f t="shared" si="0"/>
        <v>250</v>
      </c>
      <c r="D15" s="2"/>
      <c r="E15" s="93"/>
      <c r="F15" s="24"/>
      <c r="G15" s="25"/>
      <c r="H15" s="8"/>
      <c r="I15" s="8"/>
      <c r="J15" s="2"/>
      <c r="K15" s="101">
        <v>3713</v>
      </c>
      <c r="L15" s="9" t="s">
        <v>128</v>
      </c>
      <c r="M15" s="16" t="s">
        <v>168</v>
      </c>
      <c r="R15" s="1">
        <f>IF(vend12[[#This Row],[Nº Venda]]&gt;1,1,0)</f>
        <v>0</v>
      </c>
    </row>
    <row r="16" spans="2:18" ht="15.75" x14ac:dyDescent="0.25">
      <c r="B16" s="27" t="s">
        <v>11</v>
      </c>
      <c r="C16" s="31">
        <f>SUM(C11:C15)</f>
        <v>250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IF(vend12[[#This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IF(vend12[[#This Row],[Nº Venda]]&gt;1,1,0)</f>
        <v>0</v>
      </c>
    </row>
    <row r="19" spans="2:18" ht="15.75" x14ac:dyDescent="0.25">
      <c r="B19" s="29">
        <f>COUNT(entr_carn12[OS])</f>
        <v>1</v>
      </c>
      <c r="C19" s="30">
        <f>SUM(entr_carn12[Valor Total])</f>
        <v>740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IF(vend12[[#This Row],[Nº Venda]]&gt;1,1,0)</f>
        <v>0</v>
      </c>
    </row>
    <row r="20" spans="2:18" ht="15.75" x14ac:dyDescent="0.25">
      <c r="B20" s="27" t="s">
        <v>11</v>
      </c>
      <c r="C20" s="31">
        <f>SUM(C19:C19)</f>
        <v>740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3713</v>
      </c>
      <c r="F26" s="51" t="s">
        <v>167</v>
      </c>
      <c r="G26" s="43" t="s">
        <v>10</v>
      </c>
      <c r="H26" s="8"/>
      <c r="I26" s="8">
        <v>250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>
        <v>3713</v>
      </c>
      <c r="L35" s="40">
        <v>2</v>
      </c>
      <c r="M35" s="16">
        <v>740</v>
      </c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16" zoomScale="80" zoomScaleNormal="80" workbookViewId="0">
      <selection activeCell="I6" sqref="I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'12'!B1+1</f>
        <v>45578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IF(vend13[[#This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IF(vend13[[#This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IF(vend13[[#This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IF(vend13[[#This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IF(vend13[[#This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view="pageBreakPreview" topLeftCell="A11" zoomScale="60" zoomScaleNormal="60" zoomScalePageLayoutView="130" workbookViewId="0">
      <selection activeCell="Z25" sqref="Z2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'13'!B1+1</f>
        <v>45579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1190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1190</v>
      </c>
      <c r="D6" s="2"/>
      <c r="E6" s="93">
        <v>3756</v>
      </c>
      <c r="F6" s="24" t="s">
        <v>169</v>
      </c>
      <c r="G6" s="43" t="s">
        <v>8</v>
      </c>
      <c r="H6" s="8">
        <v>1190</v>
      </c>
      <c r="I6" s="8">
        <v>1190</v>
      </c>
      <c r="J6" s="2"/>
      <c r="K6" s="24"/>
      <c r="L6" s="9"/>
      <c r="M6" s="16"/>
      <c r="R6" s="1">
        <f>IF(vend14[[#This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3757</v>
      </c>
      <c r="F7" s="24" t="s">
        <v>171</v>
      </c>
      <c r="G7" s="43" t="s">
        <v>39</v>
      </c>
      <c r="H7" s="8">
        <v>0</v>
      </c>
      <c r="I7" s="8">
        <v>0</v>
      </c>
      <c r="J7" s="2"/>
      <c r="K7" s="24"/>
      <c r="L7" s="9"/>
      <c r="M7" s="16"/>
      <c r="R7" s="1">
        <f>IF(vend14[[#This Row],[Nº Venda]]&gt;1,1,0)</f>
        <v>1</v>
      </c>
    </row>
    <row r="8" spans="2:18" ht="15.75" x14ac:dyDescent="0.25">
      <c r="B8" s="27" t="s">
        <v>21</v>
      </c>
      <c r="C8" s="28">
        <f>SUM(C6:C7)</f>
        <v>1190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IF(vend14[[#This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>
        <v>3</v>
      </c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8</v>
      </c>
      <c r="C13" s="30">
        <f t="shared" si="0"/>
        <v>1190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IF(vend14[[#This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9" t="s">
        <v>10</v>
      </c>
      <c r="C15" s="30">
        <f t="shared" si="0"/>
        <v>133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IF(vend14[[#This Row],[Nº Venda]]&gt;1,1,0)</f>
        <v>0</v>
      </c>
    </row>
    <row r="16" spans="2:18" ht="15.75" x14ac:dyDescent="0.25">
      <c r="B16" s="27" t="s">
        <v>11</v>
      </c>
      <c r="C16" s="31">
        <f>SUM(C11:C15)</f>
        <v>1323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IF(vend14[[#This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IF(vend14[[#This Row],[Nº Venda]]&gt;1,1,0)</f>
        <v>0</v>
      </c>
    </row>
    <row r="19" spans="2:18" ht="15.75" x14ac:dyDescent="0.25">
      <c r="B19" s="29">
        <f>COUNT(entr_carn14[OS])</f>
        <v>0</v>
      </c>
      <c r="C19" s="30">
        <f>SUM(entr_carn14[Valor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1190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3624</v>
      </c>
      <c r="F35" s="24" t="s">
        <v>170</v>
      </c>
      <c r="G35" s="25" t="s">
        <v>10</v>
      </c>
      <c r="H35" s="8">
        <v>133</v>
      </c>
      <c r="I35" s="8" t="s">
        <v>72</v>
      </c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12" zoomScale="80" zoomScaleNormal="80" workbookViewId="0">
      <selection activeCell="G16" sqref="G1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'14'!B1+1</f>
        <v>45580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999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1349</v>
      </c>
      <c r="D6" s="2"/>
      <c r="E6" s="93">
        <v>3758</v>
      </c>
      <c r="F6" s="24" t="s">
        <v>173</v>
      </c>
      <c r="G6" s="43" t="s">
        <v>8</v>
      </c>
      <c r="H6" s="8">
        <v>999</v>
      </c>
      <c r="I6" s="8">
        <v>999</v>
      </c>
      <c r="J6" s="2"/>
      <c r="K6" s="24"/>
      <c r="L6" s="9"/>
      <c r="M6" s="16"/>
      <c r="R6" s="1">
        <f>IF(vend15[[#This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IF(vend15[[#This Row],[Nº Venda]]&gt;1,1,0)</f>
        <v>0</v>
      </c>
    </row>
    <row r="8" spans="2:18" ht="15.75" x14ac:dyDescent="0.25">
      <c r="B8" s="27" t="s">
        <v>21</v>
      </c>
      <c r="C8" s="28">
        <f>SUM(C6:C7)</f>
        <v>1349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IF(vend15[[#This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350</v>
      </c>
      <c r="D12" s="2"/>
      <c r="E12" s="93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8</v>
      </c>
      <c r="C13" s="30">
        <f t="shared" si="0"/>
        <v>999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IF(vend15[[#This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3757</v>
      </c>
      <c r="L15" s="9" t="s">
        <v>128</v>
      </c>
      <c r="M15" s="64" t="s">
        <v>143</v>
      </c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1349</v>
      </c>
      <c r="D16" s="2"/>
      <c r="E16" s="93"/>
      <c r="F16" s="24"/>
      <c r="G16" s="25"/>
      <c r="H16" s="8"/>
      <c r="I16" s="8"/>
      <c r="J16" s="2"/>
      <c r="K16" s="101">
        <v>3727</v>
      </c>
      <c r="L16" s="9" t="s">
        <v>134</v>
      </c>
      <c r="M16" s="16" t="s">
        <v>143</v>
      </c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3749</v>
      </c>
      <c r="L17" s="9" t="s">
        <v>128</v>
      </c>
      <c r="M17" s="16" t="s">
        <v>143</v>
      </c>
      <c r="R17" s="1">
        <f>IF(vend15[[#This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64"/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999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3749</v>
      </c>
      <c r="F26" s="24" t="s">
        <v>172</v>
      </c>
      <c r="G26" s="43" t="s">
        <v>7</v>
      </c>
      <c r="H26" s="8"/>
      <c r="I26" s="8">
        <v>350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16" zoomScale="80" zoomScaleNormal="80" workbookViewId="0">
      <selection activeCell="V16" sqref="V1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'15'!B1+1</f>
        <v>45581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2479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1377</v>
      </c>
      <c r="D6" s="2"/>
      <c r="E6" s="93">
        <v>3759</v>
      </c>
      <c r="F6" s="24" t="s">
        <v>174</v>
      </c>
      <c r="G6" s="43" t="s">
        <v>7</v>
      </c>
      <c r="H6" s="8">
        <v>1590</v>
      </c>
      <c r="I6" s="8">
        <v>400</v>
      </c>
      <c r="J6" s="2"/>
      <c r="K6" s="24"/>
      <c r="L6" s="9"/>
      <c r="M6" s="16"/>
      <c r="R6" s="1">
        <f>IF(vend16[[#This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3760</v>
      </c>
      <c r="F7" s="24" t="s">
        <v>175</v>
      </c>
      <c r="G7" s="43" t="s">
        <v>8</v>
      </c>
      <c r="H7" s="8">
        <v>299</v>
      </c>
      <c r="I7" s="8">
        <v>299</v>
      </c>
      <c r="J7" s="2"/>
      <c r="K7" s="24"/>
      <c r="L7" s="9"/>
      <c r="M7" s="16"/>
      <c r="R7" s="1">
        <f>IF(vend16[[#This Row],[Nº Venda]]&gt;1,1,0)</f>
        <v>1</v>
      </c>
    </row>
    <row r="8" spans="2:18" ht="15.75" x14ac:dyDescent="0.25">
      <c r="B8" s="27" t="s">
        <v>21</v>
      </c>
      <c r="C8" s="28">
        <f>SUM(C6:C7)</f>
        <v>1377</v>
      </c>
      <c r="D8" s="2"/>
      <c r="E8" s="93">
        <v>3761</v>
      </c>
      <c r="F8" s="24" t="s">
        <v>178</v>
      </c>
      <c r="G8" s="25" t="s">
        <v>7</v>
      </c>
      <c r="H8" s="8">
        <v>590</v>
      </c>
      <c r="I8" s="8">
        <v>400</v>
      </c>
      <c r="J8" s="2"/>
      <c r="K8" s="24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IF(vend16[[#This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800</v>
      </c>
      <c r="D12" s="2"/>
      <c r="E12" s="93"/>
      <c r="F12" s="24"/>
      <c r="G12" s="25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29" t="s">
        <v>8</v>
      </c>
      <c r="C13" s="30">
        <f t="shared" si="0"/>
        <v>577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IF(vend16[[#This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29" t="s">
        <v>10</v>
      </c>
      <c r="C15" s="30">
        <f t="shared" si="0"/>
        <v>200</v>
      </c>
      <c r="D15" s="2"/>
      <c r="E15" s="93"/>
      <c r="F15" s="24"/>
      <c r="G15" s="25"/>
      <c r="H15" s="8"/>
      <c r="I15" s="8"/>
      <c r="J15" s="2"/>
      <c r="K15" s="101">
        <v>3733</v>
      </c>
      <c r="L15" s="9" t="s">
        <v>134</v>
      </c>
      <c r="M15" s="16" t="s">
        <v>143</v>
      </c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1577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64"/>
      <c r="R17" s="1">
        <f>IF(vend16[[#This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IF(vend16[[#This Row],[Nº Venda]]&gt;1,1,0)</f>
        <v>0</v>
      </c>
    </row>
    <row r="19" spans="2:18" ht="15.75" x14ac:dyDescent="0.25">
      <c r="B19" s="29">
        <f>COUNT(entr_carn16[OS])</f>
        <v>1</v>
      </c>
      <c r="C19" s="30">
        <f>SUM(entr_carn16[Valor Total])</f>
        <v>973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973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2479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3733</v>
      </c>
      <c r="F26" s="24" t="s">
        <v>176</v>
      </c>
      <c r="G26" s="43" t="s">
        <v>8</v>
      </c>
      <c r="H26" s="8"/>
      <c r="I26" s="8">
        <v>278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3634</v>
      </c>
      <c r="F35" s="24" t="s">
        <v>177</v>
      </c>
      <c r="G35" s="25" t="s">
        <v>10</v>
      </c>
      <c r="H35" s="8">
        <v>200</v>
      </c>
      <c r="I35" s="8" t="s">
        <v>66</v>
      </c>
      <c r="K35" s="101">
        <v>3733</v>
      </c>
      <c r="L35" s="40">
        <v>8</v>
      </c>
      <c r="M35" s="16">
        <v>973</v>
      </c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18" zoomScale="80" zoomScaleNormal="80" workbookViewId="0">
      <selection activeCell="J47" sqref="J4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'16'!B1+1</f>
        <v>45582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689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300</v>
      </c>
      <c r="D6" s="2"/>
      <c r="E6" s="93">
        <v>3762</v>
      </c>
      <c r="F6" s="24" t="s">
        <v>179</v>
      </c>
      <c r="G6" s="25" t="s">
        <v>7</v>
      </c>
      <c r="H6" s="8">
        <v>689</v>
      </c>
      <c r="I6" s="8">
        <v>300</v>
      </c>
      <c r="J6" s="2"/>
      <c r="K6" s="24" t="s">
        <v>180</v>
      </c>
      <c r="L6" s="9" t="s">
        <v>10</v>
      </c>
      <c r="M6" s="16">
        <v>28</v>
      </c>
      <c r="R6" s="1">
        <f>IF(vend17[[#This Row],[Nº Venda]]&gt;1,1,0)</f>
        <v>1</v>
      </c>
    </row>
    <row r="7" spans="2:18" ht="15.75" x14ac:dyDescent="0.25">
      <c r="B7" s="22" t="s">
        <v>3</v>
      </c>
      <c r="C7" s="23">
        <f>SUM(M6:M11)</f>
        <v>32.99</v>
      </c>
      <c r="D7" s="2"/>
      <c r="E7" s="93"/>
      <c r="F7" s="24"/>
      <c r="G7" s="25"/>
      <c r="H7" s="8"/>
      <c r="I7" s="8"/>
      <c r="J7" s="2"/>
      <c r="K7" s="24" t="s">
        <v>181</v>
      </c>
      <c r="L7" s="9" t="s">
        <v>10</v>
      </c>
      <c r="M7" s="16">
        <v>4.99</v>
      </c>
      <c r="R7" s="1">
        <f>IF(vend17[[#This Row],[Nº Venda]]&gt;1,1,0)</f>
        <v>0</v>
      </c>
    </row>
    <row r="8" spans="2:18" ht="15.75" x14ac:dyDescent="0.25">
      <c r="B8" s="27" t="s">
        <v>21</v>
      </c>
      <c r="C8" s="28">
        <f>SUM(C6:C7)</f>
        <v>332.99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IF(vend17[[#This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300</v>
      </c>
      <c r="D12" s="2"/>
      <c r="E12" s="93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IF(vend17[[#This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IF(vend17[[#This Row],[Nº Venda]]&gt;1,1,0)</f>
        <v>0</v>
      </c>
    </row>
    <row r="16" spans="2:18" ht="15.75" x14ac:dyDescent="0.25">
      <c r="B16" s="27" t="s">
        <v>11</v>
      </c>
      <c r="C16" s="31">
        <f>SUM(C11:C15)</f>
        <v>300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IF(vend17[[#This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IF(vend17[[#This Row],[Nº Venda]]&gt;1,1,0)</f>
        <v>0</v>
      </c>
    </row>
    <row r="19" spans="2:18" ht="15.75" x14ac:dyDescent="0.25">
      <c r="B19" s="29">
        <f>COUNT(entr_carn17[OS])</f>
        <v>0</v>
      </c>
      <c r="C19" s="30">
        <f>SUM(entr_carn17[Valor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689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21" zoomScale="80" zoomScaleNormal="80" workbookViewId="0">
      <selection activeCell="G19" sqref="G19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6">
        <f>'17'!B1+1</f>
        <v>45583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100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100</v>
      </c>
      <c r="D6" s="2"/>
      <c r="E6" s="93">
        <v>3763</v>
      </c>
      <c r="F6" s="56" t="s">
        <v>183</v>
      </c>
      <c r="G6" s="85" t="s">
        <v>7</v>
      </c>
      <c r="H6" s="67">
        <v>100</v>
      </c>
      <c r="I6" s="67">
        <v>100</v>
      </c>
      <c r="J6" s="2"/>
      <c r="K6" s="24"/>
      <c r="L6" s="62"/>
      <c r="M6" s="16"/>
      <c r="R6" s="1">
        <f>IF(vend18[[#This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IF(vend18[[#This Row],[Nº Venda]]&gt;1,1,0)</f>
        <v>0</v>
      </c>
    </row>
    <row r="8" spans="2:18" ht="15.75" x14ac:dyDescent="0.25">
      <c r="B8" s="27" t="s">
        <v>21</v>
      </c>
      <c r="C8" s="28">
        <f>SUM(C6:C7)</f>
        <v>100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208</v>
      </c>
      <c r="D12" s="2"/>
      <c r="E12" s="93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IF(vend18[[#This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3763</v>
      </c>
      <c r="L15" s="9" t="s">
        <v>128</v>
      </c>
      <c r="M15" s="16" t="s">
        <v>143</v>
      </c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208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IF(vend18[[#This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IF(vend18[[#This Row],[Nº Venda]]&gt;1,1,0)</f>
        <v>0</v>
      </c>
    </row>
    <row r="19" spans="2:18" ht="15.75" x14ac:dyDescent="0.25">
      <c r="B19" s="29">
        <f>COUNT(entr_carn18[OS])</f>
        <v>0</v>
      </c>
      <c r="C19" s="30">
        <f>SUM(entr_carn18[Valor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100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60"/>
      <c r="F23" s="60"/>
      <c r="G23" s="60"/>
      <c r="H23" s="61"/>
      <c r="I23" s="61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3637</v>
      </c>
      <c r="F35" s="24" t="s">
        <v>182</v>
      </c>
      <c r="G35" s="25" t="s">
        <v>7</v>
      </c>
      <c r="H35" s="8">
        <v>108</v>
      </c>
      <c r="I35" s="8" t="s">
        <v>46</v>
      </c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19" zoomScale="80" zoomScaleNormal="80" zoomScaleSheetLayoutView="70" workbookViewId="0">
      <selection activeCell="F37" sqref="F37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'18'!B1+1</f>
        <v>45584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IF(vend19[[#This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63"/>
      <c r="I7" s="8"/>
      <c r="J7" s="2"/>
      <c r="K7" s="24"/>
      <c r="L7" s="9"/>
      <c r="M7" s="16"/>
      <c r="R7" s="1">
        <f>IF(vend19[[#This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93"/>
      <c r="F9" s="56"/>
      <c r="G9" s="85"/>
      <c r="H9" s="67"/>
      <c r="I9" s="67"/>
      <c r="J9" s="2"/>
      <c r="K9" s="24"/>
      <c r="L9" s="9"/>
      <c r="M9" s="16"/>
      <c r="R9" s="1">
        <f>IF(vend19[[#This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IF(vend19[[#This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29" t="s">
        <v>10</v>
      </c>
      <c r="C15" s="30">
        <f t="shared" si="0"/>
        <v>250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IF(vend19[[#This Row],[Nº Venda]]&gt;1,1,0)</f>
        <v>0</v>
      </c>
    </row>
    <row r="16" spans="2:18" ht="15.75" x14ac:dyDescent="0.25">
      <c r="B16" s="27" t="s">
        <v>11</v>
      </c>
      <c r="C16" s="31">
        <f>SUM(C11:C15)</f>
        <v>250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IF(vend19[[#This Row],[Nº Venda]]&gt;1,1,0)</f>
        <v>0</v>
      </c>
    </row>
    <row r="18" spans="2:22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IF(vend19[[#This Row],[Nº Venda]]&gt;1,1,0)</f>
        <v>0</v>
      </c>
      <c r="V20" s="1" t="s">
        <v>57</v>
      </c>
    </row>
    <row r="21" spans="2:22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22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22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22" ht="15.75" x14ac:dyDescent="0.25">
      <c r="B26" s="2"/>
      <c r="C26" s="2"/>
      <c r="D26" s="2"/>
      <c r="E26" s="93"/>
      <c r="F26" s="38"/>
      <c r="G26" s="25"/>
      <c r="H26" s="8"/>
      <c r="I26" s="8"/>
      <c r="J26" s="2"/>
      <c r="K26" s="101"/>
      <c r="L26" s="9"/>
      <c r="M26" s="16"/>
    </row>
    <row r="27" spans="2:22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22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22" ht="15.75" x14ac:dyDescent="0.25">
      <c r="B29" s="2"/>
      <c r="C29" s="2"/>
      <c r="D29" s="2"/>
      <c r="E29" s="93"/>
      <c r="F29" s="24"/>
      <c r="G29" s="86"/>
      <c r="H29" s="25"/>
      <c r="I29" s="8"/>
      <c r="J29" s="2"/>
      <c r="K29" s="101"/>
      <c r="L29" s="9"/>
      <c r="M29" s="16"/>
    </row>
    <row r="30" spans="2:22" ht="15.75" x14ac:dyDescent="0.25">
      <c r="B30" s="2"/>
      <c r="C30" s="2"/>
      <c r="D30" s="2"/>
      <c r="E30" s="93"/>
      <c r="F30" s="24"/>
      <c r="G30" s="25"/>
      <c r="H30" s="8"/>
      <c r="I30" s="8"/>
      <c r="J30" s="2"/>
      <c r="K30" s="101"/>
      <c r="L30" s="9"/>
      <c r="M30" s="16"/>
    </row>
    <row r="31" spans="2:22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3566</v>
      </c>
      <c r="F35" s="24" t="s">
        <v>184</v>
      </c>
      <c r="G35" s="25" t="s">
        <v>10</v>
      </c>
      <c r="H35" s="8">
        <v>250</v>
      </c>
      <c r="I35" s="8" t="s">
        <v>77</v>
      </c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16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6">
        <f>'19'!B1+1</f>
        <v>45585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64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IF(vend20[[#This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64"/>
    </row>
    <row r="36" spans="2:18" ht="15.75" x14ac:dyDescent="0.25">
      <c r="E36" s="97"/>
      <c r="F36" s="24"/>
      <c r="G36" s="25"/>
      <c r="H36" s="8"/>
      <c r="I36" s="8"/>
      <c r="K36" s="101"/>
      <c r="L36" s="65"/>
      <c r="M36" s="64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17" zoomScale="80" zoomScaleNormal="80" workbookViewId="0">
      <selection activeCell="I17" sqref="I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'20'!B1+1</f>
        <v>45586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3626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3063</v>
      </c>
      <c r="D6" s="2"/>
      <c r="E6" s="93">
        <v>3764</v>
      </c>
      <c r="F6" s="24" t="s">
        <v>185</v>
      </c>
      <c r="G6" s="25" t="s">
        <v>10</v>
      </c>
      <c r="H6" s="8">
        <v>999</v>
      </c>
      <c r="I6" s="8">
        <v>999</v>
      </c>
      <c r="J6" s="2"/>
      <c r="K6" s="24"/>
      <c r="L6" s="9"/>
      <c r="M6" s="16"/>
      <c r="R6" s="1">
        <f>IF(vend21[[#This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3765</v>
      </c>
      <c r="F7" s="24" t="s">
        <v>186</v>
      </c>
      <c r="G7" s="25" t="s">
        <v>10</v>
      </c>
      <c r="H7" s="8">
        <v>399</v>
      </c>
      <c r="I7" s="8">
        <v>399</v>
      </c>
      <c r="J7" s="2"/>
      <c r="K7" s="24"/>
      <c r="L7" s="9"/>
      <c r="M7" s="16"/>
      <c r="R7" s="1">
        <f>IF(vend21[[#This Row],[Nº Venda]]&gt;1,1,0)</f>
        <v>1</v>
      </c>
    </row>
    <row r="8" spans="2:18" ht="15.75" x14ac:dyDescent="0.25">
      <c r="B8" s="27" t="s">
        <v>21</v>
      </c>
      <c r="C8" s="28">
        <f>SUM(C6:C7)</f>
        <v>3063</v>
      </c>
      <c r="D8" s="2"/>
      <c r="E8" s="93">
        <v>3766</v>
      </c>
      <c r="F8" s="24" t="s">
        <v>187</v>
      </c>
      <c r="G8" s="25" t="s">
        <v>7</v>
      </c>
      <c r="H8" s="8">
        <v>2000</v>
      </c>
      <c r="I8" s="8">
        <v>1500</v>
      </c>
      <c r="J8" s="2"/>
      <c r="K8" s="24"/>
      <c r="L8" s="9"/>
      <c r="M8" s="1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93">
        <v>3767</v>
      </c>
      <c r="F9" s="24" t="s">
        <v>187</v>
      </c>
      <c r="G9" s="25" t="s">
        <v>7</v>
      </c>
      <c r="H9" s="8">
        <v>65</v>
      </c>
      <c r="I9" s="8">
        <v>65</v>
      </c>
      <c r="J9" s="2"/>
      <c r="K9" s="24"/>
      <c r="L9" s="9"/>
      <c r="M9" s="16"/>
      <c r="R9" s="1">
        <f>IF(vend21[[#This Row],[Nº Venda]]&gt;1,1,0)</f>
        <v>1</v>
      </c>
    </row>
    <row r="10" spans="2:18" ht="15.75" x14ac:dyDescent="0.25">
      <c r="B10" s="104" t="s">
        <v>5</v>
      </c>
      <c r="C10" s="104"/>
      <c r="D10" s="2"/>
      <c r="E10" s="93">
        <v>3768</v>
      </c>
      <c r="F10" s="24" t="s">
        <v>188</v>
      </c>
      <c r="G10" s="25" t="s">
        <v>6</v>
      </c>
      <c r="H10" s="8">
        <v>163</v>
      </c>
      <c r="I10" s="8">
        <v>100</v>
      </c>
      <c r="J10" s="2"/>
      <c r="K10" s="24"/>
      <c r="L10" s="9"/>
      <c r="M10" s="16"/>
      <c r="R10" s="1">
        <f>IF(vend21[[#This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100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1565</v>
      </c>
      <c r="D12" s="2"/>
      <c r="E12" s="93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IF(vend21[[#This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1398</v>
      </c>
      <c r="D15" s="2"/>
      <c r="E15" s="93"/>
      <c r="F15" s="24"/>
      <c r="G15" s="25"/>
      <c r="H15" s="8"/>
      <c r="I15" s="8"/>
      <c r="J15" s="2"/>
      <c r="K15" s="101">
        <v>3744</v>
      </c>
      <c r="L15" s="9" t="s">
        <v>134</v>
      </c>
      <c r="M15" s="16" t="s">
        <v>143</v>
      </c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3063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IF(vend21[[#This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IF(vend21[[#This Row],[Nº Venda]]&gt;1,1,0)</f>
        <v>0</v>
      </c>
    </row>
    <row r="19" spans="2:18" ht="15.75" x14ac:dyDescent="0.25">
      <c r="B19" s="29">
        <f>COUNT(entr_carn21[OS])</f>
        <v>0</v>
      </c>
      <c r="C19" s="30">
        <f>SUM(entr_carn21[Valor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3626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5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14" zoomScale="80" zoomScaleNormal="80" workbookViewId="0">
      <selection activeCell="B33" sqref="B3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'21'!B1+1</f>
        <v>45587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439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20</v>
      </c>
      <c r="D6" s="2"/>
      <c r="E6" s="93">
        <v>3769</v>
      </c>
      <c r="F6" s="24" t="s">
        <v>190</v>
      </c>
      <c r="G6" s="25" t="s">
        <v>6</v>
      </c>
      <c r="H6" s="8">
        <v>439</v>
      </c>
      <c r="I6" s="8">
        <v>20</v>
      </c>
      <c r="J6" s="2"/>
      <c r="K6" s="24"/>
      <c r="L6" s="9"/>
      <c r="M6" s="16"/>
      <c r="R6" s="1">
        <f>IF(vend22[[#This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IF(vend22[[#This Row],[Nº Venda]]&gt;1,1,0)</f>
        <v>0</v>
      </c>
    </row>
    <row r="8" spans="2:18" ht="15.75" x14ac:dyDescent="0.25">
      <c r="B8" s="27" t="s">
        <v>21</v>
      </c>
      <c r="C8" s="28">
        <f>SUM(C6:C7)</f>
        <v>20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IF(vend22[[#This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20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IF(vend22[[#This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370</v>
      </c>
      <c r="D15" s="2"/>
      <c r="E15" s="93"/>
      <c r="F15" s="24"/>
      <c r="G15" s="25"/>
      <c r="H15" s="8"/>
      <c r="I15" s="8"/>
      <c r="J15" s="2"/>
      <c r="K15" s="101">
        <v>3743</v>
      </c>
      <c r="L15" s="9" t="s">
        <v>134</v>
      </c>
      <c r="M15" s="16" t="s">
        <v>168</v>
      </c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390</v>
      </c>
      <c r="D16" s="2"/>
      <c r="E16" s="93"/>
      <c r="F16" s="24"/>
      <c r="G16" s="25"/>
      <c r="H16" s="8"/>
      <c r="I16" s="8"/>
      <c r="J16" s="2"/>
      <c r="K16" s="101">
        <v>3753</v>
      </c>
      <c r="L16" s="9" t="s">
        <v>128</v>
      </c>
      <c r="M16" s="16" t="s">
        <v>143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IF(vend22[[#This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IF(vend22[[#This Row],[Nº Venda]]&gt;1,1,0)</f>
        <v>0</v>
      </c>
    </row>
    <row r="19" spans="2:18" ht="15.75" x14ac:dyDescent="0.25">
      <c r="B19" s="29">
        <f>COUNT(entr_carn22[OS])</f>
        <v>1</v>
      </c>
      <c r="C19" s="30">
        <f>SUM(entr_carn22[Valor Total])</f>
        <v>490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490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439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3713</v>
      </c>
      <c r="F35" s="24" t="s">
        <v>189</v>
      </c>
      <c r="G35" s="25" t="s">
        <v>10</v>
      </c>
      <c r="H35" s="8">
        <v>370</v>
      </c>
      <c r="I35" s="8" t="s">
        <v>66</v>
      </c>
      <c r="K35" s="101">
        <v>3743</v>
      </c>
      <c r="L35" s="40">
        <v>4</v>
      </c>
      <c r="M35" s="16">
        <v>490</v>
      </c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14" zoomScale="80" zoomScaleNormal="80" workbookViewId="0">
      <selection activeCell="L46" sqref="L4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'22'!B1+1</f>
        <v>45588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430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IF(vend23[[#This Row],[Nº Venda]]&gt;1,1,0)</f>
        <v>0</v>
      </c>
    </row>
    <row r="8" spans="2:18" ht="15.75" x14ac:dyDescent="0.25">
      <c r="B8" s="27" t="s">
        <v>21</v>
      </c>
      <c r="C8" s="28">
        <f>SUM(C6:C7)</f>
        <v>430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IF(vend23[[#This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 x14ac:dyDescent="0.25">
      <c r="B11" s="29" t="s">
        <v>6</v>
      </c>
      <c r="C11" s="75">
        <f>(SUMIF($G$2:$G$31,B11,$I$2:$I$31))+(SUMIF($G$35:$G$44,B11,$H$35:$H$44))</f>
        <v>430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29" t="s">
        <v>7</v>
      </c>
      <c r="C12" s="75">
        <f>(SUMIF($G$2:$G$31,B12,$I$2:$I$31))+(SUMIF($G$35:$G$44,B12,$H$35:$H$44))</f>
        <v>0</v>
      </c>
      <c r="D12" s="2"/>
      <c r="E12" s="93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8</v>
      </c>
      <c r="C13" s="75">
        <f>(SUMIF($G$2:$G$31,B13,$I$2:$I$31))+(SUMIF($G$35:$G$44,B13,$H$35:$H$44))</f>
        <v>0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IF(vend23[[#This Row],[Nº Venda]]&gt;1,1,0)</f>
        <v>0</v>
      </c>
    </row>
    <row r="14" spans="2:18" ht="15.75" x14ac:dyDescent="0.25">
      <c r="B14" s="29" t="s">
        <v>9</v>
      </c>
      <c r="C14" s="75">
        <f>(SUMIF($G$2:$G$31,B14,$I$2:$I$31))+(SUMIF($G$35:$G$44,B14,$H$35:$H$44))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9" t="s">
        <v>10</v>
      </c>
      <c r="C15" s="75">
        <f>(SUMIF($G$2:$G$31,B15,$I$2:$I$31))+(SUMIF($G$35:$G$44,B15,$H$35:$H$44))</f>
        <v>0</v>
      </c>
      <c r="D15" s="2"/>
      <c r="E15" s="93"/>
      <c r="F15" s="24"/>
      <c r="G15" s="25"/>
      <c r="H15" s="8"/>
      <c r="I15" s="8"/>
      <c r="J15" s="2"/>
      <c r="K15" s="101">
        <v>3750</v>
      </c>
      <c r="L15" s="9" t="s">
        <v>134</v>
      </c>
      <c r="M15" s="16" t="s">
        <v>168</v>
      </c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430</v>
      </c>
      <c r="D16" s="2"/>
      <c r="E16" s="93"/>
      <c r="F16" s="24"/>
      <c r="G16" s="25"/>
      <c r="H16" s="8"/>
      <c r="I16" s="8"/>
      <c r="J16" s="2"/>
      <c r="K16" s="101">
        <v>3758</v>
      </c>
      <c r="L16" s="9" t="s">
        <v>128</v>
      </c>
      <c r="M16" s="16" t="s">
        <v>143</v>
      </c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IF(vend23[[#This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IF(vend23[[#This Row],[Nº Venda]]&gt;1,1,0)</f>
        <v>0</v>
      </c>
    </row>
    <row r="19" spans="2:18" ht="15.75" x14ac:dyDescent="0.25">
      <c r="B19" s="29">
        <f>COUNT(entr_carn23[OS])</f>
        <v>1</v>
      </c>
      <c r="C19" s="30">
        <f>SUM(entr_carn23[Valor Total])</f>
        <v>349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349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3750</v>
      </c>
      <c r="F26" s="24" t="s">
        <v>191</v>
      </c>
      <c r="G26" s="25" t="s">
        <v>6</v>
      </c>
      <c r="H26" s="8"/>
      <c r="I26" s="8">
        <v>250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>
        <v>3769</v>
      </c>
      <c r="F27" s="24" t="s">
        <v>192</v>
      </c>
      <c r="G27" s="25" t="s">
        <v>6</v>
      </c>
      <c r="H27" s="8"/>
      <c r="I27" s="8">
        <v>180</v>
      </c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>
        <v>3750</v>
      </c>
      <c r="L35" s="40">
        <v>3</v>
      </c>
      <c r="M35" s="16">
        <v>349</v>
      </c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8"/>
      <c r="F41" s="38"/>
      <c r="G41" s="25"/>
      <c r="H41" s="8"/>
      <c r="I41" s="8"/>
      <c r="K41" s="101"/>
      <c r="L41" s="40"/>
      <c r="M41" s="39"/>
    </row>
    <row r="42" spans="2:18" ht="15.75" x14ac:dyDescent="0.25">
      <c r="E42" s="89"/>
      <c r="F42" s="72"/>
      <c r="G42" s="73"/>
      <c r="H42" s="74"/>
      <c r="I42" s="17"/>
    </row>
    <row r="43" spans="2:18" ht="15.75" x14ac:dyDescent="0.25">
      <c r="E43" s="89"/>
      <c r="F43" s="87"/>
      <c r="G43" s="86"/>
      <c r="H43" s="88"/>
      <c r="I43" s="8"/>
    </row>
    <row r="44" spans="2:18" ht="15.75" x14ac:dyDescent="0.25">
      <c r="E44" s="90"/>
      <c r="F44" s="72"/>
      <c r="G44" s="73"/>
      <c r="H44" s="74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18" zoomScale="90" zoomScaleNormal="90" workbookViewId="0">
      <selection activeCell="B28" sqref="B2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'23'!B1+1</f>
        <v>45589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893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1345</v>
      </c>
      <c r="D6" s="2"/>
      <c r="E6" s="93">
        <v>3770</v>
      </c>
      <c r="F6" s="24" t="s">
        <v>194</v>
      </c>
      <c r="G6" s="25" t="s">
        <v>8</v>
      </c>
      <c r="H6" s="8">
        <v>893</v>
      </c>
      <c r="I6" s="8">
        <v>893</v>
      </c>
      <c r="J6" s="2"/>
      <c r="K6" s="24"/>
      <c r="L6" s="9"/>
      <c r="M6" s="16"/>
      <c r="R6" s="1">
        <f>IF(vend24[[#This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IF(vend24[[#This Row],[Nº Venda]]&gt;1,1,0)</f>
        <v>0</v>
      </c>
    </row>
    <row r="8" spans="2:18" ht="15.75" x14ac:dyDescent="0.25">
      <c r="B8" s="27" t="s">
        <v>21</v>
      </c>
      <c r="C8" s="28">
        <f>SUM(C6:C7)</f>
        <v>1345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IF(vend24[[#This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1282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IF(vend24[[#This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63</v>
      </c>
      <c r="D15" s="2"/>
      <c r="E15" s="93"/>
      <c r="F15" s="24"/>
      <c r="G15" s="25"/>
      <c r="H15" s="8"/>
      <c r="I15" s="8"/>
      <c r="J15" s="2"/>
      <c r="K15" s="101">
        <v>3762</v>
      </c>
      <c r="L15" s="9" t="s">
        <v>134</v>
      </c>
      <c r="M15" s="16" t="s">
        <v>143</v>
      </c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1345</v>
      </c>
      <c r="D16" s="2"/>
      <c r="E16" s="93"/>
      <c r="F16" s="24"/>
      <c r="G16" s="25"/>
      <c r="H16" s="8"/>
      <c r="I16" s="8"/>
      <c r="J16" s="2"/>
      <c r="K16" s="101">
        <v>3768</v>
      </c>
      <c r="L16" s="9" t="s">
        <v>128</v>
      </c>
      <c r="M16" s="16" t="s">
        <v>143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IF(vend24[[#This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IF(vend24[[#This Row],[Nº Venda]]&gt;1,1,0)</f>
        <v>0</v>
      </c>
    </row>
    <row r="19" spans="2:18" ht="15.75" x14ac:dyDescent="0.25">
      <c r="B19" s="29">
        <f>COUNT(entr_carn24[OS])</f>
        <v>0</v>
      </c>
      <c r="C19" s="30">
        <f>SUM(entr_carn24[Valor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893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>
        <v>3762</v>
      </c>
      <c r="F26" s="24" t="s">
        <v>193</v>
      </c>
      <c r="G26" s="25" t="s">
        <v>8</v>
      </c>
      <c r="H26" s="8"/>
      <c r="I26" s="8">
        <v>389</v>
      </c>
      <c r="J26" s="2"/>
      <c r="K26" s="101"/>
      <c r="L26" s="9"/>
      <c r="M26" s="16"/>
    </row>
    <row r="27" spans="2:18" ht="15.75" x14ac:dyDescent="0.25">
      <c r="B27" s="2"/>
      <c r="C27" s="2"/>
      <c r="D27" s="2"/>
      <c r="E27" s="93">
        <v>3768</v>
      </c>
      <c r="F27" s="24" t="s">
        <v>188</v>
      </c>
      <c r="G27" s="25" t="s">
        <v>10</v>
      </c>
      <c r="H27" s="8"/>
      <c r="I27" s="8">
        <v>63</v>
      </c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X41"/>
  <sheetViews>
    <sheetView showGridLines="0" topLeftCell="A18" zoomScale="90" zoomScaleNormal="90" workbookViewId="0">
      <selection activeCell="G19" sqref="G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4" ht="27" x14ac:dyDescent="0.5">
      <c r="B1" s="52">
        <f>'24'!B1+1</f>
        <v>45590</v>
      </c>
    </row>
    <row r="2" spans="2:24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4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4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24" ht="15" x14ac:dyDescent="0.25">
      <c r="B5" s="22" t="s">
        <v>1</v>
      </c>
      <c r="C5" s="23">
        <f>SUMIF(I6:I31,"&gt;0",H6:H31)</f>
        <v>2409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4" ht="15.75" x14ac:dyDescent="0.25">
      <c r="B6" s="22" t="s">
        <v>2</v>
      </c>
      <c r="C6" s="23">
        <f>SUM(I6:I41)</f>
        <v>2461</v>
      </c>
      <c r="D6" s="2"/>
      <c r="E6" s="93">
        <v>3771</v>
      </c>
      <c r="F6" s="24" t="s">
        <v>200</v>
      </c>
      <c r="G6" s="25" t="s">
        <v>8</v>
      </c>
      <c r="H6" s="8">
        <v>1462</v>
      </c>
      <c r="I6" s="8">
        <v>1462</v>
      </c>
      <c r="J6" s="2"/>
      <c r="K6" s="24"/>
      <c r="L6" s="9"/>
      <c r="M6" s="16"/>
      <c r="R6" s="1">
        <f>IF(vend25[[#This Row],[Nº Venda]]&gt;1,1,0)</f>
        <v>1</v>
      </c>
    </row>
    <row r="7" spans="2:24" ht="15.75" x14ac:dyDescent="0.25">
      <c r="B7" s="22" t="s">
        <v>3</v>
      </c>
      <c r="C7" s="23">
        <f>SUM(M6:M11)</f>
        <v>0</v>
      </c>
      <c r="D7" s="2"/>
      <c r="E7" s="93">
        <v>3772</v>
      </c>
      <c r="F7" s="24" t="s">
        <v>200</v>
      </c>
      <c r="G7" s="25" t="s">
        <v>8</v>
      </c>
      <c r="H7" s="8">
        <v>399</v>
      </c>
      <c r="I7" s="8">
        <v>399</v>
      </c>
      <c r="J7" s="2"/>
      <c r="K7" s="24"/>
      <c r="L7" s="9"/>
      <c r="M7" s="16"/>
      <c r="R7" s="1">
        <f>IF(vend25[[#This Row],[Nº Venda]]&gt;1,1,0)</f>
        <v>1</v>
      </c>
    </row>
    <row r="8" spans="2:24" ht="15.75" x14ac:dyDescent="0.25">
      <c r="B8" s="27" t="s">
        <v>21</v>
      </c>
      <c r="C8" s="28">
        <f>SUM(C6:C7)</f>
        <v>2461</v>
      </c>
      <c r="D8" s="2"/>
      <c r="E8" s="93">
        <v>3773</v>
      </c>
      <c r="F8" s="24" t="s">
        <v>206</v>
      </c>
      <c r="G8" s="25" t="s">
        <v>6</v>
      </c>
      <c r="H8" s="8">
        <v>548</v>
      </c>
      <c r="I8" s="8">
        <v>100</v>
      </c>
      <c r="J8" s="2"/>
      <c r="K8" s="24"/>
      <c r="L8" s="9"/>
      <c r="M8" s="16"/>
      <c r="R8" s="1">
        <f>IF(vend25[[#This Row],[Nº Venda]]&gt;1,1,0)</f>
        <v>1</v>
      </c>
    </row>
    <row r="9" spans="2:24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IF(vend25[[#This Row],[Nº Venda]]&gt;1,1,0)</f>
        <v>0</v>
      </c>
    </row>
    <row r="10" spans="2:24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24" ht="15.75" x14ac:dyDescent="0.25">
      <c r="B11" s="29" t="s">
        <v>6</v>
      </c>
      <c r="C11" s="30">
        <f>(SUMIF($G$2:$G$31,B11,$I$2:$I$31))+(SUMIF($G$35:$G$41,B11,$H$35:$H$41))</f>
        <v>715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IF(vend25[[#This Row],[Nº Venda]]&gt;1,1,0)</f>
        <v>0</v>
      </c>
    </row>
    <row r="12" spans="2:24" ht="15.75" x14ac:dyDescent="0.25">
      <c r="B12" s="29" t="s">
        <v>7</v>
      </c>
      <c r="C12" s="30">
        <f>(SUMIF($G$2:$G$31,B12,$I$2:$I$31))+(SUMIF($G$35:$G$41,B12,$H$35:$H$41))</f>
        <v>600</v>
      </c>
      <c r="D12" s="2"/>
      <c r="E12" s="93"/>
      <c r="F12" s="24"/>
      <c r="G12" s="25"/>
      <c r="H12" s="8"/>
      <c r="I12" s="8"/>
      <c r="J12" s="2"/>
      <c r="R12" s="1">
        <f>IF(vend25[[#This Row],[Nº Venda]]&gt;1,1,0)</f>
        <v>0</v>
      </c>
      <c r="X12" s="1" t="s">
        <v>202</v>
      </c>
    </row>
    <row r="13" spans="2:24" ht="15.75" x14ac:dyDescent="0.25">
      <c r="B13" s="29" t="s">
        <v>8</v>
      </c>
      <c r="C13" s="30">
        <f>(SUMIF($G$2:$G$31,B13,$I$2:$I$31))+(SUMIF($G$35:$G$41,B13,$H$35:$H$41))</f>
        <v>1861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IF(vend25[[#This Row],[Nº Venda]]&gt;1,1,0)</f>
        <v>0</v>
      </c>
    </row>
    <row r="14" spans="2:24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24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IF(vend25[[#This Row],[Nº Venda]]&gt;1,1,0)</f>
        <v>0</v>
      </c>
    </row>
    <row r="16" spans="2:24" ht="15.75" x14ac:dyDescent="0.25">
      <c r="B16" s="27" t="s">
        <v>11</v>
      </c>
      <c r="C16" s="31">
        <f>SUM(C11:C15)</f>
        <v>3176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IF(vend25[[#This Row],[Nº Venda]]&gt;1,1,0)</f>
        <v>0</v>
      </c>
    </row>
    <row r="17" spans="2:24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IF(vend25[[#This Row],[Nº Venda]]&gt;1,1,0)</f>
        <v>0</v>
      </c>
    </row>
    <row r="18" spans="2:24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IF(vend25[[#This Row],[Nº Venda]]&gt;1,1,0)</f>
        <v>0</v>
      </c>
    </row>
    <row r="19" spans="2:24" ht="15.75" x14ac:dyDescent="0.25">
      <c r="B19" s="29">
        <f>COUNT(entr_carn25[OS])</f>
        <v>0</v>
      </c>
      <c r="C19" s="30">
        <f>SUM(entr_carn25[Valor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IF(vend25[[#This Row],[Nº Venda]]&gt;1,1,0)</f>
        <v>0</v>
      </c>
      <c r="X19" s="1" t="s">
        <v>201</v>
      </c>
    </row>
    <row r="20" spans="2:24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IF(vend25[[#This Row],[Nº Venda]]&gt;1,1,0)</f>
        <v>0</v>
      </c>
    </row>
    <row r="21" spans="2:24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24" ht="15.75" x14ac:dyDescent="0.25">
      <c r="B22" s="27" t="s">
        <v>26</v>
      </c>
      <c r="C22" s="31">
        <f>C5</f>
        <v>2409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24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24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24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24" ht="15.75" x14ac:dyDescent="0.25">
      <c r="B26" s="2"/>
      <c r="C26" s="2"/>
      <c r="D26" s="2"/>
      <c r="E26" s="93">
        <v>3759</v>
      </c>
      <c r="F26" s="24" t="s">
        <v>198</v>
      </c>
      <c r="G26" s="25" t="s">
        <v>7</v>
      </c>
      <c r="H26" s="8"/>
      <c r="I26" s="8">
        <v>500</v>
      </c>
      <c r="J26" s="2"/>
      <c r="K26" s="101"/>
      <c r="L26" s="9"/>
      <c r="M26" s="16"/>
    </row>
    <row r="27" spans="2:24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24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24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24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24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24" ht="15" x14ac:dyDescent="0.25">
      <c r="B32" s="2"/>
      <c r="C32" s="2"/>
      <c r="E32" s="32"/>
    </row>
    <row r="33" spans="2:21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21" ht="15.75" x14ac:dyDescent="0.25">
      <c r="E35" s="93">
        <v>3731</v>
      </c>
      <c r="F35" s="24" t="s">
        <v>195</v>
      </c>
      <c r="G35" s="25" t="s">
        <v>7</v>
      </c>
      <c r="H35" s="69">
        <v>100</v>
      </c>
      <c r="I35" s="8" t="s">
        <v>51</v>
      </c>
      <c r="K35" s="101"/>
      <c r="L35" s="40"/>
      <c r="M35" s="16"/>
    </row>
    <row r="36" spans="2:21" ht="15.75" x14ac:dyDescent="0.25">
      <c r="E36" s="97">
        <v>3553</v>
      </c>
      <c r="F36" s="24" t="s">
        <v>196</v>
      </c>
      <c r="G36" s="25" t="s">
        <v>6</v>
      </c>
      <c r="H36" s="8">
        <v>115</v>
      </c>
      <c r="I36" s="8" t="s">
        <v>79</v>
      </c>
      <c r="K36" s="101"/>
      <c r="L36" s="40"/>
      <c r="M36" s="16"/>
    </row>
    <row r="37" spans="2:21" ht="15.75" x14ac:dyDescent="0.25">
      <c r="E37" s="93">
        <v>3611</v>
      </c>
      <c r="F37" s="24" t="s">
        <v>197</v>
      </c>
      <c r="G37" s="25" t="s">
        <v>6</v>
      </c>
      <c r="H37" s="8">
        <v>166.5</v>
      </c>
      <c r="I37" s="8" t="s">
        <v>79</v>
      </c>
      <c r="K37" s="101"/>
      <c r="L37" s="40"/>
      <c r="M37" s="16"/>
    </row>
    <row r="38" spans="2:21" ht="15.75" x14ac:dyDescent="0.25">
      <c r="E38" s="93">
        <v>3611</v>
      </c>
      <c r="F38" s="24" t="s">
        <v>197</v>
      </c>
      <c r="G38" s="25" t="s">
        <v>6</v>
      </c>
      <c r="H38" s="8">
        <v>166.5</v>
      </c>
      <c r="I38" s="8" t="s">
        <v>80</v>
      </c>
      <c r="K38" s="101"/>
      <c r="L38" s="40"/>
      <c r="M38" s="16"/>
    </row>
    <row r="39" spans="2:21" ht="15.75" x14ac:dyDescent="0.25">
      <c r="E39" s="93">
        <v>3611</v>
      </c>
      <c r="F39" s="38" t="s">
        <v>197</v>
      </c>
      <c r="G39" s="25" t="s">
        <v>6</v>
      </c>
      <c r="H39" s="8">
        <v>167</v>
      </c>
      <c r="I39" s="8" t="s">
        <v>58</v>
      </c>
      <c r="K39" s="101"/>
      <c r="L39" s="40"/>
      <c r="M39" s="16"/>
      <c r="U39" s="1" t="s">
        <v>199</v>
      </c>
    </row>
    <row r="40" spans="2:21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3</v>
      </c>
    </row>
    <row r="41" spans="2:21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12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'25'!B1+1</f>
        <v>45591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IF(vend26[[#This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IF(vend26[[#This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IF(vend26[[#This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12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'26'!B1+1</f>
        <v>45592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IF(vend27[[#This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IF(vend27[[#This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17" zoomScale="80" zoomScaleNormal="80" workbookViewId="0">
      <selection activeCell="V16" sqref="V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1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'27'!B1+1</f>
        <v>45593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1662.5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450</v>
      </c>
      <c r="D6" s="2"/>
      <c r="E6" s="93">
        <v>3774</v>
      </c>
      <c r="F6" s="24" t="s">
        <v>207</v>
      </c>
      <c r="G6" s="25" t="s">
        <v>6</v>
      </c>
      <c r="H6" s="8">
        <v>1100</v>
      </c>
      <c r="I6" s="8">
        <v>350</v>
      </c>
      <c r="J6" s="2"/>
      <c r="K6" s="24"/>
      <c r="L6" s="9"/>
      <c r="M6" s="16"/>
      <c r="R6" s="1">
        <f>IF(vend28[[#This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>
        <v>3775</v>
      </c>
      <c r="F7" s="24" t="s">
        <v>210</v>
      </c>
      <c r="G7" s="25" t="s">
        <v>7</v>
      </c>
      <c r="H7" s="8">
        <v>562.5</v>
      </c>
      <c r="I7" s="8">
        <v>100</v>
      </c>
      <c r="J7" s="2"/>
      <c r="K7" s="24"/>
      <c r="L7" s="9"/>
      <c r="M7" s="16"/>
      <c r="R7" s="1">
        <f>IF(vend28[[#This Row],[Nº Venda]]&gt;1,1,0)</f>
        <v>1</v>
      </c>
    </row>
    <row r="8" spans="2:18" ht="15.75" x14ac:dyDescent="0.25">
      <c r="B8" s="27" t="s">
        <v>21</v>
      </c>
      <c r="C8" s="28">
        <f>SUM(C6:C7)</f>
        <v>450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350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100</v>
      </c>
      <c r="D12" s="2"/>
      <c r="E12" s="93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IF(vend28[[#This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 t="shared" si="0"/>
        <v>189</v>
      </c>
      <c r="D15" s="2"/>
      <c r="E15" s="93"/>
      <c r="F15" s="24"/>
      <c r="G15" s="25"/>
      <c r="H15" s="8"/>
      <c r="I15" s="8"/>
      <c r="J15" s="2"/>
      <c r="K15" s="101">
        <v>3741</v>
      </c>
      <c r="L15" s="9" t="s">
        <v>128</v>
      </c>
      <c r="M15" s="16" t="s">
        <v>143</v>
      </c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639</v>
      </c>
      <c r="D16" s="2"/>
      <c r="E16" s="93"/>
      <c r="F16" s="24"/>
      <c r="G16" s="25"/>
      <c r="H16" s="8"/>
      <c r="I16" s="8"/>
      <c r="J16" s="2"/>
      <c r="K16" s="101">
        <v>3748</v>
      </c>
      <c r="L16" s="9" t="s">
        <v>134</v>
      </c>
      <c r="M16" s="16" t="s">
        <v>143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IF(vend28[[#This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IF(vend28[[#This Row],[Nº Venda]]&gt;1,1,0)</f>
        <v>0</v>
      </c>
    </row>
    <row r="19" spans="2:18" ht="15.75" x14ac:dyDescent="0.25">
      <c r="B19" s="29">
        <f>COUNT(entr_carn28[OS])</f>
        <v>0</v>
      </c>
      <c r="C19" s="30">
        <f>SUM(entr_carn28[Valor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1662.5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>
        <v>3452</v>
      </c>
      <c r="F35" s="24" t="s">
        <v>208</v>
      </c>
      <c r="G35" s="25" t="s">
        <v>10</v>
      </c>
      <c r="H35" s="8">
        <v>189</v>
      </c>
      <c r="I35" s="8" t="s">
        <v>58</v>
      </c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14" zoomScale="80" zoomScaleNormal="80" workbookViewId="0">
      <selection activeCell="G12" sqref="G12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57">
        <f>'28'!B1+1</f>
        <v>45594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340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40</v>
      </c>
      <c r="D6" s="2"/>
      <c r="E6" s="93">
        <v>3776</v>
      </c>
      <c r="F6" s="24" t="s">
        <v>209</v>
      </c>
      <c r="G6" s="25" t="s">
        <v>6</v>
      </c>
      <c r="H6" s="8">
        <v>340</v>
      </c>
      <c r="I6" s="8">
        <v>40</v>
      </c>
      <c r="J6" s="2"/>
      <c r="K6" s="24"/>
      <c r="L6" s="9"/>
      <c r="M6" s="16"/>
      <c r="R6" s="1">
        <f>IF(vend29[[#This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IF(vend29[[#This Row],[Nº Venda]]&gt;1,1,0)</f>
        <v>0</v>
      </c>
    </row>
    <row r="8" spans="2:18" ht="15.75" x14ac:dyDescent="0.25">
      <c r="B8" s="27" t="s">
        <v>21</v>
      </c>
      <c r="C8" s="28">
        <f>SUM(C6:C7)</f>
        <v>40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44"/>
      <c r="I9" s="8"/>
      <c r="J9" s="2"/>
      <c r="K9" s="24"/>
      <c r="L9" s="9"/>
      <c r="M9" s="16"/>
      <c r="R9" s="1">
        <f>IF(vend29[[#This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40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IF(vend29[[#This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>
        <v>3765</v>
      </c>
      <c r="L15" s="9" t="s">
        <v>128</v>
      </c>
      <c r="M15" s="16" t="s">
        <v>143</v>
      </c>
      <c r="R15" s="1">
        <f>IF(vend29[[#This Row],[Nº Venda]]&gt;1,1,0)</f>
        <v>0</v>
      </c>
    </row>
    <row r="16" spans="2:18" ht="15.75" x14ac:dyDescent="0.25">
      <c r="B16" s="27" t="s">
        <v>11</v>
      </c>
      <c r="C16" s="31">
        <f>SUM(C11:C15)</f>
        <v>40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IF(vend29[[#This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IF(vend29[[#This Row],[Nº Venda]]&gt;1,1,0)</f>
        <v>0</v>
      </c>
    </row>
    <row r="19" spans="2:18" ht="15.75" x14ac:dyDescent="0.25">
      <c r="B19" s="29">
        <f>COUNT(entr_carn29[OS])</f>
        <v>0</v>
      </c>
      <c r="C19" s="30">
        <f>SUM(entr_carn29[Valor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340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14" zoomScale="80" zoomScaleNormal="80" workbookViewId="0">
      <selection activeCell="I17" sqref="I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'29'!B1+1</f>
        <v>45595</v>
      </c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150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IF(vend30[[#This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IF(vend30[[#This Row],[Nº Venda]]&gt;1,1,0)</f>
        <v>0</v>
      </c>
    </row>
    <row r="8" spans="2:18" ht="15.75" x14ac:dyDescent="0.25">
      <c r="B8" s="27" t="s">
        <v>21</v>
      </c>
      <c r="C8" s="28">
        <f>SUM(C6:C7)</f>
        <v>150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IF(vend30[[#This Row],[Nº Venda]]&gt;1,1,0)</f>
        <v>0</v>
      </c>
    </row>
    <row r="10" spans="2:18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IF(vend30[[#This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IF(vend30[[#This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29" t="s">
        <v>10</v>
      </c>
      <c r="C15" s="30">
        <f t="shared" si="0"/>
        <v>150</v>
      </c>
      <c r="D15" s="2"/>
      <c r="E15" s="93"/>
      <c r="F15" s="24"/>
      <c r="G15" s="25"/>
      <c r="H15" s="8"/>
      <c r="I15" s="8"/>
      <c r="J15" s="2"/>
      <c r="K15" s="101">
        <v>3752</v>
      </c>
      <c r="L15" s="9" t="s">
        <v>128</v>
      </c>
      <c r="M15" s="16" t="s">
        <v>168</v>
      </c>
      <c r="R15" s="1">
        <f>IF(vend30[[#This Row],[Nº Venda]]&gt;1,1,0)</f>
        <v>0</v>
      </c>
    </row>
    <row r="16" spans="2:18" ht="15.75" x14ac:dyDescent="0.25">
      <c r="B16" s="27" t="s">
        <v>11</v>
      </c>
      <c r="C16" s="31">
        <f>SUM(C11:C15)</f>
        <v>150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IF(vend30[[#This Row],[Nº Venda]]&gt;1,1,0)</f>
        <v>0</v>
      </c>
    </row>
    <row r="18" spans="2:22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IF(vend30[[#This Row],[Nº Venda]]&gt;1,1,0)</f>
        <v>0</v>
      </c>
    </row>
    <row r="19" spans="2:22" ht="15.75" x14ac:dyDescent="0.25">
      <c r="B19" s="29">
        <f>COUNT(entr_carn30[OS])</f>
        <v>1</v>
      </c>
      <c r="C19" s="30">
        <f>SUM(entr_carn30[Valor Total])</f>
        <v>413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IF(vend30[[#This Row],[Nº Venda]]&gt;1,1,0)</f>
        <v>0</v>
      </c>
    </row>
    <row r="20" spans="2:22" ht="15.75" x14ac:dyDescent="0.25">
      <c r="B20" s="27" t="s">
        <v>11</v>
      </c>
      <c r="C20" s="31">
        <f>SUM(C19:C19)</f>
        <v>413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  <c r="V21" s="1" t="s">
        <v>125</v>
      </c>
    </row>
    <row r="22" spans="2:22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22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22" ht="15.75" x14ac:dyDescent="0.25">
      <c r="B26" s="2"/>
      <c r="C26" s="2"/>
      <c r="D26" s="2"/>
      <c r="E26" s="93">
        <v>3752</v>
      </c>
      <c r="F26" s="24" t="s">
        <v>165</v>
      </c>
      <c r="G26" s="25" t="s">
        <v>10</v>
      </c>
      <c r="H26" s="8"/>
      <c r="I26" s="8">
        <v>150</v>
      </c>
      <c r="J26" s="2"/>
      <c r="K26" s="101"/>
      <c r="L26" s="9"/>
      <c r="M26" s="16"/>
    </row>
    <row r="27" spans="2:22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22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22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22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22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>
        <v>3752</v>
      </c>
      <c r="L35" s="40">
        <v>4</v>
      </c>
      <c r="M35" s="16">
        <v>413</v>
      </c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V41"/>
  <sheetViews>
    <sheetView showGridLines="0" tabSelected="1" view="pageBreakPreview" topLeftCell="A13" zoomScale="60" zoomScaleNormal="80" workbookViewId="0">
      <selection activeCell="L26" sqref="L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2">
        <f>'30'!B1+1</f>
        <v>45596</v>
      </c>
    </row>
    <row r="2" spans="2:22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0</v>
      </c>
      <c r="C4" s="19">
        <v>0</v>
      </c>
      <c r="D4" s="20"/>
      <c r="E4" s="112" t="s">
        <v>1</v>
      </c>
      <c r="F4" s="112"/>
      <c r="G4" s="112"/>
      <c r="H4" s="112"/>
      <c r="I4" s="112"/>
      <c r="J4" s="21"/>
      <c r="K4" s="106" t="s">
        <v>3</v>
      </c>
      <c r="L4" s="107"/>
      <c r="M4" s="108"/>
    </row>
    <row r="5" spans="2:22" ht="15" x14ac:dyDescent="0.25">
      <c r="B5" s="22" t="s">
        <v>1</v>
      </c>
      <c r="C5" s="23">
        <f>SUMIF(I6:I31,"&gt;0",H6:H31)</f>
        <v>1720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2" t="s">
        <v>2</v>
      </c>
      <c r="C6" s="23">
        <f>SUM(I6:I41)</f>
        <v>1720</v>
      </c>
      <c r="D6" s="2"/>
      <c r="E6" s="93">
        <v>3777</v>
      </c>
      <c r="F6" s="24" t="s">
        <v>211</v>
      </c>
      <c r="G6" s="25" t="s">
        <v>7</v>
      </c>
      <c r="H6" s="8">
        <v>1490</v>
      </c>
      <c r="I6" s="8">
        <v>1490</v>
      </c>
      <c r="J6" s="2"/>
      <c r="K6" s="24"/>
      <c r="L6" s="9"/>
      <c r="M6" s="16"/>
      <c r="R6" s="1">
        <f>IF(vend31[[#This Row],[Nº Venda]]&gt;1,1,0)</f>
        <v>1</v>
      </c>
    </row>
    <row r="7" spans="2:22" ht="15.75" x14ac:dyDescent="0.25">
      <c r="B7" s="22" t="s">
        <v>3</v>
      </c>
      <c r="C7" s="23">
        <f>SUM(M6:M11)</f>
        <v>0</v>
      </c>
      <c r="D7" s="2"/>
      <c r="E7" s="93">
        <v>3778</v>
      </c>
      <c r="F7" s="24" t="s">
        <v>212</v>
      </c>
      <c r="G7" s="25" t="s">
        <v>10</v>
      </c>
      <c r="H7" s="8">
        <v>230</v>
      </c>
      <c r="I7" s="8">
        <v>230</v>
      </c>
      <c r="J7" s="2"/>
      <c r="K7" s="24"/>
      <c r="L7" s="9"/>
      <c r="M7" s="16"/>
      <c r="R7" s="1">
        <f>IF(vend31[[#This Row],[Nº Venda]]&gt;1,1,0)</f>
        <v>1</v>
      </c>
    </row>
    <row r="8" spans="2:22" ht="15.75" x14ac:dyDescent="0.25">
      <c r="B8" s="27" t="s">
        <v>21</v>
      </c>
      <c r="C8" s="28">
        <f>SUM(C6:C7)</f>
        <v>1720</v>
      </c>
      <c r="D8" s="2"/>
      <c r="E8" s="113">
        <v>3779</v>
      </c>
      <c r="F8" s="114" t="s">
        <v>212</v>
      </c>
      <c r="G8" s="115" t="s">
        <v>10</v>
      </c>
      <c r="H8" s="116" t="s">
        <v>213</v>
      </c>
      <c r="I8" s="116" t="s">
        <v>213</v>
      </c>
      <c r="J8" s="2"/>
      <c r="K8" s="24"/>
      <c r="L8" s="9"/>
      <c r="M8" s="16"/>
      <c r="R8" s="1">
        <f>IF(vend31[[#This Row],[Nº Venda]]&gt;1,1,0)</f>
        <v>1</v>
      </c>
    </row>
    <row r="9" spans="2:22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IF(vend31[[#This Row],[Nº Venda]]&gt;1,1,0)</f>
        <v>0</v>
      </c>
    </row>
    <row r="10" spans="2:22" ht="15.75" x14ac:dyDescent="0.25">
      <c r="B10" s="104" t="s">
        <v>5</v>
      </c>
      <c r="C10" s="104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IF(vend31[[#This Row],[Nº Venda]]&gt;1,1,0)</f>
        <v>0</v>
      </c>
    </row>
    <row r="11" spans="2:22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IF(vend31[[#This Row],[Nº Venda]]&gt;1,1,0)</f>
        <v>0</v>
      </c>
      <c r="V11" s="1" t="s">
        <v>199</v>
      </c>
    </row>
    <row r="12" spans="2:22" ht="15.75" x14ac:dyDescent="0.25">
      <c r="B12" s="29" t="s">
        <v>7</v>
      </c>
      <c r="C12" s="30">
        <f t="shared" ref="C12:C15" si="0">(SUMIF($G$2:$G$31,B12,$I$2:$I$31))+(SUMIF($G$35:$G$41,B12,$H$35:$H$41))</f>
        <v>1490</v>
      </c>
      <c r="D12" s="2"/>
      <c r="E12" s="93"/>
      <c r="F12" s="24"/>
      <c r="G12" s="25"/>
      <c r="H12" s="8"/>
      <c r="I12" s="8"/>
      <c r="J12" s="2"/>
      <c r="R12" s="1">
        <f>IF(vend31[[#This Row],[Nº Venda]]&gt;1,1,0)</f>
        <v>0</v>
      </c>
    </row>
    <row r="13" spans="2:22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6" t="s">
        <v>22</v>
      </c>
      <c r="L13" s="107"/>
      <c r="M13" s="108"/>
      <c r="R13" s="1">
        <f>IF(vend31[[#This Row],[Nº Venda]]&gt;1,1,0)</f>
        <v>0</v>
      </c>
    </row>
    <row r="14" spans="2:22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22" ht="15.75" x14ac:dyDescent="0.25">
      <c r="B15" s="29" t="s">
        <v>10</v>
      </c>
      <c r="C15" s="30">
        <f t="shared" si="0"/>
        <v>230</v>
      </c>
      <c r="D15" s="2"/>
      <c r="E15" s="93"/>
      <c r="F15" s="24"/>
      <c r="G15" s="25"/>
      <c r="H15" s="8"/>
      <c r="I15" s="8"/>
      <c r="J15" s="2"/>
      <c r="K15" s="101">
        <v>3760</v>
      </c>
      <c r="L15" s="9" t="s">
        <v>134</v>
      </c>
      <c r="M15" s="16" t="s">
        <v>143</v>
      </c>
      <c r="R15" s="1">
        <f>IF(vend31[[#This Row],[Nº Venda]]&gt;1,1,0)</f>
        <v>0</v>
      </c>
    </row>
    <row r="16" spans="2:22" ht="15.75" x14ac:dyDescent="0.25">
      <c r="B16" s="27" t="s">
        <v>11</v>
      </c>
      <c r="C16" s="31">
        <f>SUM(C11:C15)</f>
        <v>1720</v>
      </c>
      <c r="D16" s="2"/>
      <c r="E16" s="93"/>
      <c r="F16" s="24"/>
      <c r="G16" s="25"/>
      <c r="H16" s="8"/>
      <c r="I16" s="8"/>
      <c r="J16" s="2"/>
      <c r="K16" s="101">
        <v>3767</v>
      </c>
      <c r="L16" s="9" t="s">
        <v>134</v>
      </c>
      <c r="M16" s="16" t="s">
        <v>143</v>
      </c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>
        <v>3778</v>
      </c>
      <c r="L17" s="9" t="s">
        <v>134</v>
      </c>
      <c r="M17" s="16" t="s">
        <v>143</v>
      </c>
      <c r="R17" s="1">
        <f>IF(vend31[[#This Row],[Nº Venda]]&gt;1,1,0)</f>
        <v>0</v>
      </c>
    </row>
    <row r="18" spans="2:18" ht="15.75" x14ac:dyDescent="0.25">
      <c r="B18" s="104" t="s">
        <v>12</v>
      </c>
      <c r="C18" s="104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IF(vend31[[#This Row],[Nº Venda]]&gt;1,1,0)</f>
        <v>0</v>
      </c>
    </row>
    <row r="19" spans="2:18" ht="15.75" x14ac:dyDescent="0.25">
      <c r="B19" s="29">
        <f>COUNT(entr_carn31[OS])</f>
        <v>0</v>
      </c>
      <c r="C19" s="30">
        <f>SUM(entr_carn31[Valor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IF(vend31[[#This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1720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5" t="s">
        <v>27</v>
      </c>
      <c r="F24" s="105"/>
      <c r="G24" s="105"/>
      <c r="H24" s="105"/>
      <c r="I24" s="105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5" t="s">
        <v>28</v>
      </c>
      <c r="F33" s="105"/>
      <c r="G33" s="105"/>
      <c r="H33" s="105"/>
      <c r="I33" s="105"/>
      <c r="K33" s="106" t="s">
        <v>12</v>
      </c>
      <c r="L33" s="107"/>
      <c r="M33" s="10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140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61</v>
      </c>
      <c r="B1" s="37" t="s">
        <v>62</v>
      </c>
      <c r="E1" s="37" t="s">
        <v>63</v>
      </c>
    </row>
    <row r="2" spans="1:5" x14ac:dyDescent="0.2">
      <c r="A2" s="37" t="s">
        <v>6</v>
      </c>
      <c r="B2" s="37" t="s">
        <v>64</v>
      </c>
      <c r="E2" t="s">
        <v>45</v>
      </c>
    </row>
    <row r="3" spans="1:5" x14ac:dyDescent="0.2">
      <c r="A3" s="37" t="s">
        <v>7</v>
      </c>
      <c r="B3" s="37" t="s">
        <v>65</v>
      </c>
      <c r="E3" t="s">
        <v>66</v>
      </c>
    </row>
    <row r="4" spans="1:5" x14ac:dyDescent="0.2">
      <c r="A4" s="37" t="s">
        <v>8</v>
      </c>
      <c r="B4" s="37" t="s">
        <v>67</v>
      </c>
      <c r="E4" t="s">
        <v>68</v>
      </c>
    </row>
    <row r="5" spans="1:5" x14ac:dyDescent="0.2">
      <c r="A5" s="37" t="s">
        <v>9</v>
      </c>
      <c r="B5" s="37" t="s">
        <v>69</v>
      </c>
      <c r="E5" t="s">
        <v>70</v>
      </c>
    </row>
    <row r="6" spans="1:5" x14ac:dyDescent="0.2">
      <c r="A6" s="37" t="s">
        <v>10</v>
      </c>
      <c r="B6" s="37" t="s">
        <v>10</v>
      </c>
      <c r="E6" t="s">
        <v>33</v>
      </c>
    </row>
    <row r="7" spans="1:5" x14ac:dyDescent="0.2">
      <c r="A7" s="37" t="s">
        <v>49</v>
      </c>
      <c r="B7" s="37" t="s">
        <v>71</v>
      </c>
      <c r="E7" t="s">
        <v>72</v>
      </c>
    </row>
    <row r="8" spans="1:5" x14ac:dyDescent="0.2">
      <c r="A8" t="s">
        <v>25</v>
      </c>
      <c r="B8" t="s">
        <v>73</v>
      </c>
      <c r="E8" t="s">
        <v>51</v>
      </c>
    </row>
    <row r="9" spans="1:5" x14ac:dyDescent="0.2">
      <c r="A9" s="37" t="s">
        <v>39</v>
      </c>
      <c r="B9" s="37" t="s">
        <v>74</v>
      </c>
      <c r="E9" t="s">
        <v>75</v>
      </c>
    </row>
    <row r="10" spans="1:5" x14ac:dyDescent="0.2">
      <c r="E10" t="s">
        <v>76</v>
      </c>
    </row>
    <row r="11" spans="1:5" x14ac:dyDescent="0.2">
      <c r="E11" t="s">
        <v>77</v>
      </c>
    </row>
    <row r="12" spans="1:5" x14ac:dyDescent="0.2">
      <c r="E12" t="s">
        <v>38</v>
      </c>
    </row>
    <row r="13" spans="1:5" x14ac:dyDescent="0.2">
      <c r="E13" t="s">
        <v>52</v>
      </c>
    </row>
    <row r="14" spans="1:5" x14ac:dyDescent="0.2">
      <c r="E14" t="s">
        <v>46</v>
      </c>
    </row>
    <row r="15" spans="1:5" x14ac:dyDescent="0.2">
      <c r="E15" t="s">
        <v>78</v>
      </c>
    </row>
    <row r="16" spans="1:5" x14ac:dyDescent="0.2">
      <c r="E16" t="s">
        <v>47</v>
      </c>
    </row>
    <row r="17" spans="5:5" x14ac:dyDescent="0.2">
      <c r="E17" t="s">
        <v>41</v>
      </c>
    </row>
    <row r="18" spans="5:5" x14ac:dyDescent="0.2">
      <c r="E18" t="s">
        <v>53</v>
      </c>
    </row>
    <row r="19" spans="5:5" x14ac:dyDescent="0.2">
      <c r="E19" t="s">
        <v>44</v>
      </c>
    </row>
    <row r="20" spans="5:5" x14ac:dyDescent="0.2">
      <c r="E20" t="s">
        <v>79</v>
      </c>
    </row>
    <row r="21" spans="5:5" x14ac:dyDescent="0.2">
      <c r="E21" t="s">
        <v>80</v>
      </c>
    </row>
    <row r="22" spans="5:5" x14ac:dyDescent="0.2">
      <c r="E22" t="s">
        <v>58</v>
      </c>
    </row>
    <row r="23" spans="5:5" x14ac:dyDescent="0.2">
      <c r="E23" t="s">
        <v>35</v>
      </c>
    </row>
    <row r="24" spans="5:5" x14ac:dyDescent="0.2">
      <c r="E24" t="s">
        <v>54</v>
      </c>
    </row>
    <row r="25" spans="5:5" x14ac:dyDescent="0.2">
      <c r="E25" t="s">
        <v>48</v>
      </c>
    </row>
    <row r="26" spans="5:5" x14ac:dyDescent="0.2">
      <c r="E26" t="s">
        <v>40</v>
      </c>
    </row>
    <row r="27" spans="5:5" x14ac:dyDescent="0.2">
      <c r="E27" t="s">
        <v>43</v>
      </c>
    </row>
    <row r="28" spans="5:5" x14ac:dyDescent="0.2">
      <c r="E28" t="s">
        <v>59</v>
      </c>
    </row>
    <row r="29" spans="5:5" x14ac:dyDescent="0.2">
      <c r="E29" t="s">
        <v>60</v>
      </c>
    </row>
    <row r="30" spans="5:5" x14ac:dyDescent="0.2">
      <c r="E30" t="s">
        <v>81</v>
      </c>
    </row>
    <row r="31" spans="5:5" x14ac:dyDescent="0.2">
      <c r="E31" t="s">
        <v>34</v>
      </c>
    </row>
    <row r="32" spans="5:5" x14ac:dyDescent="0.2">
      <c r="E32" t="s">
        <v>82</v>
      </c>
    </row>
    <row r="33" spans="5:5" x14ac:dyDescent="0.2">
      <c r="E33" t="s">
        <v>56</v>
      </c>
    </row>
    <row r="34" spans="5:5" x14ac:dyDescent="0.2">
      <c r="E34" t="s">
        <v>37</v>
      </c>
    </row>
    <row r="35" spans="5:5" x14ac:dyDescent="0.2">
      <c r="E35" t="s">
        <v>55</v>
      </c>
    </row>
    <row r="36" spans="5:5" x14ac:dyDescent="0.2">
      <c r="E36" t="s">
        <v>42</v>
      </c>
    </row>
    <row r="37" spans="5:5" x14ac:dyDescent="0.2">
      <c r="E37" t="s">
        <v>50</v>
      </c>
    </row>
    <row r="38" spans="5:5" x14ac:dyDescent="0.2">
      <c r="E38" t="s">
        <v>83</v>
      </c>
    </row>
    <row r="39" spans="5:5" x14ac:dyDescent="0.2">
      <c r="E39" t="s">
        <v>84</v>
      </c>
    </row>
    <row r="40" spans="5:5" x14ac:dyDescent="0.2">
      <c r="E40" t="s">
        <v>85</v>
      </c>
    </row>
    <row r="41" spans="5:5" x14ac:dyDescent="0.2">
      <c r="E41" t="s">
        <v>86</v>
      </c>
    </row>
    <row r="42" spans="5:5" x14ac:dyDescent="0.2">
      <c r="E42" t="s">
        <v>87</v>
      </c>
    </row>
    <row r="43" spans="5:5" x14ac:dyDescent="0.2">
      <c r="E43" t="s">
        <v>88</v>
      </c>
    </row>
    <row r="44" spans="5:5" x14ac:dyDescent="0.2">
      <c r="E44" t="s">
        <v>89</v>
      </c>
    </row>
    <row r="45" spans="5:5" x14ac:dyDescent="0.2">
      <c r="E45" t="s">
        <v>90</v>
      </c>
    </row>
    <row r="46" spans="5:5" x14ac:dyDescent="0.2">
      <c r="E46" t="s">
        <v>91</v>
      </c>
    </row>
    <row r="47" spans="5:5" x14ac:dyDescent="0.2">
      <c r="E47" t="s">
        <v>92</v>
      </c>
    </row>
    <row r="48" spans="5:5" x14ac:dyDescent="0.2">
      <c r="E48" t="s">
        <v>93</v>
      </c>
    </row>
    <row r="49" spans="5:5" x14ac:dyDescent="0.2">
      <c r="E49" t="s">
        <v>94</v>
      </c>
    </row>
    <row r="50" spans="5:5" x14ac:dyDescent="0.2">
      <c r="E50" t="s">
        <v>95</v>
      </c>
    </row>
    <row r="51" spans="5:5" x14ac:dyDescent="0.2">
      <c r="E51" t="s">
        <v>96</v>
      </c>
    </row>
    <row r="52" spans="5:5" x14ac:dyDescent="0.2">
      <c r="E52" t="s">
        <v>97</v>
      </c>
    </row>
    <row r="53" spans="5:5" x14ac:dyDescent="0.2">
      <c r="E53" t="s">
        <v>98</v>
      </c>
    </row>
    <row r="54" spans="5:5" x14ac:dyDescent="0.2">
      <c r="E54" t="s">
        <v>99</v>
      </c>
    </row>
    <row r="55" spans="5:5" x14ac:dyDescent="0.2">
      <c r="E55" t="s">
        <v>100</v>
      </c>
    </row>
    <row r="56" spans="5:5" x14ac:dyDescent="0.2">
      <c r="E56" t="s">
        <v>101</v>
      </c>
    </row>
    <row r="57" spans="5:5" x14ac:dyDescent="0.2">
      <c r="E57" t="s">
        <v>102</v>
      </c>
    </row>
    <row r="58" spans="5:5" x14ac:dyDescent="0.2">
      <c r="E58" t="s">
        <v>103</v>
      </c>
    </row>
    <row r="59" spans="5:5" x14ac:dyDescent="0.2">
      <c r="E59" t="s">
        <v>104</v>
      </c>
    </row>
    <row r="60" spans="5:5" x14ac:dyDescent="0.2">
      <c r="E60" t="s">
        <v>105</v>
      </c>
    </row>
    <row r="61" spans="5:5" x14ac:dyDescent="0.2">
      <c r="E61" t="s">
        <v>106</v>
      </c>
    </row>
    <row r="62" spans="5:5" x14ac:dyDescent="0.2">
      <c r="E62" t="s">
        <v>107</v>
      </c>
    </row>
    <row r="63" spans="5:5" x14ac:dyDescent="0.2">
      <c r="E63" t="s">
        <v>108</v>
      </c>
    </row>
    <row r="64" spans="5:5" x14ac:dyDescent="0.2">
      <c r="E64" t="s">
        <v>109</v>
      </c>
    </row>
    <row r="65" spans="5:5" x14ac:dyDescent="0.2">
      <c r="E65" t="s">
        <v>110</v>
      </c>
    </row>
    <row r="66" spans="5:5" x14ac:dyDescent="0.2">
      <c r="E66" t="s">
        <v>111</v>
      </c>
    </row>
    <row r="67" spans="5:5" x14ac:dyDescent="0.2">
      <c r="E67" t="s">
        <v>112</v>
      </c>
    </row>
    <row r="68" spans="5:5" x14ac:dyDescent="0.2">
      <c r="E68" t="s">
        <v>113</v>
      </c>
    </row>
    <row r="69" spans="5:5" x14ac:dyDescent="0.2">
      <c r="E69" t="s">
        <v>114</v>
      </c>
    </row>
    <row r="70" spans="5:5" x14ac:dyDescent="0.2">
      <c r="E70" t="s">
        <v>115</v>
      </c>
    </row>
    <row r="71" spans="5:5" x14ac:dyDescent="0.2">
      <c r="E71" t="s">
        <v>116</v>
      </c>
    </row>
    <row r="72" spans="5:5" x14ac:dyDescent="0.2">
      <c r="E72" t="s">
        <v>117</v>
      </c>
    </row>
    <row r="73" spans="5:5" x14ac:dyDescent="0.2">
      <c r="E73" t="s">
        <v>118</v>
      </c>
    </row>
    <row r="74" spans="5:5" x14ac:dyDescent="0.2">
      <c r="E74" t="s">
        <v>119</v>
      </c>
    </row>
    <row r="75" spans="5:5" x14ac:dyDescent="0.2">
      <c r="E75" t="s">
        <v>120</v>
      </c>
    </row>
    <row r="76" spans="5:5" x14ac:dyDescent="0.2">
      <c r="E76" t="s">
        <v>121</v>
      </c>
    </row>
    <row r="77" spans="5:5" x14ac:dyDescent="0.2">
      <c r="E77" t="s">
        <v>122</v>
      </c>
    </row>
    <row r="78" spans="5:5" x14ac:dyDescent="0.2">
      <c r="E78" t="s">
        <v>123</v>
      </c>
    </row>
    <row r="79" spans="5:5" x14ac:dyDescent="0.2">
      <c r="E79" t="s">
        <v>124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8</vt:i4>
      </vt:variant>
    </vt:vector>
  </HeadingPairs>
  <TitlesOfParts>
    <vt:vector size="42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  <vt:lpstr>'31'!Area_de_impressao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riopequeno lojas</cp:lastModifiedBy>
  <cp:revision/>
  <cp:lastPrinted>2024-12-16T17:13:19Z</cp:lastPrinted>
  <dcterms:created xsi:type="dcterms:W3CDTF">2004-04-07T20:43:43Z</dcterms:created>
  <dcterms:modified xsi:type="dcterms:W3CDTF">2024-12-16T17:16:17Z</dcterms:modified>
  <cp:category/>
  <cp:contentStatus/>
</cp:coreProperties>
</file>