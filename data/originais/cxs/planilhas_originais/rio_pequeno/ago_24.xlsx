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1189" documentId="13_ncr:1_{0402BA61-346E-4614-9EF8-32644BD0418E}" xr6:coauthVersionLast="47" xr6:coauthVersionMax="47" xr10:uidLastSave="{A550828A-DA56-48A3-9D16-C437540A30AF}"/>
  <bookViews>
    <workbookView xWindow="-120" yWindow="-120" windowWidth="20730" windowHeight="11160" tabRatio="895" firstSheet="7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97" l="1"/>
  <c r="C13" i="195"/>
  <c r="C15" i="195"/>
  <c r="C14" i="195"/>
  <c r="C12" i="195"/>
  <c r="C11" i="197"/>
  <c r="C11" i="194"/>
  <c r="C11" i="193"/>
  <c r="C11" i="195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<sst xmlns="http://schemas.openxmlformats.org/spreadsheetml/2006/main" count="1887" uniqueCount="220">
  <si>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</si>
  <si>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</si>
  <si>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</si>
  <si>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</si>
  <si>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</si>
  <si>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</si>
  <si>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</si>
  <si>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</si>
  <si>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</si>
  <si>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</si>
  <si>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</si>
  <si>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</si>
  <si>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</si>
  <si>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</si>
  <si>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</si>
  <si>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</si>
  <si>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</si>
  <si>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</si>
  <si>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</si>
  <si>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</si>
  <si>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</si>
  <si>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</si>
  <si>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</si>
  <si>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</si>
  <si>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</si>
  <si>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</si>
  <si>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</si>
  <si>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</si>
  <si>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</si>
  <si>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</si>
  <si>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</si>
  <si>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</si>
  <si>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</si>
  <si>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</si>
  <si>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</si>
  <si>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</si>
  <si>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</si>
  <si>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</si>
  <si>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</si>
  <si>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</si>
  <si>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</si>
  <si>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</si>
  <si>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</si>
  <si>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</si>
  <si>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</si>
  <si>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</si>
  <si>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</si>
  <si>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</si>
  <si>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</si>
  <si>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</si>
  <si>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</si>
  <si>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</si>
  <si>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</si>
  <si>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</si>
  <si>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</si>
  <si>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</si>
  <si>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</si>
  <si>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</si>
  <si>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</si>
  <si>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</si>
  <si>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</si>
  <si>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</si>
  <si>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</si>
  <si>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</si>
  <si>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</si>
  <si>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</si>
  <si>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</si>
  <si>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</si>
  <si>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</si>
  <si>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</si>
  <si>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</si>
  <si>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</si>
  <si>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</si>
  <si>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</si>
  <si>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</si>
  <si>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</si>
  <si>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</si>
  <si>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</si>
  <si>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</si>
  <si>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</si>
  <si>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</si>
  <si>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</si>
  <si>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</si>
  <si>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</si>
  <si>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</si>
  <si>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</si>
  <si>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</si>
  <si>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</si>
  <si>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</si>
  <si>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</si>
  <si>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</si>
  <si>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</si>
  <si>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</si>
  <si>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</si>
  <si>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</si>
  <si>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</si>
  <si>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</si>
  <si>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</si>
  <si>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</si>
  <si>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</si>
  <si>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</si>
  <si>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</si>
  <si>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</si>
  <si>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</si>
  <si>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</si>
  <si>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</si>
  <si>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</si>
  <si>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</si>
  <si>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</si>
  <si>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</si>
  <si>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</si>
  <si>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</si>
  <si>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</si>
  <si>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</si>
  <si>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</si>
  <si>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</si>
  <si>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</si>
  <si>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</si>
  <si>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</si>
  <si>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</si>
  <si>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</si>
  <si>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</si>
  <si>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</si>
  <si>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</si>
  <si>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</si>
  <si>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</si>
  <si>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</si>
  <si>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</si>
  <si>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</si>
  <si>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</si>
  <si>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</si>
  <si>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</si>
  <si>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</si>
  <si>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</si>
  <si>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</si>
  <si>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</si>
  <si>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</si>
  <si>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</si>
  <si>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</si>
  <si>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</si>
  <si>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</si>
  <si>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Não</t>
  </si>
  <si>
    <t>ALINE GOMES</t>
  </si>
  <si>
    <t xml:space="preserve">GERLENE GOMES FERREIRA </t>
  </si>
  <si>
    <t>CLELIO ZANON</t>
  </si>
  <si>
    <t>PAULO RODRIGUES</t>
  </si>
  <si>
    <t>EDINALVA B. DE ALMEIDA</t>
  </si>
  <si>
    <t>FRANCISCO ANTONIO</t>
  </si>
  <si>
    <t>ROBENILDO BOAVENTURA</t>
  </si>
  <si>
    <t>ISABEL SOUSA</t>
  </si>
  <si>
    <t>MARIA VILAÇA BORGES</t>
  </si>
  <si>
    <t>DEBORA PIMENTEL</t>
  </si>
  <si>
    <t>ALABI SHAKIRU</t>
  </si>
  <si>
    <t>ALINE SANTIAGO</t>
  </si>
  <si>
    <t xml:space="preserve">GENESIO DOS SANTOS </t>
  </si>
  <si>
    <t>BRUNO SANTOS PINHEIRO</t>
  </si>
  <si>
    <t xml:space="preserve">MARIA MIZIO </t>
  </si>
  <si>
    <t>jaqueline dos santos</t>
  </si>
  <si>
    <t>CAMILA DE OLIVEIRA</t>
  </si>
  <si>
    <t>JOÁO RODRIGUES</t>
  </si>
  <si>
    <t>CLAUDIA VILLA POSSONI</t>
  </si>
  <si>
    <t>CLAUDIO JOSE TARDIO</t>
  </si>
  <si>
    <t>Sim</t>
  </si>
  <si>
    <t>VITOR SIMPHRONIO</t>
  </si>
  <si>
    <t>MARIA COSMO</t>
  </si>
  <si>
    <t>FRANCISCO RIBACIONKA</t>
  </si>
  <si>
    <t>ROSALVO LOPES</t>
  </si>
  <si>
    <t>CHRISLENE DE CARVALHO</t>
  </si>
  <si>
    <t>ADRIÃO A. GODOY</t>
  </si>
  <si>
    <t>MOISES MACHADO</t>
  </si>
  <si>
    <t>MARILENA LOPES</t>
  </si>
  <si>
    <t>MARILENA  LOPES</t>
  </si>
  <si>
    <t>MARIA GERLAINE</t>
  </si>
  <si>
    <t xml:space="preserve">ISABEL SOUSA </t>
  </si>
  <si>
    <t xml:space="preserve">BRUNO SANTOS </t>
  </si>
  <si>
    <t>CLAUDIA POSSONI</t>
  </si>
  <si>
    <t>ISABELLE MARIE</t>
  </si>
  <si>
    <t>Maria Cristina</t>
  </si>
  <si>
    <t>REGINALDO ALEXANDRE</t>
  </si>
  <si>
    <t>CAMILA OLIVIVEIRA</t>
  </si>
  <si>
    <t>ALBERTO LUIZ MOTTA</t>
  </si>
  <si>
    <t xml:space="preserve">                               </t>
  </si>
  <si>
    <t xml:space="preserve">  </t>
  </si>
  <si>
    <t xml:space="preserve">   </t>
  </si>
  <si>
    <t>ADAILTON BARBOSA RIOS</t>
  </si>
  <si>
    <t>LEANDRO ARAUJO VERNACCI</t>
  </si>
  <si>
    <t>DANIELA S. SANTOS</t>
  </si>
  <si>
    <t>ICARO FERNANDO</t>
  </si>
  <si>
    <t>Coluna1</t>
  </si>
  <si>
    <t>RICARDO ANTERO</t>
  </si>
  <si>
    <t>ROBENILDO DE MORAIS</t>
  </si>
  <si>
    <t xml:space="preserve">AGATHA G. SATOS </t>
  </si>
  <si>
    <t xml:space="preserve">ELIANA PELEGRINO </t>
  </si>
  <si>
    <t>IRENE DA SILVA</t>
  </si>
  <si>
    <t>JORGE R.  DE OLIVEIRA</t>
  </si>
  <si>
    <t>JOÃO RODRIGUES</t>
  </si>
  <si>
    <t xml:space="preserve">    </t>
  </si>
  <si>
    <t>EDNA MRTINS</t>
  </si>
  <si>
    <t xml:space="preserve">          </t>
  </si>
  <si>
    <t>ALIBI SHAKIRU</t>
  </si>
  <si>
    <t xml:space="preserve">MARIA VILAÇA BORGES </t>
  </si>
  <si>
    <t xml:space="preserve">DORALICE SANTOS </t>
  </si>
  <si>
    <t>DORALICE SANTOS</t>
  </si>
  <si>
    <t>LIRIAH PENNA</t>
  </si>
  <si>
    <t>MICAEL ANTUNES NEINAS</t>
  </si>
  <si>
    <t>WILLIAM DOS SANTOS</t>
  </si>
  <si>
    <t xml:space="preserve">                  </t>
  </si>
  <si>
    <t xml:space="preserve">                                   </t>
  </si>
  <si>
    <t xml:space="preserve">     </t>
  </si>
  <si>
    <t xml:space="preserve">      </t>
  </si>
  <si>
    <t xml:space="preserve">             </t>
  </si>
  <si>
    <t>EDNA MARTINS</t>
  </si>
  <si>
    <t>ANA BEATRIZ GONÇALVES</t>
  </si>
  <si>
    <t>IRACEMA JACINTO DA SILVA</t>
  </si>
  <si>
    <t>ADAILTON REIS</t>
  </si>
  <si>
    <t>NEUSA GOMES</t>
  </si>
  <si>
    <t>HELLEN APARECIDA</t>
  </si>
  <si>
    <t>,</t>
  </si>
  <si>
    <t>JOSELI APARECIDA</t>
  </si>
  <si>
    <t>EDENIZE AMORIM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</si>
</sst>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4" fontId="0" fillId="0" borderId="13" xfId="2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1" headerRowBorderDxfId="1640" tableBorderDxfId="1639" totalsRowBorderDxfId="163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7" dataCellStyle="Moeda"/>
    <tableColumn id="5" xr3:uid="{45BECD08-8ABE-4A34-BD78-E2D3AFB8C62A}" name="Cliente" dataDxfId="1636" dataCellStyle="Moeda"/>
    <tableColumn id="2" xr3:uid="{A0D6666C-9CF7-4343-AF6B-BDFE62F94469}" name="Forma de Pgto" dataDxfId="1635" dataCellStyle="Moeda"/>
    <tableColumn id="3" xr3:uid="{988F127F-9D83-4428-BB94-C16FBBB1BD89}" name="Valor Venda" dataDxfId="1634" dataCellStyle="Porcentagem"/>
    <tableColumn id="4" xr3:uid="{6A2928C3-17B0-4FA3-B60C-9E1A2C0324E1}" name="Entrada" dataDxfId="163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2" dataDxfId="1630" headerRowBorderDxfId="1631" tableBorderDxfId="1629" totalsRowBorderDxfId="1628">
  <autoFilter ref="K5:M11" xr:uid="{DD403130-B35C-452C-92F9-290622D77A3D}"/>
  <tableColumns count="3">
    <tableColumn id="1" xr3:uid="{FAD87634-3375-4B41-BEC0-5B072F6B52CE}" name="Descrição" dataDxfId="1627"/>
    <tableColumn id="2" xr3:uid="{7688071E-9548-4552-8BB1-3BA5128DF645}" name="Tipo de Pagto" dataDxfId="1626"/>
    <tableColumn id="3" xr3:uid="{2B260C33-79A5-4C5D-9195-15780C53A861}" name="Valor" dataDxfId="16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4" headerRowBorderDxfId="1623" tableBorderDxfId="1622" totalsRowBorderDxfId="162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0"/>
    <tableColumn id="2" xr3:uid="{606BE417-6802-4580-90D2-86F95EFAAEB7}" name="Cliente" dataDxfId="1619"/>
    <tableColumn id="3" xr3:uid="{2F522A54-F708-4DA3-97E3-CE7C29912E04}" name="Forma de Pgto" dataDxfId="1618" dataCellStyle="Moeda"/>
    <tableColumn id="4" xr3:uid="{7B46EE64-F7F1-4449-A783-67286A94A7C4}" name="Valor Venda" dataDxfId="1617" dataCellStyle="Porcentagem"/>
    <tableColumn id="5" xr3:uid="{389A7D1A-3C35-485E-9958-8A78EF77BE9B}" name="Entrada" dataDxfId="161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5" headerRowBorderDxfId="1614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headerRowBorderDxfId="1607" tableBorderDxfId="1606" totalsRowBorderDxfId="160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4"/>
    <tableColumn id="2" xr3:uid="{FBA6EA78-F44B-4D22-A27A-92A91C10551F}" name="Cliente" dataDxfId="1603"/>
    <tableColumn id="3" xr3:uid="{749B4D89-29B3-4987-91D3-6BA3C44D9B96}" name="Forma de Pgto" dataDxfId="1602" dataCellStyle="Moeda"/>
    <tableColumn id="4" xr3:uid="{A84A6598-B291-4809-A78D-AB810461733D}" name="Valor Parcela" dataDxfId="1601" dataCellStyle="Porcentagem"/>
    <tableColumn id="5" xr3:uid="{3C45FEEC-5E06-4ED7-87CD-0097DB6BC817}" name="Nº Parcela" dataDxfId="160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9" headerRowBorderDxfId="1598" tableBorderDxfId="1597" totalsRowBorderDxfId="1596">
  <autoFilter ref="K34:M41" xr:uid="{42BA126A-AECD-4CD6-8583-BD2352D82FB9}"/>
  <tableColumns count="3">
    <tableColumn id="1" xr3:uid="{0989D88A-7CB7-4008-94FC-B7FFB3CAE582}" name="OS" dataDxfId="1595"/>
    <tableColumn id="2" xr3:uid="{AC9D76CC-A537-4210-9893-E8C57DA30B4D}" name="Parcelas" dataDxfId="1594"/>
    <tableColumn id="3" xr3:uid="{D4D72E6E-DAE0-4860-8606-BFD8E469AE3D}" name="Valor Total" dataDxfId="159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2" dataDxfId="1590" headerRowBorderDxfId="1591" tableBorderDxfId="1589" totalsRowBorderDxfId="1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7" dataCellStyle="Moeda"/>
    <tableColumn id="5" xr3:uid="{62DCD49D-7CD9-4268-A2D5-B3A594E461BB}" name="Cliente" dataDxfId="1586" dataCellStyle="Moeda"/>
    <tableColumn id="2" xr3:uid="{50D45495-B1A2-4885-996A-3E6DD92E280E}" name="Forma de Pgto" dataDxfId="1585" dataCellStyle="Moeda"/>
    <tableColumn id="3" xr3:uid="{DE57E226-692B-42B0-911E-ACCF59BC6D86}" name="Valor Venda" dataDxfId="1584" dataCellStyle="Porcentagem"/>
    <tableColumn id="4" xr3:uid="{CE230B3B-D2C9-4A92-A5F3-A5EE4A74409A}" name="Entrada" dataDxfId="158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2" dataDxfId="1580" headerRowBorderDxfId="1581" tableBorderDxfId="1579" totalsRowBorderDxfId="1578">
  <autoFilter ref="K5:M11" xr:uid="{00000000-0009-0000-0100-000015000000}"/>
  <tableColumns count="3">
    <tableColumn id="1" xr3:uid="{58E2E66D-9AC0-4A69-BF19-1AB9AD59BA2F}" name="Descrição" dataDxfId="1577"/>
    <tableColumn id="2" xr3:uid="{FE1E3124-46C3-49A6-AE83-7C14B341DF59}" name="Tipo de Pagto" dataDxfId="1576"/>
    <tableColumn id="3" xr3:uid="{D8FBF474-04EE-46ED-9B9E-791D937CF715}" name="Valor" dataDxfId="157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4" dataDxfId="1572" headerRowBorderDxfId="1573" tableBorderDxfId="1571" totalsRowBorderDxfId="1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9"/>
    <tableColumn id="2" xr3:uid="{595EF087-A3B2-4C2B-AEEA-F930A6C2F5F4}" name="Cliente" dataDxfId="1568"/>
    <tableColumn id="3" xr3:uid="{C5C2BC75-6E8D-4808-A5EE-A5F9251ECE6C}" name="Forma de Pgto" dataDxfId="1567" dataCellStyle="Moeda"/>
    <tableColumn id="4" xr3:uid="{20CF776B-B9F4-48DD-9379-961689B40B71}" name="Valor Venda" dataDxfId="1566" dataCellStyle="Porcentagem"/>
    <tableColumn id="5" xr3:uid="{65177CB6-6D07-42E6-8EFE-435282A2F5BA}" name="Entrada" dataDxfId="156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4" dataDxfId="1562" headerRowBorderDxfId="1563" tableBorderDxfId="1561" totalsRowBorderDxfId="156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9"/>
    <tableColumn id="2" xr3:uid="{D1AEFC99-FF9D-4A0D-BE93-D866BDC7A817}" name="Vendedor" dataDxfId="1558"/>
    <tableColumn id="3" xr3:uid="{CA30546E-8A3F-45D5-BE2B-24DCF738F1F2}" name="CARNE" dataDxfId="155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6" dataDxfId="1554" headerRowBorderDxfId="1555" tableBorderDxfId="1553" totalsRowBorderDxfId="1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1"/>
    <tableColumn id="2" xr3:uid="{7D38F106-0145-4B73-951B-86BF22EC7FAB}" name="Cliente" dataDxfId="1550"/>
    <tableColumn id="3" xr3:uid="{11A4EEBE-D35C-4719-B2B9-16486260EF79}" name="Forma de Pgto" dataDxfId="1549" dataCellStyle="Moeda"/>
    <tableColumn id="4" xr3:uid="{1BAB2FC5-9F2C-41DD-994A-6BA83A984883}" name="Valor Parcela" dataDxfId="1548" dataCellStyle="Porcentagem"/>
    <tableColumn id="5" xr3:uid="{8C539F89-5F96-4DB9-B7A4-784EA1B5350C}" name="Nº Parcela" dataDxfId="154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6" headerRowBorderDxfId="1545" tableBorderDxfId="1544" totalsRowBorderDxfId="1543">
  <autoFilter ref="K34:M41" xr:uid="{1B8643D4-6AC3-4029-882A-C62E9D7CB225}"/>
  <tableColumns count="3">
    <tableColumn id="1" xr3:uid="{0B93901B-D681-410F-8B28-E186D9A3CAC3}" name="OS" dataDxfId="1542"/>
    <tableColumn id="2" xr3:uid="{A57C0E02-6258-48F0-9407-2095CD96B2D4}" name="Parcelas" dataDxfId="1541"/>
    <tableColumn id="3" xr3:uid="{1EA087CF-658D-4951-89BB-508667E3BBBE}" name="Valor Total" dataDxfId="154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4" dataCellStyle="Moeda"/>
    <tableColumn id="5" xr3:uid="{98DC42E5-632F-4288-9CC5-1F032859A7E7}" name="Cliente" dataDxfId="1533" dataCellStyle="Moeda"/>
    <tableColumn id="2" xr3:uid="{4AE32B81-9EBD-470B-9ABE-A82D6658F3FE}" name="Forma de Pgto" dataDxfId="1532" dataCellStyle="Moeda"/>
    <tableColumn id="3" xr3:uid="{6E5BAEC1-2689-4ABB-93EC-298595B5C82E}" name="Valor Venda" dataDxfId="1531" dataCellStyle="Porcentagem"/>
    <tableColumn id="4" xr3:uid="{24493E7B-FE77-4A85-8810-0F0A4A84D997}" name="Entrada" dataDxfId="153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DA50BBFB-ECA9-45DE-9949-F3F90EEC3BA7}" name="Descrição" dataDxfId="1524"/>
    <tableColumn id="2" xr3:uid="{A64D4F88-B62D-440B-BA71-6D7BB28D542E}" name="Tipo de Pagto" dataDxfId="1523"/>
    <tableColumn id="3" xr3:uid="{0406A209-0652-47F9-9AB4-3256B26876D2}" name="Valor" dataDxfId="15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6"/>
    <tableColumn id="2" xr3:uid="{8B8D24E4-1123-478B-838C-FCF56EABBDFD}" name="Cliente" dataDxfId="1515"/>
    <tableColumn id="3" xr3:uid="{8B7DE8DF-8D5D-4245-A63D-EF550AE347E3}" name="Forma de Pgto" dataDxfId="1514" dataCellStyle="Moeda"/>
    <tableColumn id="4" xr3:uid="{95A77C0C-49D0-45A2-8B99-A765C4741CE7}" name="Valor Venda" dataDxfId="1513" dataCellStyle="Porcentagem"/>
    <tableColumn id="5" xr3:uid="{FF4FDD32-DA70-4723-A8FB-07B3FB04B5CD}" name="Entrada" dataDxfId="151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A31E67F7-E266-4220-8D3F-09556FCE20B1}" name="OS" dataDxfId="1506"/>
    <tableColumn id="2" xr3:uid="{2ED39269-8DA5-4157-9E82-8C8ED0C828A3}" name="Vendedor" dataDxfId="1505"/>
    <tableColumn id="3" xr3:uid="{F550B35D-6F70-4E2E-9037-3A7DF5BB4D86}" name="CARNE" dataDxfId="150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8"/>
    <tableColumn id="2" xr3:uid="{58D563AD-1DCA-4768-9170-A0079A20A1DF}" name="Cliente" dataDxfId="1497"/>
    <tableColumn id="3" xr3:uid="{FE883FCE-942C-4DE5-904D-B12FE6C4992D}" name="Forma de Pgto" dataDxfId="1496" dataCellStyle="Moeda"/>
    <tableColumn id="4" xr3:uid="{21451B08-4DF0-4C35-AC45-94C183AA6A59}" name="Valor Parcela" dataDxfId="1495" dataCellStyle="Porcentagem"/>
    <tableColumn id="5" xr3:uid="{8F93C3AE-47D0-4E55-A038-445341804CE9}" name="Nº Parcela" dataDxfId="149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3" headerRowBorderDxfId="1492" tableBorderDxfId="1491" totalsRowBorderDxfId="1490">
  <autoFilter ref="K34:M41" xr:uid="{1B8643D4-6AC3-4029-882A-C62E9D7CB225}"/>
  <tableColumns count="3">
    <tableColumn id="1" xr3:uid="{2687574F-C0F9-4AD1-A54B-286C1AE50D97}" name="OS" dataDxfId="1489"/>
    <tableColumn id="2" xr3:uid="{AE623FF4-38C1-45D9-B220-1CD4A553B7C1}" name="Parcelas" dataDxfId="1488"/>
    <tableColumn id="3" xr3:uid="{EEBFC521-3084-43FF-A36B-C25CE198B817}" name="Valor Total" dataDxfId="148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1" dataCellStyle="Moeda"/>
    <tableColumn id="5" xr3:uid="{F5DA840E-A051-4AE4-AE1A-9DAFAF8FFC3B}" name="Cliente" dataDxfId="1480" dataCellStyle="Moeda"/>
    <tableColumn id="2" xr3:uid="{DF65CD3D-444A-4025-B98B-F38F11610432}" name="Forma de Pgto" dataDxfId="1479" dataCellStyle="Moeda"/>
    <tableColumn id="3" xr3:uid="{9A4839DC-9153-466A-B0AF-456FAEF79174}" name="Valor Venda" dataDxfId="1478" dataCellStyle="Porcentagem"/>
    <tableColumn id="4" xr3:uid="{EF410A7C-DBD1-4367-A43B-616826FFEB4F}" name="Entrada" dataDxfId="147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F1C90853-2F5A-4C32-8AC3-18ECE1FDDF43}" name="Descrição" dataDxfId="1471"/>
    <tableColumn id="2" xr3:uid="{DEB32F17-2D52-4FBB-90C4-1C3AE9C104E6}" name="Tipo de Pagto" dataDxfId="1470"/>
    <tableColumn id="3" xr3:uid="{089B3650-C090-496F-BF9A-6E8466DBF76A}" name="Valor" dataDxfId="146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3"/>
    <tableColumn id="2" xr3:uid="{73AEC7DD-005C-4428-9D1D-1A3761F2192B}" name="Cliente" dataDxfId="1462"/>
    <tableColumn id="3" xr3:uid="{FA28017F-3137-49BD-B826-2E261901E543}" name="Forma de Pgto" dataDxfId="1461" dataCellStyle="Moeda"/>
    <tableColumn id="4" xr3:uid="{6030418B-B1EC-4D4D-96DF-0EB78B87F6F9}" name="Valor Venda" dataDxfId="1460" dataCellStyle="Porcentagem"/>
    <tableColumn id="5" xr3:uid="{0576A975-F40D-4463-85C0-76AB6FCD63AC}" name="Entrada" dataDxfId="145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830E23BA-DE90-49EF-B4EA-89C3276575B2}" name="OS" dataDxfId="1453"/>
    <tableColumn id="2" xr3:uid="{679AF5A0-4545-4316-AD6C-E4B7A7BA099A}" name="Vendedor" dataDxfId="1452"/>
    <tableColumn id="3" xr3:uid="{6B801D58-D05B-4A78-A6FE-BC9EF408DC10}" name="CARNE" dataDxfId="145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5"/>
    <tableColumn id="2" xr3:uid="{953837B7-D16A-40C2-9C83-CD7E7171C88F}" name="Cliente" dataDxfId="1444"/>
    <tableColumn id="3" xr3:uid="{63860264-C651-4A12-8F01-E9F622A843C0}" name="Forma de Pgto" dataDxfId="1443" dataCellStyle="Moeda"/>
    <tableColumn id="4" xr3:uid="{584373BD-23BA-4A1E-A4FC-3D4A594F4148}" name="Valor Parcela" dataDxfId="1442" dataCellStyle="Porcentagem"/>
    <tableColumn id="5" xr3:uid="{7CBAF04B-D82E-4180-A8EA-98461BE41F4A}" name="Nº Parcela" dataDxfId="144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0" headerRowBorderDxfId="1439" tableBorderDxfId="1438" totalsRowBorderDxfId="1437">
  <autoFilter ref="K34:M41" xr:uid="{1B8643D4-6AC3-4029-882A-C62E9D7CB225}"/>
  <tableColumns count="3">
    <tableColumn id="1" xr3:uid="{F555359C-BC20-4C24-A948-500BDD3B5763}" name="OS" dataDxfId="1436"/>
    <tableColumn id="2" xr3:uid="{B72B4820-B8B5-4F80-83B5-9EC54EF78025}" name="Parcelas" dataDxfId="1435"/>
    <tableColumn id="3" xr3:uid="{893DDBC4-5663-4D63-80CB-4E7482811983}" name="Valor Total" dataDxfId="143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8" dataCellStyle="Moeda"/>
    <tableColumn id="5" xr3:uid="{4F9ED826-A0E1-4FB0-83C6-A561EA7B6750}" name="Cliente" dataDxfId="1427" dataCellStyle="Moeda"/>
    <tableColumn id="2" xr3:uid="{C2B928FE-CB2E-4271-AE3D-2FE26117248E}" name="Forma de Pgto" dataDxfId="1426" dataCellStyle="Moeda"/>
    <tableColumn id="3" xr3:uid="{CE23E3D0-4056-4DCB-83C4-5B94BD49CAAC}" name="Valor Venda" dataDxfId="1425" dataCellStyle="Porcentagem"/>
    <tableColumn id="4" xr3:uid="{1F426340-BFB9-4B9E-B988-7A195156D2F2}" name="Entrada" dataDxfId="142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F4C840DC-E06E-4A51-B1BF-E769E4EC9ACB}" name="Descrição" dataDxfId="1418"/>
    <tableColumn id="2" xr3:uid="{E6DE1F07-CE97-421A-A22A-4B4270DDF46D}" name="Tipo de Pagto" dataDxfId="1417"/>
    <tableColumn id="3" xr3:uid="{D84FBA92-07C5-41FD-BBA2-2AADF245D1D6}" name="Valor" dataDxfId="141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0"/>
    <tableColumn id="2" xr3:uid="{CD77FB12-1DAA-4DAF-B42A-0357959803DD}" name="Cliente" dataDxfId="1409"/>
    <tableColumn id="3" xr3:uid="{5F4C4F5C-C920-452A-B2BA-592AD2C18723}" name="Forma de Pgto" dataDxfId="1408" dataCellStyle="Moeda"/>
    <tableColumn id="4" xr3:uid="{3930B2F0-6049-4E02-92B1-EC55A5330B2C}" name="Valor Venda" dataDxfId="1407" dataCellStyle="Porcentagem"/>
    <tableColumn id="5" xr3:uid="{82EBAE08-64CA-459E-9015-FA8F61210D87}" name="Entrada" dataDxfId="140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5" dataDxfId="1403" headerRowBorderDxfId="1404" tableBorderDxfId="1402" totalsRowBorderDxfId="1401">
  <autoFilter ref="K14:M31" xr:uid="{C83FE64B-E221-4DAA-89EA-5307A7BC98B3}"/>
  <tableColumns count="3">
    <tableColumn id="1" xr3:uid="{E0565617-EB8C-486F-838C-B370E84BC8A2}" name="OS" dataDxfId="1400"/>
    <tableColumn id="2" xr3:uid="{EA20833B-67D8-48B8-B6E4-54A10D0969E8}" name="Vendedor" dataDxfId="1399"/>
    <tableColumn id="3" xr3:uid="{8B1F8993-74A4-499F-AD5E-91A6051BA219}" name="CARNE" dataDxfId="139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7" dataDxfId="1395" headerRowBorderDxfId="1396" tableBorderDxfId="1394" totalsRowBorderDxfId="1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2"/>
    <tableColumn id="2" xr3:uid="{FB461660-91D6-4E31-81FF-113A17320EED}" name="Cliente" dataDxfId="1391"/>
    <tableColumn id="3" xr3:uid="{0A47D0C3-375B-4E2D-B5E9-2048252BC0D3}" name="Forma de Pgto" dataDxfId="1390" dataCellStyle="Moeda"/>
    <tableColumn id="4" xr3:uid="{F9C62ED5-C18D-465D-B7E4-0729BD7B3A10}" name="Valor Parcela" dataDxfId="1389" dataCellStyle="Porcentagem"/>
    <tableColumn id="5" xr3:uid="{DD9D513B-1645-445F-83E9-DC54C163BD4E}" name="Nº Parcela" dataDxfId="138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7" headerRowBorderDxfId="1386" tableBorderDxfId="1385" totalsRowBorderDxfId="1384">
  <autoFilter ref="K34:M41" xr:uid="{1B8643D4-6AC3-4029-882A-C62E9D7CB225}"/>
  <tableColumns count="3">
    <tableColumn id="1" xr3:uid="{D65B195F-C059-40E5-A4CA-FE91C5DB43DB}" name="OS" dataDxfId="1383"/>
    <tableColumn id="2" xr3:uid="{A2A023CF-C61D-419E-ABB0-2F9CEE35150B}" name="Parcelas" dataDxfId="1382"/>
    <tableColumn id="3" xr3:uid="{F7D650A1-7C3D-42D0-B133-EB49D396C64F}" name="Valor Total" dataDxfId="138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0" dataDxfId="1378" headerRowBorderDxfId="1379" tableBorderDxfId="1377" totalsRowBorderDxfId="13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5" dataCellStyle="Moeda"/>
    <tableColumn id="5" xr3:uid="{FF96847D-D5C5-4F73-905C-E549112972E1}" name="Cliente" dataDxfId="1374" dataCellStyle="Moeda"/>
    <tableColumn id="2" xr3:uid="{1B47815A-C2E2-4886-9A6F-B2A7307F901E}" name="Forma de Pgto" dataDxfId="1373" dataCellStyle="Moeda"/>
    <tableColumn id="3" xr3:uid="{FD86C99A-4E69-452A-8D71-B939B84F2B55}" name="Valor Venda" dataDxfId="1372" dataCellStyle="Porcentagem"/>
    <tableColumn id="4" xr3:uid="{49ECBAAC-14EE-43F3-BE6F-974EF5F3E156}" name="Entrada" dataDxfId="137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0" dataDxfId="1368" headerRowBorderDxfId="1369" tableBorderDxfId="1367" totalsRowBorderDxfId="1366">
  <autoFilter ref="K5:M11" xr:uid="{00000000-0009-0000-0100-000015000000}"/>
  <tableColumns count="3">
    <tableColumn id="1" xr3:uid="{5236D397-E61A-4AA1-B99C-AD40093239F9}" name="Descrição" dataDxfId="1365"/>
    <tableColumn id="2" xr3:uid="{3341FC2A-819A-41AF-B8A9-B5A195B8D597}" name="Tipo de Pagto" dataDxfId="1364"/>
    <tableColumn id="3" xr3:uid="{D568CA16-B32B-4F86-9DE5-B8B3E9825745}" name="Valor" dataDxfId="136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2" dataDxfId="1360" headerRowBorderDxfId="1361" tableBorderDxfId="1359" totalsRowBorderDxfId="13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7"/>
    <tableColumn id="2" xr3:uid="{DEEB020C-2BC4-4E77-9557-B0FDBCF683E9}" name="Cliente" dataDxfId="1356"/>
    <tableColumn id="3" xr3:uid="{FC27FDBE-5194-4E32-AFD1-DB754ECCEF38}" name="Forma de Pgto" dataDxfId="1355" dataCellStyle="Moeda"/>
    <tableColumn id="4" xr3:uid="{489A4CE9-C3F1-4322-9639-D01F0935FB0E}" name="Valor Venda" dataDxfId="1354" dataCellStyle="Porcentagem"/>
    <tableColumn id="5" xr3:uid="{07E5F22F-7782-466E-98DB-48416B35B9C4}" name="Entrada" dataDxfId="135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2" dataDxfId="1350" headerRowBorderDxfId="1351" tableBorderDxfId="1349" totalsRowBorderDxfId="1348">
  <autoFilter ref="K14:M31" xr:uid="{C83FE64B-E221-4DAA-89EA-5307A7BC98B3}"/>
  <tableColumns count="3">
    <tableColumn id="1" xr3:uid="{E4926A1A-00A9-4844-90B1-E36D53050FAD}" name="OS" dataDxfId="1347"/>
    <tableColumn id="2" xr3:uid="{CFC62C38-9887-48E6-A3B8-42586D1EC066}" name="Vendedor" dataDxfId="1346"/>
    <tableColumn id="3" xr3:uid="{32577275-2002-496E-8AD4-5FE489DBC179}" name="CARNE" dataDxfId="134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4" dataDxfId="1342" headerRowBorderDxfId="1343" tableBorderDxfId="1341" totalsRowBorderDxfId="13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9"/>
    <tableColumn id="2" xr3:uid="{19438CD0-86D0-4CC4-9B41-5D756AC61E4D}" name="Cliente" dataDxfId="1338"/>
    <tableColumn id="3" xr3:uid="{59621200-4821-4583-9D35-A2EA6C27B52D}" name="Forma de Pgto" dataDxfId="1337" dataCellStyle="Moeda"/>
    <tableColumn id="4" xr3:uid="{35A817E7-6B21-48A7-863E-225DFEDD8B2A}" name="Valor Parcela" dataDxfId="1336" dataCellStyle="Porcentagem"/>
    <tableColumn id="5" xr3:uid="{77D80430-C5F8-4582-B3DF-9A9A9350F565}" name="Nº Parcela" dataDxfId="133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4" headerRowBorderDxfId="1333" tableBorderDxfId="1332" totalsRowBorderDxfId="1331">
  <autoFilter ref="K34:M41" xr:uid="{1B8643D4-6AC3-4029-882A-C62E9D7CB225}"/>
  <tableColumns count="3">
    <tableColumn id="1" xr3:uid="{503F9F70-E540-4505-B65D-D233FCB88D5F}" name="OS" dataDxfId="1330"/>
    <tableColumn id="2" xr3:uid="{6A2B4927-D830-4C18-8831-6FE23BFAD877}" name="Parcelas" dataDxfId="1329"/>
    <tableColumn id="3" xr3:uid="{8E06E94A-FF62-4D13-8B11-C6CE2990FCDF}" name="Valor Total" dataDxfId="132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7" dataDxfId="1325" headerRowBorderDxfId="1326" tableBorderDxfId="1324" totalsRowBorderDxfId="13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2" dataCellStyle="Moeda"/>
    <tableColumn id="5" xr3:uid="{00000000-0010-0000-0900-000005000000}" name="Cliente" dataDxfId="1321" dataCellStyle="Moeda"/>
    <tableColumn id="2" xr3:uid="{00000000-0010-0000-0900-000002000000}" name="Forma de Pgto" dataDxfId="1320" dataCellStyle="Moeda"/>
    <tableColumn id="3" xr3:uid="{00000000-0010-0000-0900-000003000000}" name="Valor Venda" dataDxfId="1319" dataCellStyle="Porcentagem"/>
    <tableColumn id="4" xr3:uid="{00000000-0010-0000-0900-000004000000}" name="Entrada" dataDxfId="131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7" dataDxfId="1315" headerRowBorderDxfId="1316" tableBorderDxfId="1314" totalsRowBorderDxfId="1313">
  <autoFilter ref="K5:M11" xr:uid="{00000000-0009-0000-0100-000015000000}"/>
  <tableColumns count="3">
    <tableColumn id="1" xr3:uid="{00000000-0010-0000-0A00-000001000000}" name="Descrição" dataDxfId="1312"/>
    <tableColumn id="2" xr3:uid="{00000000-0010-0000-0A00-000002000000}" name="Tipo de Pagto" dataDxfId="1311"/>
    <tableColumn id="3" xr3:uid="{00000000-0010-0000-0A00-000003000000}" name="Valor" dataDxfId="131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9" dataDxfId="1307" headerRowBorderDxfId="1308" tableBorderDxfId="1306" totalsRowBorderDxfId="13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4"/>
    <tableColumn id="2" xr3:uid="{00000000-0010-0000-0B00-000002000000}" name="Cliente" dataDxfId="1303"/>
    <tableColumn id="3" xr3:uid="{00000000-0010-0000-0B00-000003000000}" name="Forma de Pgto" dataDxfId="1302" dataCellStyle="Moeda"/>
    <tableColumn id="4" xr3:uid="{00000000-0010-0000-0B00-000004000000}" name="Valor Venda" dataDxfId="1301" dataCellStyle="Porcentagem"/>
    <tableColumn id="5" xr3:uid="{00000000-0010-0000-0B00-000005000000}" name="Entrada" dataDxfId="130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9" dataDxfId="1297" headerRowBorderDxfId="1298" tableBorderDxfId="1296" totalsRowBorderDxfId="1295">
  <autoFilter ref="K14:M31" xr:uid="{C83FE64B-E221-4DAA-89EA-5307A7BC98B3}"/>
  <tableColumns count="3">
    <tableColumn id="1" xr3:uid="{E5EB8AC8-7F8E-49D1-A903-14124A5BA1B1}" name="OS" dataDxfId="1294"/>
    <tableColumn id="2" xr3:uid="{E1794679-294A-42ED-9D8F-4C0874170BFA}" name="Vendedor" dataDxfId="1293"/>
    <tableColumn id="3" xr3:uid="{CB411C23-941D-4548-984D-68460932D683}" name="CARNE" dataDxfId="129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1" dataDxfId="1289" headerRowBorderDxfId="1290" tableBorderDxfId="1288" totalsRowBorderDxfId="12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6"/>
    <tableColumn id="2" xr3:uid="{430FE27E-32BC-43B0-BB6E-CCBAB36B2A5A}" name="Cliente" dataDxfId="1285"/>
    <tableColumn id="3" xr3:uid="{568CECCF-BE0A-4266-A7C7-9359F722EA0F}" name="Forma de Pgto" dataDxfId="1284" dataCellStyle="Moeda"/>
    <tableColumn id="4" xr3:uid="{9CF4291A-8808-43DB-9F83-A7EB463C5F4A}" name="Valor Parcela" dataDxfId="1283" dataCellStyle="Porcentagem"/>
    <tableColumn id="5" xr3:uid="{736EA743-97FA-4800-BEDD-5C07EEB144A8}" name="Nº Parcela" dataDxfId="128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1" headerRowBorderDxfId="1280" tableBorderDxfId="1279" totalsRowBorderDxfId="1278">
  <autoFilter ref="K34:M41" xr:uid="{1B8643D4-6AC3-4029-882A-C62E9D7CB225}"/>
  <tableColumns count="3">
    <tableColumn id="1" xr3:uid="{132FEC50-51B3-4AAA-BF48-63FA39ED861C}" name="OS" dataDxfId="1277"/>
    <tableColumn id="2" xr3:uid="{11276640-1C63-48D7-BE0B-1FE7C736A1A8}" name="Parcelas" dataDxfId="1276"/>
    <tableColumn id="3" xr3:uid="{96591591-9F74-40A6-B0B9-BA6D2106107F}" name="Valor Total" dataDxfId="127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4" dataDxfId="1272" headerRowBorderDxfId="1273" tableBorderDxfId="1271" totalsRowBorderDxfId="127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9" dataCellStyle="Moeda"/>
    <tableColumn id="5" xr3:uid="{795F9F6D-AAE5-4C61-A646-82BF506C503E}" name="Cliente" dataDxfId="1268" dataCellStyle="Moeda"/>
    <tableColumn id="2" xr3:uid="{DD13626B-6361-410E-BFB7-9E75436163A4}" name="Forma de Pgto" dataDxfId="1267" dataCellStyle="Moeda"/>
    <tableColumn id="3" xr3:uid="{8939280F-F6DC-4F66-ADDF-59F6A387460C}" name="Valor Venda" dataDxfId="1266" dataCellStyle="Porcentagem"/>
    <tableColumn id="4" xr3:uid="{FFC83B9E-825A-4058-BFEA-DA64D7159065}" name="Entrada" dataDxfId="1265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4" dataDxfId="1262" headerRowBorderDxfId="1263" tableBorderDxfId="1261" totalsRowBorderDxfId="1260">
  <autoFilter ref="K5:M11" xr:uid="{00000000-0009-0000-0100-000015000000}"/>
  <tableColumns count="3">
    <tableColumn id="1" xr3:uid="{9309A091-2326-4B68-B8C9-B31CF2D72EAF}" name="Descrição" dataDxfId="1259"/>
    <tableColumn id="2" xr3:uid="{910D89CE-506B-440F-8EB2-31633D7CAD51}" name="Tipo de Pagto" dataDxfId="1258"/>
    <tableColumn id="3" xr3:uid="{7155C391-52F1-4F4A-84B1-7BBC44A35A99}" name="Valor" dataDxfId="125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6" dataDxfId="1254" headerRowBorderDxfId="1255" tableBorderDxfId="1253" totalsRowBorderDxfId="125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1"/>
    <tableColumn id="2" xr3:uid="{75B601B3-9668-4B1A-ADF2-17DA487A3413}" name="Cliente" dataDxfId="1250"/>
    <tableColumn id="3" xr3:uid="{64F47935-52AF-4AE3-9262-06D7472567D7}" name="Forma de Pgto" dataDxfId="1249" dataCellStyle="Moeda"/>
    <tableColumn id="4" xr3:uid="{9257AA0D-34DE-4B38-8406-BC1F561A53B3}" name="Valor Venda" dataDxfId="1248" dataCellStyle="Porcentagem"/>
    <tableColumn id="5" xr3:uid="{4C98958F-FB27-4968-81B6-D7CC6BBD2DAE}" name="Entrada" dataDxfId="1247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6" dataDxfId="1244" headerRowBorderDxfId="1245" tableBorderDxfId="1243" totalsRowBorderDxfId="124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1"/>
    <tableColumn id="2" xr3:uid="{AEB024E2-EB15-40A6-B65B-468339937BD0}" name="Vendedor" dataDxfId="1240"/>
    <tableColumn id="3" xr3:uid="{ACDDDA2A-4116-4E25-B799-0071372A8FAA}" name="CARNE" dataDxfId="123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8" dataDxfId="1236" headerRowBorderDxfId="1237" tableBorderDxfId="1235" totalsRowBorderDxfId="1234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3"/>
    <tableColumn id="2" xr3:uid="{A06C5B3A-A28C-4563-87C4-B63635D6E7B9}" name="Cliente" dataDxfId="1232"/>
    <tableColumn id="3" xr3:uid="{4AC120F2-6F4A-41F2-87D2-680E8D6F8D96}" name="Forma de Pgto" dataDxfId="1231" dataCellStyle="Moeda"/>
    <tableColumn id="4" xr3:uid="{17DB2EA9-C13D-4AEB-AB97-B4C907D16420}" name="Valor Parcela" dataDxfId="1230" dataCellStyle="Porcentagem"/>
    <tableColumn id="5" xr3:uid="{F6E09F06-2F23-4822-A9B4-D8898604A1E0}" name="Nº Parcela" dataDxfId="1229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8" headerRowBorderDxfId="1227" tableBorderDxfId="1226" totalsRowBorderDxfId="1225">
  <autoFilter ref="K34:M41" xr:uid="{1B8643D4-6AC3-4029-882A-C62E9D7CB225}"/>
  <tableColumns count="3">
    <tableColumn id="1" xr3:uid="{D0DE8F47-9BDA-4E4F-92E6-E2404F920F1B}" name="OS" dataDxfId="1224"/>
    <tableColumn id="2" xr3:uid="{43AD47D8-F738-4D39-8B0B-E0AC217D9D32}" name="Parcelas" dataDxfId="1223"/>
    <tableColumn id="3" xr3:uid="{024ED2FF-C4EC-44DC-9129-9BE8032DC4A5}" name="Valor Total" dataDxfId="122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1" dataDxfId="1219" headerRowBorderDxfId="1220" tableBorderDxfId="1218" totalsRowBorderDxfId="12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6" dataCellStyle="Moeda"/>
    <tableColumn id="5" xr3:uid="{C13AA79A-76C7-4954-B055-3EC7A6A9008A}" name="Cliente" dataDxfId="1215" dataCellStyle="Moeda"/>
    <tableColumn id="2" xr3:uid="{56D92948-0431-4E11-AC7A-A6D6B6D3D15E}" name="Forma de Pgto" dataDxfId="1214" dataCellStyle="Moeda"/>
    <tableColumn id="3" xr3:uid="{3348DA9C-6AA9-49E4-8450-E8BC22BC5F6C}" name="Valor Venda" dataDxfId="1213" dataCellStyle="Porcentagem"/>
    <tableColumn id="4" xr3:uid="{A03B4BE2-2B4F-4512-98ED-45C3754F4D2A}" name="Entrada" dataDxfId="1212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1" dataDxfId="1209" headerRowBorderDxfId="1210" tableBorderDxfId="1208" totalsRowBorderDxfId="1207">
  <autoFilter ref="K5:M11" xr:uid="{00000000-0009-0000-0100-000015000000}"/>
  <tableColumns count="3">
    <tableColumn id="1" xr3:uid="{2700D0CD-8906-41BB-B51F-AAECD67A05FE}" name="Descrição" dataDxfId="1206"/>
    <tableColumn id="2" xr3:uid="{00E5FAC2-C7E2-44A6-AA64-460782F41E47}" name="Tipo de Pagto" dataDxfId="1205"/>
    <tableColumn id="3" xr3:uid="{70D30678-03EC-4DC1-BB28-EBD756D1976D}" name="Valor" dataDxfId="120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3" dataDxfId="1201" headerRowBorderDxfId="1202" tableBorderDxfId="1200" totalsRowBorderDxfId="11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8"/>
    <tableColumn id="2" xr3:uid="{59310BF7-C6CA-49AF-8D7C-32023868A553}" name="Cliente" dataDxfId="1197"/>
    <tableColumn id="3" xr3:uid="{C13BE163-BA03-41E0-A121-27164C58ABA3}" name="Forma de Pgto" dataDxfId="1196" dataCellStyle="Moeda"/>
    <tableColumn id="4" xr3:uid="{E9797482-8A01-4C8B-8B66-47DE3D38D78F}" name="Valor Venda" dataDxfId="1195" dataCellStyle="Porcentagem"/>
    <tableColumn id="5" xr3:uid="{864D3F67-D199-48BA-8E16-3EFBAC4AF8A2}" name="Entrada" dataDxfId="1194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3" dataDxfId="1191" headerRowBorderDxfId="1192" tableBorderDxfId="1190" totalsRowBorderDxfId="1189">
  <autoFilter ref="K14:M31" xr:uid="{C83FE64B-E221-4DAA-89EA-5307A7BC98B3}"/>
  <tableColumns count="3">
    <tableColumn id="1" xr3:uid="{92200504-6651-4517-B155-4C75687BBC1E}" name="OS" dataDxfId="1188"/>
    <tableColumn id="2" xr3:uid="{BE1934F5-5D06-41D6-9394-C4D383C8CD33}" name="Vendedor" dataDxfId="1187"/>
    <tableColumn id="3" xr3:uid="{F504E9B2-856C-4C10-AA72-D7A7B035B330}" name="CARNE" dataDxfId="118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5" dataDxfId="1183" headerRowBorderDxfId="1184" tableBorderDxfId="1182" totalsRowBorderDxfId="11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80"/>
    <tableColumn id="2" xr3:uid="{95B09C40-3752-47D7-9085-F5B42BC487DA}" name="Cliente" dataDxfId="1179"/>
    <tableColumn id="3" xr3:uid="{1A0B311C-327A-4C44-9D04-81730B41B9A2}" name="Forma de Pgto" dataDxfId="1178" dataCellStyle="Moeda"/>
    <tableColumn id="4" xr3:uid="{9A802666-F9A1-4EB6-824C-ECF60066044F}" name="Valor Parcela" dataDxfId="1177" dataCellStyle="Porcentagem"/>
    <tableColumn id="5" xr3:uid="{1CC0AF26-B599-4D4F-8BD5-BBE76DBCE085}" name="Nº Parcela" dataDxfId="1176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5" headerRowBorderDxfId="1174" tableBorderDxfId="1173" totalsRowBorderDxfId="1172">
  <autoFilter ref="K34:M41" xr:uid="{1B8643D4-6AC3-4029-882A-C62E9D7CB225}"/>
  <tableColumns count="3">
    <tableColumn id="1" xr3:uid="{D712257D-E310-4A34-972E-E8E3502C0E07}" name="OS" dataDxfId="1171"/>
    <tableColumn id="2" xr3:uid="{DE78D123-6817-4646-8C08-920B2F11524F}" name="Parcelas" dataDxfId="1170"/>
    <tableColumn id="3" xr3:uid="{5BFF5A3E-02FE-410E-B1DB-45BB5A31FC42}" name="Valor Total" dataDxfId="1169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8" dataDxfId="1166" headerRowBorderDxfId="1167" tableBorderDxfId="1165" totalsRowBorderDxfId="116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3" dataCellStyle="Moeda"/>
    <tableColumn id="5" xr3:uid="{A57F8BDB-02F9-493C-AD6D-F47611C369D5}" name="Cliente" dataDxfId="1162" dataCellStyle="Moeda"/>
    <tableColumn id="2" xr3:uid="{3BF4EA26-026F-42E1-9B28-3FCC68B54E9F}" name="Forma de Pgto" dataDxfId="1161" dataCellStyle="Moeda"/>
    <tableColumn id="3" xr3:uid="{FD063076-8462-4774-B716-34AAD1738449}" name="Valor Venda" dataDxfId="1160" dataCellStyle="Porcentagem"/>
    <tableColumn id="4" xr3:uid="{690445E0-65B1-450A-A6D3-179070107086}" name="Entrada" dataDxfId="1159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8" dataDxfId="1156" headerRowBorderDxfId="1157" tableBorderDxfId="1155" totalsRowBorderDxfId="1154">
  <autoFilter ref="K5:M11" xr:uid="{00000000-0009-0000-0100-000015000000}"/>
  <tableColumns count="3">
    <tableColumn id="1" xr3:uid="{5D510C76-887A-4F0A-A2F3-BD55732E9E85}" name="Descrição" dataDxfId="1153"/>
    <tableColumn id="2" xr3:uid="{F6C1F4A7-28F4-48F8-905E-708FA62EB574}" name="Tipo de Pagto" dataDxfId="1152"/>
    <tableColumn id="3" xr3:uid="{E62B0002-F6CD-4351-A9EA-673FC7C97B03}" name="Valor" dataDxfId="115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50" dataDxfId="1148" headerRowBorderDxfId="1149" tableBorderDxfId="1147" totalsRowBorderDxfId="1146">
  <autoFilter ref="E25:I32" xr:uid="{00000000-0009-0000-0100-000016000000}"/>
  <sortState xmlns:xlrd2="http://schemas.microsoft.com/office/spreadsheetml/2017/richdata2" ref="E26:I32">
    <sortCondition ref="F26:F32"/>
  </sortState>
  <tableColumns count="5">
    <tableColumn id="1" xr3:uid="{BE1F9D64-D74D-43FD-A25D-F33C4D3EBF79}" name="Nº Venda" dataDxfId="1145"/>
    <tableColumn id="2" xr3:uid="{822B50C3-46B7-46F0-8829-5293CCAFB21E}" name="Cliente" dataDxfId="1144"/>
    <tableColumn id="3" xr3:uid="{F2A36AB3-30D6-4C43-A466-18FF147EE075}" name="Forma de Pgto" dataDxfId="1143" dataCellStyle="Moeda"/>
    <tableColumn id="4" xr3:uid="{AD829CF8-2271-44F1-A1F1-4928D83ED658}" name="Valor Venda" dataDxfId="1142" dataCellStyle="Porcentagem"/>
    <tableColumn id="5" xr3:uid="{7973C843-3740-4AE2-931D-89DE845BA145}" name="Entrada" dataDxfId="1141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40" dataDxfId="1138" headerRowBorderDxfId="1139" tableBorderDxfId="1137" totalsRowBorderDxfId="1136">
  <autoFilter ref="K14:M31" xr:uid="{C83FE64B-E221-4DAA-89EA-5307A7BC98B3}"/>
  <tableColumns count="3">
    <tableColumn id="1" xr3:uid="{404BEA27-9F48-40AC-AF84-177E7CA2ADEC}" name="OS" dataDxfId="1135"/>
    <tableColumn id="2" xr3:uid="{BC07784A-25E9-4C57-B0FF-1E3D183BCD37}" name="Vendedor" dataDxfId="1134"/>
    <tableColumn id="3" xr3:uid="{EFFF7860-5B35-466B-BA53-4485DC02FB15}" name="CARNE" dataDxfId="113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2" dataDxfId="1130" headerRowBorderDxfId="1131" tableBorderDxfId="1129" totalsRowBorderDxfId="1128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7"/>
    <tableColumn id="2" xr3:uid="{A8D4686B-F05E-4D96-BDB9-FD354C9E28B8}" name="Cliente" dataDxfId="1126"/>
    <tableColumn id="3" xr3:uid="{0FB871EC-4505-4E7C-A162-0EFDB16AB8E5}" name="Forma de Pgto" dataDxfId="1125" dataCellStyle="Moeda"/>
    <tableColumn id="4" xr3:uid="{41436228-3E61-4F7F-80EF-627B1794150B}" name="Valor Parcela" dataDxfId="1124" dataCellStyle="Porcentagem"/>
    <tableColumn id="5" xr3:uid="{9C580DC7-08E3-4AD7-B73C-C1AA4298633B}" name="Nº Parcela" dataDxfId="1123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2" headerRowBorderDxfId="1121" tableBorderDxfId="1120" totalsRowBorderDxfId="1119">
  <autoFilter ref="K34:M41" xr:uid="{1B8643D4-6AC3-4029-882A-C62E9D7CB225}"/>
  <tableColumns count="3">
    <tableColumn id="1" xr3:uid="{6E774D52-7DFE-4ED1-9F2F-47B5899CBAC1}" name="OS" dataDxfId="1118"/>
    <tableColumn id="2" xr3:uid="{39CE62CA-537C-4DF4-B8D5-281ED0EE57C3}" name="Parcelas" dataDxfId="1117"/>
    <tableColumn id="3" xr3:uid="{830AFF05-9BCF-488F-97F3-8D4378DE4DCB}" name="Valor Total" dataDxfId="111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5" dataDxfId="1113" headerRowBorderDxfId="1114" tableBorderDxfId="1112" totalsRowBorderDxfId="11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10" dataCellStyle="Moeda"/>
    <tableColumn id="5" xr3:uid="{CE0B3E90-9420-4A96-9195-72088311874E}" name="Cliente" dataDxfId="1109" dataCellStyle="Moeda"/>
    <tableColumn id="2" xr3:uid="{3EF1B45D-588D-4066-8ACF-697863B5F984}" name="Forma de Pgto" dataDxfId="1108" dataCellStyle="Moeda"/>
    <tableColumn id="3" xr3:uid="{9ADBAC7B-B04C-4E2B-9C83-E18200698CCE}" name="Valor Venda" dataDxfId="1107" dataCellStyle="Porcentagem"/>
    <tableColumn id="4" xr3:uid="{16823673-1F5B-4F46-A676-8665CF4D02BA}" name="Entrada" dataDxfId="110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5" dataDxfId="1103" headerRowBorderDxfId="1104" tableBorderDxfId="1102" totalsRowBorderDxfId="1101">
  <autoFilter ref="K5:M11" xr:uid="{00000000-0009-0000-0100-000015000000}"/>
  <tableColumns count="3">
    <tableColumn id="1" xr3:uid="{A02811B4-F6FA-4EDA-94FE-5EDFE6293B48}" name="Descrição" dataDxfId="1100"/>
    <tableColumn id="2" xr3:uid="{39EAD4CE-DDFA-4948-8B1E-10589BABDD84}" name="Tipo de Pagto" dataDxfId="1099"/>
    <tableColumn id="3" xr3:uid="{30C3BD81-38C9-4C67-BF45-044DFDDD7A0B}" name="Valor" dataDxfId="109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7" dataDxfId="1095" headerRowBorderDxfId="1096" tableBorderDxfId="1094" totalsRowBorderDxfId="10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2"/>
    <tableColumn id="2" xr3:uid="{BE6E3444-490A-4F75-BE63-234EB84D04F7}" name="Cliente" dataDxfId="1091"/>
    <tableColumn id="3" xr3:uid="{868472E6-6C45-4AEC-9672-E559CFA15EA7}" name="Forma de Pgto" dataDxfId="1090" dataCellStyle="Moeda"/>
    <tableColumn id="4" xr3:uid="{DB2D0AA9-9B1E-4A35-B9B2-8B1052EAD782}" name="Valor Venda" dataDxfId="1089" dataCellStyle="Porcentagem"/>
    <tableColumn id="5" xr3:uid="{C23CEEDF-415E-4EFC-ACF7-2661157A84C3}" name="Entrada" dataDxfId="108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7" dataDxfId="1085" headerRowBorderDxfId="1086" tableBorderDxfId="1084" totalsRowBorderDxfId="108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2"/>
    <tableColumn id="2" xr3:uid="{13D709D4-8F81-4D58-95F2-22F1C686CB18}" name="Vendedor" dataDxfId="1081"/>
    <tableColumn id="3" xr3:uid="{92130A71-CEC8-4371-B6C9-DA29C0189A09}" name="CARNE" dataDxfId="108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9" dataDxfId="1077" headerRowBorderDxfId="1078" tableBorderDxfId="1076" totalsRowBorderDxfId="10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4"/>
    <tableColumn id="2" xr3:uid="{7652DD36-D535-400C-856B-02CB62C18176}" name="Cliente" dataDxfId="1073"/>
    <tableColumn id="3" xr3:uid="{129618E1-FDB4-497A-9DB0-29AC7143AF10}" name="Forma de Pgto" dataDxfId="1072" dataCellStyle="Moeda"/>
    <tableColumn id="4" xr3:uid="{EC69F906-8001-4D12-8ED6-D597AE23E936}" name="Valor Parcela" dataDxfId="1071" dataCellStyle="Porcentagem"/>
    <tableColumn id="5" xr3:uid="{65040BF1-55E0-4DD6-926F-3F0324D47077}" name="Nº Parcela" dataDxfId="107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9" headerRowBorderDxfId="1068" tableBorderDxfId="1067" totalsRowBorderDxfId="1066">
  <autoFilter ref="K34:M41" xr:uid="{1B8643D4-6AC3-4029-882A-C62E9D7CB225}"/>
  <tableColumns count="3">
    <tableColumn id="1" xr3:uid="{710179D9-1888-45A0-96B5-C6E1151FFFF0}" name="OS" dataDxfId="1065"/>
    <tableColumn id="2" xr3:uid="{D9D130F4-6D87-4655-90D8-AF3976107C2A}" name="Parcelas" dataDxfId="1064"/>
    <tableColumn id="3" xr3:uid="{07DCBA20-7E86-4F99-AED4-2BDCD854B71C}" name="Valor Total" dataDxfId="106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2" dataDxfId="1060" headerRowBorderDxfId="1061" tableBorderDxfId="1059" totalsRowBorderDxfId="10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7" dataCellStyle="Moeda"/>
    <tableColumn id="5" xr3:uid="{C388448A-992D-4C2D-8BB2-14D587C7E260}" name="Cliente" dataDxfId="1056" dataCellStyle="Moeda"/>
    <tableColumn id="2" xr3:uid="{C66BE185-63F5-4991-91CC-2661F40F891F}" name="Forma de Pgto" dataDxfId="1055" dataCellStyle="Moeda"/>
    <tableColumn id="3" xr3:uid="{C86C165C-F04B-4F8A-9769-AE38C03F025E}" name="Valor Venda" dataDxfId="1054" dataCellStyle="Porcentagem"/>
    <tableColumn id="4" xr3:uid="{C11C99C9-E646-4417-8698-61AFF55AB567}" name="Entrada" dataDxfId="1053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2" dataDxfId="1050" headerRowBorderDxfId="1051" tableBorderDxfId="1049" totalsRowBorderDxfId="1048">
  <autoFilter ref="K5:M11" xr:uid="{00000000-0009-0000-0100-000015000000}"/>
  <tableColumns count="3">
    <tableColumn id="1" xr3:uid="{696BC9EF-69BB-4D0D-96DF-B836B5771C08}" name="Descrição" dataDxfId="1047"/>
    <tableColumn id="2" xr3:uid="{4F12E940-09E4-4E51-A2A0-CEF5523233E2}" name="Tipo de Pagto" dataDxfId="1046"/>
    <tableColumn id="3" xr3:uid="{329E2ABB-99D4-47D1-8CEB-C3F4DE69A1C8}" name="Valor" dataDxfId="1045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4" dataDxfId="1042" headerRowBorderDxfId="1043" tableBorderDxfId="1041" totalsRowBorderDxfId="10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9"/>
    <tableColumn id="2" xr3:uid="{4745164B-5E29-4C65-87CA-C8C1B31B8272}" name="Cliente" dataDxfId="1038"/>
    <tableColumn id="3" xr3:uid="{69D7D490-36CA-4F69-BF76-2ADB810B4F37}" name="Forma de Pgto" dataDxfId="1037" dataCellStyle="Moeda"/>
    <tableColumn id="4" xr3:uid="{9B6B365B-42F7-499F-B705-B8F5196F8192}" name="Valor Venda" dataDxfId="1036" dataCellStyle="Porcentagem"/>
    <tableColumn id="5" xr3:uid="{7C88B9A2-2920-4AD8-AC1F-7417F3FA8282}" name="Entrada" dataDxfId="1035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4" dataDxfId="1032" headerRowBorderDxfId="1033" tableBorderDxfId="1031" totalsRowBorderDxfId="1030">
  <autoFilter ref="K14:M31" xr:uid="{C83FE64B-E221-4DAA-89EA-5307A7BC98B3}"/>
  <tableColumns count="3">
    <tableColumn id="1" xr3:uid="{5740FA63-223C-47B7-8842-178B003DB4BC}" name="OS" dataDxfId="1029"/>
    <tableColumn id="2" xr3:uid="{5CCC3C75-C80E-44BB-BC37-80F487481DDA}" name="Vendedor" dataDxfId="1028"/>
    <tableColumn id="3" xr3:uid="{585175B8-B982-429E-9344-163CE2687302}" name="CARNE" dataDxfId="102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6" dataDxfId="1024" headerRowBorderDxfId="1025" tableBorderDxfId="1023" totalsRowBorderDxfId="10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1"/>
    <tableColumn id="2" xr3:uid="{2540FF22-68AB-4A04-B72D-DDBC8B064A8D}" name="Cliente" dataDxfId="1020"/>
    <tableColumn id="3" xr3:uid="{A7CB1680-9636-42C6-8AD9-F68C54BBCE0A}" name="Forma de Pgto" dataDxfId="1019" dataCellStyle="Moeda"/>
    <tableColumn id="4" xr3:uid="{727C37A8-450C-4D57-A2C9-396F29733C0A}" name="Valor Parcela" dataDxfId="1018" dataCellStyle="Porcentagem"/>
    <tableColumn id="5" xr3:uid="{4B27DCBF-BD8C-46A2-BC12-DE369C458E8A}" name="Nº Parcela" dataDxfId="1017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6" headerRowBorderDxfId="1015" tableBorderDxfId="1014" totalsRowBorderDxfId="1013">
  <autoFilter ref="K34:M41" xr:uid="{1B8643D4-6AC3-4029-882A-C62E9D7CB225}"/>
  <tableColumns count="3">
    <tableColumn id="1" xr3:uid="{60FAE849-4EC1-49E6-990F-8A43377EE6C3}" name="OS" dataDxfId="1012"/>
    <tableColumn id="2" xr3:uid="{B3127003-34D7-49FE-AFFC-7FA256F8BC3F}" name="Parcelas" dataDxfId="1011"/>
    <tableColumn id="3" xr3:uid="{412AC98E-5FB9-4C3C-9FBF-2EBE1631A397}" name="Valor Total" dataDxfId="101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9" dataDxfId="1007" headerRowBorderDxfId="1008" tableBorderDxfId="1006" totalsRowBorderDxfId="10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4" dataCellStyle="Moeda"/>
    <tableColumn id="5" xr3:uid="{A1AF61B3-EFAB-450A-92B2-38E357233CD5}" name="Cliente" dataDxfId="1003" dataCellStyle="Moeda"/>
    <tableColumn id="2" xr3:uid="{DF277353-579D-439F-85C3-76DEACDE7A39}" name="Forma de Pgto" dataDxfId="1002" dataCellStyle="Moeda"/>
    <tableColumn id="3" xr3:uid="{7164D8F5-C0CB-47F7-BD16-B590E7D85EDB}" name="Valor Venda" dataDxfId="1001" dataCellStyle="Porcentagem"/>
    <tableColumn id="4" xr3:uid="{065B051D-7958-4E7D-972D-DDB0E8E7D052}" name="Entrada" dataDxfId="1000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9" dataDxfId="997" headerRowBorderDxfId="998" tableBorderDxfId="996" totalsRowBorderDxfId="995">
  <autoFilter ref="K5:M11" xr:uid="{00000000-0009-0000-0100-000015000000}"/>
  <tableColumns count="3">
    <tableColumn id="1" xr3:uid="{865498B1-F05E-46C9-B6C1-CCD85D9306C6}" name="Descrição" dataDxfId="994"/>
    <tableColumn id="2" xr3:uid="{37F7AC6A-A7CD-43FB-89B1-5E904BAC1EBD}" name="Tipo de Pagto" dataDxfId="993"/>
    <tableColumn id="3" xr3:uid="{A014E45A-B38A-47C2-A582-411CA2B495EE}" name="Valor" dataDxfId="99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1" dataDxfId="989" headerRowBorderDxfId="990" tableBorderDxfId="988" totalsRowBorderDxfId="9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6"/>
    <tableColumn id="2" xr3:uid="{BC7B7FC1-CF4C-42C2-ABD3-DFEEA234B02B}" name="Cliente" dataDxfId="985"/>
    <tableColumn id="3" xr3:uid="{67F17557-E38E-4865-93F5-DCEF4A7ED2C6}" name="Forma de Pgto" dataDxfId="984" dataCellStyle="Moeda"/>
    <tableColumn id="4" xr3:uid="{D2C10329-9C1A-4D0D-BC74-3A320E9B6593}" name="Valor Venda" dataDxfId="983" dataCellStyle="Porcentagem"/>
    <tableColumn id="5" xr3:uid="{82810E21-D152-4A22-94D5-0A28C60F4849}" name="Entrada" dataDxfId="982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1" dataDxfId="979" headerRowBorderDxfId="980" tableBorderDxfId="978" totalsRowBorderDxfId="977">
  <autoFilter ref="K14:M31" xr:uid="{C83FE64B-E221-4DAA-89EA-5307A7BC98B3}"/>
  <tableColumns count="3">
    <tableColumn id="1" xr3:uid="{7A4CC637-3546-4D1B-9D86-75C6034079BF}" name="OS" dataDxfId="976"/>
    <tableColumn id="2" xr3:uid="{CEB52B1C-2642-45A1-A1EB-26029A9B5402}" name="Vendedor" dataDxfId="975"/>
    <tableColumn id="3" xr3:uid="{8C88CFEB-7155-49BD-9D63-1FCC9096735E}" name="CARNE" dataDxfId="97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3" dataDxfId="971" headerRowBorderDxfId="972" tableBorderDxfId="970" totalsRowBorderDxfId="9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8"/>
    <tableColumn id="2" xr3:uid="{7C3577CA-FC44-4DC9-9002-D4EA74DFF73F}" name="Cliente" dataDxfId="967"/>
    <tableColumn id="3" xr3:uid="{77D25058-5D06-4E37-8746-BF184DDEEA81}" name="Forma de Pgto" dataDxfId="966" dataCellStyle="Moeda"/>
    <tableColumn id="4" xr3:uid="{5EDAFC3F-F478-449C-990C-45300A2C66DF}" name="Valor Parcela" dataDxfId="965" dataCellStyle="Porcentagem"/>
    <tableColumn id="5" xr3:uid="{5DBCC805-C046-4526-8886-13334D431CB2}" name="Nº Parcela" dataDxfId="964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3" headerRowBorderDxfId="962" tableBorderDxfId="961" totalsRowBorderDxfId="960">
  <autoFilter ref="K34:M41" xr:uid="{1B8643D4-6AC3-4029-882A-C62E9D7CB225}"/>
  <tableColumns count="3">
    <tableColumn id="1" xr3:uid="{FDFEB034-D746-488E-9611-5C5421DF9812}" name="OS" dataDxfId="959"/>
    <tableColumn id="2" xr3:uid="{AD1C8A9C-91DA-4D2C-A438-9B8648A5521B}" name="Parcelas" dataDxfId="958"/>
    <tableColumn id="3" xr3:uid="{577D3B3F-3A18-4FE3-8E0F-E82C9012821F}" name="Valor Total" dataDxfId="95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6" dataDxfId="954" headerRowBorderDxfId="955" tableBorderDxfId="953" totalsRowBorderDxfId="95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1" dataCellStyle="Moeda"/>
    <tableColumn id="5" xr3:uid="{53B9FE46-E769-466F-9757-A5C752203582}" name="Cliente" dataDxfId="950" dataCellStyle="Moeda"/>
    <tableColumn id="2" xr3:uid="{9AFD5C78-132A-4E21-96EC-75882307A334}" name="Forma de Pgto" dataDxfId="949" dataCellStyle="Moeda"/>
    <tableColumn id="3" xr3:uid="{0B7791DE-BC7F-4EA7-87CC-E8588E2F6D00}" name="Valor Venda" dataDxfId="948" dataCellStyle="Porcentagem"/>
    <tableColumn id="4" xr3:uid="{EDACC2B7-28DE-40D1-BC9D-356B5D64934D}" name="Entrada" dataDxfId="947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6" dataDxfId="944" headerRowBorderDxfId="945" tableBorderDxfId="943" totalsRowBorderDxfId="942">
  <autoFilter ref="K5:M11" xr:uid="{00000000-0009-0000-0100-000015000000}"/>
  <tableColumns count="3">
    <tableColumn id="1" xr3:uid="{F638F61A-E4B9-4300-BD8D-C0A6A3D7A8E2}" name="Descrição" dataDxfId="941"/>
    <tableColumn id="2" xr3:uid="{9DC04330-37E5-4813-8F2D-4BAA554527A5}" name="Tipo de Pagto" dataDxfId="940"/>
    <tableColumn id="3" xr3:uid="{799A991A-3D2C-4EC1-A2D8-A1F3023DD9AF}" name="Valor" dataDxfId="93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8" dataDxfId="936" headerRowBorderDxfId="937" tableBorderDxfId="935" totalsRowBorderDxfId="93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3"/>
    <tableColumn id="2" xr3:uid="{2FD43CA2-90CA-449B-821F-205F1748177C}" name="Cliente" dataDxfId="932"/>
    <tableColumn id="3" xr3:uid="{A5640B64-FD50-49A5-B305-E61D9280F57A}" name="Forma de Pgto" dataDxfId="931" dataCellStyle="Moeda"/>
    <tableColumn id="4" xr3:uid="{26AD2EE8-2400-4B07-A340-99B1BA546B01}" name="Valor Venda" dataDxfId="930" dataCellStyle="Porcentagem"/>
    <tableColumn id="5" xr3:uid="{DF786930-B464-48C0-92C5-A18D129572D3}" name="Entrada" dataDxfId="929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8" dataDxfId="926" headerRowBorderDxfId="927" tableBorderDxfId="925" totalsRowBorderDxfId="924">
  <autoFilter ref="K14:M31" xr:uid="{C83FE64B-E221-4DAA-89EA-5307A7BC98B3}"/>
  <tableColumns count="3">
    <tableColumn id="1" xr3:uid="{686E8A3B-2CC1-443E-B3F0-07F1D6AF8C19}" name="OS" dataDxfId="923"/>
    <tableColumn id="2" xr3:uid="{1250D1EA-82EB-4EB4-AEDB-99799165C996}" name="Vendedor" dataDxfId="922"/>
    <tableColumn id="3" xr3:uid="{F6A6C0FE-3106-4929-AC63-C2A418BAD9A1}" name="CARNE" dataDxfId="92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20" dataDxfId="918" headerRowBorderDxfId="919" tableBorderDxfId="917" totalsRowBorderDxfId="91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5"/>
    <tableColumn id="2" xr3:uid="{6946C657-632E-4A47-A04C-EBD987018798}" name="Cliente" dataDxfId="914"/>
    <tableColumn id="3" xr3:uid="{11747110-E63B-4D92-AE0D-F744DD494204}" name="Forma de Pgto" dataDxfId="913" dataCellStyle="Moeda"/>
    <tableColumn id="4" xr3:uid="{7637A14A-3C11-482C-A77B-09489718F039}" name="Valor Parcela" dataDxfId="912" dataCellStyle="Porcentagem"/>
    <tableColumn id="5" xr3:uid="{E03E863B-EAD4-4137-9B26-2CA0EAC2F09E}" name="Nº Parcela" dataDxfId="911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10" headerRowBorderDxfId="909" tableBorderDxfId="908" totalsRowBorderDxfId="907">
  <autoFilter ref="K34:M41" xr:uid="{1B8643D4-6AC3-4029-882A-C62E9D7CB225}"/>
  <tableColumns count="3">
    <tableColumn id="1" xr3:uid="{6F6F5FBA-037D-4F8B-8355-AC821A55F803}" name="OS" dataDxfId="906"/>
    <tableColumn id="2" xr3:uid="{BEED8472-6636-42D9-A60A-E43C842B7D8F}" name="Parcelas" dataDxfId="905"/>
    <tableColumn id="3" xr3:uid="{0CE64280-F6A9-46AC-8696-F227912F6552}" name="Valor Total" dataDxfId="904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3" dataDxfId="901" headerRowBorderDxfId="902" tableBorderDxfId="900" totalsRowBorderDxfId="8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8" dataCellStyle="Moeda"/>
    <tableColumn id="5" xr3:uid="{864A4F89-382F-4099-9D59-467A7AB12940}" name="Cliente" dataDxfId="897" dataCellStyle="Moeda"/>
    <tableColumn id="2" xr3:uid="{529253EE-0917-4E7A-AA5F-14D2DCAD4080}" name="Forma de Pgto" dataDxfId="896" dataCellStyle="Moeda"/>
    <tableColumn id="3" xr3:uid="{7A07E6EC-5721-4AB5-B7BB-F8D16153B615}" name="Valor Venda" dataDxfId="895" dataCellStyle="Porcentagem"/>
    <tableColumn id="4" xr3:uid="{E3569DCA-7BA5-47A8-9C20-6FB2B553052E}" name="Entrada" dataDxfId="894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3" dataDxfId="891" headerRowBorderDxfId="892" tableBorderDxfId="890" totalsRowBorderDxfId="889">
  <autoFilter ref="K5:M11" xr:uid="{00000000-0009-0000-0100-000015000000}"/>
  <tableColumns count="3">
    <tableColumn id="1" xr3:uid="{95CF041F-F7B4-4974-9B76-66A5C7C3CF1E}" name="Descrição" dataDxfId="888"/>
    <tableColumn id="2" xr3:uid="{010F2147-2B02-4E80-9D4E-E9E6110BD535}" name="Tipo de Pagto" dataDxfId="887"/>
    <tableColumn id="3" xr3:uid="{667C80AD-481C-4689-8F6A-2426991759A7}" name="Valor" dataDxfId="886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5" dataDxfId="883" headerRowBorderDxfId="884" tableBorderDxfId="882" totalsRowBorderDxfId="8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80"/>
    <tableColumn id="2" xr3:uid="{A401C727-3942-4BDF-BC32-5D789E1F6979}" name="Cliente" dataDxfId="879"/>
    <tableColumn id="3" xr3:uid="{29237CE2-AC3D-477F-ABA7-60B5DA6F8120}" name="Forma de Pgto" dataDxfId="878" dataCellStyle="Moeda"/>
    <tableColumn id="4" xr3:uid="{A39B1F5A-49E3-45B8-BCA8-E3252A43E2CC}" name="Valor Venda" dataDxfId="877" dataCellStyle="Porcentagem"/>
    <tableColumn id="5" xr3:uid="{A1809E96-D43C-48CA-B4B0-F8952BB21709}" name="Entrada" dataDxfId="876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5" dataDxfId="873" headerRowBorderDxfId="874" tableBorderDxfId="872" totalsRowBorderDxfId="8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70"/>
    <tableColumn id="2" xr3:uid="{61C3945B-58EB-4D02-A420-14D13F69B1FD}" name="Vendedor" dataDxfId="869"/>
    <tableColumn id="3" xr3:uid="{310A696D-E474-4609-8CAC-92E3BC19A517}" name="CARNE" dataDxfId="868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7" dataDxfId="865" headerRowBorderDxfId="866" tableBorderDxfId="864" totalsRowBorderDxfId="8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2"/>
    <tableColumn id="2" xr3:uid="{A7114117-5F41-4611-B14C-A3B2F7C35961}" name="Cliente" dataDxfId="861"/>
    <tableColumn id="3" xr3:uid="{3B2F2924-60FC-459E-BAAE-2D26D316360F}" name="Forma de Pgto" dataDxfId="860" dataCellStyle="Moeda"/>
    <tableColumn id="4" xr3:uid="{8C86BF8B-36B7-46FA-B050-2F1437A14710}" name="Valor Parcela" dataDxfId="859" dataCellStyle="Porcentagem"/>
    <tableColumn id="5" xr3:uid="{C429DF1A-E6B0-43DD-A949-A1EBA6DBEC04}" name="Nº Parcela" dataDxfId="858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7" headerRowBorderDxfId="856" tableBorderDxfId="855" totalsRowBorderDxfId="854">
  <autoFilter ref="K34:M41" xr:uid="{1B8643D4-6AC3-4029-882A-C62E9D7CB225}"/>
  <tableColumns count="3">
    <tableColumn id="1" xr3:uid="{182484ED-66B8-43D1-B168-BDEB5996673F}" name="OS" dataDxfId="853"/>
    <tableColumn id="2" xr3:uid="{FC47BB11-B6D3-4928-BFCD-BDAC4B2BDD2F}" name="Parcelas" dataDxfId="852"/>
    <tableColumn id="3" xr3:uid="{F7E0E4E8-A2A1-4513-B1F5-B98008299FD0}" name="Valor Total" dataDxfId="85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50" dataDxfId="848" headerRowBorderDxfId="849" tableBorderDxfId="847" totalsRowBorderDxfId="8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5" dataCellStyle="Moeda"/>
    <tableColumn id="5" xr3:uid="{2B9E675C-5EB2-4EBC-8FDE-19F93E6E7B08}" name="Cliente" dataDxfId="844" dataCellStyle="Moeda"/>
    <tableColumn id="2" xr3:uid="{04A3548D-E88B-4096-85CB-E08243412A85}" name="Forma de Pgto" dataDxfId="843" dataCellStyle="Moeda"/>
    <tableColumn id="3" xr3:uid="{977F794D-E094-4347-935B-1202B7138C52}" name="Valor Venda" dataDxfId="842" dataCellStyle="Porcentagem"/>
    <tableColumn id="4" xr3:uid="{908F3845-FF06-4899-A550-28B1BE92D1A9}" name="Entrada" dataDxfId="84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40" dataDxfId="838" headerRowBorderDxfId="839" tableBorderDxfId="837" totalsRowBorderDxfId="836">
  <autoFilter ref="K5:M11" xr:uid="{00000000-0009-0000-0100-000015000000}"/>
  <tableColumns count="3">
    <tableColumn id="1" xr3:uid="{F9AC75BC-BCF6-4B22-9F75-0F3CC507495B}" name="Descrição" dataDxfId="835"/>
    <tableColumn id="2" xr3:uid="{61D86D1A-7892-4923-9684-5D9A01F0BD5D}" name="Tipo de Pagto" dataDxfId="834"/>
    <tableColumn id="3" xr3:uid="{3F8C718F-C7FE-423F-9F48-66FB2201CFE2}" name="Valor" dataDxfId="83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2" dataDxfId="830" headerRowBorderDxfId="831" tableBorderDxfId="829" totalsRowBorderDxfId="8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7"/>
    <tableColumn id="2" xr3:uid="{994EFF98-DD95-4B94-B1C7-D068C1D5212C}" name="Cliente" dataDxfId="826"/>
    <tableColumn id="3" xr3:uid="{7D4E72E0-4CFA-46C9-B3AF-A1654CF194A1}" name="Forma de Pgto" dataDxfId="825" dataCellStyle="Moeda"/>
    <tableColumn id="4" xr3:uid="{EE367263-F1E4-4631-A484-2013B6BA1F27}" name="Valor Venda" dataDxfId="824" dataCellStyle="Porcentagem"/>
    <tableColumn id="5" xr3:uid="{9DA475CB-BD5A-4734-A11F-3BB7DD0D9D7E}" name="Entrada" dataDxfId="82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2" dataDxfId="820" headerRowBorderDxfId="821" tableBorderDxfId="819" totalsRowBorderDxfId="81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7"/>
    <tableColumn id="2" xr3:uid="{9ED68045-86C7-4BE0-8AE0-0417F1DD76FD}" name="Vendedor" dataDxfId="816"/>
    <tableColumn id="3" xr3:uid="{F4076139-8BF9-457D-ADE6-1BCD435E31BB}" name="CARNE" dataDxfId="815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4" dataDxfId="812" headerRowBorderDxfId="813" tableBorderDxfId="811" totalsRowBorderDxfId="8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9"/>
    <tableColumn id="2" xr3:uid="{E89F59BF-5F0B-4E4E-B2BE-7B739967886D}" name="Cliente" dataDxfId="808"/>
    <tableColumn id="3" xr3:uid="{B348335B-A485-46BE-AECB-0672679F4468}" name="Forma de Pgto" dataDxfId="807" dataCellStyle="Moeda"/>
    <tableColumn id="4" xr3:uid="{73B13E6E-5431-4E90-9A6E-E15737DDA887}" name="Valor Parcela" dataDxfId="806" dataCellStyle="Porcentagem"/>
    <tableColumn id="5" xr3:uid="{C738A843-A8FD-4CB7-B2C8-59810BA17BF2}" name="Nº Parcela" dataDxfId="805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4" headerRowBorderDxfId="803" tableBorderDxfId="802" totalsRowBorderDxfId="801">
  <autoFilter ref="K34:M41" xr:uid="{1B8643D4-6AC3-4029-882A-C62E9D7CB225}"/>
  <tableColumns count="3">
    <tableColumn id="1" xr3:uid="{3F5F54B7-8999-4296-A374-3780F172D2B8}" name="OS" dataDxfId="800"/>
    <tableColumn id="2" xr3:uid="{5F252D86-495C-4A65-B391-3FF46311DE83}" name="Parcelas" dataDxfId="799"/>
    <tableColumn id="3" xr3:uid="{50E905DA-42A9-43E1-8D51-FD4BDEAB81C8}" name="Valor Total" dataDxfId="79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J22" totalsRowShown="0" headerRowDxfId="797" dataDxfId="795" headerRowBorderDxfId="796" tableBorderDxfId="794" totalsRowBorderDxfId="793">
  <autoFilter ref="E5:J22" xr:uid="{00000000-0009-0000-0100-000014000000}"/>
  <sortState xmlns:xlrd2="http://schemas.microsoft.com/office/spreadsheetml/2017/richdata2" ref="E6:I22">
    <sortCondition ref="E5:E22"/>
  </sortState>
  <tableColumns count="6">
    <tableColumn id="1" xr3:uid="{C91F2441-8ECE-4A2D-AF3E-839EEBAEA4D8}" name="Nº Venda" dataDxfId="792" dataCellStyle="Moeda"/>
    <tableColumn id="5" xr3:uid="{08C272CC-0220-47BB-9263-1AA910D9829C}" name="Cliente" dataDxfId="791" dataCellStyle="Moeda"/>
    <tableColumn id="2" xr3:uid="{DF276F1F-7FCA-4CE9-AD90-5340B6E688D4}" name="Forma de Pgto" dataDxfId="790" dataCellStyle="Moeda"/>
    <tableColumn id="3" xr3:uid="{CF6FE509-8C51-4621-87DF-AAD8645E20D4}" name="Valor Venda" dataDxfId="789" dataCellStyle="Porcentagem"/>
    <tableColumn id="4" xr3:uid="{5AB6BADB-DBB7-45C0-89E8-2C836C831FCF}" name="Entrada" dataDxfId="788" dataCellStyle="Porcentagem"/>
    <tableColumn id="6" xr3:uid="{6657D713-1F19-4E1B-A125-76F2E8A8E6A3}" name="Coluna1" dataDxfId="787" dataCellStyle="Moeda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25"/>
  <sheetViews>
    <sheetView workbookViewId="0">
      <selection activeCell="G17" sqref="G17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8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26521.919999999998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33037.909999999996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8" t="s">
        <v>4</v>
      </c>
      <c r="B6" s="29">
        <f>SUM(B4:B5)</f>
        <v>33037.909999999996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6" t="s">
        <v>5</v>
      </c>
      <c r="B8" s="106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2681.5</v>
      </c>
      <c r="P9" t="s">
        <v>136</v>
      </c>
    </row>
    <row r="10" spans="1:16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5958.91</v>
      </c>
      <c r="P10" t="s">
        <v>137</v>
      </c>
    </row>
    <row r="11" spans="1:16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20871.989999999998</v>
      </c>
      <c r="P11" t="s">
        <v>138</v>
      </c>
    </row>
    <row r="12" spans="1:16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3210</v>
      </c>
      <c r="P12" t="s">
        <v>139</v>
      </c>
    </row>
    <row r="13" spans="1:16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2080</v>
      </c>
      <c r="P13" t="s">
        <v>140</v>
      </c>
    </row>
    <row r="14" spans="1:16" ht="15.75" x14ac:dyDescent="0.25">
      <c r="A14" s="28" t="s">
        <v>11</v>
      </c>
      <c r="B14" s="79">
        <f>SUM(B9:B13)</f>
        <v>34802.399999999994</v>
      </c>
    </row>
    <row r="15" spans="1:16" ht="15" x14ac:dyDescent="0.25">
      <c r="A15" s="2"/>
      <c r="B15" s="2"/>
    </row>
    <row r="16" spans="1:16" ht="15" x14ac:dyDescent="0.2">
      <c r="A16" s="106" t="s">
        <v>12</v>
      </c>
      <c r="B16" s="106"/>
    </row>
    <row r="17" spans="1:3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1389</v>
      </c>
    </row>
    <row r="18" spans="1:3" ht="15.75" x14ac:dyDescent="0.25">
      <c r="A18" s="28" t="s">
        <v>11</v>
      </c>
      <c r="B18" s="79">
        <f>SUM(B17:B17)</f>
        <v>1389</v>
      </c>
    </row>
    <row r="25" spans="1:3" x14ac:dyDescent="0.2">
      <c r="C25" t="s">
        <v>182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115" zoomScaleNormal="115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42578125" style="1" customWidth="1"/>
    <col min="3" max="3" width="12.140625" style="1" customWidth="1"/>
    <col min="4" max="4" width="0.28515625" style="1" customWidth="1"/>
    <col min="5" max="5" width="12.28515625" style="34" customWidth="1"/>
    <col min="6" max="6" width="24.28515625" style="34" customWidth="1"/>
    <col min="7" max="7" width="10.140625" style="34" customWidth="1"/>
    <col min="8" max="8" width="12.7109375" style="4" customWidth="1"/>
    <col min="9" max="9" width="15.42578125" style="4" customWidth="1"/>
    <col min="10" max="10" width="2.7109375" style="1" hidden="1" customWidth="1"/>
    <col min="11" max="11" width="12.5703125" style="3" customWidth="1"/>
    <col min="12" max="12" width="12" style="3" customWidth="1"/>
    <col min="13" max="13" width="12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45505</v>
      </c>
    </row>
    <row r="2" spans="2:18" ht="18.75" x14ac:dyDescent="0.2">
      <c r="B2" s="111" t="s">
        <v>127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 t="s">
        <v>58</v>
      </c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B28" sqref="B2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'01'!B1+1</f>
        <v>45506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2490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440</v>
      </c>
      <c r="D6" s="2"/>
      <c r="E6" s="18">
        <v>3675</v>
      </c>
      <c r="F6" s="25" t="s">
        <v>143</v>
      </c>
      <c r="G6" s="46" t="s">
        <v>7</v>
      </c>
      <c r="H6" s="8">
        <v>2490</v>
      </c>
      <c r="I6" s="8">
        <v>100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440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440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6"/>
      <c r="F13" s="63"/>
      <c r="G13" s="97"/>
      <c r="H13" s="74"/>
      <c r="I13" s="74"/>
      <c r="J13" s="2"/>
      <c r="K13" s="108" t="s">
        <v>22</v>
      </c>
      <c r="L13" s="109"/>
      <c r="M13" s="110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6"/>
      <c r="F14" s="63"/>
      <c r="G14" s="97"/>
      <c r="H14" s="74"/>
      <c r="I14" s="7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3651</v>
      </c>
      <c r="L15" s="9" t="s">
        <v>129</v>
      </c>
      <c r="M15" s="16" t="s">
        <v>141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440</v>
      </c>
      <c r="D16" s="2"/>
      <c r="E16" s="18"/>
      <c r="F16" s="25"/>
      <c r="G16" s="26"/>
      <c r="H16" s="8"/>
      <c r="I16" s="8"/>
      <c r="J16" s="2"/>
      <c r="K16" s="25">
        <v>3652</v>
      </c>
      <c r="L16" s="9" t="s">
        <v>135</v>
      </c>
      <c r="M16" s="16" t="s">
        <v>141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3638</v>
      </c>
      <c r="L17" s="9" t="s">
        <v>135</v>
      </c>
      <c r="M17" s="16" t="s">
        <v>141</v>
      </c>
      <c r="R17" s="1">
        <f>IF(vend2[[#This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3638</v>
      </c>
      <c r="F26" s="25" t="s">
        <v>142</v>
      </c>
      <c r="G26" s="26" t="s">
        <v>7</v>
      </c>
      <c r="H26" s="8"/>
      <c r="I26" s="8">
        <v>340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4" zoomScale="80" zoomScaleNormal="80" workbookViewId="0">
      <selection activeCell="B24" sqref="B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45507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439</v>
      </c>
      <c r="D6" s="2"/>
      <c r="E6" s="18">
        <v>3676</v>
      </c>
      <c r="F6" s="25" t="s">
        <v>145</v>
      </c>
      <c r="G6" s="46" t="s">
        <v>7</v>
      </c>
      <c r="H6" s="8">
        <v>399</v>
      </c>
      <c r="I6" s="8">
        <v>150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3676</v>
      </c>
      <c r="F7" s="25" t="s">
        <v>145</v>
      </c>
      <c r="G7" s="26" t="s">
        <v>8</v>
      </c>
      <c r="H7" s="8"/>
      <c r="I7" s="8">
        <v>249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439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249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3666</v>
      </c>
      <c r="L15" s="9" t="s">
        <v>135</v>
      </c>
      <c r="M15" s="16" t="s">
        <v>141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439</v>
      </c>
      <c r="D16" s="2"/>
      <c r="E16" s="18"/>
      <c r="F16" s="25"/>
      <c r="G16" s="26"/>
      <c r="H16" s="8"/>
      <c r="I16" s="8"/>
      <c r="J16" s="2"/>
      <c r="K16" s="25">
        <v>3644</v>
      </c>
      <c r="L16" s="9" t="s">
        <v>129</v>
      </c>
      <c r="M16" s="16" t="s">
        <v>141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1</v>
      </c>
      <c r="C19" s="31">
        <f>SUM(entr_carn3[Valor Total])</f>
        <v>500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500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3666</v>
      </c>
      <c r="F26" s="25" t="s">
        <v>144</v>
      </c>
      <c r="G26" s="46" t="s">
        <v>6</v>
      </c>
      <c r="H26" s="8"/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3644</v>
      </c>
      <c r="L35" s="41">
        <v>5</v>
      </c>
      <c r="M35" s="16">
        <v>500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4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45508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9"/>
      <c r="L15" s="9"/>
      <c r="M15" s="60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1"/>
      <c r="L16" s="9"/>
      <c r="M16" s="6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/>
      <c r="L17" s="9"/>
      <c r="M17" s="60"/>
      <c r="R17" s="1">
        <f>IF(vend4[[#This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6" zoomScale="80" zoomScaleNormal="80" workbookViewId="0">
      <selection activeCell="C36" sqref="C3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'04'!B1+1</f>
        <v>45509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166.5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166.5</v>
      </c>
      <c r="D16" s="2"/>
      <c r="E16" s="18"/>
      <c r="F16" s="25"/>
      <c r="G16" s="26"/>
      <c r="H16" s="8"/>
      <c r="I16" s="8"/>
      <c r="J16" s="2"/>
      <c r="K16" s="25"/>
      <c r="L16" s="9"/>
      <c r="M16" s="65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3611</v>
      </c>
      <c r="F35" s="25" t="s">
        <v>146</v>
      </c>
      <c r="G35" s="26" t="s">
        <v>6</v>
      </c>
      <c r="H35" s="8">
        <v>166.5</v>
      </c>
      <c r="I35" s="8" t="s">
        <v>42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3"/>
      <c r="F37" s="92"/>
      <c r="G37" s="94"/>
      <c r="H37" s="95"/>
      <c r="I37" s="95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4" zoomScale="80" zoomScaleNormal="80" workbookViewId="0">
      <selection activeCell="C24" sqref="C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45510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2199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1110</v>
      </c>
      <c r="D6" s="2"/>
      <c r="E6" s="18">
        <v>3677</v>
      </c>
      <c r="F6" s="25" t="s">
        <v>147</v>
      </c>
      <c r="G6" s="26" t="s">
        <v>6</v>
      </c>
      <c r="H6" s="8">
        <v>60</v>
      </c>
      <c r="I6" s="8">
        <v>60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3678</v>
      </c>
      <c r="F7" s="25" t="s">
        <v>149</v>
      </c>
      <c r="G7" s="26" t="s">
        <v>7</v>
      </c>
      <c r="H7" s="8">
        <v>350</v>
      </c>
      <c r="I7" s="8">
        <v>100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1110</v>
      </c>
      <c r="D8" s="2"/>
      <c r="E8" s="18">
        <v>3679</v>
      </c>
      <c r="F8" s="25" t="s">
        <v>150</v>
      </c>
      <c r="G8" s="26" t="s">
        <v>7</v>
      </c>
      <c r="H8" s="8">
        <v>990</v>
      </c>
      <c r="I8" s="8">
        <v>200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3680</v>
      </c>
      <c r="F9" s="25" t="s">
        <v>148</v>
      </c>
      <c r="G9" s="26" t="s">
        <v>8</v>
      </c>
      <c r="H9" s="8">
        <v>799</v>
      </c>
      <c r="I9" s="8">
        <v>750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06" t="s">
        <v>5</v>
      </c>
      <c r="C10" s="106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750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>
        <v>3646</v>
      </c>
      <c r="L15" s="9" t="s">
        <v>135</v>
      </c>
      <c r="M15" s="16" t="s">
        <v>141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1110</v>
      </c>
      <c r="D16" s="2"/>
      <c r="E16" s="18"/>
      <c r="F16" s="25"/>
      <c r="G16" s="26"/>
      <c r="H16" s="8"/>
      <c r="I16" s="8"/>
      <c r="J16" s="2"/>
      <c r="K16" s="25">
        <v>3645</v>
      </c>
      <c r="L16" s="9" t="s">
        <v>135</v>
      </c>
      <c r="M16" s="16" t="s">
        <v>141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2199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9" zoomScale="80" zoomScaleNormal="8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6">
        <f>'06'!B1+1</f>
        <v>45511</v>
      </c>
    </row>
    <row r="2" spans="2:21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  <c r="U4" s="1">
        <v>0</v>
      </c>
    </row>
    <row r="5" spans="2:21" ht="15" x14ac:dyDescent="0.25">
      <c r="B5" s="23" t="s">
        <v>1</v>
      </c>
      <c r="C5" s="24">
        <f>SUMIF(I6:I31,"&gt;0",H6:H31)</f>
        <v>3289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1111</v>
      </c>
      <c r="D6" s="2"/>
      <c r="E6" s="18">
        <v>3681</v>
      </c>
      <c r="F6" s="84" t="s">
        <v>153</v>
      </c>
      <c r="G6" s="84" t="s">
        <v>10</v>
      </c>
      <c r="H6" s="85">
        <v>725</v>
      </c>
      <c r="I6" s="85">
        <v>362.5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3682</v>
      </c>
      <c r="F7" s="48" t="s">
        <v>153</v>
      </c>
      <c r="G7" s="48" t="s">
        <v>10</v>
      </c>
      <c r="H7" s="47">
        <v>265</v>
      </c>
      <c r="I7" s="47">
        <v>132.5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21</v>
      </c>
      <c r="C8" s="29">
        <f>SUM(C6:C7)</f>
        <v>1111</v>
      </c>
      <c r="D8" s="2"/>
      <c r="E8" s="18">
        <v>3683</v>
      </c>
      <c r="F8" s="25" t="s">
        <v>152</v>
      </c>
      <c r="G8" s="26" t="s">
        <v>7</v>
      </c>
      <c r="H8" s="8">
        <v>1400</v>
      </c>
      <c r="I8" s="8">
        <v>100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>
        <v>3684</v>
      </c>
      <c r="F9" s="25" t="s">
        <v>155</v>
      </c>
      <c r="G9" s="26" t="s">
        <v>6</v>
      </c>
      <c r="H9" s="8">
        <v>400</v>
      </c>
      <c r="I9" s="8">
        <v>100</v>
      </c>
      <c r="J9" s="2"/>
      <c r="K9" s="25"/>
      <c r="L9" s="9"/>
      <c r="M9" s="16"/>
      <c r="R9" s="1">
        <f>IF(vend7[[#This Row],[Nº Venda]]&gt;1,1,0)</f>
        <v>1</v>
      </c>
    </row>
    <row r="10" spans="2:21" ht="15.75" x14ac:dyDescent="0.25">
      <c r="B10" s="106" t="s">
        <v>5</v>
      </c>
      <c r="C10" s="106"/>
      <c r="D10" s="2"/>
      <c r="E10" s="18">
        <v>3685</v>
      </c>
      <c r="F10" s="25" t="s">
        <v>160</v>
      </c>
      <c r="G10" s="26" t="s">
        <v>10</v>
      </c>
      <c r="H10" s="8">
        <v>499</v>
      </c>
      <c r="I10" s="8">
        <v>150</v>
      </c>
      <c r="J10" s="2"/>
      <c r="K10" s="25"/>
      <c r="L10" s="9"/>
      <c r="M10" s="16"/>
      <c r="R10" s="1">
        <f>IF(vend7[[#This Row],[Nº Venda]]&gt;1,1,0)</f>
        <v>1</v>
      </c>
    </row>
    <row r="11" spans="2:21" ht="15.75" x14ac:dyDescent="0.25">
      <c r="B11" s="30" t="s">
        <v>6</v>
      </c>
      <c r="C11" s="31">
        <f>(SUMIF($G$2:$G$31,B11,$I$2:$I$31))+(SUMIF($G$35:$G$41,B11,$H$35:$H$41))</f>
        <v>280</v>
      </c>
      <c r="D11" s="2"/>
      <c r="E11" s="18">
        <v>3686</v>
      </c>
      <c r="F11" s="25" t="s">
        <v>156</v>
      </c>
      <c r="G11" s="26" t="s">
        <v>50</v>
      </c>
      <c r="H11" s="8">
        <v>590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366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645</v>
      </c>
      <c r="D15" s="2"/>
      <c r="E15" s="18"/>
      <c r="F15" s="25"/>
      <c r="G15" s="26"/>
      <c r="H15" s="8"/>
      <c r="I15" s="8"/>
      <c r="J15" s="2"/>
      <c r="K15" s="49">
        <v>3600</v>
      </c>
      <c r="L15" s="9" t="s">
        <v>135</v>
      </c>
      <c r="M15" s="50" t="s">
        <v>141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1291</v>
      </c>
      <c r="D16" s="2"/>
      <c r="E16" s="18"/>
      <c r="F16" s="25"/>
      <c r="G16" s="26"/>
      <c r="H16" s="8"/>
      <c r="I16" s="8"/>
      <c r="J16" s="2"/>
      <c r="K16" s="45">
        <v>3653</v>
      </c>
      <c r="L16" s="9" t="s">
        <v>135</v>
      </c>
      <c r="M16" s="16" t="s">
        <v>141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>
        <v>3642</v>
      </c>
      <c r="L17" s="9" t="s">
        <v>129</v>
      </c>
      <c r="M17" s="16" t="s">
        <v>141</v>
      </c>
      <c r="R17" s="1">
        <f>IF(vend7[[#This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45">
        <v>3670</v>
      </c>
      <c r="L18" s="9" t="s">
        <v>129</v>
      </c>
      <c r="M18" s="16" t="s">
        <v>141</v>
      </c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>
        <v>3669</v>
      </c>
      <c r="L19" s="9" t="s">
        <v>129</v>
      </c>
      <c r="M19" s="16" t="s">
        <v>141</v>
      </c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3289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>
        <v>3600</v>
      </c>
      <c r="F26" s="62" t="s">
        <v>151</v>
      </c>
      <c r="G26" s="76" t="s">
        <v>7</v>
      </c>
      <c r="H26" s="77"/>
      <c r="I26" s="77">
        <v>30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>
        <v>3670</v>
      </c>
      <c r="F27" s="25" t="s">
        <v>157</v>
      </c>
      <c r="G27" s="26" t="s">
        <v>7</v>
      </c>
      <c r="H27" s="8"/>
      <c r="I27" s="8">
        <v>118</v>
      </c>
      <c r="J27" s="2"/>
      <c r="K27" s="45"/>
      <c r="L27" s="9"/>
      <c r="M27" s="16"/>
    </row>
    <row r="28" spans="2:18" ht="15.75" x14ac:dyDescent="0.25">
      <c r="B28" s="2"/>
      <c r="C28" s="2"/>
      <c r="D28" s="2"/>
      <c r="E28" s="18">
        <v>3669</v>
      </c>
      <c r="F28" s="25" t="s">
        <v>157</v>
      </c>
      <c r="G28" s="26" t="s">
        <v>7</v>
      </c>
      <c r="H28" s="8"/>
      <c r="I28" s="8">
        <v>118</v>
      </c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3592</v>
      </c>
      <c r="F35" s="25" t="s">
        <v>154</v>
      </c>
      <c r="G35" s="26" t="s">
        <v>6</v>
      </c>
      <c r="H35" s="8">
        <v>180</v>
      </c>
      <c r="I35" s="8" t="s">
        <v>39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9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" style="4" customWidth="1"/>
    <col min="10" max="10" width="2.7109375" style="1" hidden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'07'!B1+1</f>
        <v>45512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165</v>
      </c>
      <c r="D6" s="2"/>
      <c r="E6" s="87">
        <v>3687</v>
      </c>
      <c r="F6" s="8" t="s">
        <v>161</v>
      </c>
      <c r="G6" s="8" t="s">
        <v>9</v>
      </c>
      <c r="H6" s="8">
        <v>65</v>
      </c>
      <c r="I6" s="8">
        <v>65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7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165</v>
      </c>
      <c r="D8" s="2"/>
      <c r="E8" s="87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7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(SUMIF($G$2:$G$31,B12,$I$2:$I$31))+(SUMIF($G$35:$G$42,B12,$H$35:$H$42))</f>
        <v>100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IF(vend8[[#This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(SUMIF($G$2:$G$31,B14,$I$2:$I$31))+(SUMIF($G$35:$G$42,B14,$H$35:$H$42))</f>
        <v>65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(SUMIF($G$2:$G$31,B15,$I$2:$I$31))+(SUMIF($G$35:$G$42,B15,$H$35:$H$42))</f>
        <v>250</v>
      </c>
      <c r="D15" s="2"/>
      <c r="E15" s="18"/>
      <c r="F15" s="25"/>
      <c r="G15" s="26"/>
      <c r="H15" s="8"/>
      <c r="I15" s="8"/>
      <c r="J15" s="2"/>
      <c r="K15" s="25">
        <v>3656</v>
      </c>
      <c r="L15" s="9" t="s">
        <v>129</v>
      </c>
      <c r="M15" s="16" t="s">
        <v>141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415</v>
      </c>
      <c r="D16" s="2"/>
      <c r="E16" s="18"/>
      <c r="F16" s="25"/>
      <c r="G16" s="26"/>
      <c r="H16" s="8"/>
      <c r="I16" s="8"/>
      <c r="J16" s="2"/>
      <c r="K16" s="25">
        <v>3655</v>
      </c>
      <c r="L16" s="9" t="s">
        <v>129</v>
      </c>
      <c r="M16" s="16" t="s">
        <v>141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3654</v>
      </c>
      <c r="L17" s="9" t="s">
        <v>129</v>
      </c>
      <c r="M17" s="16" t="s">
        <v>141</v>
      </c>
      <c r="R17" s="1">
        <f>IF(vend8[[#This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3662</v>
      </c>
      <c r="L18" s="9" t="s">
        <v>135</v>
      </c>
      <c r="M18" s="16" t="s">
        <v>141</v>
      </c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>
        <v>3660</v>
      </c>
      <c r="L19" s="9" t="s">
        <v>135</v>
      </c>
      <c r="M19" s="16" t="s">
        <v>141</v>
      </c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8">
        <v>3673</v>
      </c>
      <c r="F26" s="89" t="s">
        <v>159</v>
      </c>
      <c r="G26" s="90" t="s">
        <v>7</v>
      </c>
      <c r="H26" s="91"/>
      <c r="I26" s="91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3566</v>
      </c>
      <c r="F35" s="25" t="s">
        <v>158</v>
      </c>
      <c r="G35" s="26" t="s">
        <v>10</v>
      </c>
      <c r="H35" s="8">
        <v>250</v>
      </c>
      <c r="I35" s="8" t="s">
        <v>76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80"/>
      <c r="G42" s="81"/>
      <c r="H42" s="82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topLeftCell="A9" zoomScale="80" zoomScaleNormal="80" workbookViewId="0">
      <selection activeCell="C27" sqref="C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'08'!B1+1</f>
        <v>45513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249.92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899.92</v>
      </c>
      <c r="D6" s="2"/>
      <c r="E6" s="18">
        <v>3688</v>
      </c>
      <c r="F6" s="25" t="s">
        <v>165</v>
      </c>
      <c r="G6" s="46" t="s">
        <v>7</v>
      </c>
      <c r="H6" s="8">
        <v>249.92</v>
      </c>
      <c r="I6" s="8">
        <v>249.92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21</v>
      </c>
      <c r="C8" s="29">
        <f>SUM(C6:C7)</f>
        <v>899.92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699.92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3663</v>
      </c>
      <c r="L15" s="9" t="s">
        <v>129</v>
      </c>
      <c r="M15" s="16" t="s">
        <v>141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899.92</v>
      </c>
      <c r="D16" s="2"/>
      <c r="E16" s="18"/>
      <c r="F16" s="25"/>
      <c r="G16" s="26"/>
      <c r="H16" s="8"/>
      <c r="I16" s="8"/>
      <c r="J16" s="2"/>
      <c r="K16" s="25">
        <v>3637</v>
      </c>
      <c r="L16" s="9" t="s">
        <v>135</v>
      </c>
      <c r="M16" s="16" t="s">
        <v>162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3671</v>
      </c>
      <c r="L17" s="9" t="s">
        <v>135</v>
      </c>
      <c r="M17" s="16" t="s">
        <v>141</v>
      </c>
      <c r="R17" s="1">
        <f>IF(vend9[[#This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540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540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249.92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3637</v>
      </c>
      <c r="F26" s="25" t="s">
        <v>163</v>
      </c>
      <c r="G26" s="46" t="s">
        <v>7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3663</v>
      </c>
      <c r="F27" s="25" t="s">
        <v>164</v>
      </c>
      <c r="G27" s="26" t="s">
        <v>6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3683</v>
      </c>
      <c r="F28" s="25" t="s">
        <v>152</v>
      </c>
      <c r="G28" s="26" t="s">
        <v>7</v>
      </c>
      <c r="H28" s="8"/>
      <c r="I28" s="8">
        <v>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3637</v>
      </c>
      <c r="L35" s="41">
        <v>5</v>
      </c>
      <c r="M35" s="16">
        <v>540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4" zoomScale="69" zoomScaleNormal="69" workbookViewId="0">
      <selection activeCell="X22" sqref="X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45514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1655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1655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1655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>
        <v>3688</v>
      </c>
      <c r="L15" s="9" t="s">
        <v>129</v>
      </c>
      <c r="M15" s="16" t="s">
        <v>141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1655</v>
      </c>
      <c r="D16" s="2"/>
      <c r="E16" s="18"/>
      <c r="F16" s="25"/>
      <c r="G16" s="26"/>
      <c r="H16" s="8"/>
      <c r="I16" s="8"/>
      <c r="J16" s="2"/>
      <c r="K16" s="25">
        <v>3649</v>
      </c>
      <c r="L16" s="9" t="s">
        <v>129</v>
      </c>
      <c r="M16" s="65" t="s">
        <v>141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3664</v>
      </c>
      <c r="L17" s="9" t="s">
        <v>129</v>
      </c>
      <c r="M17" s="16" t="s">
        <v>141</v>
      </c>
      <c r="R17" s="1">
        <f>IF(vend10[[#This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3649</v>
      </c>
      <c r="F26" s="25" t="s">
        <v>166</v>
      </c>
      <c r="G26" s="46" t="s">
        <v>9</v>
      </c>
      <c r="H26" s="8"/>
      <c r="I26" s="8">
        <v>1655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8" t="s">
        <v>12</v>
      </c>
      <c r="L33" s="109"/>
      <c r="M33" s="110"/>
    </row>
    <row r="34" spans="2:18" ht="15" x14ac:dyDescent="0.25">
      <c r="E34" s="107" t="s">
        <v>28</v>
      </c>
      <c r="F34" s="107"/>
      <c r="G34" s="107"/>
      <c r="H34" s="107"/>
      <c r="I34" s="107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9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'10'!B1+1</f>
        <v>45515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4" zoomScale="80" zoomScaleNormal="80" workbookViewId="0">
      <selection activeCell="N18" sqref="N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45516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3535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3085</v>
      </c>
      <c r="D6" s="2"/>
      <c r="E6" s="103">
        <v>3689</v>
      </c>
      <c r="F6" s="51" t="s">
        <v>168</v>
      </c>
      <c r="G6" s="51" t="s">
        <v>9</v>
      </c>
      <c r="H6" s="52">
        <v>1490</v>
      </c>
      <c r="I6" s="52">
        <v>1490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3690</v>
      </c>
      <c r="F7" s="53" t="s">
        <v>169</v>
      </c>
      <c r="G7" s="53" t="s">
        <v>10</v>
      </c>
      <c r="H7" s="54">
        <v>345</v>
      </c>
      <c r="I7" s="54">
        <v>345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3085</v>
      </c>
      <c r="D8" s="2"/>
      <c r="E8" s="56">
        <v>3691</v>
      </c>
      <c r="F8" s="53" t="s">
        <v>170</v>
      </c>
      <c r="G8" s="53" t="s">
        <v>8</v>
      </c>
      <c r="H8" s="54">
        <v>1700</v>
      </c>
      <c r="I8" s="54">
        <v>1000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1000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1490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345</v>
      </c>
      <c r="D15" s="2"/>
      <c r="E15" s="18"/>
      <c r="F15" s="25"/>
      <c r="G15" s="26"/>
      <c r="H15" s="8"/>
      <c r="I15" s="8"/>
      <c r="J15" s="2"/>
      <c r="K15" s="25">
        <v>3676</v>
      </c>
      <c r="L15" s="9" t="s">
        <v>129</v>
      </c>
      <c r="M15" s="16" t="s">
        <v>141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3085</v>
      </c>
      <c r="D16" s="2"/>
      <c r="E16" s="18"/>
      <c r="F16" s="25"/>
      <c r="G16" s="26"/>
      <c r="H16" s="8"/>
      <c r="I16" s="8"/>
      <c r="J16" s="2"/>
      <c r="K16" s="25">
        <v>3687</v>
      </c>
      <c r="L16" s="9" t="s">
        <v>129</v>
      </c>
      <c r="M16" s="16" t="s">
        <v>141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3681</v>
      </c>
      <c r="L17" s="9" t="s">
        <v>129</v>
      </c>
      <c r="M17" s="16" t="s">
        <v>141</v>
      </c>
      <c r="R17" s="1">
        <f>IF(vend12[[#This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3692</v>
      </c>
      <c r="L18" s="9" t="s">
        <v>129</v>
      </c>
      <c r="M18" s="16" t="s">
        <v>141</v>
      </c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3535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3614</v>
      </c>
      <c r="F26" s="55" t="s">
        <v>167</v>
      </c>
      <c r="G26" s="46" t="s">
        <v>6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F27" sqref="F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45517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700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3677</v>
      </c>
      <c r="L15" s="9" t="s">
        <v>135</v>
      </c>
      <c r="M15" s="16" t="s">
        <v>141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700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3691</v>
      </c>
      <c r="F26" s="25" t="s">
        <v>171</v>
      </c>
      <c r="G26" s="26" t="s">
        <v>6</v>
      </c>
      <c r="H26" s="8"/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7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45518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1319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1319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900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119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130</v>
      </c>
      <c r="D15" s="2"/>
      <c r="E15" s="18"/>
      <c r="F15" s="25"/>
      <c r="G15" s="26"/>
      <c r="H15" s="8"/>
      <c r="I15" s="8"/>
      <c r="J15" s="2"/>
      <c r="K15" s="25">
        <v>3672</v>
      </c>
      <c r="L15" s="9" t="s">
        <v>129</v>
      </c>
      <c r="M15" s="16" t="s">
        <v>141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1319</v>
      </c>
      <c r="D16" s="2"/>
      <c r="E16" s="18"/>
      <c r="F16" s="25"/>
      <c r="G16" s="26"/>
      <c r="H16" s="8"/>
      <c r="I16" s="8"/>
      <c r="J16" s="2"/>
      <c r="K16" s="25">
        <v>3678</v>
      </c>
      <c r="L16" s="9" t="s">
        <v>129</v>
      </c>
      <c r="M16" s="16" t="s">
        <v>141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3657</v>
      </c>
      <c r="L17" s="9" t="s">
        <v>135</v>
      </c>
      <c r="M17" s="16" t="s">
        <v>141</v>
      </c>
      <c r="R17" s="1">
        <f>IF(vend14[[#This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3684</v>
      </c>
      <c r="L18" s="9" t="s">
        <v>129</v>
      </c>
      <c r="M18" s="16" t="s">
        <v>141</v>
      </c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3672</v>
      </c>
      <c r="F26" s="25" t="s">
        <v>172</v>
      </c>
      <c r="G26" s="26" t="s">
        <v>7</v>
      </c>
      <c r="H26" s="8"/>
      <c r="I26" s="8">
        <v>650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3672</v>
      </c>
      <c r="F27" s="25" t="s">
        <v>172</v>
      </c>
      <c r="G27" s="26" t="s">
        <v>8</v>
      </c>
      <c r="H27" s="8"/>
      <c r="I27" s="8">
        <v>119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3678</v>
      </c>
      <c r="F28" s="25" t="s">
        <v>173</v>
      </c>
      <c r="G28" s="26" t="s">
        <v>7</v>
      </c>
      <c r="H28" s="8"/>
      <c r="I28" s="8">
        <v>250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3684</v>
      </c>
      <c r="F29" s="25" t="s">
        <v>174</v>
      </c>
      <c r="G29" s="26" t="s">
        <v>6</v>
      </c>
      <c r="H29" s="8"/>
      <c r="I29" s="8">
        <v>170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3684</v>
      </c>
      <c r="F30" s="39" t="s">
        <v>174</v>
      </c>
      <c r="G30" s="26" t="s">
        <v>10</v>
      </c>
      <c r="H30" s="8"/>
      <c r="I30" s="8">
        <v>130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7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'14'!B1+1</f>
        <v>45519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1875</v>
      </c>
      <c r="D6" s="2"/>
      <c r="E6" s="18">
        <v>3692</v>
      </c>
      <c r="F6" s="25" t="s">
        <v>176</v>
      </c>
      <c r="G6" s="46" t="s">
        <v>8</v>
      </c>
      <c r="H6" s="8">
        <v>240</v>
      </c>
      <c r="I6" s="8">
        <v>240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3693</v>
      </c>
      <c r="F7" s="25" t="s">
        <v>178</v>
      </c>
      <c r="G7" s="46" t="s">
        <v>6</v>
      </c>
      <c r="H7" s="8">
        <v>150</v>
      </c>
      <c r="I7" s="8">
        <v>150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1875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1230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495</v>
      </c>
      <c r="D15" s="2"/>
      <c r="E15" s="18"/>
      <c r="F15" s="25"/>
      <c r="G15" s="26"/>
      <c r="H15" s="8"/>
      <c r="I15" s="8"/>
      <c r="J15" s="2"/>
      <c r="K15" s="63">
        <v>3685</v>
      </c>
      <c r="L15" s="9" t="s">
        <v>129</v>
      </c>
      <c r="M15" s="71" t="s">
        <v>141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1875</v>
      </c>
      <c r="D16" s="2"/>
      <c r="E16" s="18"/>
      <c r="F16" s="25"/>
      <c r="G16" s="26"/>
      <c r="H16" s="8"/>
      <c r="I16" s="8"/>
      <c r="J16" s="2"/>
      <c r="K16" s="25">
        <v>3667</v>
      </c>
      <c r="L16" s="9" t="s">
        <v>129</v>
      </c>
      <c r="M16" s="16" t="s">
        <v>141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3692</v>
      </c>
      <c r="L17" s="9" t="s">
        <v>135</v>
      </c>
      <c r="M17" s="16" t="s">
        <v>141</v>
      </c>
      <c r="R17" s="1">
        <f>IF(vend15[[#This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3693</v>
      </c>
      <c r="L18" s="9" t="s">
        <v>135</v>
      </c>
      <c r="M18" s="16" t="s">
        <v>141</v>
      </c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>
        <v>3682</v>
      </c>
      <c r="L19" s="9" t="s">
        <v>129</v>
      </c>
      <c r="M19" s="71" t="s">
        <v>141</v>
      </c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3681</v>
      </c>
      <c r="L20" s="9" t="s">
        <v>129</v>
      </c>
      <c r="M20" s="16" t="s">
        <v>141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3682</v>
      </c>
      <c r="F26" s="25" t="s">
        <v>153</v>
      </c>
      <c r="G26" s="46" t="s">
        <v>10</v>
      </c>
      <c r="H26" s="8"/>
      <c r="I26" s="8">
        <v>132.5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3681</v>
      </c>
      <c r="F27" s="25" t="s">
        <v>153</v>
      </c>
      <c r="G27" s="26" t="s">
        <v>10</v>
      </c>
      <c r="H27" s="8"/>
      <c r="I27" s="8">
        <v>362.5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3685</v>
      </c>
      <c r="F28" s="25" t="s">
        <v>175</v>
      </c>
      <c r="G28" s="26" t="s">
        <v>8</v>
      </c>
      <c r="H28" s="8"/>
      <c r="I28" s="8">
        <v>349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3667</v>
      </c>
      <c r="F29" s="25" t="s">
        <v>177</v>
      </c>
      <c r="G29" s="26" t="s">
        <v>8</v>
      </c>
      <c r="H29" s="8"/>
      <c r="I29" s="8">
        <v>641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6"/>
  <sheetViews>
    <sheetView showGridLines="0" topLeftCell="A6" zoomScale="80" zoomScaleNormal="80" workbookViewId="0">
      <selection activeCell="G14" sqref="G14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'15'!B1+1</f>
        <v>45520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3690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3690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594.99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3690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3569</v>
      </c>
      <c r="L15" s="9" t="s">
        <v>129</v>
      </c>
      <c r="M15" s="16" t="s">
        <v>141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4284.99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71"/>
      <c r="R17" s="1">
        <f>IF(vend16[[#This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3569</v>
      </c>
      <c r="F26" s="25" t="s">
        <v>180</v>
      </c>
      <c r="G26" s="46" t="s">
        <v>8</v>
      </c>
      <c r="H26" s="8"/>
      <c r="I26" s="8">
        <v>3690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3685</v>
      </c>
      <c r="F35" s="25" t="s">
        <v>179</v>
      </c>
      <c r="G35" s="26" t="s">
        <v>7</v>
      </c>
      <c r="H35" s="8">
        <v>198.33</v>
      </c>
      <c r="I35" s="8" t="s">
        <v>80</v>
      </c>
      <c r="K35" s="25"/>
      <c r="L35" s="41"/>
      <c r="M35" s="16"/>
    </row>
    <row r="36" spans="2:18" ht="15.75" x14ac:dyDescent="0.25">
      <c r="E36" s="18">
        <v>3685</v>
      </c>
      <c r="F36" s="25" t="s">
        <v>179</v>
      </c>
      <c r="G36" s="26" t="s">
        <v>7</v>
      </c>
      <c r="H36" s="8">
        <v>198.33</v>
      </c>
      <c r="I36" s="8" t="s">
        <v>81</v>
      </c>
      <c r="K36" s="25"/>
      <c r="L36" s="41"/>
      <c r="M36" s="16"/>
    </row>
    <row r="37" spans="2:18" ht="15.75" x14ac:dyDescent="0.25">
      <c r="E37" s="18">
        <v>3685</v>
      </c>
      <c r="F37" s="25" t="s">
        <v>179</v>
      </c>
      <c r="G37" s="26" t="s">
        <v>7</v>
      </c>
      <c r="H37" s="8">
        <v>198.33</v>
      </c>
      <c r="I37" s="8" t="s">
        <v>59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4" spans="2:18" x14ac:dyDescent="0.2">
      <c r="B44" s="1" t="s">
        <v>181</v>
      </c>
    </row>
    <row r="46" spans="2:18" x14ac:dyDescent="0.2">
      <c r="C46" s="1" t="s">
        <v>183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6" zoomScale="80" zoomScaleNormal="8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45521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2750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105" t="s">
        <v>188</v>
      </c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2560</v>
      </c>
      <c r="D6" s="2"/>
      <c r="E6" s="18">
        <v>3694</v>
      </c>
      <c r="F6" s="25" t="s">
        <v>184</v>
      </c>
      <c r="G6" s="26" t="s">
        <v>7</v>
      </c>
      <c r="H6" s="8">
        <v>790</v>
      </c>
      <c r="I6" s="8">
        <v>200</v>
      </c>
      <c r="J6" s="104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3695</v>
      </c>
      <c r="F7" s="25" t="s">
        <v>185</v>
      </c>
      <c r="G7" s="26" t="s">
        <v>8</v>
      </c>
      <c r="H7" s="8">
        <v>680</v>
      </c>
      <c r="I7" s="8">
        <v>680</v>
      </c>
      <c r="J7" s="58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2560</v>
      </c>
      <c r="D8" s="2"/>
      <c r="E8" s="18">
        <v>3696</v>
      </c>
      <c r="F8" s="25" t="s">
        <v>187</v>
      </c>
      <c r="G8" s="26" t="s">
        <v>8</v>
      </c>
      <c r="H8" s="8">
        <v>640</v>
      </c>
      <c r="I8" s="8">
        <v>640</v>
      </c>
      <c r="J8" s="58">
        <v>640</v>
      </c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3697</v>
      </c>
      <c r="F9" s="25" t="s">
        <v>187</v>
      </c>
      <c r="G9" s="26" t="s">
        <v>8</v>
      </c>
      <c r="H9" s="8">
        <v>640</v>
      </c>
      <c r="I9" s="8">
        <v>640</v>
      </c>
      <c r="J9" s="58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58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58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600</v>
      </c>
      <c r="D12" s="2"/>
      <c r="E12" s="18"/>
      <c r="F12" s="25"/>
      <c r="G12" s="26"/>
      <c r="H12" s="8"/>
      <c r="I12" s="8"/>
      <c r="J12" s="58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1960</v>
      </c>
      <c r="D13" s="2"/>
      <c r="E13" s="18"/>
      <c r="F13" s="25"/>
      <c r="G13" s="26"/>
      <c r="H13" s="8"/>
      <c r="I13" s="8"/>
      <c r="J13" s="58"/>
      <c r="K13" s="108" t="s">
        <v>22</v>
      </c>
      <c r="L13" s="109"/>
      <c r="M13" s="110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58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58"/>
      <c r="K15" s="25">
        <v>3665</v>
      </c>
      <c r="L15" s="9" t="s">
        <v>129</v>
      </c>
      <c r="M15" s="16" t="s">
        <v>141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2560</v>
      </c>
      <c r="D16" s="2"/>
      <c r="E16" s="18"/>
      <c r="F16" s="25"/>
      <c r="G16" s="26"/>
      <c r="H16" s="8"/>
      <c r="I16" s="8"/>
      <c r="J16" s="58"/>
      <c r="K16" s="25">
        <v>3634</v>
      </c>
      <c r="L16" s="9" t="s">
        <v>135</v>
      </c>
      <c r="M16" s="16" t="s">
        <v>162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58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58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1</v>
      </c>
      <c r="C19" s="31">
        <f>SUM(entr_carn17[Valor Total])</f>
        <v>349</v>
      </c>
      <c r="D19" s="2"/>
      <c r="E19" s="18"/>
      <c r="F19" s="25"/>
      <c r="G19" s="26"/>
      <c r="H19" s="8"/>
      <c r="I19" s="8"/>
      <c r="J19" s="58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349</v>
      </c>
      <c r="D20" s="2"/>
      <c r="E20" s="18"/>
      <c r="F20" s="26"/>
      <c r="G20" s="26"/>
      <c r="H20" s="8"/>
      <c r="I20" s="8"/>
      <c r="J20" s="58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58"/>
      <c r="K21" s="25"/>
      <c r="L21" s="9"/>
      <c r="M21" s="16"/>
    </row>
    <row r="22" spans="2:18" ht="15.75" x14ac:dyDescent="0.25">
      <c r="B22" s="28" t="s">
        <v>26</v>
      </c>
      <c r="C22" s="32">
        <f>C5</f>
        <v>2750</v>
      </c>
      <c r="D22" s="2"/>
      <c r="E22" s="18"/>
      <c r="F22" s="25"/>
      <c r="G22" s="26"/>
      <c r="H22" s="8"/>
      <c r="I22" s="8"/>
      <c r="J22" s="67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3634</v>
      </c>
      <c r="F26" s="25" t="s">
        <v>186</v>
      </c>
      <c r="G26" s="26" t="s">
        <v>7</v>
      </c>
      <c r="H26" s="8">
        <v>0</v>
      </c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3631</v>
      </c>
      <c r="L35" s="41">
        <v>1</v>
      </c>
      <c r="M35" s="16">
        <v>349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7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45522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96"/>
      <c r="F6" s="63"/>
      <c r="G6" s="97"/>
      <c r="H6" s="74"/>
      <c r="I6" s="74"/>
      <c r="J6" s="2"/>
      <c r="K6" s="25"/>
      <c r="L6" s="6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4" zoomScale="80" zoomScaleNormal="80" zoomScaleSheetLayoutView="70" workbookViewId="0">
      <selection activeCell="G14" sqref="G14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'18'!B1+1</f>
        <v>45523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799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249</v>
      </c>
      <c r="D6" s="2"/>
      <c r="E6" s="18">
        <v>3698</v>
      </c>
      <c r="F6" s="25" t="s">
        <v>189</v>
      </c>
      <c r="G6" s="26" t="s">
        <v>7</v>
      </c>
      <c r="H6" s="8">
        <v>799</v>
      </c>
      <c r="I6" s="8">
        <v>200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70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249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6"/>
      <c r="F9" s="63"/>
      <c r="G9" s="97"/>
      <c r="H9" s="74"/>
      <c r="I9" s="74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49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3680</v>
      </c>
      <c r="L15" s="9" t="s">
        <v>129</v>
      </c>
      <c r="M15" s="16" t="s">
        <v>141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249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799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3680</v>
      </c>
      <c r="F26" s="39" t="s">
        <v>190</v>
      </c>
      <c r="G26" s="26" t="s">
        <v>8</v>
      </c>
      <c r="H26" s="8"/>
      <c r="I26" s="8">
        <v>49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8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2" zoomScaleNormal="82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45524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640</v>
      </c>
      <c r="D6" s="2"/>
      <c r="E6" s="18">
        <v>3699</v>
      </c>
      <c r="F6" s="25" t="s">
        <v>191</v>
      </c>
      <c r="G6" s="26" t="s">
        <v>8</v>
      </c>
      <c r="H6" s="8">
        <v>640</v>
      </c>
      <c r="I6" s="8">
        <v>425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3699</v>
      </c>
      <c r="F7" s="25" t="s">
        <v>191</v>
      </c>
      <c r="G7" s="26" t="s">
        <v>10</v>
      </c>
      <c r="H7" s="8"/>
      <c r="I7" s="8">
        <v>215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640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108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425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215</v>
      </c>
      <c r="D15" s="2"/>
      <c r="E15" s="18"/>
      <c r="F15" s="25"/>
      <c r="G15" s="26"/>
      <c r="H15" s="8"/>
      <c r="I15" s="8"/>
      <c r="J15" s="2"/>
      <c r="K15" s="63">
        <v>3690</v>
      </c>
      <c r="L15" s="9" t="s">
        <v>129</v>
      </c>
      <c r="M15" s="16" t="s">
        <v>141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748</v>
      </c>
      <c r="D16" s="2"/>
      <c r="E16" s="18"/>
      <c r="F16" s="25"/>
      <c r="G16" s="26"/>
      <c r="H16" s="8"/>
      <c r="I16" s="8"/>
      <c r="J16" s="2"/>
      <c r="K16" s="63"/>
      <c r="L16" s="9"/>
      <c r="M16" s="71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3637</v>
      </c>
      <c r="F35" s="25" t="s">
        <v>163</v>
      </c>
      <c r="G35" s="26" t="s">
        <v>7</v>
      </c>
      <c r="H35" s="8">
        <v>108</v>
      </c>
      <c r="I35" s="8" t="s">
        <v>39</v>
      </c>
      <c r="K35" s="25"/>
      <c r="L35" s="41"/>
      <c r="M35" s="71"/>
    </row>
    <row r="36" spans="2:18" ht="15.75" x14ac:dyDescent="0.25">
      <c r="E36" s="18"/>
      <c r="F36" s="25"/>
      <c r="G36" s="26"/>
      <c r="H36" s="8"/>
      <c r="I36" s="8"/>
      <c r="K36" s="63"/>
      <c r="L36" s="72"/>
      <c r="M36" s="7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L24" sqref="L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45525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690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2689.99</v>
      </c>
      <c r="D6" s="2"/>
      <c r="E6" s="18">
        <v>3700</v>
      </c>
      <c r="F6" s="25" t="s">
        <v>194</v>
      </c>
      <c r="G6" s="26" t="s">
        <v>8</v>
      </c>
      <c r="H6" s="8">
        <v>690</v>
      </c>
      <c r="I6" s="8">
        <v>690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2689.99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2689.99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3650</v>
      </c>
      <c r="L15" s="9" t="s">
        <v>135</v>
      </c>
      <c r="M15" s="16" t="s">
        <v>141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2939.99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3650</v>
      </c>
      <c r="F26" s="25" t="s">
        <v>193</v>
      </c>
      <c r="G26" s="26" t="s">
        <v>8</v>
      </c>
      <c r="H26" s="8"/>
      <c r="I26" s="8">
        <v>1999.99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3609</v>
      </c>
      <c r="F35" s="25" t="s">
        <v>192</v>
      </c>
      <c r="G35" s="26" t="s">
        <v>7</v>
      </c>
      <c r="H35" s="8">
        <v>125</v>
      </c>
      <c r="I35" s="8" t="s">
        <v>39</v>
      </c>
      <c r="K35" s="25"/>
      <c r="L35" s="41"/>
      <c r="M35" s="16"/>
    </row>
    <row r="36" spans="2:18" ht="15.75" x14ac:dyDescent="0.25">
      <c r="E36" s="18">
        <v>3609</v>
      </c>
      <c r="F36" s="25" t="s">
        <v>192</v>
      </c>
      <c r="G36" s="26" t="s">
        <v>7</v>
      </c>
      <c r="H36" s="8">
        <v>125</v>
      </c>
      <c r="I36" s="8" t="s">
        <v>53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H13" sqref="H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45526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249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249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3673</v>
      </c>
      <c r="L15" s="9" t="s">
        <v>129</v>
      </c>
      <c r="M15" s="16" t="s">
        <v>141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249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3673</v>
      </c>
      <c r="F26" s="25" t="s">
        <v>195</v>
      </c>
      <c r="G26" s="26" t="s">
        <v>8</v>
      </c>
      <c r="H26" s="8"/>
      <c r="I26" s="8">
        <v>249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X44"/>
  <sheetViews>
    <sheetView showGridLines="0" topLeftCell="A2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3" ht="27" x14ac:dyDescent="0.5">
      <c r="B1" s="57">
        <f>'22'!B1+1</f>
        <v>45527</v>
      </c>
    </row>
    <row r="2" spans="2:23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23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3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23" ht="15" x14ac:dyDescent="0.25">
      <c r="B5" s="23" t="s">
        <v>1</v>
      </c>
      <c r="C5" s="24">
        <f>SUMIF(I6:I31,"&gt;0",H6:H31)</f>
        <v>2895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3" ht="15.75" x14ac:dyDescent="0.25">
      <c r="B6" s="23" t="s">
        <v>2</v>
      </c>
      <c r="C6" s="24">
        <f>SUM(I6:I41)</f>
        <v>1300</v>
      </c>
      <c r="D6" s="2"/>
      <c r="E6" s="18">
        <v>3701</v>
      </c>
      <c r="F6" s="25" t="s">
        <v>197</v>
      </c>
      <c r="G6" s="26" t="s">
        <v>6</v>
      </c>
      <c r="H6" s="8">
        <v>1290</v>
      </c>
      <c r="I6" s="8">
        <v>50</v>
      </c>
      <c r="J6" s="2"/>
      <c r="K6" s="25"/>
      <c r="L6" s="9"/>
      <c r="M6" s="16"/>
      <c r="R6" s="1">
        <f>IF(vend23[[#This Row],[Nº Venda]]&gt;1,1,0)</f>
        <v>1</v>
      </c>
    </row>
    <row r="7" spans="2:23" ht="15.75" x14ac:dyDescent="0.25">
      <c r="B7" s="23" t="s">
        <v>3</v>
      </c>
      <c r="C7" s="24">
        <f>SUM(M6:M11)</f>
        <v>0</v>
      </c>
      <c r="D7" s="2"/>
      <c r="E7" s="18">
        <v>3702</v>
      </c>
      <c r="F7" s="25" t="s">
        <v>201</v>
      </c>
      <c r="G7" s="26" t="s">
        <v>8</v>
      </c>
      <c r="H7" s="8">
        <v>1290</v>
      </c>
      <c r="I7" s="8">
        <v>100</v>
      </c>
      <c r="J7" s="2"/>
      <c r="K7" s="25"/>
      <c r="L7" s="9"/>
      <c r="M7" s="16"/>
      <c r="R7" s="1">
        <f>IF(vend23[[#This Row],[Nº Venda]]&gt;1,1,0)</f>
        <v>1</v>
      </c>
    </row>
    <row r="8" spans="2:23" ht="15.75" x14ac:dyDescent="0.25">
      <c r="B8" s="28" t="s">
        <v>21</v>
      </c>
      <c r="C8" s="29">
        <f>SUM(C6:C7)</f>
        <v>1300</v>
      </c>
      <c r="D8" s="2"/>
      <c r="E8" s="18">
        <v>3703</v>
      </c>
      <c r="F8" s="25" t="s">
        <v>203</v>
      </c>
      <c r="G8" s="26" t="s">
        <v>7</v>
      </c>
      <c r="H8" s="8">
        <v>315</v>
      </c>
      <c r="I8" s="8">
        <v>150</v>
      </c>
      <c r="J8" s="2"/>
      <c r="K8" s="25"/>
      <c r="L8" s="9"/>
      <c r="M8" s="16"/>
      <c r="R8" s="1">
        <f>IF(vend23[[#This Row],[Nº Venda]]&gt;1,1,0)</f>
        <v>1</v>
      </c>
    </row>
    <row r="9" spans="2:23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23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23" ht="15.75" x14ac:dyDescent="0.25">
      <c r="B11" s="30" t="s">
        <v>6</v>
      </c>
      <c r="C11" s="83">
        <f>(SUMIF($G$2:$G$31,B11,$I$2:$I$31))+(SUMIF($G$35:$G$44,B11,$H$35:$H$44))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  <c r="W11" s="1" t="s">
        <v>183</v>
      </c>
    </row>
    <row r="12" spans="2:23" ht="15.75" x14ac:dyDescent="0.25">
      <c r="B12" s="30" t="s">
        <v>7</v>
      </c>
      <c r="C12" s="83">
        <f>(SUMIF($G$2:$G$31,B12,$I$2:$I$31))+(SUMIF($G$35:$G$44,B12,$H$35:$H$44))</f>
        <v>1150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23" ht="15.75" x14ac:dyDescent="0.25">
      <c r="B13" s="30" t="s">
        <v>8</v>
      </c>
      <c r="C13" s="83">
        <f>(SUMIF($G$2:$G$31,B13,$I$2:$I$31))+(SUMIF($G$35:$G$44,B13,$H$35:$H$44))</f>
        <v>100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IF(vend23[[#This Row],[Nº Venda]]&gt;1,1,0)</f>
        <v>0</v>
      </c>
    </row>
    <row r="14" spans="2:23" ht="15.75" x14ac:dyDescent="0.25">
      <c r="B14" s="30" t="s">
        <v>9</v>
      </c>
      <c r="C14" s="83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23" ht="15.75" x14ac:dyDescent="0.25">
      <c r="B15" s="30" t="s">
        <v>10</v>
      </c>
      <c r="C15" s="83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>
        <v>3674</v>
      </c>
      <c r="L15" s="9" t="s">
        <v>129</v>
      </c>
      <c r="M15" s="16" t="s">
        <v>141</v>
      </c>
      <c r="R15" s="1">
        <f>IF(vend23[[#This Row],[Nº Venda]]&gt;1,1,0)</f>
        <v>0</v>
      </c>
    </row>
    <row r="16" spans="2:23" ht="15.75" x14ac:dyDescent="0.25">
      <c r="B16" s="28" t="s">
        <v>11</v>
      </c>
      <c r="C16" s="32">
        <f>SUM(C11:C15)</f>
        <v>1300</v>
      </c>
      <c r="D16" s="2"/>
      <c r="E16" s="18"/>
      <c r="F16" s="25"/>
      <c r="G16" s="26"/>
      <c r="H16" s="8"/>
      <c r="I16" s="8"/>
      <c r="J16" s="2"/>
      <c r="K16" s="25">
        <v>3683</v>
      </c>
      <c r="L16" s="9" t="s">
        <v>135</v>
      </c>
      <c r="M16" s="16" t="s">
        <v>141</v>
      </c>
      <c r="R16" s="1">
        <f>IF(vend23[[#This Row],[Nº Venda]]&gt;1,1,0)</f>
        <v>0</v>
      </c>
    </row>
    <row r="17" spans="2:24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24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  <c r="V18" s="1" t="s">
        <v>198</v>
      </c>
      <c r="X18" s="1" t="s">
        <v>196</v>
      </c>
    </row>
    <row r="19" spans="2:24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24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24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4" ht="15.75" x14ac:dyDescent="0.25">
      <c r="B22" s="28" t="s">
        <v>26</v>
      </c>
      <c r="C22" s="32">
        <f>C5</f>
        <v>2895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4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4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24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4" ht="15.75" x14ac:dyDescent="0.25">
      <c r="B26" s="2"/>
      <c r="C26" s="2"/>
      <c r="D26" s="2"/>
      <c r="E26" s="18">
        <v>3683</v>
      </c>
      <c r="F26" s="25" t="s">
        <v>199</v>
      </c>
      <c r="G26" s="26" t="s">
        <v>7</v>
      </c>
      <c r="H26" s="8"/>
      <c r="I26" s="8">
        <v>1000</v>
      </c>
      <c r="J26" s="2"/>
      <c r="K26" s="25"/>
      <c r="L26" s="9"/>
      <c r="M26" s="16"/>
    </row>
    <row r="27" spans="2:24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4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4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4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4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4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B34" s="1" t="s">
        <v>58</v>
      </c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101"/>
      <c r="F42" s="80"/>
      <c r="G42" s="81"/>
      <c r="H42" s="82"/>
      <c r="I42" s="17"/>
    </row>
    <row r="43" spans="2:18" ht="15.75" x14ac:dyDescent="0.25">
      <c r="E43" s="101"/>
      <c r="F43" s="99"/>
      <c r="G43" s="98"/>
      <c r="H43" s="100"/>
      <c r="I43" s="8"/>
    </row>
    <row r="44" spans="2:18" ht="15.75" x14ac:dyDescent="0.25">
      <c r="E44" s="102"/>
      <c r="F44" s="80"/>
      <c r="G44" s="81"/>
      <c r="H44" s="82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" zoomScale="80" zoomScaleNormal="8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45528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1299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1299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25" t="s">
        <v>58</v>
      </c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799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3679</v>
      </c>
      <c r="L15" s="9" t="s">
        <v>135</v>
      </c>
      <c r="M15" s="16" t="s">
        <v>141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1299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3679</v>
      </c>
      <c r="F26" s="25" t="s">
        <v>200</v>
      </c>
      <c r="G26" s="26" t="s">
        <v>8</v>
      </c>
      <c r="H26" s="8"/>
      <c r="I26" s="8">
        <v>799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3702</v>
      </c>
      <c r="F27" s="25" t="s">
        <v>202</v>
      </c>
      <c r="G27" s="26" t="s">
        <v>6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C14" sqref="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45529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77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45530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599</v>
      </c>
      <c r="D6" s="2"/>
      <c r="E6" s="18">
        <v>3704</v>
      </c>
      <c r="F6" s="25" t="s">
        <v>204</v>
      </c>
      <c r="G6" s="26" t="s">
        <v>8</v>
      </c>
      <c r="H6" s="8">
        <v>599</v>
      </c>
      <c r="I6" s="8">
        <v>599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599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599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3630</v>
      </c>
      <c r="L15" s="9" t="s">
        <v>135</v>
      </c>
      <c r="M15" s="16" t="s">
        <v>141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599</v>
      </c>
      <c r="D16" s="2"/>
      <c r="E16" s="18"/>
      <c r="F16" s="25"/>
      <c r="G16" s="26"/>
      <c r="H16" s="8"/>
      <c r="I16" s="8"/>
      <c r="J16" s="2"/>
      <c r="K16" s="25">
        <v>3648</v>
      </c>
      <c r="L16" s="9" t="s">
        <v>135</v>
      </c>
      <c r="M16" s="16" t="s">
        <v>141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I12" sqref="I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45531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3705</v>
      </c>
      <c r="F6" s="25" t="s">
        <v>205</v>
      </c>
      <c r="G6" s="26" t="s">
        <v>8</v>
      </c>
      <c r="H6" s="8">
        <v>599</v>
      </c>
      <c r="I6" s="8">
        <v>100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 t="s">
        <v>210</v>
      </c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 t="s">
        <v>209</v>
      </c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 t="s">
        <v>208</v>
      </c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 t="s">
        <v>58</v>
      </c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ref="C13:C15" si="0">(SUMIF($G$2:$G$31,B13,$I$2:$I$31))+(SUMIF($G$35:$G$41,B13,$H$35:$H$41))</f>
        <v>100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 t="s">
        <v>58</v>
      </c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3696</v>
      </c>
      <c r="L15" s="9" t="s">
        <v>129</v>
      </c>
      <c r="M15" s="16" t="s">
        <v>141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>
        <v>3697</v>
      </c>
      <c r="L16" s="9" t="s">
        <v>129</v>
      </c>
      <c r="M16" s="16" t="s">
        <v>141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 t="s">
        <v>206</v>
      </c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 t="s">
        <v>58</v>
      </c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 t="s">
        <v>207</v>
      </c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45532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1240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1240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1240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3695</v>
      </c>
      <c r="L15" s="9" t="s">
        <v>129</v>
      </c>
      <c r="M15" s="16" t="s">
        <v>141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1240</v>
      </c>
      <c r="D16" s="2"/>
      <c r="E16" s="18"/>
      <c r="F16" s="25"/>
      <c r="G16" s="26"/>
      <c r="H16" s="8"/>
      <c r="I16" s="8"/>
      <c r="J16" s="2"/>
      <c r="K16" s="25">
        <v>3691</v>
      </c>
      <c r="L16" s="9" t="s">
        <v>129</v>
      </c>
      <c r="M16" s="16" t="s">
        <v>141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3699</v>
      </c>
      <c r="L17" s="9" t="s">
        <v>129</v>
      </c>
      <c r="M17" s="16" t="s">
        <v>141</v>
      </c>
      <c r="R17" s="1">
        <f>IF(vend28[[#This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3701</v>
      </c>
      <c r="F26" s="25" t="s">
        <v>211</v>
      </c>
      <c r="G26" s="26" t="s">
        <v>8</v>
      </c>
      <c r="H26" s="8"/>
      <c r="I26" s="8">
        <v>1240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45533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3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16"/>
      <c r="R17" s="1">
        <f>IF(vend29[[#This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45534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799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799</v>
      </c>
      <c r="D6" s="2"/>
      <c r="E6" s="18">
        <v>3706</v>
      </c>
      <c r="F6" s="25" t="s">
        <v>212</v>
      </c>
      <c r="G6" s="26" t="s">
        <v>8</v>
      </c>
      <c r="H6" s="8">
        <v>799</v>
      </c>
      <c r="I6" s="8">
        <v>799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799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799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3700</v>
      </c>
      <c r="L15" s="9" t="s">
        <v>129</v>
      </c>
      <c r="M15" s="16" t="s">
        <v>141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799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799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topLeftCell="A14" zoomScale="80" zoomScaleNormal="80" workbookViewId="0">
      <selection activeCell="B34" sqref="B3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45535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4134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4824</v>
      </c>
      <c r="D6" s="2"/>
      <c r="E6" s="18">
        <v>3707</v>
      </c>
      <c r="F6" s="25" t="s">
        <v>213</v>
      </c>
      <c r="G6" s="26" t="s">
        <v>8</v>
      </c>
      <c r="H6" s="8">
        <v>1790</v>
      </c>
      <c r="I6" s="8">
        <v>1790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3708</v>
      </c>
      <c r="F7" s="25" t="s">
        <v>216</v>
      </c>
      <c r="G7" s="26" t="s">
        <v>8</v>
      </c>
      <c r="H7" s="8">
        <v>465</v>
      </c>
      <c r="I7" s="8">
        <v>465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4824</v>
      </c>
      <c r="D8" s="2"/>
      <c r="E8" s="18">
        <v>3709</v>
      </c>
      <c r="F8" s="25" t="s">
        <v>218</v>
      </c>
      <c r="G8" s="26" t="s">
        <v>8</v>
      </c>
      <c r="H8" s="8">
        <v>1879</v>
      </c>
      <c r="I8" s="8">
        <v>1879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115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4824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 t="s">
        <v>217</v>
      </c>
      <c r="I15" s="8"/>
      <c r="J15" s="2"/>
      <c r="K15" s="25">
        <v>3694</v>
      </c>
      <c r="L15" s="9" t="s">
        <v>129</v>
      </c>
      <c r="M15" s="16" t="s">
        <v>141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5039</v>
      </c>
      <c r="D16" s="2"/>
      <c r="E16" s="18"/>
      <c r="F16" s="25"/>
      <c r="G16" s="26"/>
      <c r="H16" s="8" t="s">
        <v>217</v>
      </c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4134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3694</v>
      </c>
      <c r="F26" s="25" t="s">
        <v>214</v>
      </c>
      <c r="G26" s="26" t="s">
        <v>8</v>
      </c>
      <c r="H26" s="8"/>
      <c r="I26" s="8">
        <v>690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3553</v>
      </c>
      <c r="F35" s="25" t="s">
        <v>215</v>
      </c>
      <c r="G35" s="26" t="s">
        <v>6</v>
      </c>
      <c r="H35" s="8">
        <v>115</v>
      </c>
      <c r="I35" s="8" t="s">
        <v>53</v>
      </c>
      <c r="K35" s="25"/>
      <c r="L35" s="41"/>
      <c r="M35" s="16"/>
    </row>
    <row r="36" spans="2:18" ht="15.75" x14ac:dyDescent="0.25">
      <c r="E36" s="18">
        <v>3644</v>
      </c>
      <c r="F36" s="25" t="s">
        <v>219</v>
      </c>
      <c r="G36" s="26" t="s">
        <v>7</v>
      </c>
      <c r="H36" s="8">
        <v>100</v>
      </c>
      <c r="I36" s="8" t="s">
        <v>39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2024-08-31T13:28:59Z</cp:lastPrinted>
  <dcterms:created xsi:type="dcterms:W3CDTF">2004-04-07T20:43:43Z</dcterms:created>
  <dcterms:modified xsi:type="dcterms:W3CDTF">2024-09-02T12:25:02Z</dcterms:modified>
  <cp:category/>
  <cp:contentStatus/>
</cp:coreProperties>
</file>