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1548" documentId="8_{D4E9A111-F827-49DB-8325-97B933E796A7}" xr6:coauthVersionLast="47" xr6:coauthVersionMax="47" xr10:uidLastSave="{08E6024D-B7DA-45E1-AF54-5EC1DCE15C19}"/>
  <bookViews>
    <workbookView xWindow="-120" yWindow="-120" windowWidth="20730" windowHeight="11310" tabRatio="895" activeTab="1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79" l="1"/>
  <c r="C15" i="178"/>
  <c r="C13" i="178"/>
  <c r="C6" i="200"/>
  <c r="C6" i="170"/>
  <c r="C6" i="183"/>
  <c r="C6" i="189"/>
  <c r="C6" i="190"/>
  <c r="C6" i="191"/>
  <c r="C6" i="193"/>
  <c r="C6" i="194"/>
  <c r="C6" i="197"/>
  <c r="C6" i="196"/>
  <c r="C6" i="192"/>
  <c r="C6" i="199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4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89"/>
  <c r="C8" i="190"/>
  <c r="C8" i="194"/>
  <c r="C8" i="197"/>
  <c r="C8" i="196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2" l="1"/>
  <c r="C8" i="183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C16" i="185"/>
  <c r="C8" i="193"/>
  <c r="C8" i="198"/>
  <c r="C8" i="170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C6" i="195" s="1"/>
  <c r="C16" i="193"/>
  <c r="O11" i="193" s="1"/>
  <c r="C16" i="191"/>
  <c r="O11" i="191" s="1"/>
  <c r="C16" i="190"/>
  <c r="O11" i="190" s="1"/>
  <c r="C16" i="187"/>
  <c r="C16" i="186"/>
  <c r="C16" i="184"/>
  <c r="C16" i="179"/>
  <c r="C16" i="181"/>
  <c r="C16" i="183"/>
  <c r="O11" i="183" s="1"/>
  <c r="C16" i="182"/>
  <c r="C16" i="180"/>
  <c r="C16" i="176"/>
  <c r="C16" i="177"/>
  <c r="C16" i="178"/>
  <c r="C16" i="172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87" l="1"/>
  <c r="C6" i="187"/>
  <c r="C8" i="187" s="1"/>
  <c r="O11" i="186"/>
  <c r="C6" i="186"/>
  <c r="C8" i="186" s="1"/>
  <c r="O11" i="185"/>
  <c r="C6" i="185"/>
  <c r="C8" i="185" s="1"/>
  <c r="O11" i="184"/>
  <c r="C6" i="184"/>
  <c r="C8" i="184" s="1"/>
  <c r="O11" i="179"/>
  <c r="C6" i="179"/>
  <c r="C8" i="179" s="1"/>
  <c r="O11" i="181"/>
  <c r="C6" i="181"/>
  <c r="C8" i="181" s="1"/>
  <c r="O11" i="176"/>
  <c r="C6" i="176"/>
  <c r="C8" i="176" s="1"/>
  <c r="O11" i="182"/>
  <c r="C6" i="182"/>
  <c r="C8" i="182" s="1"/>
  <c r="O11" i="180"/>
  <c r="C6" i="180"/>
  <c r="C8" i="180" s="1"/>
  <c r="O11" i="177"/>
  <c r="C6" i="177"/>
  <c r="C8" i="177" s="1"/>
  <c r="O11" i="178"/>
  <c r="C6" i="178"/>
  <c r="C8" i="178" s="1"/>
  <c r="O11" i="171"/>
  <c r="C6" i="171"/>
  <c r="C8" i="171" s="1"/>
  <c r="O11" i="172"/>
  <c r="C6" i="172"/>
  <c r="C8" i="172" s="1"/>
  <c r="O11" i="173"/>
  <c r="C6" i="173"/>
  <c r="C8" i="173" s="1"/>
  <c r="O11" i="174"/>
  <c r="C6" i="174"/>
  <c r="C8" i="174" s="1"/>
  <c r="O11" i="188"/>
  <c r="C6" i="188"/>
  <c r="C8" i="188" s="1"/>
  <c r="O11" i="175"/>
  <c r="C6" i="175"/>
  <c r="C8" i="175" s="1"/>
  <c r="O11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<sst xmlns="http://schemas.openxmlformats.org/spreadsheetml/2006/main" count="2321" uniqueCount="320">
  <si>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</si>
  <si>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</si>
  <si>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</si>
  <si>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</si>
  <si>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</si>
  <si>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</si>
  <si>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</si>
  <si>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</si>
  <si>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</si>
  <si>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</si>
  <si>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</si>
  <si>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</si>
  <si>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</si>
  <si>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</si>
  <si>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</si>
  <si>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</si>
  <si>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</si>
  <si>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</si>
  <si>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</si>
  <si>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</si>
  <si>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</si>
  <si>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</si>
  <si>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</si>
  <si>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</si>
  <si>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</si>
  <si>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</si>
  <si>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</si>
  <si>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</si>
  <si>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</si>
  <si>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</si>
  <si>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</si>
  <si>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</si>
  <si>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</si>
  <si>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</si>
  <si>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</si>
  <si>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</si>
  <si>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</si>
  <si>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</si>
  <si>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</si>
  <si>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</si>
  <si>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</si>
  <si>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</si>
  <si>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</si>
  <si>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</si>
  <si>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</si>
  <si>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</si>
  <si>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</si>
  <si>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</si>
  <si>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</si>
  <si>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</si>
  <si>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</si>
  <si>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</si>
  <si>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</si>
  <si>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</si>
  <si>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</si>
  <si>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</si>
  <si>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</si>
  <si>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</si>
  <si>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</si>
  <si>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</si>
  <si>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</si>
  <si>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</si>
  <si>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</si>
  <si>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</si>
  <si>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</si>
  <si>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</si>
  <si>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</si>
  <si>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</si>
  <si>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</si>
  <si>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</si>
  <si>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</si>
  <si>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</si>
  <si>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</si>
  <si>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</si>
  <si>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</si>
  <si>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</si>
  <si>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</si>
  <si>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</si>
  <si>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</si>
  <si>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</si>
  <si>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</si>
  <si>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</si>
  <si>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</si>
  <si>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</si>
  <si>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</si>
  <si>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</si>
  <si>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</si>
  <si>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</si>
  <si>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</si>
  <si>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</si>
  <si>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</si>
  <si>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</si>
  <si>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</si>
  <si>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</si>
  <si>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</si>
  <si>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</si>
  <si>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</si>
  <si>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</si>
  <si>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</si>
  <si>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</si>
  <si>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</si>
  <si>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</si>
  <si>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</si>
  <si>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</si>
  <si>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</si>
  <si>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</si>
  <si>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</si>
  <si>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</si>
  <si>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</si>
  <si>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</si>
  <si>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</si>
  <si>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</si>
  <si>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</si>
  <si>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</si>
  <si>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</si>
  <si>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</si>
  <si>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</si>
  <si>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</si>
  <si>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</si>
  <si>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</si>
  <si>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</si>
  <si>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</si>
  <si>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</si>
  <si>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</si>
  <si>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</si>
  <si>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</si>
  <si>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</si>
  <si>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</si>
  <si>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</si>
  <si>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</si>
  <si>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</si>
  <si>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</si>
  <si>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</si>
  <si>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</si>
  <si>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</si>
  <si>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</si>
  <si>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</si>
  <si>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</si>
  <si>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</si>
  <si>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</si>
  <si>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</si>
  <si>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</si>
  <si>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</si>
  <si>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</si>
  <si>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1</t>
  </si>
  <si>
    <t>PÃO</t>
  </si>
  <si>
    <t>SILVIA ALAIDE DE SANTANA</t>
  </si>
  <si>
    <t>ROSANA SIQUEIRA DA COSTA</t>
  </si>
  <si>
    <t>ROSILENE BUENO FERNANDES</t>
  </si>
  <si>
    <t>MICHELE MARIA DE SOUZA</t>
  </si>
  <si>
    <t xml:space="preserve">ULISSES ROBERTO DOS SANTOS </t>
  </si>
  <si>
    <t>Não</t>
  </si>
  <si>
    <t>Sim</t>
  </si>
  <si>
    <t>MARIA DAS GRAÇAS DOS SANTOS</t>
  </si>
  <si>
    <t>maria neusa dos santos</t>
  </si>
  <si>
    <t>TERESINHA MENDES LIRA</t>
  </si>
  <si>
    <t>DENAILDE SOZA DE ALMEIDA</t>
  </si>
  <si>
    <t xml:space="preserve">THIAGO VINICIUS </t>
  </si>
  <si>
    <t>ELIANE PEDROSO ALVES</t>
  </si>
  <si>
    <t>ELZA THEREZINHA DE SOUZA SANTOS</t>
  </si>
  <si>
    <t>DEBORA MAGALHAES DA SILVA</t>
  </si>
  <si>
    <t xml:space="preserve">PAULO ROBERTO DO NASCIMENTO </t>
  </si>
  <si>
    <t>KELIANE FERREIRA FIGUEIREDO</t>
  </si>
  <si>
    <t>ANA PAULA RAMOS NOGUEIRA</t>
  </si>
  <si>
    <t xml:space="preserve">MARIA DE FATIMA GOMES </t>
  </si>
  <si>
    <t xml:space="preserve">  SOLANGE MARIA OLIVEIRA</t>
  </si>
  <si>
    <t>CAMILA NONATO SALES</t>
  </si>
  <si>
    <t>SIRLEI BUENO BORGES</t>
  </si>
  <si>
    <t xml:space="preserve">KETTELYN ARAUJO DE OLIVEIRA </t>
  </si>
  <si>
    <t xml:space="preserve">PAPELARIA </t>
  </si>
  <si>
    <t>ELIDA APARECIDA NUNES</t>
  </si>
  <si>
    <t>KATTELYN ARAUJO DE OLIVEIRA</t>
  </si>
  <si>
    <t>LUCIANO BITTENCOURT TEIXEIRA</t>
  </si>
  <si>
    <t xml:space="preserve">LUIZ CARLOS DOS SANTOS </t>
  </si>
  <si>
    <t xml:space="preserve">VALDECI LOPES </t>
  </si>
  <si>
    <t xml:space="preserve">RITA DE CASSIA DE SOUZA </t>
  </si>
  <si>
    <t>LUCAS SENZAKI SHIMAZU</t>
  </si>
  <si>
    <t xml:space="preserve">ROBERTO APARECIDO ROQUE </t>
  </si>
  <si>
    <t>MARLENE ALVES FERREIRA</t>
  </si>
  <si>
    <t>SHIGEMI KAWAKAMI</t>
  </si>
  <si>
    <t>ELIETE CAVALCANTI DOS SANTOS</t>
  </si>
  <si>
    <t>ELIANE PEDROSO</t>
  </si>
  <si>
    <t>JOÃO ALVES DE MEDEIROS</t>
  </si>
  <si>
    <t xml:space="preserve">ANA PAULA RAMOS NOGUEIRA </t>
  </si>
  <si>
    <t>GILMAR LOPES MARINHO</t>
  </si>
  <si>
    <t>TATIANA GOMES RODRIGUES</t>
  </si>
  <si>
    <t xml:space="preserve">               </t>
  </si>
  <si>
    <t>ANA LUCIA DA SILVA TAVARES</t>
  </si>
  <si>
    <t>MARIA APARECIDA DA SILVA</t>
  </si>
  <si>
    <t>EDILENE DOS SANTOS MANGUEIRA</t>
  </si>
  <si>
    <t>JULIA DE AMORIM</t>
  </si>
  <si>
    <t>NICOLAS RIBEIRO SIQUEIRA</t>
  </si>
  <si>
    <t>LUANA DA SILVA VENÂNCIO</t>
  </si>
  <si>
    <t>NÃO</t>
  </si>
  <si>
    <t>LUCIENE ALVES MOREIRA</t>
  </si>
  <si>
    <t>LIGIA  LIRA DE MENEZES</t>
  </si>
  <si>
    <t>ANDREIA BATISTA DA SILVA</t>
  </si>
  <si>
    <t>ELIÉTE CAVALCANTI DOS SANTOS</t>
  </si>
  <si>
    <t>JAQUELINE PEREIRA DE OLIVEIRA</t>
  </si>
  <si>
    <t>TROCA DN POR PIX KAY</t>
  </si>
  <si>
    <t>ALMOÇO TATY/NICOLLY</t>
  </si>
  <si>
    <t>MARLENE CONCEIÇÃO DA SILVA</t>
  </si>
  <si>
    <t>EDUARDO ADRIANO DA SILVA MALTA</t>
  </si>
  <si>
    <t>PATRICIA VICTORINO (WILLIAN)</t>
  </si>
  <si>
    <t>ADRIANA APARECIDA BRAZ DA SILVA</t>
  </si>
  <si>
    <t>PEDRO ALVES DE LIMA</t>
  </si>
  <si>
    <t xml:space="preserve">DEPÓSITO </t>
  </si>
  <si>
    <t>RÉMEDIO TATY</t>
  </si>
  <si>
    <t>ANFRISIO FERREIRA DA SILVA</t>
  </si>
  <si>
    <t>KAREN SOARES DE JESUS</t>
  </si>
  <si>
    <t xml:space="preserve">KELVIN BEM </t>
  </si>
  <si>
    <t>ALBERTO BENTO DA SILVA</t>
  </si>
  <si>
    <t>JOSE ELIAS DE MORAES</t>
  </si>
  <si>
    <t xml:space="preserve">CLEUSA DOS SANTOS </t>
  </si>
  <si>
    <t>MARIA DE FATIMA ALMEIDA</t>
  </si>
  <si>
    <t>EMANUEL SANTOS</t>
  </si>
  <si>
    <t>ISABELA CASTILHO DA SILVA</t>
  </si>
  <si>
    <t xml:space="preserve">KATIA DE OLIVEIRA </t>
  </si>
  <si>
    <t>MARIA SANDRA DA SILVA</t>
  </si>
  <si>
    <t>WALDETE ALVES DOS SANTOS</t>
  </si>
  <si>
    <t xml:space="preserve">RICARDO HENRIQUE </t>
  </si>
  <si>
    <t>ELEN PEREIRA DE ARAUJO</t>
  </si>
  <si>
    <t>PALOMA DOMINIQUE FERNANDES</t>
  </si>
  <si>
    <t xml:space="preserve">SANDRA FERNANDES </t>
  </si>
  <si>
    <t xml:space="preserve">BENEDITA CANDIDA DOS SANTOS </t>
  </si>
  <si>
    <t xml:space="preserve">JOSE LUIZ DA SILVA </t>
  </si>
  <si>
    <t xml:space="preserve">MARIA DE FATIMA DE ALEMIDA </t>
  </si>
  <si>
    <t xml:space="preserve">SOLANGE APARECIDA DOS SANTOS </t>
  </si>
  <si>
    <t xml:space="preserve">ARILDSON RIBEIRO DE SOUZA </t>
  </si>
  <si>
    <t xml:space="preserve">RODRIGO BISPO RAMOS </t>
  </si>
  <si>
    <t>jaquel</t>
  </si>
  <si>
    <t xml:space="preserve">ANA FLAVIA DO ROSARIO </t>
  </si>
  <si>
    <t xml:space="preserve">QUEZIA DE ALMEIDA GONÇÃLVES </t>
  </si>
  <si>
    <t xml:space="preserve">DIEGO GOMES MIRANDO </t>
  </si>
  <si>
    <t xml:space="preserve">VINICIUS EVANGELISTA DE SOUZA </t>
  </si>
  <si>
    <t xml:space="preserve">PATRICIA CURTO FONTANA </t>
  </si>
  <si>
    <t xml:space="preserve">SERGIO ROSA </t>
  </si>
  <si>
    <t>FRANCISCO DA CONCEIÇÃO</t>
  </si>
  <si>
    <t>MARIA ANSELMA VIEIRA DA SILVA</t>
  </si>
  <si>
    <t xml:space="preserve">VAGNER GOMES DE ALMEIDA </t>
  </si>
  <si>
    <t xml:space="preserve">CLAUDEMIR DE OLIVEIRA </t>
  </si>
  <si>
    <t xml:space="preserve">LUCIANO BITTENCOURT TEIXEIRA </t>
  </si>
  <si>
    <t xml:space="preserve">PEDRO CARVALHO DIAS </t>
  </si>
  <si>
    <t xml:space="preserve">GILBERTO DOS SANTOS OLIVEIRA </t>
  </si>
  <si>
    <t>GABRIEL BRIAN</t>
  </si>
  <si>
    <t xml:space="preserve">MARIA VITORIA </t>
  </si>
  <si>
    <t xml:space="preserve">GABRIEL GOMES DA SILVA OLIVEIRA </t>
  </si>
  <si>
    <t xml:space="preserve">ROBERTO MARCOS BARBOSA </t>
  </si>
  <si>
    <t xml:space="preserve">RICARDO ALVES DE SOUZA </t>
  </si>
  <si>
    <t xml:space="preserve">BARBARA DE PAZ </t>
  </si>
  <si>
    <t xml:space="preserve">FABIO GOMES </t>
  </si>
  <si>
    <t>ANA LUCIA DA PAZ OLIVEIRA COELHO</t>
  </si>
  <si>
    <t>CAIMÁ MELGES BORROZINI</t>
  </si>
  <si>
    <t>VALDECI RODRIGUES PAZ</t>
  </si>
  <si>
    <t>VANESSA KELLY ALVES</t>
  </si>
  <si>
    <t>ALESSANDRO CREPALDI</t>
  </si>
  <si>
    <t>dn</t>
  </si>
  <si>
    <t>almoço tati</t>
  </si>
  <si>
    <t xml:space="preserve">solange aparecido dos anjos </t>
  </si>
  <si>
    <t>IVANILDA ALVES SANTANA</t>
  </si>
  <si>
    <t>IVANETE RAMOS DE OLIVEIRA</t>
  </si>
  <si>
    <t>SARAH QUENA DE PAULA</t>
  </si>
  <si>
    <t>ERMELINDA DIAS ALVES</t>
  </si>
  <si>
    <t xml:space="preserve">URSULINA FERREIRA </t>
  </si>
  <si>
    <t>MIRIAN REBECA MIDORI</t>
  </si>
  <si>
    <t>RONAILLY LOUREIRO DA PAIXÃO</t>
  </si>
  <si>
    <t>FLAVIA DE OLIVEIRA BARROS</t>
  </si>
  <si>
    <t>FRANCISNIEL AMORIM</t>
  </si>
  <si>
    <t xml:space="preserve">MARIA  MESSIAS </t>
  </si>
  <si>
    <t xml:space="preserve">RAIMUNDO </t>
  </si>
  <si>
    <t>Depósito: Junior</t>
  </si>
  <si>
    <t>APARECIDO XAVIER DE OLIVEIRA</t>
  </si>
  <si>
    <t>ALEXANDRE DOS SANTOS</t>
  </si>
  <si>
    <t>ILDA MATHEUS</t>
  </si>
  <si>
    <t xml:space="preserve">CLAUMIDIO MARTINS </t>
  </si>
  <si>
    <t>KARINA DE MEDEIROS CIRILO</t>
  </si>
  <si>
    <t>EDSON BRASILINO DA SILVA</t>
  </si>
  <si>
    <t>SILVANA TORRES ANDRÉ DA SILVA</t>
  </si>
  <si>
    <t>NELSON ANIZIO SOARES</t>
  </si>
  <si>
    <t>NIVALDA RABELO DAMA</t>
  </si>
  <si>
    <t>IVALCIR MACENA DOS SANTOS</t>
  </si>
  <si>
    <t>WELLINTON DO CARMO</t>
  </si>
  <si>
    <t>JOSÉLIA DE JESUS DOS ANJOS</t>
  </si>
  <si>
    <t xml:space="preserve">SIMONE IGNÁCIO </t>
  </si>
  <si>
    <t xml:space="preserve">ANDREIA BATISTA </t>
  </si>
  <si>
    <t xml:space="preserve">JANE MACHADO </t>
  </si>
  <si>
    <t xml:space="preserve">MARCIA FERREIRA </t>
  </si>
  <si>
    <t xml:space="preserve">DENIR RODRIGUES DA SILVA </t>
  </si>
  <si>
    <t xml:space="preserve">MARLUCIA MACHADO DE FARIAS </t>
  </si>
  <si>
    <t>VALDIVO PEREIRA DE SOUZA</t>
  </si>
  <si>
    <t xml:space="preserve">SACOLAS </t>
  </si>
  <si>
    <t>DINHEIRO</t>
  </si>
  <si>
    <t>ROBERTO APARECIDO</t>
  </si>
  <si>
    <t xml:space="preserve">VAGNER GOMES </t>
  </si>
  <si>
    <t>Funcionário</t>
  </si>
  <si>
    <t xml:space="preserve">WALDIR PASCASO FERNANDES </t>
  </si>
  <si>
    <t>MARILENE AGOSTINHO MARTINS</t>
  </si>
  <si>
    <t>MARIA DE LOURDES</t>
  </si>
  <si>
    <t>SILVANA TORRES ANDRE DA SILVA</t>
  </si>
  <si>
    <t>ANISIA RODRIGUES</t>
  </si>
  <si>
    <t>ANTONIO CARLOS POLIDORI</t>
  </si>
  <si>
    <t>COLA</t>
  </si>
  <si>
    <t>pix</t>
  </si>
  <si>
    <t>THALES BRENER OLVEIRA DE JESUS</t>
  </si>
  <si>
    <t>TIAGO DE MOURA MEDEIROS DE SOUZA</t>
  </si>
  <si>
    <t>RITA OLIVEIRA DOS SANTOS</t>
  </si>
  <si>
    <t>EUGÊNIO KAWANO</t>
  </si>
  <si>
    <t>LUCIANO BITTENCOURT</t>
  </si>
  <si>
    <t>ADRIANA FERREIRA LEIOTE SANTANA</t>
  </si>
  <si>
    <t>MIRIAM DE OLIVEIRA</t>
  </si>
  <si>
    <t>MIRIAM DE OLIVEIRA (DAVI)</t>
  </si>
  <si>
    <t>MIRIAM DE OLIVEIRA (DÉBORA)</t>
  </si>
  <si>
    <t>MIRIAM DE OLIVEIRA ( ANDERSON)</t>
  </si>
  <si>
    <t>TATIANE ALVES RODRIGUES DE SOUZA</t>
  </si>
  <si>
    <t>PATRICIA CURTO FONTANA</t>
  </si>
  <si>
    <t>SACOLAS</t>
  </si>
  <si>
    <t>MARIA DE FÁTIMA SOARES SILVA</t>
  </si>
  <si>
    <t>SARA ROCHA DE JESUS</t>
  </si>
  <si>
    <t xml:space="preserve">CAFÉ DA MANHÃ </t>
  </si>
  <si>
    <t>FRANCISNEI AMORIM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</si>
</sst>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164" fontId="36" fillId="0" borderId="8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1" fontId="37" fillId="0" borderId="17" xfId="2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sortState xmlns:xlrd2="http://schemas.microsoft.com/office/spreadsheetml/2017/richdata2" ref="K15:M31">
    <sortCondition ref="K14:K31"/>
  </sortState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1">
    <sortCondition ref="E34:E4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3" totalsRowShown="0" headerRowDxfId="1603" dataDxfId="1601" headerRowBorderDxfId="1602" tableBorderDxfId="1600" totalsRowBorderDxfId="1599">
  <autoFilter ref="E25:I33" xr:uid="{00000000-0009-0000-0100-000016000000}"/>
  <sortState xmlns:xlrd2="http://schemas.microsoft.com/office/spreadsheetml/2017/richdata2" ref="E26:I33">
    <sortCondition ref="E25:E33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6:I41" totalsRowShown="0" headerRowDxfId="1585" dataDxfId="1583" headerRowBorderDxfId="1584" tableBorderDxfId="1582" totalsRowBorderDxfId="1581">
  <autoFilter ref="E36:I41" xr:uid="{B9E2F984-8588-4F2C-9FB9-680284154679}"/>
  <sortState xmlns:xlrd2="http://schemas.microsoft.com/office/spreadsheetml/2017/richdata2" ref="E37:I41">
    <sortCondition ref="E36:E4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2" totalsRowShown="0" headerRowDxfId="1333" dataDxfId="1331" headerRowBorderDxfId="1332" tableBorderDxfId="1330" totalsRowBorderDxfId="1329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5:I42" totalsRowShown="0" headerRowDxfId="1315" dataDxfId="1313" headerRowBorderDxfId="1314" tableBorderDxfId="1312" totalsRowBorderDxfId="1311">
  <autoFilter ref="E35:I42" xr:uid="{B9E2F984-8588-4F2C-9FB9-680284154679}"/>
  <sortState xmlns:xlrd2="http://schemas.microsoft.com/office/spreadsheetml/2017/richdata2" ref="E36:I42">
    <sortCondition ref="E35:E42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5" totalsRowShown="0" headerRowDxfId="1261" dataDxfId="1259" headerRowBorderDxfId="1260" tableBorderDxfId="1258" totalsRowBorderDxfId="1257">
  <autoFilter ref="E34:I45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2" totalsRowShown="0" headerRowDxfId="685" dataDxfId="683" headerRowBorderDxfId="684" tableBorderDxfId="682" totalsRowBorderDxfId="681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5:I42" totalsRowShown="0" headerRowDxfId="667" dataDxfId="665" headerRowBorderDxfId="666" tableBorderDxfId="664" totalsRowBorderDxfId="663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0.xml"/><Relationship Id="rId2" Type="http://schemas.openxmlformats.org/officeDocument/2006/relationships/table" Target="../tables/table189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zoomScaleNormal="100" workbookViewId="0">
      <selection activeCell="F12" sqref="F12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101"/>
      <c r="C1" s="101"/>
      <c r="L1" s="102" t="s">
        <v>144</v>
      </c>
      <c r="M1" s="102"/>
      <c r="P1" t="s">
        <v>123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124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77015.97</v>
      </c>
      <c r="P3" t="s">
        <v>125</v>
      </c>
    </row>
    <row r="4" spans="1:16" ht="15" x14ac:dyDescent="0.25">
      <c r="A4" s="8" t="s">
        <v>2</v>
      </c>
      <c r="B4" s="31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77480.25</v>
      </c>
      <c r="C4" s="58"/>
      <c r="D4" s="59"/>
      <c r="E4" s="58" t="s">
        <v>137</v>
      </c>
      <c r="F4" s="58"/>
      <c r="G4" s="58"/>
      <c r="H4" s="58"/>
      <c r="I4" s="58"/>
      <c r="J4" s="59"/>
      <c r="K4" s="58" t="s">
        <v>138</v>
      </c>
      <c r="L4" s="58"/>
      <c r="M4" s="58"/>
      <c r="P4" t="s">
        <v>126</v>
      </c>
    </row>
    <row r="5" spans="1:16" ht="15" x14ac:dyDescent="0.25">
      <c r="A5" s="8" t="s">
        <v>3</v>
      </c>
      <c r="B5" s="31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2288.7999999999997</v>
      </c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P5" t="s">
        <v>127</v>
      </c>
    </row>
    <row r="6" spans="1:16" ht="15.75" x14ac:dyDescent="0.25">
      <c r="A6" s="10" t="s">
        <v>4</v>
      </c>
      <c r="B6" s="34">
        <f ca="1">SUM(B4:B5)</f>
        <v>79769.05</v>
      </c>
      <c r="C6" s="58">
        <f>C16</f>
        <v>0</v>
      </c>
      <c r="D6" s="59"/>
      <c r="E6" s="59"/>
      <c r="F6" s="59"/>
      <c r="G6" s="59"/>
      <c r="H6" s="59"/>
      <c r="I6" s="59"/>
      <c r="J6" s="59"/>
      <c r="K6" s="59"/>
      <c r="L6" s="59"/>
      <c r="M6" s="59"/>
      <c r="P6" t="s">
        <v>128</v>
      </c>
    </row>
    <row r="7" spans="1:16" ht="15" x14ac:dyDescent="0.25">
      <c r="A7" s="2"/>
      <c r="B7" s="29"/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P7" t="s">
        <v>129</v>
      </c>
    </row>
    <row r="8" spans="1:16" ht="15" x14ac:dyDescent="0.25">
      <c r="A8" s="98" t="s">
        <v>5</v>
      </c>
      <c r="B8" s="99"/>
      <c r="C8" s="58"/>
      <c r="D8" s="59"/>
      <c r="E8" s="59"/>
      <c r="F8" s="59"/>
      <c r="G8" s="59"/>
      <c r="H8" s="59"/>
      <c r="I8" s="59"/>
      <c r="J8" s="59"/>
      <c r="K8" s="59"/>
      <c r="L8" s="59"/>
      <c r="M8" s="59"/>
      <c r="P8" t="s">
        <v>130</v>
      </c>
    </row>
    <row r="9" spans="1:16" ht="15" x14ac:dyDescent="0.25">
      <c r="A9" s="11" t="s">
        <v>6</v>
      </c>
      <c r="B9" s="31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6371.7</v>
      </c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P9" t="s">
        <v>131</v>
      </c>
    </row>
    <row r="10" spans="1:16" ht="15" x14ac:dyDescent="0.25">
      <c r="A10" s="11" t="s">
        <v>7</v>
      </c>
      <c r="B10" s="71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8814.2400000000016</v>
      </c>
      <c r="C10" s="77"/>
      <c r="D10" s="59"/>
      <c r="E10" s="59"/>
      <c r="F10" s="59"/>
      <c r="G10" s="59"/>
      <c r="H10" s="59"/>
      <c r="I10" s="59"/>
      <c r="J10" s="59"/>
      <c r="K10" s="59"/>
      <c r="L10" s="59"/>
      <c r="M10" s="59"/>
      <c r="P10" t="s">
        <v>132</v>
      </c>
    </row>
    <row r="11" spans="1:16" ht="15" x14ac:dyDescent="0.25">
      <c r="A11" s="11" t="s">
        <v>8</v>
      </c>
      <c r="B11" s="72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54731.09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P11" t="s">
        <v>133</v>
      </c>
    </row>
    <row r="12" spans="1:16" ht="15" x14ac:dyDescent="0.25">
      <c r="A12" s="11" t="s">
        <v>9</v>
      </c>
      <c r="B12" s="72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P12" t="s">
        <v>134</v>
      </c>
    </row>
    <row r="13" spans="1:16" ht="15" x14ac:dyDescent="0.25">
      <c r="A13" s="11" t="s">
        <v>10</v>
      </c>
      <c r="B13" s="72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7563.22</v>
      </c>
      <c r="C13" s="68"/>
      <c r="D13" s="59"/>
      <c r="E13" s="59"/>
      <c r="F13" s="59"/>
      <c r="G13" s="59"/>
      <c r="H13" s="59"/>
      <c r="I13" s="59"/>
      <c r="J13" s="59"/>
      <c r="K13" s="58" t="s">
        <v>142</v>
      </c>
      <c r="L13" s="58"/>
      <c r="M13" s="58"/>
      <c r="P13" t="s">
        <v>135</v>
      </c>
    </row>
    <row r="14" spans="1:16" ht="15.75" x14ac:dyDescent="0.25">
      <c r="A14" s="10" t="s">
        <v>11</v>
      </c>
      <c r="B14" s="60">
        <f ca="1">SUM(B9:B13)</f>
        <v>77480.25</v>
      </c>
      <c r="C14" s="68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6" ht="15" x14ac:dyDescent="0.25">
      <c r="A15" s="2"/>
      <c r="B15" s="73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</row>
    <row r="16" spans="1:16" ht="15" x14ac:dyDescent="0.25">
      <c r="A16" s="98" t="s">
        <v>12</v>
      </c>
      <c r="B16" s="100"/>
      <c r="C16" s="78"/>
      <c r="D16" s="59"/>
      <c r="E16" s="59"/>
      <c r="F16" s="59"/>
      <c r="G16" s="59"/>
      <c r="H16" s="59"/>
      <c r="I16" s="59"/>
      <c r="J16" s="59"/>
      <c r="K16" s="59"/>
      <c r="L16" s="59"/>
      <c r="M16" s="59"/>
    </row>
    <row r="17" spans="1:13" ht="15" x14ac:dyDescent="0.25">
      <c r="A17" s="11">
        <f>COUNT(#REF!)</f>
        <v>0</v>
      </c>
      <c r="B17" s="31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4711</v>
      </c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</row>
    <row r="18" spans="1:13" ht="15.75" x14ac:dyDescent="0.25">
      <c r="A18" s="10" t="s">
        <v>11</v>
      </c>
      <c r="B18" s="60">
        <f>SUM(B17:B17)</f>
        <v>4711</v>
      </c>
      <c r="C18" s="77"/>
      <c r="D18" s="59"/>
      <c r="E18" s="59"/>
      <c r="F18" s="59"/>
      <c r="G18" s="59"/>
      <c r="H18" s="59"/>
      <c r="I18" s="59"/>
      <c r="J18" s="59"/>
      <c r="K18" s="59"/>
      <c r="L18" s="59"/>
      <c r="M18" s="59"/>
    </row>
    <row r="19" spans="1:13" ht="13.5" x14ac:dyDescent="0.25">
      <c r="B19" s="67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1:13" ht="13.5" x14ac:dyDescent="0.25">
      <c r="B20" s="79"/>
      <c r="C20" s="78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spans="1:13" ht="13.5" x14ac:dyDescent="0.25"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</row>
    <row r="22" spans="1:13" ht="13.5" x14ac:dyDescent="0.25">
      <c r="B22" s="58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</row>
    <row r="23" spans="1:13" ht="13.5" x14ac:dyDescent="0.25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</row>
    <row r="24" spans="1:13" ht="13.5" x14ac:dyDescent="0.25">
      <c r="B24" s="59"/>
      <c r="C24" s="59"/>
      <c r="D24" s="59"/>
      <c r="E24" s="67" t="s">
        <v>139</v>
      </c>
      <c r="F24" s="58"/>
      <c r="G24" s="58"/>
      <c r="H24" s="58"/>
      <c r="I24" s="68"/>
      <c r="J24" s="59"/>
      <c r="K24" s="59"/>
      <c r="L24" s="59"/>
      <c r="M24" s="59"/>
    </row>
    <row r="25" spans="1:13" ht="13.5" x14ac:dyDescent="0.25">
      <c r="B25" s="59"/>
      <c r="C25" s="59"/>
      <c r="D25" s="59"/>
      <c r="E25" s="66"/>
      <c r="F25" s="59"/>
      <c r="G25" s="59"/>
      <c r="H25" s="59"/>
      <c r="I25" s="69"/>
      <c r="J25" s="59"/>
      <c r="K25" s="59"/>
      <c r="L25" s="59"/>
      <c r="M25" s="59"/>
    </row>
    <row r="26" spans="1:13" ht="13.5" x14ac:dyDescent="0.25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</row>
    <row r="27" spans="1:13" ht="13.5" x14ac:dyDescent="0.2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 ht="13.5" x14ac:dyDescent="0.2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</row>
    <row r="29" spans="1:13" ht="13.5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</row>
    <row r="30" spans="1:13" ht="13.5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</row>
    <row r="31" spans="1:13" ht="13.5" x14ac:dyDescent="0.25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spans="1:13" ht="13.5" x14ac:dyDescent="0.25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spans="2:13" ht="13.5" x14ac:dyDescent="0.25">
      <c r="B33" s="59"/>
      <c r="C33" s="59"/>
      <c r="D33" s="59"/>
      <c r="E33" s="67" t="s">
        <v>140</v>
      </c>
      <c r="F33" s="58"/>
      <c r="G33" s="58"/>
      <c r="H33" s="58"/>
      <c r="I33" s="68"/>
      <c r="J33" s="59"/>
      <c r="K33" s="67" t="s">
        <v>141</v>
      </c>
      <c r="L33" s="58"/>
      <c r="M33" s="68"/>
    </row>
    <row r="34" spans="2:13" ht="13.5" x14ac:dyDescent="0.25">
      <c r="B34" s="59"/>
      <c r="C34" s="59"/>
      <c r="D34" s="59"/>
      <c r="E34" s="66"/>
      <c r="F34" s="59"/>
      <c r="G34" s="59"/>
      <c r="H34" s="59"/>
      <c r="I34" s="69"/>
      <c r="J34" s="59"/>
      <c r="K34" s="70"/>
      <c r="L34" s="59"/>
      <c r="M34" s="69"/>
    </row>
    <row r="35" spans="2:13" ht="16.5" customHeight="1" x14ac:dyDescent="0.25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9"/>
    </row>
    <row r="36" spans="2:13" ht="16.5" customHeight="1" x14ac:dyDescent="0.25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9"/>
    </row>
    <row r="37" spans="2:13" ht="16.5" customHeight="1" x14ac:dyDescent="0.25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9"/>
    </row>
    <row r="38" spans="2:13" ht="16.5" customHeight="1" x14ac:dyDescent="0.25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9"/>
    </row>
    <row r="39" spans="2:13" ht="16.5" customHeight="1" x14ac:dyDescent="0.2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9"/>
    </row>
    <row r="40" spans="2:13" ht="16.5" customHeight="1" x14ac:dyDescent="0.25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9"/>
    </row>
    <row r="41" spans="2:13" ht="16.5" customHeight="1" x14ac:dyDescent="0.25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9"/>
    </row>
    <row r="42" spans="2:13" ht="13.5" x14ac:dyDescent="0.25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</row>
    <row r="43" spans="2:13" ht="13.5" x14ac:dyDescent="0.25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</row>
    <row r="44" spans="2:13" ht="13.5" x14ac:dyDescent="0.25"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2:13" ht="13.5" x14ac:dyDescent="0.25"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view="pageBreakPreview" zoomScale="60" zoomScaleNormal="90" workbookViewId="0">
      <selection activeCell="M8" sqref="M8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v>45839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5229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4100</v>
      </c>
      <c r="D6" s="32"/>
      <c r="E6" s="80">
        <v>11307</v>
      </c>
      <c r="F6" s="81" t="s">
        <v>146</v>
      </c>
      <c r="G6" s="54" t="s">
        <v>8</v>
      </c>
      <c r="H6" s="41">
        <v>850</v>
      </c>
      <c r="I6" s="41">
        <v>850</v>
      </c>
      <c r="J6" s="32"/>
      <c r="K6" s="81" t="s">
        <v>145</v>
      </c>
      <c r="L6" s="95" t="s">
        <v>10</v>
      </c>
      <c r="M6" s="46">
        <v>3.78</v>
      </c>
      <c r="R6" s="1">
        <f>IF(vend1[[#This Row],[Nº Venda]]&gt;1,1,0)</f>
        <v>1</v>
      </c>
    </row>
    <row r="7" spans="2:18" ht="16.5" x14ac:dyDescent="0.3">
      <c r="B7" s="30" t="s">
        <v>3</v>
      </c>
      <c r="C7" s="31">
        <f>SUM(M6:M11)</f>
        <v>302.77999999999997</v>
      </c>
      <c r="D7" s="32"/>
      <c r="E7" s="80">
        <v>11308</v>
      </c>
      <c r="F7" s="81" t="s">
        <v>147</v>
      </c>
      <c r="G7" s="54" t="s">
        <v>8</v>
      </c>
      <c r="H7" s="41">
        <v>1390</v>
      </c>
      <c r="I7" s="41">
        <v>695</v>
      </c>
      <c r="J7" s="32"/>
      <c r="K7" s="81" t="s">
        <v>270</v>
      </c>
      <c r="L7" s="95" t="s">
        <v>6</v>
      </c>
      <c r="M7" s="46">
        <v>299</v>
      </c>
      <c r="R7" s="1">
        <f>IF(vend1[[#This Row],[Nº Venda]]&gt;1,1,0)</f>
        <v>1</v>
      </c>
    </row>
    <row r="8" spans="2:18" ht="16.5" x14ac:dyDescent="0.3">
      <c r="B8" s="33" t="s">
        <v>21</v>
      </c>
      <c r="C8" s="34">
        <f>SUM(C6:C7)</f>
        <v>4402.78</v>
      </c>
      <c r="D8" s="32"/>
      <c r="E8" s="80">
        <v>11309</v>
      </c>
      <c r="F8" s="81" t="s">
        <v>148</v>
      </c>
      <c r="G8" s="54" t="s">
        <v>8</v>
      </c>
      <c r="H8" s="41">
        <v>899</v>
      </c>
      <c r="I8" s="41">
        <v>350</v>
      </c>
      <c r="J8" s="32"/>
      <c r="K8" s="81"/>
      <c r="L8" s="95"/>
      <c r="M8" s="46"/>
      <c r="R8" s="1">
        <f>IF(vend1[[#This Row],[Nº Venda]]&gt;1,1,0)</f>
        <v>1</v>
      </c>
    </row>
    <row r="9" spans="2:18" ht="16.5" x14ac:dyDescent="0.3">
      <c r="B9" s="29"/>
      <c r="C9" s="29"/>
      <c r="D9" s="32"/>
      <c r="E9" s="80">
        <v>11310</v>
      </c>
      <c r="F9" s="81" t="s">
        <v>149</v>
      </c>
      <c r="G9" s="54" t="s">
        <v>10</v>
      </c>
      <c r="H9" s="41">
        <v>1300</v>
      </c>
      <c r="I9" s="41">
        <v>1300</v>
      </c>
      <c r="J9" s="32"/>
      <c r="K9" s="81"/>
      <c r="L9" s="95"/>
      <c r="M9" s="46"/>
      <c r="R9" s="1">
        <f>IF(vend1[[#This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11311</v>
      </c>
      <c r="F10" s="81" t="s">
        <v>150</v>
      </c>
      <c r="G10" s="54" t="s">
        <v>6</v>
      </c>
      <c r="H10" s="41">
        <v>790</v>
      </c>
      <c r="I10" s="41">
        <v>200</v>
      </c>
      <c r="J10" s="32"/>
      <c r="K10" s="81"/>
      <c r="L10" s="95"/>
      <c r="M10" s="46"/>
      <c r="R10" s="1">
        <f>IF(vend1[[#This Row],[Nº Venda]]&gt;1,1,0)</f>
        <v>1</v>
      </c>
    </row>
    <row r="11" spans="2:18" ht="16.5" x14ac:dyDescent="0.3">
      <c r="B11" s="30" t="s">
        <v>6</v>
      </c>
      <c r="C11" s="74">
        <f>(SUMIF($G$2:$G$31,B11,$I$2:$I$31))+(SUMIF($G$35:$G$41,B11,$H$35:$H$41))</f>
        <v>299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500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IF(vend1[[#This Row],[Nº Venda]]&gt;1,1,0)</f>
        <v>0</v>
      </c>
    </row>
    <row r="13" spans="2:18" ht="16.5" x14ac:dyDescent="0.3">
      <c r="B13" s="30" t="s">
        <v>8</v>
      </c>
      <c r="C13" s="74">
        <f t="shared" si="0"/>
        <v>1895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IF(vend1[[#This Row],[Nº Venda]]&gt;1,1,0)</f>
        <v>0</v>
      </c>
    </row>
    <row r="15" spans="2:18" ht="16.5" x14ac:dyDescent="0.3">
      <c r="B15" s="30" t="s">
        <v>10</v>
      </c>
      <c r="C15" s="74">
        <f t="shared" si="0"/>
        <v>1406</v>
      </c>
      <c r="D15" s="32"/>
      <c r="E15" s="80"/>
      <c r="F15" s="81"/>
      <c r="G15" s="54"/>
      <c r="H15" s="41"/>
      <c r="I15" s="41"/>
      <c r="J15" s="32"/>
      <c r="K15" s="80">
        <v>11259</v>
      </c>
      <c r="L15" s="95" t="s">
        <v>129</v>
      </c>
      <c r="M15" s="46" t="s">
        <v>151</v>
      </c>
      <c r="R15" s="1">
        <f>IF(vend1[[#This Row],[Nº Venda]]&gt;1,1,0)</f>
        <v>0</v>
      </c>
    </row>
    <row r="16" spans="2:18" ht="16.5" x14ac:dyDescent="0.3">
      <c r="B16" s="33" t="s">
        <v>11</v>
      </c>
      <c r="C16" s="75">
        <f>SUM(C11:C15)</f>
        <v>4100</v>
      </c>
      <c r="D16" s="32"/>
      <c r="E16" s="80"/>
      <c r="F16" s="81"/>
      <c r="G16" s="54"/>
      <c r="H16" s="41"/>
      <c r="I16" s="41"/>
      <c r="J16" s="32"/>
      <c r="K16" s="80">
        <v>11264</v>
      </c>
      <c r="L16" s="95" t="s">
        <v>131</v>
      </c>
      <c r="M16" s="46" t="s">
        <v>151</v>
      </c>
      <c r="R16" s="1">
        <f>IF(vend1[[#This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11267</v>
      </c>
      <c r="L17" s="95" t="s">
        <v>129</v>
      </c>
      <c r="M17" s="46" t="s">
        <v>151</v>
      </c>
      <c r="R17" s="1">
        <f>IF(vend1[[#This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IF(vend1[[#This Row],[Nº Venda]]&gt;1,1,0)</f>
        <v>0</v>
      </c>
    </row>
    <row r="19" spans="2:18" ht="16.5" x14ac:dyDescent="0.3">
      <c r="B19" s="30">
        <f>COUNT(entr_carn1[OS])</f>
        <v>0</v>
      </c>
      <c r="C19" s="74">
        <f>SUM(entr_carn1[Valor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5229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>
        <v>11259</v>
      </c>
      <c r="F26" s="81" t="s">
        <v>153</v>
      </c>
      <c r="G26" s="54" t="s">
        <v>7</v>
      </c>
      <c r="H26" s="41"/>
      <c r="I26" s="41">
        <v>500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10309</v>
      </c>
      <c r="F35" s="81" t="s">
        <v>155</v>
      </c>
      <c r="G35" s="54" t="s">
        <v>10</v>
      </c>
      <c r="H35" s="41">
        <v>106</v>
      </c>
      <c r="I35" s="41" t="s">
        <v>44</v>
      </c>
      <c r="J35" s="40"/>
      <c r="K35" s="80"/>
      <c r="L35" s="80"/>
      <c r="M35" s="95">
        <v>0</v>
      </c>
    </row>
    <row r="36" spans="2:18" ht="16.5" customHeight="1" x14ac:dyDescent="0.25">
      <c r="B36" s="40"/>
      <c r="C36" s="40"/>
      <c r="D36" s="40"/>
      <c r="E36" s="80">
        <v>10659</v>
      </c>
      <c r="F36" s="81" t="s">
        <v>154</v>
      </c>
      <c r="G36" s="54" t="s">
        <v>6</v>
      </c>
      <c r="H36" s="41">
        <v>99</v>
      </c>
      <c r="I36" s="41" t="s">
        <v>74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5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view="pageBreakPreview" zoomScale="60" zoomScaleNormal="90" workbookViewId="0">
      <selection activeCell="L7" sqref="L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8.42578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'01'!B1+1</f>
        <v>45840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SUMIF(I6:I33,"&gt;0",H6:H33)</f>
        <v>3563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6911.25</v>
      </c>
      <c r="D6" s="32"/>
      <c r="E6" s="80">
        <v>11306</v>
      </c>
      <c r="F6" s="81" t="s">
        <v>157</v>
      </c>
      <c r="G6" s="53" t="s">
        <v>36</v>
      </c>
      <c r="H6" s="41"/>
      <c r="I6" s="41"/>
      <c r="J6" s="32"/>
      <c r="K6" s="81" t="s">
        <v>169</v>
      </c>
      <c r="L6" s="95" t="s">
        <v>6</v>
      </c>
      <c r="M6" s="46">
        <v>6</v>
      </c>
      <c r="R6" s="1">
        <f>IF(vend2[[#This Row],[Nº Venda]]&gt;1,1,0)</f>
        <v>1</v>
      </c>
    </row>
    <row r="7" spans="2:18" ht="16.5" x14ac:dyDescent="0.3">
      <c r="B7" s="30" t="s">
        <v>3</v>
      </c>
      <c r="C7" s="31">
        <f>SUM(M6:M11)</f>
        <v>717.92</v>
      </c>
      <c r="D7" s="32"/>
      <c r="E7" s="80">
        <v>11312</v>
      </c>
      <c r="F7" s="81" t="s">
        <v>158</v>
      </c>
      <c r="G7" s="53" t="s">
        <v>10</v>
      </c>
      <c r="H7" s="41">
        <v>250</v>
      </c>
      <c r="I7" s="41">
        <v>100</v>
      </c>
      <c r="J7" s="32"/>
      <c r="K7" s="81" t="s">
        <v>145</v>
      </c>
      <c r="L7" s="95" t="s">
        <v>10</v>
      </c>
      <c r="M7" s="46">
        <v>3.67</v>
      </c>
      <c r="R7" s="1">
        <f>IF(vend2[[#This Row],[Nº Venda]]&gt;1,1,0)</f>
        <v>1</v>
      </c>
    </row>
    <row r="8" spans="2:18" ht="16.5" x14ac:dyDescent="0.3">
      <c r="B8" s="33" t="s">
        <v>21</v>
      </c>
      <c r="C8" s="34">
        <f>SUM(C6:C7)</f>
        <v>7629.17</v>
      </c>
      <c r="D8" s="32"/>
      <c r="E8" s="80">
        <v>11313</v>
      </c>
      <c r="F8" s="81" t="s">
        <v>162</v>
      </c>
      <c r="G8" s="54" t="s">
        <v>8</v>
      </c>
      <c r="H8" s="41">
        <v>390</v>
      </c>
      <c r="I8" s="41">
        <v>390</v>
      </c>
      <c r="J8" s="32"/>
      <c r="K8" s="81" t="s">
        <v>270</v>
      </c>
      <c r="L8" s="95" t="s">
        <v>6</v>
      </c>
      <c r="M8" s="46">
        <v>708.25</v>
      </c>
      <c r="R8" s="1">
        <f>IF(vend2[[#This Row],[Nº Venda]]&gt;1,1,0)</f>
        <v>1</v>
      </c>
    </row>
    <row r="9" spans="2:18" ht="16.5" x14ac:dyDescent="0.3">
      <c r="B9" s="29"/>
      <c r="C9" s="29"/>
      <c r="D9" s="32"/>
      <c r="E9" s="80">
        <v>11314</v>
      </c>
      <c r="F9" s="81" t="s">
        <v>170</v>
      </c>
      <c r="G9" s="54" t="s">
        <v>8</v>
      </c>
      <c r="H9" s="41">
        <v>1300</v>
      </c>
      <c r="I9" s="41">
        <v>1300</v>
      </c>
      <c r="J9" s="32"/>
      <c r="K9" s="81"/>
      <c r="L9" s="95"/>
      <c r="M9" s="46"/>
      <c r="R9" s="1">
        <f>IF(vend2[[#This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11315</v>
      </c>
      <c r="F10" s="81" t="s">
        <v>170</v>
      </c>
      <c r="G10" s="54" t="s">
        <v>8</v>
      </c>
      <c r="H10" s="41">
        <v>1300</v>
      </c>
      <c r="I10" s="41">
        <v>1300</v>
      </c>
      <c r="J10" s="32"/>
      <c r="K10" s="81"/>
      <c r="L10" s="95"/>
      <c r="M10" s="46"/>
      <c r="R10" s="1">
        <f>IF(vend2[[#This Row],[Nº Venda]]&gt;1,1,0)</f>
        <v>1</v>
      </c>
    </row>
    <row r="11" spans="2:18" ht="16.5" x14ac:dyDescent="0.3">
      <c r="B11" s="30" t="s">
        <v>6</v>
      </c>
      <c r="C11" s="74">
        <f>(SUMIF($G$2:$G$33,B11,$I$2:$I$33))+(SUMIF($G$37:$G$41,B11,$H$37:$H$41))</f>
        <v>708.25</v>
      </c>
      <c r="D11" s="32"/>
      <c r="E11" s="80">
        <v>11316</v>
      </c>
      <c r="F11" s="81" t="s">
        <v>170</v>
      </c>
      <c r="G11" s="54" t="s">
        <v>8</v>
      </c>
      <c r="H11" s="41">
        <v>190</v>
      </c>
      <c r="I11" s="41">
        <v>190</v>
      </c>
      <c r="J11" s="32"/>
      <c r="K11" s="40"/>
      <c r="L11" s="95"/>
      <c r="M11" s="46"/>
      <c r="O11" s="1">
        <f>IF(C16=0,0,1)</f>
        <v>1</v>
      </c>
      <c r="R11" s="1">
        <f>IF(vend2[[#This Row],[Nº Venda]]&gt;1,1,0)</f>
        <v>1</v>
      </c>
    </row>
    <row r="12" spans="2:18" ht="16.5" x14ac:dyDescent="0.3">
      <c r="B12" s="30" t="s">
        <v>7</v>
      </c>
      <c r="C12" s="74">
        <f>(SUMIF($G$2:$G$33,B12,$I$2:$I$33))+(SUMIF($G$37:$G$41,B12,$H$37:$H$41))</f>
        <v>500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IF(vend2[[#This Row],[Nº Venda]]&gt;1,1,0)</f>
        <v>0</v>
      </c>
    </row>
    <row r="13" spans="2:18" ht="16.5" x14ac:dyDescent="0.3">
      <c r="B13" s="30" t="s">
        <v>8</v>
      </c>
      <c r="C13" s="74">
        <f>(SUMIF($G$2:$G$33,B13,$I$2:$I$33))+(SUMIF($G$37:$G$41,B13,$H$37:$H$41))</f>
        <v>5429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IF(vend2[[#This Row],[Nº Venda]]&gt;1,1,0)</f>
        <v>0</v>
      </c>
    </row>
    <row r="14" spans="2:18" ht="16.5" x14ac:dyDescent="0.3">
      <c r="B14" s="30" t="s">
        <v>9</v>
      </c>
      <c r="C14" s="74">
        <f>(SUMIF($G$2:$G$33,B14,$I$2:$I$33))+(SUMIF($G$37:$G$41,B14,$H$37:$H$41))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IF(vend2[[#This Row],[Nº Venda]]&gt;1,1,0)</f>
        <v>0</v>
      </c>
    </row>
    <row r="15" spans="2:18" ht="16.5" x14ac:dyDescent="0.3">
      <c r="B15" s="30" t="s">
        <v>10</v>
      </c>
      <c r="C15" s="74">
        <f>(SUMIF($G$2:$G$33,B15,$I$2:$I$33))+(SUMIF($G$37:$G$41,B15,$H$37:$H$41))</f>
        <v>274</v>
      </c>
      <c r="D15" s="32"/>
      <c r="E15" s="80"/>
      <c r="F15" s="81"/>
      <c r="G15" s="54"/>
      <c r="H15" s="41"/>
      <c r="I15" s="41"/>
      <c r="J15" s="32"/>
      <c r="K15" s="80">
        <v>11144</v>
      </c>
      <c r="L15" s="95" t="s">
        <v>129</v>
      </c>
      <c r="M15" s="46" t="s">
        <v>151</v>
      </c>
      <c r="R15" s="1">
        <f>IF(vend2[[#This Row],[Nº Venda]]&gt;1,1,0)</f>
        <v>0</v>
      </c>
    </row>
    <row r="16" spans="2:18" ht="16.5" x14ac:dyDescent="0.3">
      <c r="B16" s="33" t="s">
        <v>11</v>
      </c>
      <c r="C16" s="75">
        <f>SUM(C11:C15)</f>
        <v>6911.25</v>
      </c>
      <c r="D16" s="32"/>
      <c r="E16" s="80"/>
      <c r="F16" s="81"/>
      <c r="G16" s="54"/>
      <c r="H16" s="41"/>
      <c r="I16" s="41"/>
      <c r="J16" s="32"/>
      <c r="K16" s="80">
        <v>11167</v>
      </c>
      <c r="L16" s="95" t="s">
        <v>129</v>
      </c>
      <c r="M16" s="46" t="s">
        <v>152</v>
      </c>
      <c r="R16" s="1">
        <f>IF(vend2[[#This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11180</v>
      </c>
      <c r="L17" s="95" t="s">
        <v>131</v>
      </c>
      <c r="M17" s="46" t="s">
        <v>151</v>
      </c>
      <c r="R17" s="1">
        <f>IF(vend2[[#This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11206</v>
      </c>
      <c r="L18" s="95" t="s">
        <v>131</v>
      </c>
      <c r="M18" s="46" t="s">
        <v>151</v>
      </c>
      <c r="R18" s="1">
        <f>IF(vend2[[#This Row],[Nº Venda]]&gt;1,1,0)</f>
        <v>0</v>
      </c>
    </row>
    <row r="19" spans="2:18" ht="16.5" x14ac:dyDescent="0.3">
      <c r="B19" s="30">
        <f>COUNT(entr_carn2[OS])</f>
        <v>2</v>
      </c>
      <c r="C19" s="74">
        <f>SUM(entr_carn2[Valor Total])</f>
        <v>627</v>
      </c>
      <c r="D19" s="32"/>
      <c r="E19" s="80"/>
      <c r="F19" s="81"/>
      <c r="G19" s="54"/>
      <c r="H19" s="41"/>
      <c r="I19" s="41"/>
      <c r="J19" s="32"/>
      <c r="K19" s="80">
        <v>11232</v>
      </c>
      <c r="L19" s="95" t="s">
        <v>131</v>
      </c>
      <c r="M19" s="46" t="s">
        <v>151</v>
      </c>
      <c r="R19" s="1">
        <f>IF(vend2[[#This Row],[Nº Venda]]&gt;1,1,0)</f>
        <v>0</v>
      </c>
    </row>
    <row r="20" spans="2:18" ht="16.5" x14ac:dyDescent="0.3">
      <c r="B20" s="33" t="s">
        <v>11</v>
      </c>
      <c r="C20" s="75">
        <f>SUM(C19:C19)</f>
        <v>627</v>
      </c>
      <c r="D20" s="32"/>
      <c r="E20" s="80"/>
      <c r="F20" s="54"/>
      <c r="G20" s="54"/>
      <c r="H20" s="41"/>
      <c r="I20" s="41"/>
      <c r="J20" s="32"/>
      <c r="K20" s="80">
        <v>11245</v>
      </c>
      <c r="L20" s="95" t="s">
        <v>131</v>
      </c>
      <c r="M20" s="46" t="s">
        <v>152</v>
      </c>
      <c r="R20" s="1">
        <f>IF(vend2[[#This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>
        <v>11290</v>
      </c>
      <c r="L21" s="95" t="s">
        <v>131</v>
      </c>
      <c r="M21" s="46" t="s">
        <v>151</v>
      </c>
    </row>
    <row r="22" spans="2:18" ht="16.5" x14ac:dyDescent="0.3">
      <c r="B22" s="33" t="s">
        <v>25</v>
      </c>
      <c r="C22" s="36">
        <f>C5</f>
        <v>3563</v>
      </c>
      <c r="D22" s="32"/>
      <c r="E22" s="82"/>
      <c r="F22" s="81"/>
      <c r="G22" s="54"/>
      <c r="H22" s="41"/>
      <c r="I22" s="41"/>
      <c r="J22" s="32"/>
      <c r="K22" s="80">
        <v>11301</v>
      </c>
      <c r="L22" s="95" t="s">
        <v>131</v>
      </c>
      <c r="M22" s="46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>
        <v>11144</v>
      </c>
      <c r="F26" s="81" t="s">
        <v>156</v>
      </c>
      <c r="G26" s="54" t="s">
        <v>8</v>
      </c>
      <c r="H26" s="41">
        <v>0</v>
      </c>
      <c r="I26" s="41">
        <v>1050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>
        <v>11167</v>
      </c>
      <c r="F27" s="81" t="s">
        <v>150</v>
      </c>
      <c r="G27" s="54" t="s">
        <v>6</v>
      </c>
      <c r="H27" s="41">
        <v>98</v>
      </c>
      <c r="I27" s="41">
        <v>30</v>
      </c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>
        <v>11206</v>
      </c>
      <c r="F28" s="54" t="s">
        <v>165</v>
      </c>
      <c r="G28" s="54" t="s">
        <v>7</v>
      </c>
      <c r="H28" s="41">
        <v>0</v>
      </c>
      <c r="I28" s="41">
        <v>500</v>
      </c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>
        <v>11215</v>
      </c>
      <c r="F29" s="81" t="s">
        <v>166</v>
      </c>
      <c r="G29" s="54" t="s">
        <v>6</v>
      </c>
      <c r="H29" s="41">
        <v>35</v>
      </c>
      <c r="I29" s="41">
        <v>35</v>
      </c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>
        <v>11231</v>
      </c>
      <c r="F30" s="54" t="s">
        <v>163</v>
      </c>
      <c r="G30" s="54" t="s">
        <v>8</v>
      </c>
      <c r="H30" s="41">
        <v>0</v>
      </c>
      <c r="I30" s="41">
        <v>990</v>
      </c>
      <c r="J30" s="32"/>
      <c r="K30" s="80"/>
      <c r="L30" s="95"/>
      <c r="M30" s="46"/>
    </row>
    <row r="31" spans="2:18" ht="16.5" x14ac:dyDescent="0.3">
      <c r="B31" s="32"/>
      <c r="C31" s="32"/>
      <c r="D31" s="32"/>
      <c r="E31" s="80">
        <v>11232</v>
      </c>
      <c r="F31" s="81" t="s">
        <v>163</v>
      </c>
      <c r="G31" s="54" t="s">
        <v>8</v>
      </c>
      <c r="H31" s="41">
        <v>0</v>
      </c>
      <c r="I31" s="41">
        <v>209</v>
      </c>
      <c r="J31" s="32"/>
      <c r="K31" s="80"/>
      <c r="L31" s="95"/>
      <c r="M31" s="46"/>
    </row>
    <row r="32" spans="2:18" ht="16.5" x14ac:dyDescent="0.3">
      <c r="B32" s="32"/>
      <c r="C32" s="32"/>
      <c r="D32" s="40"/>
      <c r="E32" s="80">
        <v>11245</v>
      </c>
      <c r="F32" s="81" t="s">
        <v>159</v>
      </c>
      <c r="G32" s="54" t="s">
        <v>6</v>
      </c>
      <c r="H32" s="41">
        <v>0</v>
      </c>
      <c r="I32" s="41">
        <v>190</v>
      </c>
      <c r="J32" s="40"/>
      <c r="K32" s="35"/>
      <c r="L32" s="35"/>
      <c r="M32" s="35"/>
    </row>
    <row r="33" spans="2:18" ht="16.5" x14ac:dyDescent="0.3">
      <c r="B33" s="32"/>
      <c r="C33" s="32"/>
      <c r="D33" s="40"/>
      <c r="E33" s="82">
        <v>11290</v>
      </c>
      <c r="F33" s="44" t="s">
        <v>164</v>
      </c>
      <c r="G33" s="44" t="s">
        <v>6</v>
      </c>
      <c r="H33" s="45">
        <v>0</v>
      </c>
      <c r="I33" s="45">
        <v>180</v>
      </c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37"/>
      <c r="F34" s="37"/>
      <c r="G34" s="37"/>
      <c r="H34" s="39"/>
      <c r="I34" s="39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105" t="s">
        <v>140</v>
      </c>
      <c r="F35" s="106"/>
      <c r="G35" s="106"/>
      <c r="H35" s="106"/>
      <c r="I35" s="106"/>
      <c r="J35" s="40"/>
      <c r="K35" s="80">
        <v>11167</v>
      </c>
      <c r="L35" s="80">
        <v>3</v>
      </c>
      <c r="M35" s="95">
        <v>68</v>
      </c>
    </row>
    <row r="36" spans="2:18" ht="16.5" customHeight="1" x14ac:dyDescent="0.3">
      <c r="B36" s="40"/>
      <c r="C36" s="40"/>
      <c r="D36" s="40"/>
      <c r="E36" s="17" t="s">
        <v>22</v>
      </c>
      <c r="F36" s="16" t="s">
        <v>15</v>
      </c>
      <c r="G36" s="17" t="s">
        <v>16</v>
      </c>
      <c r="H36" s="18" t="s">
        <v>26</v>
      </c>
      <c r="I36" s="18" t="s">
        <v>27</v>
      </c>
      <c r="J36" s="40"/>
      <c r="K36" s="80">
        <v>11245</v>
      </c>
      <c r="L36" s="80">
        <v>7</v>
      </c>
      <c r="M36" s="95">
        <v>559</v>
      </c>
    </row>
    <row r="37" spans="2:18" ht="16.5" customHeight="1" x14ac:dyDescent="0.25">
      <c r="B37" s="40"/>
      <c r="C37" s="40"/>
      <c r="D37" s="40"/>
      <c r="E37" s="80">
        <v>10137</v>
      </c>
      <c r="F37" s="81" t="s">
        <v>167</v>
      </c>
      <c r="G37" s="54" t="s">
        <v>6</v>
      </c>
      <c r="H37" s="41">
        <v>123.75</v>
      </c>
      <c r="I37" s="41" t="s">
        <v>52</v>
      </c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>
        <v>10386</v>
      </c>
      <c r="F38" s="54" t="s">
        <v>168</v>
      </c>
      <c r="G38" s="54" t="s">
        <v>10</v>
      </c>
      <c r="H38" s="41">
        <v>124</v>
      </c>
      <c r="I38" s="41" t="s">
        <v>56</v>
      </c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>
        <v>10941</v>
      </c>
      <c r="F39" s="81" t="s">
        <v>160</v>
      </c>
      <c r="G39" s="54" t="s">
        <v>10</v>
      </c>
      <c r="H39" s="41">
        <v>50</v>
      </c>
      <c r="I39" s="41" t="s">
        <v>50</v>
      </c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0">
        <v>11007</v>
      </c>
      <c r="F40" s="81" t="s">
        <v>161</v>
      </c>
      <c r="G40" s="54" t="s">
        <v>6</v>
      </c>
      <c r="H40" s="41">
        <v>92</v>
      </c>
      <c r="I40" s="41" t="s">
        <v>51</v>
      </c>
      <c r="J40" s="40"/>
      <c r="K40" s="82"/>
      <c r="L40" s="82"/>
      <c r="M40" s="96"/>
      <c r="Q40" s="1" t="s">
        <v>33</v>
      </c>
      <c r="R40" s="1">
        <f>SUM(R6:R21)</f>
        <v>6</v>
      </c>
    </row>
    <row r="41" spans="2:18" ht="16.5" customHeight="1" x14ac:dyDescent="0.25">
      <c r="B41" s="40"/>
      <c r="C41" s="40"/>
      <c r="D41" s="40"/>
      <c r="E41" s="80">
        <v>11101</v>
      </c>
      <c r="F41" s="81" t="s">
        <v>161</v>
      </c>
      <c r="G41" s="54" t="s">
        <v>6</v>
      </c>
      <c r="H41" s="41">
        <v>57.5</v>
      </c>
      <c r="I41" s="41" t="s">
        <v>72</v>
      </c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5:I35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G37:G41 G26:G33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I37:I41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E37:E41 K35:K41 K15:K31 E26:E33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zoomScale="90" zoomScaleNormal="90" workbookViewId="0">
      <selection activeCell="A4" sqref="A4:C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'02'!B1+1</f>
        <v>45841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799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983</v>
      </c>
      <c r="D6" s="32"/>
      <c r="E6" s="80">
        <v>11317</v>
      </c>
      <c r="F6" s="81" t="s">
        <v>172</v>
      </c>
      <c r="G6" s="53" t="s">
        <v>46</v>
      </c>
      <c r="H6" s="41"/>
      <c r="I6" s="41"/>
      <c r="J6" s="32"/>
      <c r="K6" s="81" t="s">
        <v>145</v>
      </c>
      <c r="L6" s="95" t="s">
        <v>10</v>
      </c>
      <c r="M6" s="46">
        <v>3.92</v>
      </c>
      <c r="R6" s="1">
        <f>IF(vend3[[#This Row],[Nº Venda]]&gt;1,1,0)</f>
        <v>1</v>
      </c>
    </row>
    <row r="7" spans="2:18" ht="16.5" x14ac:dyDescent="0.3">
      <c r="B7" s="30" t="s">
        <v>3</v>
      </c>
      <c r="C7" s="31">
        <f>SUM(M6:M11)</f>
        <v>3.92</v>
      </c>
      <c r="D7" s="32"/>
      <c r="E7" s="80">
        <v>11318</v>
      </c>
      <c r="F7" s="81" t="s">
        <v>173</v>
      </c>
      <c r="G7" s="54" t="s">
        <v>8</v>
      </c>
      <c r="H7" s="41">
        <v>799</v>
      </c>
      <c r="I7" s="41">
        <v>799</v>
      </c>
      <c r="J7" s="32"/>
      <c r="K7" s="81"/>
      <c r="L7" s="95"/>
      <c r="M7" s="46"/>
      <c r="R7" s="1">
        <f>IF(vend3[[#This Row],[Nº Venda]]&gt;1,1,0)</f>
        <v>1</v>
      </c>
    </row>
    <row r="8" spans="2:18" ht="16.5" x14ac:dyDescent="0.3">
      <c r="B8" s="33" t="s">
        <v>21</v>
      </c>
      <c r="C8" s="34">
        <f>SUM(C6:C7)</f>
        <v>986.92</v>
      </c>
      <c r="D8" s="32"/>
      <c r="E8" s="80">
        <v>11319</v>
      </c>
      <c r="F8" s="81" t="s">
        <v>174</v>
      </c>
      <c r="G8" s="54" t="s">
        <v>36</v>
      </c>
      <c r="H8" s="41"/>
      <c r="I8" s="41"/>
      <c r="J8" s="32"/>
      <c r="K8" s="81"/>
      <c r="L8" s="95"/>
      <c r="M8" s="46"/>
      <c r="R8" s="1">
        <f>IF(vend3[[#This Row],[Nº Venda]]&gt;1,1,0)</f>
        <v>1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IF(vend3[[#This Row],[Nº Venda]]&gt;1,1,0)</f>
        <v>0</v>
      </c>
    </row>
    <row r="13" spans="2:18" ht="16.5" x14ac:dyDescent="0.3">
      <c r="B13" s="30" t="s">
        <v>8</v>
      </c>
      <c r="C13" s="74">
        <f t="shared" si="0"/>
        <v>799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IF(vend3[[#This Row],[Nº Venda]]&gt;1,1,0)</f>
        <v>0</v>
      </c>
    </row>
    <row r="15" spans="2:18" ht="16.5" x14ac:dyDescent="0.3">
      <c r="B15" s="30" t="s">
        <v>10</v>
      </c>
      <c r="C15" s="74">
        <f t="shared" si="0"/>
        <v>184</v>
      </c>
      <c r="D15" s="32"/>
      <c r="E15" s="80"/>
      <c r="F15" s="81"/>
      <c r="G15" s="54"/>
      <c r="H15" s="41"/>
      <c r="I15" s="41"/>
      <c r="J15" s="32"/>
      <c r="K15" s="80">
        <v>11256</v>
      </c>
      <c r="L15" s="95" t="s">
        <v>131</v>
      </c>
      <c r="M15" s="46" t="s">
        <v>152</v>
      </c>
      <c r="R15" s="1">
        <f>IF(vend3[[#This Row],[Nº Venda]]&gt;1,1,0)</f>
        <v>0</v>
      </c>
    </row>
    <row r="16" spans="2:18" ht="16.5" x14ac:dyDescent="0.3">
      <c r="B16" s="33" t="s">
        <v>11</v>
      </c>
      <c r="C16" s="75">
        <f>SUM(C11:C15)</f>
        <v>983</v>
      </c>
      <c r="D16" s="32"/>
      <c r="E16" s="80"/>
      <c r="F16" s="81"/>
      <c r="G16" s="54"/>
      <c r="H16" s="41"/>
      <c r="I16" s="41"/>
      <c r="J16" s="32"/>
      <c r="K16" s="80">
        <v>11254</v>
      </c>
      <c r="L16" s="95" t="s">
        <v>131</v>
      </c>
      <c r="M16" s="46" t="s">
        <v>152</v>
      </c>
      <c r="R16" s="1">
        <f>IF(vend3[[#This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11305</v>
      </c>
      <c r="L17" s="95" t="s">
        <v>131</v>
      </c>
      <c r="M17" s="46" t="s">
        <v>151</v>
      </c>
      <c r="R17" s="1">
        <f>IF(vend3[[#This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11252</v>
      </c>
      <c r="L18" s="95" t="s">
        <v>131</v>
      </c>
      <c r="M18" s="46" t="s">
        <v>151</v>
      </c>
      <c r="R18" s="1">
        <f>IF(vend3[[#This Row],[Nº Venda]]&gt;1,1,0)</f>
        <v>0</v>
      </c>
    </row>
    <row r="19" spans="2:18" ht="16.5" x14ac:dyDescent="0.3">
      <c r="B19" s="30">
        <f>COUNT(entr_carn3[OS])</f>
        <v>2</v>
      </c>
      <c r="C19" s="74">
        <f>SUM(entr_carn3[Valor Total])</f>
        <v>2006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IF(vend3[[#This Row],[Nº Venda]]&gt;1,1,0)</f>
        <v>0</v>
      </c>
    </row>
    <row r="20" spans="2:18" ht="16.5" x14ac:dyDescent="0.3">
      <c r="B20" s="33" t="s">
        <v>11</v>
      </c>
      <c r="C20" s="75">
        <f>SUM(C19:C19)</f>
        <v>2006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799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10386</v>
      </c>
      <c r="F35" s="81" t="s">
        <v>171</v>
      </c>
      <c r="G35" s="54" t="s">
        <v>10</v>
      </c>
      <c r="H35" s="41">
        <v>124</v>
      </c>
      <c r="I35" s="41" t="s">
        <v>57</v>
      </c>
      <c r="J35" s="40"/>
      <c r="K35" s="80">
        <v>11256</v>
      </c>
      <c r="L35" s="80">
        <v>8</v>
      </c>
      <c r="M35" s="95">
        <v>795</v>
      </c>
    </row>
    <row r="36" spans="2:18" ht="16.5" customHeight="1" x14ac:dyDescent="0.25">
      <c r="B36" s="40"/>
      <c r="C36" s="40"/>
      <c r="D36" s="40"/>
      <c r="E36" s="80">
        <v>10942</v>
      </c>
      <c r="F36" s="81" t="s">
        <v>175</v>
      </c>
      <c r="G36" s="54" t="s">
        <v>10</v>
      </c>
      <c r="H36" s="41">
        <v>60</v>
      </c>
      <c r="I36" s="41" t="s">
        <v>49</v>
      </c>
      <c r="J36" s="40"/>
      <c r="K36" s="80">
        <v>11254</v>
      </c>
      <c r="L36" s="80">
        <v>8</v>
      </c>
      <c r="M36" s="95">
        <v>1211</v>
      </c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3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view="pageBreakPreview" zoomScale="60" zoomScaleNormal="9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85546875" style="1" bestFit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'03'!B1+1</f>
        <v>45842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11326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13232.5</v>
      </c>
      <c r="D6" s="32"/>
      <c r="E6" s="80">
        <v>11320</v>
      </c>
      <c r="F6" s="81" t="s">
        <v>176</v>
      </c>
      <c r="G6" s="53" t="s">
        <v>7</v>
      </c>
      <c r="H6" s="41">
        <v>199</v>
      </c>
      <c r="I6" s="41">
        <v>199</v>
      </c>
      <c r="J6" s="32"/>
      <c r="K6" s="81" t="s">
        <v>145</v>
      </c>
      <c r="L6" s="95" t="s">
        <v>10</v>
      </c>
      <c r="M6" s="46">
        <v>3.92</v>
      </c>
      <c r="R6" s="1">
        <f>IF(vend4[[#This Row],[Nº Venda]]&gt;1,1,0)</f>
        <v>1</v>
      </c>
    </row>
    <row r="7" spans="2:18" ht="16.5" x14ac:dyDescent="0.3">
      <c r="B7" s="30" t="s">
        <v>3</v>
      </c>
      <c r="C7" s="31">
        <f>SUM(M6:M11)</f>
        <v>3.92</v>
      </c>
      <c r="D7" s="32"/>
      <c r="E7" s="80">
        <v>11321</v>
      </c>
      <c r="F7" s="81" t="s">
        <v>177</v>
      </c>
      <c r="G7" s="53" t="s">
        <v>36</v>
      </c>
      <c r="H7" s="41">
        <v>0</v>
      </c>
      <c r="I7" s="41">
        <v>0</v>
      </c>
      <c r="J7" s="32"/>
      <c r="K7" s="81"/>
      <c r="L7" s="95"/>
      <c r="M7" s="46"/>
      <c r="R7" s="1">
        <f>IF(vend4[[#This Row],[Nº Venda]]&gt;1,1,0)</f>
        <v>1</v>
      </c>
    </row>
    <row r="8" spans="2:18" ht="16.5" x14ac:dyDescent="0.3">
      <c r="B8" s="33" t="s">
        <v>21</v>
      </c>
      <c r="C8" s="34">
        <f>SUM(C6:C7)</f>
        <v>13236.42</v>
      </c>
      <c r="D8" s="32"/>
      <c r="E8" s="80">
        <v>11322</v>
      </c>
      <c r="F8" s="81" t="s">
        <v>178</v>
      </c>
      <c r="G8" s="53" t="s">
        <v>46</v>
      </c>
      <c r="H8" s="41">
        <v>40</v>
      </c>
      <c r="I8" s="41">
        <v>0</v>
      </c>
      <c r="J8" s="32"/>
      <c r="K8" s="81"/>
      <c r="L8" s="95"/>
      <c r="M8" s="46"/>
      <c r="R8" s="1">
        <f>IF(vend4[[#This Row],[Nº Venda]]&gt;1,1,0)</f>
        <v>1</v>
      </c>
    </row>
    <row r="9" spans="2:18" ht="16.5" x14ac:dyDescent="0.3">
      <c r="B9" s="29"/>
      <c r="C9" s="29"/>
      <c r="D9" s="32"/>
      <c r="E9" s="80">
        <v>11323</v>
      </c>
      <c r="F9" s="81" t="s">
        <v>179</v>
      </c>
      <c r="G9" s="53" t="s">
        <v>8</v>
      </c>
      <c r="H9" s="41">
        <v>4651</v>
      </c>
      <c r="I9" s="41">
        <v>4651</v>
      </c>
      <c r="J9" s="32"/>
      <c r="K9" s="81"/>
      <c r="L9" s="95"/>
      <c r="M9" s="46"/>
      <c r="R9" s="1">
        <f>IF(vend4[[#This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11324</v>
      </c>
      <c r="F10" s="81" t="s">
        <v>179</v>
      </c>
      <c r="G10" s="54" t="s">
        <v>8</v>
      </c>
      <c r="H10" s="41">
        <v>390</v>
      </c>
      <c r="I10" s="41">
        <v>390</v>
      </c>
      <c r="J10" s="32"/>
      <c r="K10" s="81"/>
      <c r="L10" s="95"/>
      <c r="M10" s="46"/>
      <c r="R10" s="1">
        <f>IF(vend4[[#This Row],[Nº Venda]]&gt;1,1,0)</f>
        <v>1</v>
      </c>
    </row>
    <row r="11" spans="2:18" ht="16.5" x14ac:dyDescent="0.3">
      <c r="B11" s="30" t="s">
        <v>6</v>
      </c>
      <c r="C11" s="74">
        <f>(SUMIF($G$2:$G$31,B11,$I$2:$I$31))+(SUMIF($G$35:$G$41,B11,$H$35:$H$41))</f>
        <v>2490</v>
      </c>
      <c r="D11" s="32"/>
      <c r="E11" s="80">
        <v>11325</v>
      </c>
      <c r="F11" s="81" t="s">
        <v>179</v>
      </c>
      <c r="G11" s="54" t="s">
        <v>8</v>
      </c>
      <c r="H11" s="41">
        <v>4651</v>
      </c>
      <c r="I11" s="41">
        <v>4651</v>
      </c>
      <c r="J11" s="32"/>
      <c r="K11" s="40"/>
      <c r="L11" s="95"/>
      <c r="M11" s="46"/>
      <c r="O11" s="1">
        <f>IF(C16=0,0,1)</f>
        <v>1</v>
      </c>
      <c r="R11" s="1">
        <f>IF(vend4[[#This Row],[Nº Venda]]&gt;1,1,0)</f>
        <v>1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199</v>
      </c>
      <c r="D12" s="32"/>
      <c r="E12" s="80">
        <v>11326</v>
      </c>
      <c r="F12" s="81" t="s">
        <v>179</v>
      </c>
      <c r="G12" s="54" t="s">
        <v>8</v>
      </c>
      <c r="H12" s="41">
        <v>390</v>
      </c>
      <c r="I12" s="41">
        <v>390</v>
      </c>
      <c r="J12" s="32"/>
      <c r="K12" s="35"/>
      <c r="L12" s="35"/>
      <c r="M12" s="35"/>
      <c r="R12" s="1">
        <f>IF(vend4[[#This Row],[Nº Venda]]&gt;1,1,0)</f>
        <v>1</v>
      </c>
    </row>
    <row r="13" spans="2:18" ht="16.5" x14ac:dyDescent="0.3">
      <c r="B13" s="30" t="s">
        <v>8</v>
      </c>
      <c r="C13" s="74">
        <f t="shared" si="0"/>
        <v>10131</v>
      </c>
      <c r="D13" s="32"/>
      <c r="E13" s="80">
        <v>11327</v>
      </c>
      <c r="F13" s="81" t="s">
        <v>180</v>
      </c>
      <c r="G13" s="54" t="s">
        <v>6</v>
      </c>
      <c r="H13" s="41">
        <v>1045</v>
      </c>
      <c r="I13" s="41">
        <v>1000</v>
      </c>
      <c r="J13" s="32"/>
      <c r="K13" s="107" t="s">
        <v>142</v>
      </c>
      <c r="L13" s="108"/>
      <c r="M13" s="109"/>
      <c r="R13" s="1">
        <f>IF(vend4[[#This Row],[Nº Venda]]&gt;1,1,0)</f>
        <v>1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IF(vend4[[#This Row],[Nº Venda]]&gt;1,1,0)</f>
        <v>0</v>
      </c>
    </row>
    <row r="15" spans="2:18" ht="16.5" x14ac:dyDescent="0.3">
      <c r="B15" s="30" t="s">
        <v>10</v>
      </c>
      <c r="C15" s="74">
        <f t="shared" si="0"/>
        <v>412.5</v>
      </c>
      <c r="D15" s="32"/>
      <c r="E15" s="80"/>
      <c r="F15" s="81"/>
      <c r="G15" s="54"/>
      <c r="H15" s="41"/>
      <c r="I15" s="41"/>
      <c r="J15" s="32"/>
      <c r="K15" s="80">
        <v>11185</v>
      </c>
      <c r="L15" s="95" t="s">
        <v>129</v>
      </c>
      <c r="M15" s="46" t="s">
        <v>151</v>
      </c>
      <c r="R15" s="1">
        <f>IF(vend4[[#This Row],[Nº Venda]]&gt;1,1,0)</f>
        <v>0</v>
      </c>
    </row>
    <row r="16" spans="2:18" ht="16.5" x14ac:dyDescent="0.3">
      <c r="B16" s="33" t="s">
        <v>11</v>
      </c>
      <c r="C16" s="75">
        <f>SUM(C11:C15)</f>
        <v>13232.5</v>
      </c>
      <c r="D16" s="32"/>
      <c r="E16" s="80"/>
      <c r="F16" s="81"/>
      <c r="G16" s="54"/>
      <c r="H16" s="41"/>
      <c r="I16" s="41"/>
      <c r="J16" s="32"/>
      <c r="K16" s="80">
        <v>11186</v>
      </c>
      <c r="L16" s="95" t="s">
        <v>129</v>
      </c>
      <c r="M16" s="46" t="s">
        <v>151</v>
      </c>
      <c r="R16" s="1">
        <f>IF(vend4[[#This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11195</v>
      </c>
      <c r="L17" s="95" t="s">
        <v>129</v>
      </c>
      <c r="M17" s="46" t="s">
        <v>151</v>
      </c>
      <c r="R17" s="1">
        <f>IF(vend4[[#This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11196</v>
      </c>
      <c r="L18" s="95" t="s">
        <v>129</v>
      </c>
      <c r="M18" s="46" t="s">
        <v>151</v>
      </c>
      <c r="R18" s="1">
        <f>IF(vend4[[#This Row],[Nº Venda]]&gt;1,1,0)</f>
        <v>0</v>
      </c>
    </row>
    <row r="19" spans="2:18" ht="16.5" x14ac:dyDescent="0.3">
      <c r="B19" s="30">
        <f>COUNT(entr_carn4[OS])</f>
        <v>0</v>
      </c>
      <c r="C19" s="74">
        <f>SUM(entr_carn4[Valor Total])</f>
        <v>0</v>
      </c>
      <c r="D19" s="32"/>
      <c r="E19" s="80"/>
      <c r="F19" s="81"/>
      <c r="G19" s="54"/>
      <c r="H19" s="41"/>
      <c r="I19" s="41"/>
      <c r="J19" s="32"/>
      <c r="K19" s="80">
        <v>11197</v>
      </c>
      <c r="L19" s="95" t="s">
        <v>129</v>
      </c>
      <c r="M19" s="46" t="s">
        <v>151</v>
      </c>
      <c r="R19" s="1">
        <f>IF(vend4[[#This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>
        <v>11219</v>
      </c>
      <c r="L20" s="95" t="s">
        <v>131</v>
      </c>
      <c r="M20" s="46" t="s">
        <v>151</v>
      </c>
      <c r="R20" s="1">
        <f>IF(vend4[[#This Row],[Nº Venda]]&gt;1,1,0)</f>
        <v>0</v>
      </c>
    </row>
    <row r="21" spans="2:18" ht="16.5" x14ac:dyDescent="0.3">
      <c r="B21" s="29"/>
      <c r="C21" s="29"/>
      <c r="D21" s="32"/>
      <c r="E21" s="80"/>
      <c r="F21" s="81" t="s">
        <v>186</v>
      </c>
      <c r="G21" s="54"/>
      <c r="H21" s="41"/>
      <c r="I21" s="41"/>
      <c r="J21" s="32"/>
      <c r="K21" s="80">
        <v>11229</v>
      </c>
      <c r="L21" s="95" t="s">
        <v>131</v>
      </c>
      <c r="M21" s="46" t="s">
        <v>151</v>
      </c>
    </row>
    <row r="22" spans="2:18" ht="16.5" x14ac:dyDescent="0.3">
      <c r="B22" s="33" t="s">
        <v>25</v>
      </c>
      <c r="C22" s="36">
        <f>C5</f>
        <v>11326</v>
      </c>
      <c r="D22" s="32"/>
      <c r="E22" s="82"/>
      <c r="F22" s="81"/>
      <c r="G22" s="54"/>
      <c r="H22" s="41"/>
      <c r="I22" s="41"/>
      <c r="J22" s="32"/>
      <c r="K22" s="80">
        <v>11231</v>
      </c>
      <c r="L22" s="95" t="s">
        <v>131</v>
      </c>
      <c r="M22" s="46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>
        <v>11234</v>
      </c>
      <c r="L23" s="95" t="s">
        <v>131</v>
      </c>
      <c r="M23" s="46" t="s">
        <v>151</v>
      </c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>
        <v>11242</v>
      </c>
      <c r="L24" s="95" t="s">
        <v>131</v>
      </c>
      <c r="M24" s="46" t="s">
        <v>151</v>
      </c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>
        <v>11248</v>
      </c>
      <c r="L25" s="95" t="s">
        <v>131</v>
      </c>
      <c r="M25" s="46" t="s">
        <v>151</v>
      </c>
    </row>
    <row r="26" spans="2:18" ht="16.5" x14ac:dyDescent="0.3">
      <c r="B26" s="32"/>
      <c r="C26" s="32"/>
      <c r="D26" s="32"/>
      <c r="E26" s="80">
        <v>11219</v>
      </c>
      <c r="F26" s="81" t="s">
        <v>182</v>
      </c>
      <c r="G26" s="53" t="s">
        <v>6</v>
      </c>
      <c r="H26" s="41">
        <v>0</v>
      </c>
      <c r="I26" s="41">
        <v>1490</v>
      </c>
      <c r="J26" s="32"/>
      <c r="K26" s="80">
        <v>11262</v>
      </c>
      <c r="L26" s="95" t="s">
        <v>129</v>
      </c>
      <c r="M26" s="46" t="s">
        <v>151</v>
      </c>
    </row>
    <row r="27" spans="2:18" ht="16.5" x14ac:dyDescent="0.3">
      <c r="B27" s="32"/>
      <c r="C27" s="32"/>
      <c r="D27" s="32"/>
      <c r="E27" s="80">
        <v>11229</v>
      </c>
      <c r="F27" s="81" t="s">
        <v>183</v>
      </c>
      <c r="G27" s="53" t="s">
        <v>8</v>
      </c>
      <c r="H27" s="41">
        <v>0</v>
      </c>
      <c r="I27" s="41">
        <v>49</v>
      </c>
      <c r="J27" s="32"/>
      <c r="K27" s="80">
        <v>11299</v>
      </c>
      <c r="L27" s="95" t="s">
        <v>129</v>
      </c>
      <c r="M27" s="46" t="s">
        <v>151</v>
      </c>
    </row>
    <row r="28" spans="2:18" ht="16.5" x14ac:dyDescent="0.3">
      <c r="B28" s="32"/>
      <c r="C28" s="32"/>
      <c r="D28" s="32"/>
      <c r="E28" s="80">
        <v>11312</v>
      </c>
      <c r="F28" s="81" t="s">
        <v>181</v>
      </c>
      <c r="G28" s="53" t="s">
        <v>10</v>
      </c>
      <c r="H28" s="41">
        <v>0</v>
      </c>
      <c r="I28" s="41">
        <v>50</v>
      </c>
      <c r="J28" s="32"/>
      <c r="K28" s="80">
        <v>11312</v>
      </c>
      <c r="L28" s="95" t="s">
        <v>129</v>
      </c>
      <c r="M28" s="46" t="s">
        <v>151</v>
      </c>
    </row>
    <row r="29" spans="2:18" ht="16.5" x14ac:dyDescent="0.3">
      <c r="B29" s="32"/>
      <c r="C29" s="32"/>
      <c r="D29" s="32"/>
      <c r="E29" s="80">
        <v>11312</v>
      </c>
      <c r="F29" s="81" t="s">
        <v>181</v>
      </c>
      <c r="G29" s="54"/>
      <c r="H29" s="41">
        <v>0</v>
      </c>
      <c r="I29" s="41">
        <v>100</v>
      </c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10085</v>
      </c>
      <c r="F35" s="81" t="s">
        <v>185</v>
      </c>
      <c r="G35" s="54" t="s">
        <v>10</v>
      </c>
      <c r="H35" s="41">
        <v>100</v>
      </c>
      <c r="I35" s="41" t="s">
        <v>55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>
        <v>11163</v>
      </c>
      <c r="F36" s="81" t="s">
        <v>184</v>
      </c>
      <c r="G36" s="54" t="s">
        <v>10</v>
      </c>
      <c r="H36" s="41">
        <v>262.5</v>
      </c>
      <c r="I36" s="41" t="s">
        <v>78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8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view="pageBreakPreview" topLeftCell="B1" zoomScale="60" zoomScaleNormal="9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'04'!B1+1</f>
        <v>45843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9147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8873</v>
      </c>
      <c r="D6" s="32"/>
      <c r="E6" s="80">
        <v>11328</v>
      </c>
      <c r="F6" s="81" t="s">
        <v>188</v>
      </c>
      <c r="G6" s="53" t="s">
        <v>36</v>
      </c>
      <c r="H6" s="41"/>
      <c r="I6" s="41"/>
      <c r="J6" s="32"/>
      <c r="K6" s="81" t="s">
        <v>199</v>
      </c>
      <c r="L6" s="95" t="s">
        <v>6</v>
      </c>
      <c r="M6" s="46">
        <v>10</v>
      </c>
      <c r="R6" s="1">
        <f>IF(vend5[[#This Row],[Nº Venda]]&gt;1,1,0)</f>
        <v>1</v>
      </c>
    </row>
    <row r="7" spans="2:18" ht="16.5" x14ac:dyDescent="0.3">
      <c r="B7" s="30" t="s">
        <v>3</v>
      </c>
      <c r="C7" s="31">
        <f>SUM(M6:M11)</f>
        <v>63.64</v>
      </c>
      <c r="D7" s="32"/>
      <c r="E7" s="80">
        <v>11329</v>
      </c>
      <c r="F7" s="81" t="s">
        <v>189</v>
      </c>
      <c r="G7" s="53" t="s">
        <v>10</v>
      </c>
      <c r="H7" s="41">
        <v>1250</v>
      </c>
      <c r="I7" s="41">
        <v>500</v>
      </c>
      <c r="J7" s="32"/>
      <c r="K7" s="81" t="s">
        <v>200</v>
      </c>
      <c r="L7" s="95" t="s">
        <v>6</v>
      </c>
      <c r="M7" s="46">
        <v>50</v>
      </c>
      <c r="R7" s="1">
        <f>IF(vend5[[#This Row],[Nº Venda]]&gt;1,1,0)</f>
        <v>1</v>
      </c>
    </row>
    <row r="8" spans="2:18" ht="16.5" x14ac:dyDescent="0.3">
      <c r="B8" s="33" t="s">
        <v>21</v>
      </c>
      <c r="C8" s="34">
        <f>SUM(C6:C7)</f>
        <v>8936.64</v>
      </c>
      <c r="D8" s="32"/>
      <c r="E8" s="80">
        <v>11330</v>
      </c>
      <c r="F8" s="81" t="s">
        <v>188</v>
      </c>
      <c r="G8" s="53" t="s">
        <v>46</v>
      </c>
      <c r="H8" s="41">
        <v>400</v>
      </c>
      <c r="I8" s="41"/>
      <c r="J8" s="32"/>
      <c r="K8" s="81" t="s">
        <v>145</v>
      </c>
      <c r="L8" s="95" t="s">
        <v>10</v>
      </c>
      <c r="M8" s="46">
        <v>3.64</v>
      </c>
      <c r="R8" s="1">
        <f>IF(vend5[[#This Row],[Nº Venda]]&gt;1,1,0)</f>
        <v>1</v>
      </c>
    </row>
    <row r="9" spans="2:18" ht="16.5" x14ac:dyDescent="0.3">
      <c r="B9" s="29"/>
      <c r="C9" s="29"/>
      <c r="D9" s="32"/>
      <c r="E9" s="80">
        <v>11331</v>
      </c>
      <c r="F9" s="81" t="s">
        <v>190</v>
      </c>
      <c r="G9" s="53" t="s">
        <v>8</v>
      </c>
      <c r="H9" s="41">
        <v>599</v>
      </c>
      <c r="I9" s="41">
        <v>599</v>
      </c>
      <c r="J9" s="32"/>
      <c r="K9" s="81"/>
      <c r="L9" s="95"/>
      <c r="M9" s="46"/>
      <c r="R9" s="1">
        <f>IF(vend5[[#This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11332</v>
      </c>
      <c r="F10" s="81" t="s">
        <v>191</v>
      </c>
      <c r="G10" s="53" t="s">
        <v>8</v>
      </c>
      <c r="H10" s="41">
        <v>1499</v>
      </c>
      <c r="I10" s="41">
        <v>1499</v>
      </c>
      <c r="J10" s="32"/>
      <c r="K10" s="81"/>
      <c r="L10" s="95"/>
      <c r="M10" s="46"/>
      <c r="R10" s="1">
        <f>IF(vend5[[#This Row],[Nº Venda]]&gt;1,1,0)</f>
        <v>1</v>
      </c>
    </row>
    <row r="11" spans="2:18" ht="16.5" x14ac:dyDescent="0.3">
      <c r="B11" s="30" t="s">
        <v>6</v>
      </c>
      <c r="C11" s="74">
        <f>(SUMIF($G$2:$G$31,B11,$I$2:$I$31))+(SUMIF($G$35:$G$41,B11,$H$35:$H$41))</f>
        <v>305</v>
      </c>
      <c r="D11" s="32"/>
      <c r="E11" s="80">
        <v>11333</v>
      </c>
      <c r="F11" s="81" t="s">
        <v>191</v>
      </c>
      <c r="G11" s="53" t="s">
        <v>46</v>
      </c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IF(vend5[[#This Row],[Nº Venda]]&gt;1,1,0)</f>
        <v>1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740</v>
      </c>
      <c r="D12" s="32"/>
      <c r="E12" s="80">
        <v>11334</v>
      </c>
      <c r="F12" s="81" t="s">
        <v>194</v>
      </c>
      <c r="G12" s="54" t="s">
        <v>8</v>
      </c>
      <c r="H12" s="41">
        <v>990</v>
      </c>
      <c r="I12" s="41">
        <v>990</v>
      </c>
      <c r="J12" s="32"/>
      <c r="K12" s="35"/>
      <c r="L12" s="35"/>
      <c r="M12" s="35"/>
      <c r="R12" s="1">
        <f>IF(vend5[[#This Row],[Nº Venda]]&gt;1,1,0)</f>
        <v>1</v>
      </c>
    </row>
    <row r="13" spans="2:18" ht="16.5" x14ac:dyDescent="0.3">
      <c r="B13" s="30" t="s">
        <v>8</v>
      </c>
      <c r="C13" s="74">
        <f t="shared" si="0"/>
        <v>7328</v>
      </c>
      <c r="D13" s="32"/>
      <c r="E13" s="80">
        <v>11335</v>
      </c>
      <c r="F13" s="81" t="s">
        <v>192</v>
      </c>
      <c r="G13" s="54" t="s">
        <v>8</v>
      </c>
      <c r="H13" s="41">
        <v>1790</v>
      </c>
      <c r="I13" s="41">
        <v>1790</v>
      </c>
      <c r="J13" s="32"/>
      <c r="K13" s="107" t="s">
        <v>142</v>
      </c>
      <c r="L13" s="108"/>
      <c r="M13" s="109"/>
      <c r="R13" s="1">
        <f>IF(vend5[[#This Row],[Nº Venda]]&gt;1,1,0)</f>
        <v>1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>
        <v>11337</v>
      </c>
      <c r="F14" s="81" t="s">
        <v>195</v>
      </c>
      <c r="G14" s="54" t="s">
        <v>7</v>
      </c>
      <c r="H14" s="41">
        <v>1000</v>
      </c>
      <c r="I14" s="41">
        <v>500</v>
      </c>
      <c r="J14" s="32"/>
      <c r="K14" s="24" t="s">
        <v>22</v>
      </c>
      <c r="L14" s="25" t="s">
        <v>23</v>
      </c>
      <c r="M14" s="26" t="s">
        <v>24</v>
      </c>
      <c r="R14" s="1">
        <f>IF(vend5[[#This Row],[Nº Venda]]&gt;1,1,0)</f>
        <v>1</v>
      </c>
    </row>
    <row r="15" spans="2:18" ht="16.5" x14ac:dyDescent="0.3">
      <c r="B15" s="30" t="s">
        <v>10</v>
      </c>
      <c r="C15" s="74">
        <f t="shared" si="0"/>
        <v>500</v>
      </c>
      <c r="D15" s="32"/>
      <c r="E15" s="80">
        <v>11338</v>
      </c>
      <c r="F15" s="81" t="s">
        <v>196</v>
      </c>
      <c r="G15" s="54" t="s">
        <v>7</v>
      </c>
      <c r="H15" s="41">
        <v>399</v>
      </c>
      <c r="I15" s="41">
        <v>100</v>
      </c>
      <c r="J15" s="32"/>
      <c r="K15" s="80">
        <v>11237</v>
      </c>
      <c r="L15" s="95" t="s">
        <v>131</v>
      </c>
      <c r="M15" s="46" t="s">
        <v>151</v>
      </c>
      <c r="N15" s="6"/>
      <c r="R15" s="1">
        <f>IF(vend5[[#This Row],[Nº Venda]]&gt;1,1,0)</f>
        <v>1</v>
      </c>
    </row>
    <row r="16" spans="2:18" ht="16.5" x14ac:dyDescent="0.3">
      <c r="B16" s="33" t="s">
        <v>11</v>
      </c>
      <c r="C16" s="75">
        <f>SUM(C11:C15)</f>
        <v>8873</v>
      </c>
      <c r="D16" s="32"/>
      <c r="E16" s="80">
        <v>11339</v>
      </c>
      <c r="F16" s="81" t="s">
        <v>198</v>
      </c>
      <c r="G16" s="54" t="s">
        <v>8</v>
      </c>
      <c r="H16" s="41">
        <v>450</v>
      </c>
      <c r="I16" s="41">
        <v>450</v>
      </c>
      <c r="J16" s="32"/>
      <c r="K16" s="80">
        <v>11253</v>
      </c>
      <c r="L16" s="95" t="s">
        <v>131</v>
      </c>
      <c r="M16" s="46" t="s">
        <v>151</v>
      </c>
      <c r="N16" s="6"/>
      <c r="R16" s="1">
        <f>IF(vend5[[#This Row],[Nº Venda]]&gt;1,1,0)</f>
        <v>1</v>
      </c>
    </row>
    <row r="17" spans="2:18" ht="16.5" x14ac:dyDescent="0.3">
      <c r="B17" s="29"/>
      <c r="C17" s="29"/>
      <c r="D17" s="32"/>
      <c r="E17" s="80">
        <v>11340</v>
      </c>
      <c r="F17" s="81" t="s">
        <v>188</v>
      </c>
      <c r="G17" s="54" t="s">
        <v>8</v>
      </c>
      <c r="H17" s="41">
        <v>1150</v>
      </c>
      <c r="I17" s="41">
        <v>1150</v>
      </c>
      <c r="J17" s="32"/>
      <c r="K17" s="80">
        <v>11261</v>
      </c>
      <c r="L17" s="95" t="s">
        <v>129</v>
      </c>
      <c r="M17" s="46" t="s">
        <v>193</v>
      </c>
      <c r="R17" s="1">
        <f>IF(vend5[[#This Row],[Nº Venda]]&gt;1,1,0)</f>
        <v>1</v>
      </c>
    </row>
    <row r="18" spans="2:18" ht="16.5" x14ac:dyDescent="0.3">
      <c r="B18" s="114" t="s">
        <v>12</v>
      </c>
      <c r="C18" s="115"/>
      <c r="D18" s="32"/>
      <c r="E18" s="80">
        <v>11341</v>
      </c>
      <c r="F18" s="81" t="s">
        <v>188</v>
      </c>
      <c r="G18" s="54" t="s">
        <v>46</v>
      </c>
      <c r="H18" s="41"/>
      <c r="I18" s="41"/>
      <c r="J18" s="32"/>
      <c r="K18" s="80">
        <v>11271</v>
      </c>
      <c r="L18" s="95" t="s">
        <v>131</v>
      </c>
      <c r="M18" s="46" t="s">
        <v>151</v>
      </c>
      <c r="R18" s="1">
        <f>IF(vend5[[#This Row],[Nº Venda]]&gt;1,1,0)</f>
        <v>1</v>
      </c>
    </row>
    <row r="19" spans="2:18" ht="16.5" x14ac:dyDescent="0.3">
      <c r="B19" s="30">
        <f>COUNT(entr_carn5[OS])</f>
        <v>0</v>
      </c>
      <c r="C19" s="74">
        <f>SUM(entr_carn5[Valor Total])</f>
        <v>0</v>
      </c>
      <c r="D19" s="32"/>
      <c r="E19" s="80"/>
      <c r="F19" s="81"/>
      <c r="G19" s="54"/>
      <c r="H19" s="41"/>
      <c r="I19" s="41"/>
      <c r="J19" s="32"/>
      <c r="K19" s="80">
        <v>11288</v>
      </c>
      <c r="L19" s="95" t="s">
        <v>129</v>
      </c>
      <c r="M19" s="46" t="s">
        <v>193</v>
      </c>
      <c r="R19" s="1">
        <f>IF(vend5[[#This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>
        <v>11322</v>
      </c>
      <c r="L20" s="95" t="s">
        <v>129</v>
      </c>
      <c r="M20" s="46" t="s">
        <v>151</v>
      </c>
      <c r="R20" s="1">
        <f>IF(vend5[[#This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9147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>
        <v>11237</v>
      </c>
      <c r="F26" s="81" t="s">
        <v>203</v>
      </c>
      <c r="G26" s="53" t="s">
        <v>8</v>
      </c>
      <c r="H26" s="41"/>
      <c r="I26" s="41">
        <v>330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>
        <v>11237</v>
      </c>
      <c r="F27" s="81" t="s">
        <v>203</v>
      </c>
      <c r="G27" s="54" t="s">
        <v>8</v>
      </c>
      <c r="H27" s="41"/>
      <c r="I27" s="41">
        <v>500</v>
      </c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>
        <v>11237</v>
      </c>
      <c r="F28" s="54" t="s">
        <v>203</v>
      </c>
      <c r="G28" s="54" t="s">
        <v>6</v>
      </c>
      <c r="H28" s="41"/>
      <c r="I28" s="41">
        <v>260</v>
      </c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>
        <v>11322</v>
      </c>
      <c r="F29" s="81" t="s">
        <v>178</v>
      </c>
      <c r="G29" s="53" t="s">
        <v>8</v>
      </c>
      <c r="H29" s="41">
        <v>20</v>
      </c>
      <c r="I29" s="41">
        <v>20</v>
      </c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>
        <v>11327</v>
      </c>
      <c r="F30" s="81" t="s">
        <v>197</v>
      </c>
      <c r="G30" s="53" t="s">
        <v>6</v>
      </c>
      <c r="H30" s="41"/>
      <c r="I30" s="41">
        <v>45</v>
      </c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9886</v>
      </c>
      <c r="F35" s="81" t="s">
        <v>187</v>
      </c>
      <c r="G35" s="54" t="s">
        <v>7</v>
      </c>
      <c r="H35" s="41">
        <v>140</v>
      </c>
      <c r="I35" s="41" t="s">
        <v>96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94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13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N15:N16 M16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ignoredErrors>
    <ignoredError sqref="M17:M19" listDataValidation="1"/>
  </ignoredError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'05'!B1+1</f>
        <v>45844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54"/>
      <c r="G10" s="54"/>
      <c r="H10" s="41"/>
      <c r="I10" s="41"/>
      <c r="J10" s="32"/>
      <c r="K10" s="81"/>
      <c r="L10" s="95"/>
      <c r="M10" s="46"/>
      <c r="R10" s="1">
        <f>IF(vend[[#This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IF(vend[[#This Row],[Nº Venda]]&gt;1,1,0)</f>
        <v>0</v>
      </c>
    </row>
    <row r="19" spans="2:18" ht="16.5" x14ac:dyDescent="0.3">
      <c r="B19" s="30">
        <f>COUNT(entr_carn6[OS])</f>
        <v>0</v>
      </c>
      <c r="C19" s="74">
        <f>SUM(entr_carn6[Valor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55"/>
      <c r="G42" s="55"/>
      <c r="H42" s="56"/>
      <c r="I42" s="56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6"/>
  <sheetViews>
    <sheetView showGridLines="0" view="pageBreakPreview" zoomScale="6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6.42578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103">
        <f>'06'!B1+1</f>
        <v>45845</v>
      </c>
      <c r="C1" s="103"/>
      <c r="L1" s="104" t="s">
        <v>144</v>
      </c>
      <c r="M1" s="104"/>
    </row>
    <row r="2" spans="2:21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  <c r="U4" s="1">
        <v>0</v>
      </c>
    </row>
    <row r="5" spans="2:21" ht="16.5" x14ac:dyDescent="0.3">
      <c r="B5" s="30" t="s">
        <v>1</v>
      </c>
      <c r="C5" s="31">
        <f>SUMIF(I6:I32,"&gt;0",H6:H32)</f>
        <v>3911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1" ht="16.5" x14ac:dyDescent="0.3">
      <c r="B6" s="30" t="s">
        <v>2</v>
      </c>
      <c r="C6" s="31">
        <f>C16</f>
        <v>4512.12</v>
      </c>
      <c r="D6" s="32"/>
      <c r="E6" s="80">
        <v>11342</v>
      </c>
      <c r="F6" s="51" t="s">
        <v>201</v>
      </c>
      <c r="G6" s="51" t="s">
        <v>6</v>
      </c>
      <c r="H6" s="52">
        <v>150</v>
      </c>
      <c r="I6" s="52">
        <v>150</v>
      </c>
      <c r="J6" s="32"/>
      <c r="K6" s="81" t="s">
        <v>145</v>
      </c>
      <c r="L6" s="95" t="s">
        <v>10</v>
      </c>
      <c r="M6" s="46">
        <v>2.67</v>
      </c>
      <c r="R6" s="1">
        <f>IF(vend7[[#This Row],[Nº Venda]]&gt;1,1,0)</f>
        <v>1</v>
      </c>
    </row>
    <row r="7" spans="2:21" ht="16.5" x14ac:dyDescent="0.3">
      <c r="B7" s="30" t="s">
        <v>3</v>
      </c>
      <c r="C7" s="31">
        <f>SUM(M6:M11)</f>
        <v>1114.8600000000001</v>
      </c>
      <c r="D7" s="32"/>
      <c r="E7" s="80">
        <v>11343</v>
      </c>
      <c r="F7" s="53" t="s">
        <v>201</v>
      </c>
      <c r="G7" s="53" t="s">
        <v>6</v>
      </c>
      <c r="H7" s="41">
        <v>40</v>
      </c>
      <c r="I7" s="41">
        <v>40</v>
      </c>
      <c r="J7" s="32"/>
      <c r="K7" s="81" t="s">
        <v>206</v>
      </c>
      <c r="L7" s="95" t="s">
        <v>6</v>
      </c>
      <c r="M7" s="46">
        <v>1100</v>
      </c>
      <c r="R7" s="1">
        <f>IF(vend7[[#This Row],[Nº Venda]]&gt;1,1,0)</f>
        <v>1</v>
      </c>
    </row>
    <row r="8" spans="2:21" ht="16.5" x14ac:dyDescent="0.3">
      <c r="B8" s="33" t="s">
        <v>21</v>
      </c>
      <c r="C8" s="34">
        <f>SUM(C6:C7)</f>
        <v>5626.98</v>
      </c>
      <c r="D8" s="32"/>
      <c r="E8" s="80">
        <v>11344</v>
      </c>
      <c r="F8" s="81" t="s">
        <v>210</v>
      </c>
      <c r="G8" s="54" t="s">
        <v>36</v>
      </c>
      <c r="H8" s="41">
        <v>0</v>
      </c>
      <c r="I8" s="41">
        <v>0</v>
      </c>
      <c r="J8" s="32"/>
      <c r="K8" s="81" t="s">
        <v>207</v>
      </c>
      <c r="L8" s="95" t="s">
        <v>6</v>
      </c>
      <c r="M8" s="46">
        <v>12.19</v>
      </c>
      <c r="R8" s="1">
        <f>IF(vend7[[#This Row],[Nº Venda]]&gt;1,1,0)</f>
        <v>1</v>
      </c>
    </row>
    <row r="9" spans="2:21" ht="16.5" x14ac:dyDescent="0.3">
      <c r="B9" s="29"/>
      <c r="C9" s="29"/>
      <c r="D9" s="32"/>
      <c r="E9" s="80">
        <v>11345</v>
      </c>
      <c r="F9" s="81" t="s">
        <v>211</v>
      </c>
      <c r="G9" s="54" t="s">
        <v>36</v>
      </c>
      <c r="H9" s="41">
        <v>0</v>
      </c>
      <c r="I9" s="41">
        <v>0</v>
      </c>
      <c r="J9" s="32"/>
      <c r="K9" s="81"/>
      <c r="L9" s="95"/>
      <c r="M9" s="46"/>
      <c r="R9" s="1">
        <f>IF(vend7[[#This Row],[Nº Venda]]&gt;1,1,0)</f>
        <v>1</v>
      </c>
    </row>
    <row r="10" spans="2:21" ht="16.5" x14ac:dyDescent="0.3">
      <c r="B10" s="114" t="s">
        <v>5</v>
      </c>
      <c r="C10" s="115"/>
      <c r="D10" s="32"/>
      <c r="E10" s="80">
        <v>11346</v>
      </c>
      <c r="F10" s="81" t="s">
        <v>212</v>
      </c>
      <c r="G10" s="54" t="s">
        <v>6</v>
      </c>
      <c r="H10" s="41">
        <v>1391</v>
      </c>
      <c r="I10" s="41">
        <v>200</v>
      </c>
      <c r="J10" s="32"/>
      <c r="K10" s="81"/>
      <c r="L10" s="95"/>
      <c r="M10" s="46"/>
      <c r="R10" s="1">
        <f>IF(vend7[[#This Row],[Nº Venda]]&gt;1,1,0)</f>
        <v>1</v>
      </c>
    </row>
    <row r="11" spans="2:21" ht="16.5" x14ac:dyDescent="0.3">
      <c r="B11" s="30" t="s">
        <v>6</v>
      </c>
      <c r="C11" s="74">
        <f>(SUMIF($G$2:$G$32,B11,$I$2:$I$32))+(SUMIF($G$36:$G$42,B11,$H$36:$H$42))</f>
        <v>648</v>
      </c>
      <c r="D11" s="32"/>
      <c r="E11" s="80">
        <v>11347</v>
      </c>
      <c r="F11" s="81" t="s">
        <v>213</v>
      </c>
      <c r="G11" s="54" t="s">
        <v>8</v>
      </c>
      <c r="H11" s="41">
        <v>1500</v>
      </c>
      <c r="I11" s="41">
        <v>1500</v>
      </c>
      <c r="J11" s="32"/>
      <c r="K11" s="40"/>
      <c r="L11" s="95"/>
      <c r="M11" s="46"/>
      <c r="O11" s="1">
        <f>IF(C16=0,0,1)</f>
        <v>1</v>
      </c>
      <c r="R11" s="1">
        <f>IF(vend7[[#This Row],[Nº Venda]]&gt;1,1,0)</f>
        <v>1</v>
      </c>
    </row>
    <row r="12" spans="2:21" ht="16.5" x14ac:dyDescent="0.3">
      <c r="B12" s="30" t="s">
        <v>7</v>
      </c>
      <c r="C12" s="74">
        <f>(SUMIF($G$2:$G$32,B12,$I$2:$I$32))+(SUMIF($G$36:$G$42,B12,$H$36:$H$42))</f>
        <v>370</v>
      </c>
      <c r="D12" s="32"/>
      <c r="E12" s="80">
        <v>11348</v>
      </c>
      <c r="F12" s="81" t="s">
        <v>213</v>
      </c>
      <c r="G12" s="54" t="s">
        <v>8</v>
      </c>
      <c r="H12" s="41">
        <v>790</v>
      </c>
      <c r="I12" s="41">
        <v>790</v>
      </c>
      <c r="J12" s="32"/>
      <c r="K12" s="35"/>
      <c r="L12" s="35"/>
      <c r="M12" s="35"/>
      <c r="R12" s="1">
        <f>IF(vend7[[#This Row],[Nº Venda]]&gt;1,1,0)</f>
        <v>1</v>
      </c>
    </row>
    <row r="13" spans="2:21" ht="16.5" x14ac:dyDescent="0.3">
      <c r="B13" s="30" t="s">
        <v>8</v>
      </c>
      <c r="C13" s="74">
        <f>(SUMIF($G$2:$G$32,B13,$I$2:$I$32))+(SUMIF($G$36:$G$42,B13,$H$36:$H$42))</f>
        <v>2890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IF(vend7[[#This Row],[Nº Venda]]&gt;1,1,0)</f>
        <v>0</v>
      </c>
    </row>
    <row r="14" spans="2:21" ht="16.5" x14ac:dyDescent="0.3">
      <c r="B14" s="30" t="s">
        <v>9</v>
      </c>
      <c r="C14" s="74">
        <f>(SUMIF($G$2:$G$32,B14,$I$2:$I$32))+(SUMIF($G$36:$G$42,B14,$H$36:$H$42))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IF(vend7[[#This Row],[Nº Venda]]&gt;1,1,0)</f>
        <v>0</v>
      </c>
    </row>
    <row r="15" spans="2:21" ht="16.5" x14ac:dyDescent="0.3">
      <c r="B15" s="30" t="s">
        <v>10</v>
      </c>
      <c r="C15" s="74">
        <f>(SUMIF($G$2:$G$32,B15,$I$2:$I$32))+(SUMIF($G$36:$G$42,B15,$H$36:$H$42))</f>
        <v>604.12</v>
      </c>
      <c r="D15" s="32"/>
      <c r="E15" s="80"/>
      <c r="F15" s="81"/>
      <c r="G15" s="54"/>
      <c r="H15" s="41"/>
      <c r="I15" s="41"/>
      <c r="J15" s="32"/>
      <c r="K15" s="80">
        <v>10804</v>
      </c>
      <c r="L15" s="95" t="s">
        <v>131</v>
      </c>
      <c r="M15" s="57" t="s">
        <v>151</v>
      </c>
      <c r="R15" s="1">
        <f>IF(vend7[[#This Row],[Nº Venda]]&gt;1,1,0)</f>
        <v>0</v>
      </c>
    </row>
    <row r="16" spans="2:21" ht="16.5" x14ac:dyDescent="0.3">
      <c r="B16" s="33" t="s">
        <v>11</v>
      </c>
      <c r="C16" s="75">
        <f>SUM(C11:C15)</f>
        <v>4512.12</v>
      </c>
      <c r="D16" s="32"/>
      <c r="E16" s="80"/>
      <c r="F16" s="81"/>
      <c r="G16" s="54"/>
      <c r="H16" s="41"/>
      <c r="I16" s="41"/>
      <c r="J16" s="32"/>
      <c r="K16" s="80">
        <v>11135</v>
      </c>
      <c r="L16" s="95" t="s">
        <v>129</v>
      </c>
      <c r="M16" s="46" t="s">
        <v>151</v>
      </c>
      <c r="R16" s="1">
        <f>IF(vend7[[#This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11201</v>
      </c>
      <c r="L17" s="95" t="s">
        <v>131</v>
      </c>
      <c r="M17" s="46" t="s">
        <v>151</v>
      </c>
      <c r="R17" s="1">
        <f>IF(vend7[[#This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11275</v>
      </c>
      <c r="L18" s="95" t="s">
        <v>129</v>
      </c>
      <c r="M18" s="46" t="s">
        <v>151</v>
      </c>
      <c r="R18" s="1">
        <f>IF(vend7[[#This Row],[Nº Venda]]&gt;1,1,0)</f>
        <v>0</v>
      </c>
    </row>
    <row r="19" spans="2:18" ht="16.5" x14ac:dyDescent="0.3">
      <c r="B19" s="30">
        <f>COUNT(entr_carn7[OS])</f>
        <v>0</v>
      </c>
      <c r="C19" s="74">
        <f>SUM(entr_carn7[Valor Total])</f>
        <v>0</v>
      </c>
      <c r="D19" s="32"/>
      <c r="E19" s="80"/>
      <c r="F19" s="81"/>
      <c r="G19" s="54"/>
      <c r="H19" s="41"/>
      <c r="I19" s="41"/>
      <c r="J19" s="32"/>
      <c r="K19" s="80">
        <v>11278</v>
      </c>
      <c r="L19" s="95" t="s">
        <v>129</v>
      </c>
      <c r="M19" s="46" t="s">
        <v>151</v>
      </c>
      <c r="R19" s="1">
        <f>IF(vend7[[#This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>
        <v>11320</v>
      </c>
      <c r="L20" s="95" t="s">
        <v>129</v>
      </c>
      <c r="M20" s="46" t="s">
        <v>151</v>
      </c>
      <c r="R20" s="1">
        <f>IF(vend7[[#This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>
        <v>11342</v>
      </c>
      <c r="L21" s="95" t="s">
        <v>131</v>
      </c>
      <c r="M21" s="46" t="s">
        <v>151</v>
      </c>
    </row>
    <row r="22" spans="2:18" ht="16.5" x14ac:dyDescent="0.3">
      <c r="B22" s="33" t="s">
        <v>25</v>
      </c>
      <c r="C22" s="36">
        <f>C5</f>
        <v>3911</v>
      </c>
      <c r="D22" s="32"/>
      <c r="E22" s="82"/>
      <c r="F22" s="81"/>
      <c r="G22" s="54"/>
      <c r="H22" s="41"/>
      <c r="I22" s="41"/>
      <c r="J22" s="32"/>
      <c r="K22" s="80">
        <v>11343</v>
      </c>
      <c r="L22" s="95" t="s">
        <v>131</v>
      </c>
      <c r="M22" s="46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>
        <v>10804</v>
      </c>
      <c r="F26" s="85" t="s">
        <v>209</v>
      </c>
      <c r="G26" s="84" t="s">
        <v>10</v>
      </c>
      <c r="H26" s="52">
        <v>0</v>
      </c>
      <c r="I26" s="52">
        <v>300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>
        <v>11201</v>
      </c>
      <c r="F27" s="81" t="s">
        <v>208</v>
      </c>
      <c r="G27" s="53" t="s">
        <v>6</v>
      </c>
      <c r="H27" s="41">
        <v>0</v>
      </c>
      <c r="I27" s="41">
        <v>139</v>
      </c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>
        <v>11270</v>
      </c>
      <c r="F28" s="81" t="s">
        <v>214</v>
      </c>
      <c r="G28" s="54" t="s">
        <v>6</v>
      </c>
      <c r="H28" s="41">
        <v>0</v>
      </c>
      <c r="I28" s="41">
        <v>110</v>
      </c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>
        <v>11270</v>
      </c>
      <c r="F29" s="54" t="s">
        <v>214</v>
      </c>
      <c r="G29" s="54" t="s">
        <v>7</v>
      </c>
      <c r="H29" s="41">
        <v>0</v>
      </c>
      <c r="I29" s="41">
        <v>80</v>
      </c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>
        <v>11270</v>
      </c>
      <c r="F30" s="81" t="s">
        <v>214</v>
      </c>
      <c r="G30" s="54" t="s">
        <v>8</v>
      </c>
      <c r="H30" s="41">
        <v>0</v>
      </c>
      <c r="I30" s="41">
        <v>600</v>
      </c>
      <c r="J30" s="32"/>
      <c r="K30" s="80"/>
      <c r="L30" s="95"/>
      <c r="M30" s="46"/>
    </row>
    <row r="31" spans="2:18" ht="16.5" x14ac:dyDescent="0.3">
      <c r="B31" s="32"/>
      <c r="C31" s="32"/>
      <c r="D31" s="32"/>
      <c r="E31" s="80">
        <v>11271</v>
      </c>
      <c r="F31" s="54" t="s">
        <v>214</v>
      </c>
      <c r="G31" s="54" t="s">
        <v>6</v>
      </c>
      <c r="H31" s="41">
        <v>0</v>
      </c>
      <c r="I31" s="41">
        <v>9</v>
      </c>
      <c r="J31" s="32"/>
      <c r="K31" s="80"/>
      <c r="L31" s="95"/>
      <c r="M31" s="46"/>
    </row>
    <row r="32" spans="2:18" ht="16.5" x14ac:dyDescent="0.3">
      <c r="B32" s="32"/>
      <c r="C32" s="32"/>
      <c r="D32" s="40"/>
      <c r="E32" s="82">
        <v>11278</v>
      </c>
      <c r="F32" s="83" t="s">
        <v>209</v>
      </c>
      <c r="G32" s="44" t="s">
        <v>10</v>
      </c>
      <c r="H32" s="45">
        <v>40</v>
      </c>
      <c r="I32" s="45">
        <v>40</v>
      </c>
      <c r="J32" s="40"/>
      <c r="K32" s="35"/>
      <c r="L32" s="35"/>
      <c r="M32" s="35"/>
    </row>
    <row r="33" spans="2:18" ht="16.5" x14ac:dyDescent="0.3">
      <c r="B33" s="32"/>
      <c r="C33" s="32"/>
      <c r="D33" s="40"/>
      <c r="E33" s="37"/>
      <c r="F33" s="37"/>
      <c r="G33" s="37"/>
      <c r="H33" s="39"/>
      <c r="I33" s="39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05" t="s">
        <v>140</v>
      </c>
      <c r="F34" s="106"/>
      <c r="G34" s="106"/>
      <c r="H34" s="106"/>
      <c r="I34" s="106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3">
      <c r="B35" s="40"/>
      <c r="C35" s="40"/>
      <c r="D35" s="40"/>
      <c r="E35" s="17" t="s">
        <v>22</v>
      </c>
      <c r="F35" s="16" t="s">
        <v>15</v>
      </c>
      <c r="G35" s="17" t="s">
        <v>16</v>
      </c>
      <c r="H35" s="18" t="s">
        <v>26</v>
      </c>
      <c r="I35" s="18" t="s">
        <v>27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>
        <v>10058</v>
      </c>
      <c r="F36" s="81" t="s">
        <v>205</v>
      </c>
      <c r="G36" s="54" t="s">
        <v>7</v>
      </c>
      <c r="H36" s="41">
        <v>290</v>
      </c>
      <c r="I36" s="41" t="s">
        <v>95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2">
        <v>10495</v>
      </c>
      <c r="F37" s="81" t="s">
        <v>202</v>
      </c>
      <c r="G37" s="54" t="s">
        <v>10</v>
      </c>
      <c r="H37" s="41">
        <v>124.12</v>
      </c>
      <c r="I37" s="41" t="s">
        <v>34</v>
      </c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8">
        <v>10915</v>
      </c>
      <c r="F38" s="81" t="s">
        <v>204</v>
      </c>
      <c r="G38" s="54" t="s">
        <v>10</v>
      </c>
      <c r="H38" s="41">
        <v>140</v>
      </c>
      <c r="I38" s="41" t="s">
        <v>51</v>
      </c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81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0"/>
      <c r="F40" s="54"/>
      <c r="G40" s="54"/>
      <c r="H40" s="41"/>
      <c r="I40" s="41"/>
      <c r="J40" s="40"/>
      <c r="K40" s="82"/>
      <c r="L40" s="82"/>
      <c r="M40" s="96"/>
      <c r="Q40" s="1" t="s">
        <v>33</v>
      </c>
      <c r="R40" s="1">
        <f>SUM(R6:R21)</f>
        <v>7</v>
      </c>
    </row>
    <row r="41" spans="2:18" ht="16.5" customHeight="1" x14ac:dyDescent="0.25">
      <c r="B41" s="40"/>
      <c r="C41" s="40"/>
      <c r="D41" s="40"/>
      <c r="E41" s="82"/>
      <c r="F41" s="83"/>
      <c r="G41" s="44"/>
      <c r="H41" s="45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86"/>
      <c r="F42" s="54"/>
      <c r="G42" s="54"/>
      <c r="H42" s="41"/>
      <c r="I42" s="41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  <row r="46" spans="2:18" ht="13.5" x14ac:dyDescent="0.25">
      <c r="E46" s="37"/>
      <c r="F46" s="37"/>
      <c r="G46" s="37"/>
      <c r="H46" s="39"/>
      <c r="I46" s="39"/>
    </row>
  </sheetData>
  <mergeCells count="11">
    <mergeCell ref="B1:C1"/>
    <mergeCell ref="L1:M1"/>
    <mergeCell ref="E34:I34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G36:G42 G26:G32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I36:I42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E36:E42 K35:K41 K15:K31 E26:E32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8"/>
  <sheetViews>
    <sheetView showGridLines="0" topLeftCell="A9" zoomScale="90" zoomScaleNormal="90" workbookViewId="0">
      <selection activeCell="E1" sqref="E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'07'!B1+1</f>
        <v>45846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1987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2025.34</v>
      </c>
      <c r="D6" s="32"/>
      <c r="E6" s="80">
        <v>11349</v>
      </c>
      <c r="F6" s="41" t="s">
        <v>215</v>
      </c>
      <c r="G6" s="41" t="s">
        <v>7</v>
      </c>
      <c r="H6" s="41">
        <v>490</v>
      </c>
      <c r="I6" s="41">
        <v>100</v>
      </c>
      <c r="J6" s="32"/>
      <c r="K6" s="81" t="s">
        <v>145</v>
      </c>
      <c r="L6" s="95" t="s">
        <v>10</v>
      </c>
      <c r="M6" s="46">
        <v>2.75</v>
      </c>
      <c r="R6" s="1">
        <f>IF(vend8[[#This Row],[Nº Venda]]&gt;1,1,0)</f>
        <v>1</v>
      </c>
    </row>
    <row r="7" spans="2:18" ht="16.5" x14ac:dyDescent="0.3">
      <c r="B7" s="30" t="s">
        <v>3</v>
      </c>
      <c r="C7" s="31">
        <f>SUM(M6:M11)</f>
        <v>2.75</v>
      </c>
      <c r="D7" s="32"/>
      <c r="E7" s="80">
        <v>11350</v>
      </c>
      <c r="F7" s="41" t="s">
        <v>216</v>
      </c>
      <c r="G7" s="41" t="s">
        <v>8</v>
      </c>
      <c r="H7" s="41">
        <v>299</v>
      </c>
      <c r="I7" s="41">
        <v>299</v>
      </c>
      <c r="J7" s="32"/>
      <c r="K7" s="81"/>
      <c r="L7" s="95"/>
      <c r="M7" s="46"/>
      <c r="R7" s="1">
        <f>IF(vend8[[#This Row],[Nº Venda]]&gt;1,1,0)</f>
        <v>1</v>
      </c>
    </row>
    <row r="8" spans="2:18" ht="16.5" x14ac:dyDescent="0.3">
      <c r="B8" s="33" t="s">
        <v>21</v>
      </c>
      <c r="C8" s="34">
        <f>SUM(C6:C7)</f>
        <v>2028.09</v>
      </c>
      <c r="D8" s="32"/>
      <c r="E8" s="80">
        <v>11351</v>
      </c>
      <c r="F8" s="41" t="s">
        <v>226</v>
      </c>
      <c r="G8" s="41" t="s">
        <v>46</v>
      </c>
      <c r="H8" s="41"/>
      <c r="I8" s="41"/>
      <c r="J8" s="32"/>
      <c r="K8" s="81"/>
      <c r="L8" s="95"/>
      <c r="M8" s="46"/>
      <c r="R8" s="1">
        <f>IF(vend8[[#This Row],[Nº Venda]]&gt;1,1,0)</f>
        <v>1</v>
      </c>
    </row>
    <row r="9" spans="2:18" ht="16.5" x14ac:dyDescent="0.3">
      <c r="B9" s="29"/>
      <c r="C9" s="29"/>
      <c r="D9" s="32"/>
      <c r="E9" s="80">
        <v>11352</v>
      </c>
      <c r="F9" s="41" t="s">
        <v>227</v>
      </c>
      <c r="G9" s="41" t="s">
        <v>6</v>
      </c>
      <c r="H9" s="41">
        <v>399</v>
      </c>
      <c r="I9" s="41">
        <v>5</v>
      </c>
      <c r="J9" s="32"/>
      <c r="K9" s="81"/>
      <c r="L9" s="95"/>
      <c r="M9" s="46"/>
      <c r="R9" s="1">
        <f>IF(vend8[[#This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11353</v>
      </c>
      <c r="F10" s="81" t="s">
        <v>227</v>
      </c>
      <c r="G10" s="54" t="s">
        <v>6</v>
      </c>
      <c r="H10" s="41">
        <v>799</v>
      </c>
      <c r="I10" s="41">
        <v>5</v>
      </c>
      <c r="J10" s="32"/>
      <c r="K10" s="81"/>
      <c r="L10" s="95"/>
      <c r="M10" s="46"/>
      <c r="R10" s="1">
        <f>IF(vend8[[#This Row],[Nº Venda]]&gt;1,1,0)</f>
        <v>1</v>
      </c>
    </row>
    <row r="11" spans="2:18" ht="16.5" x14ac:dyDescent="0.3">
      <c r="B11" s="30" t="s">
        <v>6</v>
      </c>
      <c r="C11" s="76">
        <f>(SUMIF($G$2:$G$31,B11,$I$2:$I$31))+(SUMIF($G$35:$G$45,B11,$H$35:$H$45))</f>
        <v>10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IF(vend8[[#This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(SUMIF($G$2:$G$31,B12,$I$2:$I$31))+(SUMIF($G$35:$G$45,B12,$H$35:$H$45))</f>
        <v>169.75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IF(vend8[[#This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(SUMIF($G$2:$G$31,B13,$I$2:$I$31))+(SUMIF($G$35:$G$45,B13,$H$35:$H$45))</f>
        <v>299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IF(vend8[[#This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(SUMIF($G$2:$G$31,B14,$I$2:$I$31))+(SUMIF($G$35:$G$45,B14,$H$35:$H$45))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IF(vend8[[#This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(SUMIF($G$2:$G$31,B15,$I$2:$I$31))+(SUMIF($G$35:$G$45,B15,$H$35:$H$45))</f>
        <v>1546.59</v>
      </c>
      <c r="D15" s="32"/>
      <c r="E15" s="80"/>
      <c r="F15" s="81"/>
      <c r="G15" s="54"/>
      <c r="H15" s="41"/>
      <c r="I15" s="41"/>
      <c r="J15" s="32"/>
      <c r="K15" s="80">
        <v>11246</v>
      </c>
      <c r="L15" s="95" t="s">
        <v>131</v>
      </c>
      <c r="M15" s="46" t="s">
        <v>151</v>
      </c>
      <c r="R15" s="1">
        <f>IF(vend8[[#This Row],[Nº Venda]]&gt;1,1,0)</f>
        <v>0</v>
      </c>
    </row>
    <row r="16" spans="2:18" ht="16.5" x14ac:dyDescent="0.3">
      <c r="B16" s="33" t="s">
        <v>11</v>
      </c>
      <c r="C16" s="75">
        <f>SUM(C11:C15)</f>
        <v>2025.34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IF(vend8[[#This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IF(vend8[[#This Row],[Nº Venda]]&gt;1,1,0)</f>
        <v>0</v>
      </c>
    </row>
    <row r="19" spans="2:18" ht="16.5" x14ac:dyDescent="0.3">
      <c r="B19" s="30">
        <f>COUNT(entr_carn8[OS])</f>
        <v>0</v>
      </c>
      <c r="C19" s="74">
        <f>SUM(entr_carn8[Valor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1987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4"/>
      <c r="G26" s="84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3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10442</v>
      </c>
      <c r="F35" s="81" t="s">
        <v>217</v>
      </c>
      <c r="G35" s="54" t="s">
        <v>10</v>
      </c>
      <c r="H35" s="41">
        <v>125.5</v>
      </c>
      <c r="I35" s="41" t="s">
        <v>93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>
        <v>9980</v>
      </c>
      <c r="F36" s="81" t="s">
        <v>218</v>
      </c>
      <c r="G36" s="54" t="s">
        <v>10</v>
      </c>
      <c r="H36" s="41">
        <v>100</v>
      </c>
      <c r="I36" s="41" t="s">
        <v>57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>
        <v>7110</v>
      </c>
      <c r="F37" s="81" t="s">
        <v>219</v>
      </c>
      <c r="G37" s="54" t="s">
        <v>10</v>
      </c>
      <c r="H37" s="41">
        <v>161</v>
      </c>
      <c r="I37" s="41" t="s">
        <v>95</v>
      </c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>
        <v>10105</v>
      </c>
      <c r="F38" s="81" t="s">
        <v>220</v>
      </c>
      <c r="G38" s="54" t="s">
        <v>10</v>
      </c>
      <c r="H38" s="41">
        <v>350</v>
      </c>
      <c r="I38" s="41" t="s">
        <v>96</v>
      </c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>
        <v>11141</v>
      </c>
      <c r="F39" s="54" t="s">
        <v>221</v>
      </c>
      <c r="G39" s="54" t="s">
        <v>10</v>
      </c>
      <c r="H39" s="41">
        <v>230</v>
      </c>
      <c r="I39" s="41" t="s">
        <v>32</v>
      </c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>
        <v>11004</v>
      </c>
      <c r="F40" s="83" t="s">
        <v>222</v>
      </c>
      <c r="G40" s="44" t="s">
        <v>10</v>
      </c>
      <c r="H40" s="45">
        <v>119.99</v>
      </c>
      <c r="I40" s="41" t="s">
        <v>30</v>
      </c>
      <c r="J40" s="40"/>
      <c r="K40" s="82"/>
      <c r="L40" s="82"/>
      <c r="M40" s="96"/>
      <c r="Q40" s="1" t="s">
        <v>33</v>
      </c>
      <c r="R40" s="1">
        <f>SUM(R6:R21)</f>
        <v>5</v>
      </c>
    </row>
    <row r="41" spans="2:18" ht="16.5" customHeight="1" x14ac:dyDescent="0.25">
      <c r="B41" s="40"/>
      <c r="C41" s="40"/>
      <c r="D41" s="40"/>
      <c r="E41" s="88">
        <v>11003</v>
      </c>
      <c r="F41" s="54" t="s">
        <v>223</v>
      </c>
      <c r="G41" s="54" t="s">
        <v>10</v>
      </c>
      <c r="H41" s="41">
        <v>102.85</v>
      </c>
      <c r="I41" s="41" t="s">
        <v>51</v>
      </c>
      <c r="J41" s="40"/>
      <c r="K41" s="80"/>
      <c r="L41" s="80"/>
      <c r="M41" s="96"/>
    </row>
    <row r="42" spans="2:18" ht="17.25" x14ac:dyDescent="0.3">
      <c r="B42" s="40"/>
      <c r="C42" s="40"/>
      <c r="D42" s="40"/>
      <c r="E42" s="97">
        <v>11151</v>
      </c>
      <c r="F42" s="20" t="s">
        <v>224</v>
      </c>
      <c r="G42" s="20" t="s">
        <v>10</v>
      </c>
      <c r="H42" s="21">
        <v>100</v>
      </c>
      <c r="I42" s="21" t="s">
        <v>78</v>
      </c>
      <c r="J42" s="40"/>
      <c r="K42" s="35"/>
      <c r="L42" s="35"/>
      <c r="M42" s="35"/>
    </row>
    <row r="43" spans="2:18" ht="17.25" x14ac:dyDescent="0.3">
      <c r="B43" s="40"/>
      <c r="C43" s="40"/>
      <c r="D43" s="40"/>
      <c r="E43" s="97">
        <v>11075</v>
      </c>
      <c r="F43" s="20" t="s">
        <v>228</v>
      </c>
      <c r="G43" s="20" t="s">
        <v>10</v>
      </c>
      <c r="H43" s="21">
        <v>101</v>
      </c>
      <c r="I43" s="21" t="s">
        <v>48</v>
      </c>
      <c r="J43" s="40"/>
      <c r="K43" s="35"/>
      <c r="L43" s="35"/>
      <c r="M43" s="35"/>
    </row>
    <row r="44" spans="2:18" ht="17.25" x14ac:dyDescent="0.3">
      <c r="B44" s="40"/>
      <c r="C44" s="40"/>
      <c r="D44" s="40"/>
      <c r="E44" s="97">
        <v>9936</v>
      </c>
      <c r="F44" s="20" t="s">
        <v>229</v>
      </c>
      <c r="G44" s="20" t="s">
        <v>7</v>
      </c>
      <c r="H44" s="21">
        <v>69.75</v>
      </c>
      <c r="I44" s="21" t="s">
        <v>47</v>
      </c>
      <c r="J44" s="40"/>
      <c r="K44" s="35"/>
      <c r="L44" s="35"/>
      <c r="M44" s="35"/>
    </row>
    <row r="45" spans="2:18" ht="17.25" x14ac:dyDescent="0.3">
      <c r="B45" s="40"/>
      <c r="C45" s="40"/>
      <c r="D45" s="40"/>
      <c r="E45" s="42">
        <v>10202</v>
      </c>
      <c r="F45" s="22" t="s">
        <v>225</v>
      </c>
      <c r="G45" s="22" t="s">
        <v>10</v>
      </c>
      <c r="H45" s="23">
        <v>156.25</v>
      </c>
      <c r="I45" s="23" t="s">
        <v>34</v>
      </c>
      <c r="J45" s="40"/>
      <c r="K45" s="35"/>
      <c r="L45" s="35"/>
      <c r="M45" s="35"/>
    </row>
    <row r="46" spans="2:18" ht="13.5" x14ac:dyDescent="0.25">
      <c r="E46" s="37"/>
      <c r="F46" s="37"/>
      <c r="G46" s="37"/>
      <c r="H46" s="39"/>
      <c r="I46" s="39"/>
    </row>
    <row r="47" spans="2:18" ht="13.5" x14ac:dyDescent="0.25">
      <c r="E47" s="37"/>
      <c r="F47" s="37"/>
      <c r="G47" s="37"/>
      <c r="H47" s="39"/>
      <c r="I47" s="39"/>
    </row>
    <row r="48" spans="2:18" ht="13.5" x14ac:dyDescent="0.25">
      <c r="E48" s="37"/>
      <c r="F48" s="37"/>
      <c r="G48" s="37"/>
      <c r="H48" s="39"/>
      <c r="I48" s="39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G35:G45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K35:K41 K15:K31 E35:E44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zoomScale="90" zoomScaleNormal="90" workbookViewId="0">
      <selection activeCell="E35" sqref="E35: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103">
        <f>'08'!B1+1</f>
        <v>45847</v>
      </c>
      <c r="C1" s="103"/>
      <c r="L1" s="104" t="s">
        <v>144</v>
      </c>
      <c r="M1" s="104"/>
    </row>
    <row r="2" spans="2:22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22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2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IF(vend9[[#This Row],[Nº Venda]]&gt;1,1,0)</f>
        <v>0</v>
      </c>
    </row>
    <row r="7" spans="2:22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IF(vend9[[#This Row],[Nº Venda]]&gt;1,1,0)</f>
        <v>0</v>
      </c>
    </row>
    <row r="8" spans="2:22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IF(vend9[[#This Row],[Nº Venda]]&gt;1,1,0)</f>
        <v>0</v>
      </c>
    </row>
    <row r="9" spans="2:22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IF(vend9[[#This Row],[Nº Venda]]&gt;1,1,0)</f>
        <v>0</v>
      </c>
    </row>
    <row r="10" spans="2:22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IF(vend9[[#This Row],[Nº Venda]]&gt;1,1,0)</f>
        <v>0</v>
      </c>
    </row>
    <row r="11" spans="2:22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IF(vend9[[#This Row],[Nº Venda]]&gt;1,1,0)</f>
        <v>0</v>
      </c>
    </row>
    <row r="12" spans="2:22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IF(vend9[[#This Row],[Nº Venda]]&gt;1,1,0)</f>
        <v>0</v>
      </c>
      <c r="V12" s="1">
        <v>0</v>
      </c>
    </row>
    <row r="13" spans="2:22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IF(vend9[[#This Row],[Nº Venda]]&gt;1,1,0)</f>
        <v>0</v>
      </c>
    </row>
    <row r="14" spans="2:22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IF(vend9[[#This Row],[Nº Venda]]&gt;1,1,0)</f>
        <v>0</v>
      </c>
    </row>
    <row r="15" spans="2:22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IF(vend9[[#This Row],[Nº Venda]]&gt;1,1,0)</f>
        <v>0</v>
      </c>
    </row>
    <row r="16" spans="2:22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IF(vend9[[#This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IF(vend9[[#This Row],[Nº Venda]]&gt;1,1,0)</f>
        <v>0</v>
      </c>
    </row>
    <row r="19" spans="2:18" ht="16.5" x14ac:dyDescent="0.3">
      <c r="B19" s="30">
        <f>COUNT(entr_carn9[OS])</f>
        <v>0</v>
      </c>
      <c r="C19" s="74">
        <f>SUM(entr_carn9[Valor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81"/>
      <c r="G20" s="54"/>
      <c r="H20" s="41"/>
      <c r="I20" s="41"/>
      <c r="J20" s="32"/>
      <c r="K20" s="80"/>
      <c r="L20" s="95"/>
      <c r="M20" s="46"/>
      <c r="R20" s="1">
        <f>IF(vend9[[#This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zoomScale="90" zoomScaleNormal="9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'09'!B1+1</f>
        <v>45848</v>
      </c>
      <c r="C1" s="103"/>
      <c r="L1" s="104" t="s">
        <v>230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SUMIF(I6:I32,"&gt;0",H6:H32)</f>
        <v>3210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3576.4700000000003</v>
      </c>
      <c r="D6" s="32"/>
      <c r="E6" s="80">
        <v>11354</v>
      </c>
      <c r="F6" s="81" t="s">
        <v>231</v>
      </c>
      <c r="G6" s="53" t="s">
        <v>8</v>
      </c>
      <c r="H6" s="41">
        <v>450</v>
      </c>
      <c r="I6" s="41">
        <v>450</v>
      </c>
      <c r="J6" s="32"/>
      <c r="K6" s="81"/>
      <c r="L6" s="95"/>
      <c r="M6" s="46"/>
      <c r="R6" s="1">
        <f>IF(vend10[[#This Row],[Nº Venda]]&gt;1,1,0)</f>
        <v>1</v>
      </c>
    </row>
    <row r="7" spans="2:18" ht="16.5" x14ac:dyDescent="0.3">
      <c r="B7" s="30" t="s">
        <v>3</v>
      </c>
      <c r="C7" s="31">
        <f>SUM(M6:M11)</f>
        <v>0</v>
      </c>
      <c r="D7" s="32"/>
      <c r="E7" s="80">
        <v>11355</v>
      </c>
      <c r="F7" s="81" t="s">
        <v>232</v>
      </c>
      <c r="G7" s="53" t="s">
        <v>8</v>
      </c>
      <c r="H7" s="41">
        <v>440</v>
      </c>
      <c r="I7" s="41">
        <v>440</v>
      </c>
      <c r="J7" s="32"/>
      <c r="K7" s="81"/>
      <c r="L7" s="95"/>
      <c r="M7" s="46"/>
      <c r="R7" s="1">
        <f>IF(vend10[[#This Row],[Nº Venda]]&gt;1,1,0)</f>
        <v>1</v>
      </c>
    </row>
    <row r="8" spans="2:18" ht="16.5" x14ac:dyDescent="0.3">
      <c r="B8" s="33" t="s">
        <v>21</v>
      </c>
      <c r="C8" s="34">
        <f>SUM(C6:C7)</f>
        <v>3576.4700000000003</v>
      </c>
      <c r="D8" s="32"/>
      <c r="E8" s="80">
        <v>11356</v>
      </c>
      <c r="F8" s="81" t="s">
        <v>233</v>
      </c>
      <c r="G8" s="54" t="s">
        <v>8</v>
      </c>
      <c r="H8" s="41">
        <v>80</v>
      </c>
      <c r="I8" s="41">
        <v>80</v>
      </c>
      <c r="J8" s="32"/>
      <c r="K8" s="81"/>
      <c r="L8" s="95"/>
      <c r="M8" s="46"/>
      <c r="R8" s="1">
        <f>IF(vend10[[#This Row],[Nº Venda]]&gt;1,1,0)</f>
        <v>1</v>
      </c>
    </row>
    <row r="9" spans="2:18" ht="16.5" x14ac:dyDescent="0.3">
      <c r="B9" s="29"/>
      <c r="C9" s="29"/>
      <c r="D9" s="32"/>
      <c r="E9" s="80">
        <v>11357</v>
      </c>
      <c r="F9" s="81" t="s">
        <v>234</v>
      </c>
      <c r="G9" s="54" t="s">
        <v>8</v>
      </c>
      <c r="H9" s="41">
        <v>1290</v>
      </c>
      <c r="I9" s="41">
        <v>1290</v>
      </c>
      <c r="J9" s="32"/>
      <c r="K9" s="81"/>
      <c r="L9" s="95"/>
      <c r="M9" s="46"/>
      <c r="R9" s="1">
        <f>IF(vend10[[#This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11358</v>
      </c>
      <c r="F10" s="81" t="s">
        <v>235</v>
      </c>
      <c r="G10" s="54" t="s">
        <v>8</v>
      </c>
      <c r="H10" s="41">
        <v>500</v>
      </c>
      <c r="I10" s="41">
        <v>100</v>
      </c>
      <c r="J10" s="32"/>
      <c r="K10" s="81"/>
      <c r="L10" s="95"/>
      <c r="M10" s="46"/>
      <c r="R10" s="1">
        <f>IF(vend10[[#This Row],[Nº Venda]]&gt;1,1,0)</f>
        <v>1</v>
      </c>
    </row>
    <row r="11" spans="2:18" ht="16.5" x14ac:dyDescent="0.3">
      <c r="B11" s="30" t="s">
        <v>6</v>
      </c>
      <c r="C11" s="74">
        <f>(SUMIF($G$2:$G$32,B11,$I$2:$I$32))+(SUMIF($G$36:$G$42,B11,$H$36:$H$42))</f>
        <v>200</v>
      </c>
      <c r="D11" s="32"/>
      <c r="E11" s="80">
        <v>11359</v>
      </c>
      <c r="F11" s="81" t="s">
        <v>235</v>
      </c>
      <c r="G11" s="54" t="s">
        <v>8</v>
      </c>
      <c r="H11" s="41">
        <v>390</v>
      </c>
      <c r="I11" s="41">
        <v>100</v>
      </c>
      <c r="J11" s="32"/>
      <c r="K11" s="40"/>
      <c r="L11" s="95"/>
      <c r="M11" s="46"/>
      <c r="O11" s="1">
        <f>IF(C16=0,0,1)</f>
        <v>1</v>
      </c>
      <c r="R11" s="1">
        <f>IF(vend10[[#This Row],[Nº Venda]]&gt;1,1,0)</f>
        <v>1</v>
      </c>
    </row>
    <row r="12" spans="2:18" ht="16.5" x14ac:dyDescent="0.3">
      <c r="B12" s="30" t="s">
        <v>7</v>
      </c>
      <c r="C12" s="74">
        <f>(SUMIF($G$2:$G$32,B12,$I$2:$I$32))+(SUMIF($G$36:$G$42,B12,$H$36:$H$42))</f>
        <v>399</v>
      </c>
      <c r="D12" s="32"/>
      <c r="E12" s="80">
        <v>11360</v>
      </c>
      <c r="F12" s="81" t="s">
        <v>236</v>
      </c>
      <c r="G12" s="54" t="s">
        <v>8</v>
      </c>
      <c r="H12" s="41">
        <v>60</v>
      </c>
      <c r="I12" s="41">
        <v>60</v>
      </c>
      <c r="J12" s="32"/>
      <c r="K12" s="35"/>
      <c r="L12" s="35"/>
      <c r="M12" s="35"/>
      <c r="R12" s="1">
        <f>IF(vend10[[#This Row],[Nº Venda]]&gt;1,1,0)</f>
        <v>1</v>
      </c>
    </row>
    <row r="13" spans="2:18" ht="16.5" x14ac:dyDescent="0.3">
      <c r="B13" s="30" t="s">
        <v>8</v>
      </c>
      <c r="C13" s="74">
        <f>(SUMIF($G$2:$G$32,B13,$I$2:$I$32))+(SUMIF($G$36:$G$42,B13,$H$36:$H$42))</f>
        <v>2520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IF(vend10[[#This Row],[Nº Venda]]&gt;1,1,0)</f>
        <v>0</v>
      </c>
    </row>
    <row r="14" spans="2:18" ht="16.5" x14ac:dyDescent="0.3">
      <c r="B14" s="30" t="s">
        <v>9</v>
      </c>
      <c r="C14" s="74">
        <f>(SUMIF($G$2:$G$32,B14,$I$2:$I$32))+(SUMIF($G$36:$G$42,B14,$H$36:$H$42))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IF(vend10[[#This Row],[Nº Venda]]&gt;1,1,0)</f>
        <v>0</v>
      </c>
    </row>
    <row r="15" spans="2:18" ht="16.5" x14ac:dyDescent="0.3">
      <c r="B15" s="30" t="s">
        <v>10</v>
      </c>
      <c r="C15" s="74">
        <f>(SUMIF($G$2:$G$32,B15,$I$2:$I$32))+(SUMIF($G$36:$G$42,B15,$H$36:$H$42))</f>
        <v>457.47</v>
      </c>
      <c r="D15" s="32"/>
      <c r="E15" s="80"/>
      <c r="F15" s="81"/>
      <c r="G15" s="54"/>
      <c r="H15" s="41"/>
      <c r="I15" s="41"/>
      <c r="J15" s="32"/>
      <c r="K15" s="80">
        <v>11210</v>
      </c>
      <c r="L15" s="95" t="s">
        <v>129</v>
      </c>
      <c r="M15" s="46" t="s">
        <v>151</v>
      </c>
      <c r="R15" s="1">
        <f>IF(vend10[[#This Row],[Nº Venda]]&gt;1,1,0)</f>
        <v>0</v>
      </c>
    </row>
    <row r="16" spans="2:18" ht="16.5" x14ac:dyDescent="0.3">
      <c r="B16" s="33" t="s">
        <v>11</v>
      </c>
      <c r="C16" s="75">
        <f>SUM(C11:C15)</f>
        <v>3576.4700000000003</v>
      </c>
      <c r="D16" s="32"/>
      <c r="E16" s="80"/>
      <c r="F16" s="81"/>
      <c r="G16" s="54"/>
      <c r="H16" s="41"/>
      <c r="I16" s="41"/>
      <c r="J16" s="32"/>
      <c r="K16" s="80">
        <v>11192</v>
      </c>
      <c r="L16" s="95" t="s">
        <v>129</v>
      </c>
      <c r="M16" s="46" t="s">
        <v>151</v>
      </c>
      <c r="R16" s="1">
        <f>IF(vend10[[#This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11250</v>
      </c>
      <c r="L17" s="95" t="s">
        <v>131</v>
      </c>
      <c r="M17" s="46" t="s">
        <v>151</v>
      </c>
      <c r="R17" s="1">
        <f>IF(vend10[[#This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11289</v>
      </c>
      <c r="L18" s="95" t="s">
        <v>129</v>
      </c>
      <c r="M18" s="46" t="s">
        <v>151</v>
      </c>
      <c r="R18" s="1">
        <f>IF(vend10[[#This Row],[Nº Venda]]&gt;1,1,0)</f>
        <v>0</v>
      </c>
    </row>
    <row r="19" spans="2:18" ht="16.5" x14ac:dyDescent="0.3">
      <c r="B19" s="30">
        <f>COUNT(entr_carn10[OS])</f>
        <v>0</v>
      </c>
      <c r="C19" s="74">
        <f>SUM(entr_carn10[Valor Total])</f>
        <v>0</v>
      </c>
      <c r="D19" s="32"/>
      <c r="E19" s="80"/>
      <c r="F19" s="81"/>
      <c r="G19" s="54"/>
      <c r="H19" s="41"/>
      <c r="I19" s="41"/>
      <c r="J19" s="32"/>
      <c r="K19" s="80">
        <v>11356</v>
      </c>
      <c r="L19" s="95" t="s">
        <v>131</v>
      </c>
      <c r="M19" s="46" t="s">
        <v>151</v>
      </c>
      <c r="R19" s="1">
        <f>IF(vend10[[#This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>
        <v>11233</v>
      </c>
      <c r="L20" s="95" t="s">
        <v>129</v>
      </c>
      <c r="M20" s="46" t="s">
        <v>151</v>
      </c>
      <c r="R20" s="1">
        <f>IF(vend10[[#This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>
        <v>11313</v>
      </c>
      <c r="L21" s="95" t="s">
        <v>131</v>
      </c>
      <c r="M21" s="46" t="s">
        <v>151</v>
      </c>
    </row>
    <row r="22" spans="2:18" ht="16.5" x14ac:dyDescent="0.3">
      <c r="B22" s="33" t="s">
        <v>25</v>
      </c>
      <c r="C22" s="36">
        <f>C5</f>
        <v>3210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>
        <v>11192</v>
      </c>
      <c r="F26" s="81" t="s">
        <v>237</v>
      </c>
      <c r="G26" s="53" t="s">
        <v>6</v>
      </c>
      <c r="H26" s="41"/>
      <c r="I26" s="41">
        <v>200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>
        <v>11233</v>
      </c>
      <c r="F27" s="81" t="s">
        <v>238</v>
      </c>
      <c r="G27" s="54" t="s">
        <v>7</v>
      </c>
      <c r="H27" s="41"/>
      <c r="I27" s="41">
        <v>399</v>
      </c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7.25" x14ac:dyDescent="0.3">
      <c r="B32" s="32"/>
      <c r="C32" s="32"/>
      <c r="D32" s="40"/>
      <c r="E32" s="65"/>
      <c r="F32" s="64"/>
      <c r="G32" s="20"/>
      <c r="H32" s="21"/>
      <c r="I32" s="21"/>
      <c r="J32" s="40"/>
      <c r="K32" s="35"/>
      <c r="L32" s="35"/>
      <c r="M32" s="35"/>
    </row>
    <row r="33" spans="2:18" ht="16.5" x14ac:dyDescent="0.3">
      <c r="B33" s="32"/>
      <c r="C33" s="32"/>
      <c r="D33" s="40"/>
      <c r="E33" s="47"/>
      <c r="F33" s="48"/>
      <c r="G33" s="48"/>
      <c r="H33" s="49"/>
      <c r="I33" s="62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06" t="s">
        <v>143</v>
      </c>
      <c r="F34" s="106"/>
      <c r="G34" s="106"/>
      <c r="H34" s="106"/>
      <c r="I34" s="106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9" t="s">
        <v>22</v>
      </c>
      <c r="F35" s="90" t="s">
        <v>15</v>
      </c>
      <c r="G35" s="91" t="s">
        <v>16</v>
      </c>
      <c r="H35" s="92" t="s">
        <v>26</v>
      </c>
      <c r="I35" s="93" t="s">
        <v>27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>
        <v>10811</v>
      </c>
      <c r="F36" s="81" t="s">
        <v>239</v>
      </c>
      <c r="G36" s="54" t="s">
        <v>10</v>
      </c>
      <c r="H36" s="41">
        <v>134.05000000000001</v>
      </c>
      <c r="I36" s="41" t="s">
        <v>76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7">
        <v>11127</v>
      </c>
      <c r="F37" s="81" t="s">
        <v>240</v>
      </c>
      <c r="G37" s="54" t="s">
        <v>10</v>
      </c>
      <c r="H37" s="41">
        <v>71.42</v>
      </c>
      <c r="I37" s="41" t="s">
        <v>32</v>
      </c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>
        <v>11254</v>
      </c>
      <c r="F38" s="81" t="s">
        <v>241</v>
      </c>
      <c r="G38" s="54" t="s">
        <v>10</v>
      </c>
      <c r="H38" s="41">
        <v>252</v>
      </c>
      <c r="I38" s="41" t="s">
        <v>78</v>
      </c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81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0"/>
      <c r="F40" s="54"/>
      <c r="G40" s="54"/>
      <c r="H40" s="41"/>
      <c r="I40" s="41"/>
      <c r="J40" s="40"/>
      <c r="K40" s="82"/>
      <c r="L40" s="82"/>
      <c r="M40" s="96"/>
      <c r="Q40" s="1" t="s">
        <v>33</v>
      </c>
      <c r="R40" s="1">
        <f>SUM(R6:R21)</f>
        <v>7</v>
      </c>
    </row>
    <row r="41" spans="2:18" ht="16.5" customHeight="1" x14ac:dyDescent="0.25">
      <c r="B41" s="40"/>
      <c r="C41" s="40"/>
      <c r="D41" s="40"/>
      <c r="E41" s="82"/>
      <c r="F41" s="83"/>
      <c r="G41" s="44"/>
      <c r="H41" s="45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50"/>
      <c r="F42" s="20"/>
      <c r="G42" s="20"/>
      <c r="H42" s="21"/>
      <c r="I42" s="21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E26:E31 E6:E22 K15:K31 K35:K41 E35:E41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zoomScale="90" zoomScaleNormal="90" workbookViewId="0">
      <selection activeCell="G19" sqref="G18:G19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'10'!B1+1</f>
        <v>45849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2811.1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2886.1</v>
      </c>
      <c r="D6" s="32"/>
      <c r="E6" s="80">
        <v>11361</v>
      </c>
      <c r="F6" s="81" t="s">
        <v>242</v>
      </c>
      <c r="G6" s="54" t="s">
        <v>7</v>
      </c>
      <c r="H6" s="41">
        <v>98.1</v>
      </c>
      <c r="I6" s="41">
        <v>98.1</v>
      </c>
      <c r="J6" s="32"/>
      <c r="K6" s="81"/>
      <c r="L6" s="95"/>
      <c r="M6" s="46"/>
      <c r="R6" s="1">
        <f>IF(vend11[[#This Row],[Nº Venda]]&gt;1,1,0)</f>
        <v>1</v>
      </c>
    </row>
    <row r="7" spans="2:18" ht="16.5" x14ac:dyDescent="0.3">
      <c r="B7" s="30" t="s">
        <v>3</v>
      </c>
      <c r="C7" s="31">
        <f>SUM(M6:M11)</f>
        <v>0</v>
      </c>
      <c r="D7" s="32"/>
      <c r="E7" s="80">
        <v>11362</v>
      </c>
      <c r="F7" s="81" t="s">
        <v>243</v>
      </c>
      <c r="G7" s="54" t="s">
        <v>36</v>
      </c>
      <c r="H7" s="41"/>
      <c r="I7" s="41"/>
      <c r="J7" s="32"/>
      <c r="K7" s="81"/>
      <c r="L7" s="95"/>
      <c r="M7" s="46"/>
      <c r="R7" s="1">
        <f>IF(vend11[[#This Row],[Nº Venda]]&gt;1,1,0)</f>
        <v>1</v>
      </c>
    </row>
    <row r="8" spans="2:18" ht="16.5" x14ac:dyDescent="0.3">
      <c r="B8" s="33" t="s">
        <v>21</v>
      </c>
      <c r="C8" s="34">
        <f>SUM(C6:C7)</f>
        <v>2886.1</v>
      </c>
      <c r="D8" s="32"/>
      <c r="E8" s="80">
        <v>11363</v>
      </c>
      <c r="F8" s="81" t="s">
        <v>244</v>
      </c>
      <c r="G8" s="54" t="s">
        <v>7</v>
      </c>
      <c r="H8" s="41">
        <v>429</v>
      </c>
      <c r="I8" s="41">
        <v>429</v>
      </c>
      <c r="J8" s="32"/>
      <c r="K8" s="81"/>
      <c r="L8" s="95"/>
      <c r="M8" s="46"/>
      <c r="R8" s="1">
        <f>IF(vend11[[#This Row],[Nº Venda]]&gt;1,1,0)</f>
        <v>1</v>
      </c>
    </row>
    <row r="9" spans="2:18" ht="16.5" x14ac:dyDescent="0.3">
      <c r="B9" s="29"/>
      <c r="C9" s="29"/>
      <c r="D9" s="32"/>
      <c r="E9" s="80">
        <v>11364</v>
      </c>
      <c r="F9" s="81" t="s">
        <v>245</v>
      </c>
      <c r="G9" s="54" t="s">
        <v>36</v>
      </c>
      <c r="H9" s="41"/>
      <c r="I9" s="41"/>
      <c r="J9" s="32"/>
      <c r="K9" s="81"/>
      <c r="L9" s="95"/>
      <c r="M9" s="46"/>
      <c r="R9" s="1">
        <f>IF(vend11[[#This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11365</v>
      </c>
      <c r="F10" s="81" t="s">
        <v>246</v>
      </c>
      <c r="G10" s="54" t="s">
        <v>8</v>
      </c>
      <c r="H10" s="41">
        <v>699</v>
      </c>
      <c r="I10" s="41">
        <v>699</v>
      </c>
      <c r="J10" s="32"/>
      <c r="K10" s="81"/>
      <c r="L10" s="95"/>
      <c r="M10" s="46"/>
      <c r="R10" s="1">
        <f>IF(vend11[[#This Row],[Nº Venda]]&gt;1,1,0)</f>
        <v>1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>
        <v>11366</v>
      </c>
      <c r="F11" s="81" t="s">
        <v>247</v>
      </c>
      <c r="G11" s="54" t="s">
        <v>36</v>
      </c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IF(vend11[[#This Row],[Nº Venda]]&gt;1,1,0)</f>
        <v>1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713.1</v>
      </c>
      <c r="D12" s="32"/>
      <c r="E12" s="80">
        <v>11367</v>
      </c>
      <c r="F12" s="81" t="s">
        <v>248</v>
      </c>
      <c r="G12" s="54" t="s">
        <v>7</v>
      </c>
      <c r="H12" s="41">
        <v>186</v>
      </c>
      <c r="I12" s="41">
        <v>186</v>
      </c>
      <c r="J12" s="32"/>
      <c r="K12" s="35"/>
      <c r="L12" s="35"/>
      <c r="M12" s="35"/>
      <c r="R12" s="1">
        <f>IF(vend11[[#This Row],[Nº Venda]]&gt;1,1,0)</f>
        <v>1</v>
      </c>
    </row>
    <row r="13" spans="2:18" ht="16.5" x14ac:dyDescent="0.3">
      <c r="B13" s="30" t="s">
        <v>8</v>
      </c>
      <c r="C13" s="74">
        <f t="shared" si="0"/>
        <v>2098</v>
      </c>
      <c r="D13" s="32"/>
      <c r="E13" s="80">
        <v>11368</v>
      </c>
      <c r="F13" s="81" t="s">
        <v>249</v>
      </c>
      <c r="G13" s="54" t="s">
        <v>36</v>
      </c>
      <c r="H13" s="41"/>
      <c r="I13" s="41"/>
      <c r="J13" s="32"/>
      <c r="K13" s="107" t="s">
        <v>142</v>
      </c>
      <c r="L13" s="108"/>
      <c r="M13" s="109"/>
      <c r="R13" s="1">
        <f>IF(vend11[[#This Row],[Nº Venda]]&gt;1,1,0)</f>
        <v>1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>
        <v>11369</v>
      </c>
      <c r="F14" s="81" t="s">
        <v>250</v>
      </c>
      <c r="G14" s="54" t="s">
        <v>8</v>
      </c>
      <c r="H14" s="41">
        <v>600</v>
      </c>
      <c r="I14" s="41">
        <v>600</v>
      </c>
      <c r="J14" s="32"/>
      <c r="K14" s="24" t="s">
        <v>22</v>
      </c>
      <c r="L14" s="25" t="s">
        <v>23</v>
      </c>
      <c r="M14" s="26" t="s">
        <v>24</v>
      </c>
      <c r="R14" s="1">
        <f>IF(vend11[[#This Row],[Nº Venda]]&gt;1,1,0)</f>
        <v>1</v>
      </c>
    </row>
    <row r="15" spans="2:18" ht="16.5" x14ac:dyDescent="0.3">
      <c r="B15" s="30" t="s">
        <v>10</v>
      </c>
      <c r="C15" s="74">
        <f t="shared" si="0"/>
        <v>75</v>
      </c>
      <c r="D15" s="32"/>
      <c r="E15" s="80">
        <v>11370</v>
      </c>
      <c r="F15" s="81" t="s">
        <v>213</v>
      </c>
      <c r="G15" s="54" t="s">
        <v>8</v>
      </c>
      <c r="H15" s="41">
        <v>799</v>
      </c>
      <c r="I15" s="41">
        <v>799</v>
      </c>
      <c r="J15" s="32"/>
      <c r="K15" s="80">
        <v>11200</v>
      </c>
      <c r="L15" s="95" t="s">
        <v>129</v>
      </c>
      <c r="M15" s="46" t="s">
        <v>151</v>
      </c>
      <c r="R15" s="1">
        <f>IF(vend11[[#This Row],[Nº Venda]]&gt;1,1,0)</f>
        <v>1</v>
      </c>
    </row>
    <row r="16" spans="2:18" ht="16.5" x14ac:dyDescent="0.3">
      <c r="B16" s="33" t="s">
        <v>11</v>
      </c>
      <c r="C16" s="75">
        <f>SUM(C11:C15)</f>
        <v>2886.1</v>
      </c>
      <c r="D16" s="32"/>
      <c r="E16" s="80"/>
      <c r="F16" s="81"/>
      <c r="G16" s="54"/>
      <c r="H16" s="41"/>
      <c r="I16" s="41"/>
      <c r="J16" s="32"/>
      <c r="K16" s="80">
        <v>11251</v>
      </c>
      <c r="L16" s="95" t="s">
        <v>129</v>
      </c>
      <c r="M16" s="46" t="s">
        <v>152</v>
      </c>
      <c r="R16" s="1">
        <f>IF(vend11[[#This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11285</v>
      </c>
      <c r="L17" s="95" t="s">
        <v>129</v>
      </c>
      <c r="M17" s="46" t="s">
        <v>151</v>
      </c>
      <c r="R17" s="1">
        <f>IF(vend11[[#This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11361</v>
      </c>
      <c r="L18" s="95" t="s">
        <v>131</v>
      </c>
      <c r="M18" s="46" t="s">
        <v>151</v>
      </c>
      <c r="R18" s="1">
        <f>IF(vend11[[#This Row],[Nº Venda]]&gt;1,1,0)</f>
        <v>0</v>
      </c>
    </row>
    <row r="19" spans="2:18" ht="16.5" x14ac:dyDescent="0.3">
      <c r="B19" s="30">
        <f>COUNT(entr_carn11[OS])</f>
        <v>1</v>
      </c>
      <c r="C19" s="74">
        <f>SUM(entr_carn11[Valor Total])</f>
        <v>690</v>
      </c>
      <c r="D19" s="32"/>
      <c r="E19" s="80"/>
      <c r="F19" s="81"/>
      <c r="G19" s="54"/>
      <c r="H19" s="41"/>
      <c r="I19" s="41"/>
      <c r="J19" s="32"/>
      <c r="K19" s="80">
        <v>11367</v>
      </c>
      <c r="L19" s="95" t="s">
        <v>131</v>
      </c>
      <c r="M19" s="46" t="s">
        <v>151</v>
      </c>
      <c r="R19" s="1">
        <f>IF(vend11[[#This Row],[Nº Venda]]&gt;1,1,0)</f>
        <v>0</v>
      </c>
    </row>
    <row r="20" spans="2:18" ht="16.5" x14ac:dyDescent="0.3">
      <c r="B20" s="33" t="s">
        <v>11</v>
      </c>
      <c r="C20" s="75">
        <f>SUM(C19:C19)</f>
        <v>690</v>
      </c>
      <c r="D20" s="32"/>
      <c r="E20" s="80"/>
      <c r="F20" s="54"/>
      <c r="G20" s="54"/>
      <c r="H20" s="41"/>
      <c r="I20" s="41"/>
      <c r="J20" s="32"/>
      <c r="K20" s="80">
        <v>11223</v>
      </c>
      <c r="L20" s="95" t="s">
        <v>131</v>
      </c>
      <c r="M20" s="46" t="s">
        <v>151</v>
      </c>
      <c r="R20" s="1">
        <f>IF(vend11[[#This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2811.1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>
        <v>11223</v>
      </c>
      <c r="F26" s="81" t="s">
        <v>251</v>
      </c>
      <c r="G26" s="53" t="s">
        <v>10</v>
      </c>
      <c r="H26" s="41"/>
      <c r="I26" s="41">
        <v>75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>
        <v>11251</v>
      </c>
      <c r="L35" s="80">
        <v>6</v>
      </c>
      <c r="M35" s="95">
        <v>690</v>
      </c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10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topLeftCell="A4" zoomScale="90" zoomScaleNormal="90" workbookViewId="0">
      <selection activeCell="F28" sqref="F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'11'!B1+1</f>
        <v>45850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4476.8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3927.8</v>
      </c>
      <c r="D6" s="32"/>
      <c r="E6" s="80">
        <v>11371</v>
      </c>
      <c r="F6" s="51" t="s">
        <v>252</v>
      </c>
      <c r="G6" s="51" t="s">
        <v>8</v>
      </c>
      <c r="H6" s="52">
        <v>650</v>
      </c>
      <c r="I6" s="52">
        <v>650</v>
      </c>
      <c r="J6" s="32"/>
      <c r="K6" s="81" t="s">
        <v>257</v>
      </c>
      <c r="L6" s="95" t="s">
        <v>256</v>
      </c>
      <c r="M6" s="46">
        <v>19</v>
      </c>
      <c r="R6" s="1">
        <f>IF(vend12[[#This Row],[Nº Venda]]&gt;1,1,0)</f>
        <v>1</v>
      </c>
    </row>
    <row r="7" spans="2:18" ht="16.5" x14ac:dyDescent="0.3">
      <c r="B7" s="30" t="s">
        <v>3</v>
      </c>
      <c r="C7" s="31">
        <f>SUM(M6:M11)</f>
        <v>19</v>
      </c>
      <c r="D7" s="32"/>
      <c r="E7" s="80">
        <v>11372</v>
      </c>
      <c r="F7" s="53" t="s">
        <v>252</v>
      </c>
      <c r="G7" s="53" t="s">
        <v>8</v>
      </c>
      <c r="H7" s="41">
        <v>650</v>
      </c>
      <c r="I7" s="41">
        <v>650</v>
      </c>
      <c r="J7" s="32"/>
      <c r="K7" s="81"/>
      <c r="L7" s="95"/>
      <c r="M7" s="46"/>
      <c r="R7" s="1">
        <f>IF(vend12[[#This Row],[Nº Venda]]&gt;1,1,0)</f>
        <v>1</v>
      </c>
    </row>
    <row r="8" spans="2:18" ht="16.5" x14ac:dyDescent="0.3">
      <c r="B8" s="33" t="s">
        <v>21</v>
      </c>
      <c r="C8" s="34">
        <f>SUM(C6:C7)</f>
        <v>3946.8</v>
      </c>
      <c r="D8" s="32"/>
      <c r="E8" s="80">
        <v>11373</v>
      </c>
      <c r="F8" s="53" t="s">
        <v>253</v>
      </c>
      <c r="G8" s="53" t="s">
        <v>6</v>
      </c>
      <c r="H8" s="41">
        <v>699</v>
      </c>
      <c r="I8" s="41">
        <v>100</v>
      </c>
      <c r="J8" s="32"/>
      <c r="K8" s="81"/>
      <c r="L8" s="95"/>
      <c r="M8" s="46"/>
      <c r="R8" s="1">
        <f>IF(vend12[[#This Row],[Nº Venda]]&gt;1,1,0)</f>
        <v>1</v>
      </c>
    </row>
    <row r="9" spans="2:18" ht="16.5" x14ac:dyDescent="0.3">
      <c r="B9" s="29"/>
      <c r="C9" s="29"/>
      <c r="D9" s="32"/>
      <c r="E9" s="80">
        <v>11374</v>
      </c>
      <c r="F9" s="81" t="s">
        <v>254</v>
      </c>
      <c r="G9" s="54" t="s">
        <v>8</v>
      </c>
      <c r="H9" s="41">
        <v>1899</v>
      </c>
      <c r="I9" s="41">
        <v>1899</v>
      </c>
      <c r="J9" s="32"/>
      <c r="K9" s="81"/>
      <c r="L9" s="95"/>
      <c r="M9" s="46"/>
      <c r="R9" s="1">
        <f>IF(vend12[[#This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11375</v>
      </c>
      <c r="F10" s="81" t="s">
        <v>255</v>
      </c>
      <c r="G10" s="54" t="s">
        <v>8</v>
      </c>
      <c r="H10" s="41">
        <v>299</v>
      </c>
      <c r="I10" s="41">
        <v>299</v>
      </c>
      <c r="J10" s="32"/>
      <c r="K10" s="81"/>
      <c r="L10" s="95"/>
      <c r="M10" s="46"/>
      <c r="R10" s="1">
        <f>IF(vend12[[#This Row],[Nº Venda]]&gt;1,1,0)</f>
        <v>1</v>
      </c>
    </row>
    <row r="11" spans="2:18" ht="16.5" x14ac:dyDescent="0.3">
      <c r="B11" s="30" t="s">
        <v>6</v>
      </c>
      <c r="C11" s="74">
        <f>(SUMIF($G$2:$G$31,B11,$I$2:$I$31))+(SUMIF($G$35:$G$41,B11,$H$35:$H$41))</f>
        <v>150</v>
      </c>
      <c r="D11" s="32"/>
      <c r="E11" s="80">
        <v>11376</v>
      </c>
      <c r="F11" s="81" t="s">
        <v>255</v>
      </c>
      <c r="G11" s="54" t="s">
        <v>8</v>
      </c>
      <c r="H11" s="41">
        <v>270</v>
      </c>
      <c r="I11" s="41">
        <v>270</v>
      </c>
      <c r="J11" s="32"/>
      <c r="K11" s="40"/>
      <c r="L11" s="95"/>
      <c r="M11" s="46"/>
      <c r="O11" s="1">
        <f>IF(C16=0,0,1)</f>
        <v>1</v>
      </c>
      <c r="R11" s="1">
        <f>IF(vend12[[#This Row],[Nº Venda]]&gt;1,1,0)</f>
        <v>1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9.8000000000000007</v>
      </c>
      <c r="D12" s="32"/>
      <c r="E12" s="80">
        <v>11377</v>
      </c>
      <c r="F12" s="81" t="s">
        <v>255</v>
      </c>
      <c r="G12" s="54" t="s">
        <v>7</v>
      </c>
      <c r="H12" s="41">
        <v>9.8000000000000007</v>
      </c>
      <c r="I12" s="41">
        <v>9.8000000000000007</v>
      </c>
      <c r="J12" s="32"/>
      <c r="K12" s="35"/>
      <c r="L12" s="35"/>
      <c r="M12" s="35"/>
      <c r="R12" s="1">
        <f>IF(vend12[[#This Row],[Nº Venda]]&gt;1,1,0)</f>
        <v>1</v>
      </c>
    </row>
    <row r="13" spans="2:18" ht="16.5" x14ac:dyDescent="0.3">
      <c r="B13" s="30" t="s">
        <v>8</v>
      </c>
      <c r="C13" s="74">
        <f t="shared" si="0"/>
        <v>3768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IF(vend12[[#This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>
        <v>11368</v>
      </c>
      <c r="L15" s="95" t="s">
        <v>131</v>
      </c>
      <c r="M15" s="46" t="s">
        <v>151</v>
      </c>
      <c r="R15" s="1">
        <f>IF(vend12[[#This Row],[Nº Venda]]&gt;1,1,0)</f>
        <v>0</v>
      </c>
    </row>
    <row r="16" spans="2:18" ht="16.5" x14ac:dyDescent="0.3">
      <c r="B16" s="33" t="s">
        <v>11</v>
      </c>
      <c r="C16" s="75">
        <f>SUM(C11:C15)</f>
        <v>3927.8</v>
      </c>
      <c r="D16" s="32"/>
      <c r="E16" s="80"/>
      <c r="F16" s="81"/>
      <c r="G16" s="54"/>
      <c r="H16" s="41"/>
      <c r="I16" s="41"/>
      <c r="J16" s="32"/>
      <c r="K16" s="80">
        <v>11366</v>
      </c>
      <c r="L16" s="95" t="s">
        <v>131</v>
      </c>
      <c r="M16" s="46" t="s">
        <v>151</v>
      </c>
      <c r="R16" s="1">
        <f>IF(vend12[[#This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11255</v>
      </c>
      <c r="L17" s="95" t="s">
        <v>131</v>
      </c>
      <c r="M17" s="46" t="s">
        <v>151</v>
      </c>
      <c r="R17" s="1">
        <f>IF(vend12[[#This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IF(vend12[[#This Row],[Nº Venda]]&gt;1,1,0)</f>
        <v>0</v>
      </c>
    </row>
    <row r="19" spans="2:18" ht="16.5" x14ac:dyDescent="0.3">
      <c r="B19" s="30">
        <f>COUNT(entr_carn12[OS])</f>
        <v>0</v>
      </c>
      <c r="C19" s="74">
        <f>SUM(entr_carn12[Valor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4476.8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>
        <v>11352</v>
      </c>
      <c r="F26" s="53" t="s">
        <v>258</v>
      </c>
      <c r="G26" s="53" t="s">
        <v>6</v>
      </c>
      <c r="H26" s="41"/>
      <c r="I26" s="41">
        <v>50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7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'12'!B1+1</f>
        <v>45851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IF(vend13[[#This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IF(vend13[[#This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IF(vend13[[#This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IF(vend13[[#This Row],[Nº Venda]]&gt;1,1,0)</f>
        <v>0</v>
      </c>
    </row>
    <row r="19" spans="2:18" ht="16.5" x14ac:dyDescent="0.3">
      <c r="B19" s="30">
        <f>COUNT(entr_carn13[OS])</f>
        <v>0</v>
      </c>
      <c r="C19" s="74">
        <f>SUM(entr_carn13[Valor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zoomScale="90" zoomScaleNormal="90" workbookViewId="0">
      <selection activeCell="G18" sqref="G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'13'!B1+1</f>
        <v>45852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8929.48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5625.39</v>
      </c>
      <c r="D6" s="32"/>
      <c r="E6" s="80">
        <v>11378</v>
      </c>
      <c r="F6" s="81" t="s">
        <v>259</v>
      </c>
      <c r="G6" s="53" t="s">
        <v>8</v>
      </c>
      <c r="H6" s="41">
        <v>1250</v>
      </c>
      <c r="I6" s="41">
        <v>250</v>
      </c>
      <c r="J6" s="32"/>
      <c r="K6" s="81" t="s">
        <v>145</v>
      </c>
      <c r="L6" s="95" t="s">
        <v>10</v>
      </c>
      <c r="M6" s="46">
        <v>3.75</v>
      </c>
      <c r="R6" s="1">
        <f>IF(vend14[[#This Row],[Nº Venda]]&gt;1,1,0)</f>
        <v>1</v>
      </c>
    </row>
    <row r="7" spans="2:18" ht="16.5" x14ac:dyDescent="0.3">
      <c r="B7" s="30" t="s">
        <v>3</v>
      </c>
      <c r="C7" s="31">
        <f>SUM(M6:M11)</f>
        <v>3.75</v>
      </c>
      <c r="D7" s="32"/>
      <c r="E7" s="80">
        <v>11379</v>
      </c>
      <c r="F7" s="81" t="s">
        <v>259</v>
      </c>
      <c r="G7" s="53" t="s">
        <v>8</v>
      </c>
      <c r="H7" s="41">
        <v>1750</v>
      </c>
      <c r="I7" s="41">
        <v>250</v>
      </c>
      <c r="J7" s="32"/>
      <c r="K7" s="81"/>
      <c r="L7" s="95"/>
      <c r="M7" s="46"/>
      <c r="R7" s="1">
        <f>IF(vend14[[#This Row],[Nº Venda]]&gt;1,1,0)</f>
        <v>1</v>
      </c>
    </row>
    <row r="8" spans="2:18" ht="16.5" x14ac:dyDescent="0.3">
      <c r="B8" s="33" t="s">
        <v>21</v>
      </c>
      <c r="C8" s="34">
        <f>SUM(C6:C7)</f>
        <v>5629.14</v>
      </c>
      <c r="D8" s="32"/>
      <c r="E8" s="80">
        <v>11380</v>
      </c>
      <c r="F8" s="81" t="s">
        <v>260</v>
      </c>
      <c r="G8" s="54" t="s">
        <v>7</v>
      </c>
      <c r="H8" s="41">
        <v>1399.99</v>
      </c>
      <c r="I8" s="41">
        <v>1399.99</v>
      </c>
      <c r="J8" s="32"/>
      <c r="K8" s="81"/>
      <c r="L8" s="95"/>
      <c r="M8" s="46"/>
      <c r="R8" s="1">
        <f>IF(vend14[[#This Row],[Nº Venda]]&gt;1,1,0)</f>
        <v>1</v>
      </c>
    </row>
    <row r="9" spans="2:18" ht="16.5" x14ac:dyDescent="0.3">
      <c r="B9" s="29"/>
      <c r="C9" s="29"/>
      <c r="D9" s="32"/>
      <c r="E9" s="80">
        <v>11381</v>
      </c>
      <c r="F9" s="81" t="s">
        <v>261</v>
      </c>
      <c r="G9" s="54" t="s">
        <v>8</v>
      </c>
      <c r="H9" s="41">
        <v>19.600000000000001</v>
      </c>
      <c r="I9" s="41">
        <v>19.600000000000001</v>
      </c>
      <c r="J9" s="32"/>
      <c r="K9" s="81"/>
      <c r="L9" s="95"/>
      <c r="M9" s="46"/>
      <c r="R9" s="1">
        <f>IF(vend14[[#This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11382</v>
      </c>
      <c r="F10" s="81" t="s">
        <v>263</v>
      </c>
      <c r="G10" s="54" t="s">
        <v>7</v>
      </c>
      <c r="H10" s="41">
        <v>1519.9</v>
      </c>
      <c r="I10" s="41">
        <v>1519.9</v>
      </c>
      <c r="J10" s="32"/>
      <c r="K10" s="81"/>
      <c r="L10" s="95"/>
      <c r="M10" s="46"/>
      <c r="R10" s="1">
        <f>IF(vend14[[#This Row],[Nº Venda]]&gt;1,1,0)</f>
        <v>1</v>
      </c>
    </row>
    <row r="11" spans="2:18" ht="16.5" x14ac:dyDescent="0.3">
      <c r="B11" s="30" t="s">
        <v>6</v>
      </c>
      <c r="C11" s="74">
        <f>(SUMIF($G$2:$G$31,B11,$I$2:$I$31))+(SUMIF($G$35:$G$41,B11,$H$35:$H$41))</f>
        <v>575.9</v>
      </c>
      <c r="D11" s="32"/>
      <c r="E11" s="80">
        <v>11383</v>
      </c>
      <c r="F11" s="81" t="s">
        <v>262</v>
      </c>
      <c r="G11" s="54" t="s">
        <v>6</v>
      </c>
      <c r="H11" s="41">
        <v>1300</v>
      </c>
      <c r="I11" s="41">
        <v>300</v>
      </c>
      <c r="J11" s="32"/>
      <c r="K11" s="40"/>
      <c r="L11" s="95"/>
      <c r="M11" s="46"/>
      <c r="O11" s="1">
        <f>IF(C16=0,0,1)</f>
        <v>1</v>
      </c>
      <c r="R11" s="1">
        <f>IF(vend14[[#This Row],[Nº Venda]]&gt;1,1,0)</f>
        <v>1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2939.8900000000003</v>
      </c>
      <c r="D12" s="32"/>
      <c r="E12" s="80">
        <v>11384</v>
      </c>
      <c r="F12" s="81" t="s">
        <v>264</v>
      </c>
      <c r="G12" s="54" t="s">
        <v>36</v>
      </c>
      <c r="H12" s="41">
        <v>0</v>
      </c>
      <c r="I12" s="41">
        <v>0</v>
      </c>
      <c r="J12" s="32"/>
      <c r="K12" s="35"/>
      <c r="L12" s="35"/>
      <c r="M12" s="35"/>
      <c r="R12" s="1">
        <f>IF(vend14[[#This Row],[Nº Venda]]&gt;1,1,0)</f>
        <v>1</v>
      </c>
    </row>
    <row r="13" spans="2:18" ht="16.5" x14ac:dyDescent="0.3">
      <c r="B13" s="30" t="s">
        <v>8</v>
      </c>
      <c r="C13" s="74">
        <f t="shared" si="0"/>
        <v>1809.6</v>
      </c>
      <c r="D13" s="32"/>
      <c r="E13" s="80">
        <v>11385</v>
      </c>
      <c r="F13" s="81" t="s">
        <v>265</v>
      </c>
      <c r="G13" s="54" t="s">
        <v>6</v>
      </c>
      <c r="H13" s="41">
        <v>399.99</v>
      </c>
      <c r="I13" s="41">
        <v>25</v>
      </c>
      <c r="J13" s="32"/>
      <c r="K13" s="107" t="s">
        <v>142</v>
      </c>
      <c r="L13" s="108"/>
      <c r="M13" s="109"/>
      <c r="R13" s="1">
        <f>IF(vend14[[#This Row],[Nº Venda]]&gt;1,1,0)</f>
        <v>1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>
        <v>11386</v>
      </c>
      <c r="F14" s="81" t="s">
        <v>266</v>
      </c>
      <c r="G14" s="54" t="s">
        <v>36</v>
      </c>
      <c r="H14" s="41">
        <v>0</v>
      </c>
      <c r="I14" s="41">
        <v>0</v>
      </c>
      <c r="J14" s="32"/>
      <c r="K14" s="24" t="s">
        <v>22</v>
      </c>
      <c r="L14" s="25" t="s">
        <v>23</v>
      </c>
      <c r="M14" s="26" t="s">
        <v>24</v>
      </c>
      <c r="R14" s="1">
        <f>IF(vend14[[#This Row],[Nº Venda]]&gt;1,1,0)</f>
        <v>1</v>
      </c>
    </row>
    <row r="15" spans="2:18" ht="16.5" x14ac:dyDescent="0.3">
      <c r="B15" s="30" t="s">
        <v>10</v>
      </c>
      <c r="C15" s="74">
        <f t="shared" si="0"/>
        <v>300</v>
      </c>
      <c r="D15" s="32"/>
      <c r="E15" s="80"/>
      <c r="F15" s="81"/>
      <c r="G15" s="54"/>
      <c r="H15" s="41"/>
      <c r="I15" s="41"/>
      <c r="J15" s="32"/>
      <c r="K15" s="80">
        <v>11263</v>
      </c>
      <c r="L15" s="95" t="s">
        <v>131</v>
      </c>
      <c r="M15" s="46" t="s">
        <v>151</v>
      </c>
      <c r="R15" s="1">
        <f>IF(vend14[[#This Row],[Nº Venda]]&gt;1,1,0)</f>
        <v>0</v>
      </c>
    </row>
    <row r="16" spans="2:18" ht="16.5" x14ac:dyDescent="0.3">
      <c r="B16" s="33" t="s">
        <v>11</v>
      </c>
      <c r="C16" s="75">
        <f>SUM(C11:C15)</f>
        <v>5625.39</v>
      </c>
      <c r="D16" s="32"/>
      <c r="E16" s="80"/>
      <c r="F16" s="81"/>
      <c r="G16" s="54"/>
      <c r="H16" s="41"/>
      <c r="I16" s="41"/>
      <c r="J16" s="32"/>
      <c r="K16" s="80">
        <v>10973</v>
      </c>
      <c r="L16" s="95" t="s">
        <v>129</v>
      </c>
      <c r="M16" s="46" t="s">
        <v>151</v>
      </c>
      <c r="R16" s="1">
        <f>IF(vend14[[#This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11282</v>
      </c>
      <c r="L17" s="95" t="s">
        <v>129</v>
      </c>
      <c r="M17" s="46" t="s">
        <v>151</v>
      </c>
      <c r="R17" s="1">
        <f>IF(vend14[[#This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11283</v>
      </c>
      <c r="L18" s="95" t="s">
        <v>129</v>
      </c>
      <c r="M18" s="46" t="s">
        <v>151</v>
      </c>
      <c r="R18" s="1">
        <f>IF(vend14[[#This Row],[Nº Venda]]&gt;1,1,0)</f>
        <v>0</v>
      </c>
    </row>
    <row r="19" spans="2:18" ht="16.5" x14ac:dyDescent="0.3">
      <c r="B19" s="30">
        <f>COUNT(entr_carn14[OS])</f>
        <v>1</v>
      </c>
      <c r="C19" s="74">
        <f>SUM(entr_carn14[Valor Total])</f>
        <v>549</v>
      </c>
      <c r="D19" s="32"/>
      <c r="E19" s="80"/>
      <c r="F19" s="81"/>
      <c r="G19" s="54"/>
      <c r="H19" s="41"/>
      <c r="I19" s="41"/>
      <c r="J19" s="32"/>
      <c r="K19" s="80">
        <v>11284</v>
      </c>
      <c r="L19" s="95" t="s">
        <v>129</v>
      </c>
      <c r="M19" s="46" t="s">
        <v>151</v>
      </c>
      <c r="R19" s="1">
        <f>IF(vend14[[#This Row],[Nº Venda]]&gt;1,1,0)</f>
        <v>0</v>
      </c>
    </row>
    <row r="20" spans="2:18" ht="16.5" x14ac:dyDescent="0.3">
      <c r="B20" s="33" t="s">
        <v>11</v>
      </c>
      <c r="C20" s="75">
        <f>SUM(C19:C19)</f>
        <v>549</v>
      </c>
      <c r="D20" s="32"/>
      <c r="E20" s="80"/>
      <c r="F20" s="54"/>
      <c r="G20" s="54"/>
      <c r="H20" s="41"/>
      <c r="I20" s="41"/>
      <c r="J20" s="32"/>
      <c r="K20" s="80">
        <v>11139</v>
      </c>
      <c r="L20" s="95" t="s">
        <v>129</v>
      </c>
      <c r="M20" s="46" t="s">
        <v>151</v>
      </c>
      <c r="R20" s="1">
        <f>IF(vend14[[#This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>
        <v>11309</v>
      </c>
      <c r="L21" s="95" t="s">
        <v>131</v>
      </c>
      <c r="M21" s="46" t="s">
        <v>151</v>
      </c>
    </row>
    <row r="22" spans="2:18" ht="16.5" x14ac:dyDescent="0.3">
      <c r="B22" s="33" t="s">
        <v>25</v>
      </c>
      <c r="C22" s="36">
        <f>C5</f>
        <v>8929.48</v>
      </c>
      <c r="D22" s="32"/>
      <c r="E22" s="82"/>
      <c r="F22" s="81"/>
      <c r="G22" s="54"/>
      <c r="H22" s="41"/>
      <c r="I22" s="41"/>
      <c r="J22" s="32"/>
      <c r="K22" s="80">
        <v>11309</v>
      </c>
      <c r="L22" s="95" t="s">
        <v>131</v>
      </c>
      <c r="M22" s="46" t="s">
        <v>152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>
        <v>11292</v>
      </c>
      <c r="L23" s="95" t="s">
        <v>131</v>
      </c>
      <c r="M23" s="46" t="s">
        <v>151</v>
      </c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>
        <v>11293</v>
      </c>
      <c r="L24" s="95" t="s">
        <v>131</v>
      </c>
      <c r="M24" s="46" t="s">
        <v>151</v>
      </c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>
        <v>11286</v>
      </c>
      <c r="L25" s="95" t="s">
        <v>131</v>
      </c>
      <c r="M25" s="46" t="s">
        <v>151</v>
      </c>
    </row>
    <row r="26" spans="2:18" ht="16.5" x14ac:dyDescent="0.3">
      <c r="B26" s="32"/>
      <c r="C26" s="32"/>
      <c r="D26" s="32"/>
      <c r="E26" s="80">
        <v>11263</v>
      </c>
      <c r="F26" s="81" t="s">
        <v>266</v>
      </c>
      <c r="G26" s="54" t="s">
        <v>8</v>
      </c>
      <c r="H26" s="41">
        <v>1290</v>
      </c>
      <c r="I26" s="41">
        <v>890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>
        <v>11263</v>
      </c>
      <c r="F27" s="81" t="s">
        <v>266</v>
      </c>
      <c r="G27" s="54" t="s">
        <v>8</v>
      </c>
      <c r="H27" s="41"/>
      <c r="I27" s="41">
        <v>400</v>
      </c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>
        <v>11363</v>
      </c>
      <c r="F28" s="81" t="s">
        <v>244</v>
      </c>
      <c r="G28" s="54" t="s">
        <v>7</v>
      </c>
      <c r="H28" s="41"/>
      <c r="I28" s="41">
        <v>20</v>
      </c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>
        <v>11236</v>
      </c>
      <c r="F29" s="81" t="s">
        <v>267</v>
      </c>
      <c r="G29" s="54" t="s">
        <v>10</v>
      </c>
      <c r="H29" s="41"/>
      <c r="I29" s="41">
        <v>300</v>
      </c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>
        <v>11139</v>
      </c>
      <c r="F30" s="54" t="s">
        <v>269</v>
      </c>
      <c r="G30" s="54" t="s">
        <v>6</v>
      </c>
      <c r="H30" s="41"/>
      <c r="I30" s="41">
        <v>200</v>
      </c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10922</v>
      </c>
      <c r="F35" s="81" t="s">
        <v>268</v>
      </c>
      <c r="G35" s="54" t="s">
        <v>6</v>
      </c>
      <c r="H35" s="41">
        <v>50.9</v>
      </c>
      <c r="I35" s="41" t="s">
        <v>90</v>
      </c>
      <c r="J35" s="40"/>
      <c r="K35" s="80">
        <v>11309</v>
      </c>
      <c r="L35" s="80">
        <v>8</v>
      </c>
      <c r="M35" s="95">
        <v>549</v>
      </c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9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zoomScale="90" zoomScaleNormal="90" workbookViewId="0">
      <selection activeCell="G18" sqref="G1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'14'!B1+1</f>
        <v>45853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2974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2493</v>
      </c>
      <c r="D6" s="32"/>
      <c r="E6" s="80">
        <v>11387</v>
      </c>
      <c r="F6" s="81" t="s">
        <v>271</v>
      </c>
      <c r="G6" s="53" t="s">
        <v>6</v>
      </c>
      <c r="H6" s="41">
        <v>900</v>
      </c>
      <c r="I6" s="41">
        <v>450</v>
      </c>
      <c r="J6" s="32"/>
      <c r="K6" s="81" t="s">
        <v>145</v>
      </c>
      <c r="L6" s="95" t="s">
        <v>10</v>
      </c>
      <c r="M6" s="46">
        <v>3.56</v>
      </c>
      <c r="R6" s="1">
        <f>IF(vend15[[#This Row],[Nº Venda]]&gt;1,1,0)</f>
        <v>1</v>
      </c>
    </row>
    <row r="7" spans="2:18" ht="16.5" x14ac:dyDescent="0.3">
      <c r="B7" s="30" t="s">
        <v>3</v>
      </c>
      <c r="C7" s="31">
        <f>SUM(M6:M11)</f>
        <v>3.56</v>
      </c>
      <c r="D7" s="32"/>
      <c r="E7" s="80">
        <v>11388</v>
      </c>
      <c r="F7" s="81" t="s">
        <v>272</v>
      </c>
      <c r="G7" s="53" t="s">
        <v>46</v>
      </c>
      <c r="H7" s="41">
        <v>250</v>
      </c>
      <c r="I7" s="41">
        <v>0</v>
      </c>
      <c r="J7" s="32"/>
      <c r="K7" s="81"/>
      <c r="L7" s="95"/>
      <c r="M7" s="46"/>
      <c r="R7" s="1">
        <f>IF(vend15[[#This Row],[Nº Venda]]&gt;1,1,0)</f>
        <v>1</v>
      </c>
    </row>
    <row r="8" spans="2:18" ht="16.5" x14ac:dyDescent="0.3">
      <c r="B8" s="33" t="s">
        <v>21</v>
      </c>
      <c r="C8" s="34">
        <f>SUM(C6:C7)</f>
        <v>2496.56</v>
      </c>
      <c r="D8" s="32"/>
      <c r="E8" s="80">
        <v>11389</v>
      </c>
      <c r="F8" s="81" t="s">
        <v>273</v>
      </c>
      <c r="G8" s="54" t="s">
        <v>6</v>
      </c>
      <c r="H8" s="41">
        <v>99.5</v>
      </c>
      <c r="I8" s="41">
        <v>99.5</v>
      </c>
      <c r="J8" s="32"/>
      <c r="K8" s="81"/>
      <c r="L8" s="95"/>
      <c r="M8" s="46"/>
      <c r="R8" s="1">
        <f>IF(vend15[[#This Row],[Nº Venda]]&gt;1,1,0)</f>
        <v>1</v>
      </c>
    </row>
    <row r="9" spans="2:18" ht="16.5" x14ac:dyDescent="0.3">
      <c r="B9" s="29"/>
      <c r="C9" s="29"/>
      <c r="D9" s="32"/>
      <c r="E9" s="80">
        <v>11390</v>
      </c>
      <c r="F9" s="81" t="s">
        <v>272</v>
      </c>
      <c r="G9" s="54" t="s">
        <v>8</v>
      </c>
      <c r="H9" s="41">
        <v>24.5</v>
      </c>
      <c r="I9" s="41">
        <v>24.5</v>
      </c>
      <c r="J9" s="32"/>
      <c r="K9" s="81"/>
      <c r="L9" s="95"/>
      <c r="M9" s="46"/>
      <c r="R9" s="1">
        <f>IF(vend15[[#This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11391</v>
      </c>
      <c r="F10" s="81" t="s">
        <v>276</v>
      </c>
      <c r="G10" s="54" t="s">
        <v>7</v>
      </c>
      <c r="H10" s="41">
        <v>1300</v>
      </c>
      <c r="I10" s="41">
        <v>1300</v>
      </c>
      <c r="J10" s="32"/>
      <c r="K10" s="81"/>
      <c r="L10" s="95"/>
      <c r="M10" s="46"/>
      <c r="R10" s="1">
        <f>IF(vend15[[#This Row],[Nº Venda]]&gt;1,1,0)</f>
        <v>1</v>
      </c>
    </row>
    <row r="11" spans="2:18" ht="16.5" x14ac:dyDescent="0.3">
      <c r="B11" s="30" t="s">
        <v>6</v>
      </c>
      <c r="C11" s="74">
        <f>(SUMIF($G$2:$G$31,B11,$I$2:$I$31))+(SUMIF($G$35:$G$41,B11,$H$35:$H$41))</f>
        <v>669.5</v>
      </c>
      <c r="D11" s="32"/>
      <c r="E11" s="80">
        <v>11392</v>
      </c>
      <c r="F11" s="81" t="s">
        <v>277</v>
      </c>
      <c r="G11" s="54" t="s">
        <v>36</v>
      </c>
      <c r="H11" s="41">
        <v>0</v>
      </c>
      <c r="I11" s="41">
        <v>0</v>
      </c>
      <c r="J11" s="32"/>
      <c r="K11" s="40"/>
      <c r="L11" s="95"/>
      <c r="M11" s="46"/>
      <c r="O11" s="1">
        <f>IF(C16=0,0,1)</f>
        <v>1</v>
      </c>
      <c r="R11" s="1">
        <f>IF(vend15[[#This Row],[Nº Venda]]&gt;1,1,0)</f>
        <v>1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1799</v>
      </c>
      <c r="D12" s="32"/>
      <c r="E12" s="80">
        <v>11393</v>
      </c>
      <c r="F12" s="81" t="s">
        <v>278</v>
      </c>
      <c r="G12" s="54" t="s">
        <v>7</v>
      </c>
      <c r="H12" s="41">
        <v>650</v>
      </c>
      <c r="I12" s="41">
        <v>100</v>
      </c>
      <c r="J12" s="32"/>
      <c r="K12" s="35"/>
      <c r="L12" s="35"/>
      <c r="M12" s="35"/>
      <c r="R12" s="1">
        <f>IF(vend15[[#This Row],[Nº Venda]]&gt;1,1,0)</f>
        <v>1</v>
      </c>
    </row>
    <row r="13" spans="2:18" ht="16.5" x14ac:dyDescent="0.3">
      <c r="B13" s="30" t="s">
        <v>8</v>
      </c>
      <c r="C13" s="74">
        <f t="shared" si="0"/>
        <v>24.5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IF(vend15[[#This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>
        <v>11331</v>
      </c>
      <c r="L15" s="95" t="s">
        <v>129</v>
      </c>
      <c r="M15" s="46" t="s">
        <v>151</v>
      </c>
      <c r="R15" s="1">
        <f>IF(vend15[[#This Row],[Nº Venda]]&gt;1,1,0)</f>
        <v>0</v>
      </c>
    </row>
    <row r="16" spans="2:18" ht="16.5" x14ac:dyDescent="0.3">
      <c r="B16" s="33" t="s">
        <v>11</v>
      </c>
      <c r="C16" s="75">
        <f>SUM(C11:C15)</f>
        <v>2493</v>
      </c>
      <c r="D16" s="32"/>
      <c r="E16" s="80"/>
      <c r="F16" s="81"/>
      <c r="G16" s="54"/>
      <c r="H16" s="41"/>
      <c r="I16" s="41"/>
      <c r="J16" s="32"/>
      <c r="K16" s="80">
        <v>11225</v>
      </c>
      <c r="L16" s="95" t="s">
        <v>131</v>
      </c>
      <c r="M16" s="46" t="s">
        <v>151</v>
      </c>
      <c r="R16" s="1">
        <f>IF(vend15[[#This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11307</v>
      </c>
      <c r="L17" s="95" t="s">
        <v>129</v>
      </c>
      <c r="M17" s="46" t="s">
        <v>151</v>
      </c>
      <c r="R17" s="1">
        <f>IF(vend15[[#This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11321</v>
      </c>
      <c r="L18" s="95" t="s">
        <v>131</v>
      </c>
      <c r="M18" s="46" t="s">
        <v>151</v>
      </c>
      <c r="R18" s="1">
        <f>IF(vend15[[#This Row],[Nº Venda]]&gt;1,1,0)</f>
        <v>0</v>
      </c>
    </row>
    <row r="19" spans="2:18" ht="16.5" x14ac:dyDescent="0.3">
      <c r="B19" s="30">
        <f>COUNT(entr_carn15[OS])</f>
        <v>0</v>
      </c>
      <c r="C19" s="74">
        <f>SUM(entr_carn15[Valor Total])</f>
        <v>0</v>
      </c>
      <c r="D19" s="32"/>
      <c r="E19" s="80"/>
      <c r="F19" s="81"/>
      <c r="G19" s="54"/>
      <c r="H19" s="41"/>
      <c r="I19" s="41"/>
      <c r="J19" s="32"/>
      <c r="K19" s="80">
        <v>11344</v>
      </c>
      <c r="L19" s="95" t="s">
        <v>131</v>
      </c>
      <c r="M19" s="46" t="s">
        <v>151</v>
      </c>
      <c r="R19" s="1">
        <f>IF(vend15[[#This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2974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>
        <v>11225</v>
      </c>
      <c r="F26" s="81" t="s">
        <v>275</v>
      </c>
      <c r="G26" s="53" t="s">
        <v>7</v>
      </c>
      <c r="H26" s="41"/>
      <c r="I26" s="41">
        <v>399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11251</v>
      </c>
      <c r="F35" s="81" t="s">
        <v>274</v>
      </c>
      <c r="G35" s="54" t="s">
        <v>6</v>
      </c>
      <c r="H35" s="41">
        <v>120</v>
      </c>
      <c r="I35" s="41" t="s">
        <v>32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7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zoomScale="90" zoomScaleNormal="90" workbookViewId="0">
      <selection activeCell="H13" sqref="H13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'15'!B1+1</f>
        <v>45854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2836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2213</v>
      </c>
      <c r="D6" s="32"/>
      <c r="E6" s="80">
        <v>11394</v>
      </c>
      <c r="F6" s="81" t="s">
        <v>280</v>
      </c>
      <c r="G6" s="53" t="s">
        <v>7</v>
      </c>
      <c r="H6" s="41">
        <v>499</v>
      </c>
      <c r="I6" s="41">
        <v>20</v>
      </c>
      <c r="J6" s="32"/>
      <c r="K6" s="81" t="s">
        <v>145</v>
      </c>
      <c r="L6" s="95" t="s">
        <v>10</v>
      </c>
      <c r="M6" s="46">
        <v>3.61</v>
      </c>
      <c r="R6" s="1">
        <f>IF(vend16[[#This Row],[Nº Venda]]&gt;1,1,0)</f>
        <v>1</v>
      </c>
    </row>
    <row r="7" spans="2:18" ht="16.5" x14ac:dyDescent="0.3">
      <c r="B7" s="30" t="s">
        <v>3</v>
      </c>
      <c r="C7" s="31">
        <f>SUM(M6:M11)</f>
        <v>3.61</v>
      </c>
      <c r="D7" s="32"/>
      <c r="E7" s="80">
        <v>11395</v>
      </c>
      <c r="F7" s="81" t="s">
        <v>281</v>
      </c>
      <c r="G7" s="53" t="s">
        <v>10</v>
      </c>
      <c r="H7" s="41">
        <v>599</v>
      </c>
      <c r="I7" s="41">
        <v>599</v>
      </c>
      <c r="J7" s="32"/>
      <c r="K7" s="81"/>
      <c r="L7" s="95"/>
      <c r="M7" s="46"/>
      <c r="R7" s="1">
        <f>IF(vend16[[#This Row],[Nº Venda]]&gt;1,1,0)</f>
        <v>1</v>
      </c>
    </row>
    <row r="8" spans="2:18" ht="16.5" x14ac:dyDescent="0.3">
      <c r="B8" s="33" t="s">
        <v>21</v>
      </c>
      <c r="C8" s="34">
        <f>SUM(C6:C7)</f>
        <v>2216.61</v>
      </c>
      <c r="D8" s="32"/>
      <c r="E8" s="80">
        <v>11396</v>
      </c>
      <c r="F8" s="81" t="s">
        <v>282</v>
      </c>
      <c r="G8" s="54" t="s">
        <v>10</v>
      </c>
      <c r="H8" s="41">
        <v>299</v>
      </c>
      <c r="I8" s="41">
        <v>120</v>
      </c>
      <c r="J8" s="32"/>
      <c r="K8" s="81"/>
      <c r="L8" s="95"/>
      <c r="M8" s="46"/>
      <c r="R8" s="1">
        <f>IF(vend16[[#This Row],[Nº Venda]]&gt;1,1,0)</f>
        <v>1</v>
      </c>
    </row>
    <row r="9" spans="2:18" ht="16.5" x14ac:dyDescent="0.3">
      <c r="B9" s="29"/>
      <c r="C9" s="29"/>
      <c r="D9" s="32"/>
      <c r="E9" s="80">
        <v>11397</v>
      </c>
      <c r="F9" s="81" t="s">
        <v>284</v>
      </c>
      <c r="G9" s="54" t="s">
        <v>7</v>
      </c>
      <c r="H9" s="41">
        <v>300</v>
      </c>
      <c r="I9" s="41">
        <v>50</v>
      </c>
      <c r="J9" s="32"/>
      <c r="K9" s="81"/>
      <c r="L9" s="95"/>
      <c r="M9" s="46"/>
      <c r="R9" s="1">
        <f>IF(vend16[[#This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11398</v>
      </c>
      <c r="F10" s="81" t="s">
        <v>285</v>
      </c>
      <c r="G10" s="54" t="s">
        <v>36</v>
      </c>
      <c r="H10" s="41">
        <v>0</v>
      </c>
      <c r="I10" s="41">
        <v>0</v>
      </c>
      <c r="J10" s="32"/>
      <c r="K10" s="81"/>
      <c r="L10" s="95"/>
      <c r="M10" s="46"/>
      <c r="R10" s="1">
        <f>IF(vend16[[#This Row],[Nº Venda]]&gt;1,1,0)</f>
        <v>1</v>
      </c>
    </row>
    <row r="11" spans="2:18" ht="16.5" x14ac:dyDescent="0.3">
      <c r="B11" s="30" t="s">
        <v>6</v>
      </c>
      <c r="C11" s="74">
        <f>(SUMIF($G$2:$G$31,B11,$I$2:$I$31))+(SUMIF($G$35:$G$41,B11,$H$35:$H$41))</f>
        <v>85</v>
      </c>
      <c r="D11" s="32"/>
      <c r="E11" s="80">
        <v>11399</v>
      </c>
      <c r="F11" s="81" t="s">
        <v>286</v>
      </c>
      <c r="G11" s="54" t="s">
        <v>10</v>
      </c>
      <c r="H11" s="41">
        <v>249</v>
      </c>
      <c r="I11" s="41">
        <v>50</v>
      </c>
      <c r="J11" s="32"/>
      <c r="K11" s="40"/>
      <c r="L11" s="95"/>
      <c r="M11" s="46"/>
      <c r="O11" s="1">
        <f>IF(C16=0,0,1)</f>
        <v>1</v>
      </c>
      <c r="R11" s="1">
        <f>IF(vend16[[#This Row],[Nº Venda]]&gt;1,1,0)</f>
        <v>1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70</v>
      </c>
      <c r="D12" s="32"/>
      <c r="E12" s="80">
        <v>11400</v>
      </c>
      <c r="F12" s="81" t="s">
        <v>287</v>
      </c>
      <c r="G12" s="54" t="s">
        <v>8</v>
      </c>
      <c r="H12" s="41">
        <v>890</v>
      </c>
      <c r="I12" s="41">
        <v>890</v>
      </c>
      <c r="J12" s="32"/>
      <c r="K12" s="35"/>
      <c r="L12" s="35"/>
      <c r="M12" s="35"/>
      <c r="R12" s="1">
        <f>IF(vend16[[#This Row],[Nº Venda]]&gt;1,1,0)</f>
        <v>1</v>
      </c>
    </row>
    <row r="13" spans="2:18" ht="16.5" x14ac:dyDescent="0.3">
      <c r="B13" s="30" t="s">
        <v>8</v>
      </c>
      <c r="C13" s="74">
        <f t="shared" si="0"/>
        <v>1189</v>
      </c>
      <c r="D13" s="32"/>
      <c r="E13" s="80">
        <v>11401</v>
      </c>
      <c r="F13" s="81" t="s">
        <v>288</v>
      </c>
      <c r="G13" s="54" t="s">
        <v>46</v>
      </c>
      <c r="H13" s="41" t="s">
        <v>54</v>
      </c>
      <c r="I13" s="41"/>
      <c r="J13" s="32"/>
      <c r="K13" s="107" t="s">
        <v>142</v>
      </c>
      <c r="L13" s="108"/>
      <c r="M13" s="109"/>
      <c r="R13" s="1">
        <f>IF(vend16[[#This Row],[Nº Venda]]&gt;1,1,0)</f>
        <v>1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IF(vend16[[#This Row],[Nº Venda]]&gt;1,1,0)</f>
        <v>0</v>
      </c>
    </row>
    <row r="15" spans="2:18" ht="16.5" x14ac:dyDescent="0.3">
      <c r="B15" s="30" t="s">
        <v>10</v>
      </c>
      <c r="C15" s="74">
        <f t="shared" si="0"/>
        <v>869</v>
      </c>
      <c r="D15" s="32"/>
      <c r="E15" s="80">
        <v>11403</v>
      </c>
      <c r="F15" s="81" t="s">
        <v>288</v>
      </c>
      <c r="G15" s="54" t="s">
        <v>46</v>
      </c>
      <c r="H15" s="41">
        <v>299.99</v>
      </c>
      <c r="I15" s="41"/>
      <c r="J15" s="32"/>
      <c r="K15" s="80">
        <v>11319</v>
      </c>
      <c r="L15" s="95" t="s">
        <v>131</v>
      </c>
      <c r="M15" s="46" t="s">
        <v>151</v>
      </c>
      <c r="R15" s="1">
        <f>IF(vend16[[#This Row],[Nº Venda]]&gt;1,1,0)</f>
        <v>1</v>
      </c>
    </row>
    <row r="16" spans="2:18" ht="16.5" x14ac:dyDescent="0.3">
      <c r="B16" s="33" t="s">
        <v>11</v>
      </c>
      <c r="C16" s="75">
        <f>SUM(C11:C15)</f>
        <v>2213</v>
      </c>
      <c r="D16" s="32"/>
      <c r="E16" s="80"/>
      <c r="F16" s="81"/>
      <c r="G16" s="54"/>
      <c r="H16" s="41"/>
      <c r="I16" s="41"/>
      <c r="J16" s="32"/>
      <c r="K16" s="80">
        <v>11318</v>
      </c>
      <c r="L16" s="95" t="s">
        <v>131</v>
      </c>
      <c r="M16" s="46" t="s">
        <v>151</v>
      </c>
      <c r="R16" s="1">
        <f>IF(vend16[[#This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11300</v>
      </c>
      <c r="L17" s="95" t="s">
        <v>129</v>
      </c>
      <c r="M17" s="46" t="s">
        <v>151</v>
      </c>
      <c r="R17" s="1">
        <f>IF(vend16[[#This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11274</v>
      </c>
      <c r="L18" s="95" t="s">
        <v>129</v>
      </c>
      <c r="M18" s="46" t="s">
        <v>151</v>
      </c>
      <c r="R18" s="1">
        <f>IF(vend16[[#This Row],[Nº Venda]]&gt;1,1,0)</f>
        <v>0</v>
      </c>
    </row>
    <row r="19" spans="2:18" ht="16.5" x14ac:dyDescent="0.3">
      <c r="B19" s="30">
        <f>COUNT(entr_carn16[OS])</f>
        <v>0</v>
      </c>
      <c r="C19" s="74">
        <f>SUM(entr_carn16[Valor Total])</f>
        <v>0</v>
      </c>
      <c r="D19" s="32"/>
      <c r="E19" s="80"/>
      <c r="F19" s="81"/>
      <c r="G19" s="54"/>
      <c r="H19" s="41"/>
      <c r="I19" s="41"/>
      <c r="J19" s="32"/>
      <c r="K19" s="80">
        <v>11338</v>
      </c>
      <c r="L19" s="95" t="s">
        <v>129</v>
      </c>
      <c r="M19" s="46" t="s">
        <v>151</v>
      </c>
      <c r="R19" s="1">
        <f>IF(vend16[[#This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>
        <v>11304</v>
      </c>
      <c r="L20" s="95" t="s">
        <v>129</v>
      </c>
      <c r="M20" s="46" t="s">
        <v>151</v>
      </c>
      <c r="R20" s="1">
        <f>IF(vend16[[#This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>
        <v>11249</v>
      </c>
      <c r="L21" s="95" t="s">
        <v>131</v>
      </c>
      <c r="M21" s="46" t="s">
        <v>151</v>
      </c>
    </row>
    <row r="22" spans="2:18" ht="16.5" x14ac:dyDescent="0.3">
      <c r="B22" s="33" t="s">
        <v>25</v>
      </c>
      <c r="C22" s="36">
        <f>C5</f>
        <v>2836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>
        <v>11338</v>
      </c>
      <c r="F26" s="81" t="s">
        <v>284</v>
      </c>
      <c r="G26" s="53" t="s">
        <v>8</v>
      </c>
      <c r="H26" s="41"/>
      <c r="I26" s="41">
        <v>299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11130</v>
      </c>
      <c r="F35" s="81" t="s">
        <v>279</v>
      </c>
      <c r="G35" s="54" t="s">
        <v>10</v>
      </c>
      <c r="H35" s="41">
        <v>100</v>
      </c>
      <c r="I35" s="41" t="s">
        <v>38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>
        <v>11119</v>
      </c>
      <c r="F36" s="81" t="s">
        <v>283</v>
      </c>
      <c r="G36" s="54" t="s">
        <v>6</v>
      </c>
      <c r="H36" s="41">
        <v>85</v>
      </c>
      <c r="I36" s="41" t="s">
        <v>32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9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topLeftCell="B2" zoomScale="90" zoomScaleNormal="90" workbookViewId="0">
      <selection activeCell="F8" sqref="F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'16'!B1+1</f>
        <v>45855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2249.9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1494.05</v>
      </c>
      <c r="D6" s="32"/>
      <c r="E6" s="80">
        <v>11402</v>
      </c>
      <c r="F6" s="81" t="s">
        <v>289</v>
      </c>
      <c r="G6" s="54" t="s">
        <v>46</v>
      </c>
      <c r="H6" s="41"/>
      <c r="I6" s="41"/>
      <c r="J6" s="32"/>
      <c r="K6" s="81" t="s">
        <v>290</v>
      </c>
      <c r="L6" s="95" t="s">
        <v>291</v>
      </c>
      <c r="M6" s="46">
        <v>16</v>
      </c>
      <c r="R6" s="1">
        <f>IF(vend17[[#This Row],[Nº Venda]]&gt;1,1,0)</f>
        <v>1</v>
      </c>
    </row>
    <row r="7" spans="2:18" ht="16.5" x14ac:dyDescent="0.3">
      <c r="B7" s="30" t="s">
        <v>3</v>
      </c>
      <c r="C7" s="31">
        <f>SUM(M6:M11)</f>
        <v>30</v>
      </c>
      <c r="D7" s="32"/>
      <c r="E7" s="80">
        <v>11404</v>
      </c>
      <c r="F7" s="81" t="s">
        <v>295</v>
      </c>
      <c r="G7" s="54" t="s">
        <v>46</v>
      </c>
      <c r="H7" s="41">
        <v>4588.99</v>
      </c>
      <c r="I7" s="41"/>
      <c r="J7" s="32"/>
      <c r="K7" s="81" t="s">
        <v>145</v>
      </c>
      <c r="L7" s="95" t="s">
        <v>10</v>
      </c>
      <c r="M7" s="46">
        <v>4</v>
      </c>
      <c r="R7" s="1">
        <f>IF(vend17[[#This Row],[Nº Venda]]&gt;1,1,0)</f>
        <v>1</v>
      </c>
    </row>
    <row r="8" spans="2:18" ht="16.5" x14ac:dyDescent="0.3">
      <c r="B8" s="33" t="s">
        <v>21</v>
      </c>
      <c r="C8" s="34">
        <f>SUM(C6:C7)</f>
        <v>1524.05</v>
      </c>
      <c r="D8" s="32"/>
      <c r="E8" s="80">
        <v>11405</v>
      </c>
      <c r="F8" s="81" t="s">
        <v>295</v>
      </c>
      <c r="G8" s="54" t="s">
        <v>46</v>
      </c>
      <c r="H8" s="41">
        <v>299</v>
      </c>
      <c r="I8" s="41"/>
      <c r="J8" s="32"/>
      <c r="K8" s="81" t="s">
        <v>294</v>
      </c>
      <c r="L8" s="95" t="s">
        <v>291</v>
      </c>
      <c r="M8" s="46">
        <v>10</v>
      </c>
      <c r="R8" s="1">
        <f>IF(vend17[[#This Row],[Nº Venda]]&gt;1,1,0)</f>
        <v>1</v>
      </c>
    </row>
    <row r="9" spans="2:18" ht="16.5" x14ac:dyDescent="0.3">
      <c r="B9" s="29"/>
      <c r="C9" s="29"/>
      <c r="D9" s="32"/>
      <c r="E9" s="80">
        <v>11406</v>
      </c>
      <c r="F9" s="81" t="s">
        <v>296</v>
      </c>
      <c r="G9" s="54" t="s">
        <v>10</v>
      </c>
      <c r="H9" s="41">
        <v>49.9</v>
      </c>
      <c r="I9" s="41">
        <v>20</v>
      </c>
      <c r="J9" s="32"/>
      <c r="K9" s="81"/>
      <c r="L9" s="95"/>
      <c r="M9" s="46"/>
      <c r="R9" s="1">
        <f>IF(vend17[[#This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11407</v>
      </c>
      <c r="F10" s="81" t="s">
        <v>297</v>
      </c>
      <c r="G10" s="54" t="s">
        <v>7</v>
      </c>
      <c r="H10" s="41">
        <v>1950</v>
      </c>
      <c r="I10" s="41">
        <v>100</v>
      </c>
      <c r="J10" s="32"/>
      <c r="K10" s="81"/>
      <c r="L10" s="95"/>
      <c r="M10" s="46"/>
      <c r="R10" s="1">
        <f>IF(vend17[[#This Row],[Nº Venda]]&gt;1,1,0)</f>
        <v>1</v>
      </c>
    </row>
    <row r="11" spans="2:18" ht="16.5" x14ac:dyDescent="0.3">
      <c r="B11" s="30" t="s">
        <v>6</v>
      </c>
      <c r="C11" s="74">
        <f>(SUMIF($G$2:$G$31,B11,$I$2:$I$31))+(SUMIF($G$35:$G$41,B11,$H$35:$H$41))</f>
        <v>134.05000000000001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350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IF(vend17[[#This Row],[Nº Venda]]&gt;1,1,0)</f>
        <v>0</v>
      </c>
    </row>
    <row r="13" spans="2:18" ht="16.5" x14ac:dyDescent="0.3">
      <c r="B13" s="30" t="s">
        <v>8</v>
      </c>
      <c r="C13" s="74">
        <f t="shared" si="0"/>
        <v>695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IF(vend17[[#This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IF(vend17[[#This Row],[Nº Venda]]&gt;1,1,0)</f>
        <v>0</v>
      </c>
    </row>
    <row r="15" spans="2:18" ht="16.5" x14ac:dyDescent="0.3">
      <c r="B15" s="30" t="s">
        <v>10</v>
      </c>
      <c r="C15" s="74">
        <f t="shared" si="0"/>
        <v>315</v>
      </c>
      <c r="D15" s="32"/>
      <c r="E15" s="80"/>
      <c r="F15" s="81"/>
      <c r="G15" s="54"/>
      <c r="H15" s="41"/>
      <c r="I15" s="41"/>
      <c r="J15" s="32"/>
      <c r="K15" s="80">
        <v>11302</v>
      </c>
      <c r="L15" s="95" t="s">
        <v>129</v>
      </c>
      <c r="M15" s="46" t="s">
        <v>151</v>
      </c>
      <c r="R15" s="1">
        <f>IF(vend17[[#This Row],[Nº Venda]]&gt;1,1,0)</f>
        <v>0</v>
      </c>
    </row>
    <row r="16" spans="2:18" ht="16.5" x14ac:dyDescent="0.3">
      <c r="B16" s="33" t="s">
        <v>11</v>
      </c>
      <c r="C16" s="75">
        <f>SUM(C11:C15)</f>
        <v>1494.05</v>
      </c>
      <c r="D16" s="32"/>
      <c r="E16" s="80"/>
      <c r="F16" s="81"/>
      <c r="G16" s="54"/>
      <c r="H16" s="41"/>
      <c r="I16" s="41"/>
      <c r="J16" s="32"/>
      <c r="K16" s="80">
        <v>11006</v>
      </c>
      <c r="L16" s="95" t="s">
        <v>131</v>
      </c>
      <c r="M16" s="46" t="s">
        <v>151</v>
      </c>
      <c r="R16" s="1">
        <f>IF(vend17[[#This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11204</v>
      </c>
      <c r="L17" s="95" t="s">
        <v>129</v>
      </c>
      <c r="M17" s="46" t="s">
        <v>151</v>
      </c>
      <c r="R17" s="1">
        <f>IF(vend17[[#This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11205</v>
      </c>
      <c r="L18" s="95" t="s">
        <v>129</v>
      </c>
      <c r="M18" s="46" t="s">
        <v>151</v>
      </c>
      <c r="R18" s="1">
        <f>IF(vend17[[#This Row],[Nº Venda]]&gt;1,1,0)</f>
        <v>0</v>
      </c>
    </row>
    <row r="19" spans="2:18" ht="16.5" x14ac:dyDescent="0.3">
      <c r="B19" s="30">
        <f>COUNT(entr_carn17[OS])</f>
        <v>0</v>
      </c>
      <c r="C19" s="74">
        <f>SUM(entr_carn17[Valor Total])</f>
        <v>0</v>
      </c>
      <c r="D19" s="32"/>
      <c r="E19" s="80"/>
      <c r="F19" s="81"/>
      <c r="G19" s="54"/>
      <c r="H19" s="41"/>
      <c r="I19" s="41"/>
      <c r="J19" s="32"/>
      <c r="K19" s="80">
        <v>11350</v>
      </c>
      <c r="L19" s="95" t="s">
        <v>129</v>
      </c>
      <c r="M19" s="46" t="s">
        <v>151</v>
      </c>
      <c r="R19" s="1">
        <f>IF(vend17[[#This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>
        <v>11339</v>
      </c>
      <c r="L20" s="95" t="s">
        <v>129</v>
      </c>
      <c r="M20" s="46" t="s">
        <v>151</v>
      </c>
      <c r="R20" s="1">
        <f>IF(vend17[[#This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>
        <v>11406</v>
      </c>
      <c r="L21" s="95" t="s">
        <v>131</v>
      </c>
      <c r="M21" s="46" t="s">
        <v>151</v>
      </c>
    </row>
    <row r="22" spans="2:18" ht="16.5" x14ac:dyDescent="0.3">
      <c r="B22" s="33" t="s">
        <v>25</v>
      </c>
      <c r="C22" s="36">
        <f>C5</f>
        <v>2249.9</v>
      </c>
      <c r="D22" s="32"/>
      <c r="E22" s="82"/>
      <c r="F22" s="81"/>
      <c r="G22" s="54"/>
      <c r="H22" s="41"/>
      <c r="I22" s="41"/>
      <c r="J22" s="32"/>
      <c r="K22" s="80">
        <v>11143</v>
      </c>
      <c r="L22" s="95" t="s">
        <v>131</v>
      </c>
      <c r="M22" s="46" t="s">
        <v>151</v>
      </c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>
        <v>11388</v>
      </c>
      <c r="F26" s="81" t="s">
        <v>272</v>
      </c>
      <c r="G26" s="54" t="s">
        <v>7</v>
      </c>
      <c r="H26" s="41">
        <v>250</v>
      </c>
      <c r="I26" s="41">
        <v>250</v>
      </c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>
        <v>11308</v>
      </c>
      <c r="F27" s="81" t="s">
        <v>147</v>
      </c>
      <c r="G27" s="54" t="s">
        <v>8</v>
      </c>
      <c r="H27" s="41"/>
      <c r="I27" s="41">
        <v>695</v>
      </c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11047</v>
      </c>
      <c r="F35" s="81" t="s">
        <v>292</v>
      </c>
      <c r="G35" s="54" t="s">
        <v>10</v>
      </c>
      <c r="H35" s="41">
        <v>295</v>
      </c>
      <c r="I35" s="41" t="s">
        <v>42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>
        <v>11811</v>
      </c>
      <c r="F36" s="81" t="s">
        <v>293</v>
      </c>
      <c r="G36" s="54" t="s">
        <v>6</v>
      </c>
      <c r="H36" s="41">
        <v>134.05000000000001</v>
      </c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5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topLeftCell="B1" zoomScale="90" zoomScaleNormal="90" workbookViewId="0">
      <selection activeCell="H22" sqref="H2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6">
        <f>'17'!B1+1</f>
        <v>45856</v>
      </c>
      <c r="C1" s="116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1545.7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1545.7</v>
      </c>
      <c r="D6" s="32"/>
      <c r="E6" s="80">
        <v>11408</v>
      </c>
      <c r="F6" s="81" t="s">
        <v>298</v>
      </c>
      <c r="G6" s="54" t="s">
        <v>36</v>
      </c>
      <c r="H6" s="41"/>
      <c r="I6" s="41"/>
      <c r="J6" s="32"/>
      <c r="K6" s="81" t="s">
        <v>301</v>
      </c>
      <c r="L6" s="43" t="s">
        <v>6</v>
      </c>
      <c r="M6" s="46">
        <v>6.45</v>
      </c>
      <c r="R6" s="1">
        <f>IF(vend18[[#This Row],[Nº Venda]]&gt;1,1,0)</f>
        <v>1</v>
      </c>
    </row>
    <row r="7" spans="2:18" ht="16.5" x14ac:dyDescent="0.3">
      <c r="B7" s="30" t="s">
        <v>3</v>
      </c>
      <c r="C7" s="31">
        <f>SUM(M6:M11)</f>
        <v>9.1999999999999993</v>
      </c>
      <c r="D7" s="32"/>
      <c r="E7" s="80">
        <v>11409</v>
      </c>
      <c r="F7" s="81" t="s">
        <v>299</v>
      </c>
      <c r="G7" s="54" t="s">
        <v>10</v>
      </c>
      <c r="H7" s="41">
        <v>49</v>
      </c>
      <c r="I7" s="41">
        <v>49</v>
      </c>
      <c r="J7" s="32"/>
      <c r="K7" s="81" t="s">
        <v>145</v>
      </c>
      <c r="L7" s="95" t="s">
        <v>302</v>
      </c>
      <c r="M7" s="46">
        <v>2.75</v>
      </c>
      <c r="R7" s="1">
        <f>IF(vend18[[#This Row],[Nº Venda]]&gt;1,1,0)</f>
        <v>1</v>
      </c>
    </row>
    <row r="8" spans="2:18" ht="16.5" x14ac:dyDescent="0.3">
      <c r="B8" s="33" t="s">
        <v>21</v>
      </c>
      <c r="C8" s="34">
        <f>SUM(C6:C7)</f>
        <v>1554.9</v>
      </c>
      <c r="D8" s="32"/>
      <c r="E8" s="80">
        <v>11410</v>
      </c>
      <c r="F8" s="81" t="s">
        <v>300</v>
      </c>
      <c r="G8" s="54" t="s">
        <v>8</v>
      </c>
      <c r="H8" s="41">
        <v>1350</v>
      </c>
      <c r="I8" s="41">
        <v>1350</v>
      </c>
      <c r="J8" s="32"/>
      <c r="K8" s="81"/>
      <c r="L8" s="95"/>
      <c r="M8" s="46"/>
      <c r="R8" s="1">
        <f>IF(vend18[[#This Row],[Nº Venda]]&gt;1,1,0)</f>
        <v>1</v>
      </c>
    </row>
    <row r="9" spans="2:18" ht="16.5" x14ac:dyDescent="0.3">
      <c r="B9" s="29"/>
      <c r="C9" s="29"/>
      <c r="D9" s="32"/>
      <c r="E9" s="80">
        <v>11411</v>
      </c>
      <c r="F9" s="81" t="s">
        <v>300</v>
      </c>
      <c r="G9" s="54" t="s">
        <v>6</v>
      </c>
      <c r="H9" s="41">
        <v>146.69999999999999</v>
      </c>
      <c r="I9" s="41">
        <v>92</v>
      </c>
      <c r="J9" s="32"/>
      <c r="K9" s="81"/>
      <c r="L9" s="95"/>
      <c r="M9" s="46"/>
      <c r="R9" s="1">
        <f>IF(vend18[[#This Row],[Nº Venda]]&gt;1,1,0)</f>
        <v>1</v>
      </c>
    </row>
    <row r="10" spans="2:18" ht="16.5" x14ac:dyDescent="0.3">
      <c r="B10" s="114" t="s">
        <v>5</v>
      </c>
      <c r="C10" s="115"/>
      <c r="D10" s="32"/>
      <c r="E10" s="80"/>
      <c r="F10" s="81"/>
      <c r="G10" s="54" t="s">
        <v>7</v>
      </c>
      <c r="H10" s="41"/>
      <c r="I10" s="41">
        <v>54.7</v>
      </c>
      <c r="J10" s="32"/>
      <c r="K10" s="81"/>
      <c r="L10" s="95"/>
      <c r="M10" s="46"/>
      <c r="R10" s="1">
        <f>IF(vend18[[#This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92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54.7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IF(vend18[[#This Row],[Nº Venda]]&gt;1,1,0)</f>
        <v>0</v>
      </c>
    </row>
    <row r="13" spans="2:18" ht="16.5" x14ac:dyDescent="0.3">
      <c r="B13" s="30" t="s">
        <v>8</v>
      </c>
      <c r="C13" s="74">
        <f t="shared" si="0"/>
        <v>1350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IF(vend18[[#This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IF(vend18[[#This Row],[Nº Venda]]&gt;1,1,0)</f>
        <v>0</v>
      </c>
    </row>
    <row r="15" spans="2:18" ht="16.5" x14ac:dyDescent="0.3">
      <c r="B15" s="30" t="s">
        <v>10</v>
      </c>
      <c r="C15" s="74">
        <f t="shared" si="0"/>
        <v>49</v>
      </c>
      <c r="D15" s="32"/>
      <c r="E15" s="80"/>
      <c r="F15" s="81"/>
      <c r="G15" s="54"/>
      <c r="H15" s="41"/>
      <c r="I15" s="41"/>
      <c r="J15" s="32"/>
      <c r="K15" s="80">
        <v>11287</v>
      </c>
      <c r="L15" s="95" t="s">
        <v>129</v>
      </c>
      <c r="M15" s="46" t="s">
        <v>152</v>
      </c>
      <c r="R15" s="1">
        <f>IF(vend18[[#This Row],[Nº Venda]]&gt;1,1,0)</f>
        <v>0</v>
      </c>
    </row>
    <row r="16" spans="2:18" ht="16.5" x14ac:dyDescent="0.3">
      <c r="B16" s="33" t="s">
        <v>11</v>
      </c>
      <c r="C16" s="75">
        <f>SUM(C11:C15)</f>
        <v>1545.7</v>
      </c>
      <c r="D16" s="32"/>
      <c r="E16" s="80"/>
      <c r="F16" s="81"/>
      <c r="G16" s="54"/>
      <c r="H16" s="41"/>
      <c r="I16" s="41"/>
      <c r="J16" s="32"/>
      <c r="K16" s="80">
        <v>11162</v>
      </c>
      <c r="L16" s="95" t="s">
        <v>129</v>
      </c>
      <c r="M16" s="46" t="s">
        <v>151</v>
      </c>
      <c r="R16" s="1">
        <f>IF(vend18[[#This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>
        <v>11402</v>
      </c>
      <c r="L17" s="95" t="s">
        <v>129</v>
      </c>
      <c r="M17" s="46" t="s">
        <v>151</v>
      </c>
      <c r="R17" s="1">
        <f>IF(vend18[[#This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>
        <v>11359</v>
      </c>
      <c r="L18" s="95" t="s">
        <v>131</v>
      </c>
      <c r="M18" s="46" t="s">
        <v>151</v>
      </c>
      <c r="R18" s="1">
        <f>IF(vend18[[#This Row],[Nº Venda]]&gt;1,1,0)</f>
        <v>0</v>
      </c>
    </row>
    <row r="19" spans="2:18" ht="16.5" x14ac:dyDescent="0.3">
      <c r="B19" s="30">
        <f>COUNT(entr_carn18[OS])</f>
        <v>1</v>
      </c>
      <c r="C19" s="74">
        <f>SUM(entr_carn18[Valor Total])</f>
        <v>240</v>
      </c>
      <c r="D19" s="32"/>
      <c r="E19" s="80"/>
      <c r="F19" s="81"/>
      <c r="G19" s="54"/>
      <c r="H19" s="41"/>
      <c r="I19" s="41"/>
      <c r="J19" s="32"/>
      <c r="K19" s="80">
        <v>11334</v>
      </c>
      <c r="L19" s="95" t="s">
        <v>131</v>
      </c>
      <c r="M19" s="46" t="s">
        <v>151</v>
      </c>
      <c r="R19" s="1">
        <f>IF(vend18[[#This Row],[Nº Venda]]&gt;1,1,0)</f>
        <v>0</v>
      </c>
    </row>
    <row r="20" spans="2:18" ht="16.5" x14ac:dyDescent="0.3">
      <c r="B20" s="33" t="s">
        <v>11</v>
      </c>
      <c r="C20" s="75">
        <f>SUM(C19:C19)</f>
        <v>240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1545.7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63"/>
      <c r="G23" s="44"/>
      <c r="H23" s="45"/>
      <c r="I23" s="45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>
        <v>11287</v>
      </c>
      <c r="L35" s="80"/>
      <c r="M35" s="95">
        <v>240</v>
      </c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4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6"/>
  <sheetViews>
    <sheetView showGridLines="0" tabSelected="1" topLeftCell="C1" zoomScale="90" zoomScaleNormal="90" zoomScaleSheetLayoutView="70" workbookViewId="0">
      <selection activeCell="I33" sqref="I33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7.8554687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'18'!B1+1</f>
        <v>45857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12020.99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13081.529999999999</v>
      </c>
      <c r="D6" s="32"/>
      <c r="E6" s="80">
        <v>11412</v>
      </c>
      <c r="F6" s="81" t="s">
        <v>303</v>
      </c>
      <c r="G6" s="54" t="s">
        <v>46</v>
      </c>
      <c r="H6" s="41">
        <v>290</v>
      </c>
      <c r="I6" s="41"/>
      <c r="J6" s="32"/>
      <c r="K6" s="81" t="s">
        <v>315</v>
      </c>
      <c r="L6" s="95" t="s">
        <v>10</v>
      </c>
      <c r="M6" s="46">
        <v>7</v>
      </c>
      <c r="R6" s="1">
        <f>IF(vend19[[#This Row],[Nº Venda]]&gt;1,1,0)</f>
        <v>1</v>
      </c>
    </row>
    <row r="7" spans="2:18" ht="16.5" x14ac:dyDescent="0.3">
      <c r="B7" s="30" t="s">
        <v>3</v>
      </c>
      <c r="C7" s="31">
        <f>SUM(M6:M11)</f>
        <v>9.89</v>
      </c>
      <c r="D7" s="32"/>
      <c r="E7" s="80">
        <v>11413</v>
      </c>
      <c r="F7" s="81" t="s">
        <v>304</v>
      </c>
      <c r="G7" s="54" t="s">
        <v>8</v>
      </c>
      <c r="H7" s="41">
        <v>390</v>
      </c>
      <c r="I7" s="41">
        <v>390</v>
      </c>
      <c r="J7" s="32"/>
      <c r="K7" s="81" t="s">
        <v>318</v>
      </c>
      <c r="L7" s="95" t="s">
        <v>10</v>
      </c>
      <c r="M7" s="46">
        <v>2.89</v>
      </c>
      <c r="R7" s="1">
        <f>IF(vend19[[#This Row],[Nº Venda]]&gt;1,1,0)</f>
        <v>1</v>
      </c>
    </row>
    <row r="8" spans="2:18" ht="16.5" x14ac:dyDescent="0.3">
      <c r="B8" s="33" t="s">
        <v>21</v>
      </c>
      <c r="C8" s="34">
        <f>SUM(C6:C7)</f>
        <v>13091.419999999998</v>
      </c>
      <c r="D8" s="32"/>
      <c r="E8" s="80">
        <v>11414</v>
      </c>
      <c r="F8" s="81" t="s">
        <v>305</v>
      </c>
      <c r="G8" s="54" t="s">
        <v>8</v>
      </c>
      <c r="H8" s="41">
        <v>550</v>
      </c>
      <c r="I8" s="41">
        <v>550</v>
      </c>
      <c r="J8" s="32"/>
      <c r="K8" s="81"/>
      <c r="L8" s="95"/>
      <c r="M8" s="46"/>
      <c r="R8" s="1">
        <f>IF(vend19[[#This Row],[Nº Venda]]&gt;1,1,0)</f>
        <v>1</v>
      </c>
    </row>
    <row r="9" spans="2:18" ht="16.5" x14ac:dyDescent="0.3">
      <c r="B9" s="29"/>
      <c r="C9" s="29"/>
      <c r="D9" s="32"/>
      <c r="E9" s="80">
        <v>11415</v>
      </c>
      <c r="F9" s="81" t="s">
        <v>306</v>
      </c>
      <c r="G9" s="54" t="s">
        <v>8</v>
      </c>
      <c r="H9" s="41">
        <v>1300</v>
      </c>
      <c r="I9" s="41">
        <v>1300</v>
      </c>
      <c r="J9" s="32"/>
      <c r="K9" s="81"/>
      <c r="L9" s="95"/>
      <c r="M9" s="46"/>
      <c r="R9" s="1">
        <f>IF(vend19[[#This Row],[Nº Venda]]&gt;1,1,0)</f>
        <v>1</v>
      </c>
    </row>
    <row r="10" spans="2:18" ht="16.5" x14ac:dyDescent="0.3">
      <c r="B10" s="114" t="s">
        <v>5</v>
      </c>
      <c r="C10" s="115"/>
      <c r="D10" s="32"/>
      <c r="E10" s="80">
        <v>11416</v>
      </c>
      <c r="F10" s="81" t="s">
        <v>306</v>
      </c>
      <c r="G10" s="54" t="s">
        <v>8</v>
      </c>
      <c r="H10" s="41">
        <v>950</v>
      </c>
      <c r="I10" s="41">
        <v>950</v>
      </c>
      <c r="J10" s="32"/>
      <c r="K10" s="81"/>
      <c r="L10" s="95"/>
      <c r="M10" s="46"/>
      <c r="R10" s="1">
        <f>IF(vend19[[#This Row],[Nº Venda]]&gt;1,1,0)</f>
        <v>1</v>
      </c>
    </row>
    <row r="11" spans="2:18" ht="16.5" x14ac:dyDescent="0.3">
      <c r="B11" s="30" t="s">
        <v>6</v>
      </c>
      <c r="C11" s="74">
        <f>(SUMIF($G$2:$G$31,B11,$I$2:$I$31))+(SUMIF($G$36:$G$42,B11,$H$36:$H$42))</f>
        <v>5</v>
      </c>
      <c r="D11" s="32"/>
      <c r="E11" s="80">
        <v>11417</v>
      </c>
      <c r="F11" s="81" t="s">
        <v>307</v>
      </c>
      <c r="G11" s="54" t="s">
        <v>36</v>
      </c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IF(vend19[[#This Row],[Nº Venda]]&gt;1,1,0)</f>
        <v>1</v>
      </c>
    </row>
    <row r="12" spans="2:18" ht="16.5" x14ac:dyDescent="0.3">
      <c r="B12" s="30" t="s">
        <v>7</v>
      </c>
      <c r="C12" s="74">
        <f>(SUMIF($G$2:$G$31,B12,$I$2:$I$31))+(SUMIF($G$36:$G$42,B12,$H$36:$H$42))</f>
        <v>0</v>
      </c>
      <c r="D12" s="32"/>
      <c r="E12" s="80">
        <v>11418</v>
      </c>
      <c r="F12" s="81" t="s">
        <v>308</v>
      </c>
      <c r="G12" s="54" t="s">
        <v>8</v>
      </c>
      <c r="H12" s="41">
        <v>800</v>
      </c>
      <c r="I12" s="41">
        <v>800</v>
      </c>
      <c r="J12" s="32"/>
      <c r="K12" s="35"/>
      <c r="L12" s="35"/>
      <c r="M12" s="35"/>
      <c r="R12" s="1">
        <f>IF(vend19[[#This Row],[Nº Venda]]&gt;1,1,0)</f>
        <v>1</v>
      </c>
    </row>
    <row r="13" spans="2:18" ht="16.5" x14ac:dyDescent="0.3">
      <c r="B13" s="30" t="s">
        <v>8</v>
      </c>
      <c r="C13" s="74">
        <f>(SUMIF($G$2:$G$31,B13,$I$2:$I$31))+(SUMIF($G$36:$G$42,B13,$H$36:$H$42))</f>
        <v>12505.99</v>
      </c>
      <c r="D13" s="32"/>
      <c r="E13" s="80">
        <v>11419</v>
      </c>
      <c r="F13" s="81" t="s">
        <v>308</v>
      </c>
      <c r="G13" s="54" t="s">
        <v>8</v>
      </c>
      <c r="H13" s="41">
        <v>800</v>
      </c>
      <c r="I13" s="41">
        <v>800</v>
      </c>
      <c r="J13" s="32"/>
      <c r="K13" s="107" t="s">
        <v>142</v>
      </c>
      <c r="L13" s="108"/>
      <c r="M13" s="109"/>
      <c r="R13" s="1">
        <f>IF(vend19[[#This Row],[Nº Venda]]&gt;1,1,0)</f>
        <v>1</v>
      </c>
    </row>
    <row r="14" spans="2:18" ht="16.5" x14ac:dyDescent="0.3">
      <c r="B14" s="30" t="s">
        <v>9</v>
      </c>
      <c r="C14" s="74">
        <f>(SUMIF($G$2:$G$31,B14,$I$2:$I$31))+(SUMIF($G$36:$G$42,B14,$H$36:$H$42))</f>
        <v>0</v>
      </c>
      <c r="D14" s="32"/>
      <c r="E14" s="80">
        <v>11420</v>
      </c>
      <c r="F14" s="81" t="s">
        <v>309</v>
      </c>
      <c r="G14" s="54" t="s">
        <v>8</v>
      </c>
      <c r="H14" s="41">
        <v>600</v>
      </c>
      <c r="I14" s="41">
        <v>600</v>
      </c>
      <c r="J14" s="32"/>
      <c r="K14" s="24" t="s">
        <v>22</v>
      </c>
      <c r="L14" s="25" t="s">
        <v>23</v>
      </c>
      <c r="M14" s="26" t="s">
        <v>24</v>
      </c>
      <c r="R14" s="1">
        <f>IF(vend19[[#This Row],[Nº Venda]]&gt;1,1,0)</f>
        <v>1</v>
      </c>
    </row>
    <row r="15" spans="2:18" ht="16.5" x14ac:dyDescent="0.3">
      <c r="B15" s="30" t="s">
        <v>10</v>
      </c>
      <c r="C15" s="74">
        <f>(SUMIF($G$2:$G$31,B15,$I$2:$I$31))+(SUMIF($G$36:$G$42,B15,$H$36:$H$42))</f>
        <v>570.54</v>
      </c>
      <c r="D15" s="32"/>
      <c r="E15" s="80">
        <v>11421</v>
      </c>
      <c r="F15" s="81" t="s">
        <v>310</v>
      </c>
      <c r="G15" s="54" t="s">
        <v>8</v>
      </c>
      <c r="H15" s="41">
        <v>450</v>
      </c>
      <c r="I15" s="41">
        <v>450</v>
      </c>
      <c r="J15" s="32"/>
      <c r="K15" s="80">
        <v>11358</v>
      </c>
      <c r="L15" s="95" t="s">
        <v>131</v>
      </c>
      <c r="M15" s="46" t="s">
        <v>151</v>
      </c>
      <c r="R15" s="1">
        <f>IF(vend19[[#This Row],[Nº Venda]]&gt;1,1,0)</f>
        <v>1</v>
      </c>
    </row>
    <row r="16" spans="2:18" ht="16.5" x14ac:dyDescent="0.3">
      <c r="B16" s="33" t="s">
        <v>11</v>
      </c>
      <c r="C16" s="75">
        <f>SUM(C11:C15)</f>
        <v>13081.529999999999</v>
      </c>
      <c r="D16" s="32"/>
      <c r="E16" s="80">
        <v>11422</v>
      </c>
      <c r="F16" s="81" t="s">
        <v>311</v>
      </c>
      <c r="G16" s="54" t="s">
        <v>8</v>
      </c>
      <c r="H16" s="41">
        <v>399.9</v>
      </c>
      <c r="I16" s="41">
        <v>399.9</v>
      </c>
      <c r="J16" s="32"/>
      <c r="K16" s="80">
        <v>11359</v>
      </c>
      <c r="L16" s="95" t="s">
        <v>131</v>
      </c>
      <c r="M16" s="46" t="s">
        <v>151</v>
      </c>
      <c r="R16" s="1">
        <f>IF(vend19[[#This Row],[Nº Venda]]&gt;1,1,0)</f>
        <v>1</v>
      </c>
    </row>
    <row r="17" spans="2:22" ht="16.5" x14ac:dyDescent="0.3">
      <c r="B17" s="29"/>
      <c r="C17" s="29"/>
      <c r="D17" s="32"/>
      <c r="E17" s="80">
        <v>11422</v>
      </c>
      <c r="F17" s="81" t="s">
        <v>312</v>
      </c>
      <c r="G17" s="54" t="s">
        <v>8</v>
      </c>
      <c r="H17" s="41">
        <v>888.1</v>
      </c>
      <c r="I17" s="41">
        <v>888.1</v>
      </c>
      <c r="J17" s="32"/>
      <c r="K17" s="80">
        <v>11406</v>
      </c>
      <c r="L17" s="95" t="s">
        <v>131</v>
      </c>
      <c r="M17" s="46"/>
      <c r="R17" s="1">
        <f>IF(vend19[[#This Row],[Nº Venda]]&gt;1,1,0)</f>
        <v>1</v>
      </c>
    </row>
    <row r="18" spans="2:22" ht="16.5" x14ac:dyDescent="0.3">
      <c r="B18" s="114" t="s">
        <v>12</v>
      </c>
      <c r="C18" s="115"/>
      <c r="D18" s="32"/>
      <c r="E18" s="80">
        <v>11424</v>
      </c>
      <c r="F18" s="81" t="s">
        <v>313</v>
      </c>
      <c r="G18" s="54" t="s">
        <v>6</v>
      </c>
      <c r="H18" s="41">
        <v>5</v>
      </c>
      <c r="I18" s="41">
        <v>5</v>
      </c>
      <c r="J18" s="32"/>
      <c r="K18" s="80">
        <v>11373</v>
      </c>
      <c r="L18" s="95" t="s">
        <v>129</v>
      </c>
      <c r="M18" s="46" t="s">
        <v>152</v>
      </c>
      <c r="R18" s="1">
        <f>IF(vend19[[#This Row],[Nº Venda]]&gt;1,1,0)</f>
        <v>1</v>
      </c>
    </row>
    <row r="19" spans="2:22" ht="16.5" x14ac:dyDescent="0.3">
      <c r="B19" s="30">
        <f>COUNT(entr_carn19[OS])</f>
        <v>1</v>
      </c>
      <c r="C19" s="74">
        <f>SUM(entr_carn19[Valor Total])</f>
        <v>599</v>
      </c>
      <c r="D19" s="32"/>
      <c r="E19" s="80"/>
      <c r="F19" s="81"/>
      <c r="G19" s="54"/>
      <c r="H19" s="41"/>
      <c r="I19" s="41"/>
      <c r="J19" s="32"/>
      <c r="K19" s="80">
        <v>11355</v>
      </c>
      <c r="L19" s="95" t="s">
        <v>131</v>
      </c>
      <c r="M19" s="46" t="s">
        <v>151</v>
      </c>
      <c r="R19" s="1">
        <f>IF(vend19[[#This Row],[Nº Venda]]&gt;1,1,0)</f>
        <v>0</v>
      </c>
    </row>
    <row r="20" spans="2:22" ht="16.5" x14ac:dyDescent="0.3">
      <c r="B20" s="33" t="s">
        <v>11</v>
      </c>
      <c r="C20" s="75">
        <f>SUM(C19:C19)</f>
        <v>599</v>
      </c>
      <c r="D20" s="32"/>
      <c r="E20" s="80"/>
      <c r="F20" s="54"/>
      <c r="G20" s="54"/>
      <c r="H20" s="41"/>
      <c r="I20" s="41"/>
      <c r="J20" s="32"/>
      <c r="K20" s="80">
        <v>11310</v>
      </c>
      <c r="L20" s="95" t="s">
        <v>131</v>
      </c>
      <c r="M20" s="46" t="s">
        <v>151</v>
      </c>
      <c r="R20" s="1">
        <f>IF(vend19[[#This Row],[Nº Venda]]&gt;1,1,0)</f>
        <v>0</v>
      </c>
      <c r="V20" s="1" t="s">
        <v>54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>
        <v>11424</v>
      </c>
      <c r="L21" s="95" t="s">
        <v>131</v>
      </c>
      <c r="M21" s="46" t="s">
        <v>151</v>
      </c>
    </row>
    <row r="22" spans="2:22" ht="16.5" x14ac:dyDescent="0.3">
      <c r="B22" s="33" t="s">
        <v>25</v>
      </c>
      <c r="C22" s="36">
        <f>C5</f>
        <v>12020.99</v>
      </c>
      <c r="D22" s="32"/>
      <c r="E22" s="82"/>
      <c r="F22" s="81"/>
      <c r="G22" s="54"/>
      <c r="H22" s="41"/>
      <c r="I22" s="41"/>
      <c r="J22" s="32"/>
      <c r="K22" s="80">
        <v>11241</v>
      </c>
      <c r="L22" s="95" t="s">
        <v>131</v>
      </c>
      <c r="M22" s="46" t="s">
        <v>151</v>
      </c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>
        <v>11297</v>
      </c>
      <c r="L23" s="95" t="s">
        <v>129</v>
      </c>
      <c r="M23" s="46" t="s">
        <v>151</v>
      </c>
    </row>
    <row r="24" spans="2:22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>
        <v>11296</v>
      </c>
      <c r="L24" s="95" t="s">
        <v>129</v>
      </c>
      <c r="M24" s="46" t="s">
        <v>151</v>
      </c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>
        <v>11358</v>
      </c>
      <c r="F26" s="54" t="s">
        <v>314</v>
      </c>
      <c r="G26" s="54" t="s">
        <v>8</v>
      </c>
      <c r="H26" s="41"/>
      <c r="I26" s="41">
        <v>400</v>
      </c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>
        <v>11359</v>
      </c>
      <c r="F27" s="81" t="s">
        <v>314</v>
      </c>
      <c r="G27" s="54" t="s">
        <v>8</v>
      </c>
      <c r="H27" s="41"/>
      <c r="I27" s="41">
        <v>90</v>
      </c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>
        <v>11359</v>
      </c>
      <c r="F28" s="81" t="s">
        <v>314</v>
      </c>
      <c r="G28" s="54" t="s">
        <v>10</v>
      </c>
      <c r="H28" s="41"/>
      <c r="I28" s="41">
        <v>200</v>
      </c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>
        <v>11404</v>
      </c>
      <c r="F29" s="81" t="s">
        <v>295</v>
      </c>
      <c r="G29" s="54" t="s">
        <v>8</v>
      </c>
      <c r="H29" s="41">
        <v>4588.99</v>
      </c>
      <c r="I29" s="41">
        <v>4588.99</v>
      </c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>
        <v>11405</v>
      </c>
      <c r="F30" s="81" t="s">
        <v>295</v>
      </c>
      <c r="G30" s="54" t="s">
        <v>8</v>
      </c>
      <c r="H30" s="41">
        <v>299</v>
      </c>
      <c r="I30" s="41">
        <v>299</v>
      </c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>
        <v>11296</v>
      </c>
      <c r="F31" s="83" t="s">
        <v>319</v>
      </c>
      <c r="G31" s="44" t="s">
        <v>10</v>
      </c>
      <c r="H31" s="45"/>
      <c r="I31" s="45">
        <v>124.5</v>
      </c>
      <c r="J31" s="32"/>
      <c r="K31" s="80"/>
      <c r="L31" s="95"/>
      <c r="M31" s="46"/>
    </row>
    <row r="32" spans="2:22" ht="16.5" x14ac:dyDescent="0.3">
      <c r="B32" s="32"/>
      <c r="C32" s="32"/>
      <c r="D32" s="40"/>
      <c r="E32" s="80">
        <v>11297</v>
      </c>
      <c r="F32" s="81" t="s">
        <v>319</v>
      </c>
      <c r="G32" s="54" t="s">
        <v>10</v>
      </c>
      <c r="H32" s="41"/>
      <c r="I32" s="41">
        <v>124.5</v>
      </c>
      <c r="J32" s="40"/>
      <c r="K32" s="35"/>
      <c r="L32" s="35"/>
      <c r="M32" s="35"/>
    </row>
    <row r="33" spans="2:18" ht="16.5" x14ac:dyDescent="0.3">
      <c r="B33" s="32"/>
      <c r="C33" s="32"/>
      <c r="D33" s="40"/>
      <c r="E33" s="37"/>
      <c r="F33" s="37"/>
      <c r="G33" s="37"/>
      <c r="H33" s="39"/>
      <c r="I33" s="39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05" t="s">
        <v>140</v>
      </c>
      <c r="F34" s="106"/>
      <c r="G34" s="106"/>
      <c r="H34" s="106"/>
      <c r="I34" s="106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3">
      <c r="B35" s="40"/>
      <c r="C35" s="40"/>
      <c r="D35" s="40"/>
      <c r="E35" s="17" t="s">
        <v>22</v>
      </c>
      <c r="F35" s="16" t="s">
        <v>15</v>
      </c>
      <c r="G35" s="17" t="s">
        <v>16</v>
      </c>
      <c r="H35" s="18" t="s">
        <v>26</v>
      </c>
      <c r="I35" s="18" t="s">
        <v>27</v>
      </c>
      <c r="J35" s="40"/>
      <c r="K35" s="80">
        <v>11373</v>
      </c>
      <c r="L35" s="80">
        <v>10</v>
      </c>
      <c r="M35" s="95">
        <v>599</v>
      </c>
    </row>
    <row r="36" spans="2:18" ht="16.5" customHeight="1" x14ac:dyDescent="0.25">
      <c r="B36" s="40"/>
      <c r="C36" s="40"/>
      <c r="D36" s="40"/>
      <c r="E36" s="80">
        <v>10956</v>
      </c>
      <c r="F36" s="81" t="s">
        <v>316</v>
      </c>
      <c r="G36" s="54" t="s">
        <v>10</v>
      </c>
      <c r="H36" s="41">
        <v>149.38</v>
      </c>
      <c r="I36" s="41" t="s">
        <v>49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7">
        <v>10559</v>
      </c>
      <c r="F37" s="81" t="s">
        <v>317</v>
      </c>
      <c r="G37" s="54" t="s">
        <v>10</v>
      </c>
      <c r="H37" s="41">
        <v>96.66</v>
      </c>
      <c r="I37" s="41" t="s">
        <v>77</v>
      </c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81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0"/>
      <c r="F40" s="54"/>
      <c r="G40" s="54"/>
      <c r="H40" s="41"/>
      <c r="I40" s="41"/>
      <c r="J40" s="40"/>
      <c r="K40" s="82"/>
      <c r="L40" s="82"/>
      <c r="M40" s="96"/>
      <c r="Q40" s="1" t="s">
        <v>33</v>
      </c>
      <c r="R40" s="1">
        <f>SUM(R6:R21)</f>
        <v>13</v>
      </c>
    </row>
    <row r="41" spans="2:18" ht="16.5" customHeight="1" x14ac:dyDescent="0.25">
      <c r="B41" s="40"/>
      <c r="C41" s="40"/>
      <c r="D41" s="40"/>
      <c r="E41" s="82"/>
      <c r="F41" s="83"/>
      <c r="G41" s="44"/>
      <c r="H41" s="45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86"/>
      <c r="F42" s="54"/>
      <c r="G42" s="54"/>
      <c r="H42" s="41"/>
      <c r="I42" s="41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  <row r="46" spans="2:18" ht="13.5" x14ac:dyDescent="0.25">
      <c r="E46" s="37"/>
      <c r="F46" s="37"/>
      <c r="G46" s="37"/>
      <c r="H46" s="39"/>
      <c r="I46" s="39"/>
    </row>
  </sheetData>
  <mergeCells count="11">
    <mergeCell ref="B1:C1"/>
    <mergeCell ref="L1:M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G36:G42 G26:G28 G30:G32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I36:I42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E36:E42 K35:K41 K15:K31 E26:E32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6">
        <f>'19'!B1+1</f>
        <v>45858</v>
      </c>
      <c r="C1" s="116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IF(vend20[[#This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IF(vend20[[#This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IF(vend20[[#This Row],[Nº Venda]]&gt;1,1,0)</f>
        <v>0</v>
      </c>
    </row>
    <row r="19" spans="2:18" ht="16.5" x14ac:dyDescent="0.3">
      <c r="B19" s="30">
        <f>COUNT(entr_carn20[OS])</f>
        <v>0</v>
      </c>
      <c r="C19" s="74">
        <f>SUM(entr_carn20[Valor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'20'!B1+1</f>
        <v>45859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IF(vend21[[#This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IF(vend21[[#This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IF(vend21[[#This Row],[Nº Venda]]&gt;1,1,0)</f>
        <v>0</v>
      </c>
    </row>
    <row r="19" spans="2:18" ht="16.5" x14ac:dyDescent="0.3">
      <c r="B19" s="30">
        <f>COUNT(entr_carn21[OS])</f>
        <v>0</v>
      </c>
      <c r="C19" s="74">
        <f>SUM(entr_carn21[Valor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'21'!B1+1</f>
        <v>45860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IF(vend22[[#This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IF(vend22[[#This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IF(vend22[[#This Row],[Nº Venda]]&gt;1,1,0)</f>
        <v>0</v>
      </c>
    </row>
    <row r="19" spans="2:18" ht="16.5" x14ac:dyDescent="0.3">
      <c r="B19" s="30">
        <f>COUNT(entr_carn22[OS])</f>
        <v>0</v>
      </c>
      <c r="C19" s="74">
        <f>SUM(entr_carn22[Valor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'22'!B1+1</f>
        <v>45861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IF(vend23[[#This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IF(vend23[[#This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IF(vend23[[#This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IF(vend23[[#This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IF(vend23[[#This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IF(vend23[[#This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IF(vend23[[#This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IF(vend23[[#This Row],[Nº Venda]]&gt;1,1,0)</f>
        <v>0</v>
      </c>
    </row>
    <row r="19" spans="2:18" ht="16.5" x14ac:dyDescent="0.3">
      <c r="B19" s="30">
        <f>COUNT(entr_carn23[OS])</f>
        <v>0</v>
      </c>
      <c r="C19" s="74">
        <f>SUM(entr_carn23[Valor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'23'!B1+1</f>
        <v>45862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IF(vend24[[#This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IF(vend24[[#This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IF(vend24[[#This Row],[Nº Venda]]&gt;1,1,0)</f>
        <v>0</v>
      </c>
    </row>
    <row r="19" spans="2:18" ht="16.5" x14ac:dyDescent="0.3">
      <c r="B19" s="30">
        <f>COUNT(entr_carn24[OS])</f>
        <v>0</v>
      </c>
      <c r="C19" s="74">
        <f>SUM(entr_carn24[Valor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'24'!B1+1</f>
        <v>45863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 ca="1"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IF(vend25[[#This Row],[Nº Venda]]&gt;1,1,0)</f>
        <v>0</v>
      </c>
    </row>
    <row r="8" spans="2:18" ht="16.5" x14ac:dyDescent="0.3">
      <c r="B8" s="33" t="s">
        <v>21</v>
      </c>
      <c r="C8" s="34">
        <f ca="1"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IF(vend25[[#This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IF(vend25[[#This Row],[Nº Venda]]&gt;1,1,0)</f>
        <v>0</v>
      </c>
    </row>
    <row r="11" spans="2:18" ht="16.5" x14ac:dyDescent="0.3">
      <c r="B11" s="30" t="s">
        <v>6</v>
      </c>
      <c r="C11" s="74">
        <f ca="1">(SUMIF($G$2:$G$31,B11,$I$2:$I$31))+(SUMIF($G$35:$G$41,B11,$H$36:$H$41))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 ca="1">IF(C16=0,0,1)</f>
        <v>0</v>
      </c>
      <c r="R11" s="1">
        <f>IF(vend25[[#This Row],[Nº Venda]]&gt;1,1,0)</f>
        <v>0</v>
      </c>
    </row>
    <row r="12" spans="2:18" ht="16.5" x14ac:dyDescent="0.3">
      <c r="B12" s="30" t="s">
        <v>7</v>
      </c>
      <c r="C12" s="74">
        <f ca="1">(SUMIF($G$2:$G$31,B12,$I$2:$I$31))+(SUMIF($G$35:$G$41,B12,$H$36:$H$41))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IF(vend25[[#This Row],[Nº Venda]]&gt;1,1,0)</f>
        <v>0</v>
      </c>
    </row>
    <row r="13" spans="2:18" ht="16.5" x14ac:dyDescent="0.3">
      <c r="B13" s="30" t="s">
        <v>8</v>
      </c>
      <c r="C13" s="74">
        <f ca="1">(SUMIF($G$2:$G$31,B13,$I$2:$I$31))+(SUMIF($G$35:$G$41,B13,$H$36:$H$41))</f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IF(vend25[[#This Row],[Nº Venda]]&gt;1,1,0)</f>
        <v>0</v>
      </c>
    </row>
    <row r="14" spans="2:18" ht="16.5" x14ac:dyDescent="0.3">
      <c r="B14" s="30" t="s">
        <v>9</v>
      </c>
      <c r="C14" s="74">
        <f ca="1">(SUMIF($G$2:$G$31,B14,$I$2:$I$31))+(SUMIF($G$35:$G$41,B14,$H$36:$H$41))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IF(vend25[[#This Row],[Nº Venda]]&gt;1,1,0)</f>
        <v>0</v>
      </c>
    </row>
    <row r="15" spans="2:18" ht="16.5" x14ac:dyDescent="0.3">
      <c r="B15" s="30" t="s">
        <v>10</v>
      </c>
      <c r="C15" s="74">
        <f ca="1">(SUMIF($G$2:$G$31,B15,$I$2:$I$31))+(SUMIF($G$35:$G$41,B15,$H$36:$H$41))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IF(vend25[[#This Row],[Nº Venda]]&gt;1,1,0)</f>
        <v>0</v>
      </c>
    </row>
    <row r="16" spans="2:18" ht="16.5" x14ac:dyDescent="0.3">
      <c r="B16" s="33" t="s">
        <v>11</v>
      </c>
      <c r="C16" s="75">
        <f ca="1"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IF(vend25[[#This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IF(vend25[[#This Row],[Nº Venda]]&gt;1,1,0)</f>
        <v>0</v>
      </c>
    </row>
    <row r="19" spans="2:18" ht="16.5" x14ac:dyDescent="0.3">
      <c r="B19" s="30">
        <f>COUNT(entr_carn25[OS])</f>
        <v>0</v>
      </c>
      <c r="C19" s="74">
        <f>SUM(entr_carn25[Valor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52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'25'!B1+1</f>
        <v>45864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IF(vend26[[#This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IF(vend26[[#This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IF(vend26[[#This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IF(vend26[[#This Row],[Nº Venda]]&gt;1,1,0)</f>
        <v>0</v>
      </c>
    </row>
    <row r="19" spans="2:18" ht="16.5" x14ac:dyDescent="0.3">
      <c r="B19" s="30">
        <f>COUNT(entr_carn26[OS])</f>
        <v>0</v>
      </c>
      <c r="C19" s="74">
        <f>SUM(entr_carn26[Valor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'26'!B1+1</f>
        <v>45865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IF(vend27[[#This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IF(vend27[[#This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IF(vend27[[#This Row],[Nº Venda]]&gt;1,1,0)</f>
        <v>0</v>
      </c>
    </row>
    <row r="19" spans="2:18" ht="16.5" x14ac:dyDescent="0.3">
      <c r="B19" s="30">
        <f>COUNT(entr_carn27[OS])</f>
        <v>0</v>
      </c>
      <c r="C19" s="74">
        <f>SUM(entr_carn27[Valor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'27'!B1+1</f>
        <v>45866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IF(vend28[[#This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IF(vend28[[#This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IF(vend28[[#This Row],[Nº Venda]]&gt;1,1,0)</f>
        <v>0</v>
      </c>
    </row>
    <row r="19" spans="2:18" ht="16.5" x14ac:dyDescent="0.3">
      <c r="B19" s="30">
        <f>COUNT(entr_carn28[OS])</f>
        <v>0</v>
      </c>
      <c r="C19" s="74">
        <f>SUM(entr_carn28[Valor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'28'!B1+1</f>
        <v>45867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IF(vend29[[#This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IF(vend29[[#This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IF(vend29[[#This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IF(vend29[[#This Row],[Nº Venda]]&gt;1,1,0)</f>
        <v>0</v>
      </c>
    </row>
    <row r="19" spans="2:18" ht="16.5" x14ac:dyDescent="0.3">
      <c r="B19" s="30">
        <f>COUNT(entr_carn29[OS])</f>
        <v>0</v>
      </c>
      <c r="C19" s="74">
        <f>SUM(entr_carn29[Valor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'29'!B1+1</f>
        <v>45868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IF(vend30[[#This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IF(vend30[[#This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IF(vend30[[#This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IF(vend30[[#This Row],[Nº Venda]]&gt;1,1,0)</f>
        <v>0</v>
      </c>
    </row>
    <row r="18" spans="2:22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IF(vend30[[#This Row],[Nº Venda]]&gt;1,1,0)</f>
        <v>0</v>
      </c>
    </row>
    <row r="19" spans="2:22" ht="16.5" x14ac:dyDescent="0.3">
      <c r="B19" s="30">
        <f>COUNT(entr_carn30[OS])</f>
        <v>0</v>
      </c>
      <c r="C19" s="74">
        <f>SUM(entr_carn30[Valor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IF(vend30[[#This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IF(vend30[[#This Row],[Nº Venda]]&gt;1,1,0)</f>
        <v>0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  <c r="V21" s="1" t="s">
        <v>122</v>
      </c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zoomScale="90" zoomScaleNormal="90" workbookViewId="0">
      <selection activeCell="L1" sqref="L1:M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3">
        <f>'30'!B1+1</f>
        <v>45869</v>
      </c>
      <c r="C1" s="103"/>
      <c r="L1" s="104" t="s">
        <v>144</v>
      </c>
      <c r="M1" s="104"/>
    </row>
    <row r="2" spans="2:18" ht="18.75" x14ac:dyDescent="0.2">
      <c r="B2" s="110" t="s">
        <v>13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3" t="s">
        <v>137</v>
      </c>
      <c r="F4" s="113"/>
      <c r="G4" s="113"/>
      <c r="H4" s="113"/>
      <c r="I4" s="113"/>
      <c r="J4" s="32"/>
      <c r="K4" s="107" t="s">
        <v>138</v>
      </c>
      <c r="L4" s="108"/>
      <c r="M4" s="109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IF(vend31[[#This Row],[Nº Venda]]&gt;1,1,0)</f>
        <v>0</v>
      </c>
    </row>
    <row r="10" spans="2:18" ht="16.5" x14ac:dyDescent="0.3">
      <c r="B10" s="114" t="s">
        <v>5</v>
      </c>
      <c r="C10" s="115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7" t="s">
        <v>142</v>
      </c>
      <c r="L13" s="108"/>
      <c r="M13" s="109"/>
      <c r="R13" s="1">
        <f>IF(vend31[[#This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IF(vend31[[#This Row],[Nº Venda]]&gt;1,1,0)</f>
        <v>0</v>
      </c>
    </row>
    <row r="18" spans="2:18" ht="16.5" x14ac:dyDescent="0.3">
      <c r="B18" s="114" t="s">
        <v>12</v>
      </c>
      <c r="C18" s="115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IF(vend31[[#This Row],[Nº Venda]]&gt;1,1,0)</f>
        <v>0</v>
      </c>
    </row>
    <row r="19" spans="2:18" ht="16.5" x14ac:dyDescent="0.3">
      <c r="B19" s="30">
        <f>COUNT(entr_carn31[OS])</f>
        <v>0</v>
      </c>
      <c r="C19" s="74">
        <f>SUM(entr_carn31[Valor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5" t="s">
        <v>139</v>
      </c>
      <c r="F24" s="106"/>
      <c r="G24" s="106"/>
      <c r="H24" s="106"/>
      <c r="I24" s="106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5" t="s">
        <v>140</v>
      </c>
      <c r="F33" s="106"/>
      <c r="G33" s="106"/>
      <c r="H33" s="106"/>
      <c r="I33" s="106"/>
      <c r="J33" s="40"/>
      <c r="K33" s="107" t="s">
        <v>141</v>
      </c>
      <c r="L33" s="108"/>
      <c r="M33" s="109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9</v>
      </c>
      <c r="B5" s="13" t="s">
        <v>66</v>
      </c>
      <c r="E5" t="s">
        <v>67</v>
      </c>
    </row>
    <row r="6" spans="1:5" x14ac:dyDescent="0.2">
      <c r="A6" s="13" t="s">
        <v>10</v>
      </c>
      <c r="B6" s="13" t="s">
        <v>10</v>
      </c>
      <c r="E6" t="s">
        <v>30</v>
      </c>
    </row>
    <row r="7" spans="1:5" x14ac:dyDescent="0.2">
      <c r="A7" s="13" t="s">
        <v>46</v>
      </c>
      <c r="B7" s="13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3" t="s">
        <v>36</v>
      </c>
      <c r="B9" s="13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pageSetup paperSize="0" orientation="portrait" horizontalDpi="203" verticalDpi="203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2025-07-19T14:15:29Z</cp:lastPrinted>
  <dcterms:created xsi:type="dcterms:W3CDTF">2004-04-07T20:43:43Z</dcterms:created>
  <dcterms:modified xsi:type="dcterms:W3CDTF">2025-07-19T18:58:49Z</dcterms:modified>
  <cp:category/>
  <cp:contentStatus/>
</cp:coreProperties>
</file>