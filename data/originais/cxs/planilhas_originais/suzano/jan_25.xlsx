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2834" documentId="8_{B3B8B47A-3DB5-4B57-8C03-A6D96B357B35}" xr6:coauthVersionLast="47" xr6:coauthVersionMax="47" xr10:uidLastSave="{E53D4CAA-E55D-423C-A241-CEBA6DFFC50B}"/>
  <bookViews>
    <workbookView xWindow="-120" yWindow="-120" windowWidth="29040" windowHeight="15840" tabRatio="895" activeTab="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1"/>
  <c r="C6" i="182"/>
  <c r="C6" i="187"/>
  <c r="C6" i="194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1"/>
  <c r="C8" i="187"/>
  <c r="C8" i="194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C8" i="182"/>
  <c r="C16" i="198"/>
  <c r="C16" i="199"/>
  <c r="C16" i="192"/>
  <c r="C16" i="197"/>
  <c r="C16" i="194"/>
  <c r="O11" i="194" s="1"/>
  <c r="C16" i="195"/>
  <c r="C6" i="195" s="1"/>
  <c r="C16" i="193"/>
  <c r="C16" i="191"/>
  <c r="C16" i="190"/>
  <c r="C16" i="187"/>
  <c r="O11" i="187" s="1"/>
  <c r="C16" i="186"/>
  <c r="C16" i="184"/>
  <c r="C16" i="179"/>
  <c r="C16" i="181"/>
  <c r="C16" i="183"/>
  <c r="C16" i="182"/>
  <c r="O11" i="182" s="1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99"/>
  <c r="C6" i="199"/>
  <c r="C8" i="199" s="1"/>
  <c r="O11" i="192"/>
  <c r="C6" i="192"/>
  <c r="C8" i="192" s="1"/>
  <c r="O11" i="196"/>
  <c r="C6" i="196"/>
  <c r="C8" i="196" s="1"/>
  <c r="O11" i="197"/>
  <c r="C6" i="197"/>
  <c r="C8" i="197" s="1"/>
  <c r="O11" i="193"/>
  <c r="C6" i="193"/>
  <c r="C8" i="193" s="1"/>
  <c r="O11" i="188"/>
  <c r="C6" i="188"/>
  <c r="C8" i="188" s="1"/>
  <c r="O11" i="191"/>
  <c r="C6" i="191"/>
  <c r="C8" i="191" s="1"/>
  <c r="O11" i="190"/>
  <c r="C6" i="190"/>
  <c r="C8" i="190" s="1"/>
  <c r="O11" i="189"/>
  <c r="C6" i="189"/>
  <c r="C8" i="189" s="1"/>
  <c r="O11" i="186"/>
  <c r="C6" i="186"/>
  <c r="C8" i="186" s="1"/>
  <c r="O11" i="185"/>
  <c r="C6" i="185"/>
  <c r="C8" i="185" s="1"/>
  <c r="O11" i="184"/>
  <c r="C6" i="184"/>
  <c r="C8" i="184" s="1"/>
  <c r="O11" i="179"/>
  <c r="C6" i="179"/>
  <c r="C8" i="179" s="1"/>
  <c r="O11" i="181"/>
  <c r="C6" i="181"/>
  <c r="C8" i="181" s="1"/>
  <c r="O11" i="183"/>
  <c r="C6" i="183"/>
  <c r="C8" i="183" s="1"/>
  <c r="O11" i="180"/>
  <c r="C6" i="180"/>
  <c r="C8" i="180" s="1"/>
  <c r="O11" i="176"/>
  <c r="C6" i="176"/>
  <c r="C8" i="176" s="1"/>
  <c r="O11" i="177"/>
  <c r="C6" i="177"/>
  <c r="C8" i="177" s="1"/>
  <c r="O11" i="178"/>
  <c r="C6" i="178"/>
  <c r="C8" i="178" s="1"/>
  <c r="O11" i="170"/>
  <c r="C6" i="170"/>
  <c r="C8" i="170" s="1"/>
  <c r="O11" i="172"/>
  <c r="C6" i="172"/>
  <c r="C8" i="172" s="1"/>
  <c r="O11" i="173"/>
  <c r="C6" i="173"/>
  <c r="C8" i="173" s="1"/>
  <c r="O11" i="174"/>
  <c r="C6" i="174"/>
  <c r="C8" i="174" s="1"/>
  <c r="O11" i="175"/>
  <c r="C6" i="175"/>
  <c r="C8" i="175" s="1"/>
  <c r="O11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<sst xmlns="http://schemas.openxmlformats.org/spreadsheetml/2006/main" count="2628" uniqueCount="376">
  <si>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</si>
  <si>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</si>
  <si>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</si>
  <si>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</si>
  <si>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</si>
  <si>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</si>
  <si>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</si>
  <si>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</si>
  <si>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</si>
  <si>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</si>
  <si>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</si>
  <si>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</si>
  <si>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</si>
  <si>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</si>
  <si>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</si>
  <si>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</si>
  <si>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</si>
  <si>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</si>
  <si>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</si>
  <si>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</si>
  <si>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</si>
  <si>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</si>
  <si>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</si>
  <si>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</si>
  <si>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</si>
  <si>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</si>
  <si>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</si>
  <si>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</si>
  <si>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</si>
  <si>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</si>
  <si>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</si>
  <si>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</si>
  <si>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</si>
  <si>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</si>
  <si>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</si>
  <si>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</si>
  <si>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</si>
  <si>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</si>
  <si>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</si>
  <si>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</si>
  <si>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</si>
  <si>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</si>
  <si>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</si>
  <si>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</si>
  <si>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</si>
  <si>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</si>
  <si>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</si>
  <si>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</si>
  <si>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</si>
  <si>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</si>
  <si>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</si>
  <si>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</si>
  <si>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</si>
  <si>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</si>
  <si>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</si>
  <si>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</si>
  <si>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</si>
  <si>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</si>
  <si>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</si>
  <si>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</si>
  <si>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</si>
  <si>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</si>
  <si>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</si>
  <si>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</si>
  <si>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</si>
  <si>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</si>
  <si>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</si>
  <si>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</si>
  <si>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</si>
  <si>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</si>
  <si>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</si>
  <si>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</si>
  <si>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</si>
  <si>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</si>
  <si>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</si>
  <si>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</si>
  <si>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</si>
  <si>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</si>
  <si>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</si>
  <si>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</si>
  <si>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</si>
  <si>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</si>
  <si>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</si>
  <si>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</si>
  <si>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</si>
  <si>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</si>
  <si>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</si>
  <si>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</si>
  <si>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</si>
  <si>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</si>
  <si>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</si>
  <si>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</si>
  <si>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</si>
  <si>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</si>
  <si>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</si>
  <si>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</si>
  <si>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</si>
  <si>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</si>
  <si>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</si>
  <si>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</si>
  <si>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</si>
  <si>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</si>
  <si>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</si>
  <si>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</si>
  <si>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</si>
  <si>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</si>
  <si>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</si>
  <si>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</si>
  <si>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</si>
  <si>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</si>
  <si>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</si>
  <si>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</si>
  <si>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</si>
  <si>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</si>
  <si>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</si>
  <si>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</si>
  <si>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</si>
  <si>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</si>
  <si>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</si>
  <si>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</si>
  <si>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</si>
  <si>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</si>
  <si>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</si>
  <si>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</si>
  <si>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</si>
  <si>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</si>
  <si>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</si>
  <si>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</si>
  <si>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</si>
  <si>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</si>
  <si>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</si>
  <si>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</si>
  <si>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</si>
  <si>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</si>
  <si>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</si>
  <si>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</si>
  <si>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</si>
  <si>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</si>
  <si>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</si>
  <si>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</si>
  <si>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</si>
  <si>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SUZANO 1</t>
  </si>
  <si>
    <t>antonio bezerra</t>
  </si>
  <si>
    <t xml:space="preserve">maria aparecida </t>
  </si>
  <si>
    <t>nicolly rodrigues</t>
  </si>
  <si>
    <t>melissa ferreira</t>
  </si>
  <si>
    <t xml:space="preserve">fernanda nascimento </t>
  </si>
  <si>
    <t>julia nivea</t>
  </si>
  <si>
    <t>alessandra gorete</t>
  </si>
  <si>
    <t xml:space="preserve">pregentino omenidio </t>
  </si>
  <si>
    <t>ivonete alves</t>
  </si>
  <si>
    <t>marilu sensiali</t>
  </si>
  <si>
    <t>Não</t>
  </si>
  <si>
    <t xml:space="preserve">jaqueline santos </t>
  </si>
  <si>
    <t>Sim</t>
  </si>
  <si>
    <t xml:space="preserve">gilberto de almeida </t>
  </si>
  <si>
    <t xml:space="preserve">katia romão </t>
  </si>
  <si>
    <t xml:space="preserve">juliana diniz calvante </t>
  </si>
  <si>
    <t>rose meire saturnino</t>
  </si>
  <si>
    <t xml:space="preserve">liris e Rangel </t>
  </si>
  <si>
    <t>enoque ferreira</t>
  </si>
  <si>
    <t xml:space="preserve">erica da silva </t>
  </si>
  <si>
    <t>antonio marim</t>
  </si>
  <si>
    <t xml:space="preserve">paulo machado </t>
  </si>
  <si>
    <t>alessandra brito</t>
  </si>
  <si>
    <t xml:space="preserve">frederico estevam </t>
  </si>
  <si>
    <t xml:space="preserve">eladio julio </t>
  </si>
  <si>
    <t xml:space="preserve">suzilene santos </t>
  </si>
  <si>
    <t>roseli lopes</t>
  </si>
  <si>
    <t>yara ferreira galvão</t>
  </si>
  <si>
    <t xml:space="preserve">selma alves </t>
  </si>
  <si>
    <t>silvio luiz</t>
  </si>
  <si>
    <t>edson alexandre</t>
  </si>
  <si>
    <t>leila de amorim</t>
  </si>
  <si>
    <t>francisco das chagas</t>
  </si>
  <si>
    <t>teresinha mendes</t>
  </si>
  <si>
    <t xml:space="preserve">carlinhos ferreira de souza </t>
  </si>
  <si>
    <t>carol vieira</t>
  </si>
  <si>
    <t xml:space="preserve">vitoria rodrigues </t>
  </si>
  <si>
    <t>ariane mota</t>
  </si>
  <si>
    <t>diana futikami</t>
  </si>
  <si>
    <t>valeria luiz de oliveira</t>
  </si>
  <si>
    <t xml:space="preserve">gabriela mayara </t>
  </si>
  <si>
    <t xml:space="preserve">nicolly rodrigues </t>
  </si>
  <si>
    <t xml:space="preserve">melissa ferreira </t>
  </si>
  <si>
    <t>juan nilson (acordo)</t>
  </si>
  <si>
    <t xml:space="preserve">maria sandra </t>
  </si>
  <si>
    <t>vivian dantas</t>
  </si>
  <si>
    <t>Fernanda Magda Batista de Paula</t>
  </si>
  <si>
    <t>Jany Caroline Santos Martins</t>
  </si>
  <si>
    <t>Ricardo Rodrigues de Castro</t>
  </si>
  <si>
    <t xml:space="preserve">Ivalcir  Macena dos Santos </t>
  </si>
  <si>
    <t>Heitor Rodrigues de Figueiredo</t>
  </si>
  <si>
    <t>Evellyn Estevam Segobia Salu</t>
  </si>
  <si>
    <t>Roselene de Souza Gomes Rodrigues</t>
  </si>
  <si>
    <t>Rebeca Vitória Gino dos Santos</t>
  </si>
  <si>
    <t>Maria Vitória Gino Santos</t>
  </si>
  <si>
    <t>Amauri Martins da Silva</t>
  </si>
  <si>
    <t>marisa sales</t>
  </si>
  <si>
    <t>diana hayou</t>
  </si>
  <si>
    <t xml:space="preserve">crislaine santana </t>
  </si>
  <si>
    <t>LEANDRO GONÇALVES</t>
  </si>
  <si>
    <t xml:space="preserve">ALEXANDRE NOGUEIRA </t>
  </si>
  <si>
    <t xml:space="preserve">JOSÉ DE ARAUJO </t>
  </si>
  <si>
    <t xml:space="preserve">ivone tavares dos santos </t>
  </si>
  <si>
    <t>estojo</t>
  </si>
  <si>
    <t xml:space="preserve">jose araujo </t>
  </si>
  <si>
    <t xml:space="preserve">maycon santos </t>
  </si>
  <si>
    <t xml:space="preserve">agnaldo fagundes </t>
  </si>
  <si>
    <t xml:space="preserve">maria de fatima </t>
  </si>
  <si>
    <t>rose meire</t>
  </si>
  <si>
    <t>kettelly</t>
  </si>
  <si>
    <t>gerson coutinho</t>
  </si>
  <si>
    <t>ivanilda neves</t>
  </si>
  <si>
    <t xml:space="preserve">cecilia boa ventura </t>
  </si>
  <si>
    <t xml:space="preserve">helio feitosa </t>
  </si>
  <si>
    <t>alexandra barbosa</t>
  </si>
  <si>
    <t xml:space="preserve">sonia felizardo </t>
  </si>
  <si>
    <t xml:space="preserve">edson roberto </t>
  </si>
  <si>
    <t>fernanda aparecida</t>
  </si>
  <si>
    <t xml:space="preserve">ulisses roberto </t>
  </si>
  <si>
    <t xml:space="preserve">rosana glecia </t>
  </si>
  <si>
    <t xml:space="preserve">patricia de fatima </t>
  </si>
  <si>
    <t xml:space="preserve">bruna santos </t>
  </si>
  <si>
    <t xml:space="preserve">rosangela dos santos </t>
  </si>
  <si>
    <t xml:space="preserve">MARIA JOSE SOUZA </t>
  </si>
  <si>
    <t xml:space="preserve">MARIA ALVES </t>
  </si>
  <si>
    <t xml:space="preserve">lucia fatima </t>
  </si>
  <si>
    <t xml:space="preserve">marIa vitoria dos santos </t>
  </si>
  <si>
    <t>georgia nazare</t>
  </si>
  <si>
    <t xml:space="preserve">joelson vicente </t>
  </si>
  <si>
    <t xml:space="preserve">ronivaldo pereira </t>
  </si>
  <si>
    <t xml:space="preserve">vinicius augusto </t>
  </si>
  <si>
    <t xml:space="preserve">fabia ferreira </t>
  </si>
  <si>
    <t xml:space="preserve">jucelia de oliveira </t>
  </si>
  <si>
    <t xml:space="preserve">gustavo henrique </t>
  </si>
  <si>
    <t xml:space="preserve">katia maria </t>
  </si>
  <si>
    <t>suzan lessa</t>
  </si>
  <si>
    <t>katia romão</t>
  </si>
  <si>
    <t xml:space="preserve">ricardo henrique </t>
  </si>
  <si>
    <t>ronivaldo pereira</t>
  </si>
  <si>
    <t>roniela da silva</t>
  </si>
  <si>
    <t>gislene eloisa</t>
  </si>
  <si>
    <t xml:space="preserve">gabriel henrique </t>
  </si>
  <si>
    <t xml:space="preserve">roberto santos silva </t>
  </si>
  <si>
    <t xml:space="preserve">alex sander </t>
  </si>
  <si>
    <t xml:space="preserve">katia de oliveira </t>
  </si>
  <si>
    <t>liris edirle</t>
  </si>
  <si>
    <t>almoco tati</t>
  </si>
  <si>
    <t>dn</t>
  </si>
  <si>
    <t xml:space="preserve">rosangela aparecida </t>
  </si>
  <si>
    <t xml:space="preserve">vanessa aparecida </t>
  </si>
  <si>
    <t xml:space="preserve">daniela maria </t>
  </si>
  <si>
    <t xml:space="preserve">jose roberto </t>
  </si>
  <si>
    <t xml:space="preserve">gabriel augustinho </t>
  </si>
  <si>
    <t xml:space="preserve">marilia da silva </t>
  </si>
  <si>
    <t>ivani isabel</t>
  </si>
  <si>
    <t xml:space="preserve">maria antonia </t>
  </si>
  <si>
    <t>magali monteiro</t>
  </si>
  <si>
    <t>cilene pereira</t>
  </si>
  <si>
    <t xml:space="preserve">joana maria </t>
  </si>
  <si>
    <t>luana silva borges</t>
  </si>
  <si>
    <t xml:space="preserve">priscila aparecida </t>
  </si>
  <si>
    <t xml:space="preserve">judite rodrigues </t>
  </si>
  <si>
    <t xml:space="preserve">maria rosangela </t>
  </si>
  <si>
    <t xml:space="preserve">noemi de oliveira </t>
  </si>
  <si>
    <t>Ilda Soares Ventura Rodrigues (acordo)</t>
  </si>
  <si>
    <t>José Claudio dos Santos</t>
  </si>
  <si>
    <t>Valdineia Lisboa Oliveira</t>
  </si>
  <si>
    <t>Eliany de Lourdes Mori</t>
  </si>
  <si>
    <t>Maria do Socorro Pereira Santos</t>
  </si>
  <si>
    <t>Zeneide de Oliveira</t>
  </si>
  <si>
    <t>Jhonatan Gomes Vieira</t>
  </si>
  <si>
    <t>Wilson Marciano</t>
  </si>
  <si>
    <t>Cleusa Pereira</t>
  </si>
  <si>
    <t>Ronaldo Del-Fiol Modolo Junior</t>
  </si>
  <si>
    <t>Henry Chukunonso Umeh</t>
  </si>
  <si>
    <t>Ivoni Maria Leite</t>
  </si>
  <si>
    <t xml:space="preserve">Ana Lucia da Silva Tavares </t>
  </si>
  <si>
    <t>Fernando de Andrade</t>
  </si>
  <si>
    <t>Maria Alves Pereira da Silva</t>
  </si>
  <si>
    <t>Camila Andrade Pinto</t>
  </si>
  <si>
    <t>Carmelina da Conceição C. Cardozo</t>
  </si>
  <si>
    <t>Diego Perez da Silva</t>
  </si>
  <si>
    <t>Quitéria Maria</t>
  </si>
  <si>
    <t>Adriana Aparecida Braz da Silva</t>
  </si>
  <si>
    <t>Custódio Silva Mello</t>
  </si>
  <si>
    <t>Agnaldo Nascimento da Silva</t>
  </si>
  <si>
    <t>Selma Rodrigues Salles</t>
  </si>
  <si>
    <t>Priscila Caseca Varejão</t>
  </si>
  <si>
    <t>José Claúdio dos Santos</t>
  </si>
  <si>
    <t>José Maria Gomes de Souza</t>
  </si>
  <si>
    <t>Nilson Amâncio</t>
  </si>
  <si>
    <t>Autran Vieira Araújo</t>
  </si>
  <si>
    <t>Ruti Elias dos Santos Lima</t>
  </si>
  <si>
    <t>Rogério Barros dos Santos</t>
  </si>
  <si>
    <t>Luiz Gustavo Rocha Gomes</t>
  </si>
  <si>
    <t>Tatiana Gomes Rodrigues</t>
  </si>
  <si>
    <t>Aline Santana de Jesus</t>
  </si>
  <si>
    <t>Ilda Soares Ventura Rodrigues</t>
  </si>
  <si>
    <t>Alessandra de Almeida</t>
  </si>
  <si>
    <t>Simone Ignácio</t>
  </si>
  <si>
    <t>Adriano dos Santos</t>
  </si>
  <si>
    <t>Ricardo Campani Peris Bastos</t>
  </si>
  <si>
    <t>Jaqueline Santos</t>
  </si>
  <si>
    <t>Pedro Alves de Lima</t>
  </si>
  <si>
    <t>Gilmar Lopes Marinho</t>
  </si>
  <si>
    <t>Andreza Souza</t>
  </si>
  <si>
    <t>Waldete Alves dos Santos</t>
  </si>
  <si>
    <t>Vitória Nhoque Jacinto</t>
  </si>
  <si>
    <t>Henrique Lima Silva</t>
  </si>
  <si>
    <t>Elizangela Alves da Silva</t>
  </si>
  <si>
    <t>Marta Vaz da Silva</t>
  </si>
  <si>
    <t>Adriano dos Santos Lima</t>
  </si>
  <si>
    <t>Paulo Victor Vaz da Silva</t>
  </si>
  <si>
    <t>Hélio Feitosa</t>
  </si>
  <si>
    <t>Maria Vitória Gino dos Santos</t>
  </si>
  <si>
    <t>Graci Olivia de Jesus Miguel</t>
  </si>
  <si>
    <t>Eduardo Adriano da Silva Malta</t>
  </si>
  <si>
    <t>Jorge Rodrigues</t>
  </si>
  <si>
    <t>Sirlei Bueno Borges</t>
  </si>
  <si>
    <t>Ana Lúcia da Silva Tavares</t>
  </si>
  <si>
    <t>Eliel Duarte Silva</t>
  </si>
  <si>
    <t>Cátia Carvalho Silva</t>
  </si>
  <si>
    <t>Thaís Helena Alves dos Santos</t>
  </si>
  <si>
    <t>Darci Alice Vicentini</t>
  </si>
  <si>
    <t>Kátia Romão da Silva Brito</t>
  </si>
  <si>
    <t>Gilberto de Almeida</t>
  </si>
  <si>
    <t>José Fernando de Carvalho</t>
  </si>
  <si>
    <t>Andreia de Oliveira</t>
  </si>
  <si>
    <t>André Luiz Silva Jesus</t>
  </si>
  <si>
    <t>Gilvania dos Santos Silva</t>
  </si>
  <si>
    <t>Cecília Boa Ventura Suzarte</t>
  </si>
  <si>
    <t>Wagner da Silva Clemente</t>
  </si>
  <si>
    <t>Ricardo da Silva Cruz</t>
  </si>
  <si>
    <t>José Ferreira da Silva</t>
  </si>
  <si>
    <t>Kettelyn Araújo de Oiiveira</t>
  </si>
  <si>
    <t>Raiza Araújo de Jesus</t>
  </si>
  <si>
    <t>Jorge Luiz Oliveira de Santana</t>
  </si>
  <si>
    <t>Miro Farias Lopes</t>
  </si>
  <si>
    <t>Maria José Souza Oliveira</t>
  </si>
  <si>
    <t>Andrea Galerani Miranda Borges</t>
  </si>
  <si>
    <t>Patricia Gianasi de Carvalho</t>
  </si>
  <si>
    <t>Gislene Eloisa Batista Nunes dos Santos</t>
  </si>
  <si>
    <t>Fernanda Magda</t>
  </si>
  <si>
    <t>Vitoria Rodrigues de Campos</t>
  </si>
  <si>
    <t>Alex Sander da Silva Rosa</t>
  </si>
  <si>
    <t>Marcia de Oliveira Figueiredo</t>
  </si>
  <si>
    <t>Gildasio Lopes Cosme</t>
  </si>
  <si>
    <t>Rita de Cassia Alba Lopes</t>
  </si>
  <si>
    <t>Leandro da Silva Santos</t>
  </si>
  <si>
    <t>Valdemice Batista dos Santos</t>
  </si>
  <si>
    <t>Fabio de Moura</t>
  </si>
  <si>
    <t>Samuel de Melo Ferraz</t>
  </si>
  <si>
    <t>Nivalda Rabelo Dama</t>
  </si>
  <si>
    <t>Marisa Araujo Batista Rocha</t>
  </si>
  <si>
    <t>Silvia Pecegueiro</t>
  </si>
  <si>
    <t>Silvana Lucia de Castro Santos</t>
  </si>
  <si>
    <t>Judy Ann Fukasuka</t>
  </si>
  <si>
    <t>Katia Maria da Silva Costa</t>
  </si>
  <si>
    <t>Quereen Santos de Mello Sarmento</t>
  </si>
  <si>
    <t>Leandro Estevam da Silva Vatezeck</t>
  </si>
  <si>
    <t>Arildson Ribeiro</t>
  </si>
  <si>
    <t>Sueli Ribeiro de Amorim</t>
  </si>
  <si>
    <t>Jackeline Melo Alves da Silva</t>
  </si>
  <si>
    <t>Ivone Maria Leite</t>
  </si>
  <si>
    <t>Custodio Silva Mello</t>
  </si>
  <si>
    <t>Sergio Vicente Inocencio</t>
  </si>
  <si>
    <t>Tamara Thais Soares Silva</t>
  </si>
  <si>
    <t>Vivian Cristina de Melo Pereira</t>
  </si>
  <si>
    <t>Gloria Nunes Kern de Oliveira Torres</t>
  </si>
  <si>
    <t>Ricardo Rosa Passos</t>
  </si>
  <si>
    <t>Fabio Alexandre de Jesus</t>
  </si>
  <si>
    <t>Luiz Carlos do Nascimento</t>
  </si>
  <si>
    <t>Teresinha de Fatima Vieira Lima</t>
  </si>
  <si>
    <t>Cicero Ferreira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</si>
</sst>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22"/>
      <name val="Arial Black"/>
      <family val="2"/>
    </font>
    <font>
      <b/>
      <u/>
      <sz val="16"/>
      <name val="Century Gothic"/>
      <family val="2"/>
    </font>
    <font>
      <sz val="11"/>
      <name val="Calibri"/>
    </font>
    <font>
      <sz val="11"/>
      <name val="Calibri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4" fontId="33" fillId="0" borderId="0" xfId="0" applyNumberFormat="1" applyFont="1" applyAlignment="1">
      <alignment horizontal="center"/>
    </xf>
    <xf numFmtId="0" fontId="33" fillId="0" borderId="0" xfId="0" applyFont="1"/>
    <xf numFmtId="165" fontId="34" fillId="0" borderId="0" xfId="0" applyNumberFormat="1" applyFont="1" applyAlignment="1">
      <alignment horizontal="center"/>
    </xf>
    <xf numFmtId="0" fontId="34" fillId="0" borderId="0" xfId="0" applyFont="1"/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24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165" fontId="37" fillId="0" borderId="17" xfId="0" applyNumberFormat="1" applyFont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44" fontId="37" fillId="0" borderId="13" xfId="39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44" fontId="37" fillId="0" borderId="17" xfId="39" applyFont="1" applyFill="1" applyBorder="1" applyAlignment="1">
      <alignment horizontal="center"/>
    </xf>
    <xf numFmtId="1" fontId="37" fillId="0" borderId="3" xfId="0" applyNumberFormat="1" applyFont="1" applyBorder="1" applyAlignment="1">
      <alignment horizontal="center"/>
    </xf>
    <xf numFmtId="1" fontId="37" fillId="0" borderId="17" xfId="2" applyNumberFormat="1" applyFont="1" applyBorder="1" applyAlignment="1">
      <alignment horizontal="center"/>
    </xf>
    <xf numFmtId="164" fontId="37" fillId="0" borderId="3" xfId="2" applyFont="1" applyFill="1" applyBorder="1" applyAlignment="1">
      <alignment horizontal="center"/>
    </xf>
    <xf numFmtId="165" fontId="37" fillId="0" borderId="3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38" fillId="0" borderId="0" xfId="0" applyFont="1" applyAlignment="1">
      <alignment horizontal="center"/>
    </xf>
    <xf numFmtId="1" fontId="30" fillId="0" borderId="0" xfId="0" applyNumberFormat="1" applyFont="1" applyAlignment="1">
      <alignment horizontal="center"/>
    </xf>
    <xf numFmtId="164" fontId="13" fillId="0" borderId="0" xfId="2" applyFont="1" applyFill="1" applyBorder="1" applyAlignment="1">
      <alignment horizontal="center"/>
    </xf>
    <xf numFmtId="165" fontId="13" fillId="0" borderId="0" xfId="4" applyNumberFormat="1" applyFont="1" applyFill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165" fontId="10" fillId="7" borderId="2" xfId="0" applyNumberFormat="1" applyFont="1" applyFill="1" applyBorder="1" applyAlignment="1">
      <alignment horizontal="center"/>
    </xf>
    <xf numFmtId="165" fontId="10" fillId="7" borderId="0" xfId="0" applyNumberFormat="1" applyFont="1" applyFill="1" applyAlignment="1">
      <alignment horizontal="center"/>
    </xf>
    <xf numFmtId="165" fontId="10" fillId="7" borderId="11" xfId="0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18" totalsRowShown="0" headerRowDxfId="1351" dataDxfId="1349" headerRowBorderDxfId="1350" tableBorderDxfId="1348" totalsRowBorderDxfId="1347">
  <autoFilter ref="E5:I18" xr:uid="{00000000-0009-0000-0100-000014000000}"/>
  <sortState xmlns:xlrd2="http://schemas.microsoft.com/office/spreadsheetml/2017/richdata2" ref="E6:I18">
    <sortCondition ref="E5:E18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1:I27" totalsRowShown="0" headerRowDxfId="1333" dataDxfId="1331" headerRowBorderDxfId="1332" tableBorderDxfId="1330" totalsRowBorderDxfId="1329">
  <autoFilter ref="E21:I27" xr:uid="{00000000-0009-0000-0100-000016000000}"/>
  <sortState xmlns:xlrd2="http://schemas.microsoft.com/office/spreadsheetml/2017/richdata2" ref="E22:I27">
    <sortCondition ref="E21:E27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27" totalsRowShown="0" headerRowDxfId="1323" dataDxfId="1321" headerRowBorderDxfId="1322" tableBorderDxfId="1320" totalsRowBorderDxfId="1319">
  <autoFilter ref="K14:M27" xr:uid="{C83FE64B-E221-4DAA-89EA-5307A7BC98B3}"/>
  <sortState xmlns:xlrd2="http://schemas.microsoft.com/office/spreadsheetml/2017/richdata2" ref="K15:M27">
    <sortCondition ref="K14:K27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0:I40" totalsRowShown="0" headerRowDxfId="1315" dataDxfId="1313" headerRowBorderDxfId="1314" tableBorderDxfId="1312" totalsRowBorderDxfId="1311">
  <autoFilter ref="E30:I40" xr:uid="{B9E2F984-8588-4F2C-9FB9-680284154679}"/>
  <sortState xmlns:xlrd2="http://schemas.microsoft.com/office/spreadsheetml/2017/richdata2" ref="E31:I40">
    <sortCondition ref="E30:E40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0:M40" totalsRowShown="0" headerRowDxfId="1305" dataDxfId="1303" headerRowBorderDxfId="1304" tableBorderDxfId="1302" totalsRowBorderDxfId="1301">
  <autoFilter ref="K30:M40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61" dataDxfId="1259" headerRowBorderDxfId="1260" tableBorderDxfId="1258" totalsRowBorderDxfId="125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18" totalsRowShown="0" headerRowDxfId="1243" dataDxfId="1241" headerRowBorderDxfId="1242" tableBorderDxfId="1240" totalsRowBorderDxfId="1239">
  <autoFilter ref="E5:I18" xr:uid="{00000000-0009-0000-0100-000014000000}"/>
  <sortState xmlns:xlrd2="http://schemas.microsoft.com/office/spreadsheetml/2017/richdata2" ref="E6:I18">
    <sortCondition ref="E5:E18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1:I27" totalsRowShown="0" headerRowDxfId="1225" dataDxfId="1223" headerRowBorderDxfId="1224" tableBorderDxfId="1222" totalsRowBorderDxfId="1221">
  <autoFilter ref="E21:I27" xr:uid="{00000000-0009-0000-0100-000016000000}"/>
  <sortState xmlns:xlrd2="http://schemas.microsoft.com/office/spreadsheetml/2017/richdata2" ref="E22:I27">
    <sortCondition ref="E21:E27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27" totalsRowShown="0" headerRowDxfId="1215" dataDxfId="1213" headerRowBorderDxfId="1214" tableBorderDxfId="1212" totalsRowBorderDxfId="1211">
  <autoFilter ref="K14:M27" xr:uid="{C83FE64B-E221-4DAA-89EA-5307A7BC98B3}"/>
  <sortState xmlns:xlrd2="http://schemas.microsoft.com/office/spreadsheetml/2017/richdata2" ref="K15:M27">
    <sortCondition ref="K14:K27"/>
  </sortState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0:I43" totalsRowShown="0" headerRowDxfId="1207" dataDxfId="1205" headerRowBorderDxfId="1206" tableBorderDxfId="1204" totalsRowBorderDxfId="1203">
  <autoFilter ref="E30:I43" xr:uid="{B9E2F984-8588-4F2C-9FB9-680284154679}"/>
  <sortState xmlns:xlrd2="http://schemas.microsoft.com/office/spreadsheetml/2017/richdata2" ref="E31:I43">
    <sortCondition ref="E30:E43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0:M43" totalsRowShown="0" headerRowDxfId="1197" dataDxfId="1195" headerRowBorderDxfId="1196" tableBorderDxfId="1194" totalsRowBorderDxfId="1193">
  <autoFilter ref="K30:M43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53" dataDxfId="1151" headerRowBorderDxfId="1152" tableBorderDxfId="1150" totalsRowBorderDxfId="1149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3">
    <sortCondition ref="E5:E23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D9" sqref="D9"/>
    </sheetView>
  </sheetViews>
  <sheetFormatPr defaultColWidth="21.28515625" defaultRowHeight="12.75" x14ac:dyDescent="0.2"/>
  <cols>
    <col min="2" max="2" width="22.7109375" customWidth="1"/>
  </cols>
  <sheetData>
    <row r="1" spans="1:16" ht="33.75" x14ac:dyDescent="0.65">
      <c r="B1" s="70"/>
      <c r="L1" s="72" t="s">
        <v>141</v>
      </c>
      <c r="P1" t="s">
        <v>127</v>
      </c>
    </row>
    <row r="2" spans="1:16" ht="15" x14ac:dyDescent="0.2">
      <c r="A2" s="18" t="s">
        <v>0</v>
      </c>
      <c r="B2" s="55" t="s">
        <v>13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91903.51999999999</v>
      </c>
      <c r="P3" t="s">
        <v>129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79916.319999999992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18</v>
      </c>
      <c r="P5" t="s">
        <v>131</v>
      </c>
    </row>
    <row r="6" spans="1:16" ht="15.75" x14ac:dyDescent="0.25">
      <c r="A6" s="27" t="s">
        <v>4</v>
      </c>
      <c r="B6" s="28">
        <f ca="1">SUM(B4:B5)</f>
        <v>79934.319999999992</v>
      </c>
      <c r="C6">
        <f>C16</f>
        <v>0</v>
      </c>
      <c r="E6" s="36"/>
      <c r="F6" s="36"/>
      <c r="G6" s="36"/>
      <c r="H6" s="36"/>
      <c r="I6" s="36"/>
      <c r="K6" s="36"/>
      <c r="L6" s="36"/>
      <c r="M6" s="36"/>
      <c r="P6" t="s">
        <v>132</v>
      </c>
    </row>
    <row r="7" spans="1:16" ht="15" x14ac:dyDescent="0.25">
      <c r="A7" s="2"/>
      <c r="B7" s="2"/>
      <c r="E7" s="36"/>
      <c r="F7" s="36"/>
      <c r="G7" s="36"/>
      <c r="H7" s="36"/>
      <c r="I7" s="36"/>
      <c r="K7" s="36"/>
      <c r="L7" s="36"/>
      <c r="M7" s="36"/>
      <c r="P7" t="s">
        <v>133</v>
      </c>
    </row>
    <row r="8" spans="1:16" ht="15" x14ac:dyDescent="0.2">
      <c r="A8" s="106" t="s">
        <v>5</v>
      </c>
      <c r="B8" s="106"/>
      <c r="E8" s="36"/>
      <c r="F8" s="36"/>
      <c r="G8" s="36"/>
      <c r="H8" s="36"/>
      <c r="I8" s="36"/>
      <c r="K8" s="36"/>
      <c r="L8" s="36"/>
      <c r="M8" s="36"/>
      <c r="P8" t="s">
        <v>134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7221.9</v>
      </c>
      <c r="E9" s="36"/>
      <c r="F9" s="36"/>
      <c r="G9" s="36"/>
      <c r="H9" s="36"/>
      <c r="I9" s="36"/>
      <c r="K9" s="36"/>
      <c r="L9" s="36"/>
      <c r="M9" s="36"/>
      <c r="P9" t="s">
        <v>135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14771.239999999998</v>
      </c>
      <c r="E10" s="36"/>
      <c r="F10" s="36"/>
      <c r="G10" s="36"/>
      <c r="H10" s="36"/>
      <c r="I10" s="36"/>
      <c r="K10" s="36"/>
      <c r="L10" s="36"/>
      <c r="M10" s="36"/>
      <c r="P10" t="s">
        <v>136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43402.98</v>
      </c>
      <c r="E11" s="36"/>
      <c r="F11" s="36"/>
      <c r="G11" s="36"/>
      <c r="H11" s="36"/>
      <c r="I11" s="36"/>
      <c r="K11" s="36"/>
      <c r="L11" s="36"/>
      <c r="M11" s="36"/>
      <c r="P11" t="s">
        <v>137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E12" s="36"/>
      <c r="F12" s="36"/>
      <c r="G12" s="36"/>
      <c r="H12" s="36"/>
      <c r="I12" s="36"/>
      <c r="P12" t="s">
        <v>138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14520.2</v>
      </c>
      <c r="E13" s="36"/>
      <c r="F13" s="36"/>
      <c r="G13" s="36"/>
      <c r="H13" s="36"/>
      <c r="I13" s="36"/>
      <c r="P13" t="s">
        <v>139</v>
      </c>
    </row>
    <row r="14" spans="1:16" ht="15.75" x14ac:dyDescent="0.25">
      <c r="A14" s="27" t="s">
        <v>11</v>
      </c>
      <c r="B14" s="56">
        <f ca="1">SUM(B9:B13)</f>
        <v>79916.320000000007</v>
      </c>
      <c r="E14" s="36"/>
      <c r="F14" s="36"/>
      <c r="G14" s="36"/>
      <c r="H14" s="36"/>
      <c r="I14" s="36"/>
    </row>
    <row r="15" spans="1:16" ht="15" x14ac:dyDescent="0.25">
      <c r="A15" s="2"/>
      <c r="B15" s="2"/>
      <c r="E15" s="36"/>
      <c r="F15" s="36"/>
      <c r="G15" s="36"/>
      <c r="H15" s="36"/>
      <c r="I15" s="36"/>
      <c r="K15" s="36"/>
      <c r="L15" s="36"/>
      <c r="M15" s="36"/>
    </row>
    <row r="16" spans="1:16" ht="15" x14ac:dyDescent="0.2">
      <c r="A16" s="106" t="s">
        <v>12</v>
      </c>
      <c r="B16" s="106"/>
      <c r="E16" s="36"/>
      <c r="F16" s="36"/>
      <c r="G16" s="36"/>
      <c r="H16" s="36"/>
      <c r="I16" s="36"/>
      <c r="K16" s="36"/>
      <c r="L16" s="36"/>
      <c r="M16" s="36"/>
    </row>
    <row r="17" spans="1:13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6672.99</v>
      </c>
      <c r="E17" s="36"/>
      <c r="F17" s="36"/>
      <c r="G17" s="36"/>
      <c r="H17" s="36"/>
      <c r="I17" s="36"/>
      <c r="K17" s="36"/>
      <c r="L17" s="36"/>
      <c r="M17" s="36"/>
    </row>
    <row r="18" spans="1:13" ht="15.75" x14ac:dyDescent="0.25">
      <c r="A18" s="27" t="s">
        <v>11</v>
      </c>
      <c r="B18" s="56">
        <f>SUM(B17:B17)</f>
        <v>6672.99</v>
      </c>
      <c r="E18" s="36"/>
      <c r="F18" s="36"/>
      <c r="G18" s="36"/>
      <c r="H18" s="36"/>
      <c r="I18" s="36"/>
      <c r="K18" s="36"/>
      <c r="L18" s="36"/>
      <c r="M18" s="36"/>
    </row>
    <row r="19" spans="1:13" x14ac:dyDescent="0.2">
      <c r="E19" s="36"/>
      <c r="F19" s="36"/>
      <c r="G19" s="36"/>
      <c r="H19" s="36"/>
      <c r="I19" s="36"/>
      <c r="K19" s="36"/>
      <c r="L19" s="36"/>
      <c r="M19" s="36"/>
    </row>
    <row r="20" spans="1:13" x14ac:dyDescent="0.2">
      <c r="E20" s="36"/>
      <c r="F20" s="36"/>
      <c r="G20" s="36"/>
      <c r="H20" s="36"/>
      <c r="I20" s="36"/>
      <c r="K20" s="36"/>
      <c r="L20" s="36"/>
      <c r="M20" s="36"/>
    </row>
    <row r="21" spans="1:13" x14ac:dyDescent="0.2">
      <c r="E21" s="36"/>
      <c r="F21" s="36"/>
      <c r="G21" s="36"/>
      <c r="H21" s="36"/>
      <c r="I21" s="36"/>
      <c r="K21" s="36"/>
      <c r="L21" s="36"/>
      <c r="M21" s="36"/>
    </row>
    <row r="22" spans="1:13" x14ac:dyDescent="0.2">
      <c r="E22" s="36"/>
      <c r="F22" s="36"/>
      <c r="G22" s="36"/>
      <c r="H22" s="36"/>
      <c r="I22" s="36"/>
      <c r="K22" s="36"/>
      <c r="L22" s="36"/>
      <c r="M22" s="36"/>
    </row>
    <row r="23" spans="1:13" x14ac:dyDescent="0.2">
      <c r="K23" s="36"/>
      <c r="L23" s="36"/>
      <c r="M23" s="36"/>
    </row>
    <row r="24" spans="1:13" x14ac:dyDescent="0.2">
      <c r="K24" s="36"/>
      <c r="L24" s="36"/>
      <c r="M24" s="36"/>
    </row>
    <row r="25" spans="1:13" x14ac:dyDescent="0.2">
      <c r="K25" s="36"/>
      <c r="L25" s="36"/>
      <c r="M25" s="36"/>
    </row>
    <row r="26" spans="1:13" x14ac:dyDescent="0.2">
      <c r="E26" s="36"/>
      <c r="F26" s="36"/>
      <c r="G26" s="36"/>
      <c r="H26" s="36"/>
      <c r="I26" s="36"/>
      <c r="K26" s="36"/>
      <c r="L26" s="36"/>
      <c r="M26" s="36"/>
    </row>
    <row r="27" spans="1:13" x14ac:dyDescent="0.2">
      <c r="E27" s="36"/>
      <c r="F27" s="36"/>
      <c r="G27" s="36"/>
      <c r="H27" s="36"/>
      <c r="I27" s="36"/>
      <c r="K27" s="36"/>
      <c r="L27" s="36"/>
      <c r="M27" s="36"/>
    </row>
    <row r="28" spans="1:13" x14ac:dyDescent="0.2">
      <c r="E28" s="36"/>
      <c r="F28" s="36"/>
      <c r="G28" s="36"/>
      <c r="H28" s="36"/>
      <c r="I28" s="36"/>
      <c r="K28" s="36"/>
      <c r="L28" s="36"/>
      <c r="M28" s="36"/>
    </row>
    <row r="29" spans="1:13" x14ac:dyDescent="0.2">
      <c r="E29" s="36"/>
      <c r="F29" s="36"/>
      <c r="G29" s="36"/>
      <c r="H29" s="36"/>
      <c r="I29" s="36"/>
      <c r="K29" s="36"/>
      <c r="L29" s="36"/>
      <c r="M29" s="36"/>
    </row>
    <row r="30" spans="1:13" x14ac:dyDescent="0.2">
      <c r="E30" s="36"/>
      <c r="F30" s="36"/>
      <c r="G30" s="36"/>
      <c r="H30" s="36"/>
      <c r="I30" s="36"/>
      <c r="K30" s="36"/>
      <c r="L30" s="36"/>
      <c r="M30" s="36"/>
    </row>
    <row r="31" spans="1:13" x14ac:dyDescent="0.2">
      <c r="E31" s="36"/>
      <c r="F31" s="36"/>
      <c r="G31" s="36"/>
      <c r="H31" s="36"/>
      <c r="I31" s="36"/>
      <c r="K31" s="36"/>
      <c r="L31" s="36"/>
      <c r="M31" s="36"/>
    </row>
    <row r="35" spans="5:13" x14ac:dyDescent="0.2">
      <c r="E35" s="36"/>
      <c r="F35" s="36"/>
      <c r="G35" s="36"/>
      <c r="H35" s="36"/>
      <c r="I35" s="36"/>
      <c r="K35" s="36"/>
      <c r="L35" s="36"/>
      <c r="M35" s="36"/>
    </row>
    <row r="36" spans="5:13" x14ac:dyDescent="0.2">
      <c r="E36" s="36"/>
      <c r="F36" s="36"/>
      <c r="G36" s="36"/>
      <c r="H36" s="36"/>
      <c r="I36" s="36"/>
      <c r="K36" s="36"/>
      <c r="L36" s="36"/>
      <c r="M36" s="36"/>
    </row>
    <row r="37" spans="5:13" x14ac:dyDescent="0.2">
      <c r="E37" s="36"/>
      <c r="F37" s="36"/>
      <c r="G37" s="36"/>
      <c r="H37" s="36"/>
      <c r="I37" s="36"/>
      <c r="K37" s="36"/>
      <c r="L37" s="36"/>
      <c r="M37" s="36"/>
    </row>
    <row r="38" spans="5:13" x14ac:dyDescent="0.2">
      <c r="E38" s="36"/>
      <c r="F38" s="36"/>
      <c r="G38" s="36"/>
      <c r="H38" s="36"/>
      <c r="I38" s="36"/>
      <c r="K38" s="36"/>
      <c r="L38" s="36"/>
      <c r="M38" s="36"/>
    </row>
    <row r="39" spans="5:13" x14ac:dyDescent="0.2">
      <c r="E39" s="36"/>
      <c r="F39" s="36"/>
      <c r="G39" s="36"/>
      <c r="H39" s="36"/>
      <c r="I39" s="36"/>
      <c r="K39" s="36"/>
      <c r="L39" s="36"/>
      <c r="M39" s="36"/>
    </row>
    <row r="40" spans="5:13" x14ac:dyDescent="0.2">
      <c r="E40" s="36"/>
      <c r="F40" s="36"/>
      <c r="G40" s="36"/>
      <c r="H40" s="36"/>
      <c r="I40" s="36"/>
      <c r="K40" s="36"/>
      <c r="L40" s="36"/>
      <c r="M40" s="36"/>
    </row>
    <row r="41" spans="5:13" x14ac:dyDescent="0.2">
      <c r="E41" s="36"/>
      <c r="F41" s="36"/>
      <c r="G41" s="36"/>
      <c r="H41" s="36"/>
      <c r="I41" s="36"/>
      <c r="K41" s="36"/>
      <c r="L41" s="36"/>
      <c r="M41" s="36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90" zoomScaleNormal="90" workbookViewId="0">
      <selection activeCell="E18" sqref="E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v>45658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0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0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0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0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0"/>
      <c r="F16" s="24"/>
      <c r="G16" s="25"/>
      <c r="H16" s="8"/>
      <c r="I16" s="8"/>
      <c r="J16" s="2"/>
      <c r="K16" s="67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IF(vend1[[#This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25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0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C23" sqref="C22:C2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'01'!B1+1</f>
        <v>45659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2159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940</v>
      </c>
      <c r="D6" s="2"/>
      <c r="E6" s="60">
        <v>10291</v>
      </c>
      <c r="F6" s="24" t="s">
        <v>142</v>
      </c>
      <c r="G6" s="25" t="s">
        <v>40</v>
      </c>
      <c r="H6" s="8"/>
      <c r="I6" s="8"/>
      <c r="J6" s="2"/>
      <c r="K6" s="24"/>
      <c r="L6" s="9"/>
      <c r="M6" s="16"/>
      <c r="R6" s="1">
        <f>IF(vend2[[#This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10292</v>
      </c>
      <c r="F7" s="24" t="s">
        <v>143</v>
      </c>
      <c r="G7" s="25" t="s">
        <v>7</v>
      </c>
      <c r="H7" s="8">
        <v>489</v>
      </c>
      <c r="I7" s="8">
        <v>100</v>
      </c>
      <c r="J7" s="2"/>
      <c r="K7" s="24"/>
      <c r="L7" s="9"/>
      <c r="M7" s="16"/>
      <c r="R7" s="1">
        <f>IF(vend2[[#This Row],[Nº Venda]]&gt;1,1,0)</f>
        <v>1</v>
      </c>
    </row>
    <row r="8" spans="2:18" ht="15.75" x14ac:dyDescent="0.25">
      <c r="B8" s="27" t="s">
        <v>21</v>
      </c>
      <c r="C8" s="28">
        <f>SUM(C6:C7)</f>
        <v>940</v>
      </c>
      <c r="D8" s="2"/>
      <c r="E8" s="60">
        <v>10293</v>
      </c>
      <c r="F8" s="24" t="s">
        <v>144</v>
      </c>
      <c r="G8" s="25" t="s">
        <v>7</v>
      </c>
      <c r="H8" s="8">
        <v>390</v>
      </c>
      <c r="I8" s="8">
        <v>100</v>
      </c>
      <c r="J8" s="2"/>
      <c r="K8" s="24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60">
        <v>10294</v>
      </c>
      <c r="F9" s="24" t="s">
        <v>145</v>
      </c>
      <c r="G9" s="25" t="s">
        <v>7</v>
      </c>
      <c r="H9" s="8">
        <v>640</v>
      </c>
      <c r="I9" s="8">
        <v>100</v>
      </c>
      <c r="J9" s="2"/>
      <c r="K9" s="24"/>
      <c r="L9" s="9"/>
      <c r="M9" s="16"/>
      <c r="R9" s="1">
        <f>IF(vend2[[#This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10295</v>
      </c>
      <c r="F10" s="24" t="s">
        <v>146</v>
      </c>
      <c r="G10" s="25" t="s">
        <v>40</v>
      </c>
      <c r="H10" s="8"/>
      <c r="I10" s="8"/>
      <c r="J10" s="2"/>
      <c r="K10" s="24"/>
      <c r="L10" s="9"/>
      <c r="M10" s="16"/>
      <c r="R10" s="1">
        <f>IF(vend2[[#This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>
        <v>10296</v>
      </c>
      <c r="F11" s="24" t="s">
        <v>147</v>
      </c>
      <c r="G11" s="25" t="s">
        <v>8</v>
      </c>
      <c r="H11" s="8">
        <v>250</v>
      </c>
      <c r="I11" s="8">
        <v>250</v>
      </c>
      <c r="J11" s="2"/>
      <c r="K11" s="26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300</v>
      </c>
      <c r="D12" s="2"/>
      <c r="E12" s="60">
        <v>10297</v>
      </c>
      <c r="F12" s="24" t="s">
        <v>148</v>
      </c>
      <c r="G12" s="25" t="s">
        <v>8</v>
      </c>
      <c r="H12" s="8">
        <v>390</v>
      </c>
      <c r="I12" s="8">
        <v>390</v>
      </c>
      <c r="J12" s="2"/>
      <c r="R12" s="1">
        <f>IF(vend2[[#This Row],[Nº Venda]]&gt;1,1,0)</f>
        <v>1</v>
      </c>
    </row>
    <row r="13" spans="2:18" ht="15.75" x14ac:dyDescent="0.25">
      <c r="B13" s="29" t="s">
        <v>8</v>
      </c>
      <c r="C13" s="30">
        <f t="shared" si="0"/>
        <v>640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940</v>
      </c>
      <c r="D16" s="2"/>
      <c r="E16" s="60"/>
      <c r="F16" s="24"/>
      <c r="G16" s="25"/>
      <c r="H16" s="8"/>
      <c r="I16" s="8"/>
      <c r="J16" s="2"/>
      <c r="K16" s="67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IF(vend2[[#This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2159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25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60"/>
      <c r="F35" s="24"/>
      <c r="G35" s="25"/>
      <c r="H35" s="8"/>
      <c r="I35" s="8"/>
      <c r="K35" s="67"/>
      <c r="L35" s="39"/>
      <c r="M35" s="16"/>
    </row>
    <row r="36" spans="2:21" ht="15.75" x14ac:dyDescent="0.25">
      <c r="E36" s="60"/>
      <c r="F36" s="24"/>
      <c r="G36" s="25"/>
      <c r="H36" s="8"/>
      <c r="I36" s="8"/>
      <c r="K36" s="67"/>
      <c r="L36" s="39"/>
      <c r="M36" s="16"/>
    </row>
    <row r="37" spans="2:21" ht="15.75" x14ac:dyDescent="0.25">
      <c r="E37" s="60"/>
      <c r="F37" s="24"/>
      <c r="G37" s="25"/>
      <c r="H37" s="8"/>
      <c r="I37" s="8"/>
      <c r="K37" s="67"/>
      <c r="L37" s="39"/>
      <c r="M37" s="16"/>
    </row>
    <row r="38" spans="2:21" ht="15.75" x14ac:dyDescent="0.25">
      <c r="E38" s="60"/>
      <c r="F38" s="24"/>
      <c r="G38" s="25"/>
      <c r="H38" s="8"/>
      <c r="I38" s="8"/>
      <c r="K38" s="67"/>
      <c r="L38" s="39"/>
      <c r="M38" s="16"/>
    </row>
    <row r="39" spans="2:21" ht="15.75" x14ac:dyDescent="0.25">
      <c r="E39" s="60"/>
      <c r="F39" s="37"/>
      <c r="G39" s="25"/>
      <c r="H39" s="8"/>
      <c r="I39" s="8"/>
      <c r="K39" s="67"/>
      <c r="L39" s="39"/>
      <c r="M39" s="16"/>
    </row>
    <row r="40" spans="2:21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7</v>
      </c>
    </row>
    <row r="41" spans="2:21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view="pageBreakPreview" zoomScale="60" zoomScaleNormal="90" workbookViewId="0">
      <selection activeCell="H36" sqref="H3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'02'!B1+1</f>
        <v>45660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219.99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388.99</v>
      </c>
      <c r="D6" s="2"/>
      <c r="E6" s="60">
        <v>10298</v>
      </c>
      <c r="F6" s="24" t="s">
        <v>149</v>
      </c>
      <c r="G6" s="42" t="s">
        <v>8</v>
      </c>
      <c r="H6" s="8">
        <v>69.989999999999995</v>
      </c>
      <c r="I6" s="8">
        <v>69.989999999999995</v>
      </c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10299</v>
      </c>
      <c r="F7" s="24" t="s">
        <v>150</v>
      </c>
      <c r="G7" s="25" t="s">
        <v>10</v>
      </c>
      <c r="H7" s="8">
        <v>150</v>
      </c>
      <c r="I7" s="8">
        <v>150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388.99</v>
      </c>
      <c r="D8" s="2"/>
      <c r="E8" s="60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0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69.989999999999995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319</v>
      </c>
      <c r="D15" s="2"/>
      <c r="E15" s="60"/>
      <c r="F15" s="24"/>
      <c r="G15" s="25"/>
      <c r="H15" s="8"/>
      <c r="I15" s="8"/>
      <c r="J15" s="2"/>
      <c r="K15" s="67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388.99</v>
      </c>
      <c r="D16" s="2"/>
      <c r="E16" s="60"/>
      <c r="F16" s="24"/>
      <c r="G16" s="25"/>
      <c r="H16" s="8"/>
      <c r="I16" s="8"/>
      <c r="J16" s="2"/>
      <c r="K16" s="67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IF(vend3[[#This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219.99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42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8104</v>
      </c>
      <c r="F35" s="24" t="s">
        <v>151</v>
      </c>
      <c r="G35" s="25" t="s">
        <v>10</v>
      </c>
      <c r="H35" s="8">
        <v>169</v>
      </c>
      <c r="I35" s="8" t="s">
        <v>61</v>
      </c>
      <c r="K35" s="67"/>
      <c r="L35" s="39"/>
      <c r="M35" s="16"/>
    </row>
    <row r="36" spans="2:18" ht="15.75" x14ac:dyDescent="0.25">
      <c r="E36" s="60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2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abSelected="1" view="pageBreakPreview" zoomScale="90" zoomScaleNormal="90" zoomScaleSheetLayoutView="90" workbookViewId="0">
      <selection activeCell="H29" sqref="H29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'03'!B1+1</f>
        <v>45661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2217.29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3402.63</v>
      </c>
      <c r="D6" s="2"/>
      <c r="E6" s="60">
        <v>10300</v>
      </c>
      <c r="F6" s="24" t="s">
        <v>365</v>
      </c>
      <c r="G6" s="42" t="s">
        <v>6</v>
      </c>
      <c r="H6" s="8">
        <v>899</v>
      </c>
      <c r="I6" s="8">
        <v>5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10301</v>
      </c>
      <c r="F7" s="24" t="s">
        <v>366</v>
      </c>
      <c r="G7" s="42" t="s">
        <v>8</v>
      </c>
      <c r="H7" s="8">
        <v>599.99</v>
      </c>
      <c r="I7" s="8">
        <v>300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3402.63</v>
      </c>
      <c r="D8" s="2"/>
      <c r="E8" s="60">
        <v>10302</v>
      </c>
      <c r="F8" s="24" t="s">
        <v>296</v>
      </c>
      <c r="G8" s="42" t="s">
        <v>10</v>
      </c>
      <c r="H8" s="8">
        <v>110</v>
      </c>
      <c r="I8" s="8">
        <v>20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60">
        <v>10303</v>
      </c>
      <c r="F9" s="24" t="s">
        <v>367</v>
      </c>
      <c r="G9" s="42" t="s">
        <v>8</v>
      </c>
      <c r="H9" s="8">
        <v>110</v>
      </c>
      <c r="I9" s="8">
        <v>110</v>
      </c>
      <c r="J9" s="2"/>
      <c r="K9" s="24"/>
      <c r="L9" s="9"/>
      <c r="M9" s="16"/>
      <c r="R9" s="1">
        <f>IF(vend4[[#This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10304</v>
      </c>
      <c r="F10" s="24" t="s">
        <v>368</v>
      </c>
      <c r="G10" s="25" t="s">
        <v>8</v>
      </c>
      <c r="H10" s="8">
        <v>185.3</v>
      </c>
      <c r="I10" s="8">
        <v>185.3</v>
      </c>
      <c r="J10" s="2"/>
      <c r="K10" s="24"/>
      <c r="L10" s="9"/>
      <c r="M10" s="16"/>
      <c r="R10" s="1">
        <f>IF(vend4[[#This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</v>
      </c>
      <c r="D11" s="2"/>
      <c r="E11" s="60">
        <v>10305</v>
      </c>
      <c r="F11" s="24" t="s">
        <v>369</v>
      </c>
      <c r="G11" s="25" t="s">
        <v>10</v>
      </c>
      <c r="H11" s="8">
        <v>39</v>
      </c>
      <c r="I11" s="8">
        <v>39</v>
      </c>
      <c r="J11" s="2"/>
      <c r="K11" s="26"/>
      <c r="L11" s="9"/>
      <c r="M11" s="16"/>
      <c r="O11" s="1">
        <f>IF(C16=0,0,1)</f>
        <v>1</v>
      </c>
      <c r="R11" s="1">
        <f>IF(vend4[[#This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78.33</v>
      </c>
      <c r="D12" s="2"/>
      <c r="E12" s="60">
        <v>10306</v>
      </c>
      <c r="F12" s="24" t="s">
        <v>370</v>
      </c>
      <c r="G12" s="25" t="s">
        <v>8</v>
      </c>
      <c r="H12" s="8">
        <v>185</v>
      </c>
      <c r="I12" s="8">
        <v>185</v>
      </c>
      <c r="J12" s="2"/>
      <c r="R12" s="1">
        <f>IF(vend4[[#This Row],[Nº Venda]]&gt;1,1,0)</f>
        <v>1</v>
      </c>
    </row>
    <row r="13" spans="2:18" ht="15.75" x14ac:dyDescent="0.25">
      <c r="B13" s="29" t="s">
        <v>8</v>
      </c>
      <c r="C13" s="30">
        <f t="shared" si="0"/>
        <v>2931.3</v>
      </c>
      <c r="D13" s="2"/>
      <c r="E13" s="60">
        <v>10307</v>
      </c>
      <c r="F13" s="24" t="s">
        <v>371</v>
      </c>
      <c r="G13" s="25" t="s">
        <v>10</v>
      </c>
      <c r="H13" s="8">
        <v>49</v>
      </c>
      <c r="I13" s="8">
        <v>49</v>
      </c>
      <c r="J13" s="2"/>
      <c r="K13" s="108" t="s">
        <v>22</v>
      </c>
      <c r="L13" s="109"/>
      <c r="M13" s="110"/>
      <c r="R13" s="1">
        <f>IF(vend4[[#This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>
        <v>10308</v>
      </c>
      <c r="F14" s="24" t="s">
        <v>372</v>
      </c>
      <c r="G14" s="25" t="s">
        <v>10</v>
      </c>
      <c r="H14" s="8">
        <v>40</v>
      </c>
      <c r="I14" s="8">
        <v>40</v>
      </c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1</v>
      </c>
    </row>
    <row r="15" spans="2:18" ht="15.75" x14ac:dyDescent="0.25">
      <c r="B15" s="29" t="s">
        <v>10</v>
      </c>
      <c r="C15" s="30">
        <f t="shared" si="0"/>
        <v>388</v>
      </c>
      <c r="D15" s="2"/>
      <c r="E15" s="60"/>
      <c r="F15" s="24"/>
      <c r="G15" s="25"/>
      <c r="H15" s="8"/>
      <c r="I15" s="8"/>
      <c r="J15" s="2"/>
      <c r="K15" s="67">
        <v>10078</v>
      </c>
      <c r="L15" s="9" t="s">
        <v>129</v>
      </c>
      <c r="M15" s="83" t="s">
        <v>152</v>
      </c>
      <c r="R15" s="1">
        <f>IF(vend4[[#This Row],[Nº Venda]]&gt;1,1,0)</f>
        <v>0</v>
      </c>
    </row>
    <row r="16" spans="2:18" ht="15.75" x14ac:dyDescent="0.25">
      <c r="B16" s="27" t="s">
        <v>11</v>
      </c>
      <c r="C16" s="31">
        <f>SUM(C11:C15)</f>
        <v>3402.63</v>
      </c>
      <c r="D16" s="2"/>
      <c r="E16" s="60"/>
      <c r="F16" s="24"/>
      <c r="G16" s="25"/>
      <c r="H16" s="8"/>
      <c r="I16" s="8"/>
      <c r="J16" s="2"/>
      <c r="K16" s="67">
        <v>10178</v>
      </c>
      <c r="L16" s="9" t="s">
        <v>129</v>
      </c>
      <c r="M16" s="83" t="s">
        <v>152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10199</v>
      </c>
      <c r="L17" s="9" t="s">
        <v>135</v>
      </c>
      <c r="M17" s="83" t="s">
        <v>152</v>
      </c>
      <c r="R17" s="1">
        <f>IF(vend4[[#This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10200</v>
      </c>
      <c r="L18" s="9" t="s">
        <v>135</v>
      </c>
      <c r="M18" s="83" t="s">
        <v>152</v>
      </c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60"/>
      <c r="F19" s="24"/>
      <c r="G19" s="25"/>
      <c r="H19" s="8"/>
      <c r="I19" s="8"/>
      <c r="J19" s="2"/>
      <c r="K19" s="67">
        <v>10207</v>
      </c>
      <c r="L19" s="9" t="s">
        <v>129</v>
      </c>
      <c r="M19" s="83" t="s">
        <v>152</v>
      </c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>
        <v>10220</v>
      </c>
      <c r="L20" s="9" t="s">
        <v>135</v>
      </c>
      <c r="M20" s="83" t="s">
        <v>152</v>
      </c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10299</v>
      </c>
      <c r="L21" s="9" t="s">
        <v>128</v>
      </c>
      <c r="M21" s="83" t="s">
        <v>152</v>
      </c>
    </row>
    <row r="22" spans="2:18" ht="15.75" x14ac:dyDescent="0.25">
      <c r="B22" s="27" t="s">
        <v>26</v>
      </c>
      <c r="C22" s="31">
        <f>C5</f>
        <v>2217.29</v>
      </c>
      <c r="D22" s="2"/>
      <c r="E22" s="60"/>
      <c r="F22" s="24"/>
      <c r="G22" s="25"/>
      <c r="H22" s="8"/>
      <c r="I22" s="8"/>
      <c r="J22" s="2"/>
      <c r="K22" s="67">
        <v>10304</v>
      </c>
      <c r="L22" s="9" t="s">
        <v>135</v>
      </c>
      <c r="M22" s="83" t="s">
        <v>152</v>
      </c>
    </row>
    <row r="23" spans="2:18" ht="15" x14ac:dyDescent="0.25">
      <c r="B23" s="2"/>
      <c r="C23" s="2"/>
      <c r="D23" s="2"/>
      <c r="E23" s="32"/>
      <c r="H23" s="7"/>
      <c r="J23" s="2"/>
      <c r="K23" s="67">
        <v>10307</v>
      </c>
      <c r="L23" s="9" t="s">
        <v>135</v>
      </c>
      <c r="M23" s="83" t="s">
        <v>152</v>
      </c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>
        <v>10308</v>
      </c>
      <c r="L24" s="9" t="s">
        <v>135</v>
      </c>
      <c r="M24" s="83" t="s">
        <v>152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10078</v>
      </c>
      <c r="F26" s="24" t="s">
        <v>373</v>
      </c>
      <c r="G26" s="42" t="s">
        <v>10</v>
      </c>
      <c r="H26" s="8">
        <v>0</v>
      </c>
      <c r="I26" s="8">
        <v>240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10206</v>
      </c>
      <c r="F27" s="24" t="s">
        <v>374</v>
      </c>
      <c r="G27" s="42" t="s">
        <v>8</v>
      </c>
      <c r="H27" s="8">
        <v>0</v>
      </c>
      <c r="I27" s="8">
        <v>1800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10207</v>
      </c>
      <c r="F28" s="24" t="s">
        <v>374</v>
      </c>
      <c r="G28" s="42" t="s">
        <v>8</v>
      </c>
      <c r="H28" s="8">
        <v>0</v>
      </c>
      <c r="I28" s="8">
        <v>351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9615</v>
      </c>
      <c r="F35" s="24" t="s">
        <v>375</v>
      </c>
      <c r="G35" s="25" t="s">
        <v>7</v>
      </c>
      <c r="H35" s="8">
        <v>78.33</v>
      </c>
      <c r="I35" s="8" t="s">
        <v>80</v>
      </c>
      <c r="K35" s="67"/>
      <c r="L35" s="39"/>
      <c r="M35" s="16"/>
    </row>
    <row r="36" spans="2:18" ht="15.75" x14ac:dyDescent="0.25">
      <c r="E36" s="60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9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'04'!B1+1</f>
        <v>45662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0"/>
      <c r="F6" s="24"/>
      <c r="G6" s="42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0"/>
      <c r="F7" s="24"/>
      <c r="G7" s="42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0"/>
      <c r="F8" s="24"/>
      <c r="G8" s="42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60"/>
      <c r="F9" s="24"/>
      <c r="G9" s="42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42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/>
      <c r="F11" s="24"/>
      <c r="G11" s="42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0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/>
      <c r="L15" s="9"/>
      <c r="M15" s="76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0"/>
      <c r="F16" s="24"/>
      <c r="G16" s="25"/>
      <c r="H16" s="8"/>
      <c r="I16" s="8"/>
      <c r="J16" s="2"/>
      <c r="K16" s="67"/>
      <c r="L16" s="9"/>
      <c r="M16" s="75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IF(vend5[[#This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42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42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42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6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view="pageBreakPreview" zoomScale="60" zoomScaleNormal="9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'05'!B1+1</f>
        <v>45663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3633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2525</v>
      </c>
      <c r="D6" s="2"/>
      <c r="E6" s="84">
        <v>10309</v>
      </c>
      <c r="F6" s="85" t="s">
        <v>274</v>
      </c>
      <c r="G6" s="86" t="s">
        <v>6</v>
      </c>
      <c r="H6" s="87">
        <v>690</v>
      </c>
      <c r="I6" s="87">
        <v>100</v>
      </c>
      <c r="J6" s="2"/>
      <c r="K6" s="24"/>
      <c r="L6" s="9"/>
      <c r="M6" s="16"/>
      <c r="R6" s="1">
        <f>IF(vend[[#This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4">
        <v>10310</v>
      </c>
      <c r="F7" s="85" t="s">
        <v>273</v>
      </c>
      <c r="G7" s="86" t="s">
        <v>7</v>
      </c>
      <c r="H7" s="87">
        <v>917</v>
      </c>
      <c r="I7" s="87">
        <v>458</v>
      </c>
      <c r="J7" s="2"/>
      <c r="K7" s="24"/>
      <c r="L7" s="9"/>
      <c r="M7" s="16"/>
      <c r="R7" s="1">
        <f>IF(vend[[#This Row],[Nº Venda]]&gt;1,1,0)</f>
        <v>1</v>
      </c>
    </row>
    <row r="8" spans="2:18" ht="15.75" x14ac:dyDescent="0.25">
      <c r="B8" s="27" t="s">
        <v>21</v>
      </c>
      <c r="C8" s="28">
        <f>SUM(C6:C7)</f>
        <v>2525</v>
      </c>
      <c r="D8" s="2"/>
      <c r="E8" s="84">
        <v>10311</v>
      </c>
      <c r="F8" s="85" t="s">
        <v>267</v>
      </c>
      <c r="G8" s="86" t="s">
        <v>10</v>
      </c>
      <c r="H8" s="87">
        <v>45</v>
      </c>
      <c r="I8" s="87">
        <v>45</v>
      </c>
      <c r="J8" s="2"/>
      <c r="K8" s="24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84">
        <v>10312</v>
      </c>
      <c r="F9" s="85" t="s">
        <v>272</v>
      </c>
      <c r="G9" s="86" t="s">
        <v>10</v>
      </c>
      <c r="H9" s="87">
        <v>520</v>
      </c>
      <c r="I9" s="87">
        <v>260</v>
      </c>
      <c r="J9" s="2"/>
      <c r="K9" s="24"/>
      <c r="L9" s="9"/>
      <c r="M9" s="16"/>
      <c r="R9" s="1">
        <f>IF(vend[[#This Row],[Nº Venda]]&gt;1,1,0)</f>
        <v>1</v>
      </c>
    </row>
    <row r="10" spans="2:18" ht="15.75" x14ac:dyDescent="0.25">
      <c r="B10" s="106" t="s">
        <v>5</v>
      </c>
      <c r="C10" s="106"/>
      <c r="D10" s="2"/>
      <c r="E10" s="84">
        <v>10313</v>
      </c>
      <c r="F10" s="85" t="s">
        <v>271</v>
      </c>
      <c r="G10" s="86" t="s">
        <v>6</v>
      </c>
      <c r="H10" s="87">
        <v>399</v>
      </c>
      <c r="I10" s="87">
        <v>200</v>
      </c>
      <c r="J10" s="2"/>
      <c r="K10" s="24"/>
      <c r="L10" s="9"/>
      <c r="M10" s="16"/>
      <c r="R10" s="1">
        <f>IF(vend[[#This Row],[Nº Venda]]&gt;1,1,0)</f>
        <v>1</v>
      </c>
    </row>
    <row r="11" spans="2:18" ht="15.75" x14ac:dyDescent="0.25">
      <c r="B11" s="29" t="s">
        <v>6</v>
      </c>
      <c r="C11" s="57">
        <f>(SUMIF($G$2:$G$31,B11,$I$2:$I$31))+(SUMIF($G$35:$G$41,B11,$H$35:$H$41))</f>
        <v>325</v>
      </c>
      <c r="D11" s="2"/>
      <c r="E11" s="84">
        <v>10314</v>
      </c>
      <c r="F11" s="86" t="s">
        <v>270</v>
      </c>
      <c r="G11" s="86" t="s">
        <v>8</v>
      </c>
      <c r="H11" s="87">
        <v>80</v>
      </c>
      <c r="I11" s="87">
        <v>80</v>
      </c>
      <c r="J11" s="2"/>
      <c r="K11" s="26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29" t="s">
        <v>7</v>
      </c>
      <c r="C12" s="57">
        <f>(SUMIF($G$2:$G$31,B12,$I$2:$I$31))+(SUMIF($G$35:$G$41,B12,$H$35:$H$41))</f>
        <v>1016</v>
      </c>
      <c r="D12" s="2"/>
      <c r="E12" s="84">
        <v>10315</v>
      </c>
      <c r="F12" s="85" t="s">
        <v>269</v>
      </c>
      <c r="G12" s="86" t="s">
        <v>7</v>
      </c>
      <c r="H12" s="87">
        <v>18</v>
      </c>
      <c r="I12" s="87">
        <v>18</v>
      </c>
      <c r="J12" s="2"/>
      <c r="R12" s="1">
        <f>IF(vend[[#This Row],[Nº Venda]]&gt;1,1,0)</f>
        <v>1</v>
      </c>
    </row>
    <row r="13" spans="2:18" ht="15.75" x14ac:dyDescent="0.25">
      <c r="B13" s="29" t="s">
        <v>8</v>
      </c>
      <c r="C13" s="57">
        <f>(SUMIF($G$2:$G$31,B13,$I$2:$I$31))+(SUMIF($G$35:$G$41,B13,$H$35:$H$41))</f>
        <v>479</v>
      </c>
      <c r="D13" s="2"/>
      <c r="E13" s="84">
        <v>10316</v>
      </c>
      <c r="F13" s="85" t="s">
        <v>268</v>
      </c>
      <c r="G13" s="86" t="s">
        <v>6</v>
      </c>
      <c r="H13" s="87">
        <v>25</v>
      </c>
      <c r="I13" s="87">
        <v>25</v>
      </c>
      <c r="J13" s="2"/>
      <c r="K13" s="108" t="s">
        <v>22</v>
      </c>
      <c r="L13" s="109"/>
      <c r="M13" s="110"/>
      <c r="R13" s="1">
        <f>IF(vend[[#This Row],[Nº Venda]]&gt;1,1,0)</f>
        <v>1</v>
      </c>
    </row>
    <row r="14" spans="2:18" ht="15.75" x14ac:dyDescent="0.25">
      <c r="B14" s="29" t="s">
        <v>9</v>
      </c>
      <c r="C14" s="57">
        <f>(SUMIF($G$2:$G$31,B14,$I$2:$I$31))+(SUMIF($G$35:$G$41,B14,$H$35:$H$41))</f>
        <v>0</v>
      </c>
      <c r="D14" s="2"/>
      <c r="E14" s="84">
        <v>10317</v>
      </c>
      <c r="F14" s="85" t="s">
        <v>267</v>
      </c>
      <c r="G14" s="86" t="s">
        <v>7</v>
      </c>
      <c r="H14" s="87">
        <v>40</v>
      </c>
      <c r="I14" s="87">
        <v>40</v>
      </c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1</v>
      </c>
    </row>
    <row r="15" spans="2:18" ht="15.75" x14ac:dyDescent="0.25">
      <c r="B15" s="29" t="s">
        <v>10</v>
      </c>
      <c r="C15" s="57">
        <f>(SUMIF($G$2:$G$31,B15,$I$2:$I$31))+(SUMIF($G$35:$G$41,B15,$H$35:$H$41))</f>
        <v>705</v>
      </c>
      <c r="D15" s="2"/>
      <c r="E15" s="84"/>
      <c r="F15" s="85"/>
      <c r="G15" s="86"/>
      <c r="H15" s="87"/>
      <c r="I15" s="87"/>
      <c r="J15" s="2"/>
      <c r="K15" s="84">
        <v>10118</v>
      </c>
      <c r="L15" s="88" t="s">
        <v>129</v>
      </c>
      <c r="M15" s="89" t="s">
        <v>152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2525</v>
      </c>
      <c r="D16" s="2"/>
      <c r="E16" s="84"/>
      <c r="F16" s="85"/>
      <c r="G16" s="86"/>
      <c r="H16" s="87"/>
      <c r="I16" s="87"/>
      <c r="J16" s="2"/>
      <c r="K16" s="84">
        <v>10119</v>
      </c>
      <c r="L16" s="88" t="s">
        <v>129</v>
      </c>
      <c r="M16" s="89" t="s">
        <v>152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4"/>
      <c r="F17" s="85"/>
      <c r="G17" s="86"/>
      <c r="H17" s="87"/>
      <c r="I17" s="87"/>
      <c r="J17" s="2"/>
      <c r="K17" s="84">
        <v>10194</v>
      </c>
      <c r="L17" s="88" t="s">
        <v>129</v>
      </c>
      <c r="M17" s="89" t="s">
        <v>152</v>
      </c>
      <c r="R17" s="1">
        <f>IF(vend[[#This Row],[Nº Venda]]&gt;1,1,0)</f>
        <v>0</v>
      </c>
    </row>
    <row r="18" spans="2:18" ht="15.75" x14ac:dyDescent="0.25">
      <c r="B18" s="106" t="s">
        <v>12</v>
      </c>
      <c r="C18" s="106"/>
      <c r="D18" s="2"/>
      <c r="E18" s="84"/>
      <c r="F18" s="85"/>
      <c r="G18" s="86"/>
      <c r="H18" s="87"/>
      <c r="I18" s="87"/>
      <c r="J18" s="2"/>
      <c r="K18" s="84">
        <v>10209</v>
      </c>
      <c r="L18" s="88" t="s">
        <v>129</v>
      </c>
      <c r="M18" s="89" t="s">
        <v>152</v>
      </c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4"/>
      <c r="F19" s="85"/>
      <c r="G19" s="86"/>
      <c r="H19" s="87"/>
      <c r="I19" s="87"/>
      <c r="J19" s="2"/>
      <c r="K19" s="84">
        <v>10296</v>
      </c>
      <c r="L19" s="88" t="s">
        <v>128</v>
      </c>
      <c r="M19" s="89" t="s">
        <v>152</v>
      </c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4"/>
      <c r="F20" s="86"/>
      <c r="G20" s="86"/>
      <c r="H20" s="87"/>
      <c r="I20" s="87"/>
      <c r="J20" s="2"/>
      <c r="K20" s="84">
        <v>10314</v>
      </c>
      <c r="L20" s="88" t="s">
        <v>135</v>
      </c>
      <c r="M20" s="89" t="s">
        <v>152</v>
      </c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4"/>
      <c r="F21" s="85"/>
      <c r="G21" s="86"/>
      <c r="H21" s="87"/>
      <c r="I21" s="87"/>
      <c r="J21" s="2"/>
      <c r="K21" s="84">
        <v>10316</v>
      </c>
      <c r="L21" s="88" t="s">
        <v>135</v>
      </c>
      <c r="M21" s="89" t="s">
        <v>152</v>
      </c>
    </row>
    <row r="22" spans="2:18" ht="15.75" x14ac:dyDescent="0.25">
      <c r="B22" s="27" t="s">
        <v>26</v>
      </c>
      <c r="C22" s="31">
        <f>C5</f>
        <v>3633</v>
      </c>
      <c r="D22" s="2"/>
      <c r="E22" s="84"/>
      <c r="F22" s="85"/>
      <c r="G22" s="86"/>
      <c r="H22" s="87"/>
      <c r="I22" s="87"/>
      <c r="J22" s="2"/>
      <c r="K22" s="84"/>
      <c r="L22" s="88"/>
      <c r="M22" s="89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84">
        <v>10176</v>
      </c>
      <c r="F26" s="85" t="s">
        <v>276</v>
      </c>
      <c r="G26" s="86" t="s">
        <v>10</v>
      </c>
      <c r="H26" s="87">
        <v>0</v>
      </c>
      <c r="I26" s="87">
        <v>200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84">
        <v>10194</v>
      </c>
      <c r="F27" s="85" t="s">
        <v>275</v>
      </c>
      <c r="G27" s="86" t="s">
        <v>10</v>
      </c>
      <c r="H27" s="87">
        <v>0</v>
      </c>
      <c r="I27" s="87">
        <v>200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84">
        <v>10300</v>
      </c>
      <c r="F28" s="85" t="s">
        <v>277</v>
      </c>
      <c r="G28" s="86" t="s">
        <v>7</v>
      </c>
      <c r="H28" s="87">
        <v>899</v>
      </c>
      <c r="I28" s="87">
        <v>500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84">
        <v>10300</v>
      </c>
      <c r="F29" s="85" t="s">
        <v>277</v>
      </c>
      <c r="G29" s="86" t="s">
        <v>8</v>
      </c>
      <c r="H29" s="87">
        <v>0</v>
      </c>
      <c r="I29" s="87">
        <v>399</v>
      </c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9</v>
      </c>
    </row>
    <row r="41" spans="2:18" ht="15.75" x14ac:dyDescent="0.25">
      <c r="E41" s="64"/>
      <c r="F41" s="37"/>
      <c r="G41" s="25"/>
      <c r="H41" s="8"/>
      <c r="I41" s="8"/>
      <c r="K41" s="67"/>
      <c r="L41" s="39"/>
      <c r="M41" s="38"/>
    </row>
    <row r="42" spans="2:18" x14ac:dyDescent="0.2">
      <c r="F42" s="59"/>
      <c r="G42" s="59"/>
      <c r="H42" s="58"/>
      <c r="I42" s="5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0"/>
  <sheetViews>
    <sheetView showGridLines="0" zoomScale="90" zoomScaleNormal="90" workbookViewId="0">
      <selection activeCell="F3" sqref="E3:I4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69">
        <f>'06'!B1+1</f>
        <v>45664</v>
      </c>
      <c r="L1" s="71" t="s">
        <v>141</v>
      </c>
    </row>
    <row r="2" spans="2:21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  <c r="U4" s="1">
        <v>0</v>
      </c>
    </row>
    <row r="5" spans="2:21" ht="15" x14ac:dyDescent="0.25">
      <c r="B5" s="22" t="s">
        <v>1</v>
      </c>
      <c r="C5" s="23">
        <f>SUMIF(I6:I27,"&gt;0",H6:H27)</f>
        <v>1253.98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1982.15</v>
      </c>
      <c r="D6" s="2"/>
      <c r="E6" s="84">
        <v>10318</v>
      </c>
      <c r="F6" s="90" t="s">
        <v>286</v>
      </c>
      <c r="G6" s="90" t="s">
        <v>10</v>
      </c>
      <c r="H6" s="91">
        <v>399.99</v>
      </c>
      <c r="I6" s="91">
        <v>100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84">
        <v>10319</v>
      </c>
      <c r="F7" s="92" t="s">
        <v>287</v>
      </c>
      <c r="G7" s="92" t="s">
        <v>10</v>
      </c>
      <c r="H7" s="87">
        <v>399.99</v>
      </c>
      <c r="I7" s="87">
        <v>130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1982.15</v>
      </c>
      <c r="D8" s="2"/>
      <c r="E8" s="84">
        <v>10320</v>
      </c>
      <c r="F8" s="85" t="s">
        <v>288</v>
      </c>
      <c r="G8" s="86" t="s">
        <v>8</v>
      </c>
      <c r="H8" s="87">
        <v>35</v>
      </c>
      <c r="I8" s="87">
        <v>35</v>
      </c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84">
        <v>10321</v>
      </c>
      <c r="F9" s="85" t="s">
        <v>289</v>
      </c>
      <c r="G9" s="86" t="s">
        <v>6</v>
      </c>
      <c r="H9" s="87">
        <v>379</v>
      </c>
      <c r="I9" s="87">
        <v>100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106" t="s">
        <v>5</v>
      </c>
      <c r="C10" s="106"/>
      <c r="D10" s="2"/>
      <c r="E10" s="84">
        <v>10321</v>
      </c>
      <c r="F10" s="85" t="s">
        <v>289</v>
      </c>
      <c r="G10" s="86" t="s">
        <v>7</v>
      </c>
      <c r="H10" s="87">
        <v>0</v>
      </c>
      <c r="I10" s="87">
        <v>279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6</v>
      </c>
      <c r="C11" s="30">
        <f>(SUMIF($G$2:$G$27,B11,$I$2:$I$27))+(SUMIF($G$31:$G$40,B11,$H$31:$H$40))</f>
        <v>365</v>
      </c>
      <c r="D11" s="2"/>
      <c r="E11" s="84">
        <v>10322</v>
      </c>
      <c r="F11" s="85" t="s">
        <v>290</v>
      </c>
      <c r="G11" s="86" t="s">
        <v>6</v>
      </c>
      <c r="H11" s="87">
        <v>40</v>
      </c>
      <c r="I11" s="87">
        <v>40</v>
      </c>
      <c r="J11" s="2"/>
      <c r="K11" s="26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29" t="s">
        <v>7</v>
      </c>
      <c r="C12" s="30">
        <f>(SUMIF($G$2:$G$27,B12,$I$2:$I$27))+(SUMIF($G$31:$G$40,B12,$H$31:$H$40))</f>
        <v>511.37</v>
      </c>
      <c r="D12" s="2"/>
      <c r="E12" s="84"/>
      <c r="F12" s="85"/>
      <c r="G12" s="86"/>
      <c r="H12" s="87"/>
      <c r="I12" s="87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>(SUMIF($G$2:$G$27,B13,$I$2:$I$27))+(SUMIF($G$31:$G$40,B13,$H$31:$H$40))</f>
        <v>35</v>
      </c>
      <c r="D13" s="2"/>
      <c r="E13" s="84"/>
      <c r="F13" s="85"/>
      <c r="G13" s="86"/>
      <c r="H13" s="87"/>
      <c r="I13" s="87"/>
      <c r="J13" s="2"/>
      <c r="K13" s="108" t="s">
        <v>22</v>
      </c>
      <c r="L13" s="109"/>
      <c r="M13" s="110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>(SUMIF($G$2:$G$27,B14,$I$2:$I$27))+(SUMIF($G$31:$G$40,B14,$H$31:$H$40))</f>
        <v>0</v>
      </c>
      <c r="D14" s="2"/>
      <c r="E14" s="84"/>
      <c r="F14" s="85"/>
      <c r="G14" s="86"/>
      <c r="H14" s="87"/>
      <c r="I14" s="87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>(SUMIF($G$2:$G$27,B15,$I$2:$I$27))+(SUMIF($G$31:$G$40,B15,$H$31:$H$40))</f>
        <v>1070.78</v>
      </c>
      <c r="D15" s="2"/>
      <c r="E15" s="84"/>
      <c r="F15" s="85"/>
      <c r="G15" s="86"/>
      <c r="H15" s="87"/>
      <c r="I15" s="87"/>
      <c r="J15" s="2"/>
      <c r="K15" s="67">
        <v>10068</v>
      </c>
      <c r="L15" s="9" t="s">
        <v>135</v>
      </c>
      <c r="M15" s="43" t="s">
        <v>152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1982.15</v>
      </c>
      <c r="D16" s="2"/>
      <c r="E16" s="84"/>
      <c r="F16" s="85"/>
      <c r="G16" s="86"/>
      <c r="H16" s="87"/>
      <c r="I16" s="87"/>
      <c r="J16" s="2"/>
      <c r="K16" s="67">
        <v>10295</v>
      </c>
      <c r="L16" s="9" t="s">
        <v>135</v>
      </c>
      <c r="M16" s="16" t="s">
        <v>152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4"/>
      <c r="F17" s="85"/>
      <c r="G17" s="86"/>
      <c r="H17" s="87"/>
      <c r="I17" s="87"/>
      <c r="J17" s="2"/>
      <c r="K17" s="67">
        <v>10303</v>
      </c>
      <c r="L17" s="9" t="s">
        <v>135</v>
      </c>
      <c r="M17" s="16" t="s">
        <v>152</v>
      </c>
      <c r="R17" s="1">
        <f>IF(vend7[[#This Row],[Nº Venda]]&gt;1,1,0)</f>
        <v>0</v>
      </c>
    </row>
    <row r="18" spans="2:18" ht="15.75" x14ac:dyDescent="0.25">
      <c r="B18" s="106" t="s">
        <v>12</v>
      </c>
      <c r="C18" s="106"/>
      <c r="D18" s="2"/>
      <c r="E18" s="93"/>
      <c r="F18" s="97"/>
      <c r="G18" s="95"/>
      <c r="H18" s="96"/>
      <c r="I18" s="96"/>
      <c r="J18" s="2"/>
      <c r="K18" s="67">
        <v>10305</v>
      </c>
      <c r="L18" s="9" t="s">
        <v>128</v>
      </c>
      <c r="M18" s="16" t="s">
        <v>152</v>
      </c>
      <c r="R18" s="1">
        <f>IF(vend7[[#This Row],[Nº Venda]]&gt;1,1,0)</f>
        <v>0</v>
      </c>
    </row>
    <row r="19" spans="2:18" ht="15" x14ac:dyDescent="0.25">
      <c r="B19" s="29">
        <f>COUNT(entr_carn7[OS])</f>
        <v>0</v>
      </c>
      <c r="C19" s="30">
        <f>SUM(entr_carn7[Valor Total])</f>
        <v>0</v>
      </c>
      <c r="D19" s="2"/>
      <c r="J19" s="2"/>
      <c r="K19" s="67">
        <v>10306</v>
      </c>
      <c r="L19" s="9" t="s">
        <v>135</v>
      </c>
      <c r="M19" s="16" t="s">
        <v>152</v>
      </c>
      <c r="R19" s="1" t="e">
        <f>IF(vend7[[#This Row],[Nº Venda]]&gt;1,1,0)</f>
        <v>#VALUE!</v>
      </c>
    </row>
    <row r="20" spans="2:18" ht="15.75" x14ac:dyDescent="0.25">
      <c r="B20" s="27" t="s">
        <v>11</v>
      </c>
      <c r="C20" s="31">
        <f>SUM(C19:C19)</f>
        <v>0</v>
      </c>
      <c r="D20" s="2"/>
      <c r="E20" s="115" t="s">
        <v>27</v>
      </c>
      <c r="F20" s="115"/>
      <c r="G20" s="115"/>
      <c r="H20" s="115"/>
      <c r="I20" s="115"/>
      <c r="J20" s="2"/>
      <c r="K20" s="67">
        <v>10322</v>
      </c>
      <c r="L20" s="9" t="s">
        <v>128</v>
      </c>
      <c r="M20" s="16" t="s">
        <v>152</v>
      </c>
      <c r="R20" s="1" t="e">
        <f>IF(vend7[[#This Row],[Nº Venda]]&gt;1,1,0)</f>
        <v>#VALUE!</v>
      </c>
    </row>
    <row r="21" spans="2:18" ht="15" x14ac:dyDescent="0.25">
      <c r="B21" s="2"/>
      <c r="C21" s="2"/>
      <c r="D21" s="2"/>
      <c r="E21" s="10" t="s">
        <v>14</v>
      </c>
      <c r="F21" s="10" t="s">
        <v>15</v>
      </c>
      <c r="G21" s="11" t="s">
        <v>16</v>
      </c>
      <c r="H21" s="12" t="s">
        <v>17</v>
      </c>
      <c r="I21" s="13" t="s">
        <v>2</v>
      </c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1253.98</v>
      </c>
      <c r="D22" s="2"/>
      <c r="E22" s="60"/>
      <c r="F22" s="49"/>
      <c r="G22" s="53"/>
      <c r="H22" s="54"/>
      <c r="I22" s="54"/>
      <c r="J22" s="2"/>
      <c r="K22" s="67"/>
      <c r="L22" s="9"/>
      <c r="M22" s="16"/>
    </row>
    <row r="23" spans="2:18" ht="15.75" x14ac:dyDescent="0.25">
      <c r="B23" s="2"/>
      <c r="C23" s="2"/>
      <c r="D23" s="2"/>
      <c r="E23" s="60"/>
      <c r="F23" s="24"/>
      <c r="G23" s="25"/>
      <c r="H23" s="8"/>
      <c r="I23" s="8"/>
      <c r="J23" s="2"/>
      <c r="K23" s="67"/>
      <c r="L23" s="9"/>
      <c r="M23" s="16"/>
    </row>
    <row r="24" spans="2:18" ht="15.75" x14ac:dyDescent="0.25">
      <c r="B24" s="2"/>
      <c r="C24" s="2"/>
      <c r="D24" s="2"/>
      <c r="E24" s="60"/>
      <c r="F24" s="24"/>
      <c r="G24" s="25"/>
      <c r="H24" s="8"/>
      <c r="I24" s="8"/>
      <c r="J24" s="2"/>
      <c r="K24" s="67"/>
      <c r="L24" s="9"/>
      <c r="M24" s="16"/>
    </row>
    <row r="25" spans="2:18" ht="15.75" x14ac:dyDescent="0.25">
      <c r="B25" s="2"/>
      <c r="C25" s="2"/>
      <c r="D25" s="2"/>
      <c r="E25" s="60"/>
      <c r="F25" s="24"/>
      <c r="G25" s="25"/>
      <c r="H25" s="8"/>
      <c r="I25" s="8"/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37"/>
      <c r="G26" s="25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1"/>
      <c r="F27" s="34"/>
      <c r="G27" s="35"/>
      <c r="H27" s="17"/>
      <c r="I27" s="17"/>
      <c r="J27" s="2"/>
      <c r="K27" s="67"/>
      <c r="L27" s="9"/>
      <c r="M27" s="16"/>
    </row>
    <row r="28" spans="2:18" ht="15" x14ac:dyDescent="0.25">
      <c r="B28" s="2"/>
      <c r="C28" s="2"/>
      <c r="D28" s="2"/>
      <c r="J28" s="2"/>
    </row>
    <row r="29" spans="2:18" ht="15" x14ac:dyDescent="0.25">
      <c r="B29" s="2"/>
      <c r="C29" s="2"/>
      <c r="D29" s="2"/>
      <c r="E29" s="115" t="s">
        <v>28</v>
      </c>
      <c r="F29" s="115"/>
      <c r="G29" s="115"/>
      <c r="H29" s="115"/>
      <c r="I29" s="115"/>
      <c r="J29" s="2"/>
      <c r="K29" s="108" t="s">
        <v>12</v>
      </c>
      <c r="L29" s="109"/>
      <c r="M29" s="110"/>
    </row>
    <row r="30" spans="2:18" ht="15" x14ac:dyDescent="0.25">
      <c r="B30" s="2"/>
      <c r="C30" s="2"/>
      <c r="D30" s="2"/>
      <c r="E30" s="10" t="s">
        <v>23</v>
      </c>
      <c r="F30" s="10" t="s">
        <v>15</v>
      </c>
      <c r="G30" s="11" t="s">
        <v>16</v>
      </c>
      <c r="H30" s="12" t="s">
        <v>29</v>
      </c>
      <c r="I30" s="13" t="s">
        <v>30</v>
      </c>
      <c r="J30" s="2"/>
      <c r="K30" s="14" t="s">
        <v>23</v>
      </c>
      <c r="L30" s="6" t="s">
        <v>31</v>
      </c>
      <c r="M30" s="15" t="s">
        <v>32</v>
      </c>
    </row>
    <row r="31" spans="2:18" ht="15.75" x14ac:dyDescent="0.25">
      <c r="B31" s="2"/>
      <c r="C31" s="2"/>
      <c r="D31" s="2"/>
      <c r="E31" s="84">
        <v>9375</v>
      </c>
      <c r="F31" s="85" t="s">
        <v>282</v>
      </c>
      <c r="G31" s="86" t="s">
        <v>10</v>
      </c>
      <c r="H31" s="87">
        <v>110.12</v>
      </c>
      <c r="I31" s="87" t="s">
        <v>56</v>
      </c>
      <c r="J31" s="2"/>
      <c r="K31" s="67"/>
      <c r="L31" s="39"/>
      <c r="M31" s="16"/>
    </row>
    <row r="32" spans="2:18" ht="15.75" x14ac:dyDescent="0.25">
      <c r="B32" s="2"/>
      <c r="C32" s="2"/>
      <c r="E32" s="93">
        <v>9393</v>
      </c>
      <c r="F32" s="85" t="s">
        <v>280</v>
      </c>
      <c r="G32" s="86" t="s">
        <v>6</v>
      </c>
      <c r="H32" s="87">
        <v>125</v>
      </c>
      <c r="I32" s="87" t="s">
        <v>43</v>
      </c>
      <c r="K32" s="67"/>
      <c r="L32" s="39"/>
      <c r="M32" s="16"/>
    </row>
    <row r="33" spans="2:18" ht="15.75" x14ac:dyDescent="0.25">
      <c r="B33" s="2"/>
      <c r="C33" s="2"/>
      <c r="E33" s="84">
        <v>9645</v>
      </c>
      <c r="F33" s="85" t="s">
        <v>283</v>
      </c>
      <c r="G33" s="86" t="s">
        <v>10</v>
      </c>
      <c r="H33" s="87">
        <v>166.66</v>
      </c>
      <c r="I33" s="87" t="s">
        <v>81</v>
      </c>
      <c r="K33" s="67"/>
      <c r="L33" s="39"/>
      <c r="M33" s="16"/>
    </row>
    <row r="34" spans="2:18" ht="15.75" x14ac:dyDescent="0.25">
      <c r="E34" s="84">
        <v>9755</v>
      </c>
      <c r="F34" s="85" t="s">
        <v>281</v>
      </c>
      <c r="G34" s="86" t="s">
        <v>10</v>
      </c>
      <c r="H34" s="87">
        <v>152</v>
      </c>
      <c r="I34" s="87" t="s">
        <v>33</v>
      </c>
      <c r="K34" s="67"/>
      <c r="L34" s="39"/>
      <c r="M34" s="16"/>
    </row>
    <row r="35" spans="2:18" ht="15.75" x14ac:dyDescent="0.25">
      <c r="E35" s="94">
        <v>9755</v>
      </c>
      <c r="F35" s="85" t="s">
        <v>281</v>
      </c>
      <c r="G35" s="86" t="s">
        <v>10</v>
      </c>
      <c r="H35" s="87">
        <v>152</v>
      </c>
      <c r="I35" s="87" t="s">
        <v>73</v>
      </c>
      <c r="K35" s="68"/>
      <c r="L35" s="39"/>
      <c r="M35" s="16"/>
    </row>
    <row r="36" spans="2:18" ht="15.75" x14ac:dyDescent="0.25">
      <c r="E36" s="93">
        <v>9814</v>
      </c>
      <c r="F36" s="95" t="s">
        <v>284</v>
      </c>
      <c r="G36" s="95" t="s">
        <v>10</v>
      </c>
      <c r="H36" s="96">
        <v>150</v>
      </c>
      <c r="I36" s="87" t="s">
        <v>35</v>
      </c>
      <c r="K36" s="68"/>
      <c r="L36" s="39"/>
      <c r="M36" s="16"/>
    </row>
    <row r="37" spans="2:18" ht="15.75" x14ac:dyDescent="0.25">
      <c r="E37" s="93">
        <v>9836</v>
      </c>
      <c r="F37" s="85" t="s">
        <v>278</v>
      </c>
      <c r="G37" s="86" t="s">
        <v>7</v>
      </c>
      <c r="H37" s="87">
        <v>150</v>
      </c>
      <c r="I37" s="87" t="s">
        <v>83</v>
      </c>
      <c r="K37" s="68"/>
      <c r="L37" s="39"/>
      <c r="M37" s="16"/>
    </row>
    <row r="38" spans="2:18" ht="15.75" x14ac:dyDescent="0.25">
      <c r="E38" s="93">
        <v>9860</v>
      </c>
      <c r="F38" s="85" t="s">
        <v>285</v>
      </c>
      <c r="G38" s="86" t="s">
        <v>10</v>
      </c>
      <c r="H38" s="87">
        <v>110</v>
      </c>
      <c r="I38" s="87" t="s">
        <v>47</v>
      </c>
      <c r="K38" s="67"/>
      <c r="L38" s="39"/>
      <c r="M38" s="16"/>
    </row>
    <row r="39" spans="2:18" ht="15.75" x14ac:dyDescent="0.25">
      <c r="E39" s="93">
        <v>9891</v>
      </c>
      <c r="F39" s="85" t="s">
        <v>278</v>
      </c>
      <c r="G39" s="86" t="s">
        <v>7</v>
      </c>
      <c r="H39" s="87">
        <v>82.37</v>
      </c>
      <c r="I39" s="87" t="s">
        <v>83</v>
      </c>
      <c r="K39" s="68"/>
      <c r="L39" s="40"/>
      <c r="M39" s="38"/>
    </row>
    <row r="40" spans="2:18" ht="15.75" x14ac:dyDescent="0.25">
      <c r="E40" s="93">
        <v>10001</v>
      </c>
      <c r="F40" s="85" t="s">
        <v>279</v>
      </c>
      <c r="G40" s="86" t="s">
        <v>6</v>
      </c>
      <c r="H40" s="87">
        <v>100</v>
      </c>
      <c r="I40" s="87" t="s">
        <v>55</v>
      </c>
      <c r="K40" s="67"/>
      <c r="L40" s="39"/>
      <c r="M40" s="38"/>
      <c r="Q40" s="1" t="s">
        <v>36</v>
      </c>
      <c r="R40" s="1" t="e">
        <f>SUM(R6:R21)</f>
        <v>#VALUE!</v>
      </c>
    </row>
  </sheetData>
  <mergeCells count="9">
    <mergeCell ref="E29:I29"/>
    <mergeCell ref="K29:M29"/>
    <mergeCell ref="B18:C18"/>
    <mergeCell ref="B2:M2"/>
    <mergeCell ref="E4:I4"/>
    <mergeCell ref="K4:M4"/>
    <mergeCell ref="B10:C10"/>
    <mergeCell ref="E20:I20"/>
    <mergeCell ref="K13:M13"/>
  </mergeCells>
  <dataValidations count="2">
    <dataValidation type="list" allowBlank="1" showInputMessage="1" showErrorMessage="1" sqref="M15:M27" xr:uid="{7A7EDE32-0639-4059-8C39-32B054D33947}">
      <formula1>"Sim, Não"</formula1>
    </dataValidation>
    <dataValidation type="list" allowBlank="1" showInputMessage="1" showErrorMessage="1" sqref="L31:L40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G6:G18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G22:G27 G31:G40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L15:L27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E6:E18 E22:E27 K15:K27 E31:E40 K31:K40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I31:I40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view="pageBreakPreview" topLeftCell="B1" zoomScale="60" zoomScaleNormal="90" workbookViewId="0">
      <selection activeCell="K38" sqref="K38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'07'!B1+1</f>
        <v>45665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8427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8418</v>
      </c>
      <c r="D6" s="2"/>
      <c r="E6" s="60">
        <v>10322</v>
      </c>
      <c r="F6" s="8" t="s">
        <v>293</v>
      </c>
      <c r="G6" s="8" t="s">
        <v>10</v>
      </c>
      <c r="H6" s="8">
        <v>10</v>
      </c>
      <c r="I6" s="8">
        <v>10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10323</v>
      </c>
      <c r="F7" s="8" t="s">
        <v>294</v>
      </c>
      <c r="G7" s="8" t="s">
        <v>10</v>
      </c>
      <c r="H7" s="8">
        <v>799</v>
      </c>
      <c r="I7" s="8">
        <v>300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8418</v>
      </c>
      <c r="D8" s="2"/>
      <c r="E8" s="60">
        <v>10324</v>
      </c>
      <c r="F8" s="8" t="s">
        <v>295</v>
      </c>
      <c r="G8" s="8" t="s">
        <v>8</v>
      </c>
      <c r="H8" s="8">
        <v>89</v>
      </c>
      <c r="I8" s="8">
        <v>89</v>
      </c>
      <c r="J8" s="2"/>
      <c r="K8" s="24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60">
        <v>10325</v>
      </c>
      <c r="F9" s="8" t="s">
        <v>197</v>
      </c>
      <c r="G9" s="8" t="s">
        <v>7</v>
      </c>
      <c r="H9" s="8">
        <v>150</v>
      </c>
      <c r="I9" s="8">
        <v>150</v>
      </c>
      <c r="J9" s="2"/>
      <c r="K9" s="24"/>
      <c r="L9" s="9"/>
      <c r="M9" s="16"/>
      <c r="R9" s="1">
        <f>IF(vend8[[#This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10326</v>
      </c>
      <c r="F10" s="24" t="s">
        <v>291</v>
      </c>
      <c r="G10" s="25" t="s">
        <v>8</v>
      </c>
      <c r="H10" s="8">
        <v>2000</v>
      </c>
      <c r="I10" s="8">
        <v>2000</v>
      </c>
      <c r="J10" s="2"/>
      <c r="K10" s="24"/>
      <c r="L10" s="9"/>
      <c r="M10" s="16"/>
      <c r="R10" s="1">
        <f>IF(vend8[[#This Row],[Nº Venda]]&gt;1,1,0)</f>
        <v>1</v>
      </c>
    </row>
    <row r="11" spans="2:18" ht="15.75" x14ac:dyDescent="0.25">
      <c r="B11" s="29" t="s">
        <v>6</v>
      </c>
      <c r="C11" s="57">
        <f>(SUMIF($G$2:$G$31,B11,$I$2:$I$31))+(SUMIF($G$35:$G$41,B11,$H$35:$H$41))</f>
        <v>90</v>
      </c>
      <c r="D11" s="2"/>
      <c r="E11" s="60">
        <v>10327</v>
      </c>
      <c r="F11" s="24" t="s">
        <v>291</v>
      </c>
      <c r="G11" s="25" t="s">
        <v>8</v>
      </c>
      <c r="H11" s="8">
        <v>399</v>
      </c>
      <c r="I11" s="8">
        <v>399</v>
      </c>
      <c r="J11" s="2"/>
      <c r="K11" s="26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29" t="s">
        <v>7</v>
      </c>
      <c r="C12" s="57">
        <f>(SUMIF($G$2:$G$31,B12,$I$2:$I$31))+(SUMIF($G$35:$G$41,B12,$H$35:$H$41))</f>
        <v>1150</v>
      </c>
      <c r="D12" s="2"/>
      <c r="E12" s="60">
        <v>10328</v>
      </c>
      <c r="F12" s="24" t="s">
        <v>291</v>
      </c>
      <c r="G12" s="25" t="s">
        <v>8</v>
      </c>
      <c r="H12" s="8">
        <v>191</v>
      </c>
      <c r="I12" s="8">
        <v>191</v>
      </c>
      <c r="J12" s="2"/>
      <c r="R12" s="1">
        <f>IF(vend8[[#This Row],[Nº Venda]]&gt;1,1,0)</f>
        <v>1</v>
      </c>
    </row>
    <row r="13" spans="2:18" ht="15.75" x14ac:dyDescent="0.25">
      <c r="B13" s="29" t="s">
        <v>8</v>
      </c>
      <c r="C13" s="57">
        <f>(SUMIF($G$2:$G$31,B13,$I$2:$I$31))+(SUMIF($G$35:$G$41,B13,$H$35:$H$41))</f>
        <v>6468</v>
      </c>
      <c r="D13" s="2"/>
      <c r="E13" s="60">
        <v>10329</v>
      </c>
      <c r="F13" s="24" t="s">
        <v>291</v>
      </c>
      <c r="G13" s="25" t="s">
        <v>8</v>
      </c>
      <c r="H13" s="8">
        <v>1900</v>
      </c>
      <c r="I13" s="8">
        <v>1900</v>
      </c>
      <c r="J13" s="2"/>
      <c r="K13" s="108" t="s">
        <v>22</v>
      </c>
      <c r="L13" s="109"/>
      <c r="M13" s="110"/>
      <c r="R13" s="1">
        <f>IF(vend8[[#This Row],[Nº Venda]]&gt;1,1,0)</f>
        <v>1</v>
      </c>
    </row>
    <row r="14" spans="2:18" ht="15.75" x14ac:dyDescent="0.25">
      <c r="B14" s="29" t="s">
        <v>9</v>
      </c>
      <c r="C14" s="57">
        <f>(SUMIF($G$2:$G$31,B14,$I$2:$I$31))+(SUMIF($G$35:$G$41,B14,$H$35:$H$41))</f>
        <v>0</v>
      </c>
      <c r="D14" s="2"/>
      <c r="E14" s="60">
        <v>10330</v>
      </c>
      <c r="F14" s="24" t="s">
        <v>291</v>
      </c>
      <c r="G14" s="25" t="s">
        <v>8</v>
      </c>
      <c r="H14" s="8">
        <v>399</v>
      </c>
      <c r="I14" s="8">
        <v>399</v>
      </c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1</v>
      </c>
    </row>
    <row r="15" spans="2:18" ht="15.75" x14ac:dyDescent="0.25">
      <c r="B15" s="29" t="s">
        <v>10</v>
      </c>
      <c r="C15" s="57">
        <f>(SUMIF($G$2:$G$31,B15,$I$2:$I$31))+(SUMIF($G$35:$G$41,B15,$H$35:$H$41))</f>
        <v>710</v>
      </c>
      <c r="D15" s="2"/>
      <c r="E15" s="60">
        <v>10331</v>
      </c>
      <c r="F15" s="24" t="s">
        <v>291</v>
      </c>
      <c r="G15" s="25" t="s">
        <v>8</v>
      </c>
      <c r="H15" s="8">
        <v>491</v>
      </c>
      <c r="I15" s="8">
        <v>491</v>
      </c>
      <c r="J15" s="2"/>
      <c r="K15" s="67">
        <v>10302</v>
      </c>
      <c r="L15" s="9" t="s">
        <v>135</v>
      </c>
      <c r="M15" s="16" t="s">
        <v>152</v>
      </c>
      <c r="R15" s="1">
        <f>IF(vend8[[#This Row],[Nº Venda]]&gt;1,1,0)</f>
        <v>1</v>
      </c>
    </row>
    <row r="16" spans="2:18" ht="15.75" x14ac:dyDescent="0.25">
      <c r="B16" s="27" t="s">
        <v>11</v>
      </c>
      <c r="C16" s="31">
        <f>SUM(C11:C15)</f>
        <v>8418</v>
      </c>
      <c r="D16" s="2"/>
      <c r="E16" s="60">
        <v>10332</v>
      </c>
      <c r="F16" s="24" t="s">
        <v>292</v>
      </c>
      <c r="G16" s="25" t="s">
        <v>7</v>
      </c>
      <c r="H16" s="8">
        <v>1000</v>
      </c>
      <c r="I16" s="8">
        <v>1000</v>
      </c>
      <c r="J16" s="2"/>
      <c r="K16" s="67">
        <v>10317</v>
      </c>
      <c r="L16" s="9" t="s">
        <v>135</v>
      </c>
      <c r="M16" s="16" t="s">
        <v>152</v>
      </c>
      <c r="R16" s="1">
        <f>IF(vend8[[#This Row],[Nº Venda]]&gt;1,1,0)</f>
        <v>1</v>
      </c>
    </row>
    <row r="17" spans="2:18" ht="15.75" x14ac:dyDescent="0.25">
      <c r="B17" s="2"/>
      <c r="C17" s="2"/>
      <c r="D17" s="2"/>
      <c r="E17" s="60">
        <v>10333</v>
      </c>
      <c r="F17" s="24" t="s">
        <v>292</v>
      </c>
      <c r="G17" s="25" t="s">
        <v>8</v>
      </c>
      <c r="H17" s="8">
        <v>999</v>
      </c>
      <c r="I17" s="8">
        <v>999</v>
      </c>
      <c r="J17" s="2"/>
      <c r="K17" s="67">
        <v>10325</v>
      </c>
      <c r="L17" s="9" t="s">
        <v>128</v>
      </c>
      <c r="M17" s="16" t="s">
        <v>152</v>
      </c>
      <c r="R17" s="1">
        <f>IF(vend8[[#This Row],[Nº Venda]]&gt;1,1,0)</f>
        <v>1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8427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10302</v>
      </c>
      <c r="F26" s="73" t="s">
        <v>296</v>
      </c>
      <c r="G26" s="74" t="s">
        <v>6</v>
      </c>
      <c r="H26" s="54">
        <v>0</v>
      </c>
      <c r="I26" s="54">
        <v>90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42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42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42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24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9887</v>
      </c>
      <c r="F35" s="24" t="s">
        <v>298</v>
      </c>
      <c r="G35" s="25" t="s">
        <v>10</v>
      </c>
      <c r="H35" s="8">
        <v>100</v>
      </c>
      <c r="I35" s="8" t="s">
        <v>39</v>
      </c>
      <c r="K35" s="67"/>
      <c r="L35" s="39"/>
      <c r="M35" s="16"/>
    </row>
    <row r="36" spans="2:18" ht="15.75" x14ac:dyDescent="0.25">
      <c r="E36" s="61">
        <v>9887</v>
      </c>
      <c r="F36" s="24" t="s">
        <v>298</v>
      </c>
      <c r="G36" s="25" t="s">
        <v>10</v>
      </c>
      <c r="H36" s="8">
        <v>100</v>
      </c>
      <c r="I36" s="8" t="s">
        <v>53</v>
      </c>
      <c r="K36" s="67"/>
      <c r="L36" s="39"/>
      <c r="M36" s="16"/>
    </row>
    <row r="37" spans="2:18" ht="15.75" x14ac:dyDescent="0.25">
      <c r="E37" s="60">
        <v>9887</v>
      </c>
      <c r="F37" s="24" t="s">
        <v>298</v>
      </c>
      <c r="G37" s="25" t="s">
        <v>10</v>
      </c>
      <c r="H37" s="8">
        <v>100</v>
      </c>
      <c r="I37" s="8" t="s">
        <v>47</v>
      </c>
      <c r="K37" s="67"/>
      <c r="L37" s="39"/>
      <c r="M37" s="16"/>
    </row>
    <row r="38" spans="2:18" ht="15.75" x14ac:dyDescent="0.25">
      <c r="E38" s="60">
        <v>10085</v>
      </c>
      <c r="F38" s="24" t="s">
        <v>297</v>
      </c>
      <c r="G38" s="25" t="s">
        <v>10</v>
      </c>
      <c r="H38" s="8">
        <v>100</v>
      </c>
      <c r="I38" s="8" t="s">
        <v>42</v>
      </c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12</v>
      </c>
    </row>
    <row r="41" spans="2:18" ht="15.75" x14ac:dyDescent="0.25">
      <c r="E41" s="64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3"/>
  <sheetViews>
    <sheetView showGridLines="0" view="pageBreakPreview" topLeftCell="A13" zoomScale="60" zoomScaleNormal="90" workbookViewId="0">
      <selection activeCell="M19" sqref="M19:M22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36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'08'!B1+1</f>
        <v>45666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SUMIF(I6:I27,"&gt;0",H6:H27)</f>
        <v>1199.99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2388.16</v>
      </c>
      <c r="D6" s="2"/>
      <c r="E6" s="60">
        <v>10334</v>
      </c>
      <c r="F6" s="24" t="s">
        <v>299</v>
      </c>
      <c r="G6" s="42" t="s">
        <v>8</v>
      </c>
      <c r="H6" s="8">
        <v>99.99</v>
      </c>
      <c r="I6" s="8">
        <v>30</v>
      </c>
      <c r="J6" s="2"/>
      <c r="K6" s="24"/>
      <c r="L6" s="9"/>
      <c r="M6" s="16"/>
      <c r="R6" s="1">
        <f>IF(vend9[[#This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10335</v>
      </c>
      <c r="F7" s="24" t="s">
        <v>300</v>
      </c>
      <c r="G7" s="42" t="s">
        <v>40</v>
      </c>
      <c r="H7" s="8">
        <v>0</v>
      </c>
      <c r="I7" s="8">
        <v>0</v>
      </c>
      <c r="J7" s="2"/>
      <c r="K7" s="24"/>
      <c r="L7" s="9"/>
      <c r="M7" s="16"/>
      <c r="R7" s="1">
        <f>IF(vend9[[#This Row],[Nº Venda]]&gt;1,1,0)</f>
        <v>1</v>
      </c>
    </row>
    <row r="8" spans="2:18" ht="15.75" x14ac:dyDescent="0.25">
      <c r="B8" s="27" t="s">
        <v>21</v>
      </c>
      <c r="C8" s="28">
        <f>SUM(C6:C7)</f>
        <v>2388.16</v>
      </c>
      <c r="D8" s="2"/>
      <c r="E8" s="60">
        <v>10336</v>
      </c>
      <c r="F8" s="24" t="s">
        <v>301</v>
      </c>
      <c r="G8" s="25" t="s">
        <v>6</v>
      </c>
      <c r="H8" s="8">
        <v>1100</v>
      </c>
      <c r="I8" s="8">
        <v>50</v>
      </c>
      <c r="J8" s="2"/>
      <c r="K8" s="24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18" ht="15.75" x14ac:dyDescent="0.25">
      <c r="B11" s="29" t="s">
        <v>6</v>
      </c>
      <c r="C11" s="30">
        <f>(SUMIF($G$2:$G$27,B11,$I$2:$I$27))+(SUMIF($G$31:$G$43,B11,$H$31:$H$43))</f>
        <v>444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29" t="s">
        <v>7</v>
      </c>
      <c r="C12" s="30">
        <f>(SUMIF($G$2:$G$27,B12,$I$2:$I$27))+(SUMIF($G$31:$G$43,B12,$H$31:$H$43))</f>
        <v>351.25</v>
      </c>
      <c r="D12" s="2"/>
      <c r="E12" s="60"/>
      <c r="F12" s="24"/>
      <c r="G12" s="25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29" t="s">
        <v>8</v>
      </c>
      <c r="C13" s="30">
        <f>(SUMIF($G$2:$G$27,B13,$I$2:$I$27))+(SUMIF($G$31:$G$43,B13,$H$31:$H$43))</f>
        <v>379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IF(vend9[[#This Row],[Nº Venda]]&gt;1,1,0)</f>
        <v>0</v>
      </c>
    </row>
    <row r="14" spans="2:18" ht="15.75" x14ac:dyDescent="0.25">
      <c r="B14" s="29" t="s">
        <v>9</v>
      </c>
      <c r="C14" s="30">
        <f>(SUMIF($G$2:$G$27,B14,$I$2:$I$27))+(SUMIF($G$31:$G$43,B14,$H$31:$H$43))</f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29" t="s">
        <v>10</v>
      </c>
      <c r="C15" s="30">
        <f>(SUMIF($G$2:$G$27,B15,$I$2:$I$27))+(SUMIF($G$31:$G$43,B15,$H$31:$H$43))</f>
        <v>1213.9099999999999</v>
      </c>
      <c r="D15" s="2"/>
      <c r="E15" s="60"/>
      <c r="F15" s="24"/>
      <c r="G15" s="25"/>
      <c r="H15" s="8"/>
      <c r="I15" s="8"/>
      <c r="J15" s="2"/>
      <c r="K15" s="67">
        <v>10196</v>
      </c>
      <c r="L15" s="9" t="s">
        <v>129</v>
      </c>
      <c r="M15" s="16" t="s">
        <v>152</v>
      </c>
      <c r="R15" s="1">
        <f>IF(vend9[[#This Row],[Nº Venda]]&gt;1,1,0)</f>
        <v>0</v>
      </c>
    </row>
    <row r="16" spans="2:18" ht="15.75" x14ac:dyDescent="0.25">
      <c r="B16" s="27" t="s">
        <v>11</v>
      </c>
      <c r="C16" s="31">
        <f>SUM(C11:C15)</f>
        <v>2388.16</v>
      </c>
      <c r="D16" s="2"/>
      <c r="E16" s="60"/>
      <c r="F16" s="24"/>
      <c r="G16" s="25"/>
      <c r="H16" s="8"/>
      <c r="I16" s="8"/>
      <c r="J16" s="2"/>
      <c r="K16" s="67">
        <v>10197</v>
      </c>
      <c r="L16" s="9" t="s">
        <v>135</v>
      </c>
      <c r="M16" s="16" t="s">
        <v>152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10206</v>
      </c>
      <c r="L17" s="9" t="s">
        <v>129</v>
      </c>
      <c r="M17" s="16" t="s">
        <v>152</v>
      </c>
      <c r="R17" s="1">
        <f>IF(vend9[[#This Row],[Nº Venda]]&gt;1,1,0)</f>
        <v>0</v>
      </c>
    </row>
    <row r="18" spans="2:18" ht="15.75" x14ac:dyDescent="0.25">
      <c r="B18" s="106" t="s">
        <v>12</v>
      </c>
      <c r="C18" s="106"/>
      <c r="D18" s="2"/>
      <c r="E18" s="61"/>
      <c r="F18" s="34"/>
      <c r="G18" s="35"/>
      <c r="H18" s="17"/>
      <c r="I18" s="17"/>
      <c r="J18" s="2"/>
      <c r="K18" s="67">
        <v>10219</v>
      </c>
      <c r="L18" s="9" t="s">
        <v>129</v>
      </c>
      <c r="M18" s="16" t="s">
        <v>152</v>
      </c>
      <c r="R18" s="1">
        <f>IF(vend9[[#This Row],[Nº Venda]]&gt;1,1,0)</f>
        <v>0</v>
      </c>
    </row>
    <row r="19" spans="2:18" ht="15" x14ac:dyDescent="0.25">
      <c r="B19" s="29">
        <f>COUNT(entr_carn9[OS])</f>
        <v>0</v>
      </c>
      <c r="C19" s="30">
        <f>SUM(entr_carn9[Valor Total])</f>
        <v>0</v>
      </c>
      <c r="D19" s="2"/>
      <c r="J19" s="2"/>
      <c r="K19" s="67">
        <v>10297</v>
      </c>
      <c r="L19" s="9" t="s">
        <v>135</v>
      </c>
      <c r="M19" s="16" t="s">
        <v>152</v>
      </c>
      <c r="R19" s="1" t="e">
        <f>IF(vend9[[#This Row],[Nº Venda]]&gt;1,1,0)</f>
        <v>#VALUE!</v>
      </c>
    </row>
    <row r="20" spans="2:18" ht="15.75" x14ac:dyDescent="0.25">
      <c r="B20" s="27" t="s">
        <v>11</v>
      </c>
      <c r="C20" s="31">
        <f>SUM(C19:C19)</f>
        <v>0</v>
      </c>
      <c r="D20" s="2"/>
      <c r="E20" s="115" t="s">
        <v>27</v>
      </c>
      <c r="F20" s="115"/>
      <c r="G20" s="115"/>
      <c r="H20" s="115"/>
      <c r="I20" s="115"/>
      <c r="J20" s="2"/>
      <c r="K20" s="67">
        <v>10312</v>
      </c>
      <c r="L20" s="9" t="s">
        <v>128</v>
      </c>
      <c r="M20" s="16" t="s">
        <v>152</v>
      </c>
      <c r="R20" s="1" t="e">
        <f>IF(vend9[[#This Row],[Nº Venda]]&gt;1,1,0)</f>
        <v>#VALUE!</v>
      </c>
    </row>
    <row r="21" spans="2:18" ht="15" x14ac:dyDescent="0.25">
      <c r="B21" s="2"/>
      <c r="C21" s="2"/>
      <c r="D21" s="2"/>
      <c r="E21" s="10" t="s">
        <v>14</v>
      </c>
      <c r="F21" s="10" t="s">
        <v>15</v>
      </c>
      <c r="G21" s="11" t="s">
        <v>16</v>
      </c>
      <c r="H21" s="12" t="s">
        <v>17</v>
      </c>
      <c r="I21" s="13" t="s">
        <v>2</v>
      </c>
      <c r="J21" s="2"/>
      <c r="K21" s="67">
        <v>10320</v>
      </c>
      <c r="L21" s="9" t="s">
        <v>135</v>
      </c>
      <c r="M21" s="16" t="s">
        <v>152</v>
      </c>
    </row>
    <row r="22" spans="2:18" ht="15.75" x14ac:dyDescent="0.25">
      <c r="B22" s="27" t="s">
        <v>26</v>
      </c>
      <c r="C22" s="31">
        <f>C5</f>
        <v>1199.99</v>
      </c>
      <c r="D22" s="2"/>
      <c r="E22" s="60">
        <v>10214</v>
      </c>
      <c r="F22" s="24" t="s">
        <v>302</v>
      </c>
      <c r="G22" s="25" t="s">
        <v>10</v>
      </c>
      <c r="H22" s="8">
        <v>0</v>
      </c>
      <c r="I22" s="8">
        <v>100</v>
      </c>
      <c r="J22" s="2"/>
      <c r="K22" s="67">
        <v>10324</v>
      </c>
      <c r="L22" s="9" t="s">
        <v>128</v>
      </c>
      <c r="M22" s="16" t="s">
        <v>152</v>
      </c>
    </row>
    <row r="23" spans="2:18" ht="15.75" x14ac:dyDescent="0.25">
      <c r="B23" s="2"/>
      <c r="C23" s="2"/>
      <c r="D23" s="2"/>
      <c r="E23" s="60">
        <v>10215</v>
      </c>
      <c r="F23" s="24" t="s">
        <v>302</v>
      </c>
      <c r="G23" s="25" t="s">
        <v>10</v>
      </c>
      <c r="H23" s="8">
        <v>0</v>
      </c>
      <c r="I23" s="8">
        <v>150</v>
      </c>
      <c r="J23" s="2"/>
      <c r="K23" s="67">
        <v>10335</v>
      </c>
      <c r="L23" s="9" t="s">
        <v>135</v>
      </c>
      <c r="M23" s="16" t="s">
        <v>152</v>
      </c>
    </row>
    <row r="24" spans="2:18" ht="15.75" x14ac:dyDescent="0.25">
      <c r="B24" s="2"/>
      <c r="C24" s="2"/>
      <c r="D24" s="2"/>
      <c r="E24" s="60">
        <v>10312</v>
      </c>
      <c r="F24" s="24" t="s">
        <v>272</v>
      </c>
      <c r="G24" s="42" t="s">
        <v>8</v>
      </c>
      <c r="H24" s="8">
        <v>0</v>
      </c>
      <c r="I24" s="8">
        <v>260</v>
      </c>
      <c r="J24" s="2"/>
      <c r="K24" s="67"/>
      <c r="L24" s="9"/>
      <c r="M24" s="16"/>
    </row>
    <row r="25" spans="2:18" ht="15.75" x14ac:dyDescent="0.25">
      <c r="B25" s="2"/>
      <c r="C25" s="2"/>
      <c r="D25" s="2"/>
      <c r="E25" s="60"/>
      <c r="F25" s="24"/>
      <c r="G25" s="25"/>
      <c r="H25" s="8"/>
      <c r="I25" s="8"/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37"/>
      <c r="G26" s="25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1"/>
      <c r="F27" s="34"/>
      <c r="G27" s="35"/>
      <c r="H27" s="17"/>
      <c r="I27" s="17"/>
      <c r="J27" s="2"/>
      <c r="K27" s="67"/>
      <c r="L27" s="9"/>
      <c r="M27" s="16"/>
    </row>
    <row r="28" spans="2:18" ht="15" x14ac:dyDescent="0.25">
      <c r="B28" s="2"/>
      <c r="C28" s="2"/>
      <c r="D28" s="2"/>
      <c r="J28" s="2"/>
    </row>
    <row r="29" spans="2:18" ht="15" x14ac:dyDescent="0.25">
      <c r="B29" s="2"/>
      <c r="C29" s="2"/>
      <c r="D29" s="2"/>
      <c r="E29" s="115" t="s">
        <v>28</v>
      </c>
      <c r="F29" s="115"/>
      <c r="G29" s="115"/>
      <c r="H29" s="115"/>
      <c r="I29" s="107"/>
      <c r="J29" s="2"/>
      <c r="K29" s="108" t="s">
        <v>12</v>
      </c>
      <c r="L29" s="109"/>
      <c r="M29" s="110"/>
    </row>
    <row r="30" spans="2:18" ht="15" x14ac:dyDescent="0.25">
      <c r="B30" s="2"/>
      <c r="C30" s="2"/>
      <c r="D30" s="2"/>
      <c r="E30" s="10" t="s">
        <v>23</v>
      </c>
      <c r="F30" s="10" t="s">
        <v>15</v>
      </c>
      <c r="G30" s="11" t="s">
        <v>16</v>
      </c>
      <c r="H30" s="12" t="s">
        <v>29</v>
      </c>
      <c r="I30" s="13" t="s">
        <v>30</v>
      </c>
      <c r="J30" s="2"/>
      <c r="K30" s="14" t="s">
        <v>23</v>
      </c>
      <c r="L30" s="6" t="s">
        <v>31</v>
      </c>
      <c r="M30" s="15" t="s">
        <v>32</v>
      </c>
    </row>
    <row r="31" spans="2:18" ht="15.75" x14ac:dyDescent="0.25">
      <c r="B31" s="2"/>
      <c r="C31" s="2"/>
      <c r="D31" s="2"/>
      <c r="E31" s="60">
        <v>9018</v>
      </c>
      <c r="F31" s="78" t="s">
        <v>266</v>
      </c>
      <c r="G31" s="79" t="s">
        <v>8</v>
      </c>
      <c r="H31" s="80">
        <v>44.5</v>
      </c>
      <c r="I31" s="8" t="s">
        <v>42</v>
      </c>
      <c r="J31" s="2"/>
      <c r="K31" s="67"/>
      <c r="L31" s="39"/>
      <c r="M31" s="16"/>
    </row>
    <row r="32" spans="2:18" ht="15.75" x14ac:dyDescent="0.25">
      <c r="B32" s="2"/>
      <c r="C32" s="2"/>
      <c r="E32" s="61">
        <v>9156</v>
      </c>
      <c r="F32" s="37" t="s">
        <v>301</v>
      </c>
      <c r="G32" s="25" t="s">
        <v>6</v>
      </c>
      <c r="H32" s="80">
        <v>72</v>
      </c>
      <c r="I32" s="8" t="s">
        <v>81</v>
      </c>
      <c r="K32" s="68"/>
      <c r="L32" s="39"/>
      <c r="M32" s="16"/>
    </row>
    <row r="33" spans="2:18" ht="15.75" x14ac:dyDescent="0.25">
      <c r="B33" s="2"/>
      <c r="C33" s="2"/>
      <c r="E33" s="60">
        <v>9156</v>
      </c>
      <c r="F33" s="24" t="s">
        <v>301</v>
      </c>
      <c r="G33" s="25" t="s">
        <v>6</v>
      </c>
      <c r="H33" s="8">
        <v>72</v>
      </c>
      <c r="I33" s="8" t="s">
        <v>59</v>
      </c>
      <c r="K33" s="68"/>
      <c r="L33" s="39"/>
      <c r="M33" s="16"/>
    </row>
    <row r="34" spans="2:18" ht="15.75" x14ac:dyDescent="0.25">
      <c r="E34" s="60">
        <v>9441</v>
      </c>
      <c r="F34" s="24" t="s">
        <v>306</v>
      </c>
      <c r="G34" s="79" t="s">
        <v>10</v>
      </c>
      <c r="H34" s="80">
        <v>356.25</v>
      </c>
      <c r="I34" s="8" t="s">
        <v>38</v>
      </c>
      <c r="K34" s="68"/>
      <c r="L34" s="39"/>
      <c r="M34" s="16"/>
    </row>
    <row r="35" spans="2:18" ht="15.75" x14ac:dyDescent="0.25">
      <c r="E35" s="60">
        <v>9472</v>
      </c>
      <c r="F35" s="24" t="s">
        <v>266</v>
      </c>
      <c r="G35" s="79" t="s">
        <v>8</v>
      </c>
      <c r="H35" s="80">
        <v>44.5</v>
      </c>
      <c r="I35" s="8" t="s">
        <v>42</v>
      </c>
      <c r="K35" s="68"/>
      <c r="L35" s="39"/>
      <c r="M35" s="16"/>
    </row>
    <row r="36" spans="2:18" ht="15.75" x14ac:dyDescent="0.25">
      <c r="E36" s="61">
        <v>9565</v>
      </c>
      <c r="F36" s="34" t="s">
        <v>309</v>
      </c>
      <c r="G36" s="82" t="s">
        <v>10</v>
      </c>
      <c r="H36" s="80">
        <v>100</v>
      </c>
      <c r="I36" s="8" t="s">
        <v>38</v>
      </c>
      <c r="K36" s="68"/>
      <c r="L36" s="39"/>
      <c r="M36" s="16"/>
    </row>
    <row r="37" spans="2:18" ht="15.75" x14ac:dyDescent="0.25">
      <c r="E37" s="61">
        <v>9699</v>
      </c>
      <c r="F37" s="24" t="s">
        <v>310</v>
      </c>
      <c r="G37" s="79" t="s">
        <v>10</v>
      </c>
      <c r="H37" s="80">
        <v>80</v>
      </c>
      <c r="I37" s="8" t="s">
        <v>80</v>
      </c>
      <c r="K37" s="68"/>
      <c r="L37" s="39"/>
      <c r="M37" s="16"/>
    </row>
    <row r="38" spans="2:18" ht="15.75" x14ac:dyDescent="0.25">
      <c r="E38" s="61">
        <v>9711</v>
      </c>
      <c r="F38" s="24" t="s">
        <v>307</v>
      </c>
      <c r="G38" s="79" t="s">
        <v>10</v>
      </c>
      <c r="H38" s="80">
        <v>100</v>
      </c>
      <c r="I38" s="8" t="s">
        <v>57</v>
      </c>
      <c r="K38" s="67"/>
      <c r="L38" s="39"/>
      <c r="M38" s="16"/>
    </row>
    <row r="39" spans="2:18" ht="15.75" x14ac:dyDescent="0.25">
      <c r="E39" s="61">
        <v>9746</v>
      </c>
      <c r="F39" s="24" t="s">
        <v>304</v>
      </c>
      <c r="G39" s="25" t="s">
        <v>7</v>
      </c>
      <c r="H39" s="8">
        <v>61.25</v>
      </c>
      <c r="I39" s="8" t="s">
        <v>57</v>
      </c>
      <c r="K39" s="67"/>
      <c r="L39" s="39"/>
      <c r="M39" s="16"/>
    </row>
    <row r="40" spans="2:18" ht="15.75" x14ac:dyDescent="0.25">
      <c r="E40" s="61">
        <v>9764</v>
      </c>
      <c r="F40" s="24" t="s">
        <v>311</v>
      </c>
      <c r="G40" s="25" t="s">
        <v>10</v>
      </c>
      <c r="H40" s="8">
        <v>166.66</v>
      </c>
      <c r="I40" s="8" t="s">
        <v>45</v>
      </c>
      <c r="K40" s="67"/>
      <c r="L40" s="39"/>
      <c r="M40" s="16"/>
      <c r="Q40" s="1" t="s">
        <v>36</v>
      </c>
      <c r="R40" s="1" t="e">
        <f>SUM(R6:R21)</f>
        <v>#VALUE!</v>
      </c>
    </row>
    <row r="41" spans="2:18" ht="15.75" x14ac:dyDescent="0.25">
      <c r="E41" s="61">
        <v>10012</v>
      </c>
      <c r="F41" s="24" t="s">
        <v>303</v>
      </c>
      <c r="G41" s="25" t="s">
        <v>6</v>
      </c>
      <c r="H41" s="8">
        <v>250</v>
      </c>
      <c r="I41" s="8" t="s">
        <v>34</v>
      </c>
      <c r="K41" s="67"/>
      <c r="L41" s="39"/>
      <c r="M41" s="16"/>
    </row>
    <row r="42" spans="2:18" ht="15.75" x14ac:dyDescent="0.25">
      <c r="E42" s="63">
        <v>10058</v>
      </c>
      <c r="F42" s="24" t="s">
        <v>305</v>
      </c>
      <c r="G42" s="25" t="s">
        <v>7</v>
      </c>
      <c r="H42" s="8">
        <v>290</v>
      </c>
      <c r="I42" s="8" t="s">
        <v>93</v>
      </c>
      <c r="K42" s="68"/>
      <c r="L42" s="40"/>
      <c r="M42" s="38"/>
    </row>
    <row r="43" spans="2:18" ht="15.75" x14ac:dyDescent="0.25">
      <c r="E43" s="61">
        <v>10210</v>
      </c>
      <c r="F43" s="24" t="s">
        <v>308</v>
      </c>
      <c r="G43" s="79" t="s">
        <v>10</v>
      </c>
      <c r="H43" s="80">
        <v>161</v>
      </c>
      <c r="I43" s="8" t="s">
        <v>93</v>
      </c>
      <c r="K43" s="67"/>
      <c r="L43" s="39"/>
      <c r="M43" s="38"/>
    </row>
  </sheetData>
  <mergeCells count="9">
    <mergeCell ref="E20:I20"/>
    <mergeCell ref="E29:I29"/>
    <mergeCell ref="K29:M29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27" xr:uid="{3EE2B9B6-C80B-4EFA-9C0F-B76FABFFBCA4}">
      <formula1>"Sim, Não"</formula1>
    </dataValidation>
    <dataValidation type="list" allowBlank="1" showInputMessage="1" showErrorMessage="1" sqref="L31:L43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G6:G18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G22:G27 G31:G43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L15:L27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E6:E18 E22:E27 K15:K27 E31:E43 K31:K43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I31:I43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view="pageBreakPreview" topLeftCell="A2" zoomScale="80" zoomScaleNormal="118" zoomScaleSheetLayoutView="80" workbookViewId="0">
      <selection activeCell="E18" sqref="E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'09'!B1+1</f>
        <v>45667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8552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4583.82</v>
      </c>
      <c r="D6" s="2"/>
      <c r="E6" s="60">
        <v>10337</v>
      </c>
      <c r="F6" s="24" t="s">
        <v>314</v>
      </c>
      <c r="G6" s="42" t="s">
        <v>8</v>
      </c>
      <c r="H6" s="8">
        <v>1199</v>
      </c>
      <c r="I6" s="8">
        <v>200</v>
      </c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10338</v>
      </c>
      <c r="F7" s="24" t="s">
        <v>314</v>
      </c>
      <c r="G7" s="42" t="s">
        <v>8</v>
      </c>
      <c r="H7" s="8">
        <v>390</v>
      </c>
      <c r="I7" s="8">
        <v>100</v>
      </c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4583.82</v>
      </c>
      <c r="D8" s="2"/>
      <c r="E8" s="60">
        <v>10339</v>
      </c>
      <c r="F8" s="24" t="s">
        <v>315</v>
      </c>
      <c r="G8" s="25" t="s">
        <v>6</v>
      </c>
      <c r="H8" s="8">
        <v>100</v>
      </c>
      <c r="I8" s="8">
        <v>100</v>
      </c>
      <c r="J8" s="2"/>
      <c r="K8" s="24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60">
        <v>10340</v>
      </c>
      <c r="F9" s="24" t="s">
        <v>316</v>
      </c>
      <c r="G9" s="25" t="s">
        <v>7</v>
      </c>
      <c r="H9" s="8">
        <v>890</v>
      </c>
      <c r="I9" s="8">
        <v>250</v>
      </c>
      <c r="J9" s="2"/>
      <c r="K9" s="24"/>
      <c r="L9" s="9"/>
      <c r="M9" s="16"/>
      <c r="R9" s="1">
        <f>IF(vend10[[#This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10341</v>
      </c>
      <c r="F10" s="24" t="s">
        <v>195</v>
      </c>
      <c r="G10" s="25" t="s">
        <v>7</v>
      </c>
      <c r="H10" s="8">
        <v>877</v>
      </c>
      <c r="I10" s="8">
        <v>250</v>
      </c>
      <c r="J10" s="2"/>
      <c r="K10" s="24"/>
      <c r="L10" s="9"/>
      <c r="M10" s="16"/>
      <c r="R10" s="1">
        <f>IF(vend10[[#This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495</v>
      </c>
      <c r="D11" s="2"/>
      <c r="E11" s="60">
        <v>10342</v>
      </c>
      <c r="F11" s="24" t="s">
        <v>317</v>
      </c>
      <c r="G11" s="25" t="s">
        <v>8</v>
      </c>
      <c r="H11" s="8">
        <v>3090</v>
      </c>
      <c r="I11" s="8">
        <v>1102</v>
      </c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29" t="s">
        <v>7</v>
      </c>
      <c r="C12" s="30">
        <f>(SUMIF($G$2:$G$31,B12,$I$2:$I$31))+(SUMIF($G$35:$G$41,B12,$H$35:$H$41))</f>
        <v>1329</v>
      </c>
      <c r="D12" s="2"/>
      <c r="E12" s="60">
        <v>10343</v>
      </c>
      <c r="F12" s="24" t="s">
        <v>317</v>
      </c>
      <c r="G12" s="25" t="s">
        <v>8</v>
      </c>
      <c r="H12" s="8">
        <v>498</v>
      </c>
      <c r="I12" s="8">
        <v>498</v>
      </c>
      <c r="J12" s="2"/>
      <c r="R12" s="1">
        <f>IF(vend10[[#This Row],[Nº Venda]]&gt;1,1,0)</f>
        <v>1</v>
      </c>
    </row>
    <row r="13" spans="2:18" ht="15.75" x14ac:dyDescent="0.25">
      <c r="B13" s="29" t="s">
        <v>8</v>
      </c>
      <c r="C13" s="30">
        <f>(SUMIF($G$2:$G$31,B13,$I$2:$I$31))+(SUMIF($G$35:$G$41,B13,$H$35:$H$41))</f>
        <v>1959</v>
      </c>
      <c r="D13" s="2"/>
      <c r="E13" s="60">
        <v>10344</v>
      </c>
      <c r="F13" s="24" t="s">
        <v>315</v>
      </c>
      <c r="G13" s="25" t="s">
        <v>6</v>
      </c>
      <c r="H13" s="8">
        <v>550</v>
      </c>
      <c r="I13" s="8">
        <v>250</v>
      </c>
      <c r="J13" s="2"/>
      <c r="K13" s="108" t="s">
        <v>22</v>
      </c>
      <c r="L13" s="109"/>
      <c r="M13" s="110"/>
      <c r="R13" s="1">
        <f>IF(vend10[[#This Row],[Nº Venda]]&gt;1,1,0)</f>
        <v>1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60">
        <v>10345</v>
      </c>
      <c r="F14" s="24" t="s">
        <v>318</v>
      </c>
      <c r="G14" s="25" t="s">
        <v>10</v>
      </c>
      <c r="H14" s="8">
        <v>599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1</v>
      </c>
    </row>
    <row r="15" spans="2:18" ht="15.75" x14ac:dyDescent="0.25">
      <c r="B15" s="29" t="s">
        <v>10</v>
      </c>
      <c r="C15" s="30">
        <f>(SUMIF($G$2:$G$31,B15,$I$2:$I$31))+(SUMIF($G$35:$G$41,B15,$H$35:$H$41))</f>
        <v>800.81999999999994</v>
      </c>
      <c r="D15" s="2"/>
      <c r="E15" s="60">
        <v>10346</v>
      </c>
      <c r="F15" s="24" t="s">
        <v>319</v>
      </c>
      <c r="G15" s="25" t="s">
        <v>8</v>
      </c>
      <c r="H15" s="8">
        <v>59</v>
      </c>
      <c r="I15" s="8">
        <v>59</v>
      </c>
      <c r="J15" s="2"/>
      <c r="K15" s="67">
        <v>10192</v>
      </c>
      <c r="L15" s="9" t="s">
        <v>129</v>
      </c>
      <c r="M15" s="16" t="s">
        <v>154</v>
      </c>
      <c r="R15" s="1">
        <f>IF(vend10[[#This Row],[Nº Venda]]&gt;1,1,0)</f>
        <v>1</v>
      </c>
    </row>
    <row r="16" spans="2:18" ht="15.75" x14ac:dyDescent="0.25">
      <c r="B16" s="27" t="s">
        <v>11</v>
      </c>
      <c r="C16" s="31">
        <f>SUM(C11:C15)</f>
        <v>4583.82</v>
      </c>
      <c r="D16" s="2"/>
      <c r="E16" s="60">
        <v>10347</v>
      </c>
      <c r="F16" s="24" t="s">
        <v>197</v>
      </c>
      <c r="G16" s="25" t="s">
        <v>6</v>
      </c>
      <c r="H16" s="8">
        <v>150</v>
      </c>
      <c r="I16" s="8">
        <v>10</v>
      </c>
      <c r="J16" s="2"/>
      <c r="K16" s="67">
        <v>10215</v>
      </c>
      <c r="L16" s="9" t="s">
        <v>129</v>
      </c>
      <c r="M16" s="16" t="s">
        <v>152</v>
      </c>
      <c r="R16" s="1">
        <f>IF(vend10[[#This Row],[Nº Venda]]&gt;1,1,0)</f>
        <v>1</v>
      </c>
    </row>
    <row r="17" spans="2:18" ht="15.75" x14ac:dyDescent="0.25">
      <c r="B17" s="2"/>
      <c r="C17" s="2"/>
      <c r="D17" s="2"/>
      <c r="E17" s="60">
        <v>10347</v>
      </c>
      <c r="F17" s="24" t="s">
        <v>197</v>
      </c>
      <c r="G17" s="25" t="s">
        <v>7</v>
      </c>
      <c r="H17" s="8">
        <v>0</v>
      </c>
      <c r="I17" s="8">
        <v>140</v>
      </c>
      <c r="J17" s="2"/>
      <c r="K17" s="67">
        <v>10313</v>
      </c>
      <c r="L17" s="9" t="s">
        <v>128</v>
      </c>
      <c r="M17" s="16" t="s">
        <v>152</v>
      </c>
      <c r="R17" s="1">
        <f>IF(vend10[[#This Row],[Nº Venda]]&gt;1,1,0)</f>
        <v>1</v>
      </c>
    </row>
    <row r="18" spans="2:18" ht="15.75" x14ac:dyDescent="0.25">
      <c r="B18" s="106" t="s">
        <v>12</v>
      </c>
      <c r="C18" s="106"/>
      <c r="D18" s="2"/>
      <c r="E18" s="60">
        <v>10348</v>
      </c>
      <c r="F18" s="24" t="s">
        <v>197</v>
      </c>
      <c r="G18" s="25" t="s">
        <v>6</v>
      </c>
      <c r="H18" s="8">
        <v>150</v>
      </c>
      <c r="I18" s="8">
        <v>10</v>
      </c>
      <c r="J18" s="2"/>
      <c r="K18" s="67">
        <v>10339</v>
      </c>
      <c r="L18" s="9" t="s">
        <v>128</v>
      </c>
      <c r="M18" s="75" t="s">
        <v>152</v>
      </c>
      <c r="R18" s="1">
        <f>IF(vend10[[#This Row],[Nº Venda]]&gt;1,1,0)</f>
        <v>1</v>
      </c>
    </row>
    <row r="19" spans="2:18" ht="15.75" x14ac:dyDescent="0.25">
      <c r="B19" s="29">
        <f>COUNT(entr_carn10[OS])</f>
        <v>1</v>
      </c>
      <c r="C19" s="30">
        <f>SUM(entr_carn10[Valor Total])</f>
        <v>900</v>
      </c>
      <c r="D19" s="2"/>
      <c r="E19" s="60"/>
      <c r="F19" s="24"/>
      <c r="G19" s="25"/>
      <c r="H19" s="8"/>
      <c r="I19" s="8"/>
      <c r="J19" s="2"/>
      <c r="K19" s="67">
        <v>10346</v>
      </c>
      <c r="L19" s="9" t="s">
        <v>128</v>
      </c>
      <c r="M19" s="16" t="s">
        <v>152</v>
      </c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900</v>
      </c>
      <c r="D20" s="2"/>
      <c r="E20" s="60"/>
      <c r="F20" s="25"/>
      <c r="G20" s="25"/>
      <c r="H20" s="8"/>
      <c r="I20" s="8"/>
      <c r="J20" s="2"/>
      <c r="K20" s="67">
        <v>10347</v>
      </c>
      <c r="L20" s="9" t="s">
        <v>135</v>
      </c>
      <c r="M20" s="16" t="s">
        <v>152</v>
      </c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8552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10192</v>
      </c>
      <c r="F26" s="24" t="s">
        <v>312</v>
      </c>
      <c r="G26" s="42" t="s">
        <v>10</v>
      </c>
      <c r="H26" s="8">
        <v>0</v>
      </c>
      <c r="I26" s="8">
        <v>200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10214</v>
      </c>
      <c r="F27" s="24" t="s">
        <v>313</v>
      </c>
      <c r="G27" s="25" t="s">
        <v>7</v>
      </c>
      <c r="H27" s="8">
        <v>0</v>
      </c>
      <c r="I27" s="8">
        <v>50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10215</v>
      </c>
      <c r="F28" s="24" t="s">
        <v>313</v>
      </c>
      <c r="G28" s="42" t="s">
        <v>7</v>
      </c>
      <c r="H28" s="8">
        <v>0</v>
      </c>
      <c r="I28" s="8">
        <v>300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>
        <v>10313</v>
      </c>
      <c r="F29" s="24" t="s">
        <v>271</v>
      </c>
      <c r="G29" s="42" t="s">
        <v>7</v>
      </c>
      <c r="H29" s="8">
        <v>0</v>
      </c>
      <c r="I29" s="8">
        <v>199</v>
      </c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65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8817</v>
      </c>
      <c r="F35" s="37" t="s">
        <v>323</v>
      </c>
      <c r="G35" s="25" t="s">
        <v>10</v>
      </c>
      <c r="H35" s="8">
        <v>180</v>
      </c>
      <c r="I35" s="8" t="s">
        <v>51</v>
      </c>
      <c r="K35" s="67">
        <v>10192</v>
      </c>
      <c r="L35" s="39">
        <v>6</v>
      </c>
      <c r="M35" s="16">
        <v>900</v>
      </c>
    </row>
    <row r="36" spans="2:18" ht="15.75" x14ac:dyDescent="0.25">
      <c r="E36" s="61">
        <v>9452</v>
      </c>
      <c r="F36" s="24" t="s">
        <v>324</v>
      </c>
      <c r="G36" s="25" t="s">
        <v>10</v>
      </c>
      <c r="H36" s="8">
        <v>66.66</v>
      </c>
      <c r="I36" s="8" t="s">
        <v>59</v>
      </c>
      <c r="K36" s="67"/>
      <c r="L36" s="39"/>
      <c r="M36" s="16"/>
    </row>
    <row r="37" spans="2:18" ht="15.75" x14ac:dyDescent="0.25">
      <c r="E37" s="60">
        <v>9723</v>
      </c>
      <c r="F37" s="24" t="s">
        <v>325</v>
      </c>
      <c r="G37" s="25" t="s">
        <v>10</v>
      </c>
      <c r="H37" s="8">
        <v>91.66</v>
      </c>
      <c r="I37" s="8" t="s">
        <v>80</v>
      </c>
      <c r="K37" s="67"/>
      <c r="L37" s="39"/>
      <c r="M37" s="16"/>
    </row>
    <row r="38" spans="2:18" ht="15.75" x14ac:dyDescent="0.25">
      <c r="E38" s="60">
        <v>9828</v>
      </c>
      <c r="F38" s="24" t="s">
        <v>322</v>
      </c>
      <c r="G38" s="25" t="s">
        <v>10</v>
      </c>
      <c r="H38" s="8">
        <v>162.5</v>
      </c>
      <c r="I38" s="8" t="s">
        <v>38</v>
      </c>
      <c r="K38" s="67"/>
      <c r="L38" s="39"/>
      <c r="M38" s="16"/>
    </row>
    <row r="39" spans="2:18" ht="15.75" x14ac:dyDescent="0.25">
      <c r="E39" s="64">
        <v>9886</v>
      </c>
      <c r="F39" s="24" t="s">
        <v>321</v>
      </c>
      <c r="G39" s="25" t="s">
        <v>7</v>
      </c>
      <c r="H39" s="8">
        <v>140</v>
      </c>
      <c r="I39" s="8" t="s">
        <v>95</v>
      </c>
      <c r="K39" s="67"/>
      <c r="L39" s="39"/>
      <c r="M39" s="16"/>
    </row>
    <row r="40" spans="2:18" ht="15.75" x14ac:dyDescent="0.25">
      <c r="E40" s="61">
        <v>10137</v>
      </c>
      <c r="F40" s="34" t="s">
        <v>320</v>
      </c>
      <c r="G40" s="35" t="s">
        <v>6</v>
      </c>
      <c r="H40" s="17">
        <v>125</v>
      </c>
      <c r="I40" s="8" t="s">
        <v>82</v>
      </c>
      <c r="K40" s="68"/>
      <c r="L40" s="40"/>
      <c r="M40" s="38"/>
      <c r="Q40" s="1" t="s">
        <v>36</v>
      </c>
      <c r="R40" s="1">
        <f>SUM(R6:R21)</f>
        <v>13</v>
      </c>
    </row>
    <row r="41" spans="2:18" ht="15.75" x14ac:dyDescent="0.25">
      <c r="E41" s="41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E41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E34:E40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view="pageBreakPreview" zoomScale="60" zoomScaleNormal="90" workbookViewId="0">
      <selection activeCell="E18" sqref="E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'10'!B1+1</f>
        <v>45668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7834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6424</v>
      </c>
      <c r="D6" s="2"/>
      <c r="E6" s="60">
        <v>10349</v>
      </c>
      <c r="F6" s="24" t="s">
        <v>334</v>
      </c>
      <c r="G6" s="25" t="s">
        <v>7</v>
      </c>
      <c r="H6" s="8">
        <v>49</v>
      </c>
      <c r="I6" s="8">
        <v>49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10350</v>
      </c>
      <c r="F7" s="24" t="s">
        <v>333</v>
      </c>
      <c r="G7" s="25" t="s">
        <v>8</v>
      </c>
      <c r="H7" s="8">
        <v>1100</v>
      </c>
      <c r="I7" s="8">
        <v>1100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6424</v>
      </c>
      <c r="D8" s="2"/>
      <c r="E8" s="60">
        <v>10351</v>
      </c>
      <c r="F8" s="24" t="s">
        <v>333</v>
      </c>
      <c r="G8" s="25" t="s">
        <v>8</v>
      </c>
      <c r="H8" s="8">
        <v>400</v>
      </c>
      <c r="I8" s="8">
        <v>400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60">
        <v>10352</v>
      </c>
      <c r="F9" s="24" t="s">
        <v>333</v>
      </c>
      <c r="G9" s="25" t="s">
        <v>6</v>
      </c>
      <c r="H9" s="8">
        <v>25</v>
      </c>
      <c r="I9" s="8">
        <v>25</v>
      </c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10353</v>
      </c>
      <c r="F10" s="24" t="s">
        <v>332</v>
      </c>
      <c r="G10" s="25" t="s">
        <v>6</v>
      </c>
      <c r="H10" s="8">
        <v>1110</v>
      </c>
      <c r="I10" s="8">
        <v>200</v>
      </c>
      <c r="J10" s="2"/>
      <c r="K10" s="24"/>
      <c r="L10" s="9"/>
      <c r="M10" s="16"/>
      <c r="R10" s="1">
        <f>IF(vend11[[#This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325</v>
      </c>
      <c r="D11" s="2"/>
      <c r="E11" s="60">
        <v>10354</v>
      </c>
      <c r="F11" s="24" t="s">
        <v>331</v>
      </c>
      <c r="G11" s="25" t="s">
        <v>10</v>
      </c>
      <c r="H11" s="8">
        <v>690</v>
      </c>
      <c r="I11" s="8">
        <v>690</v>
      </c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49</v>
      </c>
      <c r="D12" s="2"/>
      <c r="E12" s="60">
        <v>10355</v>
      </c>
      <c r="F12" s="24" t="s">
        <v>330</v>
      </c>
      <c r="G12" s="25" t="s">
        <v>10</v>
      </c>
      <c r="H12" s="8">
        <v>50</v>
      </c>
      <c r="I12" s="8">
        <v>50</v>
      </c>
      <c r="J12" s="2"/>
      <c r="R12" s="1">
        <f>IF(vend11[[#This Row],[Nº Venda]]&gt;1,1,0)</f>
        <v>1</v>
      </c>
    </row>
    <row r="13" spans="2:18" ht="15.75" x14ac:dyDescent="0.25">
      <c r="B13" s="29" t="s">
        <v>8</v>
      </c>
      <c r="C13" s="30">
        <f t="shared" si="0"/>
        <v>4290</v>
      </c>
      <c r="D13" s="2"/>
      <c r="E13" s="60">
        <v>10356</v>
      </c>
      <c r="F13" s="24" t="s">
        <v>329</v>
      </c>
      <c r="G13" s="25" t="s">
        <v>40</v>
      </c>
      <c r="H13" s="8">
        <v>0</v>
      </c>
      <c r="I13" s="8">
        <v>0</v>
      </c>
      <c r="J13" s="2"/>
      <c r="K13" s="108" t="s">
        <v>22</v>
      </c>
      <c r="L13" s="109"/>
      <c r="M13" s="110"/>
      <c r="R13" s="1">
        <f>IF(vend11[[#This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>
        <v>10357</v>
      </c>
      <c r="F14" s="24" t="s">
        <v>328</v>
      </c>
      <c r="G14" s="25" t="s">
        <v>8</v>
      </c>
      <c r="H14" s="8">
        <v>1395</v>
      </c>
      <c r="I14" s="8">
        <v>1395</v>
      </c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1</v>
      </c>
    </row>
    <row r="15" spans="2:18" ht="15.75" x14ac:dyDescent="0.25">
      <c r="B15" s="29" t="s">
        <v>10</v>
      </c>
      <c r="C15" s="30">
        <f t="shared" si="0"/>
        <v>1760</v>
      </c>
      <c r="D15" s="2"/>
      <c r="E15" s="60">
        <v>10358</v>
      </c>
      <c r="F15" s="24" t="s">
        <v>328</v>
      </c>
      <c r="G15" s="25" t="s">
        <v>8</v>
      </c>
      <c r="H15" s="8">
        <v>1395</v>
      </c>
      <c r="I15" s="8">
        <v>1395</v>
      </c>
      <c r="J15" s="2"/>
      <c r="K15" s="67"/>
      <c r="L15" s="9"/>
      <c r="M15" s="16"/>
      <c r="R15" s="1">
        <f>IF(vend11[[#This Row],[Nº Venda]]&gt;1,1,0)</f>
        <v>1</v>
      </c>
    </row>
    <row r="16" spans="2:18" ht="15.75" x14ac:dyDescent="0.25">
      <c r="B16" s="27" t="s">
        <v>11</v>
      </c>
      <c r="C16" s="31">
        <f>SUM(C11:C15)</f>
        <v>6424</v>
      </c>
      <c r="D16" s="2"/>
      <c r="E16" s="60">
        <v>10360</v>
      </c>
      <c r="F16" s="24" t="s">
        <v>327</v>
      </c>
      <c r="G16" s="25" t="s">
        <v>6</v>
      </c>
      <c r="H16" s="8">
        <v>600</v>
      </c>
      <c r="I16" s="8">
        <v>100</v>
      </c>
      <c r="J16" s="2"/>
      <c r="K16" s="67"/>
      <c r="L16" s="9"/>
      <c r="M16" s="16"/>
      <c r="R16" s="1">
        <f>IF(vend11[[#This Row],[Nº Venda]]&gt;1,1,0)</f>
        <v>1</v>
      </c>
    </row>
    <row r="17" spans="2:18" ht="15.75" x14ac:dyDescent="0.25">
      <c r="B17" s="2"/>
      <c r="C17" s="2"/>
      <c r="D17" s="2"/>
      <c r="E17" s="60">
        <v>10361</v>
      </c>
      <c r="F17" s="24" t="s">
        <v>326</v>
      </c>
      <c r="G17" s="25" t="s">
        <v>10</v>
      </c>
      <c r="H17" s="8">
        <v>1020</v>
      </c>
      <c r="I17" s="8">
        <v>1020</v>
      </c>
      <c r="J17" s="2"/>
      <c r="K17" s="67"/>
      <c r="L17" s="9"/>
      <c r="M17" s="16"/>
      <c r="R17" s="1">
        <f>IF(vend11[[#This Row],[Nº Venda]]&gt;1,1,0)</f>
        <v>1</v>
      </c>
    </row>
    <row r="18" spans="2:18" ht="15.75" x14ac:dyDescent="0.25">
      <c r="B18" s="106" t="s">
        <v>12</v>
      </c>
      <c r="C18" s="106"/>
      <c r="D18" s="2"/>
      <c r="E18" s="60">
        <v>10362</v>
      </c>
      <c r="F18" s="24" t="s">
        <v>326</v>
      </c>
      <c r="G18" s="25" t="s">
        <v>50</v>
      </c>
      <c r="H18" s="8">
        <v>0</v>
      </c>
      <c r="I18" s="8">
        <v>0</v>
      </c>
      <c r="J18" s="2"/>
      <c r="K18" s="67"/>
      <c r="L18" s="9"/>
      <c r="M18" s="16"/>
      <c r="R18" s="1">
        <f>IF(vend11[[#This Row],[Nº Venda]]&gt;1,1,0)</f>
        <v>1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60"/>
      <c r="F21" s="24" t="s">
        <v>58</v>
      </c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7834</v>
      </c>
      <c r="D22" s="2"/>
      <c r="E22" s="61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42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13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'11'!B1+1</f>
        <v>45669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0"/>
      <c r="F6" s="44"/>
      <c r="G6" s="44"/>
      <c r="H6" s="45"/>
      <c r="I6" s="45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0"/>
      <c r="F7" s="46"/>
      <c r="G7" s="46"/>
      <c r="H7" s="47"/>
      <c r="I7" s="47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0"/>
      <c r="F8" s="46"/>
      <c r="G8" s="46"/>
      <c r="H8" s="47"/>
      <c r="I8" s="47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0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0"/>
      <c r="F16" s="24"/>
      <c r="G16" s="25"/>
      <c r="H16" s="8"/>
      <c r="I16" s="8"/>
      <c r="J16" s="2"/>
      <c r="K16" s="67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IF(vend12[[#This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48"/>
      <c r="G26" s="42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view="pageBreakPreview" zoomScale="112" zoomScaleNormal="90" zoomScaleSheetLayoutView="112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'12'!B1+1</f>
        <v>45670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6485.99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3408.3199999999997</v>
      </c>
      <c r="D6" s="2"/>
      <c r="E6" s="60">
        <v>10359</v>
      </c>
      <c r="F6" s="24" t="s">
        <v>157</v>
      </c>
      <c r="G6" s="25" t="s">
        <v>7</v>
      </c>
      <c r="H6" s="8">
        <v>711</v>
      </c>
      <c r="I6" s="8">
        <v>711</v>
      </c>
      <c r="J6" s="2"/>
      <c r="K6" s="24"/>
      <c r="L6" s="9"/>
      <c r="M6" s="16"/>
      <c r="R6" s="1">
        <f>IF(vend13[[#This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10363</v>
      </c>
      <c r="F7" s="24" t="s">
        <v>165</v>
      </c>
      <c r="G7" s="25" t="s">
        <v>10</v>
      </c>
      <c r="H7" s="8">
        <v>49</v>
      </c>
      <c r="I7" s="8">
        <v>49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21</v>
      </c>
      <c r="C8" s="28">
        <f>SUM(C6:C7)</f>
        <v>3408.3199999999997</v>
      </c>
      <c r="D8" s="2"/>
      <c r="E8" s="60">
        <v>10364</v>
      </c>
      <c r="F8" s="24" t="s">
        <v>158</v>
      </c>
      <c r="G8" s="25" t="s">
        <v>6</v>
      </c>
      <c r="H8" s="8">
        <v>817</v>
      </c>
      <c r="I8" s="8">
        <v>5</v>
      </c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60">
        <v>10365</v>
      </c>
      <c r="F9" s="24" t="s">
        <v>159</v>
      </c>
      <c r="G9" s="25" t="s">
        <v>7</v>
      </c>
      <c r="H9" s="8">
        <v>1000</v>
      </c>
      <c r="I9" s="8">
        <v>200</v>
      </c>
      <c r="J9" s="2"/>
      <c r="K9" s="24"/>
      <c r="L9" s="9"/>
      <c r="M9" s="16"/>
      <c r="R9" s="1">
        <f>IF(vend13[[#This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10366</v>
      </c>
      <c r="F10" s="24" t="s">
        <v>159</v>
      </c>
      <c r="G10" s="25" t="s">
        <v>7</v>
      </c>
      <c r="H10" s="8">
        <v>490</v>
      </c>
      <c r="I10" s="8">
        <v>200</v>
      </c>
      <c r="J10" s="2"/>
      <c r="K10" s="24"/>
      <c r="L10" s="9"/>
      <c r="M10" s="16"/>
      <c r="R10" s="1">
        <f>IF(vend13[[#This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425</v>
      </c>
      <c r="D11" s="2"/>
      <c r="E11" s="60">
        <v>10367</v>
      </c>
      <c r="F11" s="24" t="s">
        <v>159</v>
      </c>
      <c r="G11" s="25" t="s">
        <v>50</v>
      </c>
      <c r="H11" s="8">
        <v>0</v>
      </c>
      <c r="I11" s="8">
        <v>0</v>
      </c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1211</v>
      </c>
      <c r="D12" s="2"/>
      <c r="E12" s="60">
        <v>10368</v>
      </c>
      <c r="F12" s="24" t="s">
        <v>159</v>
      </c>
      <c r="G12" s="25" t="s">
        <v>7</v>
      </c>
      <c r="H12" s="8">
        <v>1000</v>
      </c>
      <c r="I12" s="8">
        <v>100</v>
      </c>
      <c r="J12" s="2"/>
      <c r="R12" s="1">
        <f>IF(vend13[[#This Row],[Nº Venda]]&gt;1,1,0)</f>
        <v>1</v>
      </c>
    </row>
    <row r="13" spans="2:18" ht="15.75" x14ac:dyDescent="0.25">
      <c r="B13" s="29" t="s">
        <v>8</v>
      </c>
      <c r="C13" s="30">
        <f t="shared" si="0"/>
        <v>1419.99</v>
      </c>
      <c r="D13" s="2"/>
      <c r="E13" s="60">
        <v>10369</v>
      </c>
      <c r="F13" s="24" t="s">
        <v>160</v>
      </c>
      <c r="G13" s="25" t="s">
        <v>8</v>
      </c>
      <c r="H13" s="8">
        <v>99.99</v>
      </c>
      <c r="I13" s="8">
        <v>99.99</v>
      </c>
      <c r="J13" s="2"/>
      <c r="K13" s="108" t="s">
        <v>22</v>
      </c>
      <c r="L13" s="109"/>
      <c r="M13" s="110"/>
      <c r="R13" s="1">
        <f>IF(vend13[[#This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>
        <v>10370</v>
      </c>
      <c r="F14" s="24" t="s">
        <v>163</v>
      </c>
      <c r="G14" s="25" t="s">
        <v>8</v>
      </c>
      <c r="H14" s="8">
        <v>890</v>
      </c>
      <c r="I14" s="8">
        <v>890</v>
      </c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1</v>
      </c>
    </row>
    <row r="15" spans="2:18" ht="15.75" x14ac:dyDescent="0.25">
      <c r="B15" s="29" t="s">
        <v>10</v>
      </c>
      <c r="C15" s="30">
        <f t="shared" si="0"/>
        <v>352.33</v>
      </c>
      <c r="D15" s="2"/>
      <c r="E15" s="60">
        <v>10371</v>
      </c>
      <c r="F15" s="24" t="s">
        <v>164</v>
      </c>
      <c r="G15" s="25" t="s">
        <v>8</v>
      </c>
      <c r="H15" s="8">
        <v>430</v>
      </c>
      <c r="I15" s="8">
        <v>430</v>
      </c>
      <c r="J15" s="2"/>
      <c r="K15" s="67">
        <v>10363</v>
      </c>
      <c r="L15" s="9" t="s">
        <v>128</v>
      </c>
      <c r="M15" s="16" t="s">
        <v>152</v>
      </c>
      <c r="R15" s="1">
        <f>IF(vend13[[#This Row],[Nº Venda]]&gt;1,1,0)</f>
        <v>1</v>
      </c>
    </row>
    <row r="16" spans="2:18" ht="15.75" x14ac:dyDescent="0.25">
      <c r="B16" s="27" t="s">
        <v>11</v>
      </c>
      <c r="C16" s="31">
        <f>SUM(C11:C15)</f>
        <v>3408.3199999999997</v>
      </c>
      <c r="D16" s="2"/>
      <c r="E16" s="60">
        <v>10372</v>
      </c>
      <c r="F16" s="24" t="s">
        <v>167</v>
      </c>
      <c r="G16" s="25" t="s">
        <v>6</v>
      </c>
      <c r="H16" s="8">
        <v>999</v>
      </c>
      <c r="I16" s="8">
        <v>300</v>
      </c>
      <c r="J16" s="2"/>
      <c r="K16" s="67"/>
      <c r="L16" s="9"/>
      <c r="M16" s="16"/>
      <c r="R16" s="1">
        <f>IF(vend13[[#This Row],[Nº Venda]]&gt;1,1,0)</f>
        <v>1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IF(vend13[[#This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6485.99</v>
      </c>
      <c r="D22" s="2"/>
      <c r="E22" s="61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25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4">
        <v>9804</v>
      </c>
      <c r="F35" s="24" t="s">
        <v>162</v>
      </c>
      <c r="G35" s="25" t="s">
        <v>6</v>
      </c>
      <c r="H35" s="8">
        <v>120</v>
      </c>
      <c r="I35" s="8" t="s">
        <v>41</v>
      </c>
      <c r="K35" s="67"/>
      <c r="L35" s="39"/>
      <c r="M35" s="16"/>
    </row>
    <row r="36" spans="2:18" ht="15.75" x14ac:dyDescent="0.25">
      <c r="E36" s="61">
        <v>9973</v>
      </c>
      <c r="F36" s="24" t="s">
        <v>166</v>
      </c>
      <c r="G36" s="25" t="s">
        <v>10</v>
      </c>
      <c r="H36" s="8">
        <v>103.33</v>
      </c>
      <c r="I36" s="8" t="s">
        <v>54</v>
      </c>
      <c r="K36" s="67"/>
      <c r="L36" s="39"/>
      <c r="M36" s="16"/>
    </row>
    <row r="37" spans="2:18" ht="15.75" x14ac:dyDescent="0.25">
      <c r="E37" s="60">
        <v>10241</v>
      </c>
      <c r="F37" s="24" t="s">
        <v>161</v>
      </c>
      <c r="G37" s="25" t="s">
        <v>10</v>
      </c>
      <c r="H37" s="8">
        <v>200</v>
      </c>
      <c r="I37" s="8" t="s">
        <v>82</v>
      </c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11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zoomScale="60" zoomScaleNormal="9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'13'!B1+1</f>
        <v>45671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6950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5521</v>
      </c>
      <c r="D6" s="2"/>
      <c r="E6" s="60">
        <v>10373</v>
      </c>
      <c r="F6" s="24" t="s">
        <v>168</v>
      </c>
      <c r="G6" s="42" t="s">
        <v>7</v>
      </c>
      <c r="H6" s="8">
        <v>1499</v>
      </c>
      <c r="I6" s="8">
        <v>500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10374</v>
      </c>
      <c r="F7" s="24" t="s">
        <v>170</v>
      </c>
      <c r="G7" s="42" t="s">
        <v>7</v>
      </c>
      <c r="H7" s="8">
        <v>163</v>
      </c>
      <c r="I7" s="8">
        <v>163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5521</v>
      </c>
      <c r="D8" s="2"/>
      <c r="E8" s="60">
        <v>10375</v>
      </c>
      <c r="F8" s="24" t="s">
        <v>156</v>
      </c>
      <c r="G8" s="25" t="s">
        <v>50</v>
      </c>
      <c r="H8" s="8">
        <v>20</v>
      </c>
      <c r="I8" s="8">
        <v>0</v>
      </c>
      <c r="J8" s="2"/>
      <c r="K8" s="24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60">
        <v>10376</v>
      </c>
      <c r="F9" s="24" t="s">
        <v>169</v>
      </c>
      <c r="G9" s="25" t="s">
        <v>8</v>
      </c>
      <c r="H9" s="8">
        <v>1499.5</v>
      </c>
      <c r="I9" s="8">
        <v>1499.5</v>
      </c>
      <c r="J9" s="2"/>
      <c r="K9" s="24"/>
      <c r="L9" s="9"/>
      <c r="M9" s="16"/>
      <c r="R9" s="1">
        <f>IF(vend14[[#This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10377</v>
      </c>
      <c r="F10" s="24" t="s">
        <v>169</v>
      </c>
      <c r="G10" s="25" t="s">
        <v>8</v>
      </c>
      <c r="H10" s="8">
        <v>1499.5</v>
      </c>
      <c r="I10" s="8">
        <v>1499.5</v>
      </c>
      <c r="J10" s="2"/>
      <c r="K10" s="24"/>
      <c r="L10" s="9"/>
      <c r="M10" s="16"/>
      <c r="R10" s="1">
        <f>IF(vend14[[#This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110</v>
      </c>
      <c r="D11" s="2"/>
      <c r="E11" s="60">
        <v>10378</v>
      </c>
      <c r="F11" s="24" t="s">
        <v>171</v>
      </c>
      <c r="G11" s="25" t="s">
        <v>7</v>
      </c>
      <c r="H11" s="8">
        <v>390</v>
      </c>
      <c r="I11" s="8">
        <v>200</v>
      </c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1242</v>
      </c>
      <c r="D12" s="2"/>
      <c r="E12" s="60">
        <v>10379</v>
      </c>
      <c r="F12" s="24" t="s">
        <v>171</v>
      </c>
      <c r="G12" s="25" t="s">
        <v>7</v>
      </c>
      <c r="H12" s="8">
        <v>390</v>
      </c>
      <c r="I12" s="8">
        <v>150</v>
      </c>
      <c r="J12" s="2"/>
      <c r="R12" s="1">
        <f>IF(vend14[[#This Row],[Nº Venda]]&gt;1,1,0)</f>
        <v>1</v>
      </c>
    </row>
    <row r="13" spans="2:18" ht="15.75" x14ac:dyDescent="0.25">
      <c r="B13" s="29" t="s">
        <v>8</v>
      </c>
      <c r="C13" s="30">
        <f t="shared" si="0"/>
        <v>3989</v>
      </c>
      <c r="D13" s="2"/>
      <c r="E13" s="60">
        <v>10380</v>
      </c>
      <c r="F13" s="24" t="s">
        <v>171</v>
      </c>
      <c r="G13" s="25" t="s">
        <v>7</v>
      </c>
      <c r="H13" s="8">
        <v>390</v>
      </c>
      <c r="I13" s="8">
        <v>150</v>
      </c>
      <c r="J13" s="2"/>
      <c r="K13" s="108" t="s">
        <v>22</v>
      </c>
      <c r="L13" s="109"/>
      <c r="M13" s="110"/>
      <c r="R13" s="1">
        <f>IF(vend14[[#This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>
        <v>10381</v>
      </c>
      <c r="F14" s="24" t="s">
        <v>172</v>
      </c>
      <c r="G14" s="25" t="s">
        <v>7</v>
      </c>
      <c r="H14" s="8">
        <v>79</v>
      </c>
      <c r="I14" s="8">
        <v>79</v>
      </c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1</v>
      </c>
    </row>
    <row r="15" spans="2:18" ht="15.75" x14ac:dyDescent="0.25">
      <c r="B15" s="29" t="s">
        <v>10</v>
      </c>
      <c r="C15" s="30">
        <f t="shared" si="0"/>
        <v>180</v>
      </c>
      <c r="D15" s="2"/>
      <c r="E15" s="60">
        <v>10382</v>
      </c>
      <c r="F15" s="24" t="s">
        <v>173</v>
      </c>
      <c r="G15" s="25" t="s">
        <v>8</v>
      </c>
      <c r="H15" s="8">
        <v>990</v>
      </c>
      <c r="I15" s="8">
        <v>990</v>
      </c>
      <c r="J15" s="2"/>
      <c r="K15" s="67">
        <v>10296</v>
      </c>
      <c r="L15" s="9" t="s">
        <v>135</v>
      </c>
      <c r="M15" s="16" t="s">
        <v>152</v>
      </c>
      <c r="R15" s="1">
        <f>IF(vend14[[#This Row],[Nº Venda]]&gt;1,1,0)</f>
        <v>1</v>
      </c>
    </row>
    <row r="16" spans="2:18" ht="15.75" x14ac:dyDescent="0.25">
      <c r="B16" s="27" t="s">
        <v>11</v>
      </c>
      <c r="C16" s="31">
        <f>SUM(C11:C15)</f>
        <v>5521</v>
      </c>
      <c r="D16" s="2"/>
      <c r="E16" s="60">
        <v>10383</v>
      </c>
      <c r="F16" s="24" t="s">
        <v>174</v>
      </c>
      <c r="G16" s="25" t="s">
        <v>6</v>
      </c>
      <c r="H16" s="8">
        <v>50</v>
      </c>
      <c r="I16" s="8">
        <v>50</v>
      </c>
      <c r="J16" s="2"/>
      <c r="K16" s="67">
        <v>10309</v>
      </c>
      <c r="L16" s="9" t="s">
        <v>135</v>
      </c>
      <c r="M16" s="16" t="s">
        <v>154</v>
      </c>
      <c r="R16" s="1">
        <f>IF(vend14[[#This Row],[Nº Venda]]&gt;1,1,0)</f>
        <v>1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IF(vend14[[#This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1</v>
      </c>
      <c r="C19" s="30">
        <f>SUM(entr_carn14[Valor Total])</f>
        <v>530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530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6950</v>
      </c>
      <c r="D22" s="2"/>
      <c r="E22" s="61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10309</v>
      </c>
      <c r="F26" s="24" t="s">
        <v>175</v>
      </c>
      <c r="G26" s="25" t="s">
        <v>6</v>
      </c>
      <c r="H26" s="8">
        <v>0</v>
      </c>
      <c r="I26" s="8">
        <v>60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9757</v>
      </c>
      <c r="F35" s="24" t="s">
        <v>176</v>
      </c>
      <c r="G35" s="25" t="s">
        <v>10</v>
      </c>
      <c r="H35" s="8">
        <v>180</v>
      </c>
      <c r="I35" s="8" t="s">
        <v>80</v>
      </c>
      <c r="K35" s="67">
        <v>10309</v>
      </c>
      <c r="L35" s="39">
        <v>5</v>
      </c>
      <c r="M35" s="16">
        <v>530</v>
      </c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11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view="pageBreakPreview" zoomScale="80" zoomScaleNormal="90" zoomScaleSheetLayoutView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'14'!B1+1</f>
        <v>45672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3392.89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2109.9</v>
      </c>
      <c r="D6" s="2"/>
      <c r="E6" s="60">
        <v>10384</v>
      </c>
      <c r="F6" s="98" t="s">
        <v>335</v>
      </c>
      <c r="G6" s="42" t="s">
        <v>10</v>
      </c>
      <c r="H6" s="8">
        <v>1000</v>
      </c>
      <c r="I6" s="8">
        <v>500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10384</v>
      </c>
      <c r="F7" s="98" t="s">
        <v>335</v>
      </c>
      <c r="G7" s="42" t="s">
        <v>6</v>
      </c>
      <c r="H7" s="8">
        <v>0</v>
      </c>
      <c r="I7" s="8">
        <v>500</v>
      </c>
      <c r="J7" s="2"/>
      <c r="K7" s="24"/>
      <c r="L7" s="9"/>
      <c r="M7" s="16"/>
      <c r="R7" s="1">
        <f>IF(vend15[[#This Row],[Nº Venda]]&gt;1,1,0)</f>
        <v>1</v>
      </c>
    </row>
    <row r="8" spans="2:18" ht="15.75" x14ac:dyDescent="0.25">
      <c r="B8" s="27" t="s">
        <v>21</v>
      </c>
      <c r="C8" s="28">
        <f>SUM(C6:C7)</f>
        <v>2109.9</v>
      </c>
      <c r="D8" s="2"/>
      <c r="E8" s="60">
        <v>10385</v>
      </c>
      <c r="F8" s="99" t="s">
        <v>336</v>
      </c>
      <c r="G8" s="25" t="s">
        <v>6</v>
      </c>
      <c r="H8" s="8">
        <v>499.99</v>
      </c>
      <c r="I8" s="8">
        <v>2.5</v>
      </c>
      <c r="J8" s="2"/>
      <c r="K8" s="24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60">
        <v>10386</v>
      </c>
      <c r="F9" s="99" t="s">
        <v>336</v>
      </c>
      <c r="G9" s="25" t="s">
        <v>6</v>
      </c>
      <c r="H9" s="8">
        <v>699</v>
      </c>
      <c r="I9" s="8">
        <v>2.5</v>
      </c>
      <c r="J9" s="2"/>
      <c r="K9" s="24"/>
      <c r="L9" s="9"/>
      <c r="M9" s="16"/>
      <c r="R9" s="1">
        <f>IF(vend15[[#This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10387</v>
      </c>
      <c r="F10" s="98" t="s">
        <v>337</v>
      </c>
      <c r="G10" s="25" t="s">
        <v>10</v>
      </c>
      <c r="H10" s="8">
        <v>390</v>
      </c>
      <c r="I10" s="8">
        <v>390</v>
      </c>
      <c r="J10" s="2"/>
      <c r="K10" s="24"/>
      <c r="L10" s="9"/>
      <c r="M10" s="16"/>
      <c r="R10" s="1">
        <f>IF(vend15[[#This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505</v>
      </c>
      <c r="D11" s="2"/>
      <c r="E11" s="60">
        <v>10388</v>
      </c>
      <c r="F11" s="98" t="s">
        <v>338</v>
      </c>
      <c r="G11" s="25" t="s">
        <v>10</v>
      </c>
      <c r="H11" s="8">
        <v>665</v>
      </c>
      <c r="I11" s="8">
        <v>665</v>
      </c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49.9</v>
      </c>
      <c r="D12" s="2"/>
      <c r="E12" s="60">
        <v>10389</v>
      </c>
      <c r="F12" s="98" t="s">
        <v>338</v>
      </c>
      <c r="G12" s="25" t="s">
        <v>7</v>
      </c>
      <c r="H12" s="8">
        <v>39.9</v>
      </c>
      <c r="I12" s="8">
        <v>39.9</v>
      </c>
      <c r="J12" s="2"/>
      <c r="R12" s="1">
        <f>IF(vend15[[#This Row],[Nº Venda]]&gt;1,1,0)</f>
        <v>1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0">
        <v>10390</v>
      </c>
      <c r="F13" s="98" t="s">
        <v>192</v>
      </c>
      <c r="G13" s="25" t="s">
        <v>7</v>
      </c>
      <c r="H13" s="8">
        <v>99</v>
      </c>
      <c r="I13" s="8">
        <v>10</v>
      </c>
      <c r="J13" s="2"/>
      <c r="K13" s="108" t="s">
        <v>22</v>
      </c>
      <c r="L13" s="109"/>
      <c r="M13" s="110"/>
      <c r="R13" s="1">
        <f>IF(vend15[[#This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1555</v>
      </c>
      <c r="D15" s="2"/>
      <c r="E15" s="60"/>
      <c r="F15" s="24"/>
      <c r="G15" s="25"/>
      <c r="H15" s="8"/>
      <c r="I15" s="8"/>
      <c r="J15" s="2"/>
      <c r="K15" s="67">
        <v>9404</v>
      </c>
      <c r="L15" s="9" t="s">
        <v>135</v>
      </c>
      <c r="M15" s="16" t="s">
        <v>152</v>
      </c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2109.9</v>
      </c>
      <c r="D16" s="2"/>
      <c r="E16" s="60"/>
      <c r="F16" s="24"/>
      <c r="G16" s="25"/>
      <c r="H16" s="8"/>
      <c r="I16" s="8"/>
      <c r="J16" s="2"/>
      <c r="K16" s="67">
        <v>10156</v>
      </c>
      <c r="L16" s="9" t="s">
        <v>129</v>
      </c>
      <c r="M16" s="16" t="s">
        <v>152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10212</v>
      </c>
      <c r="L17" s="9" t="s">
        <v>129</v>
      </c>
      <c r="M17" s="16" t="s">
        <v>152</v>
      </c>
      <c r="R17" s="1">
        <f>IF(vend15[[#This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10369</v>
      </c>
      <c r="L18" s="9" t="s">
        <v>128</v>
      </c>
      <c r="M18" s="16" t="s">
        <v>152</v>
      </c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60"/>
      <c r="F19" s="24"/>
      <c r="G19" s="25"/>
      <c r="H19" s="8"/>
      <c r="I19" s="8"/>
      <c r="J19" s="2"/>
      <c r="K19" s="67">
        <v>10374</v>
      </c>
      <c r="L19" s="9" t="s">
        <v>135</v>
      </c>
      <c r="M19" s="16" t="s">
        <v>152</v>
      </c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>
        <v>10383</v>
      </c>
      <c r="L20" s="9" t="s">
        <v>135</v>
      </c>
      <c r="M20" s="16" t="s">
        <v>152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10389</v>
      </c>
      <c r="L21" s="9" t="s">
        <v>135</v>
      </c>
      <c r="M21" s="16" t="s">
        <v>152</v>
      </c>
    </row>
    <row r="22" spans="2:18" ht="15.75" x14ac:dyDescent="0.25">
      <c r="B22" s="27" t="s">
        <v>26</v>
      </c>
      <c r="C22" s="31">
        <f>C5</f>
        <v>3392.89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42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8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view="pageBreakPreview" zoomScale="60" zoomScaleNormal="90" workbookViewId="0">
      <selection activeCell="W46" sqref="W4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'15'!B1+1</f>
        <v>45673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1954.8000000000002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2833.8</v>
      </c>
      <c r="D6" s="2"/>
      <c r="E6" s="60">
        <v>10391</v>
      </c>
      <c r="F6" s="24" t="s">
        <v>177</v>
      </c>
      <c r="G6" s="42" t="s">
        <v>7</v>
      </c>
      <c r="H6" s="8">
        <v>290</v>
      </c>
      <c r="I6" s="8">
        <v>290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10392</v>
      </c>
      <c r="F7" s="24" t="s">
        <v>178</v>
      </c>
      <c r="G7" s="42" t="s">
        <v>10</v>
      </c>
      <c r="H7" s="8">
        <v>672</v>
      </c>
      <c r="I7" s="8">
        <v>50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2833.8</v>
      </c>
      <c r="D8" s="2"/>
      <c r="E8" s="60">
        <v>10393</v>
      </c>
      <c r="F8" s="24" t="s">
        <v>179</v>
      </c>
      <c r="G8" s="25" t="s">
        <v>6</v>
      </c>
      <c r="H8" s="8">
        <v>39.9</v>
      </c>
      <c r="I8" s="8">
        <v>39.9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60">
        <v>10394</v>
      </c>
      <c r="F9" s="24" t="s">
        <v>180</v>
      </c>
      <c r="G9" s="25" t="s">
        <v>7</v>
      </c>
      <c r="H9" s="8">
        <v>218</v>
      </c>
      <c r="I9" s="8">
        <v>200</v>
      </c>
      <c r="J9" s="2"/>
      <c r="K9" s="24"/>
      <c r="L9" s="9"/>
      <c r="M9" s="16"/>
      <c r="R9" s="1">
        <f>IF(vend16[[#This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10395</v>
      </c>
      <c r="F10" s="24" t="s">
        <v>182</v>
      </c>
      <c r="G10" s="25" t="s">
        <v>8</v>
      </c>
      <c r="H10" s="8">
        <v>120</v>
      </c>
      <c r="I10" s="8">
        <v>120</v>
      </c>
      <c r="J10" s="2"/>
      <c r="K10" s="24"/>
      <c r="L10" s="9"/>
      <c r="M10" s="16"/>
      <c r="R10" s="1">
        <f>IF(vend16[[#This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39.9</v>
      </c>
      <c r="D11" s="2"/>
      <c r="E11" s="60">
        <v>10396</v>
      </c>
      <c r="F11" s="24" t="s">
        <v>181</v>
      </c>
      <c r="G11" s="25" t="s">
        <v>8</v>
      </c>
      <c r="H11" s="8">
        <v>599.9</v>
      </c>
      <c r="I11" s="8">
        <v>599.9</v>
      </c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490</v>
      </c>
      <c r="D12" s="2"/>
      <c r="E12" s="60">
        <v>10397</v>
      </c>
      <c r="F12" s="24" t="s">
        <v>143</v>
      </c>
      <c r="G12" s="25" t="s">
        <v>8</v>
      </c>
      <c r="H12" s="8">
        <v>15</v>
      </c>
      <c r="I12" s="8">
        <v>15</v>
      </c>
      <c r="J12" s="2"/>
      <c r="R12" s="1">
        <f>IF(vend16[[#This Row],[Nº Venda]]&gt;1,1,0)</f>
        <v>1</v>
      </c>
    </row>
    <row r="13" spans="2:18" ht="15.75" x14ac:dyDescent="0.25">
      <c r="B13" s="29" t="s">
        <v>8</v>
      </c>
      <c r="C13" s="30">
        <f t="shared" si="0"/>
        <v>1953.9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350</v>
      </c>
      <c r="D15" s="2"/>
      <c r="E15" s="60"/>
      <c r="F15" s="24"/>
      <c r="G15" s="25"/>
      <c r="H15" s="8"/>
      <c r="I15" s="8"/>
      <c r="J15" s="2"/>
      <c r="K15" s="67">
        <v>10065</v>
      </c>
      <c r="L15" s="9" t="s">
        <v>129</v>
      </c>
      <c r="M15" s="16" t="s">
        <v>152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2833.8</v>
      </c>
      <c r="D16" s="2"/>
      <c r="E16" s="60"/>
      <c r="F16" s="24"/>
      <c r="G16" s="25"/>
      <c r="H16" s="8"/>
      <c r="I16" s="8"/>
      <c r="J16" s="2"/>
      <c r="K16" s="67">
        <v>10180</v>
      </c>
      <c r="L16" s="9" t="s">
        <v>135</v>
      </c>
      <c r="M16" s="16" t="s">
        <v>152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10201</v>
      </c>
      <c r="L17" s="9" t="s">
        <v>129</v>
      </c>
      <c r="M17" s="16" t="s">
        <v>152</v>
      </c>
      <c r="R17" s="1">
        <f>IF(vend16[[#This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10292</v>
      </c>
      <c r="L18" s="9" t="s">
        <v>128</v>
      </c>
      <c r="M18" s="16" t="s">
        <v>152</v>
      </c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60"/>
      <c r="F19" s="24"/>
      <c r="G19" s="25"/>
      <c r="H19" s="8"/>
      <c r="I19" s="8"/>
      <c r="J19" s="2"/>
      <c r="K19" s="67">
        <v>10293</v>
      </c>
      <c r="L19" s="9" t="s">
        <v>128</v>
      </c>
      <c r="M19" s="16" t="s">
        <v>152</v>
      </c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>
        <v>10294</v>
      </c>
      <c r="L20" s="9" t="s">
        <v>128</v>
      </c>
      <c r="M20" s="16" t="s">
        <v>152</v>
      </c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10393</v>
      </c>
      <c r="L21" s="9" t="s">
        <v>135</v>
      </c>
      <c r="M21" s="16" t="s">
        <v>152</v>
      </c>
    </row>
    <row r="22" spans="2:18" ht="15.75" x14ac:dyDescent="0.25">
      <c r="B22" s="27" t="s">
        <v>26</v>
      </c>
      <c r="C22" s="31">
        <f>C5</f>
        <v>1954.8000000000002</v>
      </c>
      <c r="D22" s="2"/>
      <c r="E22" s="60"/>
      <c r="F22" s="24"/>
      <c r="G22" s="25"/>
      <c r="H22" s="8"/>
      <c r="I22" s="8"/>
      <c r="J22" s="2"/>
      <c r="K22" s="67">
        <v>10395</v>
      </c>
      <c r="L22" s="9" t="s">
        <v>128</v>
      </c>
      <c r="M22" s="16" t="s">
        <v>152</v>
      </c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10293</v>
      </c>
      <c r="F26" s="24" t="s">
        <v>183</v>
      </c>
      <c r="G26" s="42" t="s">
        <v>8</v>
      </c>
      <c r="H26" s="8">
        <v>0</v>
      </c>
      <c r="I26" s="8">
        <v>290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10292</v>
      </c>
      <c r="F27" s="24" t="s">
        <v>143</v>
      </c>
      <c r="G27" s="25" t="s">
        <v>8</v>
      </c>
      <c r="H27" s="8">
        <v>0</v>
      </c>
      <c r="I27" s="8">
        <v>389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10294</v>
      </c>
      <c r="F28" s="24" t="s">
        <v>184</v>
      </c>
      <c r="G28" s="25" t="s">
        <v>8</v>
      </c>
      <c r="H28" s="8">
        <v>0</v>
      </c>
      <c r="I28" s="8">
        <v>540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8371</v>
      </c>
      <c r="F35" s="24" t="s">
        <v>185</v>
      </c>
      <c r="G35" s="25" t="s">
        <v>10</v>
      </c>
      <c r="H35" s="8">
        <v>50</v>
      </c>
      <c r="I35" s="8" t="s">
        <v>35</v>
      </c>
      <c r="K35" s="67"/>
      <c r="L35" s="39"/>
      <c r="M35" s="16"/>
    </row>
    <row r="36" spans="2:18" ht="15.75" x14ac:dyDescent="0.25">
      <c r="E36" s="61">
        <v>9536</v>
      </c>
      <c r="F36" s="24" t="s">
        <v>187</v>
      </c>
      <c r="G36" s="25" t="s">
        <v>10</v>
      </c>
      <c r="H36" s="8">
        <v>150</v>
      </c>
      <c r="I36" s="8" t="s">
        <v>81</v>
      </c>
      <c r="K36" s="67"/>
      <c r="L36" s="39"/>
      <c r="M36" s="16"/>
    </row>
    <row r="37" spans="2:18" ht="15.75" x14ac:dyDescent="0.25">
      <c r="E37" s="64">
        <v>9980</v>
      </c>
      <c r="F37" s="24" t="s">
        <v>186</v>
      </c>
      <c r="G37" s="25" t="s">
        <v>10</v>
      </c>
      <c r="H37" s="8">
        <v>100</v>
      </c>
      <c r="I37" s="8" t="s">
        <v>55</v>
      </c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7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view="pageBreakPreview" zoomScale="60" zoomScaleNormal="90" workbookViewId="0">
      <selection activeCell="AA37" sqref="AA3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'16'!B1+1</f>
        <v>45674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6376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5524</v>
      </c>
      <c r="D6" s="2"/>
      <c r="E6" s="60">
        <v>10398</v>
      </c>
      <c r="F6" s="24" t="s">
        <v>188</v>
      </c>
      <c r="G6" s="25" t="s">
        <v>6</v>
      </c>
      <c r="H6" s="8">
        <v>899</v>
      </c>
      <c r="I6" s="8">
        <v>150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10399</v>
      </c>
      <c r="F7" s="24" t="s">
        <v>191</v>
      </c>
      <c r="G7" s="25" t="s">
        <v>6</v>
      </c>
      <c r="H7" s="8">
        <v>1390</v>
      </c>
      <c r="I7" s="8">
        <v>390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5524</v>
      </c>
      <c r="D8" s="2"/>
      <c r="E8" s="60">
        <v>10399</v>
      </c>
      <c r="F8" s="24" t="s">
        <v>191</v>
      </c>
      <c r="G8" s="25" t="s">
        <v>8</v>
      </c>
      <c r="H8" s="8">
        <v>0</v>
      </c>
      <c r="I8" s="8">
        <v>1000</v>
      </c>
      <c r="J8" s="2"/>
      <c r="K8" s="24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60">
        <v>10400</v>
      </c>
      <c r="F9" s="24" t="s">
        <v>198</v>
      </c>
      <c r="G9" s="25" t="s">
        <v>7</v>
      </c>
      <c r="H9" s="8">
        <v>145</v>
      </c>
      <c r="I9" s="8">
        <v>145</v>
      </c>
      <c r="J9" s="2"/>
      <c r="K9" s="24"/>
      <c r="L9" s="9"/>
      <c r="M9" s="16"/>
      <c r="R9" s="1">
        <f>IF(vend17[[#This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10402</v>
      </c>
      <c r="F10" s="24" t="s">
        <v>189</v>
      </c>
      <c r="G10" s="25" t="s">
        <v>7</v>
      </c>
      <c r="H10" s="8">
        <v>450</v>
      </c>
      <c r="I10" s="8">
        <v>450</v>
      </c>
      <c r="J10" s="2"/>
      <c r="K10" s="24"/>
      <c r="L10" s="9"/>
      <c r="M10" s="16"/>
      <c r="R10" s="1">
        <f>IF(vend17[[#This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1270</v>
      </c>
      <c r="D11" s="2"/>
      <c r="E11" s="60">
        <v>10403</v>
      </c>
      <c r="F11" s="24" t="s">
        <v>189</v>
      </c>
      <c r="G11" s="25" t="s">
        <v>7</v>
      </c>
      <c r="H11" s="8">
        <v>450</v>
      </c>
      <c r="I11" s="8">
        <v>450</v>
      </c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1385</v>
      </c>
      <c r="D12" s="2"/>
      <c r="E12" s="60">
        <v>10404</v>
      </c>
      <c r="F12" s="24" t="s">
        <v>190</v>
      </c>
      <c r="G12" s="25" t="s">
        <v>7</v>
      </c>
      <c r="H12" s="8">
        <v>233</v>
      </c>
      <c r="I12" s="8">
        <v>233</v>
      </c>
      <c r="J12" s="2"/>
      <c r="R12" s="1">
        <f>IF(vend17[[#This Row],[Nº Venda]]&gt;1,1,0)</f>
        <v>1</v>
      </c>
    </row>
    <row r="13" spans="2:18" ht="15.75" x14ac:dyDescent="0.25">
      <c r="B13" s="29" t="s">
        <v>8</v>
      </c>
      <c r="C13" s="30">
        <f t="shared" si="0"/>
        <v>2809</v>
      </c>
      <c r="D13" s="2"/>
      <c r="E13" s="60">
        <v>10405</v>
      </c>
      <c r="F13" s="25" t="s">
        <v>194</v>
      </c>
      <c r="G13" s="25" t="s">
        <v>8</v>
      </c>
      <c r="H13" s="8">
        <v>410</v>
      </c>
      <c r="I13" s="8">
        <v>410</v>
      </c>
      <c r="J13" s="2"/>
      <c r="K13" s="108" t="s">
        <v>22</v>
      </c>
      <c r="L13" s="109"/>
      <c r="M13" s="110"/>
      <c r="R13" s="1">
        <f>IF(vend17[[#This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>
        <v>10406</v>
      </c>
      <c r="F14" s="24" t="s">
        <v>193</v>
      </c>
      <c r="G14" s="25" t="s">
        <v>8</v>
      </c>
      <c r="H14" s="8">
        <v>500</v>
      </c>
      <c r="I14" s="8">
        <v>500</v>
      </c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1</v>
      </c>
    </row>
    <row r="15" spans="2:18" ht="15.75" x14ac:dyDescent="0.25">
      <c r="B15" s="29" t="s">
        <v>10</v>
      </c>
      <c r="C15" s="30">
        <f t="shared" si="0"/>
        <v>60</v>
      </c>
      <c r="D15" s="2"/>
      <c r="E15" s="60">
        <v>10407</v>
      </c>
      <c r="F15" s="24" t="s">
        <v>193</v>
      </c>
      <c r="G15" s="25" t="s">
        <v>8</v>
      </c>
      <c r="H15" s="8">
        <v>500</v>
      </c>
      <c r="I15" s="8">
        <v>500</v>
      </c>
      <c r="J15" s="2"/>
      <c r="K15" s="67">
        <v>10340</v>
      </c>
      <c r="L15" s="9" t="s">
        <v>139</v>
      </c>
      <c r="M15" s="16" t="s">
        <v>154</v>
      </c>
      <c r="R15" s="1">
        <f>IF(vend17[[#This Row],[Nº Venda]]&gt;1,1,0)</f>
        <v>1</v>
      </c>
    </row>
    <row r="16" spans="2:18" ht="15.75" x14ac:dyDescent="0.25">
      <c r="B16" s="27" t="s">
        <v>11</v>
      </c>
      <c r="C16" s="31">
        <f>SUM(C11:C15)</f>
        <v>5524</v>
      </c>
      <c r="D16" s="2"/>
      <c r="E16" s="60">
        <v>10408</v>
      </c>
      <c r="F16" s="24" t="s">
        <v>193</v>
      </c>
      <c r="G16" s="25" t="s">
        <v>50</v>
      </c>
      <c r="H16" s="8">
        <v>0</v>
      </c>
      <c r="I16" s="8">
        <v>0</v>
      </c>
      <c r="J16" s="2"/>
      <c r="K16" s="67">
        <v>10341</v>
      </c>
      <c r="L16" s="9" t="s">
        <v>139</v>
      </c>
      <c r="M16" s="16" t="s">
        <v>154</v>
      </c>
      <c r="R16" s="1">
        <f>IF(vend17[[#This Row],[Nº Venda]]&gt;1,1,0)</f>
        <v>1</v>
      </c>
    </row>
    <row r="17" spans="2:18" ht="15.75" x14ac:dyDescent="0.25">
      <c r="B17" s="2"/>
      <c r="C17" s="2"/>
      <c r="D17" s="2"/>
      <c r="E17" s="60">
        <v>10409</v>
      </c>
      <c r="F17" s="24" t="s">
        <v>193</v>
      </c>
      <c r="G17" s="25" t="s">
        <v>8</v>
      </c>
      <c r="H17" s="8">
        <v>199.5</v>
      </c>
      <c r="I17" s="8">
        <v>199.5</v>
      </c>
      <c r="J17" s="2"/>
      <c r="K17" s="67">
        <v>10351</v>
      </c>
      <c r="L17" s="9" t="s">
        <v>128</v>
      </c>
      <c r="M17" s="16" t="s">
        <v>152</v>
      </c>
      <c r="R17" s="1">
        <f>IF(vend17[[#This Row],[Nº Venda]]&gt;1,1,0)</f>
        <v>1</v>
      </c>
    </row>
    <row r="18" spans="2:18" ht="15.75" x14ac:dyDescent="0.25">
      <c r="B18" s="106" t="s">
        <v>12</v>
      </c>
      <c r="C18" s="106"/>
      <c r="D18" s="2"/>
      <c r="E18" s="60">
        <v>10410</v>
      </c>
      <c r="F18" s="24" t="s">
        <v>193</v>
      </c>
      <c r="G18" s="25" t="s">
        <v>8</v>
      </c>
      <c r="H18" s="8">
        <v>199.5</v>
      </c>
      <c r="I18" s="8">
        <v>199.5</v>
      </c>
      <c r="J18" s="2"/>
      <c r="K18" s="67">
        <v>10354</v>
      </c>
      <c r="L18" s="9" t="s">
        <v>135</v>
      </c>
      <c r="M18" s="16" t="s">
        <v>152</v>
      </c>
      <c r="R18" s="1">
        <f>IF(vend17[[#This Row],[Nº Venda]]&gt;1,1,0)</f>
        <v>1</v>
      </c>
    </row>
    <row r="19" spans="2:18" ht="15.75" x14ac:dyDescent="0.25">
      <c r="B19" s="29">
        <f>COUNT(entr_carn17[OS])</f>
        <v>1</v>
      </c>
      <c r="C19" s="30">
        <f>SUM(entr_carn17[Valor Total])</f>
        <v>767</v>
      </c>
      <c r="D19" s="2"/>
      <c r="E19" s="60">
        <v>10411</v>
      </c>
      <c r="F19" s="24" t="s">
        <v>58</v>
      </c>
      <c r="G19" s="25" t="s">
        <v>6</v>
      </c>
      <c r="H19" s="8">
        <v>1000</v>
      </c>
      <c r="I19" s="8">
        <v>200</v>
      </c>
      <c r="J19" s="2"/>
      <c r="K19" s="67">
        <v>10390</v>
      </c>
      <c r="L19" s="9" t="s">
        <v>128</v>
      </c>
      <c r="M19" s="16" t="s">
        <v>152</v>
      </c>
      <c r="R19" s="1">
        <f>IF(vend17[[#This Row],[Nº Venda]]&gt;1,1,0)</f>
        <v>1</v>
      </c>
    </row>
    <row r="20" spans="2:18" ht="15.75" x14ac:dyDescent="0.25">
      <c r="B20" s="27" t="s">
        <v>11</v>
      </c>
      <c r="C20" s="31">
        <f>SUM(C19:C19)</f>
        <v>767</v>
      </c>
      <c r="D20" s="2"/>
      <c r="E20" s="60"/>
      <c r="F20" s="24"/>
      <c r="G20" s="25"/>
      <c r="H20" s="8"/>
      <c r="I20" s="8"/>
      <c r="J20" s="2"/>
      <c r="K20" s="67">
        <v>10394</v>
      </c>
      <c r="L20" s="9" t="s">
        <v>128</v>
      </c>
      <c r="M20" s="16" t="s">
        <v>152</v>
      </c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10400</v>
      </c>
      <c r="L21" s="9" t="s">
        <v>128</v>
      </c>
      <c r="M21" s="16" t="s">
        <v>152</v>
      </c>
    </row>
    <row r="22" spans="2:18" ht="15.75" x14ac:dyDescent="0.25">
      <c r="B22" s="27" t="s">
        <v>26</v>
      </c>
      <c r="C22" s="31">
        <f>C5</f>
        <v>6376</v>
      </c>
      <c r="D22" s="2"/>
      <c r="E22" s="60"/>
      <c r="F22" s="24"/>
      <c r="G22" s="25"/>
      <c r="H22" s="8"/>
      <c r="I22" s="8"/>
      <c r="J22" s="2"/>
      <c r="K22" s="67">
        <v>10404</v>
      </c>
      <c r="L22" s="9" t="s">
        <v>135</v>
      </c>
      <c r="M22" s="16" t="s">
        <v>152</v>
      </c>
    </row>
    <row r="23" spans="2:18" ht="15" x14ac:dyDescent="0.25">
      <c r="B23" s="2"/>
      <c r="C23" s="2"/>
      <c r="D23" s="2"/>
      <c r="E23" s="32"/>
      <c r="H23" s="7"/>
      <c r="J23" s="2"/>
      <c r="K23" s="67">
        <v>10405</v>
      </c>
      <c r="L23" s="9" t="s">
        <v>135</v>
      </c>
      <c r="M23" s="16" t="s">
        <v>152</v>
      </c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10340</v>
      </c>
      <c r="F26" s="24" t="s">
        <v>196</v>
      </c>
      <c r="G26" s="25" t="s">
        <v>6</v>
      </c>
      <c r="H26" s="8">
        <v>0</v>
      </c>
      <c r="I26" s="8">
        <v>250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10341</v>
      </c>
      <c r="F27" s="24" t="s">
        <v>195</v>
      </c>
      <c r="G27" s="25" t="s">
        <v>6</v>
      </c>
      <c r="H27" s="8">
        <v>0</v>
      </c>
      <c r="I27" s="8">
        <v>250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10348</v>
      </c>
      <c r="F28" s="24" t="s">
        <v>197</v>
      </c>
      <c r="G28" s="25" t="s">
        <v>6</v>
      </c>
      <c r="H28" s="8">
        <v>0</v>
      </c>
      <c r="I28" s="8">
        <v>30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>
        <v>10390</v>
      </c>
      <c r="F29" s="24" t="s">
        <v>192</v>
      </c>
      <c r="G29" s="25" t="s">
        <v>7</v>
      </c>
      <c r="H29" s="8">
        <v>0</v>
      </c>
      <c r="I29" s="8">
        <v>89</v>
      </c>
      <c r="J29" s="2"/>
      <c r="K29" s="67"/>
      <c r="L29" s="9"/>
      <c r="M29" s="16"/>
    </row>
    <row r="30" spans="2:18" ht="15.75" x14ac:dyDescent="0.25">
      <c r="B30" s="2"/>
      <c r="C30" s="2"/>
      <c r="D30" s="2"/>
      <c r="E30" s="60">
        <v>10394</v>
      </c>
      <c r="F30" s="37" t="s">
        <v>199</v>
      </c>
      <c r="G30" s="25" t="s">
        <v>7</v>
      </c>
      <c r="H30" s="8"/>
      <c r="I30" s="8">
        <v>18</v>
      </c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9621</v>
      </c>
      <c r="F35" s="24" t="s">
        <v>200</v>
      </c>
      <c r="G35" s="25" t="s">
        <v>10</v>
      </c>
      <c r="H35" s="8">
        <v>60</v>
      </c>
      <c r="I35" s="8" t="s">
        <v>81</v>
      </c>
      <c r="K35" s="67">
        <v>10340</v>
      </c>
      <c r="L35" s="39">
        <v>3</v>
      </c>
      <c r="M35" s="16">
        <v>767</v>
      </c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14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'17'!B1+1</f>
        <v>45675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3219.9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2741.15</v>
      </c>
      <c r="D6" s="2"/>
      <c r="E6" s="60">
        <v>10401</v>
      </c>
      <c r="F6" s="24" t="s">
        <v>204</v>
      </c>
      <c r="G6" s="25" t="s">
        <v>8</v>
      </c>
      <c r="H6" s="8">
        <v>799.9</v>
      </c>
      <c r="I6" s="8">
        <v>799.9</v>
      </c>
      <c r="J6" s="2"/>
      <c r="K6" s="24"/>
      <c r="L6" s="77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10412</v>
      </c>
      <c r="F7" s="24" t="s">
        <v>201</v>
      </c>
      <c r="G7" s="25" t="s">
        <v>8</v>
      </c>
      <c r="H7" s="8">
        <v>490</v>
      </c>
      <c r="I7" s="8">
        <v>490</v>
      </c>
      <c r="J7" s="2"/>
      <c r="K7" s="24"/>
      <c r="L7" s="9"/>
      <c r="M7" s="16"/>
      <c r="R7" s="1">
        <f>IF(vend18[[#This Row],[Nº Venda]]&gt;1,1,0)</f>
        <v>1</v>
      </c>
    </row>
    <row r="8" spans="2:18" ht="15.75" x14ac:dyDescent="0.25">
      <c r="B8" s="27" t="s">
        <v>21</v>
      </c>
      <c r="C8" s="28">
        <f>SUM(C6:C7)</f>
        <v>2741.15</v>
      </c>
      <c r="D8" s="2"/>
      <c r="E8" s="60">
        <v>10413</v>
      </c>
      <c r="F8" s="24" t="s">
        <v>202</v>
      </c>
      <c r="G8" s="25" t="s">
        <v>8</v>
      </c>
      <c r="H8" s="8">
        <v>900</v>
      </c>
      <c r="I8" s="8">
        <v>900</v>
      </c>
      <c r="J8" s="2"/>
      <c r="K8" s="24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60">
        <v>10414</v>
      </c>
      <c r="F9" s="24" t="s">
        <v>202</v>
      </c>
      <c r="G9" s="25" t="s">
        <v>8</v>
      </c>
      <c r="H9" s="8">
        <v>100</v>
      </c>
      <c r="I9" s="8">
        <v>100</v>
      </c>
      <c r="J9" s="2"/>
      <c r="K9" s="24"/>
      <c r="L9" s="9"/>
      <c r="M9" s="16"/>
      <c r="R9" s="1">
        <f>IF(vend18[[#This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10415</v>
      </c>
      <c r="F10" s="24" t="s">
        <v>205</v>
      </c>
      <c r="G10" s="25" t="s">
        <v>8</v>
      </c>
      <c r="H10" s="8">
        <v>20</v>
      </c>
      <c r="I10" s="8">
        <v>20</v>
      </c>
      <c r="J10" s="2"/>
      <c r="K10" s="24"/>
      <c r="L10" s="9"/>
      <c r="M10" s="16"/>
      <c r="R10" s="1">
        <f>IF(vend18[[#This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>
        <v>10416</v>
      </c>
      <c r="F11" s="24" t="s">
        <v>205</v>
      </c>
      <c r="G11" s="25" t="s">
        <v>8</v>
      </c>
      <c r="H11" s="8">
        <v>20</v>
      </c>
      <c r="I11" s="8">
        <v>20</v>
      </c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411.25</v>
      </c>
      <c r="D12" s="2"/>
      <c r="E12" s="60">
        <v>10417</v>
      </c>
      <c r="F12" s="24" t="s">
        <v>206</v>
      </c>
      <c r="G12" s="25" t="s">
        <v>7</v>
      </c>
      <c r="H12" s="81">
        <v>890</v>
      </c>
      <c r="I12" s="8">
        <v>100</v>
      </c>
      <c r="J12" s="2"/>
      <c r="R12" s="1">
        <f>IF(vend18[[#This Row],[Nº Venda]]&gt;1,1,0)</f>
        <v>1</v>
      </c>
    </row>
    <row r="13" spans="2:18" ht="15.75" x14ac:dyDescent="0.25">
      <c r="B13" s="29" t="s">
        <v>8</v>
      </c>
      <c r="C13" s="30">
        <f t="shared" si="0"/>
        <v>2329.9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>
        <v>10210</v>
      </c>
      <c r="L15" s="9" t="s">
        <v>129</v>
      </c>
      <c r="M15" s="16" t="s">
        <v>154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2741.15</v>
      </c>
      <c r="D16" s="2"/>
      <c r="E16" s="60"/>
      <c r="F16" s="24"/>
      <c r="G16" s="25"/>
      <c r="H16" s="8"/>
      <c r="I16" s="8"/>
      <c r="J16" s="2"/>
      <c r="K16" s="67">
        <v>10214</v>
      </c>
      <c r="L16" s="9" t="s">
        <v>129</v>
      </c>
      <c r="M16" s="16" t="s">
        <v>152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10291</v>
      </c>
      <c r="L17" s="9" t="s">
        <v>128</v>
      </c>
      <c r="M17" s="16" t="s">
        <v>152</v>
      </c>
      <c r="R17" s="1">
        <f>IF(vend18[[#This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10415</v>
      </c>
      <c r="L18" s="9" t="s">
        <v>139</v>
      </c>
      <c r="M18" s="16" t="s">
        <v>152</v>
      </c>
      <c r="R18" s="1">
        <f>IF(vend18[[#This Row],[Nº Venda]]&gt;1,1,0)</f>
        <v>0</v>
      </c>
    </row>
    <row r="19" spans="2:18" ht="15.75" x14ac:dyDescent="0.25">
      <c r="B19" s="29">
        <f>COUNT(entr_carn18[OS])</f>
        <v>1</v>
      </c>
      <c r="C19" s="30">
        <f>SUM(entr_carn18[Valor Total])</f>
        <v>1610</v>
      </c>
      <c r="D19" s="2"/>
      <c r="E19" s="60"/>
      <c r="F19" s="24"/>
      <c r="G19" s="25"/>
      <c r="H19" s="8"/>
      <c r="I19" s="8"/>
      <c r="J19" s="2"/>
      <c r="K19" s="67">
        <v>10416</v>
      </c>
      <c r="L19" s="9" t="s">
        <v>139</v>
      </c>
      <c r="M19" s="16" t="s">
        <v>152</v>
      </c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1610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3219.9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50"/>
      <c r="F23" s="50"/>
      <c r="G23" s="50"/>
      <c r="H23" s="51"/>
      <c r="I23" s="51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25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9116</v>
      </c>
      <c r="F35" s="24" t="s">
        <v>203</v>
      </c>
      <c r="G35" s="25" t="s">
        <v>7</v>
      </c>
      <c r="H35" s="8">
        <v>161.25</v>
      </c>
      <c r="I35" s="8" t="s">
        <v>51</v>
      </c>
      <c r="K35" s="67">
        <v>10210</v>
      </c>
      <c r="L35" s="39">
        <v>10</v>
      </c>
      <c r="M35" s="16">
        <v>1610</v>
      </c>
    </row>
    <row r="36" spans="2:18" ht="15.75" x14ac:dyDescent="0.25">
      <c r="E36" s="63">
        <v>10181</v>
      </c>
      <c r="F36" s="24" t="s">
        <v>207</v>
      </c>
      <c r="G36" s="25" t="s">
        <v>7</v>
      </c>
      <c r="H36" s="8">
        <v>150</v>
      </c>
      <c r="I36" s="8" t="s">
        <v>67</v>
      </c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7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'18'!B1+1</f>
        <v>45676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0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0"/>
      <c r="F7" s="24"/>
      <c r="G7" s="25"/>
      <c r="H7" s="52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0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0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0"/>
      <c r="F16" s="24"/>
      <c r="G16" s="25"/>
      <c r="H16" s="8"/>
      <c r="I16" s="8"/>
      <c r="J16" s="2"/>
      <c r="K16" s="67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IF(vend19[[#This Row],[Nº Venda]]&gt;1,1,0)</f>
        <v>0</v>
      </c>
    </row>
    <row r="18" spans="2:22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22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22" ht="15.75" x14ac:dyDescent="0.25">
      <c r="B26" s="2"/>
      <c r="C26" s="2"/>
      <c r="D26" s="2"/>
      <c r="E26" s="60"/>
      <c r="F26" s="37"/>
      <c r="G26" s="25"/>
      <c r="H26" s="8"/>
      <c r="I26" s="8"/>
      <c r="J26" s="2"/>
      <c r="K26" s="67"/>
      <c r="L26" s="9"/>
      <c r="M26" s="16"/>
    </row>
    <row r="27" spans="2:22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22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22" ht="15.75" x14ac:dyDescent="0.25">
      <c r="B29" s="2"/>
      <c r="C29" s="2"/>
      <c r="D29" s="2"/>
      <c r="E29" s="60"/>
      <c r="F29" s="24"/>
      <c r="G29" s="25"/>
      <c r="H29" s="25"/>
      <c r="I29" s="8"/>
      <c r="J29" s="2"/>
      <c r="K29" s="67"/>
      <c r="L29" s="9"/>
      <c r="M29" s="16"/>
    </row>
    <row r="30" spans="2:22" ht="15.75" x14ac:dyDescent="0.25">
      <c r="B30" s="2"/>
      <c r="C30" s="2"/>
      <c r="D30" s="2"/>
      <c r="E30" s="60"/>
      <c r="F30" s="24"/>
      <c r="G30" s="25"/>
      <c r="H30" s="8"/>
      <c r="I30" s="8"/>
      <c r="J30" s="2"/>
      <c r="K30" s="67"/>
      <c r="L30" s="9"/>
      <c r="M30" s="16"/>
    </row>
    <row r="31" spans="2:22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view="pageBreakPreview" zoomScale="60" zoomScaleNormal="90" workbookViewId="0">
      <selection activeCell="L35" sqref="L35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'19'!B1+1</f>
        <v>45677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2426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4498</v>
      </c>
      <c r="D6" s="2"/>
      <c r="E6" s="60">
        <v>10418</v>
      </c>
      <c r="F6" s="24" t="s">
        <v>208</v>
      </c>
      <c r="G6" s="25" t="s">
        <v>8</v>
      </c>
      <c r="H6" s="8">
        <v>899</v>
      </c>
      <c r="I6" s="8">
        <v>899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10419</v>
      </c>
      <c r="F7" s="24" t="s">
        <v>208</v>
      </c>
      <c r="G7" s="25" t="s">
        <v>8</v>
      </c>
      <c r="H7" s="8">
        <v>699</v>
      </c>
      <c r="I7" s="8">
        <v>699</v>
      </c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4498</v>
      </c>
      <c r="D8" s="2"/>
      <c r="E8" s="60">
        <v>10420</v>
      </c>
      <c r="F8" s="24" t="s">
        <v>209</v>
      </c>
      <c r="G8" s="25" t="s">
        <v>6</v>
      </c>
      <c r="H8" s="8">
        <v>400</v>
      </c>
      <c r="I8" s="8">
        <v>400</v>
      </c>
      <c r="J8" s="2"/>
      <c r="K8" s="24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60">
        <v>10421</v>
      </c>
      <c r="F9" s="24" t="s">
        <v>213</v>
      </c>
      <c r="G9" s="25" t="s">
        <v>50</v>
      </c>
      <c r="H9" s="8">
        <v>590</v>
      </c>
      <c r="I9" s="8">
        <v>0</v>
      </c>
      <c r="J9" s="2"/>
      <c r="K9" s="24"/>
      <c r="L9" s="9"/>
      <c r="M9" s="16"/>
      <c r="R9" s="1">
        <f>IF(vend20[[#This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10422</v>
      </c>
      <c r="F10" s="24" t="s">
        <v>213</v>
      </c>
      <c r="G10" s="25" t="s">
        <v>50</v>
      </c>
      <c r="H10" s="8">
        <v>150</v>
      </c>
      <c r="I10" s="8">
        <v>0</v>
      </c>
      <c r="J10" s="2"/>
      <c r="K10" s="24"/>
      <c r="L10" s="9"/>
      <c r="M10" s="16"/>
      <c r="R10" s="1">
        <f>IF(vend20[[#This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700</v>
      </c>
      <c r="D11" s="2"/>
      <c r="E11" s="60">
        <v>10423</v>
      </c>
      <c r="F11" s="24" t="s">
        <v>212</v>
      </c>
      <c r="G11" s="25" t="s">
        <v>8</v>
      </c>
      <c r="H11" s="8">
        <v>428</v>
      </c>
      <c r="I11" s="8">
        <v>428</v>
      </c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225</v>
      </c>
      <c r="D12" s="2"/>
      <c r="E12" s="60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2843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730</v>
      </c>
      <c r="D15" s="2"/>
      <c r="E15" s="60"/>
      <c r="F15" s="24"/>
      <c r="G15" s="25"/>
      <c r="H15" s="8"/>
      <c r="I15" s="8"/>
      <c r="J15" s="2"/>
      <c r="K15" s="67">
        <v>10300</v>
      </c>
      <c r="L15" s="9" t="s">
        <v>128</v>
      </c>
      <c r="M15" s="16" t="s">
        <v>152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4498</v>
      </c>
      <c r="D16" s="2"/>
      <c r="E16" s="60"/>
      <c r="F16" s="24"/>
      <c r="G16" s="25"/>
      <c r="H16" s="8"/>
      <c r="I16" s="8"/>
      <c r="J16" s="2"/>
      <c r="K16" s="67">
        <v>10344</v>
      </c>
      <c r="L16" s="9" t="s">
        <v>135</v>
      </c>
      <c r="M16" s="16" t="s">
        <v>152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10353</v>
      </c>
      <c r="L17" s="9" t="s">
        <v>128</v>
      </c>
      <c r="M17" s="16" t="s">
        <v>154</v>
      </c>
      <c r="R17" s="1">
        <f>IF(vend20[[#This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1</v>
      </c>
      <c r="C19" s="30">
        <f>SUM(entr_carn20[Valor Total])</f>
        <v>510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510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2426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10344</v>
      </c>
      <c r="F26" s="37" t="s">
        <v>215</v>
      </c>
      <c r="G26" s="25" t="s">
        <v>6</v>
      </c>
      <c r="H26" s="8">
        <v>0</v>
      </c>
      <c r="I26" s="8">
        <v>300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10353</v>
      </c>
      <c r="F27" s="24" t="s">
        <v>214</v>
      </c>
      <c r="G27" s="25" t="s">
        <v>10</v>
      </c>
      <c r="H27" s="8">
        <v>0</v>
      </c>
      <c r="I27" s="8">
        <v>400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10364</v>
      </c>
      <c r="F28" s="24" t="s">
        <v>210</v>
      </c>
      <c r="G28" s="25" t="s">
        <v>8</v>
      </c>
      <c r="H28" s="8">
        <v>0</v>
      </c>
      <c r="I28" s="8">
        <v>817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>
        <v>10385</v>
      </c>
      <c r="F29" s="24" t="s">
        <v>211</v>
      </c>
      <c r="G29" s="25" t="s">
        <v>10</v>
      </c>
      <c r="H29" s="8">
        <v>0</v>
      </c>
      <c r="I29" s="8">
        <v>200</v>
      </c>
      <c r="J29" s="2"/>
      <c r="K29" s="67"/>
      <c r="L29" s="9"/>
      <c r="M29" s="16"/>
    </row>
    <row r="30" spans="2:18" ht="15.75" x14ac:dyDescent="0.25">
      <c r="B30" s="2"/>
      <c r="C30" s="2"/>
      <c r="D30" s="2"/>
      <c r="E30" s="60">
        <v>10386</v>
      </c>
      <c r="F30" s="24" t="s">
        <v>211</v>
      </c>
      <c r="G30" s="25" t="s">
        <v>10</v>
      </c>
      <c r="H30" s="8">
        <v>0</v>
      </c>
      <c r="I30" s="8">
        <v>130</v>
      </c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9686</v>
      </c>
      <c r="F35" s="24" t="s">
        <v>153</v>
      </c>
      <c r="G35" s="25" t="s">
        <v>7</v>
      </c>
      <c r="H35" s="8">
        <v>225</v>
      </c>
      <c r="I35" s="8" t="s">
        <v>38</v>
      </c>
      <c r="K35" s="67">
        <v>10353</v>
      </c>
      <c r="L35" s="39">
        <v>5</v>
      </c>
      <c r="M35" s="16">
        <v>510</v>
      </c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6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I23" sqref="I23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'20'!B1+1</f>
        <v>45678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1386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1659.1599999999999</v>
      </c>
      <c r="D6" s="2"/>
      <c r="E6" s="60">
        <v>10424</v>
      </c>
      <c r="F6" s="24" t="s">
        <v>216</v>
      </c>
      <c r="G6" s="25" t="s">
        <v>8</v>
      </c>
      <c r="H6" s="8">
        <v>50</v>
      </c>
      <c r="I6" s="8">
        <v>50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10425</v>
      </c>
      <c r="F7" s="24" t="s">
        <v>217</v>
      </c>
      <c r="G7" s="25" t="s">
        <v>6</v>
      </c>
      <c r="H7" s="8">
        <v>899</v>
      </c>
      <c r="I7" s="8">
        <v>10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1659.1599999999999</v>
      </c>
      <c r="D8" s="2"/>
      <c r="E8" s="60">
        <v>10426</v>
      </c>
      <c r="F8" s="24" t="s">
        <v>227</v>
      </c>
      <c r="G8" s="25" t="s">
        <v>8</v>
      </c>
      <c r="H8" s="8">
        <v>163</v>
      </c>
      <c r="I8" s="8">
        <v>163</v>
      </c>
      <c r="J8" s="2"/>
      <c r="K8" s="24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60">
        <v>10427</v>
      </c>
      <c r="F9" s="24" t="s">
        <v>218</v>
      </c>
      <c r="G9" s="25" t="s">
        <v>7</v>
      </c>
      <c r="H9" s="8">
        <v>35</v>
      </c>
      <c r="I9" s="8">
        <v>35</v>
      </c>
      <c r="J9" s="2"/>
      <c r="K9" s="24"/>
      <c r="L9" s="9"/>
      <c r="M9" s="16"/>
      <c r="R9" s="1">
        <f>IF(vend21[[#This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10428</v>
      </c>
      <c r="F10" s="24" t="s">
        <v>179</v>
      </c>
      <c r="G10" s="25" t="s">
        <v>50</v>
      </c>
      <c r="H10" s="8">
        <v>70</v>
      </c>
      <c r="I10" s="8">
        <v>0</v>
      </c>
      <c r="J10" s="2"/>
      <c r="K10" s="24"/>
      <c r="L10" s="9"/>
      <c r="M10" s="16"/>
      <c r="R10" s="1">
        <f>IF(vend21[[#This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260</v>
      </c>
      <c r="D11" s="2"/>
      <c r="E11" s="60">
        <v>10429</v>
      </c>
      <c r="F11" s="24" t="s">
        <v>219</v>
      </c>
      <c r="G11" s="25" t="s">
        <v>10</v>
      </c>
      <c r="H11" s="8">
        <v>239</v>
      </c>
      <c r="I11" s="8">
        <v>239</v>
      </c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35</v>
      </c>
      <c r="D12" s="2"/>
      <c r="E12" s="60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213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1151.1599999999999</v>
      </c>
      <c r="D15" s="2"/>
      <c r="E15" s="60"/>
      <c r="F15" s="24"/>
      <c r="G15" s="25"/>
      <c r="H15" s="8"/>
      <c r="I15" s="8"/>
      <c r="J15" s="2"/>
      <c r="K15" s="67">
        <v>10371</v>
      </c>
      <c r="L15" s="9" t="s">
        <v>128</v>
      </c>
      <c r="M15" s="16" t="s">
        <v>152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1659.1599999999999</v>
      </c>
      <c r="D16" s="2"/>
      <c r="E16" s="60"/>
      <c r="F16" s="24"/>
      <c r="G16" s="25"/>
      <c r="H16" s="8"/>
      <c r="I16" s="8"/>
      <c r="J16" s="2"/>
      <c r="K16" s="67">
        <v>10374</v>
      </c>
      <c r="L16" s="9" t="s">
        <v>128</v>
      </c>
      <c r="M16" s="16" t="s">
        <v>154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10381</v>
      </c>
      <c r="L17" s="9" t="s">
        <v>135</v>
      </c>
      <c r="M17" s="16" t="s">
        <v>152</v>
      </c>
      <c r="R17" s="1">
        <f>IF(vend21[[#This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10424</v>
      </c>
      <c r="L18" s="9" t="s">
        <v>135</v>
      </c>
      <c r="M18" s="16" t="s">
        <v>152</v>
      </c>
      <c r="R18" s="1">
        <f>IF(vend21[[#This Row],[Nº Venda]]&gt;1,1,0)</f>
        <v>0</v>
      </c>
    </row>
    <row r="19" spans="2:18" ht="15.75" x14ac:dyDescent="0.25">
      <c r="B19" s="29">
        <f>COUNT(entr_carn21[OS])</f>
        <v>1</v>
      </c>
      <c r="C19" s="30">
        <f>SUM(entr_carn21[Valor Total])</f>
        <v>449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449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1386</v>
      </c>
      <c r="D22" s="2"/>
      <c r="E22" s="61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10374</v>
      </c>
      <c r="F26" s="24" t="s">
        <v>167</v>
      </c>
      <c r="G26" s="25" t="s">
        <v>6</v>
      </c>
      <c r="H26" s="8">
        <v>0</v>
      </c>
      <c r="I26" s="8">
        <v>250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8587</v>
      </c>
      <c r="F35" s="24" t="s">
        <v>222</v>
      </c>
      <c r="G35" s="25" t="s">
        <v>10</v>
      </c>
      <c r="H35" s="8">
        <v>122.5</v>
      </c>
      <c r="I35" s="8" t="s">
        <v>81</v>
      </c>
      <c r="K35" s="67">
        <v>10374</v>
      </c>
      <c r="L35" s="39">
        <v>2</v>
      </c>
      <c r="M35" s="16">
        <v>449</v>
      </c>
    </row>
    <row r="36" spans="2:18" ht="15.75" x14ac:dyDescent="0.25">
      <c r="E36" s="61">
        <v>8587</v>
      </c>
      <c r="F36" s="24" t="s">
        <v>222</v>
      </c>
      <c r="G36" s="25" t="s">
        <v>10</v>
      </c>
      <c r="H36" s="8">
        <v>122.5</v>
      </c>
      <c r="I36" s="8" t="s">
        <v>59</v>
      </c>
      <c r="K36" s="67"/>
      <c r="L36" s="39"/>
      <c r="M36" s="16"/>
    </row>
    <row r="37" spans="2:18" ht="15.75" x14ac:dyDescent="0.25">
      <c r="E37" s="60">
        <v>9451</v>
      </c>
      <c r="F37" s="24" t="s">
        <v>223</v>
      </c>
      <c r="G37" s="25" t="s">
        <v>10</v>
      </c>
      <c r="H37" s="8">
        <v>67</v>
      </c>
      <c r="I37" s="8" t="s">
        <v>81</v>
      </c>
      <c r="K37" s="67"/>
      <c r="L37" s="39"/>
      <c r="M37" s="16"/>
    </row>
    <row r="38" spans="2:18" ht="15.75" x14ac:dyDescent="0.25">
      <c r="E38" s="62">
        <v>9461</v>
      </c>
      <c r="F38" s="37" t="s">
        <v>224</v>
      </c>
      <c r="G38" s="25" t="s">
        <v>10</v>
      </c>
      <c r="H38" s="8">
        <v>162.5</v>
      </c>
      <c r="I38" s="8" t="s">
        <v>56</v>
      </c>
      <c r="K38" s="67"/>
      <c r="L38" s="39"/>
      <c r="M38" s="16"/>
    </row>
    <row r="39" spans="2:18" ht="15.75" x14ac:dyDescent="0.25">
      <c r="E39" s="60">
        <v>9816</v>
      </c>
      <c r="F39" s="24" t="s">
        <v>220</v>
      </c>
      <c r="G39" s="25" t="s">
        <v>10</v>
      </c>
      <c r="H39" s="8">
        <v>156.66</v>
      </c>
      <c r="I39" s="8" t="s">
        <v>45</v>
      </c>
      <c r="K39" s="67"/>
      <c r="L39" s="39"/>
      <c r="M39" s="16"/>
    </row>
    <row r="40" spans="2:18" ht="15.75" x14ac:dyDescent="0.25">
      <c r="E40" s="63">
        <v>9916</v>
      </c>
      <c r="F40" s="34" t="s">
        <v>221</v>
      </c>
      <c r="G40" s="35" t="s">
        <v>10</v>
      </c>
      <c r="H40" s="17">
        <v>151</v>
      </c>
      <c r="I40" s="8" t="s">
        <v>45</v>
      </c>
      <c r="K40" s="68"/>
      <c r="L40" s="40"/>
      <c r="M40" s="38"/>
      <c r="Q40" s="1" t="s">
        <v>36</v>
      </c>
      <c r="R40" s="1">
        <f>SUM(R6:R21)</f>
        <v>6</v>
      </c>
    </row>
    <row r="41" spans="2:18" ht="15.75" x14ac:dyDescent="0.25">
      <c r="E41" s="60">
        <v>10071</v>
      </c>
      <c r="F41" s="37" t="s">
        <v>223</v>
      </c>
      <c r="G41" s="25" t="s">
        <v>10</v>
      </c>
      <c r="H41" s="8">
        <v>130</v>
      </c>
      <c r="I41" s="8" t="s">
        <v>42</v>
      </c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B1" zoomScaleNormal="10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'21'!B1+1</f>
        <v>45679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1452</v>
      </c>
      <c r="D6" s="2"/>
      <c r="E6" s="60">
        <v>10430</v>
      </c>
      <c r="F6" s="24" t="s">
        <v>225</v>
      </c>
      <c r="G6" s="25" t="s">
        <v>6</v>
      </c>
      <c r="H6" s="8">
        <v>25</v>
      </c>
      <c r="I6" s="8">
        <v>25</v>
      </c>
      <c r="J6" s="2"/>
      <c r="K6" s="24"/>
      <c r="L6" s="9"/>
      <c r="M6" s="16"/>
      <c r="R6" s="1">
        <f>IF(vend22[[#This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10431</v>
      </c>
      <c r="F7" s="24" t="s">
        <v>228</v>
      </c>
      <c r="G7" s="25" t="s">
        <v>6</v>
      </c>
      <c r="H7" s="8">
        <v>355</v>
      </c>
      <c r="I7" s="8">
        <v>350</v>
      </c>
      <c r="J7" s="2"/>
      <c r="K7" s="24"/>
      <c r="L7" s="9"/>
      <c r="M7" s="16"/>
      <c r="R7" s="1">
        <f>IF(vend22[[#This Row],[Nº Venda]]&gt;1,1,0)</f>
        <v>1</v>
      </c>
    </row>
    <row r="8" spans="2:18" ht="15.75" x14ac:dyDescent="0.25">
      <c r="B8" s="27" t="s">
        <v>21</v>
      </c>
      <c r="C8" s="28">
        <f>SUM(C6:C7)</f>
        <v>1452</v>
      </c>
      <c r="D8" s="2"/>
      <c r="E8" s="60">
        <v>10431</v>
      </c>
      <c r="F8" s="24" t="s">
        <v>228</v>
      </c>
      <c r="G8" s="25" t="s">
        <v>7</v>
      </c>
      <c r="H8" s="8"/>
      <c r="I8" s="8">
        <v>5</v>
      </c>
      <c r="J8" s="2"/>
      <c r="K8" s="24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500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675</v>
      </c>
      <c r="D12" s="2"/>
      <c r="E12" s="60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277</v>
      </c>
      <c r="D15" s="2"/>
      <c r="E15" s="60"/>
      <c r="F15" s="24"/>
      <c r="G15" s="25"/>
      <c r="H15" s="8"/>
      <c r="I15" s="8"/>
      <c r="J15" s="2"/>
      <c r="K15" s="67">
        <v>10430</v>
      </c>
      <c r="L15" s="9" t="s">
        <v>135</v>
      </c>
      <c r="M15" s="16" t="s">
        <v>152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1452</v>
      </c>
      <c r="D16" s="2"/>
      <c r="E16" s="60"/>
      <c r="F16" s="24"/>
      <c r="G16" s="25"/>
      <c r="H16" s="8"/>
      <c r="I16" s="8"/>
      <c r="J16" s="2"/>
      <c r="K16" s="67">
        <v>10380</v>
      </c>
      <c r="L16" s="9" t="s">
        <v>135</v>
      </c>
      <c r="M16" s="16" t="s">
        <v>152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10379</v>
      </c>
      <c r="L17" s="9" t="s">
        <v>135</v>
      </c>
      <c r="M17" s="16" t="s">
        <v>152</v>
      </c>
      <c r="R17" s="1">
        <f>IF(vend22[[#This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10378</v>
      </c>
      <c r="L18" s="9" t="s">
        <v>135</v>
      </c>
      <c r="M18" s="16" t="s">
        <v>152</v>
      </c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60"/>
      <c r="F19" s="24"/>
      <c r="G19" s="25"/>
      <c r="H19" s="8"/>
      <c r="I19" s="8"/>
      <c r="J19" s="2"/>
      <c r="K19" s="67">
        <v>10427</v>
      </c>
      <c r="L19" s="9" t="s">
        <v>135</v>
      </c>
      <c r="M19" s="16" t="s">
        <v>152</v>
      </c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>
        <v>10321</v>
      </c>
      <c r="L20" s="9" t="s">
        <v>128</v>
      </c>
      <c r="M20" s="16" t="s">
        <v>152</v>
      </c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10426</v>
      </c>
      <c r="L21" s="9" t="s">
        <v>135</v>
      </c>
      <c r="M21" s="16" t="s">
        <v>152</v>
      </c>
    </row>
    <row r="22" spans="2:18" ht="15.75" x14ac:dyDescent="0.25">
      <c r="B22" s="27" t="s">
        <v>26</v>
      </c>
      <c r="C22" s="31">
        <f>C5</f>
        <v>380</v>
      </c>
      <c r="D22" s="2"/>
      <c r="E22" s="60"/>
      <c r="F22" s="24"/>
      <c r="G22" s="25"/>
      <c r="H22" s="8"/>
      <c r="I22" s="8"/>
      <c r="J22" s="2"/>
      <c r="K22" s="67">
        <v>10420</v>
      </c>
      <c r="L22" s="9" t="s">
        <v>135</v>
      </c>
      <c r="M22" s="16" t="s">
        <v>152</v>
      </c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10380</v>
      </c>
      <c r="F26" s="24" t="s">
        <v>171</v>
      </c>
      <c r="G26" s="25" t="s">
        <v>7</v>
      </c>
      <c r="H26" s="8"/>
      <c r="I26" s="8">
        <v>240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10379</v>
      </c>
      <c r="F27" s="24" t="s">
        <v>171</v>
      </c>
      <c r="G27" s="25" t="s">
        <v>7</v>
      </c>
      <c r="H27" s="8"/>
      <c r="I27" s="8">
        <v>240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10378</v>
      </c>
      <c r="F28" s="24" t="s">
        <v>171</v>
      </c>
      <c r="G28" s="25" t="s">
        <v>7</v>
      </c>
      <c r="H28" s="8"/>
      <c r="I28" s="8">
        <v>190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9393</v>
      </c>
      <c r="F35" s="24" t="s">
        <v>226</v>
      </c>
      <c r="G35" s="25" t="s">
        <v>6</v>
      </c>
      <c r="H35" s="8">
        <v>125</v>
      </c>
      <c r="I35" s="8" t="s">
        <v>51</v>
      </c>
      <c r="K35" s="67"/>
      <c r="L35" s="39"/>
      <c r="M35" s="16"/>
    </row>
    <row r="36" spans="2:18" ht="15.75" x14ac:dyDescent="0.25">
      <c r="E36" s="63">
        <v>9598</v>
      </c>
      <c r="F36" s="24" t="s">
        <v>229</v>
      </c>
      <c r="G36" s="25" t="s">
        <v>10</v>
      </c>
      <c r="H36" s="8">
        <v>65</v>
      </c>
      <c r="I36" s="8" t="s">
        <v>59</v>
      </c>
      <c r="K36" s="67"/>
      <c r="L36" s="39"/>
      <c r="M36" s="16"/>
    </row>
    <row r="37" spans="2:18" ht="15.75" x14ac:dyDescent="0.25">
      <c r="E37" s="60">
        <v>9948</v>
      </c>
      <c r="F37" s="24" t="s">
        <v>230</v>
      </c>
      <c r="G37" s="25" t="s">
        <v>10</v>
      </c>
      <c r="H37" s="8">
        <v>92</v>
      </c>
      <c r="I37" s="8" t="s">
        <v>47</v>
      </c>
      <c r="K37" s="67"/>
      <c r="L37" s="39"/>
      <c r="M37" s="16"/>
    </row>
    <row r="38" spans="2:18" ht="15.75" x14ac:dyDescent="0.25">
      <c r="E38" s="60">
        <v>9716</v>
      </c>
      <c r="F38" s="24" t="s">
        <v>231</v>
      </c>
      <c r="G38" s="25" t="s">
        <v>10</v>
      </c>
      <c r="H38" s="8">
        <v>120</v>
      </c>
      <c r="I38" s="8" t="s">
        <v>80</v>
      </c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3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view="pageBreakPreview" zoomScale="60" zoomScaleNormal="9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'22'!B1+1</f>
        <v>45680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1334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1279</v>
      </c>
      <c r="D6" s="2"/>
      <c r="E6" s="60">
        <v>10433</v>
      </c>
      <c r="F6" s="24" t="s">
        <v>232</v>
      </c>
      <c r="G6" s="25" t="s">
        <v>10</v>
      </c>
      <c r="H6" s="8">
        <v>400</v>
      </c>
      <c r="I6" s="8">
        <v>50</v>
      </c>
      <c r="J6" s="2"/>
      <c r="K6" s="24"/>
      <c r="L6" s="9"/>
      <c r="M6" s="16"/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10434</v>
      </c>
      <c r="F7" s="24" t="s">
        <v>233</v>
      </c>
      <c r="G7" s="25" t="s">
        <v>6</v>
      </c>
      <c r="H7" s="8">
        <v>80</v>
      </c>
      <c r="I7" s="8">
        <v>80</v>
      </c>
      <c r="J7" s="2"/>
      <c r="K7" s="24"/>
      <c r="L7" s="9"/>
      <c r="M7" s="16"/>
      <c r="R7" s="1">
        <f>IF(vend23[[#This Row],[Nº Venda]]&gt;1,1,0)</f>
        <v>1</v>
      </c>
    </row>
    <row r="8" spans="2:18" ht="15.75" x14ac:dyDescent="0.25">
      <c r="B8" s="27" t="s">
        <v>21</v>
      </c>
      <c r="C8" s="28">
        <f>SUM(C6:C7)</f>
        <v>1279</v>
      </c>
      <c r="D8" s="2"/>
      <c r="E8" s="60">
        <v>10435</v>
      </c>
      <c r="F8" s="24" t="s">
        <v>234</v>
      </c>
      <c r="G8" s="25" t="s">
        <v>6</v>
      </c>
      <c r="H8" s="8">
        <v>40</v>
      </c>
      <c r="I8" s="8">
        <v>40</v>
      </c>
      <c r="J8" s="2"/>
      <c r="K8" s="24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60">
        <v>10436</v>
      </c>
      <c r="F9" s="24" t="s">
        <v>235</v>
      </c>
      <c r="G9" s="25" t="s">
        <v>8</v>
      </c>
      <c r="H9" s="8">
        <v>159</v>
      </c>
      <c r="I9" s="8">
        <v>159</v>
      </c>
      <c r="J9" s="2"/>
      <c r="K9" s="24"/>
      <c r="L9" s="9"/>
      <c r="M9" s="16"/>
      <c r="R9" s="1">
        <f>IF(vend23[[#This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10437</v>
      </c>
      <c r="F10" s="24" t="s">
        <v>236</v>
      </c>
      <c r="G10" s="25" t="s">
        <v>10</v>
      </c>
      <c r="H10" s="8">
        <v>450</v>
      </c>
      <c r="I10" s="8">
        <v>100</v>
      </c>
      <c r="J10" s="2"/>
      <c r="K10" s="24"/>
      <c r="L10" s="9"/>
      <c r="M10" s="16"/>
      <c r="R10" s="1">
        <f>IF(vend23[[#This Row],[Nº Venda]]&gt;1,1,0)</f>
        <v>1</v>
      </c>
    </row>
    <row r="11" spans="2:18" ht="15.75" x14ac:dyDescent="0.25">
      <c r="B11" s="29" t="s">
        <v>6</v>
      </c>
      <c r="C11" s="57">
        <f>(SUMIF($G$2:$G$31,B11,$I$2:$I$31))+(SUMIF($G$35:$G$41,B11,$H$35:$H$41))</f>
        <v>195</v>
      </c>
      <c r="D11" s="2"/>
      <c r="E11" s="60">
        <v>10438</v>
      </c>
      <c r="F11" s="24" t="s">
        <v>237</v>
      </c>
      <c r="G11" s="25" t="s">
        <v>7</v>
      </c>
      <c r="H11" s="8">
        <v>185</v>
      </c>
      <c r="I11" s="8">
        <v>185</v>
      </c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1</v>
      </c>
    </row>
    <row r="12" spans="2:18" ht="15.75" x14ac:dyDescent="0.25">
      <c r="B12" s="29" t="s">
        <v>7</v>
      </c>
      <c r="C12" s="57">
        <f>(SUMIF($G$2:$G$31,B12,$I$2:$I$31))+(SUMIF($G$35:$G$41,B12,$H$35:$H$41))</f>
        <v>205</v>
      </c>
      <c r="D12" s="2"/>
      <c r="E12" s="60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57">
        <f>(SUMIF($G$2:$G$31,B13,$I$2:$I$31))+(SUMIF($G$35:$G$41,B13,$H$35:$H$41))</f>
        <v>159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IF(vend23[[#This Row],[Nº Venda]]&gt;1,1,0)</f>
        <v>0</v>
      </c>
    </row>
    <row r="14" spans="2:18" ht="15.75" x14ac:dyDescent="0.25">
      <c r="B14" s="29" t="s">
        <v>9</v>
      </c>
      <c r="C14" s="57">
        <f>(SUMIF($G$2:$G$31,B14,$I$2:$I$31))+(SUMIF($G$35:$G$41,B14,$H$35:$H$41))</f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57">
        <f>(SUMIF($G$2:$G$31,B15,$I$2:$I$31))+(SUMIF($G$35:$G$41,B15,$H$35:$H$41))</f>
        <v>720</v>
      </c>
      <c r="D15" s="2"/>
      <c r="E15" s="60"/>
      <c r="F15" s="24"/>
      <c r="G15" s="25"/>
      <c r="H15" s="8"/>
      <c r="I15" s="8"/>
      <c r="J15" s="2"/>
      <c r="K15" s="67">
        <v>10152</v>
      </c>
      <c r="L15" s="9" t="s">
        <v>129</v>
      </c>
      <c r="M15" s="16" t="s">
        <v>152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1279</v>
      </c>
      <c r="D16" s="2"/>
      <c r="E16" s="60"/>
      <c r="F16" s="24"/>
      <c r="G16" s="25"/>
      <c r="H16" s="8"/>
      <c r="I16" s="8"/>
      <c r="J16" s="2"/>
      <c r="K16" s="67">
        <v>10174</v>
      </c>
      <c r="L16" s="9" t="s">
        <v>129</v>
      </c>
      <c r="M16" s="16" t="s">
        <v>152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10350</v>
      </c>
      <c r="L17" s="9" t="s">
        <v>128</v>
      </c>
      <c r="M17" s="16" t="s">
        <v>152</v>
      </c>
      <c r="R17" s="1">
        <f>IF(vend23[[#This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10362</v>
      </c>
      <c r="L18" s="9" t="s">
        <v>135</v>
      </c>
      <c r="M18" s="16" t="s">
        <v>152</v>
      </c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60"/>
      <c r="F19" s="24"/>
      <c r="G19" s="25"/>
      <c r="H19" s="8"/>
      <c r="I19" s="8"/>
      <c r="J19" s="2"/>
      <c r="K19" s="67">
        <v>10370</v>
      </c>
      <c r="L19" s="9" t="s">
        <v>135</v>
      </c>
      <c r="M19" s="16" t="s">
        <v>152</v>
      </c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>
        <v>10375</v>
      </c>
      <c r="L20" s="9" t="s">
        <v>135</v>
      </c>
      <c r="M20" s="16" t="s">
        <v>152</v>
      </c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10387</v>
      </c>
      <c r="L21" s="9" t="s">
        <v>128</v>
      </c>
      <c r="M21" s="16" t="s">
        <v>152</v>
      </c>
    </row>
    <row r="22" spans="2:18" ht="15.75" x14ac:dyDescent="0.25">
      <c r="B22" s="27" t="s">
        <v>26</v>
      </c>
      <c r="C22" s="31">
        <f>C5</f>
        <v>1334</v>
      </c>
      <c r="D22" s="2"/>
      <c r="E22" s="60"/>
      <c r="F22" s="24"/>
      <c r="G22" s="25"/>
      <c r="H22" s="8"/>
      <c r="I22" s="8"/>
      <c r="J22" s="2"/>
      <c r="K22" s="67">
        <v>10391</v>
      </c>
      <c r="L22" s="9" t="s">
        <v>135</v>
      </c>
      <c r="M22" s="16" t="s">
        <v>152</v>
      </c>
    </row>
    <row r="23" spans="2:18" ht="15" x14ac:dyDescent="0.25">
      <c r="B23" s="2"/>
      <c r="C23" s="2"/>
      <c r="D23" s="2"/>
      <c r="E23" s="32"/>
      <c r="H23" s="7"/>
      <c r="J23" s="2"/>
      <c r="K23" s="67">
        <v>10412</v>
      </c>
      <c r="L23" s="9" t="s">
        <v>128</v>
      </c>
      <c r="M23" s="16" t="s">
        <v>152</v>
      </c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>
        <v>10432</v>
      </c>
      <c r="L24" s="9" t="s">
        <v>135</v>
      </c>
      <c r="M24" s="16" t="s">
        <v>152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>
        <v>10434</v>
      </c>
      <c r="L25" s="9" t="s">
        <v>128</v>
      </c>
      <c r="M25" s="16" t="s">
        <v>152</v>
      </c>
    </row>
    <row r="26" spans="2:18" ht="15.75" x14ac:dyDescent="0.25">
      <c r="B26" s="2"/>
      <c r="C26" s="2"/>
      <c r="D26" s="2"/>
      <c r="E26" s="60">
        <v>10375</v>
      </c>
      <c r="F26" s="24" t="s">
        <v>238</v>
      </c>
      <c r="G26" s="25" t="s">
        <v>7</v>
      </c>
      <c r="H26" s="8">
        <v>20</v>
      </c>
      <c r="I26" s="8">
        <v>20</v>
      </c>
      <c r="J26" s="2"/>
      <c r="K26" s="67">
        <v>10435</v>
      </c>
      <c r="L26" s="9" t="s">
        <v>128</v>
      </c>
      <c r="M26" s="16" t="s">
        <v>152</v>
      </c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>
        <v>10438</v>
      </c>
      <c r="L27" s="9" t="s">
        <v>135</v>
      </c>
      <c r="M27" s="16" t="s">
        <v>152</v>
      </c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10105</v>
      </c>
      <c r="F35" s="24" t="s">
        <v>239</v>
      </c>
      <c r="G35" s="25" t="s">
        <v>10</v>
      </c>
      <c r="H35" s="8">
        <v>350</v>
      </c>
      <c r="I35" s="8" t="s">
        <v>93</v>
      </c>
      <c r="K35" s="67"/>
      <c r="L35" s="39"/>
      <c r="M35" s="16"/>
    </row>
    <row r="36" spans="2:18" ht="15.75" x14ac:dyDescent="0.25">
      <c r="E36" s="63">
        <v>9716</v>
      </c>
      <c r="F36" s="24" t="s">
        <v>240</v>
      </c>
      <c r="G36" s="25" t="s">
        <v>10</v>
      </c>
      <c r="H36" s="8">
        <v>120</v>
      </c>
      <c r="I36" s="8" t="s">
        <v>45</v>
      </c>
      <c r="K36" s="67"/>
      <c r="L36" s="39"/>
      <c r="M36" s="16"/>
    </row>
    <row r="37" spans="2:18" ht="15.75" x14ac:dyDescent="0.25">
      <c r="E37" s="60">
        <v>9960</v>
      </c>
      <c r="F37" s="24" t="s">
        <v>241</v>
      </c>
      <c r="G37" s="25" t="s">
        <v>10</v>
      </c>
      <c r="H37" s="8">
        <v>100</v>
      </c>
      <c r="I37" s="8" t="s">
        <v>83</v>
      </c>
      <c r="K37" s="67"/>
      <c r="L37" s="39"/>
      <c r="M37" s="16"/>
    </row>
    <row r="38" spans="2:18" ht="15.75" x14ac:dyDescent="0.25">
      <c r="E38" s="60">
        <v>9642</v>
      </c>
      <c r="F38" s="24" t="s">
        <v>242</v>
      </c>
      <c r="G38" s="25" t="s">
        <v>6</v>
      </c>
      <c r="H38" s="8">
        <v>75</v>
      </c>
      <c r="I38" s="8" t="s">
        <v>81</v>
      </c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6</v>
      </c>
    </row>
    <row r="41" spans="2:18" ht="15.75" x14ac:dyDescent="0.25">
      <c r="E41" s="64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zoomScale="6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'23'!B1+1</f>
        <v>45681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4198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4314</v>
      </c>
      <c r="D6" s="2"/>
      <c r="E6" s="60">
        <v>10439</v>
      </c>
      <c r="F6" s="24" t="s">
        <v>243</v>
      </c>
      <c r="G6" s="25" t="s">
        <v>8</v>
      </c>
      <c r="H6" s="8">
        <v>799</v>
      </c>
      <c r="I6" s="8">
        <v>100</v>
      </c>
      <c r="J6" s="2"/>
      <c r="K6" s="24" t="s">
        <v>248</v>
      </c>
      <c r="L6" s="9" t="s">
        <v>249</v>
      </c>
      <c r="M6" s="16">
        <v>18</v>
      </c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18</v>
      </c>
      <c r="D7" s="2"/>
      <c r="E7" s="60">
        <v>10440</v>
      </c>
      <c r="F7" s="24" t="s">
        <v>244</v>
      </c>
      <c r="G7" s="25" t="s">
        <v>8</v>
      </c>
      <c r="H7" s="8">
        <v>899</v>
      </c>
      <c r="I7" s="8">
        <v>899</v>
      </c>
      <c r="J7" s="2"/>
      <c r="K7" s="24"/>
      <c r="L7" s="9"/>
      <c r="M7" s="16"/>
      <c r="R7" s="1">
        <f>IF(vend24[[#This Row],[Nº Venda]]&gt;1,1,0)</f>
        <v>1</v>
      </c>
    </row>
    <row r="8" spans="2:18" ht="15.75" x14ac:dyDescent="0.25">
      <c r="B8" s="27" t="s">
        <v>21</v>
      </c>
      <c r="C8" s="28">
        <f>SUM(C6:C7)</f>
        <v>4332</v>
      </c>
      <c r="D8" s="2"/>
      <c r="E8" s="60">
        <v>10441</v>
      </c>
      <c r="F8" s="24" t="s">
        <v>245</v>
      </c>
      <c r="G8" s="25" t="s">
        <v>50</v>
      </c>
      <c r="H8" s="8">
        <v>150</v>
      </c>
      <c r="I8" s="8">
        <v>0</v>
      </c>
      <c r="J8" s="2"/>
      <c r="K8" s="24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60">
        <v>10442</v>
      </c>
      <c r="F9" s="24" t="s">
        <v>246</v>
      </c>
      <c r="G9" s="25" t="s">
        <v>8</v>
      </c>
      <c r="H9" s="8">
        <v>700</v>
      </c>
      <c r="I9" s="8">
        <v>70</v>
      </c>
      <c r="J9" s="2"/>
      <c r="K9" s="24"/>
      <c r="L9" s="9"/>
      <c r="M9" s="16"/>
      <c r="R9" s="1">
        <f>IF(vend24[[#This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10443</v>
      </c>
      <c r="F10" s="24" t="s">
        <v>246</v>
      </c>
      <c r="G10" s="25" t="s">
        <v>8</v>
      </c>
      <c r="H10" s="8">
        <v>700</v>
      </c>
      <c r="I10" s="8">
        <v>700</v>
      </c>
      <c r="J10" s="2"/>
      <c r="K10" s="24"/>
      <c r="L10" s="9"/>
      <c r="M10" s="16"/>
      <c r="R10" s="1">
        <f>IF(vend24[[#This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80</v>
      </c>
      <c r="D11" s="2"/>
      <c r="E11" s="60">
        <v>10444</v>
      </c>
      <c r="F11" s="24" t="s">
        <v>246</v>
      </c>
      <c r="G11" s="25" t="s">
        <v>8</v>
      </c>
      <c r="H11" s="8">
        <v>250</v>
      </c>
      <c r="I11" s="8">
        <v>70</v>
      </c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0">
        <v>10445</v>
      </c>
      <c r="F12" s="24" t="s">
        <v>246</v>
      </c>
      <c r="G12" s="25" t="s">
        <v>8</v>
      </c>
      <c r="H12" s="8">
        <v>550</v>
      </c>
      <c r="I12" s="8">
        <v>105</v>
      </c>
      <c r="J12" s="2"/>
      <c r="R12" s="1">
        <f>IF(vend24[[#This Row],[Nº Venda]]&gt;1,1,0)</f>
        <v>1</v>
      </c>
    </row>
    <row r="13" spans="2:18" ht="15.75" x14ac:dyDescent="0.25">
      <c r="B13" s="29" t="s">
        <v>8</v>
      </c>
      <c r="C13" s="30">
        <f t="shared" si="0"/>
        <v>4234</v>
      </c>
      <c r="D13" s="2"/>
      <c r="E13" s="60">
        <v>10446</v>
      </c>
      <c r="F13" s="24" t="s">
        <v>246</v>
      </c>
      <c r="G13" s="25" t="s">
        <v>8</v>
      </c>
      <c r="H13" s="8">
        <v>300</v>
      </c>
      <c r="I13" s="8">
        <v>300</v>
      </c>
      <c r="J13" s="2"/>
      <c r="K13" s="108" t="s">
        <v>22</v>
      </c>
      <c r="L13" s="109"/>
      <c r="M13" s="110"/>
      <c r="R13" s="1">
        <f>IF(vend24[[#This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>
        <v>10205</v>
      </c>
      <c r="L15" s="9" t="s">
        <v>129</v>
      </c>
      <c r="M15" s="16" t="s">
        <v>152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4314</v>
      </c>
      <c r="D16" s="2"/>
      <c r="E16" s="60"/>
      <c r="F16" s="24"/>
      <c r="G16" s="25"/>
      <c r="H16" s="8"/>
      <c r="I16" s="8"/>
      <c r="J16" s="2"/>
      <c r="K16" s="67">
        <v>10360</v>
      </c>
      <c r="L16" s="9" t="s">
        <v>135</v>
      </c>
      <c r="M16" s="16" t="s">
        <v>154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10365</v>
      </c>
      <c r="L17" s="9" t="s">
        <v>128</v>
      </c>
      <c r="M17" s="16" t="s">
        <v>152</v>
      </c>
      <c r="R17" s="1">
        <f>IF(vend24[[#This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10368</v>
      </c>
      <c r="L18" s="9" t="s">
        <v>128</v>
      </c>
      <c r="M18" s="16" t="s">
        <v>152</v>
      </c>
      <c r="R18" s="1">
        <f>IF(vend24[[#This Row],[Nº Venda]]&gt;1,1,0)</f>
        <v>0</v>
      </c>
    </row>
    <row r="19" spans="2:18" ht="15.75" x14ac:dyDescent="0.25">
      <c r="B19" s="29">
        <f>COUNT(entr_carn24[OS])</f>
        <v>1</v>
      </c>
      <c r="C19" s="30">
        <f>SUM(entr_carn24[Valor Total])</f>
        <v>420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420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4198</v>
      </c>
      <c r="D22" s="2"/>
      <c r="E22" s="61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10360</v>
      </c>
      <c r="F26" s="24" t="s">
        <v>155</v>
      </c>
      <c r="G26" s="25" t="s">
        <v>6</v>
      </c>
      <c r="H26" s="8">
        <v>0</v>
      </c>
      <c r="I26" s="8">
        <v>80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10365</v>
      </c>
      <c r="F27" s="24" t="s">
        <v>247</v>
      </c>
      <c r="G27" s="25" t="s">
        <v>8</v>
      </c>
      <c r="H27" s="8">
        <v>0</v>
      </c>
      <c r="I27" s="8">
        <v>800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10366</v>
      </c>
      <c r="F28" s="24" t="s">
        <v>247</v>
      </c>
      <c r="G28" s="25" t="s">
        <v>8</v>
      </c>
      <c r="H28" s="8">
        <v>0</v>
      </c>
      <c r="I28" s="8">
        <v>290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>
        <v>10368</v>
      </c>
      <c r="F29" s="24" t="s">
        <v>247</v>
      </c>
      <c r="G29" s="25" t="s">
        <v>8</v>
      </c>
      <c r="H29" s="8">
        <v>0</v>
      </c>
      <c r="I29" s="8">
        <v>900</v>
      </c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>
        <v>10360</v>
      </c>
      <c r="L35" s="39">
        <v>5</v>
      </c>
      <c r="M35" s="16">
        <v>420</v>
      </c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8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view="pageBreakPreview" topLeftCell="B1" zoomScale="6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'24'!B1+1</f>
        <v>45682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5018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1820</v>
      </c>
      <c r="D6" s="2"/>
      <c r="E6" s="60">
        <v>10447</v>
      </c>
      <c r="F6" s="24" t="s">
        <v>250</v>
      </c>
      <c r="G6" s="25" t="s">
        <v>8</v>
      </c>
      <c r="H6" s="8">
        <v>1650</v>
      </c>
      <c r="I6" s="8">
        <v>150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10448</v>
      </c>
      <c r="F7" s="24" t="s">
        <v>251</v>
      </c>
      <c r="G7" s="25" t="s">
        <v>8</v>
      </c>
      <c r="H7" s="8">
        <v>550</v>
      </c>
      <c r="I7" s="8">
        <v>550</v>
      </c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21</v>
      </c>
      <c r="C8" s="28">
        <f ca="1">SUM(C6:C7)</f>
        <v>1820</v>
      </c>
      <c r="D8" s="2"/>
      <c r="E8" s="60">
        <v>10449</v>
      </c>
      <c r="F8" s="24" t="s">
        <v>252</v>
      </c>
      <c r="G8" s="25" t="s">
        <v>10</v>
      </c>
      <c r="H8" s="8">
        <v>1299</v>
      </c>
      <c r="I8" s="8">
        <v>200</v>
      </c>
      <c r="J8" s="2"/>
      <c r="K8" s="24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60">
        <v>10450</v>
      </c>
      <c r="F9" s="24" t="s">
        <v>253</v>
      </c>
      <c r="G9" s="25" t="s">
        <v>7</v>
      </c>
      <c r="H9" s="8">
        <v>80</v>
      </c>
      <c r="I9" s="8">
        <v>80</v>
      </c>
      <c r="J9" s="2"/>
      <c r="K9" s="24"/>
      <c r="L9" s="9"/>
      <c r="M9" s="16"/>
      <c r="R9" s="1">
        <f>IF(vend25[[#This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10451</v>
      </c>
      <c r="F10" s="24" t="s">
        <v>254</v>
      </c>
      <c r="G10" s="25" t="s">
        <v>50</v>
      </c>
      <c r="H10" s="8">
        <v>39</v>
      </c>
      <c r="I10" s="8">
        <v>0</v>
      </c>
      <c r="J10" s="2"/>
      <c r="K10" s="24"/>
      <c r="L10" s="9"/>
      <c r="M10" s="16"/>
      <c r="R10" s="1">
        <f>IF(vend25[[#This Row],[Nº Venda]]&gt;1,1,0)</f>
        <v>1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60">
        <v>10452</v>
      </c>
      <c r="F11" s="24" t="s">
        <v>255</v>
      </c>
      <c r="G11" s="25" t="s">
        <v>10</v>
      </c>
      <c r="H11" s="8">
        <v>699</v>
      </c>
      <c r="I11" s="8">
        <v>100</v>
      </c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1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820</v>
      </c>
      <c r="D12" s="2"/>
      <c r="E12" s="60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700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300</v>
      </c>
      <c r="D15" s="2"/>
      <c r="E15" s="60"/>
      <c r="F15" s="24"/>
      <c r="G15" s="25"/>
      <c r="H15" s="8"/>
      <c r="I15" s="8"/>
      <c r="J15" s="2"/>
      <c r="K15" s="67">
        <v>10359</v>
      </c>
      <c r="L15" s="9" t="s">
        <v>135</v>
      </c>
      <c r="M15" s="16" t="s">
        <v>152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1820</v>
      </c>
      <c r="D16" s="2"/>
      <c r="E16" s="60"/>
      <c r="F16" s="24"/>
      <c r="G16" s="25"/>
      <c r="H16" s="8"/>
      <c r="I16" s="8"/>
      <c r="J16" s="2"/>
      <c r="K16" s="67">
        <v>10377</v>
      </c>
      <c r="L16" s="9" t="s">
        <v>128</v>
      </c>
      <c r="M16" s="16" t="s">
        <v>152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10384</v>
      </c>
      <c r="L17" s="9" t="s">
        <v>135</v>
      </c>
      <c r="M17" s="16" t="s">
        <v>152</v>
      </c>
      <c r="R17" s="1">
        <f>IF(vend25[[#This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10421</v>
      </c>
      <c r="L18" s="9" t="s">
        <v>135</v>
      </c>
      <c r="M18" s="16" t="s">
        <v>152</v>
      </c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60"/>
      <c r="F19" s="24"/>
      <c r="G19" s="25"/>
      <c r="H19" s="8"/>
      <c r="I19" s="8"/>
      <c r="J19" s="2"/>
      <c r="K19" s="67">
        <v>10422</v>
      </c>
      <c r="L19" s="9" t="s">
        <v>135</v>
      </c>
      <c r="M19" s="16" t="s">
        <v>152</v>
      </c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5018</v>
      </c>
      <c r="D22" s="2"/>
      <c r="E22" s="61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10421</v>
      </c>
      <c r="F26" s="24" t="s">
        <v>213</v>
      </c>
      <c r="G26" s="25" t="s">
        <v>7</v>
      </c>
      <c r="H26" s="8">
        <v>590</v>
      </c>
      <c r="I26" s="8">
        <v>590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10422</v>
      </c>
      <c r="F27" s="24" t="s">
        <v>213</v>
      </c>
      <c r="G27" s="25" t="s">
        <v>7</v>
      </c>
      <c r="H27" s="8">
        <v>150</v>
      </c>
      <c r="I27" s="8">
        <v>150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54"/>
      <c r="I35" s="8"/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6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25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'25'!B1+1</f>
        <v>45683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0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0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0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0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0"/>
      <c r="F16" s="24"/>
      <c r="G16" s="25"/>
      <c r="H16" s="8"/>
      <c r="I16" s="8"/>
      <c r="J16" s="2"/>
      <c r="K16" s="67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/>
      <c r="L17" s="9"/>
      <c r="M17" s="16"/>
      <c r="R17" s="1">
        <f>IF(vend26[[#This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/>
      <c r="F26" s="24"/>
      <c r="G26" s="25"/>
      <c r="H26" s="8"/>
      <c r="I26" s="8"/>
      <c r="J26" s="2"/>
      <c r="K26" s="67"/>
      <c r="L26" s="9"/>
      <c r="M26" s="16"/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view="pageBreakPreview" zoomScale="60" zoomScaleNormal="9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3.710937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'26'!B1+1</f>
        <v>45684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1967.9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1763.4</v>
      </c>
      <c r="D6" s="2"/>
      <c r="E6" s="60">
        <v>10453</v>
      </c>
      <c r="F6" s="24" t="s">
        <v>343</v>
      </c>
      <c r="G6" s="25" t="s">
        <v>6</v>
      </c>
      <c r="H6" s="8">
        <v>550</v>
      </c>
      <c r="I6" s="8">
        <v>2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10454</v>
      </c>
      <c r="F7" s="24" t="s">
        <v>342</v>
      </c>
      <c r="G7" s="25" t="s">
        <v>6</v>
      </c>
      <c r="H7" s="8">
        <v>359</v>
      </c>
      <c r="I7" s="8">
        <v>1</v>
      </c>
      <c r="J7" s="2"/>
      <c r="K7" s="24"/>
      <c r="L7" s="9"/>
      <c r="M7" s="16"/>
      <c r="R7" s="1">
        <f>IF(vend27[[#This Row],[Nº Venda]]&gt;1,1,0)</f>
        <v>1</v>
      </c>
    </row>
    <row r="8" spans="2:18" ht="15.75" x14ac:dyDescent="0.25">
      <c r="B8" s="27" t="s">
        <v>21</v>
      </c>
      <c r="C8" s="28">
        <f>SUM(C6:C7)</f>
        <v>1763.4</v>
      </c>
      <c r="D8" s="2"/>
      <c r="E8" s="60">
        <v>10455</v>
      </c>
      <c r="F8" s="24" t="s">
        <v>341</v>
      </c>
      <c r="G8" s="25" t="s">
        <v>7</v>
      </c>
      <c r="H8" s="8">
        <v>599</v>
      </c>
      <c r="I8" s="8">
        <v>299.5</v>
      </c>
      <c r="J8" s="2"/>
      <c r="K8" s="24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60">
        <v>10456</v>
      </c>
      <c r="F9" s="24" t="s">
        <v>340</v>
      </c>
      <c r="G9" s="25" t="s">
        <v>6</v>
      </c>
      <c r="H9" s="8">
        <v>260</v>
      </c>
      <c r="I9" s="8">
        <v>80</v>
      </c>
      <c r="J9" s="2"/>
      <c r="K9" s="24"/>
      <c r="L9" s="9"/>
      <c r="M9" s="16"/>
      <c r="R9" s="1">
        <f>IF(vend27[[#This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10457</v>
      </c>
      <c r="F10" s="24" t="s">
        <v>339</v>
      </c>
      <c r="G10" s="25" t="s">
        <v>7</v>
      </c>
      <c r="H10" s="8">
        <v>49.9</v>
      </c>
      <c r="I10" s="8">
        <v>49.9</v>
      </c>
      <c r="J10" s="2"/>
      <c r="K10" s="24"/>
      <c r="L10" s="9"/>
      <c r="M10" s="16"/>
      <c r="R10" s="1">
        <f>IF(vend27[[#This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642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499.4</v>
      </c>
      <c r="D12" s="2"/>
      <c r="E12" s="60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622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60"/>
      <c r="F15" s="24"/>
      <c r="G15" s="25"/>
      <c r="H15" s="8"/>
      <c r="I15" s="8"/>
      <c r="J15" s="2"/>
      <c r="K15" s="67">
        <v>10217</v>
      </c>
      <c r="L15" s="9" t="s">
        <v>129</v>
      </c>
      <c r="M15" s="16" t="s">
        <v>152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1763.4</v>
      </c>
      <c r="D16" s="2"/>
      <c r="E16" s="60"/>
      <c r="F16" s="24"/>
      <c r="G16" s="25"/>
      <c r="H16" s="8"/>
      <c r="I16" s="8"/>
      <c r="J16" s="2"/>
      <c r="K16" s="67">
        <v>10218</v>
      </c>
      <c r="L16" s="9" t="s">
        <v>129</v>
      </c>
      <c r="M16" s="16" t="s">
        <v>152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10310</v>
      </c>
      <c r="L17" s="9" t="s">
        <v>128</v>
      </c>
      <c r="M17" s="16" t="s">
        <v>152</v>
      </c>
      <c r="R17" s="1">
        <f>IF(vend27[[#This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10356</v>
      </c>
      <c r="L18" s="9" t="s">
        <v>135</v>
      </c>
      <c r="M18" s="16" t="s">
        <v>152</v>
      </c>
      <c r="R18" s="1">
        <f>IF(vend27[[#This Row],[Nº Venda]]&gt;1,1,0)</f>
        <v>0</v>
      </c>
    </row>
    <row r="19" spans="2:18" ht="15.75" x14ac:dyDescent="0.25">
      <c r="B19" s="29">
        <f>COUNT(entr_carn27[OS])</f>
        <v>2</v>
      </c>
      <c r="C19" s="30">
        <f>SUM(entr_carn27[Valor Total])</f>
        <v>868</v>
      </c>
      <c r="D19" s="2"/>
      <c r="E19" s="60"/>
      <c r="F19" s="24"/>
      <c r="G19" s="25"/>
      <c r="H19" s="8"/>
      <c r="I19" s="8"/>
      <c r="J19" s="2"/>
      <c r="K19" s="67">
        <v>10385</v>
      </c>
      <c r="L19" s="9" t="s">
        <v>128</v>
      </c>
      <c r="M19" s="16" t="s">
        <v>154</v>
      </c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868</v>
      </c>
      <c r="D20" s="2"/>
      <c r="E20" s="60"/>
      <c r="F20" s="25"/>
      <c r="G20" s="25"/>
      <c r="H20" s="8"/>
      <c r="I20" s="8"/>
      <c r="J20" s="2"/>
      <c r="K20" s="67">
        <v>10386</v>
      </c>
      <c r="L20" s="9" t="s">
        <v>128</v>
      </c>
      <c r="M20" s="16" t="s">
        <v>154</v>
      </c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10392</v>
      </c>
      <c r="L21" s="9" t="s">
        <v>128</v>
      </c>
      <c r="M21" s="16" t="s">
        <v>152</v>
      </c>
    </row>
    <row r="22" spans="2:18" ht="15.75" x14ac:dyDescent="0.25">
      <c r="B22" s="27" t="s">
        <v>26</v>
      </c>
      <c r="C22" s="31">
        <f>C5</f>
        <v>1967.9</v>
      </c>
      <c r="D22" s="2"/>
      <c r="E22" s="61"/>
      <c r="F22" s="24"/>
      <c r="G22" s="25"/>
      <c r="H22" s="8"/>
      <c r="I22" s="8"/>
      <c r="J22" s="2"/>
      <c r="K22" s="67">
        <v>10399</v>
      </c>
      <c r="L22" s="9" t="s">
        <v>135</v>
      </c>
      <c r="M22" s="16" t="s">
        <v>152</v>
      </c>
    </row>
    <row r="23" spans="2:18" ht="15" x14ac:dyDescent="0.25">
      <c r="B23" s="2"/>
      <c r="C23" s="2"/>
      <c r="D23" s="2"/>
      <c r="H23" s="7"/>
      <c r="J23" s="2"/>
      <c r="K23" s="67">
        <v>10418</v>
      </c>
      <c r="L23" s="9" t="s">
        <v>135</v>
      </c>
      <c r="M23" s="16" t="s">
        <v>152</v>
      </c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>
        <v>10440</v>
      </c>
      <c r="L24" s="9" t="s">
        <v>135</v>
      </c>
      <c r="M24" s="16" t="s">
        <v>152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10310</v>
      </c>
      <c r="F26" s="24" t="s">
        <v>273</v>
      </c>
      <c r="G26" s="25" t="s">
        <v>6</v>
      </c>
      <c r="H26" s="8">
        <v>0</v>
      </c>
      <c r="I26" s="8">
        <v>459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10392</v>
      </c>
      <c r="F27" s="24" t="s">
        <v>345</v>
      </c>
      <c r="G27" s="25" t="s">
        <v>8</v>
      </c>
      <c r="H27" s="8">
        <v>0</v>
      </c>
      <c r="I27" s="8">
        <v>622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>
        <v>10398</v>
      </c>
      <c r="F28" s="24" t="s">
        <v>344</v>
      </c>
      <c r="G28" s="25" t="s">
        <v>6</v>
      </c>
      <c r="H28" s="8">
        <v>0</v>
      </c>
      <c r="I28" s="8">
        <v>100</v>
      </c>
      <c r="J28" s="2"/>
      <c r="K28" s="67"/>
      <c r="L28" s="9"/>
      <c r="M28" s="16"/>
    </row>
    <row r="29" spans="2:18" ht="15.75" x14ac:dyDescent="0.25">
      <c r="B29" s="2"/>
      <c r="C29" s="2"/>
      <c r="D29" s="2"/>
      <c r="E29" s="60">
        <v>10440</v>
      </c>
      <c r="F29" s="24" t="s">
        <v>346</v>
      </c>
      <c r="G29" s="25" t="s">
        <v>7</v>
      </c>
      <c r="H29" s="8">
        <v>150</v>
      </c>
      <c r="I29" s="8">
        <v>150</v>
      </c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8"/>
      <c r="L31" s="103"/>
      <c r="M31" s="38"/>
    </row>
    <row r="32" spans="2:18" ht="15.75" x14ac:dyDescent="0.25">
      <c r="B32" s="2"/>
      <c r="C32" s="2"/>
      <c r="D32" s="2"/>
      <c r="E32" s="100"/>
      <c r="F32" s="26"/>
      <c r="G32" s="101"/>
      <c r="H32" s="102"/>
      <c r="I32" s="102"/>
      <c r="J32" s="2"/>
      <c r="K32" s="104"/>
      <c r="L32" s="105"/>
      <c r="M32" s="105"/>
    </row>
    <row r="33" spans="2:18" ht="15" x14ac:dyDescent="0.25">
      <c r="B33" s="2"/>
      <c r="C33" s="2"/>
      <c r="E33" s="115" t="s">
        <v>28</v>
      </c>
      <c r="F33" s="115"/>
      <c r="G33" s="115"/>
      <c r="H33" s="115"/>
      <c r="I33" s="115"/>
      <c r="K33" s="116" t="s">
        <v>12</v>
      </c>
      <c r="L33" s="117"/>
      <c r="M33" s="11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/>
      <c r="F35" s="24"/>
      <c r="G35" s="25"/>
      <c r="H35" s="8"/>
      <c r="I35" s="8"/>
      <c r="K35" s="67">
        <v>10385</v>
      </c>
      <c r="L35" s="39">
        <v>7</v>
      </c>
      <c r="M35" s="16">
        <v>299</v>
      </c>
    </row>
    <row r="36" spans="2:18" ht="15.75" x14ac:dyDescent="0.25">
      <c r="E36" s="63"/>
      <c r="F36" s="24"/>
      <c r="G36" s="25"/>
      <c r="H36" s="8"/>
      <c r="I36" s="8"/>
      <c r="K36" s="67">
        <v>10386</v>
      </c>
      <c r="L36" s="39">
        <v>7</v>
      </c>
      <c r="M36" s="16">
        <v>569</v>
      </c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5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2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G26:G32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L15:L32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E26:E32 E35:E41 K35:K41 K15:K32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L24" sqref="L24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'27'!B1+1</f>
        <v>45685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918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1918</v>
      </c>
      <c r="D6" s="2"/>
      <c r="E6" s="60">
        <v>10458</v>
      </c>
      <c r="F6" s="24" t="s">
        <v>256</v>
      </c>
      <c r="G6" s="25" t="s">
        <v>8</v>
      </c>
      <c r="H6" s="8">
        <v>799</v>
      </c>
      <c r="I6" s="8">
        <v>799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10459</v>
      </c>
      <c r="F7" s="24" t="s">
        <v>257</v>
      </c>
      <c r="G7" s="25" t="s">
        <v>40</v>
      </c>
      <c r="H7" s="8"/>
      <c r="I7" s="8"/>
      <c r="J7" s="2"/>
      <c r="K7" s="24"/>
      <c r="L7" s="9"/>
      <c r="M7" s="16"/>
      <c r="R7" s="1">
        <f>IF(vend28[[#This Row],[Nº Venda]]&gt;1,1,0)</f>
        <v>1</v>
      </c>
    </row>
    <row r="8" spans="2:18" ht="15.75" x14ac:dyDescent="0.25">
      <c r="B8" s="27" t="s">
        <v>21</v>
      </c>
      <c r="C8" s="28">
        <f>SUM(C6:C7)</f>
        <v>1918</v>
      </c>
      <c r="D8" s="2"/>
      <c r="E8" s="60">
        <v>10460</v>
      </c>
      <c r="F8" s="24" t="s">
        <v>258</v>
      </c>
      <c r="G8" s="25" t="s">
        <v>8</v>
      </c>
      <c r="H8" s="8">
        <v>49</v>
      </c>
      <c r="I8" s="8">
        <v>49</v>
      </c>
      <c r="J8" s="2"/>
      <c r="K8" s="24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1000</v>
      </c>
      <c r="D12" s="2"/>
      <c r="E12" s="60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848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>
        <v>10411</v>
      </c>
      <c r="L15" s="9" t="s">
        <v>135</v>
      </c>
      <c r="M15" s="16" t="s">
        <v>152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1918</v>
      </c>
      <c r="D16" s="2"/>
      <c r="E16" s="60"/>
      <c r="F16" s="24"/>
      <c r="G16" s="25"/>
      <c r="H16" s="8"/>
      <c r="I16" s="8"/>
      <c r="J16" s="2"/>
      <c r="K16" s="67">
        <v>10428</v>
      </c>
      <c r="L16" s="9" t="s">
        <v>135</v>
      </c>
      <c r="M16" s="16" t="s">
        <v>152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10457</v>
      </c>
      <c r="L17" s="9" t="s">
        <v>135</v>
      </c>
      <c r="M17" s="16" t="s">
        <v>152</v>
      </c>
      <c r="R17" s="1">
        <f>IF(vend28[[#This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10460</v>
      </c>
      <c r="L18" s="9" t="s">
        <v>135</v>
      </c>
      <c r="M18" s="16" t="s">
        <v>152</v>
      </c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</row>
    <row r="22" spans="2:18" ht="15.75" x14ac:dyDescent="0.25">
      <c r="B22" s="27" t="s">
        <v>26</v>
      </c>
      <c r="C22" s="31">
        <f>C5</f>
        <v>918</v>
      </c>
      <c r="D22" s="2"/>
      <c r="E22" s="60"/>
      <c r="F22" s="24"/>
      <c r="G22" s="25"/>
      <c r="H22" s="8"/>
      <c r="I22" s="8"/>
      <c r="J22" s="2"/>
      <c r="K22" s="6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67"/>
      <c r="L23" s="9"/>
      <c r="M23" s="16"/>
    </row>
    <row r="24" spans="2:18" ht="15" x14ac:dyDescent="0.25">
      <c r="B24" s="2"/>
      <c r="C24" s="2"/>
      <c r="D24" s="2"/>
      <c r="E24" s="107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10411</v>
      </c>
      <c r="F26" s="24" t="s">
        <v>259</v>
      </c>
      <c r="G26" s="25" t="s">
        <v>7</v>
      </c>
      <c r="H26" s="8"/>
      <c r="I26" s="8">
        <v>700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10428</v>
      </c>
      <c r="F27" s="24" t="s">
        <v>179</v>
      </c>
      <c r="G27" s="25" t="s">
        <v>6</v>
      </c>
      <c r="H27" s="8">
        <v>70</v>
      </c>
      <c r="I27" s="8">
        <v>70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7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9933</v>
      </c>
      <c r="F35" s="24" t="s">
        <v>260</v>
      </c>
      <c r="G35" s="25" t="s">
        <v>7</v>
      </c>
      <c r="H35" s="8">
        <v>300</v>
      </c>
      <c r="I35" s="8" t="s">
        <v>69</v>
      </c>
      <c r="K35" s="67"/>
      <c r="L35" s="39"/>
      <c r="M35" s="16"/>
    </row>
    <row r="36" spans="2:18" ht="15.75" x14ac:dyDescent="0.25">
      <c r="E36" s="63"/>
      <c r="F36" s="24"/>
      <c r="G36" s="25"/>
      <c r="H36" s="8"/>
      <c r="I36" s="8"/>
      <c r="K36" s="67"/>
      <c r="L36" s="39"/>
      <c r="M36" s="16"/>
    </row>
    <row r="37" spans="2:18" ht="15.75" x14ac:dyDescent="0.25">
      <c r="E37" s="60"/>
      <c r="F37" s="24"/>
      <c r="G37" s="25"/>
      <c r="H37" s="8"/>
      <c r="I37" s="8"/>
      <c r="K37" s="67"/>
      <c r="L37" s="39"/>
      <c r="M37" s="16"/>
    </row>
    <row r="38" spans="2:18" ht="15.75" x14ac:dyDescent="0.25">
      <c r="E38" s="60"/>
      <c r="F38" s="24"/>
      <c r="G38" s="25"/>
      <c r="H38" s="8"/>
      <c r="I38" s="8"/>
      <c r="K38" s="67"/>
      <c r="L38" s="39"/>
      <c r="M38" s="16"/>
    </row>
    <row r="39" spans="2:18" ht="15.75" x14ac:dyDescent="0.25">
      <c r="E39" s="60"/>
      <c r="F39" s="37"/>
      <c r="G39" s="25"/>
      <c r="H39" s="8"/>
      <c r="I39" s="8"/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3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view="pageBreakPreview" zoomScale="6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'28'!B1+1</f>
        <v>45686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789.79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592.14</v>
      </c>
      <c r="D6" s="2"/>
      <c r="E6" s="60">
        <v>10461</v>
      </c>
      <c r="F6" s="24" t="s">
        <v>261</v>
      </c>
      <c r="G6" s="25" t="s">
        <v>7</v>
      </c>
      <c r="H6" s="8">
        <v>460</v>
      </c>
      <c r="I6" s="8">
        <v>200</v>
      </c>
      <c r="J6" s="2"/>
      <c r="K6" s="24"/>
      <c r="L6" s="9"/>
      <c r="M6" s="16"/>
      <c r="R6" s="1">
        <f>IF(vend29[[#This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10462</v>
      </c>
      <c r="F7" s="24" t="s">
        <v>262</v>
      </c>
      <c r="G7" s="25" t="s">
        <v>7</v>
      </c>
      <c r="H7" s="8">
        <v>39.99</v>
      </c>
      <c r="I7" s="8">
        <v>39.99</v>
      </c>
      <c r="J7" s="2"/>
      <c r="K7" s="24"/>
      <c r="L7" s="9"/>
      <c r="M7" s="16"/>
      <c r="R7" s="1">
        <f>IF(vend29[[#This Row],[Nº Venda]]&gt;1,1,0)</f>
        <v>1</v>
      </c>
    </row>
    <row r="8" spans="2:18" ht="15.75" x14ac:dyDescent="0.25">
      <c r="B8" s="27" t="s">
        <v>21</v>
      </c>
      <c r="C8" s="28">
        <f>SUM(C6:C7)</f>
        <v>592.14</v>
      </c>
      <c r="D8" s="2"/>
      <c r="E8" s="60">
        <v>10463</v>
      </c>
      <c r="F8" s="24" t="s">
        <v>263</v>
      </c>
      <c r="G8" s="25" t="s">
        <v>8</v>
      </c>
      <c r="H8" s="8">
        <v>89.9</v>
      </c>
      <c r="I8" s="8">
        <v>89.9</v>
      </c>
      <c r="J8" s="2"/>
      <c r="K8" s="24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60">
        <v>10464</v>
      </c>
      <c r="F9" s="24" t="s">
        <v>264</v>
      </c>
      <c r="G9" s="25" t="s">
        <v>6</v>
      </c>
      <c r="H9" s="52">
        <v>199.9</v>
      </c>
      <c r="I9" s="8">
        <v>1</v>
      </c>
      <c r="J9" s="2"/>
      <c r="K9" s="24"/>
      <c r="L9" s="9"/>
      <c r="M9" s="16"/>
      <c r="R9" s="1">
        <f>IF(vend29[[#This Row],[Nº Venda]]&gt;1,1,0)</f>
        <v>1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201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301.24</v>
      </c>
      <c r="D12" s="2"/>
      <c r="E12" s="60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89.9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0"/>
      <c r="F15" s="24"/>
      <c r="G15" s="25"/>
      <c r="H15" s="8"/>
      <c r="I15" s="8"/>
      <c r="J15" s="2"/>
      <c r="K15" s="67">
        <v>10070</v>
      </c>
      <c r="L15" s="9" t="s">
        <v>135</v>
      </c>
      <c r="M15" s="16" t="s">
        <v>152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592.14</v>
      </c>
      <c r="D16" s="2"/>
      <c r="E16" s="60"/>
      <c r="F16" s="24"/>
      <c r="G16" s="25"/>
      <c r="H16" s="8"/>
      <c r="I16" s="8"/>
      <c r="J16" s="2"/>
      <c r="K16" s="67">
        <v>10190</v>
      </c>
      <c r="L16" s="9" t="s">
        <v>129</v>
      </c>
      <c r="M16" s="16" t="s">
        <v>152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10313</v>
      </c>
      <c r="L17" s="9" t="s">
        <v>135</v>
      </c>
      <c r="M17" s="16" t="s">
        <v>152</v>
      </c>
      <c r="R17" s="1">
        <f>IF(vend29[[#This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10332</v>
      </c>
      <c r="L18" s="9" t="s">
        <v>128</v>
      </c>
      <c r="M18" s="16" t="s">
        <v>152</v>
      </c>
      <c r="R18" s="1">
        <f>IF(vend29[[#This Row],[Nº Venda]]&gt;1,1,0)</f>
        <v>0</v>
      </c>
    </row>
    <row r="19" spans="2:18" ht="15.75" x14ac:dyDescent="0.25">
      <c r="B19" s="29">
        <f>COUNT(entr_carn29[OS])</f>
        <v>1</v>
      </c>
      <c r="C19" s="30">
        <f>SUM(entr_carn29[Valor Total])</f>
        <v>349</v>
      </c>
      <c r="D19" s="2"/>
      <c r="E19" s="60"/>
      <c r="F19" s="24"/>
      <c r="G19" s="25"/>
      <c r="H19" s="8"/>
      <c r="I19" s="8"/>
      <c r="J19" s="2"/>
      <c r="K19" s="67">
        <v>10333</v>
      </c>
      <c r="L19" s="9" t="s">
        <v>128</v>
      </c>
      <c r="M19" s="16" t="s">
        <v>152</v>
      </c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349</v>
      </c>
      <c r="D20" s="2"/>
      <c r="E20" s="60"/>
      <c r="F20" s="25"/>
      <c r="G20" s="25"/>
      <c r="H20" s="8"/>
      <c r="I20" s="8"/>
      <c r="J20" s="2"/>
      <c r="K20" s="67">
        <v>10406</v>
      </c>
      <c r="L20" s="9" t="s">
        <v>128</v>
      </c>
      <c r="M20" s="16" t="s">
        <v>152</v>
      </c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10407</v>
      </c>
      <c r="L21" s="9" t="s">
        <v>128</v>
      </c>
      <c r="M21" s="16" t="s">
        <v>152</v>
      </c>
    </row>
    <row r="22" spans="2:18" ht="15.75" x14ac:dyDescent="0.25">
      <c r="B22" s="27" t="s">
        <v>26</v>
      </c>
      <c r="C22" s="31">
        <f>C5</f>
        <v>789.79</v>
      </c>
      <c r="D22" s="2"/>
      <c r="E22" s="61"/>
      <c r="F22" s="24"/>
      <c r="G22" s="25"/>
      <c r="H22" s="8"/>
      <c r="I22" s="8"/>
      <c r="J22" s="2"/>
      <c r="K22" s="67">
        <v>10409</v>
      </c>
      <c r="L22" s="9" t="s">
        <v>135</v>
      </c>
      <c r="M22" s="16" t="s">
        <v>152</v>
      </c>
    </row>
    <row r="23" spans="2:18" ht="15" x14ac:dyDescent="0.25">
      <c r="B23" s="2"/>
      <c r="C23" s="2"/>
      <c r="D23" s="2"/>
      <c r="H23" s="7"/>
      <c r="J23" s="2"/>
      <c r="K23" s="67">
        <v>10431</v>
      </c>
      <c r="L23" s="9" t="s">
        <v>128</v>
      </c>
      <c r="M23" s="16" t="s">
        <v>152</v>
      </c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>
        <v>10433</v>
      </c>
      <c r="L24" s="9" t="s">
        <v>128</v>
      </c>
      <c r="M24" s="16" t="s">
        <v>154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>
        <v>10462</v>
      </c>
      <c r="L25" s="9" t="s">
        <v>135</v>
      </c>
      <c r="M25" s="16" t="s">
        <v>152</v>
      </c>
    </row>
    <row r="26" spans="2:18" ht="15.75" x14ac:dyDescent="0.25">
      <c r="B26" s="2"/>
      <c r="C26" s="2"/>
      <c r="D26" s="2"/>
      <c r="E26" s="60">
        <v>10190</v>
      </c>
      <c r="F26" s="24" t="s">
        <v>265</v>
      </c>
      <c r="G26" s="25" t="s">
        <v>6</v>
      </c>
      <c r="H26" s="8">
        <v>0</v>
      </c>
      <c r="I26" s="8">
        <v>200</v>
      </c>
      <c r="J26" s="2"/>
      <c r="K26" s="67">
        <v>10463</v>
      </c>
      <c r="L26" s="9" t="s">
        <v>128</v>
      </c>
      <c r="M26" s="16" t="s">
        <v>152</v>
      </c>
    </row>
    <row r="27" spans="2:18" ht="15.75" x14ac:dyDescent="0.25">
      <c r="B27" s="2"/>
      <c r="C27" s="2"/>
      <c r="D27" s="2"/>
      <c r="E27" s="60"/>
      <c r="F27" s="24"/>
      <c r="G27" s="25"/>
      <c r="H27" s="8"/>
      <c r="I27" s="8"/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9746</v>
      </c>
      <c r="F35" s="24" t="s">
        <v>153</v>
      </c>
      <c r="G35" s="25" t="s">
        <v>7</v>
      </c>
      <c r="H35" s="8">
        <v>61.25</v>
      </c>
      <c r="I35" s="8" t="s">
        <v>38</v>
      </c>
      <c r="K35" s="67">
        <v>10433</v>
      </c>
      <c r="L35" s="39">
        <v>7</v>
      </c>
      <c r="M35" s="9">
        <v>349</v>
      </c>
    </row>
    <row r="36" spans="2:18" ht="15.75" x14ac:dyDescent="0.25">
      <c r="E36" s="63"/>
      <c r="F36" s="24"/>
      <c r="G36" s="25"/>
      <c r="H36" s="8"/>
      <c r="I36" s="8"/>
      <c r="K36" s="67"/>
      <c r="L36" s="39"/>
      <c r="M36" s="9"/>
    </row>
    <row r="37" spans="2:18" ht="15.75" x14ac:dyDescent="0.25">
      <c r="E37" s="60"/>
      <c r="F37" s="24"/>
      <c r="G37" s="25"/>
      <c r="H37" s="8"/>
      <c r="I37" s="8"/>
      <c r="K37" s="67"/>
      <c r="L37" s="39"/>
      <c r="M37" s="9"/>
    </row>
    <row r="38" spans="2:18" ht="15.75" x14ac:dyDescent="0.25">
      <c r="E38" s="60"/>
      <c r="F38" s="24"/>
      <c r="G38" s="25"/>
      <c r="H38" s="8"/>
      <c r="I38" s="8"/>
      <c r="K38" s="67"/>
      <c r="L38" s="39"/>
      <c r="M38" s="9"/>
    </row>
    <row r="39" spans="2:18" ht="15.75" x14ac:dyDescent="0.25">
      <c r="E39" s="60"/>
      <c r="F39" s="37"/>
      <c r="G39" s="25"/>
      <c r="H39" s="8"/>
      <c r="I39" s="8"/>
      <c r="K39" s="67"/>
      <c r="L39" s="39"/>
      <c r="M39" s="9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103"/>
      <c r="Q40" s="1" t="s">
        <v>36</v>
      </c>
      <c r="R40" s="1">
        <f>SUM(R6:R21)</f>
        <v>4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10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zoomScale="60" zoomScaleNormal="90" workbookViewId="0">
      <selection activeCell="G22" sqref="G22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'29'!B1+1</f>
        <v>45687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6312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5199.2</v>
      </c>
      <c r="D6" s="2"/>
      <c r="E6" s="60">
        <v>10465</v>
      </c>
      <c r="F6" s="24" t="s">
        <v>349</v>
      </c>
      <c r="G6" s="25" t="s">
        <v>8</v>
      </c>
      <c r="H6" s="8">
        <v>899</v>
      </c>
      <c r="I6" s="8">
        <v>899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10466</v>
      </c>
      <c r="F7" s="24" t="s">
        <v>350</v>
      </c>
      <c r="G7" s="25" t="s">
        <v>8</v>
      </c>
      <c r="H7" s="8">
        <v>2008</v>
      </c>
      <c r="I7" s="8">
        <v>2008</v>
      </c>
      <c r="J7" s="2"/>
      <c r="K7" s="24"/>
      <c r="L7" s="9"/>
      <c r="M7" s="16"/>
      <c r="R7" s="1">
        <f>IF(vend30[[#This Row],[Nº Venda]]&gt;1,1,0)</f>
        <v>1</v>
      </c>
    </row>
    <row r="8" spans="2:18" ht="15.75" x14ac:dyDescent="0.25">
      <c r="B8" s="27" t="s">
        <v>21</v>
      </c>
      <c r="C8" s="28">
        <f>SUM(C6:C7)</f>
        <v>5199.2</v>
      </c>
      <c r="D8" s="2"/>
      <c r="E8" s="60">
        <v>10467</v>
      </c>
      <c r="F8" s="24" t="s">
        <v>350</v>
      </c>
      <c r="G8" s="25" t="s">
        <v>50</v>
      </c>
      <c r="H8" s="8">
        <v>0</v>
      </c>
      <c r="I8" s="8">
        <v>0</v>
      </c>
      <c r="J8" s="2"/>
      <c r="K8" s="24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60">
        <v>10468</v>
      </c>
      <c r="F9" s="24" t="s">
        <v>351</v>
      </c>
      <c r="G9" s="25" t="s">
        <v>6</v>
      </c>
      <c r="H9" s="8">
        <v>1495</v>
      </c>
      <c r="I9" s="8">
        <v>100</v>
      </c>
      <c r="J9" s="2"/>
      <c r="K9" s="24"/>
      <c r="L9" s="9"/>
      <c r="M9" s="16"/>
      <c r="R9" s="1">
        <f>IF(vend30[[#This Row],[Nº Venda]]&gt;1,1,0)</f>
        <v>1</v>
      </c>
    </row>
    <row r="10" spans="2:18" ht="15.75" x14ac:dyDescent="0.25">
      <c r="B10" s="106" t="s">
        <v>5</v>
      </c>
      <c r="C10" s="106"/>
      <c r="D10" s="2"/>
      <c r="E10" s="60">
        <v>10469</v>
      </c>
      <c r="F10" s="24" t="s">
        <v>352</v>
      </c>
      <c r="G10" s="25" t="s">
        <v>6</v>
      </c>
      <c r="H10" s="8">
        <v>35</v>
      </c>
      <c r="I10" s="8">
        <v>35</v>
      </c>
      <c r="J10" s="2"/>
      <c r="K10" s="24"/>
      <c r="L10" s="9"/>
      <c r="M10" s="16"/>
      <c r="R10" s="1">
        <f>IF(vend30[[#This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165</v>
      </c>
      <c r="D11" s="2"/>
      <c r="E11" s="60">
        <v>10470</v>
      </c>
      <c r="F11" s="24" t="s">
        <v>348</v>
      </c>
      <c r="G11" s="25" t="s">
        <v>7</v>
      </c>
      <c r="H11" s="8">
        <v>700</v>
      </c>
      <c r="I11" s="8">
        <v>298.33</v>
      </c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1137</v>
      </c>
      <c r="D12" s="2"/>
      <c r="E12" s="60">
        <v>10471</v>
      </c>
      <c r="F12" s="24" t="s">
        <v>348</v>
      </c>
      <c r="G12" s="25" t="s">
        <v>7</v>
      </c>
      <c r="H12" s="8">
        <v>700</v>
      </c>
      <c r="I12" s="8">
        <v>298.33</v>
      </c>
      <c r="J12" s="2"/>
      <c r="R12" s="1">
        <f>IF(vend30[[#This Row],[Nº Venda]]&gt;1,1,0)</f>
        <v>1</v>
      </c>
    </row>
    <row r="13" spans="2:18" ht="15.75" x14ac:dyDescent="0.25">
      <c r="B13" s="29" t="s">
        <v>8</v>
      </c>
      <c r="C13" s="30">
        <f t="shared" si="0"/>
        <v>2942</v>
      </c>
      <c r="D13" s="2"/>
      <c r="E13" s="60">
        <v>10472</v>
      </c>
      <c r="F13" s="24" t="s">
        <v>348</v>
      </c>
      <c r="G13" s="25" t="s">
        <v>7</v>
      </c>
      <c r="H13" s="8">
        <v>390</v>
      </c>
      <c r="I13" s="8">
        <v>298.33999999999997</v>
      </c>
      <c r="J13" s="2"/>
      <c r="K13" s="108" t="s">
        <v>22</v>
      </c>
      <c r="L13" s="109"/>
      <c r="M13" s="110"/>
      <c r="R13" s="1">
        <f>IF(vend30[[#This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>
        <v>10473</v>
      </c>
      <c r="F14" s="24" t="s">
        <v>347</v>
      </c>
      <c r="G14" s="25" t="s">
        <v>8</v>
      </c>
      <c r="H14" s="8">
        <v>85</v>
      </c>
      <c r="I14" s="8">
        <v>35</v>
      </c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1</v>
      </c>
    </row>
    <row r="15" spans="2:18" ht="15.75" x14ac:dyDescent="0.25">
      <c r="B15" s="29" t="s">
        <v>10</v>
      </c>
      <c r="C15" s="30">
        <f t="shared" si="0"/>
        <v>955.2</v>
      </c>
      <c r="D15" s="2"/>
      <c r="E15" s="60">
        <v>10473</v>
      </c>
      <c r="F15" s="24" t="s">
        <v>347</v>
      </c>
      <c r="G15" s="25" t="s">
        <v>7</v>
      </c>
      <c r="H15" s="8">
        <v>0</v>
      </c>
      <c r="I15" s="8">
        <v>50</v>
      </c>
      <c r="J15" s="2"/>
      <c r="K15" s="67">
        <v>9999</v>
      </c>
      <c r="L15" s="9" t="s">
        <v>135</v>
      </c>
      <c r="M15" s="16" t="s">
        <v>152</v>
      </c>
      <c r="R15" s="1">
        <f>IF(vend30[[#This Row],[Nº Venda]]&gt;1,1,0)</f>
        <v>1</v>
      </c>
    </row>
    <row r="16" spans="2:18" ht="15.75" x14ac:dyDescent="0.25">
      <c r="B16" s="27" t="s">
        <v>11</v>
      </c>
      <c r="C16" s="31">
        <f>SUM(C11:C15)</f>
        <v>5199.2</v>
      </c>
      <c r="D16" s="2"/>
      <c r="E16" s="60"/>
      <c r="F16" s="24"/>
      <c r="G16" s="25"/>
      <c r="H16" s="8"/>
      <c r="I16" s="8"/>
      <c r="J16" s="2"/>
      <c r="K16" s="67">
        <v>10382</v>
      </c>
      <c r="L16" s="9" t="s">
        <v>128</v>
      </c>
      <c r="M16" s="16" t="s">
        <v>152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10429</v>
      </c>
      <c r="L17" s="9" t="s">
        <v>135</v>
      </c>
      <c r="M17" s="16" t="s">
        <v>152</v>
      </c>
      <c r="R17" s="1">
        <f>IF(vend30[[#This Row],[Nº Venda]]&gt;1,1,0)</f>
        <v>0</v>
      </c>
    </row>
    <row r="18" spans="2:22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60"/>
      <c r="F19" s="24"/>
      <c r="G19" s="25"/>
      <c r="H19" s="8"/>
      <c r="I19" s="8"/>
      <c r="J19" s="2"/>
      <c r="K19" s="67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0"/>
      <c r="F20" s="25"/>
      <c r="G20" s="25"/>
      <c r="H20" s="8"/>
      <c r="I20" s="8"/>
      <c r="J20" s="2"/>
      <c r="K20" s="67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6312</v>
      </c>
      <c r="D22" s="2"/>
      <c r="E22" s="61"/>
      <c r="F22" s="24"/>
      <c r="G22" s="25"/>
      <c r="H22" s="8"/>
      <c r="I22" s="8"/>
      <c r="J22" s="2"/>
      <c r="K22" s="67"/>
      <c r="L22" s="9"/>
      <c r="M22" s="16"/>
    </row>
    <row r="23" spans="2:22" ht="15" x14ac:dyDescent="0.25">
      <c r="B23" s="2"/>
      <c r="C23" s="2"/>
      <c r="D23" s="2"/>
      <c r="H23" s="7"/>
      <c r="J23" s="2"/>
      <c r="K23" s="67"/>
      <c r="L23" s="9"/>
      <c r="M23" s="16"/>
    </row>
    <row r="24" spans="2:22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22" ht="15.75" x14ac:dyDescent="0.25">
      <c r="B26" s="2"/>
      <c r="C26" s="2"/>
      <c r="D26" s="2"/>
      <c r="E26" s="60">
        <v>10323</v>
      </c>
      <c r="F26" s="24" t="s">
        <v>294</v>
      </c>
      <c r="G26" s="25" t="s">
        <v>6</v>
      </c>
      <c r="H26" s="8">
        <v>0</v>
      </c>
      <c r="I26" s="8">
        <v>30</v>
      </c>
      <c r="J26" s="2"/>
      <c r="K26" s="67"/>
      <c r="L26" s="9"/>
      <c r="M26" s="16"/>
    </row>
    <row r="27" spans="2:22" ht="15.75" x14ac:dyDescent="0.25">
      <c r="B27" s="2"/>
      <c r="C27" s="2"/>
      <c r="D27" s="2"/>
      <c r="E27" s="60">
        <v>10323</v>
      </c>
      <c r="F27" s="24" t="s">
        <v>294</v>
      </c>
      <c r="G27" s="25" t="s">
        <v>10</v>
      </c>
      <c r="H27" s="8">
        <v>0</v>
      </c>
      <c r="I27" s="8">
        <v>70</v>
      </c>
      <c r="J27" s="2"/>
      <c r="K27" s="67"/>
      <c r="L27" s="9"/>
      <c r="M27" s="16"/>
    </row>
    <row r="28" spans="2:22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22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22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22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22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2">
        <v>8943</v>
      </c>
      <c r="F35" s="37" t="s">
        <v>353</v>
      </c>
      <c r="G35" s="25" t="s">
        <v>7</v>
      </c>
      <c r="H35" s="8">
        <v>192</v>
      </c>
      <c r="I35" s="8" t="s">
        <v>91</v>
      </c>
      <c r="K35" s="67"/>
      <c r="L35" s="39"/>
      <c r="M35" s="9"/>
    </row>
    <row r="36" spans="2:18" ht="15.75" x14ac:dyDescent="0.25">
      <c r="E36" s="61">
        <v>8992</v>
      </c>
      <c r="F36" s="24" t="s">
        <v>354</v>
      </c>
      <c r="G36" s="25" t="s">
        <v>10</v>
      </c>
      <c r="H36" s="8">
        <v>187.4</v>
      </c>
      <c r="I36" s="8" t="s">
        <v>56</v>
      </c>
      <c r="K36" s="67"/>
      <c r="L36" s="39"/>
      <c r="M36" s="9"/>
    </row>
    <row r="37" spans="2:18" ht="15.75" x14ac:dyDescent="0.25">
      <c r="E37" s="64">
        <v>8992</v>
      </c>
      <c r="F37" s="24" t="s">
        <v>354</v>
      </c>
      <c r="G37" s="25" t="s">
        <v>10</v>
      </c>
      <c r="H37" s="8">
        <v>187.4</v>
      </c>
      <c r="I37" s="8" t="s">
        <v>43</v>
      </c>
      <c r="K37" s="67"/>
      <c r="L37" s="39"/>
      <c r="M37" s="9"/>
    </row>
    <row r="38" spans="2:18" ht="15.75" x14ac:dyDescent="0.25">
      <c r="E38" s="60">
        <v>8992</v>
      </c>
      <c r="F38" s="24" t="s">
        <v>354</v>
      </c>
      <c r="G38" s="25" t="s">
        <v>10</v>
      </c>
      <c r="H38" s="8">
        <v>187.4</v>
      </c>
      <c r="I38" s="8" t="s">
        <v>51</v>
      </c>
      <c r="K38" s="67"/>
      <c r="L38" s="39"/>
      <c r="M38" s="9"/>
    </row>
    <row r="39" spans="2:18" ht="15.75" x14ac:dyDescent="0.25">
      <c r="E39" s="60">
        <v>9370</v>
      </c>
      <c r="F39" s="37" t="s">
        <v>355</v>
      </c>
      <c r="G39" s="25" t="s">
        <v>10</v>
      </c>
      <c r="H39" s="8">
        <v>108.5</v>
      </c>
      <c r="I39" s="8" t="s">
        <v>81</v>
      </c>
      <c r="K39" s="67"/>
      <c r="L39" s="39"/>
      <c r="M39" s="9"/>
    </row>
    <row r="40" spans="2:18" ht="15.75" x14ac:dyDescent="0.25">
      <c r="E40" s="61">
        <v>9370</v>
      </c>
      <c r="F40" s="34" t="s">
        <v>355</v>
      </c>
      <c r="G40" s="35" t="s">
        <v>10</v>
      </c>
      <c r="H40" s="17">
        <v>108.5</v>
      </c>
      <c r="I40" s="8" t="s">
        <v>59</v>
      </c>
      <c r="K40" s="68"/>
      <c r="L40" s="40"/>
      <c r="M40" s="103"/>
      <c r="Q40" s="1" t="s">
        <v>36</v>
      </c>
      <c r="R40" s="1">
        <f>SUM(R6:R21)</f>
        <v>10</v>
      </c>
    </row>
    <row r="41" spans="2:18" ht="15.75" x14ac:dyDescent="0.25">
      <c r="E41" s="60">
        <v>9590</v>
      </c>
      <c r="F41" s="24" t="s">
        <v>356</v>
      </c>
      <c r="G41" s="25" t="s">
        <v>10</v>
      </c>
      <c r="H41" s="8">
        <v>106</v>
      </c>
      <c r="I41" s="8" t="s">
        <v>48</v>
      </c>
      <c r="K41" s="67"/>
      <c r="L41" s="39"/>
      <c r="M41" s="10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view="pageBreakPreview" zoomScale="60" zoomScaleNormal="9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8554687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69">
        <f>'30'!B1+1</f>
        <v>45688</v>
      </c>
      <c r="L1" s="71" t="s">
        <v>141</v>
      </c>
    </row>
    <row r="2" spans="2:18" ht="18.75" x14ac:dyDescent="0.2">
      <c r="B2" s="111" t="s">
        <v>13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4" t="s">
        <v>1</v>
      </c>
      <c r="F4" s="114"/>
      <c r="G4" s="114"/>
      <c r="H4" s="114"/>
      <c r="I4" s="114"/>
      <c r="J4" s="21"/>
      <c r="K4" s="108" t="s">
        <v>3</v>
      </c>
      <c r="L4" s="109"/>
      <c r="M4" s="110"/>
    </row>
    <row r="5" spans="2:18" ht="15" x14ac:dyDescent="0.25">
      <c r="B5" s="22" t="s">
        <v>1</v>
      </c>
      <c r="C5" s="23">
        <f>SUMIF(I6:I31,"&gt;0",H6:H31)</f>
        <v>3298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2230.5</v>
      </c>
      <c r="D6" s="2"/>
      <c r="E6" s="60">
        <v>10476</v>
      </c>
      <c r="F6" s="24" t="s">
        <v>357</v>
      </c>
      <c r="G6" s="25" t="s">
        <v>8</v>
      </c>
      <c r="H6" s="8">
        <v>999</v>
      </c>
      <c r="I6" s="8">
        <v>999</v>
      </c>
      <c r="J6" s="2"/>
      <c r="K6" s="24"/>
      <c r="L6" s="9"/>
      <c r="M6" s="16"/>
      <c r="R6" s="1">
        <f>IF(vend31[[#This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0">
        <v>10477</v>
      </c>
      <c r="F7" s="24" t="s">
        <v>358</v>
      </c>
      <c r="G7" s="25" t="s">
        <v>6</v>
      </c>
      <c r="H7" s="8">
        <v>2100</v>
      </c>
      <c r="I7" s="8">
        <v>5</v>
      </c>
      <c r="J7" s="2"/>
      <c r="K7" s="24"/>
      <c r="L7" s="9"/>
      <c r="M7" s="16"/>
      <c r="R7" s="1">
        <f>IF(vend31[[#This Row],[Nº Venda]]&gt;1,1,0)</f>
        <v>1</v>
      </c>
    </row>
    <row r="8" spans="2:18" ht="15.75" x14ac:dyDescent="0.25">
      <c r="B8" s="27" t="s">
        <v>21</v>
      </c>
      <c r="C8" s="28">
        <f>SUM(C6:C7)</f>
        <v>2230.5</v>
      </c>
      <c r="D8" s="2"/>
      <c r="E8" s="60">
        <v>10479</v>
      </c>
      <c r="F8" s="24" t="s">
        <v>358</v>
      </c>
      <c r="G8" s="25" t="s">
        <v>6</v>
      </c>
      <c r="H8" s="8">
        <v>199</v>
      </c>
      <c r="I8" s="8">
        <v>5</v>
      </c>
      <c r="J8" s="2"/>
      <c r="K8" s="24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60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6" t="s">
        <v>5</v>
      </c>
      <c r="C10" s="106"/>
      <c r="D10" s="2"/>
      <c r="E10" s="60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</v>
      </c>
      <c r="D11" s="2"/>
      <c r="E11" s="6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299.5</v>
      </c>
      <c r="D12" s="2"/>
      <c r="E12" s="60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999</v>
      </c>
      <c r="D13" s="2"/>
      <c r="E13" s="60"/>
      <c r="F13" s="24"/>
      <c r="G13" s="25"/>
      <c r="H13" s="8"/>
      <c r="I13" s="8"/>
      <c r="J13" s="2"/>
      <c r="K13" s="108" t="s">
        <v>22</v>
      </c>
      <c r="L13" s="109"/>
      <c r="M13" s="110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922</v>
      </c>
      <c r="D15" s="2"/>
      <c r="E15" s="60"/>
      <c r="F15" s="24"/>
      <c r="G15" s="25"/>
      <c r="H15" s="8"/>
      <c r="I15" s="8"/>
      <c r="J15" s="2"/>
      <c r="K15" s="67">
        <v>10198</v>
      </c>
      <c r="L15" s="9" t="s">
        <v>135</v>
      </c>
      <c r="M15" s="16" t="s">
        <v>152</v>
      </c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2230.5</v>
      </c>
      <c r="D16" s="2"/>
      <c r="E16" s="60"/>
      <c r="F16" s="24"/>
      <c r="G16" s="25"/>
      <c r="H16" s="8"/>
      <c r="I16" s="8"/>
      <c r="J16" s="2"/>
      <c r="K16" s="67">
        <v>10319</v>
      </c>
      <c r="L16" s="9" t="s">
        <v>135</v>
      </c>
      <c r="M16" s="16" t="s">
        <v>154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60"/>
      <c r="F17" s="24"/>
      <c r="G17" s="25"/>
      <c r="H17" s="8"/>
      <c r="I17" s="8"/>
      <c r="J17" s="2"/>
      <c r="K17" s="67">
        <v>10364</v>
      </c>
      <c r="L17" s="9" t="s">
        <v>128</v>
      </c>
      <c r="M17" s="16" t="s">
        <v>152</v>
      </c>
      <c r="R17" s="1">
        <f>IF(vend31[[#This Row],[Nº Venda]]&gt;1,1,0)</f>
        <v>0</v>
      </c>
    </row>
    <row r="18" spans="2:18" ht="15.75" x14ac:dyDescent="0.25">
      <c r="B18" s="106" t="s">
        <v>12</v>
      </c>
      <c r="C18" s="106"/>
      <c r="D18" s="2"/>
      <c r="E18" s="60"/>
      <c r="F18" s="24"/>
      <c r="G18" s="25"/>
      <c r="H18" s="8"/>
      <c r="I18" s="8"/>
      <c r="J18" s="2"/>
      <c r="K18" s="67">
        <v>10384</v>
      </c>
      <c r="L18" s="9" t="s">
        <v>128</v>
      </c>
      <c r="M18" s="16" t="s">
        <v>152</v>
      </c>
      <c r="R18" s="1">
        <f>IF(vend31[[#This Row],[Nº Venda]]&gt;1,1,0)</f>
        <v>0</v>
      </c>
    </row>
    <row r="19" spans="2:18" ht="15.75" x14ac:dyDescent="0.25">
      <c r="B19" s="29">
        <f>COUNT(entr_carn31[OS])</f>
        <v>1</v>
      </c>
      <c r="C19" s="30">
        <f>SUM(entr_carn31[Valor Total])</f>
        <v>269.99</v>
      </c>
      <c r="D19" s="2"/>
      <c r="E19" s="60"/>
      <c r="F19" s="24"/>
      <c r="G19" s="25"/>
      <c r="H19" s="8"/>
      <c r="I19" s="8"/>
      <c r="J19" s="2"/>
      <c r="K19" s="67">
        <v>10402</v>
      </c>
      <c r="L19" s="9" t="s">
        <v>128</v>
      </c>
      <c r="M19" s="16" t="s">
        <v>152</v>
      </c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269.99</v>
      </c>
      <c r="D20" s="2"/>
      <c r="E20" s="60"/>
      <c r="F20" s="25"/>
      <c r="G20" s="25"/>
      <c r="H20" s="8"/>
      <c r="I20" s="8"/>
      <c r="J20" s="2"/>
      <c r="K20" s="67">
        <v>10403</v>
      </c>
      <c r="L20" s="9" t="s">
        <v>128</v>
      </c>
      <c r="M20" s="16" t="s">
        <v>152</v>
      </c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60"/>
      <c r="F21" s="24"/>
      <c r="G21" s="25"/>
      <c r="H21" s="8"/>
      <c r="I21" s="8"/>
      <c r="J21" s="2"/>
      <c r="K21" s="67">
        <v>10455</v>
      </c>
      <c r="L21" s="9" t="s">
        <v>128</v>
      </c>
      <c r="M21" s="16" t="s">
        <v>152</v>
      </c>
    </row>
    <row r="22" spans="2:18" ht="15.75" x14ac:dyDescent="0.25">
      <c r="B22" s="27" t="s">
        <v>26</v>
      </c>
      <c r="C22" s="31">
        <f>C5</f>
        <v>3298</v>
      </c>
      <c r="D22" s="2"/>
      <c r="E22" s="61"/>
      <c r="F22" s="24"/>
      <c r="G22" s="25"/>
      <c r="H22" s="8"/>
      <c r="I22" s="8"/>
      <c r="J22" s="2"/>
      <c r="K22" s="67">
        <v>10469</v>
      </c>
      <c r="L22" s="9" t="s">
        <v>128</v>
      </c>
      <c r="M22" s="16" t="s">
        <v>152</v>
      </c>
    </row>
    <row r="23" spans="2:18" ht="15" x14ac:dyDescent="0.25">
      <c r="B23" s="2"/>
      <c r="C23" s="2"/>
      <c r="D23" s="2"/>
      <c r="H23" s="7"/>
      <c r="J23" s="2"/>
      <c r="K23" s="67">
        <v>10473</v>
      </c>
      <c r="L23" s="9" t="s">
        <v>135</v>
      </c>
      <c r="M23" s="16" t="s">
        <v>152</v>
      </c>
    </row>
    <row r="24" spans="2:18" ht="15" x14ac:dyDescent="0.25">
      <c r="B24" s="2"/>
      <c r="C24" s="2"/>
      <c r="D24" s="2"/>
      <c r="E24" s="115" t="s">
        <v>27</v>
      </c>
      <c r="F24" s="107"/>
      <c r="G24" s="107"/>
      <c r="H24" s="107"/>
      <c r="I24" s="107"/>
      <c r="J24" s="2"/>
      <c r="K24" s="6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7"/>
      <c r="L25" s="9"/>
      <c r="M25" s="16"/>
    </row>
    <row r="26" spans="2:18" ht="15.75" x14ac:dyDescent="0.25">
      <c r="B26" s="2"/>
      <c r="C26" s="2"/>
      <c r="D26" s="2"/>
      <c r="E26" s="60">
        <v>10437</v>
      </c>
      <c r="F26" s="24" t="s">
        <v>359</v>
      </c>
      <c r="G26" s="25" t="s">
        <v>10</v>
      </c>
      <c r="H26" s="8">
        <v>0</v>
      </c>
      <c r="I26" s="8">
        <v>350</v>
      </c>
      <c r="J26" s="2"/>
      <c r="K26" s="67"/>
      <c r="L26" s="9"/>
      <c r="M26" s="16"/>
    </row>
    <row r="27" spans="2:18" ht="15.75" x14ac:dyDescent="0.25">
      <c r="B27" s="2"/>
      <c r="C27" s="2"/>
      <c r="D27" s="2"/>
      <c r="E27" s="60">
        <v>10455</v>
      </c>
      <c r="F27" s="24" t="s">
        <v>341</v>
      </c>
      <c r="G27" s="25" t="s">
        <v>7</v>
      </c>
      <c r="H27" s="8">
        <v>0</v>
      </c>
      <c r="I27" s="8">
        <v>299.5</v>
      </c>
      <c r="J27" s="2"/>
      <c r="K27" s="67"/>
      <c r="L27" s="9"/>
      <c r="M27" s="16"/>
    </row>
    <row r="28" spans="2:18" ht="15.75" x14ac:dyDescent="0.25">
      <c r="B28" s="2"/>
      <c r="C28" s="2"/>
      <c r="D28" s="2"/>
      <c r="E28" s="60"/>
      <c r="F28" s="24"/>
      <c r="G28" s="25"/>
      <c r="H28" s="8"/>
      <c r="I28" s="8"/>
      <c r="J28" s="2"/>
      <c r="K28" s="67"/>
      <c r="L28" s="9"/>
      <c r="M28" s="16"/>
    </row>
    <row r="29" spans="2:18" ht="15.75" x14ac:dyDescent="0.25">
      <c r="B29" s="2"/>
      <c r="C29" s="2"/>
      <c r="D29" s="2"/>
      <c r="E29" s="60"/>
      <c r="F29" s="24"/>
      <c r="G29" s="25"/>
      <c r="H29" s="8"/>
      <c r="I29" s="8"/>
      <c r="J29" s="2"/>
      <c r="K29" s="67"/>
      <c r="L29" s="9"/>
      <c r="M29" s="16"/>
    </row>
    <row r="30" spans="2:18" ht="15.75" x14ac:dyDescent="0.25">
      <c r="B30" s="2"/>
      <c r="C30" s="2"/>
      <c r="D30" s="2"/>
      <c r="E30" s="60"/>
      <c r="F30" s="37"/>
      <c r="G30" s="25"/>
      <c r="H30" s="8"/>
      <c r="I30" s="8"/>
      <c r="J30" s="2"/>
      <c r="K30" s="67"/>
      <c r="L30" s="9"/>
      <c r="M30" s="16"/>
    </row>
    <row r="31" spans="2:18" ht="15.75" x14ac:dyDescent="0.25">
      <c r="B31" s="2"/>
      <c r="C31" s="2"/>
      <c r="D31" s="2"/>
      <c r="E31" s="61"/>
      <c r="F31" s="34"/>
      <c r="G31" s="35"/>
      <c r="H31" s="17"/>
      <c r="I31" s="17"/>
      <c r="J31" s="2"/>
      <c r="K31" s="67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115" t="s">
        <v>28</v>
      </c>
      <c r="F33" s="107"/>
      <c r="G33" s="107"/>
      <c r="H33" s="107"/>
      <c r="I33" s="107"/>
      <c r="K33" s="108" t="s">
        <v>12</v>
      </c>
      <c r="L33" s="109"/>
      <c r="M33" s="11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0">
        <v>9625</v>
      </c>
      <c r="F35" s="24" t="s">
        <v>361</v>
      </c>
      <c r="G35" s="25" t="s">
        <v>10</v>
      </c>
      <c r="H35" s="8">
        <v>135</v>
      </c>
      <c r="I35" s="8" t="s">
        <v>81</v>
      </c>
      <c r="K35" s="67">
        <v>10319</v>
      </c>
      <c r="L35" s="39">
        <v>2</v>
      </c>
      <c r="M35" s="16">
        <v>269.99</v>
      </c>
    </row>
    <row r="36" spans="2:18" ht="15.75" x14ac:dyDescent="0.25">
      <c r="E36" s="61">
        <v>9681</v>
      </c>
      <c r="F36" s="24" t="s">
        <v>360</v>
      </c>
      <c r="G36" s="25" t="s">
        <v>10</v>
      </c>
      <c r="H36" s="8">
        <v>89</v>
      </c>
      <c r="I36" s="8" t="s">
        <v>83</v>
      </c>
      <c r="K36" s="67"/>
      <c r="L36" s="39"/>
      <c r="M36" s="16"/>
    </row>
    <row r="37" spans="2:18" ht="15.75" x14ac:dyDescent="0.25">
      <c r="E37" s="60">
        <v>9750</v>
      </c>
      <c r="F37" s="24" t="s">
        <v>362</v>
      </c>
      <c r="G37" s="25" t="s">
        <v>10</v>
      </c>
      <c r="H37" s="8">
        <v>189.5</v>
      </c>
      <c r="I37" s="8" t="s">
        <v>96</v>
      </c>
      <c r="K37" s="67"/>
      <c r="L37" s="39"/>
      <c r="M37" s="16"/>
    </row>
    <row r="38" spans="2:18" ht="15.75" x14ac:dyDescent="0.25">
      <c r="E38" s="60">
        <v>9800</v>
      </c>
      <c r="F38" s="37" t="s">
        <v>363</v>
      </c>
      <c r="G38" s="25" t="s">
        <v>10</v>
      </c>
      <c r="H38" s="8">
        <v>92</v>
      </c>
      <c r="I38" s="8" t="s">
        <v>80</v>
      </c>
      <c r="K38" s="67"/>
      <c r="L38" s="39"/>
      <c r="M38" s="16"/>
    </row>
    <row r="39" spans="2:18" ht="15.75" x14ac:dyDescent="0.25">
      <c r="E39" s="64">
        <v>10125</v>
      </c>
      <c r="F39" s="24" t="s">
        <v>364</v>
      </c>
      <c r="G39" s="25" t="s">
        <v>10</v>
      </c>
      <c r="H39" s="8">
        <v>66.5</v>
      </c>
      <c r="I39" s="8" t="s">
        <v>42</v>
      </c>
      <c r="K39" s="67"/>
      <c r="L39" s="39"/>
      <c r="M39" s="16"/>
    </row>
    <row r="40" spans="2:18" ht="15.75" x14ac:dyDescent="0.25">
      <c r="E40" s="61"/>
      <c r="F40" s="34"/>
      <c r="G40" s="35"/>
      <c r="H40" s="17"/>
      <c r="I40" s="8"/>
      <c r="K40" s="68"/>
      <c r="L40" s="40"/>
      <c r="M40" s="38"/>
      <c r="Q40" s="1" t="s">
        <v>36</v>
      </c>
      <c r="R40" s="1">
        <f>SUM(R6:R21)</f>
        <v>3</v>
      </c>
    </row>
    <row r="41" spans="2:18" ht="15.75" x14ac:dyDescent="0.25">
      <c r="E41" s="62"/>
      <c r="F41" s="37"/>
      <c r="G41" s="25"/>
      <c r="H41" s="8"/>
      <c r="I41" s="8"/>
      <c r="K41" s="67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6" t="s">
        <v>62</v>
      </c>
      <c r="B1" s="36" t="s">
        <v>63</v>
      </c>
      <c r="E1" s="36" t="s">
        <v>64</v>
      </c>
    </row>
    <row r="2" spans="1:5" x14ac:dyDescent="0.2">
      <c r="A2" s="36" t="s">
        <v>6</v>
      </c>
      <c r="B2" s="36" t="s">
        <v>65</v>
      </c>
      <c r="E2" t="s">
        <v>46</v>
      </c>
    </row>
    <row r="3" spans="1:5" x14ac:dyDescent="0.2">
      <c r="A3" s="36" t="s">
        <v>7</v>
      </c>
      <c r="B3" s="36" t="s">
        <v>66</v>
      </c>
      <c r="E3" t="s">
        <v>67</v>
      </c>
    </row>
    <row r="4" spans="1:5" x14ac:dyDescent="0.2">
      <c r="A4" s="36" t="s">
        <v>8</v>
      </c>
      <c r="B4" s="36" t="s">
        <v>68</v>
      </c>
      <c r="E4" t="s">
        <v>69</v>
      </c>
    </row>
    <row r="5" spans="1:5" x14ac:dyDescent="0.2">
      <c r="A5" s="36" t="s">
        <v>9</v>
      </c>
      <c r="B5" s="36" t="s">
        <v>70</v>
      </c>
      <c r="E5" t="s">
        <v>71</v>
      </c>
    </row>
    <row r="6" spans="1:5" x14ac:dyDescent="0.2">
      <c r="A6" s="36" t="s">
        <v>10</v>
      </c>
      <c r="B6" s="36" t="s">
        <v>10</v>
      </c>
      <c r="E6" t="s">
        <v>33</v>
      </c>
    </row>
    <row r="7" spans="1:5" x14ac:dyDescent="0.2">
      <c r="A7" s="36" t="s">
        <v>50</v>
      </c>
      <c r="B7" s="36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6" t="s">
        <v>40</v>
      </c>
      <c r="B9" s="36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2025-10-10T15:02:46Z</cp:lastPrinted>
  <dcterms:created xsi:type="dcterms:W3CDTF">2004-04-07T20:43:43Z</dcterms:created>
  <dcterms:modified xsi:type="dcterms:W3CDTF">2025-10-10T15:03:09Z</dcterms:modified>
  <cp:category/>
  <cp:contentStatus/>
</cp:coreProperties>
</file>