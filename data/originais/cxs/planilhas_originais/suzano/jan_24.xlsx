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UZANO/CAIXA/"/>
    </mc:Choice>
  </mc:AlternateContent>
  <xr:revisionPtr revIDLastSave="10" documentId="13_ncr:1_{4FC7EC58-5F78-457A-9378-33F1402E0BA0}" xr6:coauthVersionLast="47" xr6:coauthVersionMax="47" xr10:uidLastSave="{4DE8AAE9-2F89-4365-B414-4674A183CF75}"/>
  <bookViews>
    <workbookView xWindow="-120" yWindow="330" windowWidth="20640" windowHeight="11310" tabRatio="912" activeTab="5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" sheetId="36" state="hidden" r:id="rId3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91" l="1"/>
  <c r="R20" i="175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8"/>
  <c r="C13" i="178"/>
  <c r="C14" i="178"/>
  <c r="C15" i="178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2" i="188"/>
  <c r="C13" i="188"/>
  <c r="C14" i="188"/>
  <c r="C15" i="188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70"/>
  <c r="C11" i="103"/>
  <c r="C11" i="178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88"/>
  <c r="C11" i="193"/>
  <c r="C11" i="195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6" i="174"/>
  <c r="C6" i="173"/>
  <c r="C8" i="173" s="1"/>
  <c r="C6" i="172"/>
  <c r="C8" i="172" s="1"/>
  <c r="C6" i="171"/>
  <c r="C8" i="171" s="1"/>
  <c r="C6" i="170"/>
  <c r="C6" i="103"/>
  <c r="C6" i="178"/>
  <c r="C6" i="177"/>
  <c r="C6" i="176"/>
  <c r="C8" i="176" s="1"/>
  <c r="C6" i="180"/>
  <c r="C8" i="180" s="1"/>
  <c r="C6" i="182"/>
  <c r="C6" i="183"/>
  <c r="C6" i="181"/>
  <c r="C6" i="179"/>
  <c r="C8" i="179" s="1"/>
  <c r="C6" i="184"/>
  <c r="C6" i="185"/>
  <c r="C6" i="186"/>
  <c r="C8" i="186" s="1"/>
  <c r="C6" i="187"/>
  <c r="C6" i="189"/>
  <c r="C8" i="189" s="1"/>
  <c r="C6" i="190"/>
  <c r="C8" i="190" s="1"/>
  <c r="C6" i="191"/>
  <c r="C6" i="188"/>
  <c r="C6" i="193"/>
  <c r="C6" i="195"/>
  <c r="C6" i="194"/>
  <c r="C8" i="194" s="1"/>
  <c r="C6" i="197"/>
  <c r="C8" i="197" s="1"/>
  <c r="C6" i="196"/>
  <c r="C8" i="196" s="1"/>
  <c r="C6" i="192"/>
  <c r="C6" i="199"/>
  <c r="C8" i="199" s="1"/>
  <c r="C6" i="198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C8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87" l="1"/>
  <c r="C8" i="192"/>
  <c r="C8" i="183"/>
  <c r="C8" i="175"/>
  <c r="R40" i="194"/>
  <c r="R40" i="190"/>
  <c r="R40" i="183"/>
  <c r="R40" i="192"/>
  <c r="R40" i="196"/>
  <c r="C8" i="191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8" i="188"/>
  <c r="C16" i="170"/>
  <c r="O11" i="170" s="1"/>
  <c r="R40" i="170"/>
  <c r="C16" i="175"/>
  <c r="O11" i="175" s="1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4" i="200"/>
  <c r="B12" i="200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O11" i="182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6" i="200" l="1"/>
  <c r="B14" i="200"/>
  <c r="C16" i="103"/>
  <c r="O11" i="103" s="1"/>
  <c r="C8" i="103"/>
  <c r="R40" i="103"/>
  <c r="B1" i="174" l="1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s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</calcChain>
</file>

<file path=xl/sharedStrings.xml><?xml version="1.0" encoding="utf-8"?>
<sst xmlns="http://schemas.openxmlformats.org/spreadsheetml/2006/main" count="2415" uniqueCount="374">
  <si>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</si>
  <si>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</si>
  <si>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</si>
  <si>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</si>
  <si>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</si>
  <si>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</si>
  <si>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</si>
  <si>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</si>
  <si>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</si>
  <si>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</si>
  <si>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</si>
  <si>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</si>
  <si>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</si>
  <si>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</si>
  <si>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</si>
  <si>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</si>
  <si>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</si>
  <si>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</si>
  <si>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</si>
  <si>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</si>
  <si>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</si>
  <si>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</si>
  <si>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</si>
  <si>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</si>
  <si>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</si>
  <si>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</si>
  <si>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</si>
  <si>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</si>
  <si>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</si>
  <si>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</si>
  <si>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</si>
  <si>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</si>
  <si>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</si>
  <si>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Total de OS</t>
  </si>
  <si>
    <t xml:space="preserve">TALITA OLIVEIRA </t>
  </si>
  <si>
    <t>SUELI ALVES TANAKA</t>
  </si>
  <si>
    <t>GILMAR JOSE DE SIQUEIRA</t>
  </si>
  <si>
    <t>WILLIAM</t>
  </si>
  <si>
    <t>Não</t>
  </si>
  <si>
    <t>ANTONINA</t>
  </si>
  <si>
    <t>ADRIANA APARECIDA</t>
  </si>
  <si>
    <t>PARC. 3/7</t>
  </si>
  <si>
    <t xml:space="preserve"> SHERON DO NASCIMENTO</t>
  </si>
  <si>
    <t>PARC. 4/5</t>
  </si>
  <si>
    <t>ALESSANDRA FERREIRA</t>
  </si>
  <si>
    <t>PARC. 7/10</t>
  </si>
  <si>
    <t>MARCOS AUGUSTO</t>
  </si>
  <si>
    <t>SS</t>
  </si>
  <si>
    <t>TELMA FERRARIS</t>
  </si>
  <si>
    <t>GARANTIA</t>
  </si>
  <si>
    <t>FERNANDO CARDOSO</t>
  </si>
  <si>
    <t>JULIANA ALVES</t>
  </si>
  <si>
    <t>JOCI</t>
  </si>
  <si>
    <t>PARC. 6/6</t>
  </si>
  <si>
    <t xml:space="preserve">VALDERESE EVARISTO </t>
  </si>
  <si>
    <t>PARC. 2/8</t>
  </si>
  <si>
    <t>josevane  maria</t>
  </si>
  <si>
    <t>oseias beltrami</t>
  </si>
  <si>
    <t>kathleen de almeida</t>
  </si>
  <si>
    <t>maria reis rocha</t>
  </si>
  <si>
    <t>PARC. 1/7</t>
  </si>
  <si>
    <t>ANDRESSA CRISTINA</t>
  </si>
  <si>
    <t>ISABELA CRISTINA</t>
  </si>
  <si>
    <t>LEIA BARBORA</t>
  </si>
  <si>
    <t>CARLOS A. SIMOES</t>
  </si>
  <si>
    <t>FABIO V. MONTEIRO</t>
  </si>
  <si>
    <t>LETICIA MONTEIRO</t>
  </si>
  <si>
    <t>AIEZA VALENTINa</t>
  </si>
  <si>
    <t>RAIMUNDO ALVES</t>
  </si>
  <si>
    <t>MARIA JOSE</t>
  </si>
  <si>
    <t>WILLIAN</t>
  </si>
  <si>
    <t xml:space="preserve"> </t>
  </si>
  <si>
    <t>ELISABETE YURIE</t>
  </si>
  <si>
    <t>MATHEUS NASCIMENTO</t>
  </si>
  <si>
    <t>ANTONIO FERNANDES</t>
  </si>
  <si>
    <t>JOANA MARIA  GONCALVES</t>
  </si>
  <si>
    <t>PARC. 3/8</t>
  </si>
  <si>
    <t xml:space="preserve">zuleika elaina de almeida </t>
  </si>
  <si>
    <t xml:space="preserve">Roseli Ramos do amaral </t>
  </si>
  <si>
    <t>marco antonio alves</t>
  </si>
  <si>
    <t>Alice Lima Cezar</t>
  </si>
  <si>
    <t>Bonifacio da Silva Paiva</t>
  </si>
  <si>
    <t>Julia Maria Belarmino Lopes</t>
  </si>
  <si>
    <t xml:space="preserve">Emilly Rodrigues Santos </t>
  </si>
  <si>
    <t xml:space="preserve">Luiz gustavo Rocha Gomes </t>
  </si>
  <si>
    <t>Carlos rodrigues da Silva</t>
  </si>
  <si>
    <t>william</t>
  </si>
  <si>
    <t>Maria Josineide da Silva</t>
  </si>
  <si>
    <t>jocy</t>
  </si>
  <si>
    <t xml:space="preserve">Liliane Coelho de Souza </t>
  </si>
  <si>
    <t xml:space="preserve">Alice de Freitas N Bastos </t>
  </si>
  <si>
    <t>ctd</t>
  </si>
  <si>
    <t>LILIAN PERERIA DOS SANTOS</t>
  </si>
  <si>
    <t>JESUS RICARDO DA SILVA</t>
  </si>
  <si>
    <t>PARC. 1/6</t>
  </si>
  <si>
    <t xml:space="preserve">sarana da silva pinheiro </t>
  </si>
  <si>
    <t>hegino benevides</t>
  </si>
  <si>
    <t xml:space="preserve">sebastiana i. da rocha </t>
  </si>
  <si>
    <t xml:space="preserve">benedito de oliveira </t>
  </si>
  <si>
    <t>arlete vieira celio</t>
  </si>
  <si>
    <t>raimunda souza da silva</t>
  </si>
  <si>
    <t>taty</t>
  </si>
  <si>
    <t xml:space="preserve">antonio vicente </t>
  </si>
  <si>
    <t xml:space="preserve">andressa souza santos </t>
  </si>
  <si>
    <t>laercio Hilario</t>
  </si>
  <si>
    <t>PARC. 5/8</t>
  </si>
  <si>
    <t>Valdineia Molina</t>
  </si>
  <si>
    <t>welber anderson</t>
  </si>
  <si>
    <t>PARC. 2/7</t>
  </si>
  <si>
    <t>andressa sousa santos</t>
  </si>
  <si>
    <t>folha de sulfite</t>
  </si>
  <si>
    <t xml:space="preserve">dn </t>
  </si>
  <si>
    <t xml:space="preserve">marcio henrique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</si>
  <si>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</si>
  <si>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ulisses r. dos santos </t>
  </si>
  <si>
    <t xml:space="preserve">sivaldo r dos santos </t>
  </si>
  <si>
    <t>maria solange da silva</t>
  </si>
  <si>
    <t>andre alves moreira</t>
  </si>
  <si>
    <t xml:space="preserve">emerson r. dos santos </t>
  </si>
  <si>
    <t xml:space="preserve">daniela rosa m dos santos </t>
  </si>
  <si>
    <t>eretuza nery teixeira</t>
  </si>
  <si>
    <t>joci</t>
  </si>
  <si>
    <t xml:space="preserve">jessica de oliveira freire </t>
  </si>
  <si>
    <t>PARC. 2/2</t>
  </si>
  <si>
    <t>sirlei bueno borges</t>
  </si>
  <si>
    <t>PARC. 3/4</t>
  </si>
  <si>
    <t>ELIANA S. MARTINS</t>
  </si>
  <si>
    <t>BRUNA KAMILLY</t>
  </si>
  <si>
    <t>SUELY PEREIRA</t>
  </si>
  <si>
    <t>ZAKAE SHIMOSE ISHIOKA</t>
  </si>
  <si>
    <t>LUCIAMARA DA SILVA</t>
  </si>
  <si>
    <t>EDNAIDE OLIVEIRA</t>
  </si>
  <si>
    <t>JOCY</t>
  </si>
  <si>
    <t xml:space="preserve">i  </t>
  </si>
  <si>
    <t>SORANA</t>
  </si>
  <si>
    <t>WILSON RODRIGUES</t>
  </si>
  <si>
    <t>SARA SOUZA F. TOUCINI</t>
  </si>
  <si>
    <t>CAMILA R. BARBALHO</t>
  </si>
  <si>
    <t>MARIA LUCIA</t>
  </si>
  <si>
    <t>ANDRE ALVES MOREIRA</t>
  </si>
  <si>
    <t>LEIA Barbosa</t>
  </si>
  <si>
    <t>MANOEL CALISTO SANTOS</t>
  </si>
  <si>
    <t>PARC. 3/6</t>
  </si>
  <si>
    <t>PARC. 4/6</t>
  </si>
  <si>
    <t>JACKELINE ALVES</t>
  </si>
  <si>
    <t>PARC. 7/8</t>
  </si>
  <si>
    <t xml:space="preserve">ANA CLEIA </t>
  </si>
  <si>
    <t>BIANCA FRANCO</t>
  </si>
  <si>
    <t>8493</t>
  </si>
  <si>
    <t xml:space="preserve">monica miyashiro </t>
  </si>
  <si>
    <t>8494</t>
  </si>
  <si>
    <t>ivani isabel b.dos santos</t>
  </si>
  <si>
    <t>silvana fernandes lima</t>
  </si>
  <si>
    <t>roseli macedo oliveira</t>
  </si>
  <si>
    <t>kawany chaves de melo</t>
  </si>
  <si>
    <t>sebastião pereira</t>
  </si>
  <si>
    <t>sulfit.</t>
  </si>
  <si>
    <t>dn</t>
  </si>
  <si>
    <t>Eliana Rosa</t>
  </si>
  <si>
    <t xml:space="preserve">roseli Ap. da costa </t>
  </si>
  <si>
    <t xml:space="preserve">Ana Paula Pires </t>
  </si>
  <si>
    <t xml:space="preserve">Izabel dos Santos </t>
  </si>
  <si>
    <t>claudio katsuhiro</t>
  </si>
  <si>
    <t>natalia sanches</t>
  </si>
  <si>
    <t>monica</t>
  </si>
  <si>
    <t>marcos antonio</t>
  </si>
  <si>
    <t xml:space="preserve">marcos antonio </t>
  </si>
  <si>
    <t xml:space="preserve">melquesedeque </t>
  </si>
  <si>
    <t>PARC. 2/3</t>
  </si>
  <si>
    <t xml:space="preserve">SONDRO APARECIDO </t>
  </si>
  <si>
    <t>VANILDA ALVES</t>
  </si>
  <si>
    <t>LUCIA ROBERTO</t>
  </si>
  <si>
    <t xml:space="preserve">MARIA DE FATIMA </t>
  </si>
  <si>
    <t>Sim</t>
  </si>
  <si>
    <t>TATY</t>
  </si>
  <si>
    <t>OSEIAS BELTRAMI</t>
  </si>
  <si>
    <t>SANDRA APARECIDA</t>
  </si>
  <si>
    <t>PARC. 4/8</t>
  </si>
  <si>
    <t>maria aparecida ferreira</t>
  </si>
  <si>
    <t xml:space="preserve">pedro carvalho dias </t>
  </si>
  <si>
    <t>clebissom da silva</t>
  </si>
  <si>
    <t>roberto landim</t>
  </si>
  <si>
    <t>alice lima cezar</t>
  </si>
  <si>
    <t>rosangela cremes</t>
  </si>
  <si>
    <t>elisangela pereira</t>
  </si>
  <si>
    <t>carlas quiteria ferreira</t>
  </si>
  <si>
    <t xml:space="preserve">waldemir santos </t>
  </si>
  <si>
    <t>sivaldo r. dos santos</t>
  </si>
  <si>
    <t xml:space="preserve">ivonete batista de lima </t>
  </si>
  <si>
    <t>engraxar porta</t>
  </si>
  <si>
    <t>emily rayssa loyo</t>
  </si>
  <si>
    <t xml:space="preserve">zuleika eliana </t>
  </si>
  <si>
    <t>lucimara da silva</t>
  </si>
  <si>
    <t>ISMAEL OLIVEIRA AS</t>
  </si>
  <si>
    <t>PARC. 1/4</t>
  </si>
  <si>
    <t>ANA CLARA BEATRIZ</t>
  </si>
  <si>
    <t>KELLY CRISTIAN DA SILVA</t>
  </si>
  <si>
    <t>ELBA DEL CARMEM</t>
  </si>
  <si>
    <t>ALMIR MARTINS</t>
  </si>
  <si>
    <t>MARIA DDAS DORES</t>
  </si>
  <si>
    <t>VERA LUCIA DE OLIVEIRA</t>
  </si>
  <si>
    <t xml:space="preserve">DEISE VIEIRA </t>
  </si>
  <si>
    <t>ELISANGELA PEREIRA</t>
  </si>
  <si>
    <t>ARLETE VIEIRA</t>
  </si>
  <si>
    <t>SULFIT</t>
  </si>
  <si>
    <t>GISELE CALADO</t>
  </si>
  <si>
    <t xml:space="preserve">WENDELL BONFIM </t>
  </si>
  <si>
    <t>ALEXANDRE DA SILVA</t>
  </si>
  <si>
    <t>JOSE FRANCISCO</t>
  </si>
  <si>
    <t>AMANDA DE SOUZA</t>
  </si>
  <si>
    <t xml:space="preserve">JOSELMA MARIA </t>
  </si>
  <si>
    <t>BENEDITO DE OLIVEIRA</t>
  </si>
  <si>
    <t>LILIANE COELHO DE SOUZA</t>
  </si>
  <si>
    <t>ZAKAE SHIMOSE</t>
  </si>
  <si>
    <t xml:space="preserve">SANDRO APARECIDO </t>
  </si>
  <si>
    <t>ZULEIKA ELIANA</t>
  </si>
  <si>
    <t>ricardo henrique</t>
  </si>
  <si>
    <t xml:space="preserve">VANIA APARECIDA </t>
  </si>
  <si>
    <t>PARC. 9/10</t>
  </si>
  <si>
    <t>BARBARA APARECIDA</t>
  </si>
  <si>
    <t>LETICIA DA SILVA NOGUEIRA</t>
  </si>
  <si>
    <t>MIRIAM DE OLIVEIRA G SANTANA</t>
  </si>
  <si>
    <t>BIANCA CARDOZO BARBOZA</t>
  </si>
  <si>
    <t>ANTONIA DIAS DA SILVA</t>
  </si>
  <si>
    <t>APARECIDA MARIA DE OLIVEIRA NASCIMENTO</t>
  </si>
  <si>
    <t>JOÃO VITOR DE ANDRADE FERREIRA</t>
  </si>
  <si>
    <t>WILLAM</t>
  </si>
  <si>
    <t>ALICE VALENTINA</t>
  </si>
  <si>
    <t>ROSANGELA CREMES DOS SANTOS</t>
  </si>
  <si>
    <t>JAIRO VALERIO FERREIRA</t>
  </si>
  <si>
    <t>LUIZ GERALDO GOMES DIAS</t>
  </si>
  <si>
    <t>ELIEL DUARTE SILVA</t>
  </si>
  <si>
    <t>PARC. 7/9</t>
  </si>
  <si>
    <t>RONIELA DA SILVA</t>
  </si>
  <si>
    <t>PARC. 3/3</t>
  </si>
  <si>
    <t>BRUNO DA SILVA</t>
  </si>
  <si>
    <t>FERNANDO MACEDO</t>
  </si>
  <si>
    <t>condução</t>
  </si>
  <si>
    <t>FOLHA DE SULFITE</t>
  </si>
  <si>
    <t>JOSE ALVES DOS SANTOS</t>
  </si>
  <si>
    <t>LUCIMARA ALMEIDA</t>
  </si>
  <si>
    <t xml:space="preserve">ANA MARTA DANTAS </t>
  </si>
  <si>
    <t xml:space="preserve">JULIETA MATHEUS </t>
  </si>
  <si>
    <t xml:space="preserve">JOÃO BATISTA I. BORGES </t>
  </si>
  <si>
    <t>FERNANDA AP.ROCHA</t>
  </si>
  <si>
    <t xml:space="preserve">gabriel dos santos </t>
  </si>
  <si>
    <t xml:space="preserve">agnaldo dos santos </t>
  </si>
  <si>
    <t>VANDERLEIA VIANA</t>
  </si>
  <si>
    <t>PARC. 2/6</t>
  </si>
  <si>
    <t>cleiton angelo neto</t>
  </si>
  <si>
    <t>bonifacio da silva</t>
  </si>
  <si>
    <t>willian</t>
  </si>
  <si>
    <t>valter gomes</t>
  </si>
  <si>
    <t>marta vaz</t>
  </si>
  <si>
    <t xml:space="preserve">ana patria </t>
  </si>
  <si>
    <t xml:space="preserve">maria efigenia </t>
  </si>
  <si>
    <t>luis carlos eliseu</t>
  </si>
  <si>
    <t>ligia a. mendonça</t>
  </si>
  <si>
    <t>benedito salviano</t>
  </si>
  <si>
    <t>silvia braga</t>
  </si>
  <si>
    <t>manoel vieira da silva</t>
  </si>
  <si>
    <t>emily rayssa</t>
  </si>
  <si>
    <t xml:space="preserve">lucimara almeida </t>
  </si>
  <si>
    <t>JOSE CARLOS FERREIRA</t>
  </si>
  <si>
    <t>SOLANGE DE JESUS</t>
  </si>
  <si>
    <t>ANTONIO JOSE</t>
  </si>
  <si>
    <t>EDVALDO BISPO</t>
  </si>
  <si>
    <t>CLAUDIA MATOS</t>
  </si>
  <si>
    <t>RAUL ALVES</t>
  </si>
  <si>
    <t>JAKELINE RODRIGUES</t>
  </si>
  <si>
    <t>MARIA NILZA</t>
  </si>
  <si>
    <t>VALQUIRIA GOMES</t>
  </si>
  <si>
    <t>VIVIANI CAMPOS</t>
  </si>
  <si>
    <t>THAIS EDUARDA</t>
  </si>
  <si>
    <t xml:space="preserve">ONEZIO  PEREIRA </t>
  </si>
  <si>
    <t>PATRICIA DE FATIMA</t>
  </si>
  <si>
    <t>AMANDA REIS</t>
  </si>
  <si>
    <t>IVAN AMARO</t>
  </si>
  <si>
    <t>PARC. 2/4</t>
  </si>
  <si>
    <t>ISMAEL OLIVEIRA</t>
  </si>
  <si>
    <t>PARC. 8/10</t>
  </si>
  <si>
    <t>JOSIAS ALMEIDA</t>
  </si>
  <si>
    <t>MARIA DO SOCORRO</t>
  </si>
  <si>
    <t>MAURICIO MONTEIRO</t>
  </si>
  <si>
    <t>CATIA CRISTINA</t>
  </si>
  <si>
    <t>GLORIA AMPARO</t>
  </si>
  <si>
    <t>MARIA ELENA</t>
  </si>
  <si>
    <t>TAUANE MAYUME</t>
  </si>
  <si>
    <t xml:space="preserve">ANTONIO JOSE </t>
  </si>
  <si>
    <t xml:space="preserve">THAIS REGINS </t>
  </si>
  <si>
    <t>JEFERSON DE MOURA</t>
  </si>
  <si>
    <t>ANA PAULA</t>
  </si>
  <si>
    <t>LUCIANA LACERDA</t>
  </si>
  <si>
    <t>JOSE FERNANDO</t>
  </si>
  <si>
    <t>MEIRE NUNES</t>
  </si>
  <si>
    <t>EDVALDO ALVES</t>
  </si>
  <si>
    <t>PARC. 8/8</t>
  </si>
  <si>
    <t>JOAO CORA</t>
  </si>
  <si>
    <t>josevane maria</t>
  </si>
  <si>
    <t>ninalva batista</t>
  </si>
  <si>
    <t>atilas de carvalho</t>
  </si>
  <si>
    <t>ana carolina</t>
  </si>
  <si>
    <t>carlos lionis</t>
  </si>
  <si>
    <t xml:space="preserve">osvaldo anjos </t>
  </si>
  <si>
    <t>maria irene</t>
  </si>
  <si>
    <t>maria reis</t>
  </si>
  <si>
    <t>NATALIA NATSUMI KOGA</t>
  </si>
  <si>
    <t>MARIA APARECIDA</t>
  </si>
  <si>
    <t>CARLOS APARECIDO</t>
  </si>
  <si>
    <t>MARIA APRECIDA DE SOUZA</t>
  </si>
  <si>
    <t>VITORIA ALVES</t>
  </si>
  <si>
    <t>Tipo Pagto</t>
  </si>
  <si>
    <t>descricao</t>
  </si>
  <si>
    <t xml:space="preserve">Parcelas </t>
  </si>
  <si>
    <t>Dinheiro</t>
  </si>
  <si>
    <t>PARC. 1/1</t>
  </si>
  <si>
    <t>Cartão Débito</t>
  </si>
  <si>
    <t>PARC. 1/2</t>
  </si>
  <si>
    <t>Cartão Crédito</t>
  </si>
  <si>
    <t>Parcelado Cartão Crédito</t>
  </si>
  <si>
    <t>PARC. 1/3</t>
  </si>
  <si>
    <t>Sem Sinal</t>
  </si>
  <si>
    <t xml:space="preserve">Carne </t>
  </si>
  <si>
    <t>Todas as Garantias</t>
  </si>
  <si>
    <t>PARC. 4/4</t>
  </si>
  <si>
    <t>PARC. 1/5</t>
  </si>
  <si>
    <t>PARC. 2/5</t>
  </si>
  <si>
    <t>PARC. 3/5</t>
  </si>
  <si>
    <t>PARC. 5/5</t>
  </si>
  <si>
    <t>PARC. 5/6</t>
  </si>
  <si>
    <t>PARC. 4/7</t>
  </si>
  <si>
    <t>PARC. 5/7</t>
  </si>
  <si>
    <t>PARC. 6/7</t>
  </si>
  <si>
    <t>PARC. 7/7</t>
  </si>
  <si>
    <t>PARC. 1/8</t>
  </si>
  <si>
    <t>PARC. 6/8</t>
  </si>
  <si>
    <t>PARC. 1/9</t>
  </si>
  <si>
    <t>PARC. 2/9</t>
  </si>
  <si>
    <t>PARC. 3/9</t>
  </si>
  <si>
    <t>PARC. 4/9</t>
  </si>
  <si>
    <t>PARC. 5/9</t>
  </si>
  <si>
    <t>PARC. 6/9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</si>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</sst>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3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sz val="12"/>
      <name val="Arial Black"/>
      <family val="2"/>
    </font>
    <font>
      <b/>
      <i/>
      <sz val="11"/>
      <name val="Calibri"/>
      <family val="2"/>
    </font>
    <font>
      <sz val="12"/>
      <name val="Arial"/>
    </font>
    <font>
      <sz val="11"/>
      <name val="Calibri"/>
    </font>
    <font>
      <b/>
      <sz val="11"/>
      <name val="Calibri"/>
      <family val="2"/>
    </font>
    <font>
      <u/>
      <sz val="24"/>
      <name val="Castellar"/>
      <family val="1"/>
    </font>
    <font>
      <b/>
      <i/>
      <sz val="11"/>
      <name val="Calibri"/>
      <family val="2"/>
      <scheme val="minor"/>
    </font>
    <font>
      <b/>
      <i/>
      <sz val="1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96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44" fontId="0" fillId="0" borderId="13" xfId="39" applyFont="1" applyFill="1" applyBorder="1" applyAlignment="1">
      <alignment horizontal="center"/>
    </xf>
    <xf numFmtId="165" fontId="0" fillId="0" borderId="13" xfId="4" applyNumberFormat="1" applyFont="1" applyFill="1" applyBorder="1" applyAlignment="1">
      <alignment horizontal="center"/>
    </xf>
    <xf numFmtId="49" fontId="0" fillId="0" borderId="13" xfId="39" applyNumberFormat="1" applyFont="1" applyFill="1" applyBorder="1" applyAlignment="1">
      <alignment horizontal="center"/>
    </xf>
    <xf numFmtId="49" fontId="0" fillId="0" borderId="17" xfId="39" applyNumberFormat="1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165" fontId="13" fillId="0" borderId="13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0" fontId="13" fillId="0" borderId="17" xfId="4" applyNumberFormat="1" applyFont="1" applyFill="1" applyBorder="1" applyAlignment="1">
      <alignment horizontal="center"/>
    </xf>
    <xf numFmtId="49" fontId="31" fillId="0" borderId="13" xfId="39" applyNumberFormat="1" applyFont="1" applyFill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9" fontId="31" fillId="0" borderId="17" xfId="39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1" fillId="0" borderId="17" xfId="39" applyNumberFormat="1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0" fontId="34" fillId="0" borderId="17" xfId="0" applyFont="1" applyBorder="1" applyAlignment="1">
      <alignment horizontal="center"/>
    </xf>
    <xf numFmtId="165" fontId="34" fillId="0" borderId="17" xfId="0" applyNumberFormat="1" applyFont="1" applyBorder="1" applyAlignment="1">
      <alignment horizontal="center"/>
    </xf>
    <xf numFmtId="165" fontId="34" fillId="0" borderId="6" xfId="0" applyNumberFormat="1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6" fillId="0" borderId="17" xfId="0" applyFont="1" applyBorder="1" applyAlignment="1">
      <alignment horizontal="center"/>
    </xf>
    <xf numFmtId="164" fontId="5" fillId="0" borderId="17" xfId="2" applyFont="1" applyFill="1" applyBorder="1" applyAlignment="1">
      <alignment horizontal="center"/>
    </xf>
    <xf numFmtId="165" fontId="5" fillId="0" borderId="17" xfId="4" applyNumberFormat="1" applyFont="1" applyFill="1" applyBorder="1" applyAlignment="1">
      <alignment horizontal="center"/>
    </xf>
    <xf numFmtId="164" fontId="37" fillId="0" borderId="17" xfId="2" applyFont="1" applyFill="1" applyBorder="1" applyAlignment="1">
      <alignment horizontal="center"/>
    </xf>
    <xf numFmtId="164" fontId="38" fillId="0" borderId="17" xfId="2" applyFont="1" applyFill="1" applyBorder="1" applyAlignment="1">
      <alignment horizontal="center"/>
    </xf>
    <xf numFmtId="0" fontId="30" fillId="0" borderId="13" xfId="0" applyFont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0" fontId="39" fillId="0" borderId="17" xfId="0" applyFont="1" applyBorder="1" applyAlignment="1">
      <alignment horizontal="center"/>
    </xf>
    <xf numFmtId="14" fontId="40" fillId="0" borderId="0" xfId="0" applyNumberFormat="1" applyFont="1" applyAlignment="1">
      <alignment horizontal="center"/>
    </xf>
    <xf numFmtId="165" fontId="41" fillId="0" borderId="6" xfId="0" applyNumberFormat="1" applyFont="1" applyBorder="1" applyAlignment="1">
      <alignment horizontal="center"/>
    </xf>
    <xf numFmtId="1" fontId="41" fillId="0" borderId="17" xfId="0" applyNumberFormat="1" applyFont="1" applyBorder="1" applyAlignment="1">
      <alignment horizontal="center"/>
    </xf>
    <xf numFmtId="165" fontId="41" fillId="0" borderId="17" xfId="0" applyNumberFormat="1" applyFont="1" applyBorder="1" applyAlignment="1">
      <alignment horizontal="center"/>
    </xf>
    <xf numFmtId="0" fontId="42" fillId="0" borderId="17" xfId="0" applyFont="1" applyBorder="1" applyAlignment="1">
      <alignment horizontal="center"/>
    </xf>
    <xf numFmtId="164" fontId="41" fillId="0" borderId="17" xfId="2" applyFont="1" applyFill="1" applyBorder="1" applyAlignment="1">
      <alignment horizontal="center"/>
    </xf>
    <xf numFmtId="165" fontId="41" fillId="0" borderId="17" xfId="4" applyNumberFormat="1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31190" displayName="vend31190" ref="E5:I22" totalsRowShown="0" headerRowDxfId="1644" dataDxfId="1642" headerRowBorderDxfId="1643" tableBorderDxfId="1641" totalsRowBorderDxfId="1640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9" dataCellStyle="Moeda"/>
    <tableColumn id="5" xr3:uid="{45BECD08-8ABE-4A34-BD78-E2D3AFB8C62A}" name="Cliente" dataDxfId="1638" dataCellStyle="Moeda"/>
    <tableColumn id="2" xr3:uid="{A0D6666C-9CF7-4343-AF6B-BDFE62F94469}" name="Forma de Pgto" dataDxfId="1637" dataCellStyle="Moeda"/>
    <tableColumn id="3" xr3:uid="{988F127F-9D83-4428-BB94-C16FBBB1BD89}" name="Valor Venda" dataDxfId="1636" dataCellStyle="Porcentagem"/>
    <tableColumn id="4" xr3:uid="{6A2928C3-17B0-4FA3-B60C-9E1A2C0324E1}" name="Entrada" dataDxfId="1635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31191" displayName="desp31191" ref="K5:M11" totalsRowShown="0" headerRowDxfId="1634" dataDxfId="1632" headerRowBorderDxfId="1633" tableBorderDxfId="1631" totalsRowBorderDxfId="1630">
  <autoFilter ref="K5:M11" xr:uid="{DD403130-B35C-452C-92F9-290622D77A3D}"/>
  <tableColumns count="3">
    <tableColumn id="1" xr3:uid="{FAD87634-3375-4B41-BEC0-5B072F6B52CE}" name="Descrição" dataDxfId="1629"/>
    <tableColumn id="2" xr3:uid="{7688071E-9548-4552-8BB1-3BA5128DF645}" name="Tipo de Pagto" dataDxfId="1628"/>
    <tableColumn id="3" xr3:uid="{2B260C33-79A5-4C5D-9195-15780C53A861}" name="Valor" dataDxfId="16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31192" displayName="rest_entr31192" ref="E25:I31" totalsRowShown="0" headerRowDxfId="1626" dataDxfId="1624" headerRowBorderDxfId="1625" tableBorderDxfId="1623" totalsRowBorderDxfId="1622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21"/>
    <tableColumn id="2" xr3:uid="{606BE417-6802-4580-90D2-86F95EFAAEB7}" name="Cliente" dataDxfId="1620"/>
    <tableColumn id="3" xr3:uid="{2F522A54-F708-4DA3-97E3-CE7C29912E04}" name="Forma de Pgto" dataDxfId="1619" dataCellStyle="Moeda"/>
    <tableColumn id="4" xr3:uid="{7B46EE64-F7F1-4449-A783-67286A94A7C4}" name="Valor Venda" dataDxfId="1618" dataCellStyle="Porcentagem"/>
    <tableColumn id="5" xr3:uid="{389A7D1A-3C35-485E-9958-8A78EF77BE9B}" name="Entrada" dataDxfId="1617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31193" displayName="os_entr_dia31193" ref="K14:M31" totalsRowShown="0" headerRowDxfId="1616" dataDxfId="1614" headerRowBorderDxfId="1615" tableBorderDxfId="1613" totalsRowBorderDxfId="1612">
  <autoFilter ref="K14:M31" xr:uid="{F07D43AD-1A4D-4B31-96B8-824F8623E518}"/>
  <tableColumns count="3">
    <tableColumn id="1" xr3:uid="{3AF01421-A7B6-4D23-9DA8-C20FAFAFDD9C}" name="OS" dataDxfId="1611"/>
    <tableColumn id="2" xr3:uid="{55DCC30E-EB52-427E-A16A-B2C93A41F1CE}" name="Vendedor" dataDxfId="1610"/>
    <tableColumn id="3" xr3:uid="{23EDA46C-42B4-4F6C-97D9-7040D6B9797C}" name="CARNE" dataDxfId="160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31194" displayName="rec_carn31194" ref="E34:I41" totalsRowShown="0" headerRowDxfId="1608" dataDxfId="1606" headerRowBorderDxfId="1607" tableBorderDxfId="1605" totalsRowBorderDxfId="1604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03"/>
    <tableColumn id="2" xr3:uid="{FBA6EA78-F44B-4D22-A27A-92A91C10551F}" name="Cliente" dataDxfId="1602"/>
    <tableColumn id="3" xr3:uid="{749B4D89-29B3-4987-91D3-6BA3C44D9B96}" name="Forma de Pgto" dataDxfId="1601" dataCellStyle="Moeda"/>
    <tableColumn id="4" xr3:uid="{A84A6598-B291-4809-A78D-AB810461733D}" name="Valor Parcela" dataDxfId="1600" dataCellStyle="Porcentagem"/>
    <tableColumn id="5" xr3:uid="{3C45FEEC-5E06-4ED7-87CD-0097DB6BC817}" name="Nº Parcela" dataDxfId="1599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31195" displayName="entr_carn31195" ref="K34:M41" totalsRowShown="0" headerRowDxfId="1598" headerRowBorderDxfId="1597" tableBorderDxfId="1596" totalsRowBorderDxfId="1595">
  <autoFilter ref="K34:M41" xr:uid="{42BA126A-AECD-4CD6-8583-BD2352D82FB9}"/>
  <tableColumns count="3">
    <tableColumn id="1" xr3:uid="{0989D88A-7CB7-4008-94FC-B7FFB3CAE582}" name="OS" dataDxfId="1594"/>
    <tableColumn id="2" xr3:uid="{AC9D76CC-A537-4210-9893-E8C57DA30B4D}" name="Parcelas" dataDxfId="1593"/>
    <tableColumn id="3" xr3:uid="{D4D72E6E-DAE0-4860-8606-BFD8E469AE3D}" name="Valor Total" dataDxfId="159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89" headerRowBorderDxfId="1590" tableBorderDxfId="1588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79" headerRowBorderDxfId="1580" tableBorderDxfId="1578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1" headerRowBorderDxfId="1572" tableBorderDxfId="1570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1" headerRowBorderDxfId="1562" tableBorderDxfId="1560" totalsRowBorderDxfId="1559">
  <autoFilter ref="K14:M31" xr:uid="{C83FE64B-E221-4DAA-89EA-5307A7BC98B3}"/>
  <tableColumns count="3">
    <tableColumn id="1" xr3:uid="{B4C5A0E6-F291-4369-998D-321E2024DFE1}" name="OS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3" headerRowBorderDxfId="1554" tableBorderDxfId="1552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4" tableBorderDxfId="1543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1" tableBorderDxfId="1490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8" tableBorderDxfId="1437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5" tableBorderDxfId="1384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2" tableBorderDxfId="1331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1" totalsRowShown="0" headerRowDxfId="1237" dataDxfId="1235" headerRowBorderDxfId="1236" tableBorderDxfId="1234" totalsRowBorderDxfId="12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1" totalsRowShown="0" headerRowDxfId="1149" dataDxfId="1147" headerRowBorderDxfId="1148" tableBorderDxfId="1146" totalsRowBorderDxfId="11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4:I41" totalsRowShown="0" headerRowDxfId="1131" dataDxfId="1129" headerRowBorderDxfId="1130" tableBorderDxfId="1128" totalsRowBorderDxfId="11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2" totalsRowShown="0" headerRowDxfId="743" dataDxfId="741" headerRowBorderDxfId="742" tableBorderDxfId="740" totalsRowBorderDxfId="7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442" dataDxfId="440" headerRowBorderDxfId="441" tableBorderDxfId="439" totalsRowBorderDxfId="43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sortState xmlns:xlrd2="http://schemas.microsoft.com/office/spreadsheetml/2017/richdata2" ref="K35:M41">
    <sortCondition ref="K34:K41"/>
  </sortState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2.xml"/><Relationship Id="rId7" Type="http://schemas.openxmlformats.org/officeDocument/2006/relationships/table" Target="../tables/table186.xml"/><Relationship Id="rId2" Type="http://schemas.openxmlformats.org/officeDocument/2006/relationships/table" Target="../tables/table181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5.xml"/><Relationship Id="rId5" Type="http://schemas.openxmlformats.org/officeDocument/2006/relationships/table" Target="../tables/table184.xml"/><Relationship Id="rId4" Type="http://schemas.openxmlformats.org/officeDocument/2006/relationships/table" Target="../tables/table183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8.xml"/><Relationship Id="rId1" Type="http://schemas.openxmlformats.org/officeDocument/2006/relationships/table" Target="../tables/table1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2:B18"/>
  <sheetViews>
    <sheetView workbookViewId="0">
      <selection activeCell="A21" sqref="A21"/>
    </sheetView>
  </sheetViews>
  <sheetFormatPr defaultColWidth="21.28515625" defaultRowHeight="12.75" x14ac:dyDescent="0.2"/>
  <cols>
    <col min="2" max="2" width="22.7109375" customWidth="1"/>
  </cols>
  <sheetData>
    <row r="2" spans="1:2" ht="15" x14ac:dyDescent="0.2">
      <c r="A2" s="19" t="s">
        <v>0</v>
      </c>
      <c r="B2" s="20">
        <v>0</v>
      </c>
    </row>
    <row r="3" spans="1:2" ht="15" x14ac:dyDescent="0.2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95345.53</v>
      </c>
    </row>
    <row r="4" spans="1:2" ht="15" x14ac:dyDescent="0.25">
      <c r="A4" s="23" t="s">
        <v>2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73175.53</v>
      </c>
    </row>
    <row r="5" spans="1:2" ht="15" x14ac:dyDescent="0.2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46.25</v>
      </c>
    </row>
    <row r="6" spans="1:2" ht="15.75" x14ac:dyDescent="0.25">
      <c r="A6" s="28" t="s">
        <v>4</v>
      </c>
      <c r="B6" s="29">
        <f>SUM(B4:B5)</f>
        <v>73221.78</v>
      </c>
    </row>
    <row r="7" spans="1:2" ht="15" x14ac:dyDescent="0.25">
      <c r="A7" s="2"/>
      <c r="B7" s="2"/>
    </row>
    <row r="8" spans="1:2" ht="15" x14ac:dyDescent="0.2">
      <c r="A8" s="87" t="s">
        <v>5</v>
      </c>
      <c r="B8" s="87"/>
    </row>
    <row r="9" spans="1:2" ht="15" x14ac:dyDescent="0.25">
      <c r="A9" s="30" t="s">
        <v>6</v>
      </c>
      <c r="B9" s="24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5679</v>
      </c>
    </row>
    <row r="10" spans="1:2" ht="15" x14ac:dyDescent="0.25">
      <c r="A10" s="30" t="s">
        <v>7</v>
      </c>
      <c r="B10" s="24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10844.029999999999</v>
      </c>
    </row>
    <row r="11" spans="1:2" ht="15" x14ac:dyDescent="0.25">
      <c r="A11" s="30" t="s">
        <v>8</v>
      </c>
      <c r="B11" s="24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24044.960000000003</v>
      </c>
    </row>
    <row r="12" spans="1:2" ht="15" x14ac:dyDescent="0.25">
      <c r="A12" s="30" t="s">
        <v>9</v>
      </c>
      <c r="B12" s="24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26563.989999999998</v>
      </c>
    </row>
    <row r="13" spans="1:2" ht="15" x14ac:dyDescent="0.25">
      <c r="A13" s="30" t="s">
        <v>10</v>
      </c>
      <c r="B13" s="24">
        <f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10480.629999999999</v>
      </c>
    </row>
    <row r="14" spans="1:2" ht="15.75" x14ac:dyDescent="0.25">
      <c r="A14" s="28" t="s">
        <v>11</v>
      </c>
      <c r="B14" s="32">
        <f>SUM(B9:B13)</f>
        <v>77612.610000000015</v>
      </c>
    </row>
    <row r="15" spans="1:2" ht="15" x14ac:dyDescent="0.25">
      <c r="A15" s="2"/>
      <c r="B15" s="2"/>
    </row>
    <row r="16" spans="1:2" ht="15" x14ac:dyDescent="0.2">
      <c r="A16" s="87" t="s">
        <v>12</v>
      </c>
      <c r="B16" s="87"/>
    </row>
    <row r="17" spans="1:2" ht="15" x14ac:dyDescent="0.25">
      <c r="A17" s="30">
        <f>COUNT(#REF!)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7437</v>
      </c>
    </row>
    <row r="18" spans="1:2" ht="15.75" x14ac:dyDescent="0.25">
      <c r="A18" s="28" t="s">
        <v>11</v>
      </c>
      <c r="B18" s="32">
        <f>SUM(B17:B17)</f>
        <v>7437</v>
      </c>
    </row>
  </sheetData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topLeftCell="A16" zoomScale="80" zoomScaleNormal="80" workbookViewId="0">
      <selection activeCell="B2" sqref="B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v>45292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5" t="s">
        <v>1</v>
      </c>
      <c r="F4" s="95"/>
      <c r="G4" s="95"/>
      <c r="H4" s="95"/>
      <c r="I4" s="95"/>
      <c r="J4" s="22"/>
      <c r="K4" s="89" t="s">
        <v>3</v>
      </c>
      <c r="L4" s="90"/>
      <c r="M4" s="9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IF(vend31190[[#This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IF(vend31190[[#This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IF(vend31190[[#This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IF(vend31190[[#This Row],[Nº Venda]]&gt;1,1,0)</f>
        <v>0</v>
      </c>
    </row>
    <row r="10" spans="2:18" ht="15.75" x14ac:dyDescent="0.25">
      <c r="B10" s="87" t="s">
        <v>5</v>
      </c>
      <c r="C10" s="8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IF(vend31190[[#This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IF(vend31190[[#This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IF(vend31190[[#This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9" t="s">
        <v>22</v>
      </c>
      <c r="L13" s="90"/>
      <c r="M13" s="91"/>
      <c r="R13" s="1">
        <f>IF(vend31190[[#This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IF(vend31190[[#This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IF(vend31190[[#This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IF(vend31190[[#This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IF(vend31190[[#This Row],[Nº Venda]]&gt;1,1,0)</f>
        <v>0</v>
      </c>
    </row>
    <row r="18" spans="2:18" ht="15.75" x14ac:dyDescent="0.25">
      <c r="B18" s="87" t="s">
        <v>12</v>
      </c>
      <c r="C18" s="8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IF(vend31190[[#This Row],[Nº Venda]]&gt;1,1,0)</f>
        <v>0</v>
      </c>
    </row>
    <row r="19" spans="2:18" ht="15.75" x14ac:dyDescent="0.25">
      <c r="B19" s="30">
        <f>COUNT(entr_carn31195[OS])</f>
        <v>0</v>
      </c>
      <c r="C19" s="31">
        <f>SUM(entr_carn31195[Valor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IF(vend31190[[#This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IF(vend31190[[#This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26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3" type="noConversion"/>
  <dataValidations disablePrompts="1" count="2">
    <dataValidation type="list" allowBlank="1" showInputMessage="1" showErrorMessage="1" sqref="M15:M31" xr:uid="{41BC2770-4628-466A-8A8E-25736D42D595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D750A6A5-C201-4190-B207-F5C8AA22818D}">
          <x14:formula1>
            <xm:f>base!$A$2:$A$9</xm:f>
          </x14:formula1>
          <xm:sqref>G6:G22 G35:G41</xm:sqref>
        </x14:dataValidation>
        <x14:dataValidation type="list" allowBlank="1" showInputMessage="1" showErrorMessage="1" xr:uid="{EA02ED54-2EDC-4F48-9411-38520FE9FF7F}">
          <x14:formula1>
            <xm:f>base!$E$2:$E$79</xm:f>
          </x14:formula1>
          <xm:sqref>I35:I41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R41"/>
  <sheetViews>
    <sheetView showGridLines="0" topLeftCell="A7" zoomScale="60" zoomScaleNormal="80" workbookViewId="0">
      <selection activeCell="E7" sqref="E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8.7109375" style="1" bestFit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'01'!B1+1</f>
        <v>45293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5" t="s">
        <v>1</v>
      </c>
      <c r="F4" s="95"/>
      <c r="G4" s="95"/>
      <c r="H4" s="95"/>
      <c r="I4" s="95"/>
      <c r="J4" s="22"/>
      <c r="K4" s="89" t="s">
        <v>3</v>
      </c>
      <c r="L4" s="90"/>
      <c r="M4" s="91"/>
    </row>
    <row r="5" spans="2:18" ht="15" x14ac:dyDescent="0.25">
      <c r="B5" s="23" t="s">
        <v>1</v>
      </c>
      <c r="C5" s="24">
        <f>SUMIF(I6:I31,"&gt;0",H6:H31)</f>
        <v>1189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1039</v>
      </c>
      <c r="D6" s="2"/>
      <c r="E6" s="18">
        <v>8433</v>
      </c>
      <c r="F6" s="25" t="s">
        <v>34</v>
      </c>
      <c r="G6" s="26" t="s">
        <v>8</v>
      </c>
      <c r="H6" s="8">
        <v>69</v>
      </c>
      <c r="I6" s="8">
        <v>69</v>
      </c>
      <c r="J6" s="2"/>
      <c r="K6" s="25"/>
      <c r="L6" s="9"/>
      <c r="M6" s="16"/>
      <c r="R6" s="1">
        <f>IF(vend2[[#This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8434</v>
      </c>
      <c r="F7" s="25" t="s">
        <v>35</v>
      </c>
      <c r="G7" s="26" t="s">
        <v>6</v>
      </c>
      <c r="H7" s="8">
        <v>270</v>
      </c>
      <c r="I7" s="8">
        <v>45</v>
      </c>
      <c r="J7" s="2"/>
      <c r="K7" s="25"/>
      <c r="L7" s="9"/>
      <c r="M7" s="16"/>
      <c r="R7" s="1">
        <f>IF(vend2[[#This Row],[Nº Venda]]&gt;1,1,0)</f>
        <v>1</v>
      </c>
    </row>
    <row r="8" spans="2:18" ht="15.75" x14ac:dyDescent="0.25">
      <c r="B8" s="28" t="s">
        <v>21</v>
      </c>
      <c r="C8" s="29">
        <f>SUM(C6:C7)</f>
        <v>1039</v>
      </c>
      <c r="D8" s="2"/>
      <c r="E8" s="18">
        <v>8434</v>
      </c>
      <c r="F8" s="25" t="s">
        <v>35</v>
      </c>
      <c r="G8" s="26" t="s">
        <v>8</v>
      </c>
      <c r="H8" s="8"/>
      <c r="I8" s="8">
        <v>225</v>
      </c>
      <c r="J8" s="2"/>
      <c r="K8" s="25"/>
      <c r="L8" s="9"/>
      <c r="M8" s="16"/>
      <c r="R8" s="1">
        <f>IF(vend2[[#This Row],[Nº Venda]]&gt;1,1,0)</f>
        <v>1</v>
      </c>
    </row>
    <row r="9" spans="2:18" ht="15.75" x14ac:dyDescent="0.25">
      <c r="B9" s="2"/>
      <c r="C9" s="2"/>
      <c r="D9" s="2"/>
      <c r="E9" s="18">
        <v>8435</v>
      </c>
      <c r="F9" s="25" t="s">
        <v>36</v>
      </c>
      <c r="G9" s="26" t="s">
        <v>10</v>
      </c>
      <c r="H9" s="8">
        <v>850</v>
      </c>
      <c r="I9" s="8">
        <v>500</v>
      </c>
      <c r="J9" s="2"/>
      <c r="K9" s="25"/>
      <c r="L9" s="9"/>
      <c r="M9" s="16"/>
      <c r="R9" s="1">
        <f>IF(vend2[[#This Row],[Nº Venda]]&gt;1,1,0)</f>
        <v>1</v>
      </c>
    </row>
    <row r="10" spans="2:18" ht="15.75" x14ac:dyDescent="0.25">
      <c r="B10" s="87" t="s">
        <v>5</v>
      </c>
      <c r="C10" s="8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245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8</v>
      </c>
      <c r="C13" s="31">
        <f t="shared" si="0"/>
        <v>294</v>
      </c>
      <c r="D13" s="2"/>
      <c r="E13" s="18"/>
      <c r="F13" s="25"/>
      <c r="G13" s="26"/>
      <c r="H13" s="8"/>
      <c r="I13" s="8"/>
      <c r="J13" s="2"/>
      <c r="K13" s="89" t="s">
        <v>22</v>
      </c>
      <c r="L13" s="90"/>
      <c r="M13" s="91"/>
      <c r="R13" s="1">
        <f>IF(vend2[[#This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IF(vend2[[#This Row],[Nº Venda]]&gt;1,1,0)</f>
        <v>0</v>
      </c>
    </row>
    <row r="15" spans="2:18" ht="15.75" x14ac:dyDescent="0.25">
      <c r="B15" s="30" t="s">
        <v>10</v>
      </c>
      <c r="C15" s="31">
        <f t="shared" si="0"/>
        <v>634</v>
      </c>
      <c r="D15" s="2"/>
      <c r="E15" s="18"/>
      <c r="F15" s="25"/>
      <c r="G15" s="26"/>
      <c r="H15" s="8"/>
      <c r="I15" s="8"/>
      <c r="J15" s="2"/>
      <c r="K15" s="25">
        <v>8417</v>
      </c>
      <c r="L15" s="9" t="s">
        <v>37</v>
      </c>
      <c r="M15" s="16" t="s">
        <v>38</v>
      </c>
      <c r="R15" s="1">
        <f>IF(vend2[[#This Row],[Nº Venda]]&gt;1,1,0)</f>
        <v>0</v>
      </c>
    </row>
    <row r="16" spans="2:18" ht="15.75" x14ac:dyDescent="0.25">
      <c r="B16" s="28" t="s">
        <v>11</v>
      </c>
      <c r="C16" s="32">
        <f>SUM(C11:C15)</f>
        <v>1173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.75" x14ac:dyDescent="0.25">
      <c r="B18" s="87" t="s">
        <v>12</v>
      </c>
      <c r="C18" s="8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 x14ac:dyDescent="0.25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1189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 t="s">
        <v>39</v>
      </c>
      <c r="G26" s="26" t="s">
        <v>6</v>
      </c>
      <c r="H26" s="8"/>
      <c r="I26" s="8">
        <v>200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8117</v>
      </c>
      <c r="F35" s="25" t="s">
        <v>40</v>
      </c>
      <c r="G35" s="26" t="s">
        <v>10</v>
      </c>
      <c r="H35" s="8">
        <v>50</v>
      </c>
      <c r="I35" s="8" t="s">
        <v>41</v>
      </c>
      <c r="K35" s="25"/>
      <c r="L35" s="41"/>
      <c r="M35" s="16"/>
    </row>
    <row r="36" spans="2:18" ht="15.75" x14ac:dyDescent="0.25">
      <c r="E36" s="18">
        <v>8031</v>
      </c>
      <c r="F36" s="25" t="s">
        <v>42</v>
      </c>
      <c r="G36" s="26" t="s">
        <v>10</v>
      </c>
      <c r="H36" s="8">
        <v>54</v>
      </c>
      <c r="I36" s="8" t="s">
        <v>43</v>
      </c>
      <c r="K36" s="25"/>
      <c r="L36" s="41"/>
      <c r="M36" s="16"/>
    </row>
    <row r="37" spans="2:18" ht="15.75" x14ac:dyDescent="0.25">
      <c r="E37" s="18">
        <v>2076938</v>
      </c>
      <c r="F37" s="25" t="s">
        <v>44</v>
      </c>
      <c r="G37" s="26" t="s">
        <v>10</v>
      </c>
      <c r="H37" s="8">
        <v>30</v>
      </c>
      <c r="I37" s="8" t="s">
        <v>45</v>
      </c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4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zoomScale="80" zoomScaleNormal="80" workbookViewId="0">
      <selection activeCell="E10" sqref="E1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'02'!B1+1</f>
        <v>45294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5" t="s">
        <v>1</v>
      </c>
      <c r="F4" s="95"/>
      <c r="G4" s="95"/>
      <c r="H4" s="95"/>
      <c r="I4" s="95"/>
      <c r="J4" s="22"/>
      <c r="K4" s="89" t="s">
        <v>3</v>
      </c>
      <c r="L4" s="90"/>
      <c r="M4" s="91"/>
    </row>
    <row r="5" spans="2:18" ht="15" x14ac:dyDescent="0.25">
      <c r="B5" s="23" t="s">
        <v>1</v>
      </c>
      <c r="C5" s="24">
        <f>SUMIF(I6:I31,"&gt;0",H6:H31)</f>
        <v>49.99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49.99</v>
      </c>
      <c r="D6" s="2"/>
      <c r="E6" s="18">
        <v>8437</v>
      </c>
      <c r="F6" s="25" t="s">
        <v>46</v>
      </c>
      <c r="G6" s="46" t="s">
        <v>47</v>
      </c>
      <c r="H6" s="8">
        <v>50</v>
      </c>
      <c r="I6" s="8"/>
      <c r="J6" s="2"/>
      <c r="K6" s="25"/>
      <c r="L6" s="9"/>
      <c r="M6" s="16"/>
      <c r="R6" s="1">
        <f>IF(vend3[[#This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8438</v>
      </c>
      <c r="F7" s="25" t="s">
        <v>48</v>
      </c>
      <c r="G7" s="26" t="s">
        <v>49</v>
      </c>
      <c r="H7" s="8"/>
      <c r="I7" s="8"/>
      <c r="J7" s="2"/>
      <c r="K7" s="25"/>
      <c r="L7" s="9"/>
      <c r="M7" s="16"/>
      <c r="R7" s="1">
        <f>IF(vend3[[#This Row],[Nº Venda]]&gt;1,1,0)</f>
        <v>1</v>
      </c>
    </row>
    <row r="8" spans="2:18" ht="15.75" x14ac:dyDescent="0.25">
      <c r="B8" s="28" t="s">
        <v>21</v>
      </c>
      <c r="C8" s="29">
        <f>SUM(C6:C7)</f>
        <v>49.99</v>
      </c>
      <c r="D8" s="2"/>
      <c r="E8" s="18">
        <v>8439</v>
      </c>
      <c r="F8" s="25" t="s">
        <v>48</v>
      </c>
      <c r="G8" s="26" t="s">
        <v>49</v>
      </c>
      <c r="H8" s="8"/>
      <c r="I8" s="8"/>
      <c r="J8" s="2"/>
      <c r="K8" s="25"/>
      <c r="L8" s="9"/>
      <c r="M8" s="16"/>
      <c r="R8" s="1">
        <f>IF(vend3[[#This Row],[Nº Venda]]&gt;1,1,0)</f>
        <v>1</v>
      </c>
    </row>
    <row r="9" spans="2:18" ht="15.75" x14ac:dyDescent="0.25">
      <c r="B9" s="2"/>
      <c r="C9" s="2"/>
      <c r="D9" s="2"/>
      <c r="E9" s="18">
        <v>8440</v>
      </c>
      <c r="F9" s="25" t="s">
        <v>50</v>
      </c>
      <c r="G9" s="26" t="s">
        <v>49</v>
      </c>
      <c r="H9" s="8"/>
      <c r="I9" s="8"/>
      <c r="J9" s="2"/>
      <c r="K9" s="25"/>
      <c r="L9" s="9"/>
      <c r="M9" s="16"/>
      <c r="R9" s="1">
        <f>IF(vend3[[#This Row],[Nº Venda]]&gt;1,1,0)</f>
        <v>1</v>
      </c>
    </row>
    <row r="10" spans="2:18" ht="15.75" x14ac:dyDescent="0.25">
      <c r="B10" s="87" t="s">
        <v>5</v>
      </c>
      <c r="C10" s="87"/>
      <c r="D10" s="2"/>
      <c r="E10" s="18">
        <v>8441</v>
      </c>
      <c r="F10" s="25" t="s">
        <v>51</v>
      </c>
      <c r="G10" s="26" t="s">
        <v>7</v>
      </c>
      <c r="H10" s="8">
        <v>49.99</v>
      </c>
      <c r="I10" s="8">
        <v>49.99</v>
      </c>
      <c r="J10" s="2"/>
      <c r="K10" s="25"/>
      <c r="L10" s="9"/>
      <c r="M10" s="16"/>
      <c r="R10" s="1">
        <f>IF(vend3[[#This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56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49.99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9" t="s">
        <v>22</v>
      </c>
      <c r="L13" s="90"/>
      <c r="M13" s="91"/>
      <c r="R13" s="1">
        <f>IF(vend3[[#This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0</v>
      </c>
    </row>
    <row r="15" spans="2:18" ht="15.75" x14ac:dyDescent="0.25">
      <c r="B15" s="30" t="s">
        <v>10</v>
      </c>
      <c r="C15" s="31">
        <f t="shared" si="0"/>
        <v>95</v>
      </c>
      <c r="D15" s="2"/>
      <c r="E15" s="18"/>
      <c r="F15" s="25"/>
      <c r="G15" s="26"/>
      <c r="H15" s="8"/>
      <c r="I15" s="8"/>
      <c r="J15" s="2"/>
      <c r="K15" s="25">
        <v>8399</v>
      </c>
      <c r="L15" s="9" t="s">
        <v>37</v>
      </c>
      <c r="M15" s="16" t="s">
        <v>38</v>
      </c>
      <c r="R15" s="1">
        <f>IF(vend3[[#This Row],[Nº Venda]]&gt;1,1,0)</f>
        <v>0</v>
      </c>
    </row>
    <row r="16" spans="2:18" ht="15.75" x14ac:dyDescent="0.25">
      <c r="B16" s="28" t="s">
        <v>11</v>
      </c>
      <c r="C16" s="32">
        <f>SUM(C11:C15)</f>
        <v>200.99</v>
      </c>
      <c r="D16" s="2"/>
      <c r="E16" s="18"/>
      <c r="F16" s="25"/>
      <c r="G16" s="26"/>
      <c r="H16" s="8"/>
      <c r="I16" s="8"/>
      <c r="J16" s="2"/>
      <c r="K16" s="25">
        <v>8382</v>
      </c>
      <c r="L16" s="9" t="s">
        <v>52</v>
      </c>
      <c r="M16" s="16" t="s">
        <v>38</v>
      </c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8422</v>
      </c>
      <c r="L17" s="9" t="s">
        <v>37</v>
      </c>
      <c r="M17" s="16" t="s">
        <v>38</v>
      </c>
      <c r="R17" s="1">
        <f>IF(vend3[[#This Row],[Nº Venda]]&gt;1,1,0)</f>
        <v>0</v>
      </c>
    </row>
    <row r="18" spans="2:18" ht="15.75" x14ac:dyDescent="0.25">
      <c r="B18" s="87" t="s">
        <v>12</v>
      </c>
      <c r="C18" s="8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 x14ac:dyDescent="0.2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49.99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7605</v>
      </c>
      <c r="F35" s="25" t="s">
        <v>51</v>
      </c>
      <c r="G35" s="26" t="s">
        <v>10</v>
      </c>
      <c r="H35" s="8">
        <v>95</v>
      </c>
      <c r="I35" s="8" t="s">
        <v>53</v>
      </c>
      <c r="K35" s="25"/>
      <c r="L35" s="41"/>
      <c r="M35" s="16"/>
    </row>
    <row r="36" spans="2:18" ht="15.75" x14ac:dyDescent="0.25">
      <c r="E36" s="18">
        <v>8253</v>
      </c>
      <c r="F36" s="25" t="s">
        <v>54</v>
      </c>
      <c r="G36" s="26" t="s">
        <v>6</v>
      </c>
      <c r="H36" s="8">
        <v>56</v>
      </c>
      <c r="I36" s="8" t="s">
        <v>55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5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topLeftCell="A20" zoomScale="80" zoomScaleNormal="80" workbookViewId="0">
      <selection activeCell="C16" sqref="C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5.855468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'03'!B1+1</f>
        <v>45295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5" t="s">
        <v>1</v>
      </c>
      <c r="F4" s="95"/>
      <c r="G4" s="95"/>
      <c r="H4" s="95"/>
      <c r="I4" s="95"/>
      <c r="J4" s="22"/>
      <c r="K4" s="89" t="s">
        <v>3</v>
      </c>
      <c r="L4" s="90"/>
      <c r="M4" s="91"/>
    </row>
    <row r="5" spans="2:18" ht="15" x14ac:dyDescent="0.25">
      <c r="B5" s="23" t="s">
        <v>1</v>
      </c>
      <c r="C5" s="24">
        <f>SUMIF(I6:I31,"&gt;0",H6:H31)</f>
        <v>1280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1200</v>
      </c>
      <c r="D6" s="2"/>
      <c r="E6" s="18">
        <v>8442</v>
      </c>
      <c r="F6" s="25" t="s">
        <v>56</v>
      </c>
      <c r="G6" s="46" t="s">
        <v>8</v>
      </c>
      <c r="H6" s="8">
        <v>700</v>
      </c>
      <c r="I6" s="8">
        <v>590</v>
      </c>
      <c r="J6" s="2"/>
      <c r="K6" s="25"/>
      <c r="L6" s="9"/>
      <c r="M6" s="16"/>
      <c r="R6" s="1">
        <f>IF(vend4[[#This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8442</v>
      </c>
      <c r="F7" s="25" t="s">
        <v>56</v>
      </c>
      <c r="G7" s="46" t="s">
        <v>7</v>
      </c>
      <c r="H7" s="8"/>
      <c r="I7" s="8">
        <v>110</v>
      </c>
      <c r="J7" s="2"/>
      <c r="K7" s="25"/>
      <c r="L7" s="9"/>
      <c r="M7" s="16"/>
      <c r="R7" s="1">
        <f>IF(vend4[[#This Row],[Nº Venda]]&gt;1,1,0)</f>
        <v>1</v>
      </c>
    </row>
    <row r="8" spans="2:18" ht="15.75" x14ac:dyDescent="0.25">
      <c r="B8" s="28" t="s">
        <v>21</v>
      </c>
      <c r="C8" s="29">
        <f>SUM(C6:C7)</f>
        <v>1200</v>
      </c>
      <c r="D8" s="2"/>
      <c r="E8" s="18">
        <v>8443</v>
      </c>
      <c r="F8" s="25" t="s">
        <v>57</v>
      </c>
      <c r="G8" s="46" t="s">
        <v>10</v>
      </c>
      <c r="H8" s="8">
        <v>400</v>
      </c>
      <c r="I8" s="8">
        <v>320</v>
      </c>
      <c r="J8" s="2"/>
      <c r="K8" s="25"/>
      <c r="L8" s="9"/>
      <c r="M8" s="16"/>
      <c r="R8" s="1">
        <f>IF(vend4[[#This Row],[Nº Venda]]&gt;1,1,0)</f>
        <v>1</v>
      </c>
    </row>
    <row r="9" spans="2:18" ht="15.75" x14ac:dyDescent="0.25">
      <c r="B9" s="2"/>
      <c r="C9" s="2"/>
      <c r="D9" s="2"/>
      <c r="E9" s="18">
        <v>8444</v>
      </c>
      <c r="F9" s="25" t="s">
        <v>58</v>
      </c>
      <c r="G9" s="46" t="s">
        <v>10</v>
      </c>
      <c r="H9" s="8">
        <v>90</v>
      </c>
      <c r="I9" s="8">
        <v>90</v>
      </c>
      <c r="J9" s="2"/>
      <c r="K9" s="25"/>
      <c r="L9" s="9"/>
      <c r="M9" s="16"/>
      <c r="R9" s="1">
        <f>IF(vend4[[#This Row],[Nº Venda]]&gt;1,1,0)</f>
        <v>1</v>
      </c>
    </row>
    <row r="10" spans="2:18" ht="15.75" x14ac:dyDescent="0.25">
      <c r="B10" s="87" t="s">
        <v>5</v>
      </c>
      <c r="C10" s="87"/>
      <c r="D10" s="2"/>
      <c r="E10" s="18">
        <v>8445</v>
      </c>
      <c r="F10" s="25" t="s">
        <v>56</v>
      </c>
      <c r="G10" s="26" t="s">
        <v>7</v>
      </c>
      <c r="H10" s="8">
        <v>90</v>
      </c>
      <c r="I10" s="8">
        <v>90</v>
      </c>
      <c r="J10" s="2"/>
      <c r="K10" s="25"/>
      <c r="L10" s="9"/>
      <c r="M10" s="16"/>
      <c r="R10" s="1">
        <f>IF(vend4[[#This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200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8</v>
      </c>
      <c r="C13" s="31">
        <f t="shared" si="0"/>
        <v>590</v>
      </c>
      <c r="D13" s="2"/>
      <c r="E13" s="18"/>
      <c r="F13" s="25"/>
      <c r="G13" s="26"/>
      <c r="H13" s="8"/>
      <c r="I13" s="8"/>
      <c r="J13" s="2"/>
      <c r="K13" s="89" t="s">
        <v>22</v>
      </c>
      <c r="L13" s="90"/>
      <c r="M13" s="91"/>
      <c r="R13" s="1">
        <f>IF(vend4[[#This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0</v>
      </c>
    </row>
    <row r="15" spans="2:18" ht="18.75" x14ac:dyDescent="0.4">
      <c r="B15" s="30" t="s">
        <v>10</v>
      </c>
      <c r="C15" s="31">
        <f t="shared" si="0"/>
        <v>410</v>
      </c>
      <c r="D15" s="2"/>
      <c r="E15" s="18"/>
      <c r="F15" s="25"/>
      <c r="G15" s="26"/>
      <c r="H15" s="8"/>
      <c r="I15" s="8"/>
      <c r="J15" s="2"/>
      <c r="K15" s="66"/>
      <c r="L15" s="67"/>
      <c r="M15" s="68"/>
      <c r="R15" s="1">
        <f>IF(vend4[[#This Row],[Nº Venda]]&gt;1,1,0)</f>
        <v>0</v>
      </c>
    </row>
    <row r="16" spans="2:18" ht="19.5" x14ac:dyDescent="0.4">
      <c r="B16" s="28" t="s">
        <v>11</v>
      </c>
      <c r="C16" s="32">
        <f>SUM(C11:C15)</f>
        <v>1300</v>
      </c>
      <c r="D16" s="2"/>
      <c r="E16" s="18"/>
      <c r="F16" s="25"/>
      <c r="G16" s="26"/>
      <c r="H16" s="8"/>
      <c r="I16" s="8"/>
      <c r="J16" s="2"/>
      <c r="K16" s="69"/>
      <c r="L16" s="66"/>
      <c r="M16" s="68"/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18"/>
      <c r="F17" s="25"/>
      <c r="G17" s="26"/>
      <c r="H17" s="8"/>
      <c r="I17" s="8"/>
      <c r="J17" s="2"/>
      <c r="K17" s="66"/>
      <c r="L17" s="67"/>
      <c r="M17" s="68"/>
      <c r="R17" s="1">
        <f>IF(vend4[[#This Row],[Nº Venda]]&gt;1,1,0)</f>
        <v>0</v>
      </c>
    </row>
    <row r="18" spans="2:18" ht="15.75" x14ac:dyDescent="0.25">
      <c r="B18" s="87" t="s">
        <v>12</v>
      </c>
      <c r="C18" s="8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1280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8274</v>
      </c>
      <c r="F35" s="25" t="s">
        <v>59</v>
      </c>
      <c r="G35" s="26" t="s">
        <v>6</v>
      </c>
      <c r="H35" s="8">
        <v>100</v>
      </c>
      <c r="I35" s="8" t="s">
        <v>60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5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tabSelected="1" topLeftCell="E6" zoomScale="80" zoomScaleNormal="80" workbookViewId="0">
      <selection activeCell="E9" sqref="E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'04'!B1+1</f>
        <v>45296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5" t="s">
        <v>1</v>
      </c>
      <c r="F4" s="95"/>
      <c r="G4" s="95"/>
      <c r="H4" s="95"/>
      <c r="I4" s="95"/>
      <c r="J4" s="22"/>
      <c r="K4" s="89" t="s">
        <v>3</v>
      </c>
      <c r="L4" s="90"/>
      <c r="M4" s="91"/>
    </row>
    <row r="5" spans="2:18" ht="15" x14ac:dyDescent="0.25">
      <c r="B5" s="23" t="s">
        <v>1</v>
      </c>
      <c r="C5" s="24">
        <f>SUMIF(I6:I31,"&gt;0",H6:H31)</f>
        <v>4288.9799999999996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4078.98</v>
      </c>
      <c r="D6" s="2"/>
      <c r="E6" s="18">
        <v>8446</v>
      </c>
      <c r="F6" s="25" t="s">
        <v>61</v>
      </c>
      <c r="G6" s="46" t="s">
        <v>8</v>
      </c>
      <c r="H6" s="8">
        <v>39.979999999999997</v>
      </c>
      <c r="I6" s="8">
        <v>39.979999999999997</v>
      </c>
      <c r="J6" s="2"/>
      <c r="K6" s="25"/>
      <c r="L6" s="9"/>
      <c r="M6" s="16"/>
      <c r="R6" s="1">
        <f>IF(vend5[[#This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8447</v>
      </c>
      <c r="F7" s="25" t="s">
        <v>62</v>
      </c>
      <c r="G7" s="46" t="s">
        <v>8</v>
      </c>
      <c r="H7" s="8">
        <v>490</v>
      </c>
      <c r="I7" s="8">
        <v>490</v>
      </c>
      <c r="J7" s="2"/>
      <c r="K7" s="25"/>
      <c r="L7" s="9"/>
      <c r="M7" s="16"/>
      <c r="R7" s="1">
        <f>IF(vend5[[#This Row],[Nº Venda]]&gt;1,1,0)</f>
        <v>1</v>
      </c>
    </row>
    <row r="8" spans="2:18" ht="15.75" x14ac:dyDescent="0.25">
      <c r="B8" s="28" t="s">
        <v>21</v>
      </c>
      <c r="C8" s="29">
        <f>SUM(C6:C7)</f>
        <v>4078.98</v>
      </c>
      <c r="D8" s="2"/>
      <c r="E8" s="18">
        <v>8448</v>
      </c>
      <c r="F8" s="25" t="s">
        <v>63</v>
      </c>
      <c r="G8" s="46" t="s">
        <v>47</v>
      </c>
      <c r="H8" s="8">
        <v>35</v>
      </c>
      <c r="I8" s="8"/>
      <c r="J8" s="2"/>
      <c r="K8" s="25"/>
      <c r="L8" s="9"/>
      <c r="M8" s="16"/>
      <c r="R8" s="1">
        <f>IF(vend5[[#This Row],[Nº Venda]]&gt;1,1,0)</f>
        <v>1</v>
      </c>
    </row>
    <row r="9" spans="2:18" ht="15.75" x14ac:dyDescent="0.25">
      <c r="B9" s="2"/>
      <c r="C9" s="2"/>
      <c r="D9" s="2"/>
      <c r="E9" s="18">
        <v>8449</v>
      </c>
      <c r="F9" s="25" t="s">
        <v>64</v>
      </c>
      <c r="G9" s="46" t="s">
        <v>6</v>
      </c>
      <c r="H9" s="8">
        <v>100</v>
      </c>
      <c r="I9" s="8">
        <v>100</v>
      </c>
      <c r="J9" s="2"/>
      <c r="K9" s="25"/>
      <c r="L9" s="9"/>
      <c r="M9" s="16"/>
      <c r="R9" s="1">
        <f>IF(vend5[[#This Row],[Nº Venda]]&gt;1,1,0)</f>
        <v>1</v>
      </c>
    </row>
    <row r="10" spans="2:18" ht="15.75" x14ac:dyDescent="0.25">
      <c r="B10" s="87" t="s">
        <v>5</v>
      </c>
      <c r="C10" s="87"/>
      <c r="D10" s="2"/>
      <c r="E10" s="18">
        <v>8450</v>
      </c>
      <c r="F10" s="25" t="s">
        <v>65</v>
      </c>
      <c r="G10" s="46" t="s">
        <v>8</v>
      </c>
      <c r="H10" s="8">
        <v>200</v>
      </c>
      <c r="I10" s="8">
        <v>200</v>
      </c>
      <c r="J10" s="2"/>
      <c r="K10" s="25"/>
      <c r="L10" s="9"/>
      <c r="M10" s="16"/>
      <c r="R10" s="1">
        <f>IF(vend5[[#This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500</v>
      </c>
      <c r="D11" s="2"/>
      <c r="E11" s="18">
        <v>8451</v>
      </c>
      <c r="F11" s="25" t="s">
        <v>66</v>
      </c>
      <c r="G11" s="46" t="s">
        <v>8</v>
      </c>
      <c r="H11" s="8">
        <v>200</v>
      </c>
      <c r="I11" s="8">
        <v>200</v>
      </c>
      <c r="J11" s="2"/>
      <c r="K11" s="27"/>
      <c r="L11" s="9"/>
      <c r="M11" s="16"/>
      <c r="O11" s="1">
        <f>IF(C16=0,0,1)</f>
        <v>1</v>
      </c>
      <c r="R11" s="1">
        <f>IF(vend5[[#This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370.25</v>
      </c>
      <c r="D12" s="2"/>
      <c r="E12" s="18">
        <v>8452</v>
      </c>
      <c r="F12" s="25" t="s">
        <v>67</v>
      </c>
      <c r="G12" s="26" t="s">
        <v>7</v>
      </c>
      <c r="H12" s="8">
        <v>920</v>
      </c>
      <c r="I12" s="8">
        <v>200</v>
      </c>
      <c r="J12" s="2"/>
      <c r="R12" s="1">
        <f>IF(vend5[[#This Row],[Nº Venda]]&gt;1,1,0)</f>
        <v>1</v>
      </c>
    </row>
    <row r="13" spans="2:18" ht="15.75" x14ac:dyDescent="0.25">
      <c r="B13" s="30" t="s">
        <v>8</v>
      </c>
      <c r="C13" s="31">
        <f t="shared" si="0"/>
        <v>3189.98</v>
      </c>
      <c r="D13" s="2"/>
      <c r="E13" s="18">
        <v>8453</v>
      </c>
      <c r="F13" s="25" t="s">
        <v>68</v>
      </c>
      <c r="G13" s="26" t="s">
        <v>6</v>
      </c>
      <c r="H13" s="8">
        <v>500</v>
      </c>
      <c r="I13" s="8">
        <v>400</v>
      </c>
      <c r="J13" s="2"/>
      <c r="K13" s="89" t="s">
        <v>22</v>
      </c>
      <c r="L13" s="90"/>
      <c r="M13" s="91"/>
      <c r="R13" s="1">
        <f>IF(vend5[[#This Row],[Nº Venda]]&gt;1,1,0)</f>
        <v>1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>
        <v>8453</v>
      </c>
      <c r="F14" s="25" t="s">
        <v>68</v>
      </c>
      <c r="G14" s="26" t="s">
        <v>10</v>
      </c>
      <c r="H14" s="8"/>
      <c r="I14" s="8">
        <v>100</v>
      </c>
      <c r="J14" s="2"/>
      <c r="K14" s="14" t="s">
        <v>23</v>
      </c>
      <c r="L14" s="6" t="s">
        <v>24</v>
      </c>
      <c r="M14" s="15" t="s">
        <v>25</v>
      </c>
      <c r="R14" s="1">
        <f>IF(vend5[[#This Row],[Nº Venda]]&gt;1,1,0)</f>
        <v>1</v>
      </c>
    </row>
    <row r="15" spans="2:18" ht="15.75" x14ac:dyDescent="0.25">
      <c r="B15" s="30" t="s">
        <v>10</v>
      </c>
      <c r="C15" s="31">
        <f t="shared" si="0"/>
        <v>100</v>
      </c>
      <c r="D15" s="2"/>
      <c r="E15" s="18">
        <v>8454</v>
      </c>
      <c r="F15" s="25" t="s">
        <v>69</v>
      </c>
      <c r="G15" s="26" t="s">
        <v>8</v>
      </c>
      <c r="H15" s="8">
        <v>1300</v>
      </c>
      <c r="I15" s="8">
        <v>1300</v>
      </c>
      <c r="J15" s="2"/>
      <c r="K15" s="25">
        <v>8398</v>
      </c>
      <c r="L15" s="9" t="s">
        <v>52</v>
      </c>
      <c r="M15" s="16" t="s">
        <v>38</v>
      </c>
      <c r="R15" s="1">
        <f>IF(vend5[[#This Row],[Nº Venda]]&gt;1,1,0)</f>
        <v>1</v>
      </c>
    </row>
    <row r="16" spans="2:18" ht="15.75" x14ac:dyDescent="0.25">
      <c r="B16" s="28" t="s">
        <v>11</v>
      </c>
      <c r="C16" s="32">
        <f>SUM(C11:C15)</f>
        <v>4160.2299999999996</v>
      </c>
      <c r="D16" s="2"/>
      <c r="E16" s="18">
        <v>8455</v>
      </c>
      <c r="F16" s="25" t="s">
        <v>69</v>
      </c>
      <c r="G16" s="26" t="s">
        <v>8</v>
      </c>
      <c r="H16" s="8">
        <v>250</v>
      </c>
      <c r="I16" s="8">
        <v>250</v>
      </c>
      <c r="J16" s="2"/>
      <c r="K16" s="25">
        <v>8403</v>
      </c>
      <c r="L16" s="9" t="s">
        <v>52</v>
      </c>
      <c r="M16" s="16" t="s">
        <v>38</v>
      </c>
      <c r="R16" s="1">
        <f>IF(vend5[[#This Row],[Nº Venda]]&gt;1,1,0)</f>
        <v>1</v>
      </c>
    </row>
    <row r="17" spans="2:18" ht="15.75" x14ac:dyDescent="0.25">
      <c r="B17" s="2"/>
      <c r="C17" s="2"/>
      <c r="D17" s="2"/>
      <c r="E17" s="18">
        <v>8456</v>
      </c>
      <c r="F17" s="25" t="s">
        <v>69</v>
      </c>
      <c r="G17" s="26" t="s">
        <v>8</v>
      </c>
      <c r="H17" s="8">
        <v>200</v>
      </c>
      <c r="I17" s="8">
        <v>200</v>
      </c>
      <c r="J17" s="2"/>
      <c r="K17" s="25">
        <v>8430</v>
      </c>
      <c r="L17" s="9" t="s">
        <v>70</v>
      </c>
      <c r="M17" s="16" t="s">
        <v>38</v>
      </c>
      <c r="R17" s="1">
        <f>IF(vend5[[#This Row],[Nº Venda]]&gt;1,1,0)</f>
        <v>1</v>
      </c>
    </row>
    <row r="18" spans="2:18" ht="15.75" x14ac:dyDescent="0.25">
      <c r="B18" s="87" t="s">
        <v>12</v>
      </c>
      <c r="C18" s="87"/>
      <c r="D18" s="2"/>
      <c r="E18" s="18"/>
      <c r="F18" s="25"/>
      <c r="G18" s="26"/>
      <c r="H18" s="8"/>
      <c r="I18" s="8"/>
      <c r="J18" s="2"/>
      <c r="K18" s="25">
        <v>8406</v>
      </c>
      <c r="L18" s="9" t="s">
        <v>52</v>
      </c>
      <c r="M18" s="16" t="s">
        <v>38</v>
      </c>
      <c r="R18" s="1">
        <f>IF(vend5[[#This Row],[Nº Venda]]&gt;1,1,0)</f>
        <v>0</v>
      </c>
    </row>
    <row r="19" spans="2:18" ht="15.75" x14ac:dyDescent="0.25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>
        <v>8436</v>
      </c>
      <c r="L19" s="9" t="s">
        <v>52</v>
      </c>
      <c r="M19" s="16" t="s">
        <v>38</v>
      </c>
      <c r="R19" s="1">
        <f>IF(vend5[[#This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>
        <v>8437</v>
      </c>
      <c r="L20" s="9" t="s">
        <v>52</v>
      </c>
      <c r="M20" s="16" t="s">
        <v>38</v>
      </c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4288.9799999999996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8398</v>
      </c>
      <c r="F26" s="25" t="s">
        <v>72</v>
      </c>
      <c r="G26" s="46" t="s">
        <v>8</v>
      </c>
      <c r="H26" s="8">
        <v>0</v>
      </c>
      <c r="I26" s="8">
        <v>260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8436</v>
      </c>
      <c r="F27" s="25" t="s">
        <v>73</v>
      </c>
      <c r="G27" s="46" t="s">
        <v>7</v>
      </c>
      <c r="H27" s="8">
        <v>39</v>
      </c>
      <c r="I27" s="8">
        <v>39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8437</v>
      </c>
      <c r="F28" s="25" t="s">
        <v>46</v>
      </c>
      <c r="G28" s="46" t="s">
        <v>7</v>
      </c>
      <c r="H28" s="8">
        <v>50</v>
      </c>
      <c r="I28" s="8">
        <v>50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8413</v>
      </c>
      <c r="F29" s="25" t="s">
        <v>74</v>
      </c>
      <c r="G29" s="26" t="s">
        <v>8</v>
      </c>
      <c r="H29" s="8">
        <v>0</v>
      </c>
      <c r="I29" s="8">
        <v>250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8078</v>
      </c>
      <c r="F35" s="25" t="s">
        <v>75</v>
      </c>
      <c r="G35" s="26" t="s">
        <v>7</v>
      </c>
      <c r="H35" s="8">
        <v>81.25</v>
      </c>
      <c r="I35" s="8" t="s">
        <v>76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5F91EB2E-234E-45A9-80A1-E7D0A7E98ABE}">
      <formula1>"Sim, Não"</formula1>
    </dataValidation>
    <dataValidation type="list" allowBlank="1" showInputMessage="1" showErrorMessage="1" sqref="L35:L41" xr:uid="{5A7F020F-5D4E-4796-A3BF-D2BAB2F1E76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1"/>
  <sheetViews>
    <sheetView showGridLines="0" topLeftCell="A11" zoomScale="80" zoomScaleNormal="80" workbookViewId="0">
      <selection activeCell="K18" sqref="K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'05'!B1+1</f>
        <v>45297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5" t="s">
        <v>1</v>
      </c>
      <c r="F4" s="95"/>
      <c r="G4" s="95"/>
      <c r="H4" s="95"/>
      <c r="I4" s="95"/>
      <c r="J4" s="22"/>
      <c r="K4" s="89" t="s">
        <v>3</v>
      </c>
      <c r="L4" s="90"/>
      <c r="M4" s="91"/>
    </row>
    <row r="5" spans="2:18" ht="15" x14ac:dyDescent="0.25">
      <c r="B5" s="23" t="s">
        <v>1</v>
      </c>
      <c r="C5" s="24">
        <f>SUMIF(I6:I31,"&gt;0",H6:H31)</f>
        <v>5903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4703</v>
      </c>
      <c r="D6" s="2"/>
      <c r="E6" s="18">
        <v>8458</v>
      </c>
      <c r="F6" s="25" t="s">
        <v>77</v>
      </c>
      <c r="G6" s="26" t="s">
        <v>10</v>
      </c>
      <c r="H6" s="8">
        <v>220</v>
      </c>
      <c r="I6" s="8">
        <v>220</v>
      </c>
      <c r="J6" s="2"/>
      <c r="K6" s="25"/>
      <c r="L6" s="9"/>
      <c r="M6" s="16"/>
      <c r="R6" s="1">
        <f>IF(vend[[#This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8459</v>
      </c>
      <c r="F7" s="25" t="s">
        <v>78</v>
      </c>
      <c r="G7" s="26" t="s">
        <v>10</v>
      </c>
      <c r="H7" s="8">
        <v>389</v>
      </c>
      <c r="I7" s="8">
        <v>389</v>
      </c>
      <c r="J7" s="2"/>
      <c r="K7" s="25"/>
      <c r="L7" s="9"/>
      <c r="M7" s="16"/>
      <c r="R7" s="1">
        <f>IF(vend[[#This Row],[Nº Venda]]&gt;1,1,0)</f>
        <v>1</v>
      </c>
    </row>
    <row r="8" spans="2:18" ht="15.75" x14ac:dyDescent="0.25">
      <c r="B8" s="28" t="s">
        <v>21</v>
      </c>
      <c r="C8" s="29">
        <f>SUM(C6:C7)</f>
        <v>4703</v>
      </c>
      <c r="D8" s="2"/>
      <c r="E8" s="18">
        <v>8460</v>
      </c>
      <c r="F8" s="25" t="s">
        <v>79</v>
      </c>
      <c r="G8" s="26" t="s">
        <v>10</v>
      </c>
      <c r="H8" s="8">
        <v>540</v>
      </c>
      <c r="I8" s="8">
        <v>50</v>
      </c>
      <c r="J8" s="2"/>
      <c r="K8" s="25"/>
      <c r="L8" s="9"/>
      <c r="M8" s="16"/>
      <c r="R8" s="1">
        <f>IF(vend[[#This Row],[Nº Venda]]&gt;1,1,0)</f>
        <v>1</v>
      </c>
    </row>
    <row r="9" spans="2:18" ht="15.75" x14ac:dyDescent="0.25">
      <c r="B9" s="2"/>
      <c r="C9" s="2"/>
      <c r="D9" s="2"/>
      <c r="E9" s="18">
        <v>8461</v>
      </c>
      <c r="F9" s="25" t="s">
        <v>80</v>
      </c>
      <c r="G9" s="26" t="s">
        <v>8</v>
      </c>
      <c r="H9" s="8">
        <v>260</v>
      </c>
      <c r="I9" s="8">
        <v>260</v>
      </c>
      <c r="J9" s="2"/>
      <c r="K9" s="25"/>
      <c r="L9" s="9"/>
      <c r="M9" s="16"/>
      <c r="R9" s="1">
        <f>IF(vend[[#This Row],[Nº Venda]]&gt;1,1,0)</f>
        <v>1</v>
      </c>
    </row>
    <row r="10" spans="2:18" ht="15.75" x14ac:dyDescent="0.25">
      <c r="B10" s="87" t="s">
        <v>5</v>
      </c>
      <c r="C10" s="87"/>
      <c r="D10" s="2"/>
      <c r="E10" s="18">
        <v>8462</v>
      </c>
      <c r="F10" s="72" t="s">
        <v>81</v>
      </c>
      <c r="G10" s="72" t="s">
        <v>10</v>
      </c>
      <c r="H10" s="73">
        <v>1000</v>
      </c>
      <c r="I10" s="73">
        <v>500</v>
      </c>
      <c r="J10" s="2"/>
      <c r="K10" s="25"/>
      <c r="L10" s="9"/>
      <c r="M10" s="16"/>
      <c r="R10" s="1">
        <f>IF(vend[[#This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198.75</v>
      </c>
      <c r="D11" s="2"/>
      <c r="E11" s="18">
        <v>8462</v>
      </c>
      <c r="F11" s="72" t="s">
        <v>81</v>
      </c>
      <c r="G11" s="72" t="s">
        <v>8</v>
      </c>
      <c r="H11" s="73"/>
      <c r="I11" s="73">
        <v>500</v>
      </c>
      <c r="J11" s="2"/>
      <c r="K11" s="27"/>
      <c r="L11" s="9"/>
      <c r="M11" s="16"/>
      <c r="O11" s="1">
        <f>IF(C16=0,0,1)</f>
        <v>1</v>
      </c>
      <c r="R11" s="1">
        <f>IF(vend[[#This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235</v>
      </c>
      <c r="D12" s="2"/>
      <c r="E12" s="18">
        <v>8463</v>
      </c>
      <c r="F12" s="72" t="s">
        <v>82</v>
      </c>
      <c r="G12" s="72" t="s">
        <v>8</v>
      </c>
      <c r="H12" s="73">
        <v>399</v>
      </c>
      <c r="I12" s="73">
        <v>399</v>
      </c>
      <c r="J12" s="2"/>
      <c r="R12" s="1">
        <f>IF(vend[[#This Row],[Nº Venda]]&gt;1,1,0)</f>
        <v>1</v>
      </c>
    </row>
    <row r="13" spans="2:18" ht="15.75" x14ac:dyDescent="0.25">
      <c r="B13" s="30" t="s">
        <v>8</v>
      </c>
      <c r="C13" s="31">
        <f t="shared" si="0"/>
        <v>3309</v>
      </c>
      <c r="D13" s="2"/>
      <c r="E13" s="18">
        <v>8464</v>
      </c>
      <c r="F13" s="72" t="s">
        <v>83</v>
      </c>
      <c r="G13" s="72" t="s">
        <v>8</v>
      </c>
      <c r="H13" s="73">
        <v>850</v>
      </c>
      <c r="I13" s="73">
        <v>850</v>
      </c>
      <c r="J13" s="2"/>
      <c r="K13" s="89" t="s">
        <v>22</v>
      </c>
      <c r="L13" s="90"/>
      <c r="M13" s="91"/>
      <c r="R13" s="1">
        <f>IF(vend[[#This Row],[Nº Venda]]&gt;1,1,0)</f>
        <v>1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>
        <v>8465</v>
      </c>
      <c r="F14" s="72" t="s">
        <v>84</v>
      </c>
      <c r="G14" s="72" t="s">
        <v>47</v>
      </c>
      <c r="H14" s="73">
        <v>699</v>
      </c>
      <c r="I14" s="73">
        <v>0</v>
      </c>
      <c r="J14" s="2"/>
      <c r="K14" s="14" t="s">
        <v>23</v>
      </c>
      <c r="L14" s="6" t="s">
        <v>24</v>
      </c>
      <c r="M14" s="15" t="s">
        <v>25</v>
      </c>
      <c r="R14" s="1">
        <f>IF(vend[[#This Row],[Nº Venda]]&gt;1,1,0)</f>
        <v>1</v>
      </c>
    </row>
    <row r="15" spans="2:18" ht="15.75" x14ac:dyDescent="0.25">
      <c r="B15" s="30" t="s">
        <v>10</v>
      </c>
      <c r="C15" s="31">
        <f t="shared" si="0"/>
        <v>1159</v>
      </c>
      <c r="D15" s="2"/>
      <c r="E15" s="18">
        <v>8466</v>
      </c>
      <c r="F15" s="72" t="s">
        <v>85</v>
      </c>
      <c r="G15" s="72" t="s">
        <v>8</v>
      </c>
      <c r="H15" s="73">
        <v>799</v>
      </c>
      <c r="I15" s="73">
        <v>799</v>
      </c>
      <c r="J15" s="2"/>
      <c r="K15" s="18">
        <v>8423</v>
      </c>
      <c r="L15" s="25" t="s">
        <v>86</v>
      </c>
      <c r="M15" s="16" t="s">
        <v>38</v>
      </c>
      <c r="R15" s="1">
        <f>IF(vend[[#This Row],[Nº Venda]]&gt;1,1,0)</f>
        <v>1</v>
      </c>
    </row>
    <row r="16" spans="2:18" ht="15.75" x14ac:dyDescent="0.25">
      <c r="B16" s="28" t="s">
        <v>11</v>
      </c>
      <c r="C16" s="32">
        <f>SUM(C11:C15)</f>
        <v>4901.75</v>
      </c>
      <c r="D16" s="2"/>
      <c r="E16" s="18">
        <v>8467</v>
      </c>
      <c r="F16" s="72" t="s">
        <v>87</v>
      </c>
      <c r="G16" s="72" t="s">
        <v>8</v>
      </c>
      <c r="H16" s="73">
        <v>501</v>
      </c>
      <c r="I16" s="73">
        <v>501</v>
      </c>
      <c r="J16" s="2"/>
      <c r="K16" s="25">
        <v>8378</v>
      </c>
      <c r="L16" s="9" t="s">
        <v>88</v>
      </c>
      <c r="M16" s="16" t="s">
        <v>38</v>
      </c>
      <c r="R16" s="1">
        <f>IF(vend[[#This Row],[Nº Venda]]&gt;1,1,0)</f>
        <v>1</v>
      </c>
    </row>
    <row r="17" spans="2:18" ht="15.75" x14ac:dyDescent="0.25">
      <c r="B17" s="2"/>
      <c r="C17" s="2"/>
      <c r="D17" s="2"/>
      <c r="E17" s="18">
        <v>8468</v>
      </c>
      <c r="F17" s="25" t="s">
        <v>89</v>
      </c>
      <c r="G17" s="26" t="s">
        <v>7</v>
      </c>
      <c r="H17" s="8">
        <v>910</v>
      </c>
      <c r="I17" s="8">
        <v>200</v>
      </c>
      <c r="J17" s="2"/>
      <c r="K17" s="25">
        <v>8376</v>
      </c>
      <c r="L17" s="9" t="s">
        <v>88</v>
      </c>
      <c r="M17" s="16" t="s">
        <v>38</v>
      </c>
      <c r="R17" s="1">
        <f>IF(vend[[#This Row],[Nº Venda]]&gt;1,1,0)</f>
        <v>1</v>
      </c>
    </row>
    <row r="18" spans="2:18" ht="15.75" x14ac:dyDescent="0.25">
      <c r="B18" s="87" t="s">
        <v>12</v>
      </c>
      <c r="C18" s="87"/>
      <c r="D18" s="2"/>
      <c r="E18" s="18"/>
      <c r="F18" s="25"/>
      <c r="G18" s="26"/>
      <c r="H18" s="8"/>
      <c r="I18" s="8"/>
      <c r="J18" s="2"/>
      <c r="K18" s="25">
        <v>8451</v>
      </c>
      <c r="L18" s="9" t="s">
        <v>88</v>
      </c>
      <c r="M18" s="16" t="s">
        <v>38</v>
      </c>
      <c r="R18" s="1">
        <f>IF(vend[[#This Row],[Nº Venda]]&gt;1,1,0)</f>
        <v>0</v>
      </c>
    </row>
    <row r="19" spans="2:18" ht="15.75" x14ac:dyDescent="0.25">
      <c r="B19" s="30">
        <f>COUNT(entr_carn6[OS])</f>
        <v>0</v>
      </c>
      <c r="C19" s="31">
        <f>SUM(entr_carn6[Valor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5903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8423</v>
      </c>
      <c r="F26" s="25" t="s">
        <v>90</v>
      </c>
      <c r="G26" s="26" t="s">
        <v>91</v>
      </c>
      <c r="H26" s="8">
        <v>35</v>
      </c>
      <c r="I26" s="8">
        <v>35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2104651</v>
      </c>
      <c r="F35" s="25" t="s">
        <v>92</v>
      </c>
      <c r="G35" s="26" t="s">
        <v>6</v>
      </c>
      <c r="H35" s="8">
        <v>118.75</v>
      </c>
      <c r="I35" s="8" t="s">
        <v>76</v>
      </c>
      <c r="K35" s="25"/>
      <c r="L35" s="41"/>
      <c r="M35" s="16"/>
    </row>
    <row r="36" spans="2:18" ht="15.75" x14ac:dyDescent="0.25">
      <c r="E36" s="18">
        <v>8364</v>
      </c>
      <c r="F36" s="25" t="s">
        <v>93</v>
      </c>
      <c r="G36" s="26" t="s">
        <v>6</v>
      </c>
      <c r="H36" s="8">
        <v>80</v>
      </c>
      <c r="I36" s="8" t="s">
        <v>94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G6:G9 G11:G22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R41"/>
  <sheetViews>
    <sheetView showGridLines="0" topLeftCell="A11" zoomScale="80" zoomScaleNormal="80" workbookViewId="0">
      <selection activeCell="K6" sqref="K6:M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'06'!B1+1</f>
        <v>45298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5" t="s">
        <v>1</v>
      </c>
      <c r="F4" s="95"/>
      <c r="G4" s="95"/>
      <c r="H4" s="95"/>
      <c r="I4" s="95"/>
      <c r="J4" s="22"/>
      <c r="K4" s="89" t="s">
        <v>3</v>
      </c>
      <c r="L4" s="90"/>
      <c r="M4" s="9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51"/>
      <c r="F6" s="49"/>
      <c r="G6" s="49"/>
      <c r="H6" s="50"/>
      <c r="I6" s="50"/>
      <c r="J6" s="2"/>
      <c r="K6" s="25"/>
      <c r="L6" s="9"/>
      <c r="M6" s="16"/>
      <c r="R6" s="1">
        <f>IF(vend7[[#This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52"/>
      <c r="F7" s="48"/>
      <c r="G7" s="48"/>
      <c r="H7" s="47"/>
      <c r="I7" s="47"/>
      <c r="J7" s="2"/>
      <c r="K7" s="25"/>
      <c r="L7" s="9"/>
      <c r="M7" s="16"/>
      <c r="R7" s="1">
        <f>IF(vend7[[#This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18" ht="15.75" x14ac:dyDescent="0.25">
      <c r="B10" s="87" t="s">
        <v>5</v>
      </c>
      <c r="C10" s="8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9" t="s">
        <v>22</v>
      </c>
      <c r="L13" s="90"/>
      <c r="M13" s="91"/>
      <c r="R13" s="1">
        <f>IF(vend7[[#This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IF(vend7[[#This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53"/>
      <c r="L15" s="54"/>
      <c r="M15" s="55"/>
      <c r="R15" s="1">
        <f>IF(vend7[[#This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45"/>
      <c r="L16" s="9"/>
      <c r="M16" s="16"/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45"/>
      <c r="L17" s="9"/>
      <c r="M17" s="16"/>
      <c r="R17" s="1">
        <f>IF(vend7[[#This Row],[Nº Venda]]&gt;1,1,0)</f>
        <v>0</v>
      </c>
    </row>
    <row r="18" spans="2:18" ht="15.75" x14ac:dyDescent="0.25">
      <c r="B18" s="87" t="s">
        <v>12</v>
      </c>
      <c r="C18" s="87"/>
      <c r="D18" s="2"/>
      <c r="E18" s="18"/>
      <c r="F18" s="25"/>
      <c r="G18" s="26"/>
      <c r="H18" s="8"/>
      <c r="I18" s="8"/>
      <c r="J18" s="2"/>
      <c r="K18" s="45"/>
      <c r="L18" s="9"/>
      <c r="M18" s="16"/>
      <c r="R18" s="1">
        <f>IF(vend7[[#This Row],[Nº Venda]]&gt;1,1,0)</f>
        <v>0</v>
      </c>
    </row>
    <row r="19" spans="2:18" ht="15.75" x14ac:dyDescent="0.25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45"/>
      <c r="L19" s="9"/>
      <c r="M19" s="16"/>
      <c r="R19" s="1">
        <f>IF(vend7[[#This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45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4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4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5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4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45"/>
      <c r="L25" s="9"/>
      <c r="M25" s="16"/>
    </row>
    <row r="26" spans="2:18" ht="15.75" x14ac:dyDescent="0.25">
      <c r="B26" s="2"/>
      <c r="C26" s="2"/>
      <c r="D26" s="2"/>
      <c r="E26" s="76"/>
      <c r="F26" s="70"/>
      <c r="G26" s="77"/>
      <c r="H26" s="78"/>
      <c r="I26" s="78"/>
      <c r="J26" s="2"/>
      <c r="K26" s="4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4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4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4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4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1"/>
  <sheetViews>
    <sheetView showGridLines="0" topLeftCell="A8" zoomScale="80" zoomScaleNormal="80" workbookViewId="0">
      <selection activeCell="E8" sqref="E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'07'!B1+1</f>
        <v>45299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5" t="s">
        <v>1</v>
      </c>
      <c r="F4" s="95"/>
      <c r="G4" s="95"/>
      <c r="H4" s="95"/>
      <c r="I4" s="95"/>
      <c r="J4" s="22"/>
      <c r="K4" s="89" t="s">
        <v>3</v>
      </c>
      <c r="L4" s="90"/>
      <c r="M4" s="91"/>
    </row>
    <row r="5" spans="2:18" ht="15" x14ac:dyDescent="0.25">
      <c r="B5" s="23" t="s">
        <v>1</v>
      </c>
      <c r="C5" s="24">
        <f>SUMIF(I6:I31,"&gt;0",H6:H31)</f>
        <v>2798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1809</v>
      </c>
      <c r="D6" s="2"/>
      <c r="E6" s="56">
        <v>8468</v>
      </c>
      <c r="F6" s="8" t="s">
        <v>95</v>
      </c>
      <c r="G6" s="8" t="s">
        <v>10</v>
      </c>
      <c r="H6" s="8">
        <v>99</v>
      </c>
      <c r="I6" s="8">
        <v>50</v>
      </c>
      <c r="J6" s="2"/>
      <c r="K6" s="25"/>
      <c r="L6" s="9"/>
      <c r="M6" s="16"/>
      <c r="R6" s="1">
        <f>IF(vend8[[#This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56">
        <v>8469</v>
      </c>
      <c r="F7" s="8" t="s">
        <v>96</v>
      </c>
      <c r="G7" s="8" t="s">
        <v>8</v>
      </c>
      <c r="H7" s="8">
        <v>600</v>
      </c>
      <c r="I7" s="8">
        <v>600</v>
      </c>
      <c r="J7" s="2"/>
      <c r="K7" s="25"/>
      <c r="L7" s="9"/>
      <c r="M7" s="16"/>
      <c r="R7" s="1">
        <f>IF(vend8[[#This Row],[Nº Venda]]&gt;1,1,0)</f>
        <v>1</v>
      </c>
    </row>
    <row r="8" spans="2:18" ht="15.75" x14ac:dyDescent="0.25">
      <c r="B8" s="28" t="s">
        <v>21</v>
      </c>
      <c r="C8" s="29">
        <f>SUM(C6:C7)</f>
        <v>1809</v>
      </c>
      <c r="D8" s="2"/>
      <c r="E8" s="56">
        <v>8470</v>
      </c>
      <c r="F8" s="8" t="s">
        <v>97</v>
      </c>
      <c r="G8" s="8" t="s">
        <v>10</v>
      </c>
      <c r="H8" s="8">
        <v>69</v>
      </c>
      <c r="I8" s="8">
        <v>69</v>
      </c>
      <c r="J8" s="2"/>
      <c r="K8" s="25"/>
      <c r="L8" s="9"/>
      <c r="M8" s="16"/>
      <c r="R8" s="1">
        <f>IF(vend8[[#This Row],[Nº Venda]]&gt;1,1,0)</f>
        <v>1</v>
      </c>
    </row>
    <row r="9" spans="2:18" ht="15" x14ac:dyDescent="0.25">
      <c r="B9" s="2"/>
      <c r="C9" s="2"/>
      <c r="D9" s="2"/>
      <c r="E9" s="56">
        <v>8471</v>
      </c>
      <c r="F9" s="8" t="s">
        <v>98</v>
      </c>
      <c r="G9" s="8" t="s">
        <v>7</v>
      </c>
      <c r="H9" s="8">
        <v>500</v>
      </c>
      <c r="I9" s="8">
        <v>100</v>
      </c>
      <c r="J9" s="2"/>
      <c r="K9" s="25"/>
      <c r="L9" s="9"/>
      <c r="M9" s="16"/>
      <c r="R9" s="1">
        <f>IF(vend8[[#This Row],[Nº Venda]]&gt;1,1,0)</f>
        <v>1</v>
      </c>
    </row>
    <row r="10" spans="2:18" ht="15.75" x14ac:dyDescent="0.25">
      <c r="B10" s="87" t="s">
        <v>5</v>
      </c>
      <c r="C10" s="87"/>
      <c r="D10" s="2"/>
      <c r="E10" s="18">
        <v>8472</v>
      </c>
      <c r="F10" s="25" t="s">
        <v>99</v>
      </c>
      <c r="G10" s="26" t="s">
        <v>7</v>
      </c>
      <c r="H10" s="8">
        <v>1280</v>
      </c>
      <c r="I10" s="8">
        <v>200</v>
      </c>
      <c r="J10" s="2"/>
      <c r="K10" s="25"/>
      <c r="L10" s="9"/>
      <c r="M10" s="16"/>
      <c r="R10" s="1">
        <f>IF(vend8[[#This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100</v>
      </c>
      <c r="D11" s="2"/>
      <c r="E11" s="18">
        <v>8473</v>
      </c>
      <c r="F11" s="25" t="s">
        <v>100</v>
      </c>
      <c r="G11" s="26" t="s">
        <v>7</v>
      </c>
      <c r="H11" s="8">
        <v>250</v>
      </c>
      <c r="I11" s="8">
        <v>250</v>
      </c>
      <c r="J11" s="2"/>
      <c r="K11" s="27"/>
      <c r="L11" s="9"/>
      <c r="M11" s="16"/>
      <c r="O11" s="1">
        <f>IF(C16=0,0,1)</f>
        <v>1</v>
      </c>
      <c r="R11" s="1">
        <f>IF(vend8[[#This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550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8</v>
      </c>
      <c r="C13" s="31">
        <f t="shared" si="0"/>
        <v>1140</v>
      </c>
      <c r="D13" s="2"/>
      <c r="E13" s="18"/>
      <c r="F13" s="25"/>
      <c r="G13" s="26"/>
      <c r="H13" s="8"/>
      <c r="I13" s="8"/>
      <c r="J13" s="2"/>
      <c r="K13" s="89" t="s">
        <v>22</v>
      </c>
      <c r="L13" s="90"/>
      <c r="M13" s="91"/>
      <c r="R13" s="1">
        <f>IF(vend8[[#This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0</v>
      </c>
    </row>
    <row r="15" spans="2:18" ht="15.75" x14ac:dyDescent="0.25">
      <c r="B15" s="30" t="s">
        <v>10</v>
      </c>
      <c r="C15" s="31">
        <f t="shared" si="0"/>
        <v>327</v>
      </c>
      <c r="D15" s="2"/>
      <c r="E15" s="18"/>
      <c r="F15" s="25"/>
      <c r="G15" s="26"/>
      <c r="H15" s="8"/>
      <c r="I15" s="8"/>
      <c r="J15" s="2"/>
      <c r="K15" s="25">
        <v>8311</v>
      </c>
      <c r="L15" s="9" t="s">
        <v>88</v>
      </c>
      <c r="M15" s="16" t="s">
        <v>38</v>
      </c>
      <c r="R15" s="1">
        <f>IF(vend8[[#This Row],[Nº Venda]]&gt;1,1,0)</f>
        <v>0</v>
      </c>
    </row>
    <row r="16" spans="2:18" ht="15.75" x14ac:dyDescent="0.25">
      <c r="B16" s="28" t="s">
        <v>11</v>
      </c>
      <c r="C16" s="32">
        <f>SUM(C11:C15)</f>
        <v>2117</v>
      </c>
      <c r="D16" s="2"/>
      <c r="E16" s="18"/>
      <c r="F16" s="25"/>
      <c r="G16" s="26"/>
      <c r="H16" s="8"/>
      <c r="I16" s="8"/>
      <c r="J16" s="2"/>
      <c r="K16" s="25">
        <v>8470</v>
      </c>
      <c r="L16" s="9" t="s">
        <v>101</v>
      </c>
      <c r="M16" s="16" t="s">
        <v>38</v>
      </c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8473</v>
      </c>
      <c r="L17" s="9" t="s">
        <v>88</v>
      </c>
      <c r="M17" s="16" t="s">
        <v>38</v>
      </c>
      <c r="R17" s="1">
        <f>IF(vend8[[#This Row],[Nº Venda]]&gt;1,1,0)</f>
        <v>0</v>
      </c>
    </row>
    <row r="18" spans="2:18" ht="15.75" x14ac:dyDescent="0.25">
      <c r="B18" s="87" t="s">
        <v>12</v>
      </c>
      <c r="C18" s="8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 x14ac:dyDescent="0.2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2798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76">
        <v>8311</v>
      </c>
      <c r="F26" s="70" t="s">
        <v>102</v>
      </c>
      <c r="G26" s="77" t="s">
        <v>8</v>
      </c>
      <c r="H26" s="78"/>
      <c r="I26" s="78">
        <v>540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8156</v>
      </c>
      <c r="F35" s="25" t="s">
        <v>103</v>
      </c>
      <c r="G35" s="26" t="s">
        <v>10</v>
      </c>
      <c r="H35" s="8">
        <v>68</v>
      </c>
      <c r="I35" s="8" t="s">
        <v>76</v>
      </c>
      <c r="K35" s="25"/>
      <c r="L35" s="41"/>
      <c r="M35" s="16"/>
    </row>
    <row r="36" spans="2:18" ht="15.75" x14ac:dyDescent="0.25">
      <c r="E36" s="18">
        <v>7938</v>
      </c>
      <c r="F36" s="25" t="s">
        <v>104</v>
      </c>
      <c r="G36" s="26" t="s">
        <v>10</v>
      </c>
      <c r="H36" s="8">
        <v>90</v>
      </c>
      <c r="I36" s="8" t="s">
        <v>105</v>
      </c>
      <c r="K36" s="25"/>
      <c r="L36" s="41"/>
      <c r="M36" s="16"/>
    </row>
    <row r="37" spans="2:18" ht="15.75" x14ac:dyDescent="0.25">
      <c r="E37" s="18">
        <v>8185</v>
      </c>
      <c r="F37" s="25" t="s">
        <v>106</v>
      </c>
      <c r="G37" s="26" t="s">
        <v>10</v>
      </c>
      <c r="H37" s="8">
        <v>50</v>
      </c>
      <c r="I37" s="8" t="s">
        <v>55</v>
      </c>
      <c r="K37" s="25"/>
      <c r="L37" s="41"/>
      <c r="M37" s="16"/>
    </row>
    <row r="38" spans="2:18" ht="15.75" x14ac:dyDescent="0.25">
      <c r="E38" s="18">
        <v>8260</v>
      </c>
      <c r="F38" s="25" t="s">
        <v>107</v>
      </c>
      <c r="G38" s="26" t="s">
        <v>6</v>
      </c>
      <c r="H38" s="8">
        <v>100</v>
      </c>
      <c r="I38" s="8" t="s">
        <v>108</v>
      </c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6</v>
      </c>
    </row>
    <row r="41" spans="2:18" ht="15.75" x14ac:dyDescent="0.25">
      <c r="E41" s="43"/>
      <c r="F41" s="39"/>
      <c r="G41" s="26"/>
      <c r="H41" s="8" t="s">
        <v>71</v>
      </c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DD930-861F-47CC-BD5B-46BF4A7AEB5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R41"/>
  <sheetViews>
    <sheetView showGridLines="0" topLeftCell="A8" zoomScale="80" zoomScaleNormal="80" workbookViewId="0">
      <selection activeCell="E8" sqref="E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'08'!B1+1</f>
        <v>45300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5" t="s">
        <v>1</v>
      </c>
      <c r="F4" s="95"/>
      <c r="G4" s="95"/>
      <c r="H4" s="95"/>
      <c r="I4" s="95"/>
      <c r="J4" s="22"/>
      <c r="K4" s="89" t="s">
        <v>3</v>
      </c>
      <c r="L4" s="90"/>
      <c r="M4" s="91"/>
    </row>
    <row r="5" spans="2:18" ht="15" x14ac:dyDescent="0.25">
      <c r="B5" s="23" t="s">
        <v>1</v>
      </c>
      <c r="C5" s="24">
        <f>SUMIF(I6:I31,"&gt;0",H6:H31)</f>
        <v>5552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4458</v>
      </c>
      <c r="D6" s="2"/>
      <c r="E6" s="18">
        <v>8474</v>
      </c>
      <c r="F6" s="25" t="s">
        <v>109</v>
      </c>
      <c r="G6" s="46" t="s">
        <v>49</v>
      </c>
      <c r="H6" s="8"/>
      <c r="I6" s="8"/>
      <c r="J6" s="2"/>
      <c r="K6" s="25" t="s">
        <v>110</v>
      </c>
      <c r="L6" s="9" t="s">
        <v>111</v>
      </c>
      <c r="M6" s="16">
        <v>7.25</v>
      </c>
      <c r="R6" s="1">
        <f>IF(vend9[[#This Row],[Nº Venda]]&gt;1,1,0)</f>
        <v>1</v>
      </c>
    </row>
    <row r="7" spans="2:18" ht="15.75" x14ac:dyDescent="0.25">
      <c r="B7" s="23" t="s">
        <v>3</v>
      </c>
      <c r="C7" s="24">
        <f>SUM(M6:M11)</f>
        <v>7.25</v>
      </c>
      <c r="D7" s="2"/>
      <c r="E7" s="18">
        <v>8475</v>
      </c>
      <c r="F7" s="25" t="s">
        <v>112</v>
      </c>
      <c r="G7" s="46" t="s">
        <v>6</v>
      </c>
      <c r="H7" s="8">
        <v>300</v>
      </c>
      <c r="I7" s="8">
        <v>20</v>
      </c>
      <c r="J7" s="2"/>
      <c r="K7" s="25"/>
      <c r="L7" s="9" t="s">
        <v>113</v>
      </c>
      <c r="M7" s="16"/>
      <c r="R7" s="1">
        <f>IF(vend9[[#This Row],[Nº Venda]]&gt;1,1,0)</f>
        <v>1</v>
      </c>
    </row>
    <row r="8" spans="2:18" ht="15.75" x14ac:dyDescent="0.25">
      <c r="B8" s="28" t="s">
        <v>21</v>
      </c>
      <c r="C8" s="29">
        <f>SUM(C6:C7)</f>
        <v>4465.25</v>
      </c>
      <c r="D8" s="2"/>
      <c r="E8" s="18">
        <v>8476</v>
      </c>
      <c r="F8" s="25" t="s">
        <v>114</v>
      </c>
      <c r="G8" s="26" t="s">
        <v>6</v>
      </c>
      <c r="H8" s="8">
        <v>300</v>
      </c>
      <c r="I8" s="8">
        <v>100</v>
      </c>
      <c r="J8" s="2"/>
      <c r="K8" s="25"/>
      <c r="L8" s="9"/>
      <c r="M8" s="16"/>
      <c r="R8" s="1">
        <f>IF(vend9[[#This Row],[Nº Venda]]&gt;1,1,0)</f>
        <v>1</v>
      </c>
    </row>
    <row r="9" spans="2:18" ht="15.75" x14ac:dyDescent="0.25">
      <c r="B9" s="2"/>
      <c r="C9" s="2"/>
      <c r="D9" s="2"/>
      <c r="E9" s="18">
        <v>8476</v>
      </c>
      <c r="F9" s="25" t="s">
        <v>114</v>
      </c>
      <c r="G9" s="26" t="s">
        <v>7</v>
      </c>
      <c r="H9" s="8"/>
      <c r="I9" s="8">
        <v>80</v>
      </c>
      <c r="J9" s="2"/>
      <c r="K9" s="25"/>
      <c r="L9" s="9"/>
      <c r="M9" s="16"/>
      <c r="R9" s="1">
        <f>IF(vend9[[#This Row],[Nº Venda]]&gt;1,1,0)</f>
        <v>1</v>
      </c>
    </row>
    <row r="10" spans="2:18" ht="15.75" x14ac:dyDescent="0.25">
      <c r="B10" s="87" t="s">
        <v>5</v>
      </c>
      <c r="C10" s="87"/>
      <c r="D10" s="2"/>
      <c r="E10" s="18">
        <v>8477</v>
      </c>
      <c r="F10" s="25" t="s">
        <v>115</v>
      </c>
      <c r="G10" s="26" t="s">
        <v>10</v>
      </c>
      <c r="H10" s="8">
        <v>300</v>
      </c>
      <c r="I10" s="8">
        <v>100</v>
      </c>
      <c r="J10" s="2"/>
      <c r="K10" s="25"/>
      <c r="L10" s="9"/>
      <c r="M10" s="16"/>
      <c r="R10" s="1">
        <f>IF(vend9[[#This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357</v>
      </c>
      <c r="D11" s="2"/>
      <c r="E11" s="18">
        <v>8478</v>
      </c>
      <c r="F11" s="25" t="s">
        <v>116</v>
      </c>
      <c r="G11" s="26" t="s">
        <v>10</v>
      </c>
      <c r="H11" s="8">
        <v>430</v>
      </c>
      <c r="I11" s="8">
        <v>430</v>
      </c>
      <c r="J11" s="2"/>
      <c r="K11" s="27"/>
      <c r="L11" s="9"/>
      <c r="M11" s="16"/>
      <c r="O11" s="1">
        <f>IF(C16=0,0,1)</f>
        <v>1</v>
      </c>
      <c r="R11" s="1">
        <f>IF(vend9[[#This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464</v>
      </c>
      <c r="D12" s="2"/>
      <c r="E12" s="18">
        <v>8479</v>
      </c>
      <c r="F12" s="25" t="s">
        <v>117</v>
      </c>
      <c r="G12" s="26" t="s">
        <v>7</v>
      </c>
      <c r="H12" s="8">
        <v>499</v>
      </c>
      <c r="I12" s="8">
        <v>5</v>
      </c>
      <c r="J12" s="2"/>
      <c r="R12" s="1">
        <f>IF(vend9[[#This Row],[Nº Venda]]&gt;1,1,0)</f>
        <v>1</v>
      </c>
    </row>
    <row r="13" spans="2:18" ht="15.75" x14ac:dyDescent="0.25">
      <c r="B13" s="30" t="s">
        <v>8</v>
      </c>
      <c r="C13" s="31">
        <f t="shared" si="0"/>
        <v>2499</v>
      </c>
      <c r="D13" s="2"/>
      <c r="E13" s="18">
        <v>8480</v>
      </c>
      <c r="F13" s="25" t="s">
        <v>118</v>
      </c>
      <c r="G13" s="26" t="s">
        <v>10</v>
      </c>
      <c r="H13" s="8">
        <v>845</v>
      </c>
      <c r="I13" s="8">
        <v>845</v>
      </c>
      <c r="J13" s="2"/>
      <c r="K13" s="89" t="s">
        <v>22</v>
      </c>
      <c r="L13" s="90"/>
      <c r="M13" s="91"/>
      <c r="R13" s="1">
        <f>IF(vend9[[#This Row],[Nº Venda]]&gt;1,1,0)</f>
        <v>1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>
        <v>8481</v>
      </c>
      <c r="F14" s="25" t="s">
        <v>119</v>
      </c>
      <c r="G14" s="26" t="s">
        <v>7</v>
      </c>
      <c r="H14" s="8">
        <v>379</v>
      </c>
      <c r="I14" s="8">
        <v>379</v>
      </c>
      <c r="J14" s="2"/>
      <c r="K14" s="14" t="s">
        <v>23</v>
      </c>
      <c r="L14" s="6" t="s">
        <v>24</v>
      </c>
      <c r="M14" s="15" t="s">
        <v>25</v>
      </c>
      <c r="R14" s="1">
        <f>IF(vend9[[#This Row],[Nº Venda]]&gt;1,1,0)</f>
        <v>1</v>
      </c>
    </row>
    <row r="15" spans="2:18" ht="15.75" x14ac:dyDescent="0.25">
      <c r="B15" s="30" t="s">
        <v>10</v>
      </c>
      <c r="C15" s="31">
        <f t="shared" si="0"/>
        <v>1375</v>
      </c>
      <c r="D15" s="2"/>
      <c r="E15" s="18">
        <v>8482</v>
      </c>
      <c r="F15" s="25" t="s">
        <v>120</v>
      </c>
      <c r="G15" s="26" t="s">
        <v>8</v>
      </c>
      <c r="H15" s="8">
        <v>1900</v>
      </c>
      <c r="I15" s="8">
        <v>1900</v>
      </c>
      <c r="J15" s="2"/>
      <c r="K15" s="25">
        <v>8450</v>
      </c>
      <c r="L15" s="9" t="s">
        <v>101</v>
      </c>
      <c r="M15" s="16" t="s">
        <v>38</v>
      </c>
      <c r="R15" s="1">
        <f>IF(vend9[[#This Row],[Nº Venda]]&gt;1,1,0)</f>
        <v>1</v>
      </c>
    </row>
    <row r="16" spans="2:18" ht="15.75" x14ac:dyDescent="0.25">
      <c r="B16" s="28" t="s">
        <v>11</v>
      </c>
      <c r="C16" s="32">
        <f>SUM(C11:C15)</f>
        <v>4695</v>
      </c>
      <c r="D16" s="2"/>
      <c r="E16" s="18">
        <v>8483</v>
      </c>
      <c r="F16" s="25" t="s">
        <v>120</v>
      </c>
      <c r="G16" s="26" t="s">
        <v>8</v>
      </c>
      <c r="H16" s="8">
        <v>599</v>
      </c>
      <c r="I16" s="8">
        <v>599</v>
      </c>
      <c r="J16" s="2"/>
      <c r="K16" s="25">
        <v>8392</v>
      </c>
      <c r="L16" s="9" t="s">
        <v>88</v>
      </c>
      <c r="M16" s="16" t="s">
        <v>38</v>
      </c>
      <c r="R16" s="1">
        <f>IF(vend9[[#This Row],[Nº Venda]]&gt;1,1,0)</f>
        <v>1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8391</v>
      </c>
      <c r="L17" s="9" t="s">
        <v>88</v>
      </c>
      <c r="M17" s="16" t="s">
        <v>38</v>
      </c>
      <c r="R17" s="1">
        <f>IF(vend9[[#This Row],[Nº Venda]]&gt;1,1,0)</f>
        <v>0</v>
      </c>
    </row>
    <row r="18" spans="2:18" ht="15.75" x14ac:dyDescent="0.25">
      <c r="B18" s="87" t="s">
        <v>12</v>
      </c>
      <c r="C18" s="87"/>
      <c r="D18" s="2"/>
      <c r="E18" s="18"/>
      <c r="F18" s="25"/>
      <c r="G18" s="26"/>
      <c r="H18" s="8"/>
      <c r="I18" s="8"/>
      <c r="J18" s="2"/>
      <c r="K18" s="25">
        <v>8389</v>
      </c>
      <c r="L18" s="9" t="s">
        <v>88</v>
      </c>
      <c r="M18" s="16" t="s">
        <v>38</v>
      </c>
      <c r="R18" s="1">
        <f>IF(vend9[[#This Row],[Nº Venda]]&gt;1,1,0)</f>
        <v>0</v>
      </c>
    </row>
    <row r="19" spans="2:18" ht="15.75" x14ac:dyDescent="0.25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>
        <v>8358</v>
      </c>
      <c r="L19" s="9" t="s">
        <v>121</v>
      </c>
      <c r="M19" s="16" t="s">
        <v>38</v>
      </c>
      <c r="R19" s="1">
        <f>IF(vend9[[#This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5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5552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2105286</v>
      </c>
      <c r="F35" s="25" t="s">
        <v>122</v>
      </c>
      <c r="G35" s="26" t="s">
        <v>6</v>
      </c>
      <c r="H35" s="8">
        <v>150</v>
      </c>
      <c r="I35" s="8" t="s">
        <v>123</v>
      </c>
      <c r="K35" s="25"/>
      <c r="L35" s="41"/>
      <c r="M35" s="16"/>
    </row>
    <row r="36" spans="2:18" ht="15.75" x14ac:dyDescent="0.25">
      <c r="E36" s="18">
        <v>2077700</v>
      </c>
      <c r="F36" s="25" t="s">
        <v>124</v>
      </c>
      <c r="G36" s="26" t="s">
        <v>6</v>
      </c>
      <c r="H36" s="8">
        <v>87</v>
      </c>
      <c r="I36" s="8" t="s">
        <v>125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1"/>
  <sheetViews>
    <sheetView showGridLines="0" zoomScale="80" zoomScaleNormal="80" workbookViewId="0">
      <selection activeCell="C24" sqref="C2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'09'!B1+1</f>
        <v>45301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5" t="s">
        <v>1</v>
      </c>
      <c r="F4" s="95"/>
      <c r="G4" s="95"/>
      <c r="H4" s="95"/>
      <c r="I4" s="95"/>
      <c r="J4" s="22"/>
      <c r="K4" s="89" t="s">
        <v>3</v>
      </c>
      <c r="L4" s="90"/>
      <c r="M4" s="91"/>
    </row>
    <row r="5" spans="2:18" ht="15" x14ac:dyDescent="0.25">
      <c r="B5" s="23" t="s">
        <v>1</v>
      </c>
      <c r="C5" s="24">
        <f>SUMIF(I6:I31,"&gt;0",H6:H31)</f>
        <v>4510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2040</v>
      </c>
      <c r="D6" s="2"/>
      <c r="E6" s="18">
        <v>8484</v>
      </c>
      <c r="F6" s="25" t="s">
        <v>126</v>
      </c>
      <c r="G6" s="46" t="s">
        <v>7</v>
      </c>
      <c r="H6" s="8">
        <v>200</v>
      </c>
      <c r="I6" s="8">
        <v>200</v>
      </c>
      <c r="J6" s="2"/>
      <c r="K6" s="25"/>
      <c r="L6" s="9"/>
      <c r="M6" s="16"/>
      <c r="R6" s="1">
        <f>IF(vend10[[#This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8485</v>
      </c>
      <c r="F7" s="25" t="s">
        <v>127</v>
      </c>
      <c r="G7" s="46" t="s">
        <v>6</v>
      </c>
      <c r="H7" s="8">
        <v>500</v>
      </c>
      <c r="I7" s="8">
        <v>500</v>
      </c>
      <c r="J7" s="2"/>
      <c r="K7" s="25"/>
      <c r="L7" s="9"/>
      <c r="M7" s="16"/>
      <c r="R7" s="1">
        <f>IF(vend10[[#This Row],[Nº Venda]]&gt;1,1,0)</f>
        <v>1</v>
      </c>
    </row>
    <row r="8" spans="2:18" ht="15.75" x14ac:dyDescent="0.25">
      <c r="B8" s="28" t="s">
        <v>21</v>
      </c>
      <c r="C8" s="29">
        <f>SUM(C6:C7)</f>
        <v>2040</v>
      </c>
      <c r="D8" s="2"/>
      <c r="E8" s="18">
        <v>8486</v>
      </c>
      <c r="F8" s="25" t="s">
        <v>128</v>
      </c>
      <c r="G8" s="26" t="s">
        <v>8</v>
      </c>
      <c r="H8" s="8">
        <v>900</v>
      </c>
      <c r="I8" s="8">
        <v>350</v>
      </c>
      <c r="J8" s="2"/>
      <c r="K8" s="25"/>
      <c r="L8" s="9"/>
      <c r="M8" s="16"/>
      <c r="R8" s="1">
        <f>IF(vend10[[#This Row],[Nº Venda]]&gt;1,1,0)</f>
        <v>1</v>
      </c>
    </row>
    <row r="9" spans="2:18" ht="15.75" x14ac:dyDescent="0.25">
      <c r="B9" s="2"/>
      <c r="C9" s="2"/>
      <c r="D9" s="2"/>
      <c r="E9" s="18">
        <v>8487</v>
      </c>
      <c r="F9" s="25" t="s">
        <v>129</v>
      </c>
      <c r="G9" s="26" t="s">
        <v>6</v>
      </c>
      <c r="H9" s="8">
        <v>2690</v>
      </c>
      <c r="I9" s="8">
        <v>300</v>
      </c>
      <c r="J9" s="2"/>
      <c r="K9" s="25"/>
      <c r="L9" s="9"/>
      <c r="M9" s="16"/>
      <c r="R9" s="1">
        <f>IF(vend10[[#This Row],[Nº Venda]]&gt;1,1,0)</f>
        <v>1</v>
      </c>
    </row>
    <row r="10" spans="2:18" ht="15.75" x14ac:dyDescent="0.25">
      <c r="B10" s="87" t="s">
        <v>5</v>
      </c>
      <c r="C10" s="87"/>
      <c r="D10" s="2"/>
      <c r="E10" s="18"/>
      <c r="F10" s="25"/>
      <c r="G10" s="26" t="s">
        <v>7</v>
      </c>
      <c r="H10" s="8"/>
      <c r="I10" s="8">
        <v>500</v>
      </c>
      <c r="J10" s="2"/>
      <c r="K10" s="25"/>
      <c r="L10" s="9"/>
      <c r="M10" s="16"/>
      <c r="R10" s="1">
        <f>IF(vend10[[#This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820</v>
      </c>
      <c r="D11" s="2"/>
      <c r="E11" s="18">
        <v>8488</v>
      </c>
      <c r="F11" s="25" t="s">
        <v>130</v>
      </c>
      <c r="G11" s="26" t="s">
        <v>47</v>
      </c>
      <c r="H11" s="8">
        <v>350</v>
      </c>
      <c r="I11" s="8">
        <v>0</v>
      </c>
      <c r="J11" s="2"/>
      <c r="K11" s="27"/>
      <c r="L11" s="9"/>
      <c r="M11" s="16"/>
      <c r="O11" s="1">
        <f>IF(C16=0,0,1)</f>
        <v>1</v>
      </c>
      <c r="R11" s="1">
        <f>IF(vend10[[#This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820</v>
      </c>
      <c r="D12" s="2"/>
      <c r="E12" s="18">
        <v>8489</v>
      </c>
      <c r="F12" s="25" t="s">
        <v>131</v>
      </c>
      <c r="G12" s="26" t="s">
        <v>6</v>
      </c>
      <c r="H12" s="8">
        <v>220</v>
      </c>
      <c r="I12" s="8">
        <v>20</v>
      </c>
      <c r="J12" s="2"/>
      <c r="R12" s="1">
        <f>IF(vend10[[#This Row],[Nº Venda]]&gt;1,1,0)</f>
        <v>1</v>
      </c>
    </row>
    <row r="13" spans="2:18" ht="15.75" x14ac:dyDescent="0.25">
      <c r="B13" s="30" t="s">
        <v>8</v>
      </c>
      <c r="C13" s="31">
        <f t="shared" si="0"/>
        <v>350</v>
      </c>
      <c r="D13" s="2"/>
      <c r="E13" s="18"/>
      <c r="F13" s="25"/>
      <c r="G13" s="26"/>
      <c r="H13" s="8"/>
      <c r="I13" s="8"/>
      <c r="J13" s="2"/>
      <c r="K13" s="89" t="s">
        <v>22</v>
      </c>
      <c r="L13" s="90"/>
      <c r="M13" s="91"/>
      <c r="R13" s="1">
        <f>IF(vend10[[#This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0</v>
      </c>
    </row>
    <row r="15" spans="2:18" ht="15.75" x14ac:dyDescent="0.25">
      <c r="B15" s="30" t="s">
        <v>10</v>
      </c>
      <c r="C15" s="31">
        <f t="shared" si="0"/>
        <v>50</v>
      </c>
      <c r="D15" s="2"/>
      <c r="E15" s="18"/>
      <c r="F15" s="25"/>
      <c r="G15" s="26"/>
      <c r="H15" s="8"/>
      <c r="I15" s="8"/>
      <c r="J15" s="2"/>
      <c r="K15" s="25">
        <v>8663</v>
      </c>
      <c r="L15" s="9" t="s">
        <v>132</v>
      </c>
      <c r="M15" s="16" t="s">
        <v>38</v>
      </c>
      <c r="R15" s="1">
        <f>IF(vend10[[#This Row],[Nº Venda]]&gt;1,1,0)</f>
        <v>0</v>
      </c>
    </row>
    <row r="16" spans="2:18" ht="15.75" x14ac:dyDescent="0.25">
      <c r="B16" s="28" t="s">
        <v>11</v>
      </c>
      <c r="C16" s="32">
        <f>SUM(C11:C15)</f>
        <v>2040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IF(vend10[[#This Row],[Nº Venda]]&gt;1,1,0)</f>
        <v>0</v>
      </c>
    </row>
    <row r="18" spans="2:18" ht="15.75" x14ac:dyDescent="0.25">
      <c r="B18" s="87" t="s">
        <v>12</v>
      </c>
      <c r="C18" s="8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 x14ac:dyDescent="0.25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4510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 t="s">
        <v>133</v>
      </c>
      <c r="D24" s="2"/>
      <c r="E24" s="88" t="s">
        <v>27</v>
      </c>
      <c r="F24" s="88"/>
      <c r="G24" s="88"/>
      <c r="H24" s="88"/>
      <c r="I24" s="8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8468</v>
      </c>
      <c r="F26" s="25" t="s">
        <v>134</v>
      </c>
      <c r="G26" s="46" t="s">
        <v>10</v>
      </c>
      <c r="H26" s="8"/>
      <c r="I26" s="8">
        <v>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8369</v>
      </c>
      <c r="F27" s="25" t="s">
        <v>135</v>
      </c>
      <c r="G27" s="46" t="s">
        <v>7</v>
      </c>
      <c r="H27" s="8"/>
      <c r="I27" s="8">
        <v>60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8370</v>
      </c>
      <c r="F28" s="25" t="s">
        <v>135</v>
      </c>
      <c r="G28" s="46" t="s">
        <v>7</v>
      </c>
      <c r="H28" s="8"/>
      <c r="I28" s="8">
        <v>60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6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0BA27C-92FA-4E44-B45B-142D61BB934F}">
          <x14:formula1>
            <xm:f>base!$A$2:$A$6</xm:f>
          </x14:formula1>
          <xm:sqref>G26:G31 G35:G41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I35:I41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topLeftCell="A10" zoomScale="80" zoomScaleNormal="80" workbookViewId="0">
      <selection activeCell="I30" sqref="I3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'10'!B1+1</f>
        <v>45302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5" t="s">
        <v>1</v>
      </c>
      <c r="F4" s="95"/>
      <c r="G4" s="95"/>
      <c r="H4" s="95"/>
      <c r="I4" s="95"/>
      <c r="J4" s="22"/>
      <c r="K4" s="89" t="s">
        <v>3</v>
      </c>
      <c r="L4" s="90"/>
      <c r="M4" s="91"/>
    </row>
    <row r="5" spans="2:18" ht="15" x14ac:dyDescent="0.25">
      <c r="B5" s="23" t="s">
        <v>1</v>
      </c>
      <c r="C5" s="24">
        <f>SUMIF(I6:I31,"&gt;0",H6:H31)</f>
        <v>517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697</v>
      </c>
      <c r="D6" s="2"/>
      <c r="E6" s="18">
        <v>8490</v>
      </c>
      <c r="F6" s="25" t="s">
        <v>136</v>
      </c>
      <c r="G6" s="26" t="s">
        <v>8</v>
      </c>
      <c r="H6" s="8">
        <v>232</v>
      </c>
      <c r="I6" s="8">
        <v>232</v>
      </c>
      <c r="J6" s="2"/>
      <c r="K6" s="25"/>
      <c r="L6" s="9"/>
      <c r="M6" s="16"/>
      <c r="R6" s="1">
        <f>IF(vend11[[#This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8491</v>
      </c>
      <c r="F7" s="25" t="s">
        <v>137</v>
      </c>
      <c r="G7" s="26" t="s">
        <v>10</v>
      </c>
      <c r="H7" s="8">
        <v>100</v>
      </c>
      <c r="I7" s="8">
        <v>100</v>
      </c>
      <c r="J7" s="2"/>
      <c r="K7" s="25"/>
      <c r="L7" s="9"/>
      <c r="M7" s="16"/>
      <c r="R7" s="1">
        <f>IF(vend11[[#This Row],[Nº Venda]]&gt;1,1,0)</f>
        <v>1</v>
      </c>
    </row>
    <row r="8" spans="2:18" ht="15.75" x14ac:dyDescent="0.25">
      <c r="B8" s="28" t="s">
        <v>21</v>
      </c>
      <c r="C8" s="29">
        <f>SUM(C6:C7)</f>
        <v>697</v>
      </c>
      <c r="D8" s="2"/>
      <c r="E8" s="18">
        <v>8492</v>
      </c>
      <c r="F8" s="25" t="s">
        <v>138</v>
      </c>
      <c r="G8" s="26" t="s">
        <v>6</v>
      </c>
      <c r="H8" s="8">
        <v>150</v>
      </c>
      <c r="I8" s="8">
        <v>50</v>
      </c>
      <c r="J8" s="2"/>
      <c r="K8" s="25"/>
      <c r="L8" s="9"/>
      <c r="M8" s="16"/>
      <c r="R8" s="1">
        <f>IF(vend11[[#This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87" t="s">
        <v>5</v>
      </c>
      <c r="C10" s="8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85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320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8</v>
      </c>
      <c r="C13" s="31">
        <f t="shared" si="0"/>
        <v>432</v>
      </c>
      <c r="D13" s="2"/>
      <c r="E13" s="18"/>
      <c r="F13" s="25"/>
      <c r="G13" s="26"/>
      <c r="H13" s="8"/>
      <c r="I13" s="8"/>
      <c r="J13" s="2"/>
      <c r="K13" s="89" t="s">
        <v>22</v>
      </c>
      <c r="L13" s="90"/>
      <c r="M13" s="91"/>
      <c r="R13" s="1">
        <f>IF(vend11[[#This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IF(vend11[[#This Row],[Nº Venda]]&gt;1,1,0)</f>
        <v>0</v>
      </c>
    </row>
    <row r="15" spans="2:18" ht="15.75" x14ac:dyDescent="0.25">
      <c r="B15" s="30" t="s">
        <v>10</v>
      </c>
      <c r="C15" s="31">
        <f t="shared" si="0"/>
        <v>547.5</v>
      </c>
      <c r="D15" s="2"/>
      <c r="E15" s="18"/>
      <c r="F15" s="25"/>
      <c r="G15" s="26"/>
      <c r="H15" s="8"/>
      <c r="I15" s="8"/>
      <c r="J15" s="2"/>
      <c r="K15" s="25">
        <v>8396</v>
      </c>
      <c r="L15" s="9" t="s">
        <v>52</v>
      </c>
      <c r="M15" s="16" t="s">
        <v>38</v>
      </c>
      <c r="R15" s="1">
        <f>IF(vend11[[#This Row],[Nº Venda]]&gt;1,1,0)</f>
        <v>0</v>
      </c>
    </row>
    <row r="16" spans="2:18" ht="15.75" x14ac:dyDescent="0.25">
      <c r="B16" s="28" t="s">
        <v>11</v>
      </c>
      <c r="C16" s="32">
        <f>SUM(C11:C15)</f>
        <v>1384.5</v>
      </c>
      <c r="D16" s="2"/>
      <c r="E16" s="18"/>
      <c r="F16" s="25"/>
      <c r="G16" s="26"/>
      <c r="H16" s="8"/>
      <c r="I16" s="8"/>
      <c r="J16" s="2"/>
      <c r="K16" s="25">
        <v>8448</v>
      </c>
      <c r="L16" s="9" t="s">
        <v>52</v>
      </c>
      <c r="M16" s="16" t="s">
        <v>38</v>
      </c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75" x14ac:dyDescent="0.25">
      <c r="B18" s="87" t="s">
        <v>12</v>
      </c>
      <c r="C18" s="8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 x14ac:dyDescent="0.2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517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8479</v>
      </c>
      <c r="F26" s="25" t="s">
        <v>139</v>
      </c>
      <c r="G26" s="46" t="s">
        <v>7</v>
      </c>
      <c r="H26" s="8"/>
      <c r="I26" s="8">
        <v>80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8448</v>
      </c>
      <c r="F27" s="25" t="s">
        <v>140</v>
      </c>
      <c r="G27" s="26" t="s">
        <v>6</v>
      </c>
      <c r="H27" s="8">
        <v>35</v>
      </c>
      <c r="I27" s="8">
        <v>35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8489</v>
      </c>
      <c r="F28" s="25" t="s">
        <v>131</v>
      </c>
      <c r="G28" s="26" t="s">
        <v>8</v>
      </c>
      <c r="H28" s="8"/>
      <c r="I28" s="8">
        <v>200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>
        <v>0</v>
      </c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8265</v>
      </c>
      <c r="F35" s="25" t="s">
        <v>141</v>
      </c>
      <c r="G35" s="26" t="s">
        <v>7</v>
      </c>
      <c r="H35" s="8">
        <v>120</v>
      </c>
      <c r="I35" s="8" t="s">
        <v>142</v>
      </c>
      <c r="K35" s="25"/>
      <c r="L35" s="41"/>
      <c r="M35" s="16"/>
    </row>
    <row r="36" spans="2:18" ht="15.75" x14ac:dyDescent="0.25">
      <c r="E36" s="18">
        <v>8265</v>
      </c>
      <c r="F36" s="25" t="s">
        <v>141</v>
      </c>
      <c r="G36" s="26" t="s">
        <v>7</v>
      </c>
      <c r="H36" s="8">
        <v>120</v>
      </c>
      <c r="I36" s="8" t="s">
        <v>143</v>
      </c>
      <c r="K36" s="25"/>
      <c r="L36" s="41"/>
      <c r="M36" s="16"/>
    </row>
    <row r="37" spans="2:18" ht="15.75" x14ac:dyDescent="0.25">
      <c r="E37" s="18">
        <v>7689</v>
      </c>
      <c r="F37" s="25" t="s">
        <v>144</v>
      </c>
      <c r="G37" s="26" t="s">
        <v>10</v>
      </c>
      <c r="H37" s="8">
        <v>287.5</v>
      </c>
      <c r="I37" s="8" t="s">
        <v>145</v>
      </c>
      <c r="K37" s="25"/>
      <c r="L37" s="41"/>
      <c r="M37" s="16"/>
    </row>
    <row r="38" spans="2:18" ht="15.75" x14ac:dyDescent="0.25">
      <c r="E38" s="18">
        <v>8195</v>
      </c>
      <c r="F38" s="25" t="s">
        <v>146</v>
      </c>
      <c r="G38" s="26" t="s">
        <v>10</v>
      </c>
      <c r="H38" s="8">
        <v>70</v>
      </c>
      <c r="I38" s="8" t="s">
        <v>142</v>
      </c>
      <c r="K38" s="25"/>
      <c r="L38" s="41"/>
      <c r="M38" s="16"/>
    </row>
    <row r="39" spans="2:18" ht="15.75" x14ac:dyDescent="0.25">
      <c r="E39" s="18">
        <v>7953</v>
      </c>
      <c r="F39" s="39" t="s">
        <v>147</v>
      </c>
      <c r="G39" s="26" t="s">
        <v>10</v>
      </c>
      <c r="H39" s="8">
        <v>90</v>
      </c>
      <c r="I39" s="8" t="s">
        <v>43</v>
      </c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topLeftCell="A16" zoomScale="80" zoomScaleNormal="80" workbookViewId="0">
      <selection activeCell="C16" sqref="C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'11'!B1+1</f>
        <v>45303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5" t="s">
        <v>1</v>
      </c>
      <c r="F4" s="95"/>
      <c r="G4" s="95"/>
      <c r="H4" s="95"/>
      <c r="I4" s="95"/>
      <c r="J4" s="22"/>
      <c r="K4" s="89" t="s">
        <v>3</v>
      </c>
      <c r="L4" s="90"/>
      <c r="M4" s="91"/>
    </row>
    <row r="5" spans="2:18" ht="15" x14ac:dyDescent="0.25">
      <c r="B5" s="23" t="s">
        <v>1</v>
      </c>
      <c r="C5" s="24">
        <f>SUMIF(I6:I31,"&gt;0",H6:H31)</f>
        <v>3800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1980</v>
      </c>
      <c r="D6" s="2"/>
      <c r="E6" s="57" t="s">
        <v>148</v>
      </c>
      <c r="F6" s="58" t="s">
        <v>149</v>
      </c>
      <c r="G6" s="58" t="s">
        <v>10</v>
      </c>
      <c r="H6" s="59">
        <v>1100</v>
      </c>
      <c r="I6" s="59">
        <v>300</v>
      </c>
      <c r="J6" s="2"/>
      <c r="K6" s="25"/>
      <c r="L6" s="9"/>
      <c r="M6" s="16"/>
      <c r="R6" s="1">
        <f>IF(vend12[[#This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60" t="s">
        <v>150</v>
      </c>
      <c r="F7" s="61" t="s">
        <v>151</v>
      </c>
      <c r="G7" s="61" t="s">
        <v>8</v>
      </c>
      <c r="H7" s="62">
        <v>600</v>
      </c>
      <c r="I7" s="62">
        <v>600</v>
      </c>
      <c r="J7" s="2"/>
      <c r="K7" s="25"/>
      <c r="L7" s="9"/>
      <c r="M7" s="16"/>
      <c r="R7" s="1">
        <f>IF(vend12[[#This Row],[Nº Venda]]&gt;1,1,0)</f>
        <v>1</v>
      </c>
    </row>
    <row r="8" spans="2:18" ht="15.75" x14ac:dyDescent="0.25">
      <c r="B8" s="28" t="s">
        <v>21</v>
      </c>
      <c r="C8" s="29">
        <f>SUM(C6:C7)</f>
        <v>1980</v>
      </c>
      <c r="D8" s="2"/>
      <c r="E8" s="64">
        <v>8495</v>
      </c>
      <c r="F8" s="61" t="s">
        <v>152</v>
      </c>
      <c r="G8" s="61" t="s">
        <v>6</v>
      </c>
      <c r="H8" s="62">
        <v>490</v>
      </c>
      <c r="I8" s="62">
        <v>70</v>
      </c>
      <c r="J8" s="2"/>
      <c r="K8" s="25"/>
      <c r="L8" s="9"/>
      <c r="M8" s="16"/>
      <c r="R8" s="1">
        <f>IF(vend12[[#This Row],[Nº Venda]]&gt;1,1,0)</f>
        <v>1</v>
      </c>
    </row>
    <row r="9" spans="2:18" ht="15.75" x14ac:dyDescent="0.25">
      <c r="B9" s="2"/>
      <c r="C9" s="2"/>
      <c r="D9" s="2"/>
      <c r="E9" s="18">
        <v>8496</v>
      </c>
      <c r="F9" s="25" t="s">
        <v>153</v>
      </c>
      <c r="G9" s="26" t="s">
        <v>8</v>
      </c>
      <c r="H9" s="8">
        <v>750</v>
      </c>
      <c r="I9" s="8">
        <v>750</v>
      </c>
      <c r="J9" s="2"/>
      <c r="K9" s="25"/>
      <c r="L9" s="9"/>
      <c r="M9" s="16"/>
      <c r="R9" s="1">
        <f>IF(vend12[[#This Row],[Nº Venda]]&gt;1,1,0)</f>
        <v>1</v>
      </c>
    </row>
    <row r="10" spans="2:18" ht="15.75" x14ac:dyDescent="0.25">
      <c r="B10" s="87" t="s">
        <v>5</v>
      </c>
      <c r="C10" s="87"/>
      <c r="D10" s="2"/>
      <c r="E10" s="18">
        <v>8497</v>
      </c>
      <c r="F10" s="25" t="s">
        <v>154</v>
      </c>
      <c r="G10" s="26" t="s">
        <v>10</v>
      </c>
      <c r="H10" s="8">
        <v>840</v>
      </c>
      <c r="I10" s="8">
        <v>240</v>
      </c>
      <c r="J10" s="2"/>
      <c r="K10" s="25"/>
      <c r="L10" s="9"/>
      <c r="M10" s="16"/>
      <c r="R10" s="1">
        <f>IF(vend12[[#This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70</v>
      </c>
      <c r="D11" s="2"/>
      <c r="E11" s="18">
        <v>8498</v>
      </c>
      <c r="F11" s="25" t="s">
        <v>155</v>
      </c>
      <c r="G11" s="26" t="s">
        <v>7</v>
      </c>
      <c r="H11" s="8">
        <v>20</v>
      </c>
      <c r="I11" s="8">
        <v>20</v>
      </c>
      <c r="J11" s="2"/>
      <c r="K11" s="27"/>
      <c r="L11" s="9"/>
      <c r="M11" s="16"/>
      <c r="O11" s="1">
        <f>IF(C16=0,0,1)</f>
        <v>1</v>
      </c>
      <c r="R11" s="1">
        <f>IF(vend12[[#This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30" t="s">
        <v>8</v>
      </c>
      <c r="C13" s="31">
        <f t="shared" si="0"/>
        <v>1350</v>
      </c>
      <c r="D13" s="2"/>
      <c r="E13" s="18"/>
      <c r="F13" s="25"/>
      <c r="G13" s="26"/>
      <c r="H13" s="8"/>
      <c r="I13" s="8"/>
      <c r="J13" s="2"/>
      <c r="K13" s="89" t="s">
        <v>22</v>
      </c>
      <c r="L13" s="90"/>
      <c r="M13" s="91"/>
      <c r="R13" s="1">
        <f>IF(vend12[[#This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0</v>
      </c>
    </row>
    <row r="15" spans="2:18" ht="15.75" x14ac:dyDescent="0.25">
      <c r="B15" s="30" t="s">
        <v>10</v>
      </c>
      <c r="C15" s="31">
        <f t="shared" si="0"/>
        <v>540</v>
      </c>
      <c r="D15" s="2"/>
      <c r="E15" s="18"/>
      <c r="F15" s="25"/>
      <c r="G15" s="26"/>
      <c r="H15" s="8"/>
      <c r="I15" s="8"/>
      <c r="J15" s="2"/>
      <c r="K15" s="25">
        <v>8426</v>
      </c>
      <c r="L15" s="9" t="s">
        <v>86</v>
      </c>
      <c r="M15" s="16" t="s">
        <v>38</v>
      </c>
      <c r="R15" s="1">
        <f>IF(vend12[[#This Row],[Nº Venda]]&gt;1,1,0)</f>
        <v>0</v>
      </c>
    </row>
    <row r="16" spans="2:18" ht="15.75" x14ac:dyDescent="0.25">
      <c r="B16" s="28" t="s">
        <v>11</v>
      </c>
      <c r="C16" s="32" t="s">
        <v>71</v>
      </c>
      <c r="D16" s="2"/>
      <c r="E16" s="18"/>
      <c r="F16" s="25"/>
      <c r="G16" s="26"/>
      <c r="H16" s="8"/>
      <c r="I16" s="8"/>
      <c r="J16" s="2"/>
      <c r="K16" s="25">
        <v>8485</v>
      </c>
      <c r="L16" s="9" t="s">
        <v>88</v>
      </c>
      <c r="M16" s="16" t="s">
        <v>38</v>
      </c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8447</v>
      </c>
      <c r="L17" s="9" t="s">
        <v>101</v>
      </c>
      <c r="M17" s="16" t="s">
        <v>38</v>
      </c>
      <c r="R17" s="1">
        <f>IF(vend12[[#This Row],[Nº Venda]]&gt;1,1,0)</f>
        <v>0</v>
      </c>
    </row>
    <row r="18" spans="2:18" ht="15.75" x14ac:dyDescent="0.25">
      <c r="B18" s="87" t="s">
        <v>12</v>
      </c>
      <c r="C18" s="87"/>
      <c r="D18" s="2"/>
      <c r="E18" s="18"/>
      <c r="F18" s="25"/>
      <c r="G18" s="26"/>
      <c r="H18" s="8"/>
      <c r="I18" s="8"/>
      <c r="J18" s="2"/>
      <c r="K18" s="25">
        <v>8424</v>
      </c>
      <c r="L18" s="9" t="s">
        <v>88</v>
      </c>
      <c r="M18" s="16" t="s">
        <v>38</v>
      </c>
      <c r="R18" s="1">
        <f>IF(vend12[[#This Row],[Nº Venda]]&gt;1,1,0)</f>
        <v>0</v>
      </c>
    </row>
    <row r="19" spans="2:18" ht="15.75" x14ac:dyDescent="0.25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3800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63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6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topLeftCell="A5" zoomScale="80" zoomScaleNormal="80" workbookViewId="0">
      <selection activeCell="U7" sqref="U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'12'!B1+1</f>
        <v>45304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5" t="s">
        <v>1</v>
      </c>
      <c r="F4" s="95"/>
      <c r="G4" s="95"/>
      <c r="H4" s="95"/>
      <c r="I4" s="95"/>
      <c r="J4" s="22"/>
      <c r="K4" s="89" t="s">
        <v>3</v>
      </c>
      <c r="L4" s="90"/>
      <c r="M4" s="91"/>
    </row>
    <row r="5" spans="2:18" ht="15" x14ac:dyDescent="0.25">
      <c r="B5" s="23" t="s">
        <v>1</v>
      </c>
      <c r="C5" s="24">
        <f>SUMIF(I6:I31,"&gt;0",H6:H31)</f>
        <v>5229.8999999999996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3007.9</v>
      </c>
      <c r="D6" s="2"/>
      <c r="E6" s="18">
        <v>8499</v>
      </c>
      <c r="F6" s="25" t="s">
        <v>155</v>
      </c>
      <c r="G6" s="26" t="s">
        <v>8</v>
      </c>
      <c r="H6" s="8">
        <v>150</v>
      </c>
      <c r="I6" s="8">
        <v>150</v>
      </c>
      <c r="J6" s="2"/>
      <c r="K6" s="25" t="s">
        <v>156</v>
      </c>
      <c r="L6" s="9" t="s">
        <v>157</v>
      </c>
      <c r="M6" s="16">
        <v>3</v>
      </c>
      <c r="R6" s="1">
        <f>IF(vend13[[#This Row],[Nº Venda]]&gt;1,1,0)</f>
        <v>1</v>
      </c>
    </row>
    <row r="7" spans="2:18" ht="15.75" x14ac:dyDescent="0.25">
      <c r="B7" s="23" t="s">
        <v>3</v>
      </c>
      <c r="C7" s="24">
        <f>SUM(M6:M11)</f>
        <v>3</v>
      </c>
      <c r="D7" s="2"/>
      <c r="E7" s="18">
        <v>8500</v>
      </c>
      <c r="F7" s="25" t="s">
        <v>158</v>
      </c>
      <c r="G7" s="26" t="s">
        <v>7</v>
      </c>
      <c r="H7" s="8">
        <v>1750</v>
      </c>
      <c r="I7" s="8">
        <v>80</v>
      </c>
      <c r="J7" s="2"/>
      <c r="K7" s="25"/>
      <c r="L7" s="9"/>
      <c r="M7" s="16"/>
      <c r="R7" s="1">
        <f>IF(vend13[[#This Row],[Nº Venda]]&gt;1,1,0)</f>
        <v>1</v>
      </c>
    </row>
    <row r="8" spans="2:18" ht="15.75" x14ac:dyDescent="0.25">
      <c r="B8" s="28" t="s">
        <v>21</v>
      </c>
      <c r="C8" s="29">
        <f>SUM(C6:C7)</f>
        <v>3010.9</v>
      </c>
      <c r="D8" s="2"/>
      <c r="E8" s="18">
        <v>8501</v>
      </c>
      <c r="F8" s="25" t="s">
        <v>158</v>
      </c>
      <c r="G8" s="26" t="s">
        <v>7</v>
      </c>
      <c r="H8" s="8">
        <v>300</v>
      </c>
      <c r="I8" s="8">
        <v>20</v>
      </c>
      <c r="J8" s="2"/>
      <c r="K8" s="25"/>
      <c r="L8" s="9"/>
      <c r="M8" s="16"/>
      <c r="R8" s="1">
        <f>IF(vend13[[#This Row],[Nº Venda]]&gt;1,1,0)</f>
        <v>1</v>
      </c>
    </row>
    <row r="9" spans="2:18" ht="15.75" x14ac:dyDescent="0.25">
      <c r="B9" s="2"/>
      <c r="C9" s="2"/>
      <c r="D9" s="2"/>
      <c r="E9" s="18">
        <v>8502</v>
      </c>
      <c r="F9" s="25" t="s">
        <v>159</v>
      </c>
      <c r="G9" s="26" t="s">
        <v>6</v>
      </c>
      <c r="H9" s="8">
        <v>400</v>
      </c>
      <c r="I9" s="8">
        <v>400</v>
      </c>
      <c r="J9" s="2"/>
      <c r="K9" s="25"/>
      <c r="L9" s="9"/>
      <c r="M9" s="16"/>
      <c r="R9" s="1">
        <f>IF(vend13[[#This Row],[Nº Venda]]&gt;1,1,0)</f>
        <v>1</v>
      </c>
    </row>
    <row r="10" spans="2:18" ht="15.75" x14ac:dyDescent="0.25">
      <c r="B10" s="87" t="s">
        <v>5</v>
      </c>
      <c r="C10" s="87"/>
      <c r="D10" s="2"/>
      <c r="E10" s="18">
        <v>8503</v>
      </c>
      <c r="F10" s="25" t="s">
        <v>160</v>
      </c>
      <c r="G10" s="26" t="s">
        <v>8</v>
      </c>
      <c r="H10" s="8">
        <v>550</v>
      </c>
      <c r="I10" s="8">
        <v>550</v>
      </c>
      <c r="J10" s="2"/>
      <c r="K10" s="25"/>
      <c r="L10" s="9"/>
      <c r="M10" s="16"/>
      <c r="R10" s="1">
        <f>IF(vend13[[#This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450</v>
      </c>
      <c r="D11" s="2"/>
      <c r="E11" s="18">
        <v>8504</v>
      </c>
      <c r="F11" s="25" t="s">
        <v>161</v>
      </c>
      <c r="G11" s="26" t="s">
        <v>8</v>
      </c>
      <c r="H11" s="8">
        <v>990</v>
      </c>
      <c r="I11" s="8">
        <v>300</v>
      </c>
      <c r="J11" s="2"/>
      <c r="K11" s="27"/>
      <c r="L11" s="9"/>
      <c r="M11" s="16"/>
      <c r="O11" s="1">
        <f>IF(C16=0,0,1)</f>
        <v>1</v>
      </c>
      <c r="R11" s="1">
        <f>IF(vend13[[#This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170</v>
      </c>
      <c r="D12" s="2"/>
      <c r="E12" s="18">
        <v>8505</v>
      </c>
      <c r="F12" s="25" t="s">
        <v>162</v>
      </c>
      <c r="G12" s="26" t="s">
        <v>10</v>
      </c>
      <c r="H12" s="8">
        <v>350</v>
      </c>
      <c r="I12" s="8">
        <v>350</v>
      </c>
      <c r="J12" s="2"/>
      <c r="R12" s="1">
        <f>IF(vend13[[#This Row],[Nº Venda]]&gt;1,1,0)</f>
        <v>1</v>
      </c>
    </row>
    <row r="13" spans="2:18" ht="15.75" x14ac:dyDescent="0.25">
      <c r="B13" s="30" t="s">
        <v>8</v>
      </c>
      <c r="C13" s="31">
        <f t="shared" si="0"/>
        <v>2068</v>
      </c>
      <c r="D13" s="2"/>
      <c r="E13" s="18">
        <v>8506</v>
      </c>
      <c r="F13" s="25" t="s">
        <v>163</v>
      </c>
      <c r="G13" s="26" t="s">
        <v>8</v>
      </c>
      <c r="H13" s="8">
        <v>650</v>
      </c>
      <c r="I13" s="8">
        <v>100</v>
      </c>
      <c r="J13" s="2"/>
      <c r="K13" s="89" t="s">
        <v>22</v>
      </c>
      <c r="L13" s="90"/>
      <c r="M13" s="91"/>
      <c r="R13" s="1">
        <f>IF(vend13[[#This Row],[Nº Venda]]&gt;1,1,0)</f>
        <v>1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>
        <v>8507</v>
      </c>
      <c r="F14" s="25" t="s">
        <v>164</v>
      </c>
      <c r="G14" s="26" t="s">
        <v>10</v>
      </c>
      <c r="H14" s="8">
        <v>39.9</v>
      </c>
      <c r="I14" s="8">
        <v>39.9</v>
      </c>
      <c r="J14" s="2"/>
      <c r="K14" s="14" t="s">
        <v>23</v>
      </c>
      <c r="L14" s="6" t="s">
        <v>24</v>
      </c>
      <c r="M14" s="15" t="s">
        <v>25</v>
      </c>
      <c r="R14" s="1">
        <f>IF(vend13[[#This Row],[Nº Venda]]&gt;1,1,0)</f>
        <v>1</v>
      </c>
    </row>
    <row r="15" spans="2:18" ht="15.75" x14ac:dyDescent="0.25">
      <c r="B15" s="30" t="s">
        <v>10</v>
      </c>
      <c r="C15" s="31">
        <f t="shared" si="0"/>
        <v>389.9</v>
      </c>
      <c r="D15" s="2"/>
      <c r="E15" s="18">
        <v>8508</v>
      </c>
      <c r="F15" s="25" t="s">
        <v>165</v>
      </c>
      <c r="G15" s="26" t="s">
        <v>6</v>
      </c>
      <c r="H15" s="8">
        <v>50</v>
      </c>
      <c r="I15" s="8">
        <v>50</v>
      </c>
      <c r="J15" s="2"/>
      <c r="K15" s="25">
        <v>8461</v>
      </c>
      <c r="L15" s="9" t="s">
        <v>88</v>
      </c>
      <c r="M15" s="16" t="s">
        <v>38</v>
      </c>
      <c r="R15" s="1">
        <f>IF(vend13[[#This Row],[Nº Venda]]&gt;1,1,0)</f>
        <v>1</v>
      </c>
    </row>
    <row r="16" spans="2:18" ht="15.75" x14ac:dyDescent="0.25">
      <c r="B16" s="28" t="s">
        <v>11</v>
      </c>
      <c r="C16" s="32">
        <f>SUM(C11:C15)</f>
        <v>3077.9</v>
      </c>
      <c r="D16" s="2"/>
      <c r="E16" s="18"/>
      <c r="F16" s="25"/>
      <c r="G16" s="26"/>
      <c r="H16" s="8"/>
      <c r="I16" s="8"/>
      <c r="J16" s="2"/>
      <c r="K16" s="25">
        <v>8419</v>
      </c>
      <c r="L16" s="9" t="s">
        <v>88</v>
      </c>
      <c r="M16" s="16" t="s">
        <v>38</v>
      </c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75" x14ac:dyDescent="0.25">
      <c r="B18" s="87" t="s">
        <v>12</v>
      </c>
      <c r="C18" s="8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 x14ac:dyDescent="0.25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5229.8999999999996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8419</v>
      </c>
      <c r="F26" s="25" t="s">
        <v>155</v>
      </c>
      <c r="G26" s="26" t="s">
        <v>8</v>
      </c>
      <c r="H26" s="8"/>
      <c r="I26" s="8">
        <v>478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8460</v>
      </c>
      <c r="F27" s="25" t="s">
        <v>166</v>
      </c>
      <c r="G27" s="26" t="s">
        <v>8</v>
      </c>
      <c r="H27" s="8"/>
      <c r="I27" s="8">
        <v>490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B35" s="1">
        <v>3</v>
      </c>
      <c r="E35" s="18">
        <v>8227</v>
      </c>
      <c r="F35" s="25" t="s">
        <v>167</v>
      </c>
      <c r="G35" s="26" t="s">
        <v>7</v>
      </c>
      <c r="H35" s="8">
        <v>70</v>
      </c>
      <c r="I35" s="8" t="s">
        <v>168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topLeftCell="A15" zoomScale="80" zoomScaleNormal="80" workbookViewId="0">
      <selection activeCell="I35" sqref="I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'13'!B1+1</f>
        <v>45305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5" t="s">
        <v>1</v>
      </c>
      <c r="F4" s="95"/>
      <c r="G4" s="95"/>
      <c r="H4" s="95"/>
      <c r="I4" s="95"/>
      <c r="J4" s="22"/>
      <c r="K4" s="89" t="s">
        <v>3</v>
      </c>
      <c r="L4" s="90"/>
      <c r="M4" s="9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IF(vend14[[#This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 x14ac:dyDescent="0.25">
      <c r="B10" s="87" t="s">
        <v>5</v>
      </c>
      <c r="C10" s="8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9" t="s">
        <v>22</v>
      </c>
      <c r="L13" s="90"/>
      <c r="M13" s="91"/>
      <c r="R13" s="1">
        <f>IF(vend14[[#This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IF(vend14[[#This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75" x14ac:dyDescent="0.25">
      <c r="B18" s="87" t="s">
        <v>12</v>
      </c>
      <c r="C18" s="8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 x14ac:dyDescent="0.2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 t="s">
        <v>71</v>
      </c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topLeftCell="A10" zoomScale="80" zoomScaleNormal="80" workbookViewId="0">
      <selection activeCell="C23" sqref="C2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'14'!B1+1</f>
        <v>45306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5" t="s">
        <v>1</v>
      </c>
      <c r="F4" s="95"/>
      <c r="G4" s="95"/>
      <c r="H4" s="95"/>
      <c r="I4" s="95"/>
      <c r="J4" s="22"/>
      <c r="K4" s="89" t="s">
        <v>3</v>
      </c>
      <c r="L4" s="90"/>
      <c r="M4" s="91"/>
    </row>
    <row r="5" spans="2:18" ht="15" x14ac:dyDescent="0.25">
      <c r="B5" s="23" t="s">
        <v>1</v>
      </c>
      <c r="C5" s="24">
        <f>SUMIF(I6:I31,"&gt;0",H6:H31)</f>
        <v>5283.99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4433.99</v>
      </c>
      <c r="D6" s="2"/>
      <c r="E6" s="18">
        <v>8509</v>
      </c>
      <c r="F6" s="25" t="s">
        <v>169</v>
      </c>
      <c r="G6" s="46" t="s">
        <v>6</v>
      </c>
      <c r="H6" s="8">
        <v>250</v>
      </c>
      <c r="I6" s="8">
        <v>100</v>
      </c>
      <c r="J6" s="2"/>
      <c r="K6" s="25"/>
      <c r="L6" s="9"/>
      <c r="M6" s="16"/>
      <c r="R6" s="1">
        <f>IF(vend15[[#This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8510</v>
      </c>
      <c r="F7" s="25" t="s">
        <v>170</v>
      </c>
      <c r="G7" s="46" t="s">
        <v>8</v>
      </c>
      <c r="H7" s="8">
        <v>1035</v>
      </c>
      <c r="I7" s="8">
        <v>535</v>
      </c>
      <c r="J7" s="2"/>
      <c r="K7" s="25"/>
      <c r="L7" s="9"/>
      <c r="M7" s="16"/>
      <c r="R7" s="1">
        <f>IF(vend15[[#This Row],[Nº Venda]]&gt;1,1,0)</f>
        <v>1</v>
      </c>
    </row>
    <row r="8" spans="2:18" ht="15.75" x14ac:dyDescent="0.25">
      <c r="B8" s="28" t="s">
        <v>21</v>
      </c>
      <c r="C8" s="29">
        <f>SUM(C6:C7)</f>
        <v>4433.99</v>
      </c>
      <c r="D8" s="2"/>
      <c r="E8" s="18">
        <v>8510</v>
      </c>
      <c r="F8" s="25" t="s">
        <v>170</v>
      </c>
      <c r="G8" s="26" t="s">
        <v>10</v>
      </c>
      <c r="H8" s="8"/>
      <c r="I8" s="8">
        <v>500</v>
      </c>
      <c r="J8" s="2"/>
      <c r="K8" s="25"/>
      <c r="L8" s="9"/>
      <c r="M8" s="16"/>
      <c r="R8" s="1">
        <f>IF(vend15[[#This Row],[Nº Venda]]&gt;1,1,0)</f>
        <v>1</v>
      </c>
    </row>
    <row r="9" spans="2:18" ht="15.75" x14ac:dyDescent="0.25">
      <c r="B9" s="2"/>
      <c r="C9" s="2"/>
      <c r="D9" s="2"/>
      <c r="E9" s="18">
        <v>8511</v>
      </c>
      <c r="F9" s="25" t="s">
        <v>171</v>
      </c>
      <c r="G9" s="26" t="s">
        <v>8</v>
      </c>
      <c r="H9" s="8">
        <v>2999.99</v>
      </c>
      <c r="I9" s="8">
        <v>2999.99</v>
      </c>
      <c r="J9" s="2"/>
      <c r="K9" s="25"/>
      <c r="L9" s="9"/>
      <c r="M9" s="16"/>
      <c r="R9" s="1">
        <f>IF(vend15[[#This Row],[Nº Venda]]&gt;1,1,0)</f>
        <v>1</v>
      </c>
    </row>
    <row r="10" spans="2:18" ht="15.75" x14ac:dyDescent="0.25">
      <c r="B10" s="87" t="s">
        <v>5</v>
      </c>
      <c r="C10" s="87"/>
      <c r="D10" s="2"/>
      <c r="E10" s="18">
        <v>8512</v>
      </c>
      <c r="F10" s="25" t="s">
        <v>172</v>
      </c>
      <c r="G10" s="26" t="s">
        <v>10</v>
      </c>
      <c r="H10" s="8">
        <v>999</v>
      </c>
      <c r="I10" s="8">
        <v>99</v>
      </c>
      <c r="J10" s="2"/>
      <c r="K10" s="25"/>
      <c r="L10" s="9"/>
      <c r="M10" s="16"/>
      <c r="R10" s="1">
        <f>IF(vend15[[#This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300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131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30" t="s">
        <v>8</v>
      </c>
      <c r="C13" s="31">
        <f t="shared" si="0"/>
        <v>3534.99</v>
      </c>
      <c r="D13" s="2"/>
      <c r="E13" s="18"/>
      <c r="F13" s="25"/>
      <c r="G13" s="26"/>
      <c r="H13" s="8"/>
      <c r="I13" s="8"/>
      <c r="J13" s="2"/>
      <c r="K13" s="89" t="s">
        <v>22</v>
      </c>
      <c r="L13" s="90"/>
      <c r="M13" s="91"/>
      <c r="R13" s="1">
        <f>IF(vend15[[#This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0</v>
      </c>
    </row>
    <row r="15" spans="2:18" ht="15.75" x14ac:dyDescent="0.25">
      <c r="B15" s="30" t="s">
        <v>10</v>
      </c>
      <c r="C15" s="31">
        <f t="shared" si="0"/>
        <v>599</v>
      </c>
      <c r="D15" s="2"/>
      <c r="E15" s="18"/>
      <c r="F15" s="25"/>
      <c r="G15" s="26"/>
      <c r="H15" s="8"/>
      <c r="I15" s="8"/>
      <c r="J15" s="2"/>
      <c r="K15" s="25">
        <v>8453</v>
      </c>
      <c r="L15" s="9" t="s">
        <v>132</v>
      </c>
      <c r="M15" s="16" t="s">
        <v>38</v>
      </c>
      <c r="R15" s="1">
        <f>IF(vend15[[#This Row],[Nº Venda]]&gt;1,1,0)</f>
        <v>0</v>
      </c>
    </row>
    <row r="16" spans="2:18" ht="15.75" x14ac:dyDescent="0.25">
      <c r="B16" s="28" t="s">
        <v>11</v>
      </c>
      <c r="C16" s="32">
        <f>SUM(C11:C15)</f>
        <v>4564.99</v>
      </c>
      <c r="D16" s="2"/>
      <c r="E16" s="18"/>
      <c r="F16" s="25"/>
      <c r="G16" s="26"/>
      <c r="H16" s="8"/>
      <c r="I16" s="8"/>
      <c r="J16" s="2"/>
      <c r="K16" s="25">
        <v>8401</v>
      </c>
      <c r="L16" s="9" t="s">
        <v>132</v>
      </c>
      <c r="M16" s="16" t="s">
        <v>173</v>
      </c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8479</v>
      </c>
      <c r="L17" s="9" t="s">
        <v>174</v>
      </c>
      <c r="M17" s="16" t="s">
        <v>173</v>
      </c>
      <c r="R17" s="1">
        <f>IF(vend15[[#This Row],[Nº Venda]]&gt;1,1,0)</f>
        <v>0</v>
      </c>
    </row>
    <row r="18" spans="2:18" ht="15.75" x14ac:dyDescent="0.25">
      <c r="B18" s="87" t="s">
        <v>12</v>
      </c>
      <c r="C18" s="87"/>
      <c r="D18" s="2"/>
      <c r="E18" s="18"/>
      <c r="F18" s="25"/>
      <c r="G18" s="26"/>
      <c r="H18" s="8"/>
      <c r="I18" s="8"/>
      <c r="J18" s="2"/>
      <c r="K18" s="25">
        <v>8443</v>
      </c>
      <c r="L18" s="9" t="s">
        <v>132</v>
      </c>
      <c r="M18" s="16" t="s">
        <v>38</v>
      </c>
      <c r="R18" s="1">
        <f>IF(vend15[[#This Row],[Nº Venda]]&gt;1,1,0)</f>
        <v>0</v>
      </c>
    </row>
    <row r="19" spans="2:18" ht="15.75" x14ac:dyDescent="0.25">
      <c r="B19" s="30">
        <f>COUNT(entr_carn15[OS])</f>
        <v>2</v>
      </c>
      <c r="C19" s="31">
        <f>SUM(entr_carn15[Valor Total])</f>
        <v>614</v>
      </c>
      <c r="D19" s="2"/>
      <c r="E19" s="18"/>
      <c r="F19" s="25"/>
      <c r="G19" s="26"/>
      <c r="H19" s="8"/>
      <c r="I19" s="8"/>
      <c r="J19" s="2"/>
      <c r="K19" s="25">
        <v>8492</v>
      </c>
      <c r="L19" s="9" t="s">
        <v>132</v>
      </c>
      <c r="M19" s="16" t="s">
        <v>38</v>
      </c>
      <c r="R19" s="1">
        <f>IF(vend15[[#This Row],[Nº Venda]]&gt;1,1,0)</f>
        <v>0</v>
      </c>
    </row>
    <row r="20" spans="2:18" ht="15.75" x14ac:dyDescent="0.25">
      <c r="B20" s="28" t="s">
        <v>11</v>
      </c>
      <c r="C20" s="32">
        <f>SUM(C19:C19)</f>
        <v>614</v>
      </c>
      <c r="D20" s="2"/>
      <c r="E20" s="18"/>
      <c r="F20" s="26"/>
      <c r="G20" s="26"/>
      <c r="H20" s="8"/>
      <c r="I20" s="8"/>
      <c r="J20" s="2"/>
      <c r="K20" s="25">
        <v>8463</v>
      </c>
      <c r="L20" s="9" t="s">
        <v>132</v>
      </c>
      <c r="M20" s="16" t="s">
        <v>38</v>
      </c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>
        <v>8490</v>
      </c>
      <c r="L21" s="9" t="s">
        <v>174</v>
      </c>
      <c r="M21" s="16" t="s">
        <v>38</v>
      </c>
    </row>
    <row r="22" spans="2:18" ht="15.75" x14ac:dyDescent="0.25">
      <c r="B22" s="28" t="s">
        <v>26</v>
      </c>
      <c r="C22" s="32">
        <f>C5</f>
        <v>5283.99</v>
      </c>
      <c r="D22" s="2"/>
      <c r="E22" s="18"/>
      <c r="F22" s="25"/>
      <c r="G22" s="26"/>
      <c r="H22" s="8"/>
      <c r="I22" s="8"/>
      <c r="J22" s="2"/>
      <c r="K22" s="25">
        <v>8510</v>
      </c>
      <c r="L22" s="9" t="s">
        <v>174</v>
      </c>
      <c r="M22" s="16" t="s">
        <v>38</v>
      </c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8492</v>
      </c>
      <c r="F26" s="25" t="s">
        <v>138</v>
      </c>
      <c r="G26" s="46" t="s">
        <v>6</v>
      </c>
      <c r="H26" s="8"/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8443</v>
      </c>
      <c r="F27" s="25" t="s">
        <v>175</v>
      </c>
      <c r="G27" s="26" t="s">
        <v>6</v>
      </c>
      <c r="H27" s="8"/>
      <c r="I27" s="8">
        <v>100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2102322</v>
      </c>
      <c r="F35" s="25" t="s">
        <v>176</v>
      </c>
      <c r="G35" s="26" t="s">
        <v>7</v>
      </c>
      <c r="H35" s="8">
        <v>131</v>
      </c>
      <c r="I35" s="8" t="s">
        <v>177</v>
      </c>
      <c r="K35" s="25">
        <v>8479</v>
      </c>
      <c r="L35" s="41">
        <v>6</v>
      </c>
      <c r="M35" s="16">
        <v>414</v>
      </c>
    </row>
    <row r="36" spans="2:18" ht="15.75" x14ac:dyDescent="0.25">
      <c r="E36" s="18"/>
      <c r="F36" s="25"/>
      <c r="G36" s="26"/>
      <c r="H36" s="8"/>
      <c r="I36" s="8"/>
      <c r="K36" s="25">
        <v>8401</v>
      </c>
      <c r="L36" s="41">
        <v>4</v>
      </c>
      <c r="M36" s="16">
        <v>200</v>
      </c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5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disablePrompts="1"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topLeftCell="A5" zoomScale="80" zoomScaleNormal="80" workbookViewId="0">
      <selection activeCell="C13" sqref="C13:C1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'15'!B1+1</f>
        <v>45307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5" t="s">
        <v>1</v>
      </c>
      <c r="F4" s="95"/>
      <c r="G4" s="95"/>
      <c r="H4" s="95"/>
      <c r="I4" s="95"/>
      <c r="J4" s="22"/>
      <c r="K4" s="89" t="s">
        <v>3</v>
      </c>
      <c r="L4" s="90"/>
      <c r="M4" s="91"/>
    </row>
    <row r="5" spans="2:18" ht="15" x14ac:dyDescent="0.25">
      <c r="B5" s="23" t="s">
        <v>1</v>
      </c>
      <c r="C5" s="24">
        <f>SUMIF(I6:I31,"&gt;0",H6:H31)</f>
        <v>3276.8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2802.8</v>
      </c>
      <c r="D6" s="2"/>
      <c r="E6" s="18">
        <v>8513</v>
      </c>
      <c r="F6" s="25" t="s">
        <v>178</v>
      </c>
      <c r="G6" s="46" t="s">
        <v>9</v>
      </c>
      <c r="H6" s="8">
        <v>300</v>
      </c>
      <c r="I6" s="8">
        <v>300</v>
      </c>
      <c r="J6" s="2"/>
      <c r="K6" s="25"/>
      <c r="L6" s="9"/>
      <c r="M6" s="16"/>
      <c r="R6" s="1">
        <f>IF(vend16[[#This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8514</v>
      </c>
      <c r="F7" s="25" t="s">
        <v>179</v>
      </c>
      <c r="G7" s="46" t="s">
        <v>10</v>
      </c>
      <c r="H7" s="8">
        <v>89.9</v>
      </c>
      <c r="I7" s="8">
        <v>89.9</v>
      </c>
      <c r="J7" s="2"/>
      <c r="K7" s="25"/>
      <c r="L7" s="9"/>
      <c r="M7" s="16"/>
      <c r="R7" s="1">
        <f>IF(vend16[[#This Row],[Nº Venda]]&gt;1,1,0)</f>
        <v>1</v>
      </c>
    </row>
    <row r="8" spans="2:18" ht="15.75" x14ac:dyDescent="0.25">
      <c r="B8" s="28" t="s">
        <v>21</v>
      </c>
      <c r="C8" s="29">
        <f>SUM(C6:C7)</f>
        <v>2802.8</v>
      </c>
      <c r="D8" s="2"/>
      <c r="E8" s="18">
        <v>8515</v>
      </c>
      <c r="F8" s="25" t="s">
        <v>180</v>
      </c>
      <c r="G8" s="26" t="s">
        <v>9</v>
      </c>
      <c r="H8" s="8">
        <v>479</v>
      </c>
      <c r="I8" s="8">
        <v>479</v>
      </c>
      <c r="J8" s="2"/>
      <c r="K8" s="25"/>
      <c r="L8" s="9"/>
      <c r="M8" s="16"/>
      <c r="R8" s="1">
        <f>IF(vend16[[#This Row],[Nº Venda]]&gt;1,1,0)</f>
        <v>1</v>
      </c>
    </row>
    <row r="9" spans="2:18" ht="15.75" x14ac:dyDescent="0.25">
      <c r="B9" s="2"/>
      <c r="C9" s="2"/>
      <c r="D9" s="2"/>
      <c r="E9" s="18">
        <v>8516</v>
      </c>
      <c r="F9" s="25" t="s">
        <v>181</v>
      </c>
      <c r="G9" s="26" t="s">
        <v>10</v>
      </c>
      <c r="H9" s="8">
        <v>441</v>
      </c>
      <c r="I9" s="8">
        <v>147</v>
      </c>
      <c r="J9" s="2"/>
      <c r="K9" s="25"/>
      <c r="L9" s="9"/>
      <c r="M9" s="16"/>
      <c r="R9" s="1">
        <f>IF(vend16[[#This Row],[Nº Venda]]&gt;1,1,0)</f>
        <v>1</v>
      </c>
    </row>
    <row r="10" spans="2:18" ht="15.75" x14ac:dyDescent="0.25">
      <c r="B10" s="87" t="s">
        <v>5</v>
      </c>
      <c r="C10" s="87"/>
      <c r="D10" s="2"/>
      <c r="E10" s="18">
        <v>8517</v>
      </c>
      <c r="F10" s="25" t="s">
        <v>181</v>
      </c>
      <c r="G10" s="26" t="s">
        <v>10</v>
      </c>
      <c r="H10" s="8">
        <v>490</v>
      </c>
      <c r="I10" s="8">
        <v>490</v>
      </c>
      <c r="J10" s="2"/>
      <c r="K10" s="25"/>
      <c r="L10" s="9"/>
      <c r="M10" s="16"/>
      <c r="R10" s="1">
        <f>IF(vend16[[#This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200</v>
      </c>
      <c r="D11" s="2"/>
      <c r="E11" s="18">
        <v>8518</v>
      </c>
      <c r="F11" s="25" t="s">
        <v>182</v>
      </c>
      <c r="G11" s="26" t="s">
        <v>7</v>
      </c>
      <c r="H11" s="8">
        <v>39.9</v>
      </c>
      <c r="I11" s="8">
        <v>39.9</v>
      </c>
      <c r="J11" s="2"/>
      <c r="K11" s="27"/>
      <c r="L11" s="9"/>
      <c r="M11" s="16"/>
      <c r="O11" s="1">
        <f>IF(C16=0,0,1)</f>
        <v>1</v>
      </c>
      <c r="R11" s="1">
        <f>IF(vend16[[#This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54.9</v>
      </c>
      <c r="D12" s="2"/>
      <c r="E12" s="18">
        <v>8519</v>
      </c>
      <c r="F12" s="25" t="s">
        <v>182</v>
      </c>
      <c r="G12" s="26" t="s">
        <v>7</v>
      </c>
      <c r="H12" s="8">
        <v>15</v>
      </c>
      <c r="I12" s="8">
        <v>15</v>
      </c>
      <c r="J12" s="2"/>
      <c r="R12" s="1">
        <f>IF(vend16[[#This Row],[Nº Venda]]&gt;1,1,0)</f>
        <v>1</v>
      </c>
    </row>
    <row r="13" spans="2:18" ht="15.75" x14ac:dyDescent="0.25">
      <c r="B13" s="30" t="s">
        <v>8</v>
      </c>
      <c r="C13" s="31">
        <f t="shared" si="0"/>
        <v>1032</v>
      </c>
      <c r="D13" s="2"/>
      <c r="E13" s="18">
        <v>8520</v>
      </c>
      <c r="F13" s="25" t="s">
        <v>183</v>
      </c>
      <c r="G13" s="26" t="s">
        <v>47</v>
      </c>
      <c r="H13" s="8">
        <v>35</v>
      </c>
      <c r="I13" s="8"/>
      <c r="J13" s="2"/>
      <c r="K13" s="89" t="s">
        <v>22</v>
      </c>
      <c r="L13" s="90"/>
      <c r="M13" s="91"/>
      <c r="R13" s="1">
        <f>IF(vend16[[#This Row],[Nº Venda]]&gt;1,1,0)</f>
        <v>1</v>
      </c>
    </row>
    <row r="14" spans="2:18" ht="15.75" x14ac:dyDescent="0.25">
      <c r="B14" s="30" t="s">
        <v>9</v>
      </c>
      <c r="C14" s="31">
        <f t="shared" si="0"/>
        <v>779</v>
      </c>
      <c r="D14" s="2"/>
      <c r="E14" s="18">
        <v>8521</v>
      </c>
      <c r="F14" s="25" t="s">
        <v>184</v>
      </c>
      <c r="G14" s="26" t="s">
        <v>47</v>
      </c>
      <c r="H14" s="8">
        <v>35</v>
      </c>
      <c r="I14" s="8"/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1</v>
      </c>
    </row>
    <row r="15" spans="2:18" ht="15.75" x14ac:dyDescent="0.25">
      <c r="B15" s="30" t="s">
        <v>10</v>
      </c>
      <c r="C15" s="31">
        <f t="shared" si="0"/>
        <v>736.9</v>
      </c>
      <c r="D15" s="2"/>
      <c r="E15" s="18">
        <v>8522</v>
      </c>
      <c r="F15" s="25" t="s">
        <v>185</v>
      </c>
      <c r="G15" s="26" t="s">
        <v>8</v>
      </c>
      <c r="H15" s="8">
        <v>1032</v>
      </c>
      <c r="I15" s="8">
        <v>1032</v>
      </c>
      <c r="J15" s="2"/>
      <c r="K15" s="25">
        <v>8514</v>
      </c>
      <c r="L15" s="9" t="s">
        <v>101</v>
      </c>
      <c r="M15" s="16" t="s">
        <v>38</v>
      </c>
      <c r="R15" s="1">
        <f>IF(vend16[[#This Row],[Nº Venda]]&gt;1,1,0)</f>
        <v>1</v>
      </c>
    </row>
    <row r="16" spans="2:18" ht="15.75" x14ac:dyDescent="0.25">
      <c r="B16" s="28" t="s">
        <v>11</v>
      </c>
      <c r="C16" s="32">
        <f>SUM(C11:C15)</f>
        <v>2802.8</v>
      </c>
      <c r="D16" s="2"/>
      <c r="E16" s="18">
        <v>8523</v>
      </c>
      <c r="F16" s="25" t="s">
        <v>186</v>
      </c>
      <c r="G16" s="26" t="s">
        <v>10</v>
      </c>
      <c r="H16" s="8">
        <v>390</v>
      </c>
      <c r="I16" s="8">
        <v>10</v>
      </c>
      <c r="J16" s="2"/>
      <c r="K16" s="25">
        <v>8477</v>
      </c>
      <c r="L16" s="9" t="s">
        <v>88</v>
      </c>
      <c r="M16" s="16" t="s">
        <v>38</v>
      </c>
      <c r="R16" s="1">
        <f>IF(vend16[[#This Row],[Nº Venda]]&gt;1,1,0)</f>
        <v>1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IF(vend16[[#This Row],[Nº Venda]]&gt;1,1,0)</f>
        <v>0</v>
      </c>
    </row>
    <row r="18" spans="2:18" ht="15.75" x14ac:dyDescent="0.25">
      <c r="B18" s="87" t="s">
        <v>12</v>
      </c>
      <c r="C18" s="8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75" x14ac:dyDescent="0.25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3276.8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8477</v>
      </c>
      <c r="F26" s="25" t="s">
        <v>187</v>
      </c>
      <c r="G26" s="46" t="s">
        <v>6</v>
      </c>
      <c r="H26" s="8"/>
      <c r="I26" s="8">
        <v>200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topLeftCell="A20" zoomScale="80" zoomScaleNormal="80" workbookViewId="0">
      <selection activeCell="I35" sqref="I3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'16'!B1+1</f>
        <v>45308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5" t="s">
        <v>1</v>
      </c>
      <c r="F4" s="95"/>
      <c r="G4" s="95"/>
      <c r="H4" s="95"/>
      <c r="I4" s="95"/>
      <c r="J4" s="22"/>
      <c r="K4" s="89" t="s">
        <v>3</v>
      </c>
      <c r="L4" s="90"/>
      <c r="M4" s="91"/>
    </row>
    <row r="5" spans="2:18" ht="15" x14ac:dyDescent="0.25">
      <c r="B5" s="23" t="s">
        <v>1</v>
      </c>
      <c r="C5" s="24">
        <f>SUMIF(I6:I31,"&gt;0",H6:H31)</f>
        <v>415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165</v>
      </c>
      <c r="D6" s="2"/>
      <c r="E6" s="18">
        <v>8524</v>
      </c>
      <c r="F6" s="25" t="s">
        <v>188</v>
      </c>
      <c r="G6" s="26" t="s">
        <v>6</v>
      </c>
      <c r="H6" s="8">
        <v>65</v>
      </c>
      <c r="I6" s="8">
        <v>65</v>
      </c>
      <c r="J6" s="2"/>
      <c r="K6" s="25" t="s">
        <v>189</v>
      </c>
      <c r="L6" s="9" t="s">
        <v>6</v>
      </c>
      <c r="M6" s="16">
        <v>10</v>
      </c>
      <c r="R6" s="1">
        <f>IF(vend17[[#This Row],[Nº Venda]]&gt;1,1,0)</f>
        <v>1</v>
      </c>
    </row>
    <row r="7" spans="2:18" ht="15.75" x14ac:dyDescent="0.25">
      <c r="B7" s="23" t="s">
        <v>3</v>
      </c>
      <c r="C7" s="24">
        <f>SUM(M6:M11)</f>
        <v>10</v>
      </c>
      <c r="D7" s="2"/>
      <c r="E7" s="18">
        <v>8525</v>
      </c>
      <c r="F7" s="25" t="s">
        <v>190</v>
      </c>
      <c r="G7" s="26" t="s">
        <v>47</v>
      </c>
      <c r="H7" s="8">
        <v>550</v>
      </c>
      <c r="I7" s="8"/>
      <c r="J7" s="2"/>
      <c r="K7" s="25"/>
      <c r="L7" s="9"/>
      <c r="M7" s="16"/>
      <c r="R7" s="1">
        <f>IF(vend17[[#This Row],[Nº Venda]]&gt;1,1,0)</f>
        <v>1</v>
      </c>
    </row>
    <row r="8" spans="2:18" ht="15.75" x14ac:dyDescent="0.25">
      <c r="B8" s="28" t="s">
        <v>21</v>
      </c>
      <c r="C8" s="29">
        <f>SUM(C6:C7)</f>
        <v>175</v>
      </c>
      <c r="D8" s="2"/>
      <c r="E8" s="18">
        <v>8526</v>
      </c>
      <c r="F8" s="25" t="s">
        <v>191</v>
      </c>
      <c r="G8" s="26" t="s">
        <v>47</v>
      </c>
      <c r="H8" s="8">
        <v>100</v>
      </c>
      <c r="I8" s="8"/>
      <c r="J8" s="2"/>
      <c r="K8" s="25"/>
      <c r="L8" s="9"/>
      <c r="M8" s="16"/>
      <c r="R8" s="1">
        <f>IF(vend17[[#This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IF(vend17[[#This Row],[Nº Venda]]&gt;1,1,0)</f>
        <v>0</v>
      </c>
    </row>
    <row r="10" spans="2:18" ht="15.75" x14ac:dyDescent="0.25">
      <c r="B10" s="87" t="s">
        <v>5</v>
      </c>
      <c r="C10" s="8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165.25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9" t="s">
        <v>22</v>
      </c>
      <c r="L13" s="90"/>
      <c r="M13" s="91"/>
      <c r="R13" s="1">
        <f>IF(vend17[[#This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8524</v>
      </c>
      <c r="L15" s="9" t="s">
        <v>88</v>
      </c>
      <c r="M15" s="16" t="s">
        <v>38</v>
      </c>
      <c r="R15" s="1">
        <f>IF(vend17[[#This Row],[Nº Venda]]&gt;1,1,0)</f>
        <v>0</v>
      </c>
    </row>
    <row r="16" spans="2:18" ht="15.75" x14ac:dyDescent="0.25">
      <c r="B16" s="28" t="s">
        <v>11</v>
      </c>
      <c r="C16" s="32">
        <f>SUM(C11:C15)</f>
        <v>165.25</v>
      </c>
      <c r="D16" s="2"/>
      <c r="E16" s="18"/>
      <c r="F16" s="25"/>
      <c r="G16" s="26"/>
      <c r="H16" s="8"/>
      <c r="I16" s="8"/>
      <c r="J16" s="2"/>
      <c r="K16" s="25">
        <v>8464</v>
      </c>
      <c r="L16" s="9" t="s">
        <v>88</v>
      </c>
      <c r="M16" s="16" t="s">
        <v>38</v>
      </c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8514</v>
      </c>
      <c r="L17" s="9" t="s">
        <v>101</v>
      </c>
      <c r="M17" s="16" t="s">
        <v>38</v>
      </c>
      <c r="R17" s="1">
        <f>IF(vend17[[#This Row],[Nº Venda]]&gt;1,1,0)</f>
        <v>0</v>
      </c>
    </row>
    <row r="18" spans="2:18" ht="15.75" x14ac:dyDescent="0.25">
      <c r="B18" s="87" t="s">
        <v>12</v>
      </c>
      <c r="C18" s="8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75" x14ac:dyDescent="0.25">
      <c r="B19" s="30">
        <f>COUNT(entr_carn17[OS])</f>
        <v>0</v>
      </c>
      <c r="C19" s="31">
        <f>SUM(entr_carn17[Valor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415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8488</v>
      </c>
      <c r="F26" s="25" t="s">
        <v>192</v>
      </c>
      <c r="G26" s="26" t="s">
        <v>6</v>
      </c>
      <c r="H26" s="8">
        <v>350</v>
      </c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8401</v>
      </c>
      <c r="F35" s="25" t="s">
        <v>193</v>
      </c>
      <c r="G35" s="26" t="s">
        <v>6</v>
      </c>
      <c r="H35" s="8">
        <v>0.25</v>
      </c>
      <c r="I35" s="8" t="s">
        <v>194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topLeftCell="A10" zoomScale="80" zoomScaleNormal="80" workbookViewId="0">
      <selection activeCell="M22" sqref="M2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'17'!B1+1</f>
        <v>45309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5" t="s">
        <v>1</v>
      </c>
      <c r="F4" s="95"/>
      <c r="G4" s="95"/>
      <c r="H4" s="95"/>
      <c r="I4" s="95"/>
      <c r="J4" s="22"/>
      <c r="K4" s="89" t="s">
        <v>3</v>
      </c>
      <c r="L4" s="90"/>
      <c r="M4" s="91"/>
    </row>
    <row r="5" spans="2:18" ht="15" x14ac:dyDescent="0.25">
      <c r="B5" s="23" t="s">
        <v>1</v>
      </c>
      <c r="C5" s="24">
        <f>SUMIF(I6:I31,"&gt;0",H6:H31)</f>
        <v>4926.99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3158.99</v>
      </c>
      <c r="D6" s="2"/>
      <c r="E6" s="18">
        <v>8527</v>
      </c>
      <c r="F6" s="25" t="s">
        <v>195</v>
      </c>
      <c r="G6" s="26" t="s">
        <v>9</v>
      </c>
      <c r="H6" s="8">
        <v>425</v>
      </c>
      <c r="I6" s="8">
        <v>199</v>
      </c>
      <c r="J6" s="2"/>
      <c r="K6" s="25"/>
      <c r="L6" s="9"/>
      <c r="M6" s="16"/>
      <c r="R6" s="1">
        <f>IF(vend18[[#This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8527</v>
      </c>
      <c r="F7" s="25" t="s">
        <v>195</v>
      </c>
      <c r="G7" s="26" t="s">
        <v>7</v>
      </c>
      <c r="H7" s="8"/>
      <c r="I7" s="8">
        <v>226</v>
      </c>
      <c r="J7" s="2"/>
      <c r="K7" s="25"/>
      <c r="L7" s="9"/>
      <c r="M7" s="16"/>
      <c r="R7" s="1">
        <f>IF(vend18[[#This Row],[Nº Venda]]&gt;1,1,0)</f>
        <v>1</v>
      </c>
    </row>
    <row r="8" spans="2:18" ht="15.75" x14ac:dyDescent="0.25">
      <c r="B8" s="28" t="s">
        <v>21</v>
      </c>
      <c r="C8" s="29">
        <f>SUM(C6:C7)</f>
        <v>3158.99</v>
      </c>
      <c r="D8" s="2"/>
      <c r="E8" s="18">
        <v>8528</v>
      </c>
      <c r="F8" s="25" t="s">
        <v>196</v>
      </c>
      <c r="G8" s="26" t="s">
        <v>9</v>
      </c>
      <c r="H8" s="8">
        <v>899</v>
      </c>
      <c r="I8" s="8">
        <v>899</v>
      </c>
      <c r="J8" s="2"/>
      <c r="K8" s="25"/>
      <c r="L8" s="9"/>
      <c r="M8" s="16"/>
      <c r="R8" s="1">
        <f>IF(vend18[[#This Row],[Nº Venda]]&gt;1,1,0)</f>
        <v>1</v>
      </c>
    </row>
    <row r="9" spans="2:18" ht="15.75" x14ac:dyDescent="0.25">
      <c r="B9" s="2"/>
      <c r="C9" s="2"/>
      <c r="D9" s="2"/>
      <c r="E9" s="18">
        <v>8529</v>
      </c>
      <c r="F9" s="25" t="s">
        <v>197</v>
      </c>
      <c r="G9" s="26" t="s">
        <v>7</v>
      </c>
      <c r="H9" s="8">
        <v>280</v>
      </c>
      <c r="I9" s="8">
        <v>280</v>
      </c>
      <c r="J9" s="2"/>
      <c r="K9" s="25"/>
      <c r="L9" s="9"/>
      <c r="M9" s="16"/>
      <c r="R9" s="1">
        <f>IF(vend18[[#This Row],[Nº Venda]]&gt;1,1,0)</f>
        <v>1</v>
      </c>
    </row>
    <row r="10" spans="2:18" ht="15.75" x14ac:dyDescent="0.25">
      <c r="B10" s="87" t="s">
        <v>5</v>
      </c>
      <c r="C10" s="87"/>
      <c r="D10" s="2"/>
      <c r="E10" s="18">
        <v>8530</v>
      </c>
      <c r="F10" s="25" t="s">
        <v>198</v>
      </c>
      <c r="G10" s="26" t="s">
        <v>6</v>
      </c>
      <c r="H10" s="8">
        <v>2000</v>
      </c>
      <c r="I10" s="8">
        <v>600</v>
      </c>
      <c r="J10" s="2"/>
      <c r="K10" s="25"/>
      <c r="L10" s="9"/>
      <c r="M10" s="16"/>
      <c r="R10" s="1">
        <f>IF(vend18[[#This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600</v>
      </c>
      <c r="D11" s="2"/>
      <c r="E11" s="18">
        <v>8531</v>
      </c>
      <c r="F11" s="25" t="s">
        <v>199</v>
      </c>
      <c r="G11" s="26" t="s">
        <v>7</v>
      </c>
      <c r="H11" s="8">
        <v>598</v>
      </c>
      <c r="I11" s="8">
        <v>30</v>
      </c>
      <c r="J11" s="2"/>
      <c r="K11" s="27"/>
      <c r="L11" s="9"/>
      <c r="M11" s="16"/>
      <c r="O11" s="1">
        <f>IF(C16=0,0,1)</f>
        <v>1</v>
      </c>
      <c r="R11" s="1">
        <f>IF(vend18[[#This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736</v>
      </c>
      <c r="D12" s="2"/>
      <c r="E12" s="18">
        <v>8532</v>
      </c>
      <c r="F12" s="25" t="s">
        <v>200</v>
      </c>
      <c r="G12" s="26" t="s">
        <v>9</v>
      </c>
      <c r="H12" s="8">
        <v>390</v>
      </c>
      <c r="I12" s="8">
        <v>390</v>
      </c>
      <c r="J12" s="2"/>
      <c r="R12" s="1">
        <f>IF(vend18[[#This Row],[Nº Venda]]&gt;1,1,0)</f>
        <v>1</v>
      </c>
    </row>
    <row r="13" spans="2:18" ht="15.75" x14ac:dyDescent="0.25">
      <c r="B13" s="30" t="s">
        <v>8</v>
      </c>
      <c r="C13" s="31">
        <f t="shared" si="0"/>
        <v>35</v>
      </c>
      <c r="D13" s="2"/>
      <c r="E13" s="18">
        <v>8533</v>
      </c>
      <c r="F13" s="25" t="s">
        <v>201</v>
      </c>
      <c r="G13" s="26" t="s">
        <v>9</v>
      </c>
      <c r="H13" s="8">
        <v>299.99</v>
      </c>
      <c r="I13" s="8">
        <v>299.99</v>
      </c>
      <c r="J13" s="2"/>
      <c r="K13" s="89" t="s">
        <v>22</v>
      </c>
      <c r="L13" s="90"/>
      <c r="M13" s="91"/>
      <c r="R13" s="1">
        <f>IF(vend18[[#This Row],[Nº Venda]]&gt;1,1,0)</f>
        <v>1</v>
      </c>
    </row>
    <row r="14" spans="2:18" ht="15.75" x14ac:dyDescent="0.25">
      <c r="B14" s="30" t="s">
        <v>9</v>
      </c>
      <c r="C14" s="31">
        <f t="shared" si="0"/>
        <v>1787.99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8429</v>
      </c>
      <c r="L15" s="9" t="s">
        <v>132</v>
      </c>
      <c r="M15" s="16" t="s">
        <v>38</v>
      </c>
      <c r="R15" s="1">
        <f>IF(vend18[[#This Row],[Nº Venda]]&gt;1,1,0)</f>
        <v>0</v>
      </c>
    </row>
    <row r="16" spans="2:18" ht="15.75" x14ac:dyDescent="0.25">
      <c r="B16" s="28" t="s">
        <v>11</v>
      </c>
      <c r="C16" s="32">
        <f>SUM(C11:C15)</f>
        <v>3158.99</v>
      </c>
      <c r="D16" s="2"/>
      <c r="E16" s="18"/>
      <c r="F16" s="25"/>
      <c r="G16" s="26"/>
      <c r="H16" s="8"/>
      <c r="I16" s="8"/>
      <c r="J16" s="2"/>
      <c r="K16" s="25">
        <v>8515</v>
      </c>
      <c r="L16" s="9" t="s">
        <v>174</v>
      </c>
      <c r="M16" s="16" t="s">
        <v>38</v>
      </c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8497</v>
      </c>
      <c r="L17" s="9" t="s">
        <v>174</v>
      </c>
      <c r="M17" s="16" t="s">
        <v>173</v>
      </c>
      <c r="R17" s="1">
        <f>IF(vend18[[#This Row],[Nº Venda]]&gt;1,1,0)</f>
        <v>0</v>
      </c>
    </row>
    <row r="18" spans="2:18" ht="15.75" x14ac:dyDescent="0.25">
      <c r="B18" s="87" t="s">
        <v>12</v>
      </c>
      <c r="C18" s="87"/>
      <c r="D18" s="2"/>
      <c r="E18" s="18"/>
      <c r="F18" s="25"/>
      <c r="G18" s="26"/>
      <c r="H18" s="8"/>
      <c r="I18" s="8"/>
      <c r="J18" s="2"/>
      <c r="K18" s="25">
        <v>8509</v>
      </c>
      <c r="L18" s="9" t="s">
        <v>132</v>
      </c>
      <c r="M18" s="16" t="s">
        <v>38</v>
      </c>
      <c r="R18" s="1">
        <f>IF(vend18[[#This Row],[Nº Venda]]&gt;1,1,0)</f>
        <v>0</v>
      </c>
    </row>
    <row r="19" spans="2:18" ht="15.75" x14ac:dyDescent="0.25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>
        <v>8467</v>
      </c>
      <c r="L19" s="9" t="s">
        <v>132</v>
      </c>
      <c r="M19" s="16" t="s">
        <v>38</v>
      </c>
      <c r="R19" s="1">
        <f>IF(vend18[[#This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>
        <v>8478</v>
      </c>
      <c r="L20" s="9" t="s">
        <v>174</v>
      </c>
      <c r="M20" s="16" t="s">
        <v>38</v>
      </c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>
        <v>8081</v>
      </c>
      <c r="L21" s="9" t="s">
        <v>174</v>
      </c>
      <c r="M21" s="16" t="s">
        <v>38</v>
      </c>
    </row>
    <row r="22" spans="2:18" ht="15.75" x14ac:dyDescent="0.25">
      <c r="B22" s="28" t="s">
        <v>26</v>
      </c>
      <c r="C22" s="32">
        <f>C5</f>
        <v>4926.99</v>
      </c>
      <c r="D22" s="2"/>
      <c r="E22" s="18"/>
      <c r="F22" s="25"/>
      <c r="G22" s="26"/>
      <c r="H22" s="8"/>
      <c r="I22" s="8"/>
      <c r="J22" s="2"/>
      <c r="K22" s="25">
        <v>8450</v>
      </c>
      <c r="L22" s="9" t="s">
        <v>132</v>
      </c>
      <c r="M22" s="16" t="s">
        <v>38</v>
      </c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8521</v>
      </c>
      <c r="F26" s="25" t="s">
        <v>202</v>
      </c>
      <c r="G26" s="26" t="s">
        <v>8</v>
      </c>
      <c r="H26" s="8">
        <v>35</v>
      </c>
      <c r="I26" s="8">
        <v>35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8472</v>
      </c>
      <c r="F27" s="25" t="s">
        <v>203</v>
      </c>
      <c r="G27" s="26" t="s">
        <v>7</v>
      </c>
      <c r="H27" s="8"/>
      <c r="I27" s="8">
        <v>200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8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G6:G22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R41"/>
  <sheetViews>
    <sheetView showGridLines="0" topLeftCell="C12" zoomScale="80" zoomScaleNormal="80" workbookViewId="0">
      <selection activeCell="K36" sqref="K3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'18'!B1+1</f>
        <v>45310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5" t="s">
        <v>1</v>
      </c>
      <c r="F4" s="95"/>
      <c r="G4" s="95"/>
      <c r="H4" s="95"/>
      <c r="I4" s="95"/>
      <c r="J4" s="22"/>
      <c r="K4" s="89" t="s">
        <v>3</v>
      </c>
      <c r="L4" s="90"/>
      <c r="M4" s="91"/>
    </row>
    <row r="5" spans="2:18" ht="15" x14ac:dyDescent="0.25">
      <c r="B5" s="23" t="s">
        <v>1</v>
      </c>
      <c r="C5" s="24">
        <f>SUMIF(I6:I31,"&gt;0",H6:H31)</f>
        <v>4007.99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4100.99</v>
      </c>
      <c r="D6" s="2"/>
      <c r="E6" s="18">
        <v>8534</v>
      </c>
      <c r="F6" s="25"/>
      <c r="G6" s="26"/>
      <c r="H6" s="8"/>
      <c r="I6" s="8"/>
      <c r="J6" s="2"/>
      <c r="K6" s="25" t="s">
        <v>204</v>
      </c>
      <c r="L6" s="9" t="s">
        <v>6</v>
      </c>
      <c r="M6" s="16">
        <v>7.25</v>
      </c>
      <c r="R6" s="1">
        <f>IF(vend19[[#This Row],[Nº Venda]]&gt;1,1,0)</f>
        <v>1</v>
      </c>
    </row>
    <row r="7" spans="2:18" ht="15.75" x14ac:dyDescent="0.25">
      <c r="B7" s="23" t="s">
        <v>3</v>
      </c>
      <c r="C7" s="24">
        <f>SUM(M6:M11)</f>
        <v>7.25</v>
      </c>
      <c r="D7" s="2"/>
      <c r="E7" s="18">
        <v>8535</v>
      </c>
      <c r="F7" s="25" t="s">
        <v>205</v>
      </c>
      <c r="G7" s="26" t="s">
        <v>9</v>
      </c>
      <c r="H7" s="8">
        <v>704</v>
      </c>
      <c r="I7" s="8">
        <v>504</v>
      </c>
      <c r="J7" s="2"/>
      <c r="K7" s="25"/>
      <c r="L7" s="9"/>
      <c r="M7" s="16"/>
      <c r="R7" s="1">
        <f>IF(vend19[[#This Row],[Nº Venda]]&gt;1,1,0)</f>
        <v>1</v>
      </c>
    </row>
    <row r="8" spans="2:18" ht="15.75" x14ac:dyDescent="0.25">
      <c r="B8" s="28" t="s">
        <v>21</v>
      </c>
      <c r="C8" s="29">
        <f>SUM(C6:C7)</f>
        <v>4108.24</v>
      </c>
      <c r="D8" s="2"/>
      <c r="E8" s="18">
        <v>8535</v>
      </c>
      <c r="F8" s="25" t="s">
        <v>205</v>
      </c>
      <c r="G8" s="26" t="s">
        <v>10</v>
      </c>
      <c r="H8" s="8"/>
      <c r="I8" s="8">
        <v>200</v>
      </c>
      <c r="J8" s="2"/>
      <c r="K8" s="25"/>
      <c r="L8" s="9"/>
      <c r="M8" s="16"/>
      <c r="R8" s="1">
        <f>IF(vend19[[#This Row],[Nº Venda]]&gt;1,1,0)</f>
        <v>1</v>
      </c>
    </row>
    <row r="9" spans="2:18" ht="15.75" x14ac:dyDescent="0.25">
      <c r="B9" s="2"/>
      <c r="C9" s="2"/>
      <c r="D9" s="2"/>
      <c r="E9" s="18">
        <v>8536</v>
      </c>
      <c r="F9" s="25" t="s">
        <v>205</v>
      </c>
      <c r="G9" s="26" t="s">
        <v>9</v>
      </c>
      <c r="H9" s="8">
        <v>220</v>
      </c>
      <c r="I9" s="8">
        <v>220</v>
      </c>
      <c r="J9" s="2"/>
      <c r="K9" s="25"/>
      <c r="L9" s="9"/>
      <c r="M9" s="16"/>
      <c r="R9" s="1">
        <f>IF(vend19[[#This Row],[Nº Venda]]&gt;1,1,0)</f>
        <v>1</v>
      </c>
    </row>
    <row r="10" spans="2:18" ht="15.75" x14ac:dyDescent="0.25">
      <c r="B10" s="87" t="s">
        <v>5</v>
      </c>
      <c r="C10" s="87"/>
      <c r="D10" s="2"/>
      <c r="E10" s="18">
        <v>8537</v>
      </c>
      <c r="F10" s="25" t="s">
        <v>206</v>
      </c>
      <c r="G10" s="26" t="s">
        <v>6</v>
      </c>
      <c r="H10" s="8">
        <v>499</v>
      </c>
      <c r="I10" s="8">
        <v>22</v>
      </c>
      <c r="J10" s="2"/>
      <c r="K10" s="25"/>
      <c r="L10" s="9"/>
      <c r="M10" s="16"/>
      <c r="R10" s="1">
        <f>IF(vend19[[#This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172</v>
      </c>
      <c r="D11" s="2"/>
      <c r="E11" s="18">
        <v>8538</v>
      </c>
      <c r="F11" s="25" t="s">
        <v>207</v>
      </c>
      <c r="G11" s="26" t="s">
        <v>47</v>
      </c>
      <c r="H11" s="8">
        <v>650</v>
      </c>
      <c r="I11" s="8"/>
      <c r="J11" s="2"/>
      <c r="K11" s="27"/>
      <c r="L11" s="9"/>
      <c r="M11" s="16"/>
      <c r="O11" s="1">
        <f>IF(C16=0,0,1)</f>
        <v>1</v>
      </c>
      <c r="R11" s="1">
        <f>IF(vend19[[#This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1689.99</v>
      </c>
      <c r="D12" s="2"/>
      <c r="E12" s="18">
        <v>8539</v>
      </c>
      <c r="F12" s="25" t="s">
        <v>208</v>
      </c>
      <c r="G12" s="26" t="s">
        <v>8</v>
      </c>
      <c r="H12" s="8">
        <v>50</v>
      </c>
      <c r="I12" s="8">
        <v>50</v>
      </c>
      <c r="J12" s="2"/>
      <c r="R12" s="1">
        <f>IF(vend19[[#This Row],[Nº Venda]]&gt;1,1,0)</f>
        <v>1</v>
      </c>
    </row>
    <row r="13" spans="2:18" ht="15.75" x14ac:dyDescent="0.25">
      <c r="B13" s="30" t="s">
        <v>8</v>
      </c>
      <c r="C13" s="31">
        <f t="shared" si="0"/>
        <v>150</v>
      </c>
      <c r="D13" s="2"/>
      <c r="E13" s="18">
        <v>8540</v>
      </c>
      <c r="F13" s="25" t="s">
        <v>209</v>
      </c>
      <c r="G13" s="26" t="s">
        <v>9</v>
      </c>
      <c r="H13" s="8">
        <v>600</v>
      </c>
      <c r="I13" s="8">
        <v>600</v>
      </c>
      <c r="J13" s="2"/>
      <c r="K13" s="89" t="s">
        <v>22</v>
      </c>
      <c r="L13" s="90"/>
      <c r="M13" s="91"/>
      <c r="R13" s="1">
        <f>IF(vend19[[#This Row],[Nº Venda]]&gt;1,1,0)</f>
        <v>1</v>
      </c>
    </row>
    <row r="14" spans="2:18" ht="15.75" x14ac:dyDescent="0.25">
      <c r="B14" s="30" t="s">
        <v>9</v>
      </c>
      <c r="C14" s="31">
        <f t="shared" si="0"/>
        <v>2289</v>
      </c>
      <c r="D14" s="2"/>
      <c r="E14" s="18">
        <v>8541</v>
      </c>
      <c r="F14" s="25" t="s">
        <v>209</v>
      </c>
      <c r="G14" s="26" t="s">
        <v>9</v>
      </c>
      <c r="H14" s="8">
        <v>965</v>
      </c>
      <c r="I14" s="8">
        <v>965</v>
      </c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1</v>
      </c>
    </row>
    <row r="15" spans="2:18" ht="15.75" x14ac:dyDescent="0.25">
      <c r="B15" s="30" t="s">
        <v>10</v>
      </c>
      <c r="C15" s="31">
        <f t="shared" si="0"/>
        <v>281</v>
      </c>
      <c r="D15" s="2"/>
      <c r="E15" s="18">
        <v>8542</v>
      </c>
      <c r="F15" s="25" t="s">
        <v>210</v>
      </c>
      <c r="G15" s="26" t="s">
        <v>8</v>
      </c>
      <c r="H15" s="8">
        <v>870</v>
      </c>
      <c r="I15" s="8">
        <v>100</v>
      </c>
      <c r="J15" s="2"/>
      <c r="K15" s="25">
        <v>8471</v>
      </c>
      <c r="L15" s="9" t="s">
        <v>52</v>
      </c>
      <c r="M15" s="16" t="s">
        <v>173</v>
      </c>
      <c r="R15" s="1">
        <f>IF(vend19[[#This Row],[Nº Venda]]&gt;1,1,0)</f>
        <v>1</v>
      </c>
    </row>
    <row r="16" spans="2:18" ht="15.75" x14ac:dyDescent="0.25">
      <c r="B16" s="28" t="s">
        <v>11</v>
      </c>
      <c r="C16" s="32">
        <f>SUM(C11:C15)</f>
        <v>4581.99</v>
      </c>
      <c r="D16" s="2"/>
      <c r="E16" s="18"/>
      <c r="F16" s="25"/>
      <c r="G16" s="26"/>
      <c r="H16" s="8"/>
      <c r="I16" s="8"/>
      <c r="J16" s="2"/>
      <c r="K16" s="25">
        <v>8468</v>
      </c>
      <c r="L16" s="9" t="s">
        <v>52</v>
      </c>
      <c r="M16" s="16" t="s">
        <v>173</v>
      </c>
      <c r="R16" s="1">
        <f>IF(vend19[[#This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8459</v>
      </c>
      <c r="L17" s="9" t="s">
        <v>52</v>
      </c>
      <c r="M17" s="16" t="s">
        <v>38</v>
      </c>
      <c r="R17" s="1">
        <f>IF(vend19[[#This Row],[Nº Venda]]&gt;1,1,0)</f>
        <v>0</v>
      </c>
    </row>
    <row r="18" spans="2:18" ht="15.75" x14ac:dyDescent="0.25">
      <c r="B18" s="87" t="s">
        <v>12</v>
      </c>
      <c r="C18" s="87"/>
      <c r="D18" s="2"/>
      <c r="E18" s="18"/>
      <c r="F18" s="25"/>
      <c r="G18" s="26"/>
      <c r="H18" s="8"/>
      <c r="I18" s="8"/>
      <c r="J18" s="2"/>
      <c r="K18" s="25">
        <v>8487</v>
      </c>
      <c r="L18" s="9" t="s">
        <v>174</v>
      </c>
      <c r="M18" s="16" t="s">
        <v>173</v>
      </c>
      <c r="R18" s="1">
        <f>IF(vend19[[#This Row],[Nº Venda]]&gt;1,1,0)</f>
        <v>0</v>
      </c>
    </row>
    <row r="19" spans="2:18" ht="15.75" x14ac:dyDescent="0.25">
      <c r="B19" s="30">
        <f>COUNT(entr_carn19[OS])</f>
        <v>5</v>
      </c>
      <c r="C19" s="31">
        <f>SUM(entr_carn19[Valor Total])</f>
        <v>3790</v>
      </c>
      <c r="D19" s="2"/>
      <c r="E19" s="18"/>
      <c r="F19" s="25"/>
      <c r="G19" s="26"/>
      <c r="H19" s="8"/>
      <c r="I19" s="8"/>
      <c r="J19" s="2"/>
      <c r="K19" s="25">
        <v>8450</v>
      </c>
      <c r="L19" s="9" t="s">
        <v>174</v>
      </c>
      <c r="M19" s="16" t="s">
        <v>38</v>
      </c>
      <c r="R19" s="1">
        <f>IF(vend19[[#This Row],[Nº Venda]]&gt;1,1,0)</f>
        <v>0</v>
      </c>
    </row>
    <row r="20" spans="2:18" ht="15.75" x14ac:dyDescent="0.25">
      <c r="B20" s="28" t="s">
        <v>11</v>
      </c>
      <c r="C20" s="32">
        <f>SUM(C19:C19)</f>
        <v>3790</v>
      </c>
      <c r="D20" s="2"/>
      <c r="E20" s="18"/>
      <c r="F20" s="26"/>
      <c r="G20" s="26"/>
      <c r="H20" s="8"/>
      <c r="I20" s="8"/>
      <c r="J20" s="2"/>
      <c r="K20" s="25">
        <v>8081</v>
      </c>
      <c r="L20" s="9" t="s">
        <v>174</v>
      </c>
      <c r="M20" s="16" t="s">
        <v>38</v>
      </c>
      <c r="R20" s="1">
        <f>IF(vend19[[#This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>
        <v>8478</v>
      </c>
      <c r="L21" s="9" t="s">
        <v>174</v>
      </c>
      <c r="M21" s="16" t="s">
        <v>38</v>
      </c>
    </row>
    <row r="22" spans="2:18" ht="15.75" x14ac:dyDescent="0.25">
      <c r="B22" s="28" t="s">
        <v>26</v>
      </c>
      <c r="C22" s="32">
        <f>C5</f>
        <v>4007.99</v>
      </c>
      <c r="D22" s="2"/>
      <c r="E22" s="18"/>
      <c r="F22" s="25"/>
      <c r="G22" s="26"/>
      <c r="H22" s="8"/>
      <c r="I22" s="8"/>
      <c r="J22" s="2"/>
      <c r="K22" s="25">
        <v>8467</v>
      </c>
      <c r="L22" s="9" t="s">
        <v>52</v>
      </c>
      <c r="M22" s="16" t="s">
        <v>38</v>
      </c>
    </row>
    <row r="23" spans="2:18" ht="15" x14ac:dyDescent="0.25">
      <c r="B23" s="2"/>
      <c r="C23" s="2"/>
      <c r="D23" s="2"/>
      <c r="E23" s="33"/>
      <c r="H23" s="7"/>
      <c r="J23" s="2"/>
      <c r="K23" s="25">
        <v>8509</v>
      </c>
      <c r="L23" s="9" t="s">
        <v>52</v>
      </c>
      <c r="M23" s="16" t="s">
        <v>38</v>
      </c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25">
        <v>8503</v>
      </c>
      <c r="L24" s="9" t="s">
        <v>52</v>
      </c>
      <c r="M24" s="16" t="s">
        <v>38</v>
      </c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>
        <v>8472</v>
      </c>
      <c r="L25" s="9" t="s">
        <v>174</v>
      </c>
      <c r="M25" s="16" t="s">
        <v>173</v>
      </c>
    </row>
    <row r="26" spans="2:18" ht="15.75" x14ac:dyDescent="0.25">
      <c r="B26" s="2"/>
      <c r="C26" s="2" t="s">
        <v>71</v>
      </c>
      <c r="D26" s="2"/>
      <c r="E26" s="18">
        <v>8471</v>
      </c>
      <c r="F26" s="25" t="s">
        <v>211</v>
      </c>
      <c r="G26" s="26" t="s">
        <v>7</v>
      </c>
      <c r="H26" s="8"/>
      <c r="I26" s="8">
        <v>100</v>
      </c>
      <c r="J26" s="2"/>
      <c r="K26" s="25">
        <v>3871</v>
      </c>
      <c r="L26" s="9" t="s">
        <v>52</v>
      </c>
      <c r="M26" s="16" t="s">
        <v>173</v>
      </c>
    </row>
    <row r="27" spans="2:18" ht="15.75" x14ac:dyDescent="0.25">
      <c r="B27" s="2"/>
      <c r="C27" s="2"/>
      <c r="D27" s="2"/>
      <c r="E27" s="18">
        <v>8468</v>
      </c>
      <c r="F27" s="25" t="s">
        <v>212</v>
      </c>
      <c r="G27" s="26" t="s">
        <v>7</v>
      </c>
      <c r="H27" s="8"/>
      <c r="I27" s="8">
        <v>200</v>
      </c>
      <c r="J27" s="2"/>
      <c r="K27" s="25">
        <v>8458</v>
      </c>
      <c r="L27" s="9" t="s">
        <v>174</v>
      </c>
      <c r="M27" s="16" t="s">
        <v>38</v>
      </c>
    </row>
    <row r="28" spans="2:18" ht="15.75" x14ac:dyDescent="0.25">
      <c r="B28" s="2"/>
      <c r="C28" s="2"/>
      <c r="D28" s="2"/>
      <c r="E28" s="18">
        <v>8487</v>
      </c>
      <c r="F28" s="25" t="s">
        <v>213</v>
      </c>
      <c r="G28" s="26" t="s">
        <v>7</v>
      </c>
      <c r="H28" s="8"/>
      <c r="I28" s="8">
        <v>890</v>
      </c>
      <c r="J28" s="2"/>
      <c r="K28" s="25">
        <v>8526</v>
      </c>
      <c r="L28" s="9" t="s">
        <v>52</v>
      </c>
      <c r="M28" s="16" t="s">
        <v>38</v>
      </c>
    </row>
    <row r="29" spans="2:18" ht="15.75" x14ac:dyDescent="0.25">
      <c r="B29" s="2"/>
      <c r="C29" s="2"/>
      <c r="D29" s="2"/>
      <c r="E29" s="18">
        <v>8509</v>
      </c>
      <c r="F29" s="25" t="s">
        <v>214</v>
      </c>
      <c r="G29" s="26" t="s">
        <v>6</v>
      </c>
      <c r="H29" s="8"/>
      <c r="I29" s="8">
        <v>150</v>
      </c>
      <c r="J29" s="2"/>
      <c r="K29" s="25">
        <v>8539</v>
      </c>
      <c r="L29" s="9" t="s">
        <v>52</v>
      </c>
      <c r="M29" s="16" t="s">
        <v>38</v>
      </c>
    </row>
    <row r="30" spans="2:18" ht="15.75" x14ac:dyDescent="0.25">
      <c r="B30" s="2"/>
      <c r="C30" s="2"/>
      <c r="D30" s="2"/>
      <c r="E30" s="18">
        <v>8526</v>
      </c>
      <c r="F30" s="39" t="s">
        <v>215</v>
      </c>
      <c r="G30" s="26" t="s">
        <v>7</v>
      </c>
      <c r="H30" s="8">
        <v>99.99</v>
      </c>
      <c r="I30" s="8">
        <v>99.99</v>
      </c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8109</v>
      </c>
      <c r="F35" s="25" t="s">
        <v>216</v>
      </c>
      <c r="G35" s="26" t="s">
        <v>10</v>
      </c>
      <c r="H35" s="8">
        <v>81</v>
      </c>
      <c r="I35" s="8" t="s">
        <v>143</v>
      </c>
      <c r="K35" s="25">
        <v>3871</v>
      </c>
      <c r="L35" s="41">
        <v>8</v>
      </c>
      <c r="M35" s="16">
        <v>1100</v>
      </c>
    </row>
    <row r="36" spans="2:18" ht="15.75" x14ac:dyDescent="0.25">
      <c r="E36" s="18">
        <v>7530</v>
      </c>
      <c r="F36" s="25" t="s">
        <v>217</v>
      </c>
      <c r="G36" s="26" t="s">
        <v>7</v>
      </c>
      <c r="H36" s="8">
        <v>200</v>
      </c>
      <c r="I36" s="8" t="s">
        <v>218</v>
      </c>
      <c r="K36" s="25">
        <v>8471</v>
      </c>
      <c r="L36" s="41">
        <v>3</v>
      </c>
      <c r="M36" s="16">
        <v>300</v>
      </c>
    </row>
    <row r="37" spans="2:18" ht="15.75" x14ac:dyDescent="0.25">
      <c r="E37" s="18">
        <v>7529</v>
      </c>
      <c r="F37" s="25" t="s">
        <v>219</v>
      </c>
      <c r="G37" s="26" t="s">
        <v>7</v>
      </c>
      <c r="H37" s="8">
        <v>200</v>
      </c>
      <c r="I37" s="8" t="s">
        <v>218</v>
      </c>
      <c r="K37" s="25">
        <v>8468</v>
      </c>
      <c r="L37" s="41">
        <v>6</v>
      </c>
      <c r="M37" s="16">
        <v>510</v>
      </c>
    </row>
    <row r="38" spans="2:18" ht="15.75" x14ac:dyDescent="0.25">
      <c r="E38" s="18"/>
      <c r="F38" s="25"/>
      <c r="G38" s="26"/>
      <c r="H38" s="8"/>
      <c r="I38" s="8"/>
      <c r="K38" s="25">
        <v>8487</v>
      </c>
      <c r="L38" s="41">
        <v>4</v>
      </c>
      <c r="M38" s="16">
        <v>1000</v>
      </c>
    </row>
    <row r="39" spans="2:18" ht="15.75" x14ac:dyDescent="0.25">
      <c r="E39" s="18"/>
      <c r="F39" s="39"/>
      <c r="G39" s="26"/>
      <c r="H39" s="8"/>
      <c r="I39" s="8"/>
      <c r="K39" s="25">
        <v>8472</v>
      </c>
      <c r="L39" s="41">
        <v>7</v>
      </c>
      <c r="M39" s="16">
        <v>880</v>
      </c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5B2DC7-1842-4C90-945B-7820B2C63E70}">
          <x14:formula1>
            <xm:f>base!$A$2:$A$6</xm:f>
          </x14:formula1>
          <xm:sqref>G26:G31 G35:G41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topLeftCell="A7" zoomScale="80" zoomScaleNormal="80" workbookViewId="0">
      <selection activeCell="M19" sqref="M1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44.57031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'19'!B1+1</f>
        <v>45311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5" t="s">
        <v>1</v>
      </c>
      <c r="F4" s="95"/>
      <c r="G4" s="95"/>
      <c r="H4" s="95"/>
      <c r="I4" s="95"/>
      <c r="J4" s="22"/>
      <c r="K4" s="89" t="s">
        <v>3</v>
      </c>
      <c r="L4" s="90"/>
      <c r="M4" s="91"/>
    </row>
    <row r="5" spans="2:18" ht="15" x14ac:dyDescent="0.25">
      <c r="B5" s="23" t="s">
        <v>1</v>
      </c>
      <c r="C5" s="24">
        <f>SUMIF(I6:I31,"&gt;0",H6:H31)</f>
        <v>5470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4160</v>
      </c>
      <c r="D6" s="2"/>
      <c r="E6" s="18">
        <v>8543</v>
      </c>
      <c r="F6" s="25" t="s">
        <v>211</v>
      </c>
      <c r="G6" s="26" t="s">
        <v>8</v>
      </c>
      <c r="H6" s="8">
        <v>900</v>
      </c>
      <c r="I6" s="8">
        <v>900</v>
      </c>
      <c r="J6" s="2"/>
      <c r="K6" s="25"/>
      <c r="L6" s="9"/>
      <c r="M6" s="16"/>
      <c r="R6" s="1">
        <f>IF(vend20[[#This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8544</v>
      </c>
      <c r="F7" s="25" t="s">
        <v>220</v>
      </c>
      <c r="G7" s="26" t="s">
        <v>8</v>
      </c>
      <c r="H7" s="8">
        <v>45</v>
      </c>
      <c r="I7" s="8">
        <v>45</v>
      </c>
      <c r="J7" s="2"/>
      <c r="K7" s="25"/>
      <c r="L7" s="9"/>
      <c r="M7" s="16"/>
      <c r="R7" s="1">
        <f>IF(vend20[[#This Row],[Nº Venda]]&gt;1,1,0)</f>
        <v>1</v>
      </c>
    </row>
    <row r="8" spans="2:18" ht="15.75" x14ac:dyDescent="0.25">
      <c r="B8" s="28" t="s">
        <v>21</v>
      </c>
      <c r="C8" s="29">
        <f>SUM(C6:C7)</f>
        <v>4160</v>
      </c>
      <c r="D8" s="2"/>
      <c r="E8" s="18">
        <v>8545</v>
      </c>
      <c r="F8" s="25" t="s">
        <v>221</v>
      </c>
      <c r="G8" s="26" t="s">
        <v>8</v>
      </c>
      <c r="H8" s="8">
        <v>379</v>
      </c>
      <c r="I8" s="8">
        <v>379</v>
      </c>
      <c r="J8" s="2"/>
      <c r="K8" s="25"/>
      <c r="L8" s="9"/>
      <c r="M8" s="16"/>
      <c r="R8" s="1">
        <f>IF(vend20[[#This Row],[Nº Venda]]&gt;1,1,0)</f>
        <v>1</v>
      </c>
    </row>
    <row r="9" spans="2:18" ht="15.75" x14ac:dyDescent="0.25">
      <c r="B9" s="2"/>
      <c r="C9" s="2"/>
      <c r="D9" s="2"/>
      <c r="E9" s="18">
        <v>8546</v>
      </c>
      <c r="F9" s="25" t="s">
        <v>221</v>
      </c>
      <c r="G9" s="26" t="s">
        <v>8</v>
      </c>
      <c r="H9" s="8">
        <v>379</v>
      </c>
      <c r="I9" s="8">
        <v>379</v>
      </c>
      <c r="J9" s="2"/>
      <c r="K9" s="25"/>
      <c r="L9" s="9"/>
      <c r="M9" s="16"/>
      <c r="R9" s="1">
        <f>IF(vend20[[#This Row],[Nº Venda]]&gt;1,1,0)</f>
        <v>1</v>
      </c>
    </row>
    <row r="10" spans="2:18" ht="15.75" x14ac:dyDescent="0.25">
      <c r="B10" s="87" t="s">
        <v>5</v>
      </c>
      <c r="C10" s="87"/>
      <c r="D10" s="2"/>
      <c r="E10" s="18">
        <v>8547</v>
      </c>
      <c r="F10" s="25" t="s">
        <v>221</v>
      </c>
      <c r="G10" s="26" t="s">
        <v>8</v>
      </c>
      <c r="H10" s="8">
        <v>379</v>
      </c>
      <c r="I10" s="8">
        <v>379</v>
      </c>
      <c r="J10" s="2"/>
      <c r="K10" s="25"/>
      <c r="L10" s="9"/>
      <c r="M10" s="16"/>
      <c r="R10" s="1">
        <f>IF(vend20[[#This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150</v>
      </c>
      <c r="D11" s="2"/>
      <c r="E11" s="18">
        <v>8548</v>
      </c>
      <c r="F11" s="25" t="s">
        <v>222</v>
      </c>
      <c r="G11" s="26" t="s">
        <v>10</v>
      </c>
      <c r="H11" s="8">
        <v>950</v>
      </c>
      <c r="I11" s="8">
        <v>400</v>
      </c>
      <c r="J11" s="2"/>
      <c r="K11" s="27"/>
      <c r="L11" s="9"/>
      <c r="M11" s="16"/>
      <c r="O11" s="1">
        <f>IF(C16=0,0,1)</f>
        <v>1</v>
      </c>
      <c r="R11" s="1">
        <f>IF(vend20[[#This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194</v>
      </c>
      <c r="D12" s="2"/>
      <c r="E12" s="18">
        <v>8549</v>
      </c>
      <c r="F12" s="25" t="s">
        <v>223</v>
      </c>
      <c r="G12" s="26" t="s">
        <v>6</v>
      </c>
      <c r="H12" s="8">
        <v>300</v>
      </c>
      <c r="I12" s="8">
        <v>25</v>
      </c>
      <c r="J12" s="2"/>
      <c r="R12" s="1">
        <f>IF(vend20[[#This Row],[Nº Venda]]&gt;1,1,0)</f>
        <v>1</v>
      </c>
    </row>
    <row r="13" spans="2:18" ht="15.75" x14ac:dyDescent="0.25">
      <c r="B13" s="30" t="s">
        <v>8</v>
      </c>
      <c r="C13" s="31">
        <f t="shared" si="0"/>
        <v>3501</v>
      </c>
      <c r="D13" s="2"/>
      <c r="E13" s="18">
        <v>8550</v>
      </c>
      <c r="F13" s="25" t="s">
        <v>223</v>
      </c>
      <c r="G13" s="26" t="s">
        <v>6</v>
      </c>
      <c r="H13" s="8">
        <v>440</v>
      </c>
      <c r="I13" s="8">
        <v>25</v>
      </c>
      <c r="J13" s="2"/>
      <c r="K13" s="89" t="s">
        <v>22</v>
      </c>
      <c r="L13" s="90"/>
      <c r="M13" s="91"/>
      <c r="R13" s="1">
        <f>IF(vend20[[#This Row],[Nº Venda]]&gt;1,1,0)</f>
        <v>1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>
        <v>8551</v>
      </c>
      <c r="F14" s="25" t="s">
        <v>224</v>
      </c>
      <c r="G14" s="26" t="s">
        <v>6</v>
      </c>
      <c r="H14" s="8">
        <v>890</v>
      </c>
      <c r="I14" s="8">
        <v>100</v>
      </c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1</v>
      </c>
    </row>
    <row r="15" spans="2:18" ht="15.75" x14ac:dyDescent="0.25">
      <c r="B15" s="30" t="s">
        <v>10</v>
      </c>
      <c r="C15" s="31">
        <f t="shared" si="0"/>
        <v>614</v>
      </c>
      <c r="D15" s="2"/>
      <c r="E15" s="18">
        <v>8552</v>
      </c>
      <c r="F15" s="25" t="s">
        <v>225</v>
      </c>
      <c r="G15" s="26" t="s">
        <v>8</v>
      </c>
      <c r="H15" s="8">
        <v>49</v>
      </c>
      <c r="I15" s="8">
        <v>49</v>
      </c>
      <c r="J15" s="2"/>
      <c r="K15" s="25">
        <v>8513</v>
      </c>
      <c r="L15" s="9" t="s">
        <v>88</v>
      </c>
      <c r="M15" s="16" t="s">
        <v>38</v>
      </c>
      <c r="R15" s="1">
        <f>IF(vend20[[#This Row],[Nº Venda]]&gt;1,1,0)</f>
        <v>1</v>
      </c>
    </row>
    <row r="16" spans="2:18" ht="15.75" x14ac:dyDescent="0.25">
      <c r="B16" s="28" t="s">
        <v>11</v>
      </c>
      <c r="C16" s="32">
        <f>SUM(C11:C15)</f>
        <v>4459</v>
      </c>
      <c r="D16" s="2"/>
      <c r="E16" s="18"/>
      <c r="F16" s="25"/>
      <c r="G16" s="26"/>
      <c r="H16" s="8"/>
      <c r="I16" s="8"/>
      <c r="J16" s="2"/>
      <c r="K16" s="25">
        <v>8552</v>
      </c>
      <c r="L16" s="9" t="s">
        <v>174</v>
      </c>
      <c r="M16" s="16" t="s">
        <v>38</v>
      </c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8366</v>
      </c>
      <c r="L17" s="9" t="s">
        <v>226</v>
      </c>
      <c r="M17" s="16" t="s">
        <v>38</v>
      </c>
      <c r="R17" s="1">
        <f>IF(vend20[[#This Row],[Nº Venda]]&gt;1,1,0)</f>
        <v>0</v>
      </c>
    </row>
    <row r="18" spans="2:18" ht="15.75" x14ac:dyDescent="0.25">
      <c r="B18" s="87" t="s">
        <v>12</v>
      </c>
      <c r="C18" s="87"/>
      <c r="D18" s="2"/>
      <c r="E18" s="18"/>
      <c r="F18" s="25"/>
      <c r="G18" s="26"/>
      <c r="H18" s="8"/>
      <c r="I18" s="8"/>
      <c r="J18" s="2"/>
      <c r="K18" s="25">
        <v>8387</v>
      </c>
      <c r="L18" s="9" t="s">
        <v>88</v>
      </c>
      <c r="M18" s="16" t="s">
        <v>173</v>
      </c>
      <c r="R18" s="1">
        <f>IF(vend20[[#This Row],[Nº Venda]]&gt;1,1,0)</f>
        <v>0</v>
      </c>
    </row>
    <row r="19" spans="2:18" ht="15.75" x14ac:dyDescent="0.25">
      <c r="B19" s="30">
        <f>COUNT(entr_carn20[OS])</f>
        <v>1</v>
      </c>
      <c r="C19" s="31">
        <f>SUM(entr_carn20[Valor Total])</f>
        <v>510</v>
      </c>
      <c r="D19" s="2"/>
      <c r="E19" s="18"/>
      <c r="F19" s="25"/>
      <c r="G19" s="26"/>
      <c r="H19" s="8"/>
      <c r="I19" s="8"/>
      <c r="J19" s="2"/>
      <c r="K19" s="25">
        <v>8452</v>
      </c>
      <c r="L19" s="9" t="s">
        <v>174</v>
      </c>
      <c r="M19" s="16" t="s">
        <v>38</v>
      </c>
      <c r="R19" s="1">
        <f>IF(vend20[[#This Row],[Nº Venda]]&gt;1,1,0)</f>
        <v>0</v>
      </c>
    </row>
    <row r="20" spans="2:18" ht="15.75" x14ac:dyDescent="0.25">
      <c r="B20" s="28" t="s">
        <v>11</v>
      </c>
      <c r="C20" s="32">
        <f>SUM(C19:C19)</f>
        <v>510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5470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8538</v>
      </c>
      <c r="F26" s="25" t="s">
        <v>207</v>
      </c>
      <c r="G26" s="26" t="s">
        <v>8</v>
      </c>
      <c r="H26" s="8">
        <v>650</v>
      </c>
      <c r="I26" s="38">
        <v>650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8452</v>
      </c>
      <c r="F27" s="25" t="s">
        <v>227</v>
      </c>
      <c r="G27" s="26" t="s">
        <v>8</v>
      </c>
      <c r="H27" s="8">
        <v>0</v>
      </c>
      <c r="I27" s="8">
        <v>720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8520</v>
      </c>
      <c r="F28" s="25" t="s">
        <v>228</v>
      </c>
      <c r="G28" s="26" t="s">
        <v>7</v>
      </c>
      <c r="H28" s="8">
        <v>35</v>
      </c>
      <c r="I28" s="8">
        <v>35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>
        <v>8534</v>
      </c>
      <c r="F29" s="25" t="s">
        <v>229</v>
      </c>
      <c r="G29" s="26" t="s">
        <v>7</v>
      </c>
      <c r="H29" s="8">
        <v>35</v>
      </c>
      <c r="I29" s="8">
        <v>35</v>
      </c>
      <c r="J29" s="2"/>
      <c r="K29" s="25"/>
      <c r="L29" s="9"/>
      <c r="M29" s="16"/>
    </row>
    <row r="30" spans="2:18" ht="15.75" x14ac:dyDescent="0.25">
      <c r="B30" s="2"/>
      <c r="C30" s="2"/>
      <c r="D30" s="2"/>
      <c r="E30" s="18">
        <v>8553</v>
      </c>
      <c r="F30" s="39" t="s">
        <v>230</v>
      </c>
      <c r="G30" s="26" t="s">
        <v>7</v>
      </c>
      <c r="H30" s="8">
        <v>39</v>
      </c>
      <c r="I30" s="8">
        <v>39</v>
      </c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 t="s">
        <v>71</v>
      </c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7698</v>
      </c>
      <c r="F35" s="25" t="s">
        <v>231</v>
      </c>
      <c r="G35" s="26" t="s">
        <v>10</v>
      </c>
      <c r="H35" s="8">
        <v>146</v>
      </c>
      <c r="I35" s="8" t="s">
        <v>232</v>
      </c>
      <c r="K35" s="25">
        <v>8487</v>
      </c>
      <c r="L35" s="41">
        <v>6</v>
      </c>
      <c r="M35" s="16">
        <v>510</v>
      </c>
    </row>
    <row r="36" spans="2:18" ht="15.75" x14ac:dyDescent="0.25">
      <c r="E36" s="18">
        <v>8139</v>
      </c>
      <c r="F36" s="25" t="s">
        <v>233</v>
      </c>
      <c r="G36" s="26" t="s">
        <v>10</v>
      </c>
      <c r="H36" s="8">
        <v>68</v>
      </c>
      <c r="I36" s="8" t="s">
        <v>234</v>
      </c>
      <c r="K36" s="25"/>
      <c r="L36" s="41"/>
      <c r="M36" s="16"/>
    </row>
    <row r="37" spans="2:18" ht="15.75" x14ac:dyDescent="0.25">
      <c r="E37" s="18">
        <v>8487</v>
      </c>
      <c r="F37" s="25" t="s">
        <v>235</v>
      </c>
      <c r="G37" s="26" t="s">
        <v>7</v>
      </c>
      <c r="H37" s="8">
        <v>85</v>
      </c>
      <c r="I37" s="8" t="s">
        <v>94</v>
      </c>
      <c r="K37" s="25"/>
      <c r="L37" s="41"/>
      <c r="M37" s="16"/>
    </row>
    <row r="38" spans="2:18" ht="15.75" x14ac:dyDescent="0.25">
      <c r="E38" s="74"/>
      <c r="F38" s="7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4842A4-1C90-4E23-9C1F-C83AC9F81898}">
          <x14:formula1>
            <xm:f>base!$A$2:$A$6</xm:f>
          </x14:formula1>
          <xm:sqref>G35:G41 G27:G31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 G26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topLeftCell="A20" zoomScale="80" zoomScaleNormal="80" workbookViewId="0">
      <selection activeCell="K6" sqref="K6:M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'20'!B1+1</f>
        <v>45312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5" t="s">
        <v>1</v>
      </c>
      <c r="F4" s="95"/>
      <c r="G4" s="95"/>
      <c r="H4" s="95"/>
      <c r="I4" s="95"/>
      <c r="J4" s="22"/>
      <c r="K4" s="89" t="s">
        <v>3</v>
      </c>
      <c r="L4" s="90"/>
      <c r="M4" s="9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IF(vend21[[#This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IF(vend21[[#This Row],[Nº Venda]]&gt;1,1,0)</f>
        <v>0</v>
      </c>
    </row>
    <row r="10" spans="2:18" ht="15.75" x14ac:dyDescent="0.25">
      <c r="B10" s="87" t="s">
        <v>5</v>
      </c>
      <c r="C10" s="8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9" t="s">
        <v>22</v>
      </c>
      <c r="L13" s="90"/>
      <c r="M13" s="91"/>
      <c r="R13" s="1">
        <f>IF(vend21[[#This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IF(vend21[[#This Row],[Nº Venda]]&gt;1,1,0)</f>
        <v>0</v>
      </c>
    </row>
    <row r="18" spans="2:18" ht="15.75" x14ac:dyDescent="0.25">
      <c r="B18" s="87" t="s">
        <v>12</v>
      </c>
      <c r="C18" s="8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75" x14ac:dyDescent="0.25">
      <c r="B19" s="30">
        <f>COUNT(entr_carn21[OS])</f>
        <v>0</v>
      </c>
      <c r="C19" s="31">
        <f>SUM(entr_carn21[Valor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topLeftCell="A20" zoomScale="80" zoomScaleNormal="80" workbookViewId="0">
      <selection activeCell="E9" sqref="E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'21'!B1+1</f>
        <v>45313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5" t="s">
        <v>1</v>
      </c>
      <c r="F4" s="95"/>
      <c r="G4" s="95"/>
      <c r="H4" s="95"/>
      <c r="I4" s="95"/>
      <c r="J4" s="22"/>
      <c r="K4" s="89" t="s">
        <v>3</v>
      </c>
      <c r="L4" s="90"/>
      <c r="M4" s="91"/>
    </row>
    <row r="5" spans="2:18" ht="15" x14ac:dyDescent="0.25">
      <c r="B5" s="23" t="s">
        <v>1</v>
      </c>
      <c r="C5" s="24">
        <f>SUMIF(I6:I31,"&gt;0",H6:H31)</f>
        <v>5719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5384</v>
      </c>
      <c r="D6" s="2"/>
      <c r="E6" s="18">
        <v>8553</v>
      </c>
      <c r="F6" s="25" t="s">
        <v>236</v>
      </c>
      <c r="G6" s="26" t="s">
        <v>9</v>
      </c>
      <c r="H6" s="8">
        <v>1790</v>
      </c>
      <c r="I6" s="8">
        <v>1790</v>
      </c>
      <c r="J6" s="2"/>
      <c r="K6" s="25" t="s">
        <v>237</v>
      </c>
      <c r="L6" s="9" t="s">
        <v>157</v>
      </c>
      <c r="M6" s="16">
        <v>10</v>
      </c>
      <c r="R6" s="1">
        <f>IF(vend22[[#This Row],[Nº Venda]]&gt;1,1,0)</f>
        <v>1</v>
      </c>
    </row>
    <row r="7" spans="2:18" ht="15.75" x14ac:dyDescent="0.25">
      <c r="B7" s="23" t="s">
        <v>3</v>
      </c>
      <c r="C7" s="24">
        <f>SUM(M6:M11)</f>
        <v>18.75</v>
      </c>
      <c r="D7" s="2"/>
      <c r="E7" s="18">
        <v>8554</v>
      </c>
      <c r="F7" s="25" t="s">
        <v>236</v>
      </c>
      <c r="G7" s="26" t="s">
        <v>9</v>
      </c>
      <c r="H7" s="8">
        <v>250</v>
      </c>
      <c r="I7" s="8">
        <v>250</v>
      </c>
      <c r="J7" s="2"/>
      <c r="K7" s="25" t="s">
        <v>238</v>
      </c>
      <c r="L7" s="9" t="s">
        <v>10</v>
      </c>
      <c r="M7" s="16">
        <v>8.75</v>
      </c>
      <c r="R7" s="1">
        <f>IF(vend22[[#This Row],[Nº Venda]]&gt;1,1,0)</f>
        <v>1</v>
      </c>
    </row>
    <row r="8" spans="2:18" ht="15.75" x14ac:dyDescent="0.25">
      <c r="B8" s="28" t="s">
        <v>21</v>
      </c>
      <c r="C8" s="29">
        <f>SUM(C6:C7)</f>
        <v>5402.75</v>
      </c>
      <c r="D8" s="2"/>
      <c r="E8" s="18">
        <v>8555</v>
      </c>
      <c r="F8" s="25" t="s">
        <v>236</v>
      </c>
      <c r="G8" s="26" t="s">
        <v>9</v>
      </c>
      <c r="H8" s="8">
        <v>75</v>
      </c>
      <c r="I8" s="8">
        <v>75</v>
      </c>
      <c r="J8" s="2"/>
      <c r="K8" s="25"/>
      <c r="L8" s="9"/>
      <c r="M8" s="16"/>
      <c r="R8" s="1">
        <f>IF(vend22[[#This Row],[Nº Venda]]&gt;1,1,0)</f>
        <v>1</v>
      </c>
    </row>
    <row r="9" spans="2:18" ht="15.75" x14ac:dyDescent="0.25">
      <c r="B9" s="2"/>
      <c r="C9" s="2"/>
      <c r="D9" s="2"/>
      <c r="E9" s="18">
        <v>8556</v>
      </c>
      <c r="F9" s="25" t="s">
        <v>239</v>
      </c>
      <c r="G9" s="26" t="s">
        <v>9</v>
      </c>
      <c r="H9" s="8">
        <v>799</v>
      </c>
      <c r="I9" s="8">
        <v>799</v>
      </c>
      <c r="J9" s="2"/>
      <c r="K9" s="25"/>
      <c r="L9" s="9"/>
      <c r="M9" s="16"/>
      <c r="R9" s="1">
        <f>IF(vend22[[#This Row],[Nº Venda]]&gt;1,1,0)</f>
        <v>1</v>
      </c>
    </row>
    <row r="10" spans="2:18" ht="15.75" x14ac:dyDescent="0.25">
      <c r="B10" s="87" t="s">
        <v>5</v>
      </c>
      <c r="C10" s="87"/>
      <c r="D10" s="2"/>
      <c r="E10" s="18">
        <v>8557</v>
      </c>
      <c r="F10" s="25" t="s">
        <v>240</v>
      </c>
      <c r="G10" s="26" t="s">
        <v>6</v>
      </c>
      <c r="H10" s="8">
        <v>35</v>
      </c>
      <c r="I10" s="8">
        <v>10</v>
      </c>
      <c r="J10" s="2"/>
      <c r="K10" s="25"/>
      <c r="L10" s="9"/>
      <c r="M10" s="16"/>
      <c r="R10" s="1">
        <f>IF(vend22[[#This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10</v>
      </c>
      <c r="D11" s="2"/>
      <c r="E11" s="18">
        <v>8558</v>
      </c>
      <c r="F11" s="25" t="s">
        <v>241</v>
      </c>
      <c r="G11" s="26" t="s">
        <v>7</v>
      </c>
      <c r="H11" s="8">
        <v>100</v>
      </c>
      <c r="I11" s="8">
        <v>100</v>
      </c>
      <c r="J11" s="2"/>
      <c r="K11" s="27"/>
      <c r="L11" s="9"/>
      <c r="M11" s="16"/>
      <c r="O11" s="1">
        <f>IF(C16=0,0,1)</f>
        <v>1</v>
      </c>
      <c r="R11" s="1">
        <f>IF(vend22[[#This Row],[Nº Venda]]&gt;1,1,0)</f>
        <v>1</v>
      </c>
    </row>
    <row r="12" spans="2:18" ht="15.75" x14ac:dyDescent="0.25">
      <c r="B12" s="30" t="s">
        <v>7</v>
      </c>
      <c r="C12" s="31">
        <f t="shared" ref="C12:C14" si="0">(SUMIF($G$2:$G$31,B12,$I$2:$I$31))+(SUMIF($G$35:$G$41,B12,$H$35:$H$41))</f>
        <v>691</v>
      </c>
      <c r="D12" s="2"/>
      <c r="E12" s="18">
        <v>8559</v>
      </c>
      <c r="F12" s="25" t="s">
        <v>242</v>
      </c>
      <c r="G12" s="26" t="s">
        <v>7</v>
      </c>
      <c r="H12" s="8">
        <v>125</v>
      </c>
      <c r="I12" s="8">
        <v>125</v>
      </c>
      <c r="J12" s="2"/>
      <c r="R12" s="1">
        <f>IF(vend22[[#This Row],[Nº Venda]]&gt;1,1,0)</f>
        <v>1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>
        <v>8560</v>
      </c>
      <c r="F13" s="25" t="s">
        <v>243</v>
      </c>
      <c r="G13" s="26" t="s">
        <v>9</v>
      </c>
      <c r="H13" s="8">
        <v>900</v>
      </c>
      <c r="I13" s="8">
        <v>900</v>
      </c>
      <c r="J13" s="2"/>
      <c r="K13" s="89" t="s">
        <v>22</v>
      </c>
      <c r="L13" s="90"/>
      <c r="M13" s="91"/>
      <c r="R13" s="1">
        <f>IF(vend22[[#This Row],[Nº Venda]]&gt;1,1,0)</f>
        <v>1</v>
      </c>
    </row>
    <row r="14" spans="2:18" ht="15.75" x14ac:dyDescent="0.25">
      <c r="B14" s="30" t="s">
        <v>9</v>
      </c>
      <c r="C14" s="31">
        <f t="shared" si="0"/>
        <v>4149</v>
      </c>
      <c r="D14" s="2"/>
      <c r="E14" s="18">
        <v>8561</v>
      </c>
      <c r="F14" s="25" t="s">
        <v>243</v>
      </c>
      <c r="G14" s="26" t="s">
        <v>9</v>
      </c>
      <c r="H14" s="8">
        <v>150</v>
      </c>
      <c r="I14" s="8">
        <v>150</v>
      </c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1</v>
      </c>
    </row>
    <row r="15" spans="2:18" ht="15.75" x14ac:dyDescent="0.25">
      <c r="B15" s="30" t="s">
        <v>10</v>
      </c>
      <c r="C15" s="31">
        <f>(SUMIF($G$2:$G$31,B15,$I$2:$I$31))+(SUMIF($G$35:$G$41,B15,$H$35:$H$41))</f>
        <v>708.33</v>
      </c>
      <c r="D15" s="2"/>
      <c r="E15" s="18">
        <v>8562</v>
      </c>
      <c r="F15" s="25" t="s">
        <v>243</v>
      </c>
      <c r="G15" s="26" t="s">
        <v>9</v>
      </c>
      <c r="H15" s="8">
        <v>185</v>
      </c>
      <c r="I15" s="8">
        <v>185</v>
      </c>
      <c r="J15" s="2"/>
      <c r="K15" s="25">
        <v>8454</v>
      </c>
      <c r="L15" s="9" t="s">
        <v>174</v>
      </c>
      <c r="M15" s="16" t="s">
        <v>38</v>
      </c>
      <c r="R15" s="1">
        <f>IF(vend22[[#This Row],[Nº Venda]]&gt;1,1,0)</f>
        <v>1</v>
      </c>
    </row>
    <row r="16" spans="2:18" ht="15.75" x14ac:dyDescent="0.25">
      <c r="B16" s="28" t="s">
        <v>11</v>
      </c>
      <c r="C16" s="32">
        <f>SUM(C11:C15)</f>
        <v>5558.33</v>
      </c>
      <c r="D16" s="2"/>
      <c r="E16" s="18">
        <v>8563</v>
      </c>
      <c r="F16" s="25" t="s">
        <v>244</v>
      </c>
      <c r="G16" s="26" t="s">
        <v>10</v>
      </c>
      <c r="H16" s="8">
        <v>565</v>
      </c>
      <c r="I16" s="8">
        <v>300</v>
      </c>
      <c r="J16" s="2"/>
      <c r="K16" s="25"/>
      <c r="L16" s="9"/>
      <c r="M16" s="16"/>
      <c r="R16" s="1">
        <f>IF(vend22[[#This Row],[Nº Venda]]&gt;1,1,0)</f>
        <v>1</v>
      </c>
    </row>
    <row r="17" spans="2:18" ht="15.75" x14ac:dyDescent="0.25">
      <c r="B17" s="2"/>
      <c r="C17" s="2"/>
      <c r="D17" s="2"/>
      <c r="E17" s="18">
        <v>8564</v>
      </c>
      <c r="F17" s="25" t="s">
        <v>244</v>
      </c>
      <c r="G17" s="26" t="s">
        <v>10</v>
      </c>
      <c r="H17" s="8">
        <v>745</v>
      </c>
      <c r="I17" s="8">
        <v>300</v>
      </c>
      <c r="J17" s="2"/>
      <c r="K17" s="25"/>
      <c r="L17" s="9"/>
      <c r="M17" s="16"/>
      <c r="R17" s="1">
        <f>IF(vend22[[#This Row],[Nº Venda]]&gt;1,1,0)</f>
        <v>1</v>
      </c>
    </row>
    <row r="18" spans="2:18" ht="15.75" x14ac:dyDescent="0.25">
      <c r="B18" s="87" t="s">
        <v>12</v>
      </c>
      <c r="C18" s="8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 x14ac:dyDescent="0.25">
      <c r="B19" s="30">
        <f>COUNT(entr_carn22[OS])</f>
        <v>0</v>
      </c>
      <c r="C19" s="31">
        <f>SUM(entr_carn22[Valor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5719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8261</v>
      </c>
      <c r="F26" s="25" t="s">
        <v>245</v>
      </c>
      <c r="G26" s="26" t="s">
        <v>7</v>
      </c>
      <c r="H26" s="8"/>
      <c r="I26" s="8">
        <v>400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8074</v>
      </c>
      <c r="F35" s="25" t="s">
        <v>246</v>
      </c>
      <c r="G35" s="26" t="s">
        <v>7</v>
      </c>
      <c r="H35" s="8">
        <v>66</v>
      </c>
      <c r="I35" s="8" t="s">
        <v>43</v>
      </c>
      <c r="K35" s="25"/>
      <c r="L35" s="41"/>
      <c r="M35" s="16"/>
    </row>
    <row r="36" spans="2:18" ht="15.75" x14ac:dyDescent="0.25">
      <c r="E36" s="18">
        <v>8260</v>
      </c>
      <c r="F36" s="25" t="s">
        <v>247</v>
      </c>
      <c r="G36" s="26" t="s">
        <v>10</v>
      </c>
      <c r="H36" s="8">
        <v>108.33</v>
      </c>
      <c r="I36" s="8" t="s">
        <v>248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1"/>
  <sheetViews>
    <sheetView showGridLines="0" topLeftCell="A20" zoomScale="80" zoomScaleNormal="80" workbookViewId="0">
      <selection activeCell="C15" sqref="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'22'!B1+1</f>
        <v>45314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5" t="s">
        <v>1</v>
      </c>
      <c r="F4" s="95"/>
      <c r="G4" s="95"/>
      <c r="H4" s="95"/>
      <c r="I4" s="95"/>
      <c r="J4" s="22"/>
      <c r="K4" s="89" t="s">
        <v>3</v>
      </c>
      <c r="L4" s="90"/>
      <c r="M4" s="91"/>
    </row>
    <row r="5" spans="2:18" ht="15" x14ac:dyDescent="0.25">
      <c r="B5" s="23" t="s">
        <v>1</v>
      </c>
      <c r="C5" s="24">
        <f>SUMIF(I6:I31,"&gt;0",H6:H31)</f>
        <v>1200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1200</v>
      </c>
      <c r="D6" s="2"/>
      <c r="E6" s="18">
        <v>8565</v>
      </c>
      <c r="F6" s="25" t="s">
        <v>249</v>
      </c>
      <c r="G6" s="26" t="s">
        <v>10</v>
      </c>
      <c r="H6" s="8">
        <v>1200</v>
      </c>
      <c r="I6" s="8">
        <v>1200</v>
      </c>
      <c r="J6" s="2"/>
      <c r="K6" s="25"/>
      <c r="L6" s="9"/>
      <c r="M6" s="16"/>
      <c r="R6" s="1">
        <f>IF(vend23[[#This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8567</v>
      </c>
      <c r="F7" s="25" t="s">
        <v>250</v>
      </c>
      <c r="G7" s="26" t="s">
        <v>49</v>
      </c>
      <c r="H7" s="8"/>
      <c r="I7" s="8"/>
      <c r="J7" s="2"/>
      <c r="K7" s="25"/>
      <c r="L7" s="9"/>
      <c r="M7" s="16"/>
      <c r="R7" s="1">
        <f>IF(vend23[[#This Row],[Nº Venda]]&gt;1,1,0)</f>
        <v>1</v>
      </c>
    </row>
    <row r="8" spans="2:18" ht="15.75" x14ac:dyDescent="0.25">
      <c r="B8" s="28" t="s">
        <v>21</v>
      </c>
      <c r="C8" s="29">
        <f>SUM(C6:C7)</f>
        <v>1200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IF(vend23[[#This Row],[Nº Venda]]&gt;1,1,0)</f>
        <v>0</v>
      </c>
    </row>
    <row r="10" spans="2:18" ht="15.75" x14ac:dyDescent="0.25">
      <c r="B10" s="87" t="s">
        <v>5</v>
      </c>
      <c r="C10" s="8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157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9" t="s">
        <v>22</v>
      </c>
      <c r="L13" s="90"/>
      <c r="M13" s="91"/>
      <c r="R13" s="1">
        <f>IF(vend23[[#This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18" ht="15.75" x14ac:dyDescent="0.25">
      <c r="B15" s="30" t="s">
        <v>10</v>
      </c>
      <c r="C15" s="31">
        <f t="shared" si="0"/>
        <v>1278.5</v>
      </c>
      <c r="D15" s="2"/>
      <c r="E15" s="18"/>
      <c r="F15" s="25"/>
      <c r="G15" s="26"/>
      <c r="H15" s="8"/>
      <c r="I15" s="8"/>
      <c r="J15" s="2"/>
      <c r="K15" s="25">
        <v>8431</v>
      </c>
      <c r="L15" s="9" t="s">
        <v>251</v>
      </c>
      <c r="M15" s="16" t="s">
        <v>38</v>
      </c>
      <c r="R15" s="1">
        <f>IF(vend23[[#This Row],[Nº Venda]]&gt;1,1,0)</f>
        <v>0</v>
      </c>
    </row>
    <row r="16" spans="2:18" ht="15.75" x14ac:dyDescent="0.25">
      <c r="B16" s="28" t="s">
        <v>11</v>
      </c>
      <c r="C16" s="32">
        <f>SUM(C11:C15)</f>
        <v>1435.5</v>
      </c>
      <c r="D16" s="2"/>
      <c r="E16" s="18"/>
      <c r="F16" s="25"/>
      <c r="G16" s="26"/>
      <c r="H16" s="8"/>
      <c r="I16" s="8"/>
      <c r="J16" s="2"/>
      <c r="K16" s="25">
        <v>8558</v>
      </c>
      <c r="L16" s="9" t="s">
        <v>121</v>
      </c>
      <c r="M16" s="16" t="s">
        <v>38</v>
      </c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8539</v>
      </c>
      <c r="L17" s="9" t="s">
        <v>121</v>
      </c>
      <c r="M17" s="16" t="s">
        <v>38</v>
      </c>
      <c r="R17" s="1">
        <f>IF(vend23[[#This Row],[Nº Venda]]&gt;1,1,0)</f>
        <v>0</v>
      </c>
    </row>
    <row r="18" spans="2:18" ht="15.75" x14ac:dyDescent="0.25">
      <c r="B18" s="87" t="s">
        <v>12</v>
      </c>
      <c r="C18" s="87"/>
      <c r="D18" s="2"/>
      <c r="E18" s="18"/>
      <c r="F18" s="25"/>
      <c r="G18" s="26"/>
      <c r="H18" s="8"/>
      <c r="I18" s="8"/>
      <c r="J18" s="2"/>
      <c r="K18" s="25">
        <v>8559</v>
      </c>
      <c r="L18" s="9" t="s">
        <v>121</v>
      </c>
      <c r="M18" s="16" t="s">
        <v>38</v>
      </c>
      <c r="R18" s="1">
        <f>IF(vend23[[#This Row],[Nº Venda]]&gt;1,1,0)</f>
        <v>0</v>
      </c>
    </row>
    <row r="19" spans="2:18" ht="15.75" x14ac:dyDescent="0.25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>
        <v>8502</v>
      </c>
      <c r="L19" s="9" t="s">
        <v>101</v>
      </c>
      <c r="M19" s="16" t="s">
        <v>38</v>
      </c>
      <c r="R19" s="1">
        <f>IF(vend23[[#This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1200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2072701</v>
      </c>
      <c r="F35" s="25" t="s">
        <v>252</v>
      </c>
      <c r="G35" s="26" t="s">
        <v>7</v>
      </c>
      <c r="H35" s="8">
        <v>157</v>
      </c>
      <c r="I35" s="8" t="s">
        <v>41</v>
      </c>
      <c r="K35" s="25"/>
      <c r="L35" s="41"/>
      <c r="M35" s="16"/>
    </row>
    <row r="36" spans="2:18" ht="15.75" x14ac:dyDescent="0.25">
      <c r="E36" s="18">
        <v>8321</v>
      </c>
      <c r="F36" s="25" t="s">
        <v>253</v>
      </c>
      <c r="G36" s="26" t="s">
        <v>10</v>
      </c>
      <c r="H36" s="8">
        <v>78.5</v>
      </c>
      <c r="I36" s="8" t="s">
        <v>60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zoomScale="80" zoomScaleNormal="80" workbookViewId="0">
      <selection activeCell="C22" sqref="C2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'23'!B1+1</f>
        <v>45315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5" t="s">
        <v>1</v>
      </c>
      <c r="F4" s="95"/>
      <c r="G4" s="95"/>
      <c r="H4" s="95"/>
      <c r="I4" s="95"/>
      <c r="J4" s="22"/>
      <c r="K4" s="89" t="s">
        <v>3</v>
      </c>
      <c r="L4" s="90"/>
      <c r="M4" s="91"/>
    </row>
    <row r="5" spans="2:18" ht="15" x14ac:dyDescent="0.25">
      <c r="B5" s="23" t="s">
        <v>1</v>
      </c>
      <c r="C5" s="24">
        <f>SUMIF(I6:I31,"&gt;0",H6:H31)</f>
        <v>3020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650</v>
      </c>
      <c r="D6" s="2"/>
      <c r="E6" s="18">
        <v>8568</v>
      </c>
      <c r="F6" s="25" t="s">
        <v>254</v>
      </c>
      <c r="G6" s="26" t="s">
        <v>49</v>
      </c>
      <c r="H6" s="8"/>
      <c r="I6" s="8"/>
      <c r="J6" s="2"/>
      <c r="K6" s="25"/>
      <c r="L6" s="9"/>
      <c r="M6" s="16"/>
      <c r="R6" s="1">
        <f>IF(vend24[[#This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8569</v>
      </c>
      <c r="F7" s="25" t="s">
        <v>255</v>
      </c>
      <c r="G7" s="26" t="s">
        <v>7</v>
      </c>
      <c r="H7" s="8">
        <v>35</v>
      </c>
      <c r="I7" s="8">
        <v>35</v>
      </c>
      <c r="J7" s="2"/>
      <c r="K7" s="25"/>
      <c r="L7" s="9"/>
      <c r="M7" s="16"/>
      <c r="R7" s="1">
        <f>IF(vend24[[#This Row],[Nº Venda]]&gt;1,1,0)</f>
        <v>1</v>
      </c>
    </row>
    <row r="8" spans="2:18" ht="15.75" x14ac:dyDescent="0.25">
      <c r="B8" s="28" t="s">
        <v>21</v>
      </c>
      <c r="C8" s="29">
        <f>SUM(C6:C7)</f>
        <v>650</v>
      </c>
      <c r="D8" s="2"/>
      <c r="E8" s="18">
        <v>8570</v>
      </c>
      <c r="F8" s="25" t="s">
        <v>256</v>
      </c>
      <c r="G8" s="26" t="s">
        <v>7</v>
      </c>
      <c r="H8" s="8">
        <v>1395</v>
      </c>
      <c r="I8" s="8">
        <v>50</v>
      </c>
      <c r="J8" s="2"/>
      <c r="K8" s="25"/>
      <c r="L8" s="9"/>
      <c r="M8" s="16"/>
      <c r="R8" s="1">
        <f>IF(vend24[[#This Row],[Nº Venda]]&gt;1,1,0)</f>
        <v>1</v>
      </c>
    </row>
    <row r="9" spans="2:18" ht="15.75" x14ac:dyDescent="0.25">
      <c r="B9" s="2"/>
      <c r="C9" s="2"/>
      <c r="D9" s="2"/>
      <c r="E9" s="18">
        <v>8571</v>
      </c>
      <c r="F9" s="25" t="s">
        <v>257</v>
      </c>
      <c r="G9" s="26" t="s">
        <v>10</v>
      </c>
      <c r="H9" s="8">
        <v>680</v>
      </c>
      <c r="I9" s="8">
        <v>130</v>
      </c>
      <c r="J9" s="2"/>
      <c r="K9" s="25"/>
      <c r="L9" s="9"/>
      <c r="M9" s="16"/>
      <c r="R9" s="1">
        <f>IF(vend24[[#This Row],[Nº Venda]]&gt;1,1,0)</f>
        <v>1</v>
      </c>
    </row>
    <row r="10" spans="2:18" ht="15.75" x14ac:dyDescent="0.25">
      <c r="B10" s="87" t="s">
        <v>5</v>
      </c>
      <c r="C10" s="87"/>
      <c r="D10" s="2"/>
      <c r="E10" s="18">
        <v>8572</v>
      </c>
      <c r="F10" s="25" t="s">
        <v>258</v>
      </c>
      <c r="G10" s="26" t="s">
        <v>7</v>
      </c>
      <c r="H10" s="8">
        <v>125</v>
      </c>
      <c r="I10" s="8">
        <v>125</v>
      </c>
      <c r="J10" s="2"/>
      <c r="K10" s="25"/>
      <c r="L10" s="9"/>
      <c r="M10" s="16"/>
      <c r="R10" s="1">
        <f>IF(vend24[[#This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275</v>
      </c>
      <c r="D11" s="2"/>
      <c r="E11" s="18">
        <v>8573</v>
      </c>
      <c r="F11" s="25" t="s">
        <v>259</v>
      </c>
      <c r="G11" s="26" t="s">
        <v>7</v>
      </c>
      <c r="H11" s="8">
        <v>35</v>
      </c>
      <c r="I11" s="8">
        <v>35</v>
      </c>
      <c r="J11" s="2"/>
      <c r="K11" s="27"/>
      <c r="L11" s="9"/>
      <c r="M11" s="16"/>
      <c r="O11" s="1">
        <f>IF(C16=0,0,1)</f>
        <v>1</v>
      </c>
      <c r="R11" s="1">
        <f>IF(vend24[[#This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245</v>
      </c>
      <c r="D12" s="2"/>
      <c r="E12" s="18">
        <v>8574</v>
      </c>
      <c r="F12" s="25" t="s">
        <v>260</v>
      </c>
      <c r="G12" s="26" t="s">
        <v>6</v>
      </c>
      <c r="H12" s="8">
        <v>200</v>
      </c>
      <c r="I12" s="8">
        <v>150</v>
      </c>
      <c r="J12" s="2"/>
      <c r="R12" s="1">
        <f>IF(vend24[[#This Row],[Nº Venda]]&gt;1,1,0)</f>
        <v>1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9" t="s">
        <v>22</v>
      </c>
      <c r="L13" s="90"/>
      <c r="M13" s="91"/>
      <c r="R13" s="1">
        <f>IF(vend24[[#This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IF(vend24[[#This Row],[Nº Venda]]&gt;1,1,0)</f>
        <v>0</v>
      </c>
    </row>
    <row r="15" spans="2:18" ht="15.75" x14ac:dyDescent="0.25">
      <c r="B15" s="30" t="s">
        <v>10</v>
      </c>
      <c r="C15" s="31">
        <f t="shared" si="0"/>
        <v>130</v>
      </c>
      <c r="D15" s="2"/>
      <c r="E15" s="18"/>
      <c r="F15" s="25"/>
      <c r="G15" s="26"/>
      <c r="H15" s="8"/>
      <c r="I15" s="8"/>
      <c r="J15" s="2"/>
      <c r="K15" s="25">
        <v>8405</v>
      </c>
      <c r="L15" s="9" t="s">
        <v>101</v>
      </c>
      <c r="M15" s="16" t="s">
        <v>38</v>
      </c>
      <c r="R15" s="1">
        <f>IF(vend24[[#This Row],[Nº Venda]]&gt;1,1,0)</f>
        <v>0</v>
      </c>
    </row>
    <row r="16" spans="2:18" ht="15.75" x14ac:dyDescent="0.25">
      <c r="B16" s="28" t="s">
        <v>11</v>
      </c>
      <c r="C16" s="32">
        <f>SUM(C11:C15)</f>
        <v>650</v>
      </c>
      <c r="D16" s="2"/>
      <c r="E16" s="18"/>
      <c r="F16" s="25"/>
      <c r="G16" s="26"/>
      <c r="H16" s="8"/>
      <c r="I16" s="8"/>
      <c r="J16" s="2"/>
      <c r="K16" s="25">
        <v>8548</v>
      </c>
      <c r="L16" s="9" t="s">
        <v>101</v>
      </c>
      <c r="M16" s="16" t="s">
        <v>38</v>
      </c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8557</v>
      </c>
      <c r="L17" s="9" t="s">
        <v>101</v>
      </c>
      <c r="M17" s="16" t="s">
        <v>38</v>
      </c>
      <c r="R17" s="1">
        <f>IF(vend24[[#This Row],[Nº Venda]]&gt;1,1,0)</f>
        <v>0</v>
      </c>
    </row>
    <row r="18" spans="2:18" ht="15.75" x14ac:dyDescent="0.25">
      <c r="B18" s="87" t="s">
        <v>12</v>
      </c>
      <c r="C18" s="8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 x14ac:dyDescent="0.25">
      <c r="B19" s="30">
        <f>COUNT(entr_carn24[OS])</f>
        <v>1</v>
      </c>
      <c r="C19" s="31">
        <f>SUM(entr_carn24[Valor Total])</f>
        <v>275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 x14ac:dyDescent="0.25">
      <c r="B20" s="28" t="s">
        <v>11</v>
      </c>
      <c r="C20" s="32">
        <f>SUM(C19:C19)</f>
        <v>275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3020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8525</v>
      </c>
      <c r="F26" s="25" t="s">
        <v>261</v>
      </c>
      <c r="G26" s="26" t="s">
        <v>6</v>
      </c>
      <c r="H26" s="8">
        <v>550</v>
      </c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8557</v>
      </c>
      <c r="F27" s="25" t="s">
        <v>262</v>
      </c>
      <c r="G27" s="26" t="s">
        <v>6</v>
      </c>
      <c r="H27" s="8"/>
      <c r="I27" s="8">
        <v>25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>
        <v>8548</v>
      </c>
      <c r="L35" s="41">
        <v>1</v>
      </c>
      <c r="M35" s="16">
        <v>275</v>
      </c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7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topLeftCell="A15" zoomScale="80" zoomScaleNormal="80" workbookViewId="0">
      <selection activeCell="AA18" sqref="AA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'24'!B1+1</f>
        <v>45316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5" t="s">
        <v>1</v>
      </c>
      <c r="F4" s="95"/>
      <c r="G4" s="95"/>
      <c r="H4" s="95"/>
      <c r="I4" s="95"/>
      <c r="J4" s="22"/>
      <c r="K4" s="89" t="s">
        <v>3</v>
      </c>
      <c r="L4" s="90"/>
      <c r="M4" s="91"/>
    </row>
    <row r="5" spans="2:18" ht="15" x14ac:dyDescent="0.25">
      <c r="B5" s="23" t="s">
        <v>1</v>
      </c>
      <c r="C5" s="24">
        <f>SUMIF(I6:I31,"&gt;0",H6:H31)</f>
        <v>3439.99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3439.99</v>
      </c>
      <c r="D6" s="2"/>
      <c r="E6" s="18">
        <v>8575</v>
      </c>
      <c r="F6" s="25" t="s">
        <v>263</v>
      </c>
      <c r="G6" s="26" t="s">
        <v>9</v>
      </c>
      <c r="H6" s="8">
        <v>600</v>
      </c>
      <c r="I6" s="8">
        <v>600</v>
      </c>
      <c r="J6" s="2"/>
      <c r="K6" s="25"/>
      <c r="L6" s="9"/>
      <c r="M6" s="16"/>
      <c r="R6" s="1">
        <f>IF(vend25[[#This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8576</v>
      </c>
      <c r="F7" s="25" t="s">
        <v>263</v>
      </c>
      <c r="G7" s="26" t="s">
        <v>9</v>
      </c>
      <c r="H7" s="8">
        <v>112</v>
      </c>
      <c r="I7" s="8">
        <v>112</v>
      </c>
      <c r="J7" s="2"/>
      <c r="K7" s="25"/>
      <c r="L7" s="9"/>
      <c r="M7" s="16"/>
      <c r="R7" s="1">
        <f>IF(vend25[[#This Row],[Nº Venda]]&gt;1,1,0)</f>
        <v>1</v>
      </c>
    </row>
    <row r="8" spans="2:18" ht="15.75" x14ac:dyDescent="0.25">
      <c r="B8" s="28" t="s">
        <v>21</v>
      </c>
      <c r="C8" s="29">
        <f>SUM(C6:C7)</f>
        <v>3439.99</v>
      </c>
      <c r="D8" s="2"/>
      <c r="E8" s="18">
        <v>8577</v>
      </c>
      <c r="F8" s="25" t="s">
        <v>264</v>
      </c>
      <c r="G8" s="26" t="s">
        <v>8</v>
      </c>
      <c r="H8" s="8">
        <v>99.99</v>
      </c>
      <c r="I8" s="8">
        <v>99.99</v>
      </c>
      <c r="J8" s="2"/>
      <c r="K8" s="25"/>
      <c r="L8" s="9"/>
      <c r="M8" s="16"/>
      <c r="R8" s="1">
        <f>IF(vend25[[#This Row],[Nº Venda]]&gt;1,1,0)</f>
        <v>1</v>
      </c>
    </row>
    <row r="9" spans="2:18" ht="15.75" x14ac:dyDescent="0.25">
      <c r="B9" s="2"/>
      <c r="C9" s="2"/>
      <c r="D9" s="2"/>
      <c r="E9" s="18">
        <v>8578</v>
      </c>
      <c r="F9" s="25" t="s">
        <v>265</v>
      </c>
      <c r="G9" s="26" t="s">
        <v>47</v>
      </c>
      <c r="H9" s="8">
        <v>100</v>
      </c>
      <c r="I9" s="8"/>
      <c r="J9" s="2"/>
      <c r="K9" s="25"/>
      <c r="L9" s="9"/>
      <c r="M9" s="16"/>
      <c r="R9" s="1">
        <f>IF(vend25[[#This Row],[Nº Venda]]&gt;1,1,0)</f>
        <v>1</v>
      </c>
    </row>
    <row r="10" spans="2:18" ht="15.75" x14ac:dyDescent="0.25">
      <c r="B10" s="87" t="s">
        <v>5</v>
      </c>
      <c r="C10" s="87"/>
      <c r="D10" s="2"/>
      <c r="E10" s="18">
        <v>8579</v>
      </c>
      <c r="F10" s="25" t="s">
        <v>266</v>
      </c>
      <c r="G10" s="26" t="s">
        <v>9</v>
      </c>
      <c r="H10" s="8">
        <v>1400</v>
      </c>
      <c r="I10" s="8">
        <v>1400</v>
      </c>
      <c r="J10" s="2"/>
      <c r="K10" s="25"/>
      <c r="L10" s="9"/>
      <c r="M10" s="16"/>
      <c r="R10" s="1">
        <f>IF(vend25[[#This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125</v>
      </c>
      <c r="D11" s="2"/>
      <c r="E11" s="18">
        <v>8580</v>
      </c>
      <c r="F11" s="25" t="s">
        <v>266</v>
      </c>
      <c r="G11" s="26" t="s">
        <v>9</v>
      </c>
      <c r="H11" s="8">
        <v>250</v>
      </c>
      <c r="I11" s="8">
        <v>250</v>
      </c>
      <c r="J11" s="2"/>
      <c r="K11" s="27"/>
      <c r="L11" s="9"/>
      <c r="M11" s="16"/>
      <c r="O11" s="1">
        <f>IF(C16=0,0,1)</f>
        <v>1</v>
      </c>
      <c r="R11" s="1">
        <f>IF(vend25[[#This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196</v>
      </c>
      <c r="D12" s="2"/>
      <c r="E12" s="18">
        <v>8581</v>
      </c>
      <c r="F12" s="25" t="s">
        <v>267</v>
      </c>
      <c r="G12" s="26" t="s">
        <v>9</v>
      </c>
      <c r="H12" s="8">
        <v>100</v>
      </c>
      <c r="I12" s="8">
        <v>100</v>
      </c>
      <c r="J12" s="2"/>
      <c r="R12" s="1">
        <f>IF(vend25[[#This Row],[Nº Venda]]&gt;1,1,0)</f>
        <v>1</v>
      </c>
    </row>
    <row r="13" spans="2:18" ht="15.75" x14ac:dyDescent="0.25">
      <c r="B13" s="30" t="s">
        <v>8</v>
      </c>
      <c r="C13" s="31">
        <f t="shared" si="0"/>
        <v>249.99</v>
      </c>
      <c r="D13" s="2"/>
      <c r="E13" s="18">
        <v>8582</v>
      </c>
      <c r="F13" s="25" t="s">
        <v>268</v>
      </c>
      <c r="G13" s="26" t="s">
        <v>8</v>
      </c>
      <c r="H13" s="8">
        <v>150</v>
      </c>
      <c r="I13" s="8">
        <v>150</v>
      </c>
      <c r="J13" s="2"/>
      <c r="K13" s="89" t="s">
        <v>22</v>
      </c>
      <c r="L13" s="90"/>
      <c r="M13" s="91"/>
      <c r="R13" s="1">
        <f>IF(vend25[[#This Row],[Nº Venda]]&gt;1,1,0)</f>
        <v>1</v>
      </c>
    </row>
    <row r="14" spans="2:18" ht="15.75" x14ac:dyDescent="0.25">
      <c r="B14" s="30" t="s">
        <v>9</v>
      </c>
      <c r="C14" s="31">
        <f t="shared" si="0"/>
        <v>2962</v>
      </c>
      <c r="D14" s="2"/>
      <c r="E14" s="18">
        <v>8583</v>
      </c>
      <c r="F14" s="25" t="s">
        <v>269</v>
      </c>
      <c r="G14" s="26" t="s">
        <v>6</v>
      </c>
      <c r="H14" s="8">
        <v>125</v>
      </c>
      <c r="I14" s="8">
        <v>125</v>
      </c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1</v>
      </c>
    </row>
    <row r="15" spans="2:18" ht="15.75" x14ac:dyDescent="0.25">
      <c r="B15" s="30" t="s">
        <v>10</v>
      </c>
      <c r="C15" s="31">
        <f t="shared" si="0"/>
        <v>128</v>
      </c>
      <c r="D15" s="2"/>
      <c r="E15" s="18">
        <v>8584</v>
      </c>
      <c r="F15" s="25" t="s">
        <v>270</v>
      </c>
      <c r="G15" s="26" t="s">
        <v>7</v>
      </c>
      <c r="H15" s="8">
        <v>100</v>
      </c>
      <c r="I15" s="8">
        <v>100</v>
      </c>
      <c r="J15" s="2"/>
      <c r="K15" s="25"/>
      <c r="L15" s="9"/>
      <c r="M15" s="16"/>
      <c r="R15" s="1">
        <f>IF(vend25[[#This Row],[Nº Venda]]&gt;1,1,0)</f>
        <v>1</v>
      </c>
    </row>
    <row r="16" spans="2:18" ht="15.75" x14ac:dyDescent="0.25">
      <c r="B16" s="28" t="s">
        <v>11</v>
      </c>
      <c r="C16" s="32">
        <f>SUM(C11:C15)</f>
        <v>3660.99</v>
      </c>
      <c r="D16" s="2"/>
      <c r="E16" s="18">
        <v>8585</v>
      </c>
      <c r="F16" s="25" t="s">
        <v>271</v>
      </c>
      <c r="G16" s="26" t="s">
        <v>9</v>
      </c>
      <c r="H16" s="8">
        <v>503</v>
      </c>
      <c r="I16" s="8">
        <v>500</v>
      </c>
      <c r="J16" s="2"/>
      <c r="K16" s="25"/>
      <c r="L16" s="9"/>
      <c r="M16" s="16"/>
      <c r="R16" s="1">
        <f>IF(vend25[[#This Row],[Nº Venda]]&gt;1,1,0)</f>
        <v>1</v>
      </c>
    </row>
    <row r="17" spans="2:18" ht="15.75" x14ac:dyDescent="0.25">
      <c r="B17" s="2"/>
      <c r="C17" s="2"/>
      <c r="D17" s="2"/>
      <c r="E17" s="18">
        <v>8585</v>
      </c>
      <c r="F17" s="25" t="s">
        <v>271</v>
      </c>
      <c r="G17" s="26" t="s">
        <v>7</v>
      </c>
      <c r="H17" s="8"/>
      <c r="I17" s="8">
        <v>3</v>
      </c>
      <c r="J17" s="2"/>
      <c r="K17" s="25"/>
      <c r="L17" s="9"/>
      <c r="M17" s="16"/>
      <c r="R17" s="1">
        <f>IF(vend25[[#This Row],[Nº Venda]]&gt;1,1,0)</f>
        <v>1</v>
      </c>
    </row>
    <row r="18" spans="2:18" ht="15.75" x14ac:dyDescent="0.25">
      <c r="B18" s="87" t="s">
        <v>12</v>
      </c>
      <c r="C18" s="8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75" x14ac:dyDescent="0.25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3439.99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8001</v>
      </c>
      <c r="F35" s="25" t="s">
        <v>272</v>
      </c>
      <c r="G35" s="26" t="s">
        <v>10</v>
      </c>
      <c r="H35" s="8">
        <v>128</v>
      </c>
      <c r="I35" s="8" t="s">
        <v>41</v>
      </c>
      <c r="K35" s="25"/>
      <c r="L35" s="41"/>
      <c r="M35" s="16"/>
    </row>
    <row r="36" spans="2:18" ht="15.75" x14ac:dyDescent="0.25">
      <c r="E36" s="18">
        <v>8248</v>
      </c>
      <c r="F36" s="25" t="s">
        <v>273</v>
      </c>
      <c r="G36" s="26" t="s">
        <v>7</v>
      </c>
      <c r="H36" s="8">
        <v>93</v>
      </c>
      <c r="I36" s="8" t="s">
        <v>108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topLeftCell="A15" zoomScale="80" zoomScaleNormal="80" workbookViewId="0">
      <selection activeCell="I21" sqref="I21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0">
        <f>'25'!B1+1</f>
        <v>45317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5" t="s">
        <v>1</v>
      </c>
      <c r="F4" s="95"/>
      <c r="G4" s="95"/>
      <c r="H4" s="95"/>
      <c r="I4" s="95"/>
      <c r="J4" s="22"/>
      <c r="K4" s="89" t="s">
        <v>3</v>
      </c>
      <c r="L4" s="90"/>
      <c r="M4" s="91"/>
    </row>
    <row r="5" spans="2:18" ht="15" x14ac:dyDescent="0.25">
      <c r="B5" s="23" t="s">
        <v>1</v>
      </c>
      <c r="C5" s="24">
        <f>SUMIF(I6:I31,"&gt;0",H6:H31)</f>
        <v>1520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420</v>
      </c>
      <c r="D6" s="2"/>
      <c r="E6" s="18">
        <v>8586</v>
      </c>
      <c r="F6" s="25" t="s">
        <v>274</v>
      </c>
      <c r="G6" s="26" t="s">
        <v>9</v>
      </c>
      <c r="H6" s="8">
        <v>470</v>
      </c>
      <c r="I6" s="8">
        <v>150</v>
      </c>
      <c r="J6" s="2"/>
      <c r="K6" s="25"/>
      <c r="L6" s="9"/>
      <c r="M6" s="16"/>
      <c r="R6" s="1">
        <f>IF(vend26[[#This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8586</v>
      </c>
      <c r="F7" s="25" t="s">
        <v>274</v>
      </c>
      <c r="G7" s="26" t="s">
        <v>9</v>
      </c>
      <c r="H7" s="8"/>
      <c r="I7" s="8">
        <v>140</v>
      </c>
      <c r="J7" s="2"/>
      <c r="K7" s="25"/>
      <c r="L7" s="9"/>
      <c r="M7" s="16"/>
      <c r="R7" s="1">
        <f>IF(vend26[[#This Row],[Nº Venda]]&gt;1,1,0)</f>
        <v>1</v>
      </c>
    </row>
    <row r="8" spans="2:18" ht="15.75" x14ac:dyDescent="0.25">
      <c r="B8" s="28" t="s">
        <v>21</v>
      </c>
      <c r="C8" s="29">
        <f>SUM(C6:C7)</f>
        <v>420</v>
      </c>
      <c r="D8" s="2"/>
      <c r="E8" s="18">
        <v>8587</v>
      </c>
      <c r="F8" s="25" t="s">
        <v>275</v>
      </c>
      <c r="G8" s="26" t="s">
        <v>8</v>
      </c>
      <c r="H8" s="8">
        <v>900</v>
      </c>
      <c r="I8" s="8">
        <v>120</v>
      </c>
      <c r="J8" s="2"/>
      <c r="K8" s="25"/>
      <c r="L8" s="9"/>
      <c r="M8" s="16"/>
      <c r="R8" s="1">
        <f>IF(vend26[[#This Row],[Nº Venda]]&gt;1,1,0)</f>
        <v>1</v>
      </c>
    </row>
    <row r="9" spans="2:18" ht="15.75" x14ac:dyDescent="0.25">
      <c r="B9" s="2"/>
      <c r="C9" s="2"/>
      <c r="D9" s="2"/>
      <c r="E9" s="18">
        <v>8588</v>
      </c>
      <c r="F9" s="25" t="s">
        <v>276</v>
      </c>
      <c r="G9" s="26" t="s">
        <v>6</v>
      </c>
      <c r="H9" s="8">
        <v>150</v>
      </c>
      <c r="I9" s="8">
        <v>10</v>
      </c>
      <c r="J9" s="2"/>
      <c r="K9" s="25"/>
      <c r="L9" s="9"/>
      <c r="M9" s="16"/>
      <c r="R9" s="1">
        <f>IF(vend26[[#This Row],[Nº Venda]]&gt;1,1,0)</f>
        <v>1</v>
      </c>
    </row>
    <row r="10" spans="2:18" ht="15.75" x14ac:dyDescent="0.25">
      <c r="B10" s="87" t="s">
        <v>5</v>
      </c>
      <c r="C10" s="8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260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30" t="s">
        <v>8</v>
      </c>
      <c r="C13" s="31">
        <f t="shared" si="0"/>
        <v>120</v>
      </c>
      <c r="D13" s="2"/>
      <c r="E13" s="18"/>
      <c r="F13" s="25"/>
      <c r="G13" s="26"/>
      <c r="H13" s="8"/>
      <c r="I13" s="8"/>
      <c r="J13" s="2"/>
      <c r="K13" s="89" t="s">
        <v>22</v>
      </c>
      <c r="L13" s="90"/>
      <c r="M13" s="91"/>
      <c r="R13" s="1">
        <f>IF(vend26[[#This Row],[Nº Venda]]&gt;1,1,0)</f>
        <v>0</v>
      </c>
    </row>
    <row r="14" spans="2:18" ht="15.75" x14ac:dyDescent="0.25">
      <c r="B14" s="30" t="s">
        <v>9</v>
      </c>
      <c r="C14" s="31">
        <f t="shared" si="0"/>
        <v>290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0</v>
      </c>
    </row>
    <row r="15" spans="2:18" ht="15.75" x14ac:dyDescent="0.25">
      <c r="B15" s="30" t="s">
        <v>10</v>
      </c>
      <c r="C15" s="31">
        <f t="shared" si="0"/>
        <v>252.5</v>
      </c>
      <c r="D15" s="2"/>
      <c r="E15" s="18"/>
      <c r="F15" s="25"/>
      <c r="G15" s="26"/>
      <c r="H15" s="8"/>
      <c r="I15" s="8"/>
      <c r="J15" s="2"/>
      <c r="K15" s="71">
        <v>8372</v>
      </c>
      <c r="L15" s="9" t="s">
        <v>132</v>
      </c>
      <c r="M15" s="16" t="s">
        <v>38</v>
      </c>
      <c r="R15" s="1">
        <f>IF(vend26[[#This Row],[Nº Venda]]&gt;1,1,0)</f>
        <v>0</v>
      </c>
    </row>
    <row r="16" spans="2:18" ht="15.75" x14ac:dyDescent="0.25">
      <c r="B16" s="28" t="s">
        <v>11</v>
      </c>
      <c r="C16" s="32">
        <f>SUM(C11:C15)</f>
        <v>922.5</v>
      </c>
      <c r="D16" s="2"/>
      <c r="E16" s="18"/>
      <c r="F16" s="25"/>
      <c r="G16" s="26"/>
      <c r="H16" s="8"/>
      <c r="I16" s="8"/>
      <c r="J16" s="2"/>
      <c r="K16" s="25">
        <v>8442</v>
      </c>
      <c r="L16" s="9" t="s">
        <v>132</v>
      </c>
      <c r="M16" s="16" t="s">
        <v>38</v>
      </c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8494</v>
      </c>
      <c r="L17" s="9" t="s">
        <v>132</v>
      </c>
      <c r="M17" s="16" t="s">
        <v>38</v>
      </c>
      <c r="R17" s="1">
        <f>IF(vend26[[#This Row],[Nº Venda]]&gt;1,1,0)</f>
        <v>0</v>
      </c>
    </row>
    <row r="18" spans="2:18" ht="15.75" x14ac:dyDescent="0.25">
      <c r="B18" s="87" t="s">
        <v>12</v>
      </c>
      <c r="C18" s="87"/>
      <c r="D18" s="2"/>
      <c r="E18" s="18"/>
      <c r="F18" s="25"/>
      <c r="G18" s="26"/>
      <c r="H18" s="8"/>
      <c r="I18" s="8"/>
      <c r="J18" s="2"/>
      <c r="K18" s="25">
        <v>8516</v>
      </c>
      <c r="L18" s="9" t="s">
        <v>174</v>
      </c>
      <c r="M18" s="16" t="s">
        <v>173</v>
      </c>
      <c r="R18" s="1">
        <f>IF(vend26[[#This Row],[Nº Venda]]&gt;1,1,0)</f>
        <v>0</v>
      </c>
    </row>
    <row r="19" spans="2:18" ht="15.75" x14ac:dyDescent="0.25">
      <c r="B19" s="30">
        <f>COUNT(entr_carn26[OS])</f>
        <v>1</v>
      </c>
      <c r="C19" s="31">
        <f>SUM(entr_carn26[Valor Total])</f>
        <v>294</v>
      </c>
      <c r="D19" s="2"/>
      <c r="E19" s="18"/>
      <c r="F19" s="25"/>
      <c r="G19" s="26"/>
      <c r="H19" s="8"/>
      <c r="I19" s="8"/>
      <c r="J19" s="2"/>
      <c r="K19" s="25">
        <v>8517</v>
      </c>
      <c r="L19" s="9" t="s">
        <v>174</v>
      </c>
      <c r="M19" s="16" t="s">
        <v>38</v>
      </c>
      <c r="R19" s="1">
        <f>IF(vend26[[#This Row],[Nº Venda]]&gt;1,1,0)</f>
        <v>0</v>
      </c>
    </row>
    <row r="20" spans="2:18" ht="15.75" x14ac:dyDescent="0.25">
      <c r="B20" s="28" t="s">
        <v>11</v>
      </c>
      <c r="C20" s="32">
        <f>SUM(C19:C19)</f>
        <v>294</v>
      </c>
      <c r="D20" s="2"/>
      <c r="E20" s="18"/>
      <c r="F20" s="26"/>
      <c r="G20" s="26"/>
      <c r="H20" s="8"/>
      <c r="I20" s="8"/>
      <c r="J20" s="2"/>
      <c r="K20" s="25">
        <v>8527</v>
      </c>
      <c r="L20" s="9" t="s">
        <v>132</v>
      </c>
      <c r="M20" s="16" t="s">
        <v>38</v>
      </c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>
        <v>8540</v>
      </c>
      <c r="L21" s="9" t="s">
        <v>174</v>
      </c>
      <c r="M21" s="16" t="s">
        <v>38</v>
      </c>
    </row>
    <row r="22" spans="2:18" ht="15.75" x14ac:dyDescent="0.25">
      <c r="B22" s="28" t="s">
        <v>26</v>
      </c>
      <c r="C22" s="32">
        <f>C5</f>
        <v>1520</v>
      </c>
      <c r="D22" s="2"/>
      <c r="E22" s="18"/>
      <c r="F22" s="25"/>
      <c r="G22" s="26"/>
      <c r="H22" s="8"/>
      <c r="I22" s="8"/>
      <c r="J22" s="2"/>
      <c r="K22" s="25">
        <v>8544</v>
      </c>
      <c r="L22" s="9" t="s">
        <v>174</v>
      </c>
      <c r="M22" s="16" t="s">
        <v>38</v>
      </c>
    </row>
    <row r="23" spans="2:18" ht="15" x14ac:dyDescent="0.25">
      <c r="B23" s="2"/>
      <c r="C23" s="2"/>
      <c r="D23" s="2"/>
      <c r="E23" s="33"/>
      <c r="H23" s="7"/>
      <c r="J23" s="2"/>
      <c r="K23" s="25">
        <v>8572</v>
      </c>
      <c r="L23" s="9" t="s">
        <v>132</v>
      </c>
      <c r="M23" s="16" t="s">
        <v>38</v>
      </c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25">
        <v>8573</v>
      </c>
      <c r="L24" s="9" t="s">
        <v>174</v>
      </c>
      <c r="M24" s="16" t="s">
        <v>38</v>
      </c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>
        <v>8576</v>
      </c>
      <c r="L25" s="9" t="s">
        <v>132</v>
      </c>
      <c r="M25" s="16" t="s">
        <v>38</v>
      </c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>
        <v>8581</v>
      </c>
      <c r="L26" s="9" t="s">
        <v>174</v>
      </c>
      <c r="M26" s="16" t="s">
        <v>38</v>
      </c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>
        <v>8582</v>
      </c>
      <c r="L27" s="9" t="s">
        <v>132</v>
      </c>
      <c r="M27" s="16" t="s">
        <v>38</v>
      </c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>
        <v>8583</v>
      </c>
      <c r="L28" s="9" t="s">
        <v>174</v>
      </c>
      <c r="M28" s="16" t="s">
        <v>38</v>
      </c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>
        <v>8584</v>
      </c>
      <c r="L29" s="9" t="s">
        <v>174</v>
      </c>
      <c r="M29" s="16" t="s">
        <v>38</v>
      </c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2058210</v>
      </c>
      <c r="F35" s="25" t="s">
        <v>277</v>
      </c>
      <c r="G35" s="26" t="s">
        <v>6</v>
      </c>
      <c r="H35" s="8">
        <v>200</v>
      </c>
      <c r="I35" s="8" t="s">
        <v>278</v>
      </c>
      <c r="K35" s="25">
        <v>8516</v>
      </c>
      <c r="L35" s="41">
        <v>1</v>
      </c>
      <c r="M35" s="16">
        <v>294</v>
      </c>
    </row>
    <row r="36" spans="2:18" ht="15.75" x14ac:dyDescent="0.25">
      <c r="E36" s="18">
        <v>8401</v>
      </c>
      <c r="F36" s="25" t="s">
        <v>279</v>
      </c>
      <c r="G36" s="26" t="s">
        <v>6</v>
      </c>
      <c r="H36" s="8">
        <v>50</v>
      </c>
      <c r="I36" s="8" t="s">
        <v>194</v>
      </c>
      <c r="K36" s="25"/>
      <c r="L36" s="41"/>
      <c r="M36" s="16"/>
    </row>
    <row r="37" spans="2:18" ht="15.75" x14ac:dyDescent="0.25">
      <c r="E37" s="18">
        <v>2076938</v>
      </c>
      <c r="F37" s="25" t="s">
        <v>44</v>
      </c>
      <c r="G37" s="26" t="s">
        <v>10</v>
      </c>
      <c r="H37" s="8">
        <v>30</v>
      </c>
      <c r="I37" s="8" t="s">
        <v>280</v>
      </c>
      <c r="K37" s="25"/>
      <c r="L37" s="41"/>
      <c r="M37" s="16"/>
    </row>
    <row r="38" spans="2:18" ht="15.75" x14ac:dyDescent="0.25">
      <c r="E38" s="18">
        <v>2065135</v>
      </c>
      <c r="F38" s="25" t="s">
        <v>281</v>
      </c>
      <c r="G38" s="26" t="s">
        <v>10</v>
      </c>
      <c r="H38" s="8">
        <v>97.5</v>
      </c>
      <c r="I38" s="8" t="s">
        <v>53</v>
      </c>
      <c r="K38" s="25"/>
      <c r="L38" s="41"/>
      <c r="M38" s="16"/>
    </row>
    <row r="39" spans="2:18" ht="15.75" x14ac:dyDescent="0.25">
      <c r="E39" s="18">
        <v>7641</v>
      </c>
      <c r="F39" s="39" t="s">
        <v>282</v>
      </c>
      <c r="G39" s="26" t="s">
        <v>10</v>
      </c>
      <c r="H39" s="8">
        <v>125</v>
      </c>
      <c r="I39" s="8" t="s">
        <v>145</v>
      </c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4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topLeftCell="A5" zoomScale="80" zoomScaleNormal="80" workbookViewId="0">
      <selection activeCell="K20" sqref="K20"/>
    </sheetView>
  </sheetViews>
  <sheetFormatPr defaultColWidth="9.140625" defaultRowHeight="12.75" x14ac:dyDescent="0.2"/>
  <cols>
    <col min="1" max="1" width="3.7109375" style="1" customWidth="1"/>
    <col min="2" max="2" width="27.7109375" style="1" bestFit="1" customWidth="1"/>
    <col min="3" max="3" width="15.140625" style="1" bestFit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0">
        <f>'26'!B1+1</f>
        <v>45318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5" t="s">
        <v>1</v>
      </c>
      <c r="F4" s="95"/>
      <c r="G4" s="95"/>
      <c r="H4" s="95"/>
      <c r="I4" s="95"/>
      <c r="J4" s="22"/>
      <c r="K4" s="89" t="s">
        <v>3</v>
      </c>
      <c r="L4" s="90"/>
      <c r="M4" s="91"/>
    </row>
    <row r="5" spans="2:18" ht="15" x14ac:dyDescent="0.25">
      <c r="B5" s="23" t="s">
        <v>1</v>
      </c>
      <c r="C5" s="24">
        <f>SUMIF(I6:I31,"&gt;0",H6:H31)</f>
        <v>11756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8690</v>
      </c>
      <c r="D6" s="2"/>
      <c r="E6" s="18">
        <v>8589</v>
      </c>
      <c r="F6" s="25" t="s">
        <v>283</v>
      </c>
      <c r="G6" s="26" t="s">
        <v>9</v>
      </c>
      <c r="H6" s="8">
        <v>3300</v>
      </c>
      <c r="I6" s="8">
        <v>3300</v>
      </c>
      <c r="J6" s="2"/>
      <c r="K6" s="25">
        <v>0</v>
      </c>
      <c r="L6" s="9"/>
      <c r="M6" s="16"/>
      <c r="R6" s="1">
        <f>IF(vend27[[#This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8590</v>
      </c>
      <c r="F7" s="25" t="s">
        <v>283</v>
      </c>
      <c r="G7" s="26" t="s">
        <v>9</v>
      </c>
      <c r="H7" s="8">
        <v>890</v>
      </c>
      <c r="I7" s="8">
        <v>890</v>
      </c>
      <c r="J7" s="2"/>
      <c r="K7" s="25"/>
      <c r="L7" s="9"/>
      <c r="M7" s="16"/>
      <c r="R7" s="1">
        <f>IF(vend27[[#This Row],[Nº Venda]]&gt;1,1,0)</f>
        <v>1</v>
      </c>
    </row>
    <row r="8" spans="2:18" ht="15.75" x14ac:dyDescent="0.25">
      <c r="B8" s="28" t="s">
        <v>21</v>
      </c>
      <c r="C8" s="29">
        <f>SUM(C6:C7)</f>
        <v>8690</v>
      </c>
      <c r="D8" s="2"/>
      <c r="E8" s="18">
        <v>8591</v>
      </c>
      <c r="F8" s="25" t="s">
        <v>284</v>
      </c>
      <c r="G8" s="26" t="s">
        <v>9</v>
      </c>
      <c r="H8" s="8">
        <v>1900</v>
      </c>
      <c r="I8" s="8">
        <v>484</v>
      </c>
      <c r="J8" s="2"/>
      <c r="K8" s="25"/>
      <c r="L8" s="9"/>
      <c r="M8" s="16"/>
      <c r="R8" s="1">
        <f>IF(vend27[[#This Row],[Nº Venda]]&gt;1,1,0)</f>
        <v>1</v>
      </c>
    </row>
    <row r="9" spans="2:18" ht="15.75" x14ac:dyDescent="0.25">
      <c r="B9" s="2"/>
      <c r="C9" s="2"/>
      <c r="D9" s="2"/>
      <c r="E9" s="18">
        <v>8592</v>
      </c>
      <c r="F9" s="25" t="s">
        <v>284</v>
      </c>
      <c r="G9" s="26" t="s">
        <v>9</v>
      </c>
      <c r="H9" s="8">
        <v>305</v>
      </c>
      <c r="I9" s="8">
        <v>305</v>
      </c>
      <c r="J9" s="2"/>
      <c r="K9" s="25"/>
      <c r="L9" s="9"/>
      <c r="M9" s="16"/>
      <c r="R9" s="1">
        <f>IF(vend27[[#This Row],[Nº Venda]]&gt;1,1,0)</f>
        <v>1</v>
      </c>
    </row>
    <row r="10" spans="2:18" ht="15.75" x14ac:dyDescent="0.25">
      <c r="B10" s="87" t="s">
        <v>5</v>
      </c>
      <c r="C10" s="87"/>
      <c r="D10" s="2"/>
      <c r="E10" s="18">
        <v>8593</v>
      </c>
      <c r="F10" s="25" t="s">
        <v>284</v>
      </c>
      <c r="G10" s="26" t="s">
        <v>9</v>
      </c>
      <c r="H10" s="8">
        <v>1300</v>
      </c>
      <c r="I10" s="8">
        <v>1300</v>
      </c>
      <c r="J10" s="2"/>
      <c r="K10" s="25"/>
      <c r="L10" s="9"/>
      <c r="M10" s="16"/>
      <c r="R10" s="1">
        <f>IF(vend27[[#This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>
        <v>8594</v>
      </c>
      <c r="F11" s="25" t="s">
        <v>284</v>
      </c>
      <c r="G11" s="26" t="s">
        <v>9</v>
      </c>
      <c r="H11" s="8">
        <v>311</v>
      </c>
      <c r="I11" s="8">
        <v>311</v>
      </c>
      <c r="J11" s="2"/>
      <c r="K11" s="27"/>
      <c r="L11" s="9"/>
      <c r="M11" s="16"/>
      <c r="O11" s="1">
        <f>IF(C16=0,0,1)</f>
        <v>1</v>
      </c>
      <c r="R11" s="1">
        <f>IF(vend27[[#This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1500</v>
      </c>
      <c r="D12" s="2"/>
      <c r="E12" s="18">
        <v>8595</v>
      </c>
      <c r="F12" s="25" t="s">
        <v>284</v>
      </c>
      <c r="G12" s="26" t="s">
        <v>47</v>
      </c>
      <c r="H12" s="8">
        <v>0</v>
      </c>
      <c r="I12" s="8">
        <v>0</v>
      </c>
      <c r="J12" s="2"/>
      <c r="R12" s="1">
        <f>IF(vend27[[#This Row],[Nº Venda]]&gt;1,1,0)</f>
        <v>1</v>
      </c>
    </row>
    <row r="13" spans="2:18" ht="15.75" x14ac:dyDescent="0.25">
      <c r="B13" s="30" t="s">
        <v>8</v>
      </c>
      <c r="C13" s="31">
        <f t="shared" si="0"/>
        <v>200</v>
      </c>
      <c r="D13" s="2"/>
      <c r="E13" s="18">
        <v>8596</v>
      </c>
      <c r="F13" s="25" t="s">
        <v>285</v>
      </c>
      <c r="G13" s="26" t="s">
        <v>8</v>
      </c>
      <c r="H13" s="8">
        <v>300</v>
      </c>
      <c r="I13" s="8">
        <v>100</v>
      </c>
      <c r="J13" s="2"/>
      <c r="K13" s="89" t="s">
        <v>22</v>
      </c>
      <c r="L13" s="90"/>
      <c r="M13" s="91"/>
      <c r="R13" s="1">
        <f>IF(vend27[[#This Row],[Nº Venda]]&gt;1,1,0)</f>
        <v>1</v>
      </c>
    </row>
    <row r="14" spans="2:18" ht="15.75" x14ac:dyDescent="0.25">
      <c r="B14" s="30" t="s">
        <v>9</v>
      </c>
      <c r="C14" s="31">
        <f t="shared" si="0"/>
        <v>6990</v>
      </c>
      <c r="D14" s="2"/>
      <c r="E14" s="18">
        <v>8597</v>
      </c>
      <c r="F14" s="25" t="s">
        <v>286</v>
      </c>
      <c r="G14" s="26" t="s">
        <v>9</v>
      </c>
      <c r="H14" s="8">
        <v>400</v>
      </c>
      <c r="I14" s="8">
        <v>400</v>
      </c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1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>
        <v>8598</v>
      </c>
      <c r="F15" s="25" t="s">
        <v>287</v>
      </c>
      <c r="G15" s="26" t="s">
        <v>7</v>
      </c>
      <c r="H15" s="8">
        <v>2550</v>
      </c>
      <c r="I15" s="8">
        <v>1200</v>
      </c>
      <c r="J15" s="2"/>
      <c r="K15" s="25">
        <v>8556</v>
      </c>
      <c r="L15" s="9" t="s">
        <v>174</v>
      </c>
      <c r="M15" s="16" t="s">
        <v>38</v>
      </c>
      <c r="R15" s="1">
        <f>IF(vend27[[#This Row],[Nº Venda]]&gt;1,1,0)</f>
        <v>1</v>
      </c>
    </row>
    <row r="16" spans="2:18" ht="15.75" x14ac:dyDescent="0.25">
      <c r="B16" s="28" t="s">
        <v>11</v>
      </c>
      <c r="C16" s="32">
        <f>SUM(C11:C15)</f>
        <v>8690</v>
      </c>
      <c r="D16" s="2"/>
      <c r="E16" s="18">
        <v>8599</v>
      </c>
      <c r="F16" s="25" t="s">
        <v>287</v>
      </c>
      <c r="G16" s="26" t="s">
        <v>7</v>
      </c>
      <c r="H16" s="8">
        <v>400</v>
      </c>
      <c r="I16" s="8">
        <v>300</v>
      </c>
      <c r="J16" s="2"/>
      <c r="K16" s="25">
        <v>8466</v>
      </c>
      <c r="L16" s="9" t="s">
        <v>52</v>
      </c>
      <c r="M16" s="81" t="s">
        <v>38</v>
      </c>
      <c r="R16" s="1">
        <f>IF(vend27[[#This Row],[Nº Venda]]&gt;1,1,0)</f>
        <v>1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IF(vend27[[#This Row],[Nº Venda]]&gt;1,1,0)</f>
        <v>0</v>
      </c>
    </row>
    <row r="18" spans="2:18" ht="15.75" x14ac:dyDescent="0.25">
      <c r="B18" s="87" t="s">
        <v>12</v>
      </c>
      <c r="C18" s="8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IF(vend27[[#This Row],[Nº Venda]]&gt;1,1,0)</f>
        <v>0</v>
      </c>
    </row>
    <row r="19" spans="2:18" ht="15.75" x14ac:dyDescent="0.25">
      <c r="B19" s="30">
        <f>COUNT(entr_carn27[OS])</f>
        <v>0</v>
      </c>
      <c r="C19" s="31">
        <f>SUM(entr_carn27[Valor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11756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8578</v>
      </c>
      <c r="F26" s="25" t="s">
        <v>288</v>
      </c>
      <c r="G26" s="26" t="s">
        <v>8</v>
      </c>
      <c r="H26" s="8">
        <v>100</v>
      </c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topLeftCell="A5" zoomScale="80" zoomScaleNormal="80" workbookViewId="0">
      <selection activeCell="K6" sqref="K6:M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'27'!B1+1</f>
        <v>45319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5" t="s">
        <v>1</v>
      </c>
      <c r="F4" s="95"/>
      <c r="G4" s="95"/>
      <c r="H4" s="95"/>
      <c r="I4" s="95"/>
      <c r="J4" s="22"/>
      <c r="K4" s="89" t="s">
        <v>3</v>
      </c>
      <c r="L4" s="90"/>
      <c r="M4" s="91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IF(vend28[[#This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 x14ac:dyDescent="0.25">
      <c r="B10" s="87" t="s">
        <v>5</v>
      </c>
      <c r="C10" s="87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9" t="s">
        <v>22</v>
      </c>
      <c r="L13" s="90"/>
      <c r="M13" s="91"/>
      <c r="R13" s="1">
        <f>IF(vend28[[#This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IF(vend28[[#This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75" x14ac:dyDescent="0.25">
      <c r="B18" s="87" t="s">
        <v>12</v>
      </c>
      <c r="C18" s="8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 x14ac:dyDescent="0.2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topLeftCell="A12" zoomScale="80" zoomScaleNormal="80" workbookViewId="0">
      <selection activeCell="F16" sqref="F16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0">
        <f>'28'!B1+1</f>
        <v>45320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5" t="s">
        <v>1</v>
      </c>
      <c r="F4" s="95"/>
      <c r="G4" s="95"/>
      <c r="H4" s="95"/>
      <c r="I4" s="95"/>
      <c r="J4" s="22"/>
      <c r="K4" s="89" t="s">
        <v>3</v>
      </c>
      <c r="L4" s="90"/>
      <c r="M4" s="91"/>
    </row>
    <row r="5" spans="2:18" ht="15" x14ac:dyDescent="0.25">
      <c r="B5" s="23" t="s">
        <v>1</v>
      </c>
      <c r="C5" s="24">
        <f>SUMIF(I6:I31,"&gt;0",H6:H31)</f>
        <v>5443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6609</v>
      </c>
      <c r="D6" s="2"/>
      <c r="E6" s="18">
        <v>8600</v>
      </c>
      <c r="F6" s="25" t="s">
        <v>289</v>
      </c>
      <c r="G6" s="26" t="s">
        <v>9</v>
      </c>
      <c r="H6" s="8">
        <v>500</v>
      </c>
      <c r="I6" s="8">
        <v>500</v>
      </c>
      <c r="J6" s="2"/>
      <c r="K6" s="25"/>
      <c r="L6" s="9"/>
      <c r="M6" s="16"/>
      <c r="R6" s="1">
        <f>IF(vend29[[#This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8601</v>
      </c>
      <c r="F7" s="25" t="s">
        <v>289</v>
      </c>
      <c r="G7" s="26" t="s">
        <v>9</v>
      </c>
      <c r="H7" s="8">
        <v>475</v>
      </c>
      <c r="I7" s="8">
        <v>475</v>
      </c>
      <c r="J7" s="2"/>
      <c r="K7" s="25"/>
      <c r="L7" s="9"/>
      <c r="M7" s="16"/>
      <c r="R7" s="1">
        <f>IF(vend29[[#This Row],[Nº Venda]]&gt;1,1,0)</f>
        <v>1</v>
      </c>
    </row>
    <row r="8" spans="2:18" ht="15.75" x14ac:dyDescent="0.25">
      <c r="B8" s="28" t="s">
        <v>21</v>
      </c>
      <c r="C8" s="29">
        <f>SUM(C6:C7)</f>
        <v>6609</v>
      </c>
      <c r="D8" s="2"/>
      <c r="E8" s="18">
        <v>8602</v>
      </c>
      <c r="F8" s="25" t="s">
        <v>290</v>
      </c>
      <c r="G8" s="26" t="s">
        <v>9</v>
      </c>
      <c r="H8" s="8">
        <v>300</v>
      </c>
      <c r="I8" s="8">
        <v>300</v>
      </c>
      <c r="J8" s="2"/>
      <c r="K8" s="25"/>
      <c r="L8" s="9"/>
      <c r="M8" s="16"/>
      <c r="R8" s="1">
        <f>IF(vend29[[#This Row],[Nº Venda]]&gt;1,1,0)</f>
        <v>1</v>
      </c>
    </row>
    <row r="9" spans="2:18" ht="15.75" x14ac:dyDescent="0.25">
      <c r="B9" s="2"/>
      <c r="C9" s="2"/>
      <c r="D9" s="2"/>
      <c r="E9" s="18">
        <v>8603</v>
      </c>
      <c r="F9" s="25" t="s">
        <v>291</v>
      </c>
      <c r="G9" s="26" t="s">
        <v>9</v>
      </c>
      <c r="H9" s="8">
        <v>1328</v>
      </c>
      <c r="I9" s="8">
        <v>1328</v>
      </c>
      <c r="J9" s="2"/>
      <c r="K9" s="25"/>
      <c r="L9" s="9"/>
      <c r="M9" s="16"/>
      <c r="R9" s="1">
        <f>IF(vend29[[#This Row],[Nº Venda]]&gt;1,1,0)</f>
        <v>1</v>
      </c>
    </row>
    <row r="10" spans="2:18" ht="15.75" x14ac:dyDescent="0.25">
      <c r="B10" s="87" t="s">
        <v>5</v>
      </c>
      <c r="C10" s="87"/>
      <c r="D10" s="2"/>
      <c r="E10" s="18">
        <v>8604</v>
      </c>
      <c r="F10" s="25" t="s">
        <v>290</v>
      </c>
      <c r="G10" s="26" t="s">
        <v>9</v>
      </c>
      <c r="H10" s="8">
        <v>450</v>
      </c>
      <c r="I10" s="8">
        <v>450</v>
      </c>
      <c r="J10" s="2"/>
      <c r="K10" s="25"/>
      <c r="L10" s="9"/>
      <c r="M10" s="16"/>
      <c r="R10" s="1">
        <f>IF(vend29[[#This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140</v>
      </c>
      <c r="D11" s="2"/>
      <c r="E11" s="18">
        <v>8605</v>
      </c>
      <c r="F11" s="25" t="s">
        <v>292</v>
      </c>
      <c r="G11" s="26" t="s">
        <v>7</v>
      </c>
      <c r="H11" s="8">
        <v>350</v>
      </c>
      <c r="I11" s="8">
        <v>100</v>
      </c>
      <c r="J11" s="2"/>
      <c r="K11" s="27"/>
      <c r="L11" s="9"/>
      <c r="M11" s="16"/>
      <c r="O11" s="1">
        <f>IF(C16=0,0,1)</f>
        <v>1</v>
      </c>
      <c r="R11" s="1">
        <f>IF(vend29[[#This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300</v>
      </c>
      <c r="D12" s="2"/>
      <c r="E12" s="18">
        <v>8606</v>
      </c>
      <c r="F12" s="25" t="s">
        <v>293</v>
      </c>
      <c r="G12" s="26" t="s">
        <v>7</v>
      </c>
      <c r="H12" s="8">
        <v>200</v>
      </c>
      <c r="I12" s="8">
        <v>200</v>
      </c>
      <c r="J12" s="2"/>
      <c r="R12" s="1">
        <f>IF(vend29[[#This Row],[Nº Venda]]&gt;1,1,0)</f>
        <v>1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>
        <v>8607</v>
      </c>
      <c r="F13" s="25" t="s">
        <v>294</v>
      </c>
      <c r="G13" s="26" t="s">
        <v>9</v>
      </c>
      <c r="H13" s="8">
        <v>900</v>
      </c>
      <c r="I13" s="8">
        <v>900</v>
      </c>
      <c r="J13" s="2"/>
      <c r="K13" s="89" t="s">
        <v>22</v>
      </c>
      <c r="L13" s="90"/>
      <c r="M13" s="91"/>
      <c r="R13" s="1">
        <f>IF(vend29[[#This Row],[Nº Venda]]&gt;1,1,0)</f>
        <v>1</v>
      </c>
    </row>
    <row r="14" spans="2:18" ht="15.75" x14ac:dyDescent="0.25">
      <c r="B14" s="30" t="s">
        <v>9</v>
      </c>
      <c r="C14" s="31">
        <f t="shared" si="0"/>
        <v>6269</v>
      </c>
      <c r="D14" s="2"/>
      <c r="E14" s="18">
        <v>8608</v>
      </c>
      <c r="F14" s="25" t="s">
        <v>295</v>
      </c>
      <c r="G14" s="26" t="s">
        <v>9</v>
      </c>
      <c r="H14" s="8">
        <v>900</v>
      </c>
      <c r="I14" s="8">
        <v>900</v>
      </c>
      <c r="J14" s="2"/>
      <c r="K14" s="14" t="s">
        <v>23</v>
      </c>
      <c r="L14" s="6" t="s">
        <v>24</v>
      </c>
      <c r="M14" s="15" t="s">
        <v>25</v>
      </c>
      <c r="R14" s="1">
        <f>IF(vend29[[#This Row],[Nº Venda]]&gt;1,1,0)</f>
        <v>1</v>
      </c>
    </row>
    <row r="15" spans="2:18" ht="15.75" x14ac:dyDescent="0.25">
      <c r="B15" s="30" t="s">
        <v>10</v>
      </c>
      <c r="C15" s="31">
        <f t="shared" si="0"/>
        <v>125</v>
      </c>
      <c r="D15" s="2"/>
      <c r="E15" s="18">
        <v>8609</v>
      </c>
      <c r="F15" s="25" t="s">
        <v>276</v>
      </c>
      <c r="G15" s="26" t="s">
        <v>6</v>
      </c>
      <c r="H15" s="8">
        <v>40</v>
      </c>
      <c r="I15" s="8">
        <v>40</v>
      </c>
      <c r="J15" s="2"/>
      <c r="K15" s="25">
        <v>8432</v>
      </c>
      <c r="L15" s="9" t="s">
        <v>174</v>
      </c>
      <c r="M15" s="16" t="s">
        <v>38</v>
      </c>
      <c r="R15" s="1">
        <f>IF(vend29[[#This Row],[Nº Venda]]&gt;1,1,0)</f>
        <v>1</v>
      </c>
    </row>
    <row r="16" spans="2:18" ht="15.75" x14ac:dyDescent="0.25">
      <c r="B16" s="28" t="s">
        <v>11</v>
      </c>
      <c r="C16" s="32">
        <f>SUM(C11:C15)</f>
        <v>6834</v>
      </c>
      <c r="D16" s="2"/>
      <c r="E16" s="18"/>
      <c r="F16" s="25" t="s">
        <v>71</v>
      </c>
      <c r="G16" s="26"/>
      <c r="H16" s="8"/>
      <c r="I16" s="8"/>
      <c r="J16" s="2"/>
      <c r="K16" s="25">
        <v>8469</v>
      </c>
      <c r="L16" s="9" t="s">
        <v>132</v>
      </c>
      <c r="M16" s="16" t="s">
        <v>38</v>
      </c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8504</v>
      </c>
      <c r="L17" s="9" t="s">
        <v>132</v>
      </c>
      <c r="M17" s="16" t="s">
        <v>173</v>
      </c>
      <c r="R17" s="1">
        <f>IF(vend29[[#This Row],[Nº Venda]]&gt;1,1,0)</f>
        <v>0</v>
      </c>
    </row>
    <row r="18" spans="2:18" ht="15.75" x14ac:dyDescent="0.25">
      <c r="B18" s="87" t="s">
        <v>12</v>
      </c>
      <c r="C18" s="87"/>
      <c r="D18" s="2"/>
      <c r="E18" s="18"/>
      <c r="F18" s="25"/>
      <c r="G18" s="26"/>
      <c r="H18" s="8"/>
      <c r="I18" s="8"/>
      <c r="J18" s="2"/>
      <c r="K18" s="79">
        <v>8577</v>
      </c>
      <c r="L18" s="9" t="s">
        <v>174</v>
      </c>
      <c r="M18" s="16" t="s">
        <v>38</v>
      </c>
      <c r="R18" s="1">
        <f>IF(vend29[[#This Row],[Nº Venda]]&gt;1,1,0)</f>
        <v>0</v>
      </c>
    </row>
    <row r="19" spans="2:18" ht="15.75" x14ac:dyDescent="0.25">
      <c r="B19" s="30">
        <f>COUNT(entr_carn29[OS])</f>
        <v>1</v>
      </c>
      <c r="C19" s="31">
        <f>SUM(entr_carn29[Valor Total])</f>
        <v>690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 x14ac:dyDescent="0.25">
      <c r="B20" s="28" t="s">
        <v>11</v>
      </c>
      <c r="C20" s="32">
        <f>SUM(C19:C19)</f>
        <v>690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5443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8591</v>
      </c>
      <c r="F26" s="25" t="s">
        <v>284</v>
      </c>
      <c r="G26" s="26" t="s">
        <v>9</v>
      </c>
      <c r="H26" s="8"/>
      <c r="I26" s="8">
        <v>1416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7641</v>
      </c>
      <c r="F35" s="25" t="s">
        <v>282</v>
      </c>
      <c r="G35" s="26" t="s">
        <v>10</v>
      </c>
      <c r="H35" s="8">
        <v>125</v>
      </c>
      <c r="I35" s="8" t="s">
        <v>296</v>
      </c>
      <c r="K35" s="71">
        <v>8504</v>
      </c>
      <c r="L35" s="41">
        <v>6</v>
      </c>
      <c r="M35" s="16">
        <v>690</v>
      </c>
    </row>
    <row r="36" spans="2:18" ht="15.75" x14ac:dyDescent="0.25">
      <c r="E36" s="18">
        <v>2095726</v>
      </c>
      <c r="F36" s="25" t="s">
        <v>297</v>
      </c>
      <c r="G36" s="26" t="s">
        <v>6</v>
      </c>
      <c r="H36" s="8">
        <v>100</v>
      </c>
      <c r="I36" s="8" t="s">
        <v>53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R41"/>
  <sheetViews>
    <sheetView showGridLines="0" topLeftCell="A10" zoomScale="80" zoomScaleNormal="80" workbookViewId="0">
      <selection activeCell="G18" sqref="G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'29'!B1+1</f>
        <v>45321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5" t="s">
        <v>1</v>
      </c>
      <c r="F4" s="95"/>
      <c r="G4" s="95"/>
      <c r="H4" s="95"/>
      <c r="I4" s="95"/>
      <c r="J4" s="22"/>
      <c r="K4" s="89" t="s">
        <v>3</v>
      </c>
      <c r="L4" s="90"/>
      <c r="M4" s="91"/>
    </row>
    <row r="5" spans="2:18" ht="15" x14ac:dyDescent="0.25">
      <c r="B5" s="23" t="s">
        <v>1</v>
      </c>
      <c r="C5" s="24">
        <f>SUMIF(I6:I31,"&gt;0",H6:H31)</f>
        <v>1359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1459</v>
      </c>
      <c r="D6" s="2"/>
      <c r="E6" s="18">
        <v>8610</v>
      </c>
      <c r="F6" s="25" t="s">
        <v>298</v>
      </c>
      <c r="G6" s="26" t="s">
        <v>49</v>
      </c>
      <c r="H6" s="8"/>
      <c r="I6" s="8"/>
      <c r="J6" s="2"/>
      <c r="K6" s="25"/>
      <c r="L6" s="9"/>
      <c r="M6" s="16"/>
      <c r="R6" s="1">
        <f>IF(vend30[[#This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8611</v>
      </c>
      <c r="F7" s="25" t="s">
        <v>299</v>
      </c>
      <c r="G7" s="26" t="s">
        <v>49</v>
      </c>
      <c r="H7" s="8"/>
      <c r="I7" s="8"/>
      <c r="J7" s="2"/>
      <c r="K7" s="25"/>
      <c r="L7" s="9"/>
      <c r="M7" s="16"/>
      <c r="R7" s="1">
        <f>IF(vend30[[#This Row],[Nº Venda]]&gt;1,1,0)</f>
        <v>1</v>
      </c>
    </row>
    <row r="8" spans="2:18" ht="15.75" x14ac:dyDescent="0.25">
      <c r="B8" s="28" t="s">
        <v>21</v>
      </c>
      <c r="C8" s="29">
        <f>SUM(C6:C7)</f>
        <v>1459</v>
      </c>
      <c r="D8" s="2"/>
      <c r="E8" s="18">
        <v>8612</v>
      </c>
      <c r="F8" s="25" t="s">
        <v>300</v>
      </c>
      <c r="G8" s="26" t="s">
        <v>47</v>
      </c>
      <c r="H8" s="8">
        <v>125</v>
      </c>
      <c r="I8" s="8"/>
      <c r="J8" s="2"/>
      <c r="K8" s="25"/>
      <c r="L8" s="9"/>
      <c r="M8" s="16"/>
      <c r="R8" s="1">
        <f>IF(vend30[[#This Row],[Nº Venda]]&gt;1,1,0)</f>
        <v>1</v>
      </c>
    </row>
    <row r="9" spans="2:18" ht="15.75" x14ac:dyDescent="0.25">
      <c r="B9" s="2"/>
      <c r="C9" s="2"/>
      <c r="D9" s="2"/>
      <c r="E9" s="18">
        <v>8613</v>
      </c>
      <c r="F9" s="25" t="s">
        <v>301</v>
      </c>
      <c r="G9" s="26" t="s">
        <v>9</v>
      </c>
      <c r="H9" s="8">
        <v>299</v>
      </c>
      <c r="I9" s="8">
        <v>299</v>
      </c>
      <c r="J9" s="2"/>
      <c r="K9" s="25"/>
      <c r="L9" s="9"/>
      <c r="M9" s="16"/>
      <c r="R9" s="1">
        <f>IF(vend30[[#This Row],[Nº Venda]]&gt;1,1,0)</f>
        <v>1</v>
      </c>
    </row>
    <row r="10" spans="2:18" ht="15.75" x14ac:dyDescent="0.25">
      <c r="B10" s="87" t="s">
        <v>5</v>
      </c>
      <c r="C10" s="87"/>
      <c r="D10" s="2"/>
      <c r="E10" s="18">
        <v>8614</v>
      </c>
      <c r="F10" s="25" t="s">
        <v>302</v>
      </c>
      <c r="G10" s="26" t="s">
        <v>7</v>
      </c>
      <c r="H10" s="8">
        <v>60</v>
      </c>
      <c r="I10" s="8">
        <v>60</v>
      </c>
      <c r="J10" s="2"/>
      <c r="K10" s="25"/>
      <c r="L10" s="9"/>
      <c r="M10" s="16"/>
      <c r="R10" s="1">
        <f>IF(vend30[[#This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>
        <v>8615</v>
      </c>
      <c r="F11" s="25" t="s">
        <v>303</v>
      </c>
      <c r="G11" s="26" t="s">
        <v>7</v>
      </c>
      <c r="H11" s="8">
        <v>1000</v>
      </c>
      <c r="I11" s="8">
        <v>1000</v>
      </c>
      <c r="J11" s="2"/>
      <c r="K11" s="27"/>
      <c r="L11" s="9"/>
      <c r="M11" s="16"/>
      <c r="O11" s="1">
        <f>IF(C16=0,0,1)</f>
        <v>1</v>
      </c>
      <c r="R11" s="1">
        <f>IF(vend30[[#This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1360</v>
      </c>
      <c r="D12" s="2"/>
      <c r="E12" s="18"/>
      <c r="F12" s="25"/>
      <c r="G12" s="26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9" t="s">
        <v>22</v>
      </c>
      <c r="L13" s="90"/>
      <c r="M13" s="91"/>
      <c r="R13" s="1">
        <f>IF(vend30[[#This Row],[Nº Venda]]&gt;1,1,0)</f>
        <v>0</v>
      </c>
    </row>
    <row r="14" spans="2:18" ht="15.75" x14ac:dyDescent="0.25">
      <c r="B14" s="30" t="s">
        <v>9</v>
      </c>
      <c r="C14" s="31">
        <f t="shared" si="0"/>
        <v>299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IF(vend30[[#This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8496</v>
      </c>
      <c r="L15" s="9" t="s">
        <v>101</v>
      </c>
      <c r="M15" s="16" t="s">
        <v>38</v>
      </c>
      <c r="R15" s="1">
        <f>IF(vend30[[#This Row],[Nº Venda]]&gt;1,1,0)</f>
        <v>0</v>
      </c>
    </row>
    <row r="16" spans="2:18" ht="15.75" x14ac:dyDescent="0.25">
      <c r="B16" s="28" t="s">
        <v>11</v>
      </c>
      <c r="C16" s="32">
        <f>SUM(C11:C15)</f>
        <v>1659</v>
      </c>
      <c r="D16" s="2"/>
      <c r="E16" s="18"/>
      <c r="F16" s="25"/>
      <c r="G16" s="26"/>
      <c r="H16" s="8"/>
      <c r="I16" s="8"/>
      <c r="J16" s="2"/>
      <c r="K16" s="25">
        <v>8529</v>
      </c>
      <c r="L16" s="9" t="s">
        <v>88</v>
      </c>
      <c r="M16" s="16" t="s">
        <v>38</v>
      </c>
      <c r="R16" s="1">
        <f>IF(vend30[[#This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8522</v>
      </c>
      <c r="L17" s="9" t="s">
        <v>88</v>
      </c>
      <c r="M17" s="16" t="s">
        <v>38</v>
      </c>
      <c r="R17" s="1">
        <f>IF(vend30[[#This Row],[Nº Venda]]&gt;1,1,0)</f>
        <v>0</v>
      </c>
    </row>
    <row r="18" spans="2:18" ht="15.75" x14ac:dyDescent="0.25">
      <c r="B18" s="87" t="s">
        <v>12</v>
      </c>
      <c r="C18" s="87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IF(vend30[[#This Row],[Nº Venda]]&gt;1,1,0)</f>
        <v>0</v>
      </c>
    </row>
    <row r="19" spans="2:18" ht="15.75" x14ac:dyDescent="0.25">
      <c r="B19" s="30">
        <f>COUNT(entr_carn30[OS])</f>
        <v>0</v>
      </c>
      <c r="C19" s="31">
        <f>SUM(entr_carn30[Valor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1359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8395</v>
      </c>
      <c r="F26" s="25" t="s">
        <v>304</v>
      </c>
      <c r="G26" s="26" t="s">
        <v>7</v>
      </c>
      <c r="H26" s="8"/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8274</v>
      </c>
      <c r="F35" s="25" t="s">
        <v>305</v>
      </c>
      <c r="G35" s="26" t="s">
        <v>7</v>
      </c>
      <c r="H35" s="8">
        <v>100</v>
      </c>
      <c r="I35" s="8" t="s">
        <v>108</v>
      </c>
      <c r="K35" s="25"/>
      <c r="L35" s="41"/>
      <c r="M35" s="16"/>
    </row>
    <row r="36" spans="2:18" ht="15.75" x14ac:dyDescent="0.25">
      <c r="E36" s="18">
        <v>8274</v>
      </c>
      <c r="F36" s="25" t="s">
        <v>305</v>
      </c>
      <c r="G36" s="26" t="s">
        <v>7</v>
      </c>
      <c r="H36" s="8">
        <v>100</v>
      </c>
      <c r="I36" s="8" t="s">
        <v>41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6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zoomScale="80" zoomScaleNormal="80" workbookViewId="0">
      <selection activeCell="F12" sqref="F12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0">
        <v>45322</v>
      </c>
    </row>
    <row r="2" spans="2:18" ht="18.75" x14ac:dyDescent="0.2">
      <c r="B2" s="92" t="s">
        <v>13</v>
      </c>
      <c r="C2" s="93"/>
      <c r="D2" s="93"/>
      <c r="E2" s="93"/>
      <c r="F2" s="93"/>
      <c r="G2" s="93"/>
      <c r="H2" s="93"/>
      <c r="I2" s="93"/>
      <c r="J2" s="93"/>
      <c r="K2" s="93"/>
      <c r="L2" s="93"/>
      <c r="M2" s="9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95" t="s">
        <v>1</v>
      </c>
      <c r="F4" s="95"/>
      <c r="G4" s="95"/>
      <c r="H4" s="95"/>
      <c r="I4" s="95"/>
      <c r="J4" s="22"/>
      <c r="K4" s="89" t="s">
        <v>3</v>
      </c>
      <c r="L4" s="90"/>
      <c r="M4" s="91"/>
    </row>
    <row r="5" spans="2:18" ht="15" x14ac:dyDescent="0.25">
      <c r="B5" s="23" t="s">
        <v>1</v>
      </c>
      <c r="C5" s="24">
        <f>SUMIF(I6:I31,"&gt;0",H6:H31)</f>
        <v>3389.9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1438.9</v>
      </c>
      <c r="D6" s="2"/>
      <c r="E6" s="84">
        <v>8616</v>
      </c>
      <c r="F6" s="71" t="s">
        <v>306</v>
      </c>
      <c r="G6" s="85" t="s">
        <v>9</v>
      </c>
      <c r="H6" s="86">
        <v>550</v>
      </c>
      <c r="I6" s="86">
        <v>550</v>
      </c>
      <c r="J6" s="2"/>
      <c r="K6" s="25"/>
      <c r="L6" s="9"/>
      <c r="M6" s="16"/>
      <c r="R6" s="1">
        <f>IF(vend31[[#This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84">
        <v>8617</v>
      </c>
      <c r="F7" s="71" t="s">
        <v>307</v>
      </c>
      <c r="G7" s="85" t="s">
        <v>9</v>
      </c>
      <c r="H7" s="86">
        <v>1250</v>
      </c>
      <c r="I7" s="86">
        <v>149</v>
      </c>
      <c r="J7" s="2"/>
      <c r="K7" s="25"/>
      <c r="L7" s="9"/>
      <c r="M7" s="16"/>
      <c r="R7" s="1">
        <f>IF(vend31[[#This Row],[Nº Venda]]&gt;1,1,0)</f>
        <v>1</v>
      </c>
    </row>
    <row r="8" spans="2:18" ht="15.75" x14ac:dyDescent="0.25">
      <c r="B8" s="28" t="s">
        <v>21</v>
      </c>
      <c r="C8" s="29">
        <f>SUM(C6:C7)</f>
        <v>1438.9</v>
      </c>
      <c r="D8" s="2"/>
      <c r="E8" s="84">
        <v>8618</v>
      </c>
      <c r="F8" s="71" t="s">
        <v>307</v>
      </c>
      <c r="G8" s="85" t="s">
        <v>9</v>
      </c>
      <c r="H8" s="86">
        <v>50</v>
      </c>
      <c r="I8" s="86">
        <v>50</v>
      </c>
      <c r="J8" s="2"/>
      <c r="K8" s="25"/>
      <c r="L8" s="9"/>
      <c r="M8" s="16"/>
      <c r="R8" s="1">
        <f>IF(vend31[[#This Row],[Nº Venda]]&gt;1,1,0)</f>
        <v>1</v>
      </c>
    </row>
    <row r="9" spans="2:18" ht="15.75" x14ac:dyDescent="0.25">
      <c r="B9" s="2"/>
      <c r="C9" s="2"/>
      <c r="D9" s="2"/>
      <c r="E9" s="18">
        <v>8619</v>
      </c>
      <c r="F9" s="25" t="s">
        <v>308</v>
      </c>
      <c r="G9" s="26" t="s">
        <v>7</v>
      </c>
      <c r="H9" s="8">
        <v>1200</v>
      </c>
      <c r="I9" s="8">
        <v>350</v>
      </c>
      <c r="J9" s="2"/>
      <c r="K9" s="25"/>
      <c r="L9" s="9"/>
      <c r="M9" s="16"/>
      <c r="R9" s="1">
        <f>IF(vend31[[#This Row],[Nº Venda]]&gt;1,1,0)</f>
        <v>1</v>
      </c>
    </row>
    <row r="10" spans="2:18" ht="15.75" x14ac:dyDescent="0.25">
      <c r="B10" s="87" t="s">
        <v>5</v>
      </c>
      <c r="C10" s="87"/>
      <c r="D10" s="2"/>
      <c r="E10" s="18">
        <v>8620</v>
      </c>
      <c r="F10" s="25" t="s">
        <v>309</v>
      </c>
      <c r="G10" s="26" t="s">
        <v>7</v>
      </c>
      <c r="H10" s="8">
        <v>39.9</v>
      </c>
      <c r="I10" s="8">
        <v>39.9</v>
      </c>
      <c r="J10" s="2"/>
      <c r="K10" s="25"/>
      <c r="L10" s="9"/>
      <c r="M10" s="16"/>
      <c r="R10" s="1">
        <f>IF(vend31[[#This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300</v>
      </c>
      <c r="D11" s="2"/>
      <c r="E11" s="18">
        <v>8621</v>
      </c>
      <c r="F11" s="25" t="s">
        <v>310</v>
      </c>
      <c r="G11" s="26" t="s">
        <v>6</v>
      </c>
      <c r="H11" s="8">
        <v>300</v>
      </c>
      <c r="I11" s="8">
        <v>300</v>
      </c>
      <c r="J11" s="2"/>
      <c r="K11" s="27"/>
      <c r="L11" s="9"/>
      <c r="M11" s="16"/>
      <c r="O11" s="1">
        <f>IF(C16=0,0,1)</f>
        <v>1</v>
      </c>
      <c r="R11" s="1">
        <f>IF(vend31[[#This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389.9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9" t="s">
        <v>22</v>
      </c>
      <c r="L13" s="90"/>
      <c r="M13" s="91"/>
      <c r="R13" s="1">
        <f>IF(vend31[[#This Row],[Nº Venda]]&gt;1,1,0)</f>
        <v>0</v>
      </c>
    </row>
    <row r="14" spans="2:18" ht="15.75" x14ac:dyDescent="0.25">
      <c r="B14" s="30" t="s">
        <v>9</v>
      </c>
      <c r="C14" s="31">
        <f t="shared" si="0"/>
        <v>749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8080</v>
      </c>
      <c r="L15" s="9" t="s">
        <v>174</v>
      </c>
      <c r="M15" s="16" t="s">
        <v>38</v>
      </c>
      <c r="R15" s="1">
        <f>IF(vend31[[#This Row],[Nº Venda]]&gt;1,1,0)</f>
        <v>0</v>
      </c>
    </row>
    <row r="16" spans="2:18" ht="15.75" x14ac:dyDescent="0.25">
      <c r="B16" s="28" t="s">
        <v>11</v>
      </c>
      <c r="C16" s="32">
        <f>SUM(C11:C15)</f>
        <v>1438.9</v>
      </c>
      <c r="D16" s="2"/>
      <c r="E16" s="18"/>
      <c r="F16" s="25"/>
      <c r="G16" s="26"/>
      <c r="H16" s="8"/>
      <c r="I16" s="8"/>
      <c r="J16" s="2"/>
      <c r="K16" s="25">
        <v>8460</v>
      </c>
      <c r="L16" s="9" t="s">
        <v>132</v>
      </c>
      <c r="M16" s="16" t="s">
        <v>38</v>
      </c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8483</v>
      </c>
      <c r="L17" s="9" t="s">
        <v>132</v>
      </c>
      <c r="M17" s="16" t="s">
        <v>38</v>
      </c>
      <c r="R17" s="1">
        <f>IF(vend31[[#This Row],[Nº Venda]]&gt;1,1,0)</f>
        <v>0</v>
      </c>
    </row>
    <row r="18" spans="2:18" ht="15.75" x14ac:dyDescent="0.25">
      <c r="B18" s="87" t="s">
        <v>12</v>
      </c>
      <c r="C18" s="87"/>
      <c r="D18" s="2"/>
      <c r="E18" s="18"/>
      <c r="F18" s="25"/>
      <c r="G18" s="26"/>
      <c r="H18" s="8"/>
      <c r="I18" s="8"/>
      <c r="J18" s="2"/>
      <c r="K18" s="25">
        <v>8535</v>
      </c>
      <c r="L18" s="9" t="s">
        <v>174</v>
      </c>
      <c r="M18" s="16" t="s">
        <v>38</v>
      </c>
      <c r="R18" s="1">
        <f>IF(vend31[[#This Row],[Nº Venda]]&gt;1,1,0)</f>
        <v>0</v>
      </c>
    </row>
    <row r="19" spans="2:18" ht="15.75" x14ac:dyDescent="0.25">
      <c r="B19" s="30">
        <f>COUNT(entr_carn31[OS])</f>
        <v>3</v>
      </c>
      <c r="C19" s="31">
        <f>SUM(entr_carn31[Valor Total])</f>
        <v>1264</v>
      </c>
      <c r="D19" s="2"/>
      <c r="E19" s="18"/>
      <c r="F19" s="25"/>
      <c r="G19" s="26"/>
      <c r="H19" s="8"/>
      <c r="I19" s="8"/>
      <c r="J19" s="2"/>
      <c r="K19" s="25">
        <v>8536</v>
      </c>
      <c r="L19" s="9" t="s">
        <v>174</v>
      </c>
      <c r="M19" s="16" t="s">
        <v>38</v>
      </c>
      <c r="R19" s="1">
        <f>IF(vend31[[#This Row],[Nº Venda]]&gt;1,1,0)</f>
        <v>0</v>
      </c>
    </row>
    <row r="20" spans="2:18" ht="15.75" x14ac:dyDescent="0.25">
      <c r="B20" s="28" t="s">
        <v>11</v>
      </c>
      <c r="C20" s="32">
        <f>SUM(C19:C19)</f>
        <v>1264</v>
      </c>
      <c r="D20" s="2"/>
      <c r="E20" s="18"/>
      <c r="F20" s="26"/>
      <c r="G20" s="26"/>
      <c r="H20" s="8"/>
      <c r="I20" s="8"/>
      <c r="J20" s="2"/>
      <c r="K20" s="71">
        <v>8563</v>
      </c>
      <c r="L20" s="83" t="s">
        <v>132</v>
      </c>
      <c r="M20" s="81" t="s">
        <v>173</v>
      </c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71">
        <v>8564</v>
      </c>
      <c r="L21" s="83" t="s">
        <v>132</v>
      </c>
      <c r="M21" s="81" t="s">
        <v>173</v>
      </c>
    </row>
    <row r="22" spans="2:18" ht="15.75" x14ac:dyDescent="0.25">
      <c r="B22" s="28" t="s">
        <v>26</v>
      </c>
      <c r="C22" s="32">
        <f>C5</f>
        <v>3389.9</v>
      </c>
      <c r="D22" s="2"/>
      <c r="E22" s="18"/>
      <c r="F22" s="25"/>
      <c r="G22" s="26"/>
      <c r="H22" s="8"/>
      <c r="I22" s="8"/>
      <c r="J22" s="2"/>
      <c r="K22" s="25">
        <v>8571</v>
      </c>
      <c r="L22" s="9" t="s">
        <v>174</v>
      </c>
      <c r="M22" s="16" t="s">
        <v>173</v>
      </c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8" t="s">
        <v>27</v>
      </c>
      <c r="F24" s="88"/>
      <c r="G24" s="88"/>
      <c r="H24" s="88"/>
      <c r="I24" s="88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8" t="s">
        <v>28</v>
      </c>
      <c r="F33" s="88"/>
      <c r="G33" s="88"/>
      <c r="H33" s="88"/>
      <c r="I33" s="88"/>
      <c r="K33" s="89" t="s">
        <v>12</v>
      </c>
      <c r="L33" s="90"/>
      <c r="M33" s="9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71">
        <v>8563</v>
      </c>
      <c r="L35" s="82">
        <v>5</v>
      </c>
      <c r="M35" s="81">
        <v>269</v>
      </c>
    </row>
    <row r="36" spans="2:18" ht="15.75" x14ac:dyDescent="0.25">
      <c r="E36" s="18"/>
      <c r="F36" s="25"/>
      <c r="G36" s="26"/>
      <c r="H36" s="8"/>
      <c r="I36" s="8"/>
      <c r="K36" s="71">
        <v>8564</v>
      </c>
      <c r="L36" s="82">
        <v>5</v>
      </c>
      <c r="M36" s="81">
        <v>445</v>
      </c>
    </row>
    <row r="37" spans="2:18" ht="15.75" x14ac:dyDescent="0.25">
      <c r="E37" s="18"/>
      <c r="F37" s="25"/>
      <c r="G37" s="26"/>
      <c r="H37" s="8"/>
      <c r="I37" s="8"/>
      <c r="K37" s="25">
        <v>8571</v>
      </c>
      <c r="L37" s="41">
        <v>7</v>
      </c>
      <c r="M37" s="16">
        <v>550</v>
      </c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6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G12" sqref="G1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311</v>
      </c>
      <c r="B1" s="38" t="s">
        <v>312</v>
      </c>
      <c r="E1" s="38" t="s">
        <v>313</v>
      </c>
    </row>
    <row r="2" spans="1:5" x14ac:dyDescent="0.2">
      <c r="A2" s="38" t="s">
        <v>6</v>
      </c>
      <c r="B2" s="38" t="s">
        <v>314</v>
      </c>
      <c r="E2" t="s">
        <v>315</v>
      </c>
    </row>
    <row r="3" spans="1:5" x14ac:dyDescent="0.2">
      <c r="A3" s="38" t="s">
        <v>7</v>
      </c>
      <c r="B3" s="38" t="s">
        <v>316</v>
      </c>
      <c r="E3" t="s">
        <v>317</v>
      </c>
    </row>
    <row r="4" spans="1:5" x14ac:dyDescent="0.2">
      <c r="A4" s="38" t="s">
        <v>8</v>
      </c>
      <c r="B4" s="38" t="s">
        <v>318</v>
      </c>
      <c r="E4" t="s">
        <v>123</v>
      </c>
    </row>
    <row r="5" spans="1:5" x14ac:dyDescent="0.2">
      <c r="A5" s="38" t="s">
        <v>9</v>
      </c>
      <c r="B5" s="38" t="s">
        <v>319</v>
      </c>
      <c r="E5" t="s">
        <v>320</v>
      </c>
    </row>
    <row r="6" spans="1:5" x14ac:dyDescent="0.2">
      <c r="A6" s="38" t="s">
        <v>10</v>
      </c>
      <c r="B6" s="38" t="s">
        <v>10</v>
      </c>
      <c r="E6" t="s">
        <v>168</v>
      </c>
    </row>
    <row r="7" spans="1:5" x14ac:dyDescent="0.2">
      <c r="A7" s="38" t="s">
        <v>47</v>
      </c>
      <c r="B7" s="38" t="s">
        <v>321</v>
      </c>
      <c r="E7" t="s">
        <v>234</v>
      </c>
    </row>
    <row r="8" spans="1:5" x14ac:dyDescent="0.2">
      <c r="A8" t="s">
        <v>25</v>
      </c>
      <c r="B8" t="s">
        <v>322</v>
      </c>
      <c r="E8" t="s">
        <v>194</v>
      </c>
    </row>
    <row r="9" spans="1:5" x14ac:dyDescent="0.2">
      <c r="A9" s="38" t="s">
        <v>49</v>
      </c>
      <c r="B9" s="38" t="s">
        <v>323</v>
      </c>
      <c r="E9" t="s">
        <v>278</v>
      </c>
    </row>
    <row r="10" spans="1:5" x14ac:dyDescent="0.2">
      <c r="E10" t="s">
        <v>125</v>
      </c>
    </row>
    <row r="11" spans="1:5" x14ac:dyDescent="0.2">
      <c r="E11" t="s">
        <v>324</v>
      </c>
    </row>
    <row r="12" spans="1:5" x14ac:dyDescent="0.2">
      <c r="E12" t="s">
        <v>325</v>
      </c>
    </row>
    <row r="13" spans="1:5" x14ac:dyDescent="0.2">
      <c r="E13" t="s">
        <v>326</v>
      </c>
    </row>
    <row r="14" spans="1:5" x14ac:dyDescent="0.2">
      <c r="E14" t="s">
        <v>327</v>
      </c>
    </row>
    <row r="15" spans="1:5" x14ac:dyDescent="0.2">
      <c r="E15" t="s">
        <v>43</v>
      </c>
    </row>
    <row r="16" spans="1:5" x14ac:dyDescent="0.2">
      <c r="E16" t="s">
        <v>328</v>
      </c>
    </row>
    <row r="17" spans="5:5" x14ac:dyDescent="0.2">
      <c r="E17" t="s">
        <v>94</v>
      </c>
    </row>
    <row r="18" spans="5:5" x14ac:dyDescent="0.2">
      <c r="E18" t="s">
        <v>248</v>
      </c>
    </row>
    <row r="19" spans="5:5" x14ac:dyDescent="0.2">
      <c r="E19" t="s">
        <v>142</v>
      </c>
    </row>
    <row r="20" spans="5:5" x14ac:dyDescent="0.2">
      <c r="E20" t="s">
        <v>143</v>
      </c>
    </row>
    <row r="21" spans="5:5" x14ac:dyDescent="0.2">
      <c r="E21" t="s">
        <v>329</v>
      </c>
    </row>
    <row r="22" spans="5:5" x14ac:dyDescent="0.2">
      <c r="E22" t="s">
        <v>53</v>
      </c>
    </row>
    <row r="23" spans="5:5" x14ac:dyDescent="0.2">
      <c r="E23" t="s">
        <v>60</v>
      </c>
    </row>
    <row r="24" spans="5:5" x14ac:dyDescent="0.2">
      <c r="E24" t="s">
        <v>108</v>
      </c>
    </row>
    <row r="25" spans="5:5" x14ac:dyDescent="0.2">
      <c r="E25" t="s">
        <v>41</v>
      </c>
    </row>
    <row r="26" spans="5:5" x14ac:dyDescent="0.2">
      <c r="E26" t="s">
        <v>330</v>
      </c>
    </row>
    <row r="27" spans="5:5" x14ac:dyDescent="0.2">
      <c r="E27" t="s">
        <v>331</v>
      </c>
    </row>
    <row r="28" spans="5:5" x14ac:dyDescent="0.2">
      <c r="E28" t="s">
        <v>332</v>
      </c>
    </row>
    <row r="29" spans="5:5" x14ac:dyDescent="0.2">
      <c r="E29" t="s">
        <v>333</v>
      </c>
    </row>
    <row r="30" spans="5:5" x14ac:dyDescent="0.2">
      <c r="E30" t="s">
        <v>334</v>
      </c>
    </row>
    <row r="31" spans="5:5" x14ac:dyDescent="0.2">
      <c r="E31" t="s">
        <v>55</v>
      </c>
    </row>
    <row r="32" spans="5:5" x14ac:dyDescent="0.2">
      <c r="E32" t="s">
        <v>76</v>
      </c>
    </row>
    <row r="33" spans="5:5" x14ac:dyDescent="0.2">
      <c r="E33" t="s">
        <v>177</v>
      </c>
    </row>
    <row r="34" spans="5:5" x14ac:dyDescent="0.2">
      <c r="E34" t="s">
        <v>105</v>
      </c>
    </row>
    <row r="35" spans="5:5" x14ac:dyDescent="0.2">
      <c r="E35" t="s">
        <v>335</v>
      </c>
    </row>
    <row r="36" spans="5:5" x14ac:dyDescent="0.2">
      <c r="E36" t="s">
        <v>145</v>
      </c>
    </row>
    <row r="37" spans="5:5" x14ac:dyDescent="0.2">
      <c r="E37" t="s">
        <v>296</v>
      </c>
    </row>
    <row r="38" spans="5:5" x14ac:dyDescent="0.2">
      <c r="E38" t="s">
        <v>336</v>
      </c>
    </row>
    <row r="39" spans="5:5" x14ac:dyDescent="0.2">
      <c r="E39" t="s">
        <v>337</v>
      </c>
    </row>
    <row r="40" spans="5:5" x14ac:dyDescent="0.2">
      <c r="E40" t="s">
        <v>338</v>
      </c>
    </row>
    <row r="41" spans="5:5" x14ac:dyDescent="0.2">
      <c r="E41" t="s">
        <v>339</v>
      </c>
    </row>
    <row r="42" spans="5:5" x14ac:dyDescent="0.2">
      <c r="E42" t="s">
        <v>340</v>
      </c>
    </row>
    <row r="43" spans="5:5" x14ac:dyDescent="0.2">
      <c r="E43" t="s">
        <v>341</v>
      </c>
    </row>
    <row r="44" spans="5:5" x14ac:dyDescent="0.2">
      <c r="E44" t="s">
        <v>232</v>
      </c>
    </row>
    <row r="45" spans="5:5" x14ac:dyDescent="0.2">
      <c r="E45" t="s">
        <v>342</v>
      </c>
    </row>
    <row r="46" spans="5:5" x14ac:dyDescent="0.2">
      <c r="E46" t="s">
        <v>343</v>
      </c>
    </row>
    <row r="47" spans="5:5" x14ac:dyDescent="0.2">
      <c r="E47" t="s">
        <v>344</v>
      </c>
    </row>
    <row r="48" spans="5:5" x14ac:dyDescent="0.2">
      <c r="E48" t="s">
        <v>345</v>
      </c>
    </row>
    <row r="49" spans="5:5" x14ac:dyDescent="0.2">
      <c r="E49" t="s">
        <v>346</v>
      </c>
    </row>
    <row r="50" spans="5:5" x14ac:dyDescent="0.2">
      <c r="E50" t="s">
        <v>347</v>
      </c>
    </row>
    <row r="51" spans="5:5" x14ac:dyDescent="0.2">
      <c r="E51" t="s">
        <v>348</v>
      </c>
    </row>
    <row r="52" spans="5:5" x14ac:dyDescent="0.2">
      <c r="E52" t="s">
        <v>349</v>
      </c>
    </row>
    <row r="53" spans="5:5" x14ac:dyDescent="0.2">
      <c r="E53" t="s">
        <v>45</v>
      </c>
    </row>
    <row r="54" spans="5:5" x14ac:dyDescent="0.2">
      <c r="E54" t="s">
        <v>280</v>
      </c>
    </row>
    <row r="55" spans="5:5" x14ac:dyDescent="0.2">
      <c r="E55" t="s">
        <v>218</v>
      </c>
    </row>
    <row r="56" spans="5:5" x14ac:dyDescent="0.2">
      <c r="E56" t="s">
        <v>350</v>
      </c>
    </row>
    <row r="57" spans="5:5" x14ac:dyDescent="0.2">
      <c r="E57" t="s">
        <v>351</v>
      </c>
    </row>
    <row r="58" spans="5:5" x14ac:dyDescent="0.2">
      <c r="E58" t="s">
        <v>352</v>
      </c>
    </row>
    <row r="59" spans="5:5" x14ac:dyDescent="0.2">
      <c r="E59" t="s">
        <v>353</v>
      </c>
    </row>
    <row r="60" spans="5:5" x14ac:dyDescent="0.2">
      <c r="E60" t="s">
        <v>354</v>
      </c>
    </row>
    <row r="61" spans="5:5" x14ac:dyDescent="0.2">
      <c r="E61" t="s">
        <v>355</v>
      </c>
    </row>
    <row r="62" spans="5:5" x14ac:dyDescent="0.2">
      <c r="E62" t="s">
        <v>356</v>
      </c>
    </row>
    <row r="63" spans="5:5" x14ac:dyDescent="0.2">
      <c r="E63" t="s">
        <v>357</v>
      </c>
    </row>
    <row r="64" spans="5:5" x14ac:dyDescent="0.2">
      <c r="E64" t="s">
        <v>358</v>
      </c>
    </row>
    <row r="65" spans="5:5" x14ac:dyDescent="0.2">
      <c r="E65" t="s">
        <v>359</v>
      </c>
    </row>
    <row r="66" spans="5:5" x14ac:dyDescent="0.2">
      <c r="E66" t="s">
        <v>360</v>
      </c>
    </row>
    <row r="67" spans="5:5" x14ac:dyDescent="0.2">
      <c r="E67" t="s">
        <v>361</v>
      </c>
    </row>
    <row r="68" spans="5:5" x14ac:dyDescent="0.2">
      <c r="E68" t="s">
        <v>362</v>
      </c>
    </row>
    <row r="69" spans="5:5" x14ac:dyDescent="0.2">
      <c r="E69" t="s">
        <v>363</v>
      </c>
    </row>
    <row r="70" spans="5:5" x14ac:dyDescent="0.2">
      <c r="E70" t="s">
        <v>364</v>
      </c>
    </row>
    <row r="71" spans="5:5" x14ac:dyDescent="0.2">
      <c r="E71" t="s">
        <v>365</v>
      </c>
    </row>
    <row r="72" spans="5:5" x14ac:dyDescent="0.2">
      <c r="E72" t="s">
        <v>366</v>
      </c>
    </row>
    <row r="73" spans="5:5" x14ac:dyDescent="0.2">
      <c r="E73" t="s">
        <v>367</v>
      </c>
    </row>
    <row r="74" spans="5:5" x14ac:dyDescent="0.2">
      <c r="E74" t="s">
        <v>368</v>
      </c>
    </row>
    <row r="75" spans="5:5" x14ac:dyDescent="0.2">
      <c r="E75" t="s">
        <v>369</v>
      </c>
    </row>
    <row r="76" spans="5:5" x14ac:dyDescent="0.2">
      <c r="E76" t="s">
        <v>370</v>
      </c>
    </row>
    <row r="77" spans="5:5" x14ac:dyDescent="0.2">
      <c r="E77" t="s">
        <v>371</v>
      </c>
    </row>
    <row r="78" spans="5:5" x14ac:dyDescent="0.2">
      <c r="E78" t="s">
        <v>372</v>
      </c>
    </row>
    <row r="79" spans="5:5" x14ac:dyDescent="0.2">
      <c r="E79" t="s">
        <v>373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33</vt:i4>
      </vt:variant>
    </vt:vector>
  </HeadingPairs>
  <TitlesOfParts>
    <vt:vector size="33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Kaylane DCL</cp:lastModifiedBy>
  <cp:revision/>
  <dcterms:created xsi:type="dcterms:W3CDTF">2004-04-07T20:43:43Z</dcterms:created>
  <dcterms:modified xsi:type="dcterms:W3CDTF">2024-04-03T19:15:54Z</dcterms:modified>
  <cp:category/>
  <cp:contentStatus/>
</cp:coreProperties>
</file>