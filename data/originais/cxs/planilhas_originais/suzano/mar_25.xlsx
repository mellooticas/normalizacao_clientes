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1989" documentId="8_{EE8BFE3C-2171-40B1-84C0-172FC330EF33}" xr6:coauthVersionLast="47" xr6:coauthVersionMax="47" xr10:uidLastSave="{F918E522-FC08-4AF5-A082-5896D8B6B323}"/>
  <bookViews>
    <workbookView xWindow="-120" yWindow="-120" windowWidth="29040" windowHeight="15840" tabRatio="895" activeTab="22" xr2:uid="{00000000-000D-0000-FFFF-FFFF00000000}"/>
  </bookViews>
  <sheets>
    <sheet name="resumo_cx" sheetId="200" r:id="rId1"/>
    <sheet name="02" sheetId="174" r:id="rId2"/>
    <sheet name="01" sheetId="175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7" sheetId="185" r:id="rId17"/>
    <sheet name="16" sheetId="184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1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2" l="1"/>
  <c r="C6" i="177"/>
  <c r="C6" i="184"/>
  <c r="C6" i="199"/>
  <c r="C6" i="174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9" i="171"/>
  <c r="C20" i="171" s="1"/>
  <c r="B19" i="171"/>
  <c r="Q18" i="171"/>
  <c r="Q17" i="171"/>
  <c r="Q16" i="171"/>
  <c r="Q15" i="171"/>
  <c r="Q14" i="171"/>
  <c r="Q13" i="171"/>
  <c r="Q12" i="171"/>
  <c r="Q11" i="171"/>
  <c r="Q10" i="171"/>
  <c r="Q9" i="171"/>
  <c r="Q8" i="171"/>
  <c r="Q7" i="171"/>
  <c r="Q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4" l="1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Q40" i="171"/>
  <c r="B13" i="200"/>
  <c r="B5" i="200"/>
  <c r="B11" i="200"/>
  <c r="B10" i="200"/>
  <c r="B9" i="200"/>
  <c r="B3" i="200"/>
  <c r="B12" i="200"/>
  <c r="C16" i="196"/>
  <c r="C16" i="189"/>
  <c r="C16" i="188"/>
  <c r="C16" i="185"/>
  <c r="C8" i="177"/>
  <c r="C16" i="198"/>
  <c r="C16" i="199"/>
  <c r="O11" i="199" s="1"/>
  <c r="C16" i="192"/>
  <c r="C16" i="197"/>
  <c r="C16" i="194"/>
  <c r="C16" i="195"/>
  <c r="C16" i="193"/>
  <c r="C16" i="191"/>
  <c r="C16" i="190"/>
  <c r="C16" i="187"/>
  <c r="C16" i="186"/>
  <c r="C16" i="184"/>
  <c r="O11" i="184" s="1"/>
  <c r="C8" i="184"/>
  <c r="C16" i="179"/>
  <c r="C16" i="181"/>
  <c r="C16" i="183"/>
  <c r="C16" i="182"/>
  <c r="C16" i="180"/>
  <c r="C16" i="176"/>
  <c r="C16" i="177"/>
  <c r="O11" i="177" s="1"/>
  <c r="C16" i="178"/>
  <c r="C16" i="172"/>
  <c r="O11" i="172" s="1"/>
  <c r="C16" i="173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92"/>
  <c r="C6" i="192"/>
  <c r="C8" i="192" s="1"/>
  <c r="O11" i="196"/>
  <c r="C6" i="196"/>
  <c r="C8" i="196" s="1"/>
  <c r="O11" i="197"/>
  <c r="C6" i="197"/>
  <c r="C8" i="197" s="1"/>
  <c r="O11" i="194"/>
  <c r="C6" i="194"/>
  <c r="C8" i="194" s="1"/>
  <c r="O11" i="188"/>
  <c r="C6" i="188"/>
  <c r="C8" i="188" s="1"/>
  <c r="O11" i="193"/>
  <c r="C6" i="193"/>
  <c r="C8" i="193" s="1"/>
  <c r="O11" i="191"/>
  <c r="C6" i="191"/>
  <c r="C8" i="191" s="1"/>
  <c r="O11" i="185"/>
  <c r="C6" i="185"/>
  <c r="C8" i="185" s="1"/>
  <c r="O11" i="190"/>
  <c r="C6" i="190"/>
  <c r="C8" i="190" s="1"/>
  <c r="O11" i="189"/>
  <c r="C6" i="189"/>
  <c r="C8" i="189" s="1"/>
  <c r="O11" i="187"/>
  <c r="C6" i="187"/>
  <c r="C8" i="187" s="1"/>
  <c r="O11" i="186"/>
  <c r="C6" i="186"/>
  <c r="C8" i="186" s="1"/>
  <c r="O11" i="179"/>
  <c r="C6" i="179"/>
  <c r="C8" i="179" s="1"/>
  <c r="O11" i="181"/>
  <c r="C6" i="181"/>
  <c r="C8" i="181" s="1"/>
  <c r="O11" i="183"/>
  <c r="C6" i="183"/>
  <c r="C8" i="183" s="1"/>
  <c r="O11" i="182"/>
  <c r="C6" i="182"/>
  <c r="C8" i="182" s="1"/>
  <c r="O11" i="180"/>
  <c r="C6" i="180"/>
  <c r="C8" i="180" s="1"/>
  <c r="O11" i="176"/>
  <c r="C6" i="176"/>
  <c r="C8" i="176" s="1"/>
  <c r="O11" i="178"/>
  <c r="C6" i="178"/>
  <c r="C8" i="178" s="1"/>
  <c r="O11" i="170"/>
  <c r="C6" i="170"/>
  <c r="C8" i="170" s="1"/>
  <c r="N11" i="171"/>
  <c r="C6" i="171"/>
  <c r="C8" i="171" s="1"/>
  <c r="O11" i="173"/>
  <c r="C6" i="173"/>
  <c r="C8" i="173" s="1"/>
  <c r="O11" i="175"/>
  <c r="C6" i="175"/>
  <c r="C8" i="175" s="1"/>
  <c r="O11" i="195"/>
  <c r="C6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<sst xmlns="http://schemas.openxmlformats.org/spreadsheetml/2006/main" count="2398" uniqueCount="330">
  <si>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</si>
  <si>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</si>
  <si>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</si>
  <si>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</si>
  <si>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</si>
  <si>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</si>
  <si>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</si>
  <si>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</si>
  <si>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</si>
  <si>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</si>
  <si>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</si>
  <si>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</si>
  <si>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</si>
  <si>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</si>
  <si>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</si>
  <si>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</si>
  <si>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</si>
  <si>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</si>
  <si>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</si>
  <si>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</si>
  <si>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</si>
  <si>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</si>
  <si>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</si>
  <si>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</si>
  <si>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</si>
  <si>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</si>
  <si>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</si>
  <si>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</si>
  <si>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</si>
  <si>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</si>
  <si>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</si>
  <si>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</si>
  <si>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</si>
  <si>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</si>
  <si>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</si>
  <si>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</si>
  <si>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</si>
  <si>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</si>
  <si>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</si>
  <si>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</si>
  <si>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</si>
  <si>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</si>
  <si>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</si>
  <si>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</si>
  <si>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</si>
  <si>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</si>
  <si>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</si>
  <si>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</si>
  <si>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</si>
  <si>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</si>
  <si>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</si>
  <si>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</si>
  <si>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</si>
  <si>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</si>
  <si>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</si>
  <si>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</si>
  <si>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</si>
  <si>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</si>
  <si>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</si>
  <si>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</si>
  <si>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</si>
  <si>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</si>
  <si>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</si>
  <si>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</si>
  <si>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</si>
  <si>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</si>
  <si>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</si>
  <si>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</si>
  <si>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</si>
  <si>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</si>
  <si>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</si>
  <si>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</si>
  <si>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</si>
  <si>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</si>
  <si>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</si>
  <si>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</si>
  <si>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</si>
  <si>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</si>
  <si>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</si>
  <si>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</si>
  <si>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</si>
  <si>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</si>
  <si>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</si>
  <si>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</si>
  <si>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</si>
  <si>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</si>
  <si>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</si>
  <si>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</si>
  <si>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</si>
  <si>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</si>
  <si>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</si>
  <si>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</si>
  <si>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</si>
  <si>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</si>
  <si>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</si>
  <si>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</si>
  <si>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</si>
  <si>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</si>
  <si>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</si>
  <si>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</si>
  <si>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</si>
  <si>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</si>
  <si>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</si>
  <si>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</si>
  <si>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</si>
  <si>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</si>
  <si>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</si>
  <si>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</si>
  <si>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</si>
  <si>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</si>
  <si>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</si>
  <si>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</si>
  <si>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</si>
  <si>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</si>
  <si>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</si>
  <si>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</si>
  <si>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</si>
  <si>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</si>
  <si>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</si>
  <si>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</si>
  <si>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</si>
  <si>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</si>
  <si>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</si>
  <si>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</si>
  <si>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</si>
  <si>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</si>
  <si>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</si>
  <si>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</si>
  <si>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</si>
  <si>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</si>
  <si>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</si>
  <si>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</si>
  <si>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</si>
  <si>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</si>
  <si>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</si>
  <si>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</si>
  <si>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</si>
  <si>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</si>
  <si>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</si>
  <si>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</si>
  <si>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</si>
  <si>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</si>
  <si>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jose roberto de moura</t>
  </si>
  <si>
    <t xml:space="preserve">andrea cristina </t>
  </si>
  <si>
    <t>aline duarte</t>
  </si>
  <si>
    <t>Não</t>
  </si>
  <si>
    <t>maria imaculada</t>
  </si>
  <si>
    <t>deisyane de castro</t>
  </si>
  <si>
    <t>victoria nhoque</t>
  </si>
  <si>
    <t>jose ferreira</t>
  </si>
  <si>
    <t>Sim</t>
  </si>
  <si>
    <t xml:space="preserve"> maria jose </t>
  </si>
  <si>
    <t>maria antonia</t>
  </si>
  <si>
    <t>elisangela alves</t>
  </si>
  <si>
    <t>jaqueline melo</t>
  </si>
  <si>
    <t>sueli ribeiro</t>
  </si>
  <si>
    <t>ana paula verginia</t>
  </si>
  <si>
    <t>roberto dos santos</t>
  </si>
  <si>
    <t>joaquim vicente</t>
  </si>
  <si>
    <t>cecilia boaventura</t>
  </si>
  <si>
    <t>luiza jaqueline</t>
  </si>
  <si>
    <t>carmelina da conceição</t>
  </si>
  <si>
    <t>rosana glecia</t>
  </si>
  <si>
    <t>gilmar lopes</t>
  </si>
  <si>
    <t>maria jose</t>
  </si>
  <si>
    <t>andreza souza</t>
  </si>
  <si>
    <t>diego gomes</t>
  </si>
  <si>
    <t>quiteria maria</t>
  </si>
  <si>
    <t>mariana rosa</t>
  </si>
  <si>
    <t>kettlyn araujo</t>
  </si>
  <si>
    <t>eladio julio</t>
  </si>
  <si>
    <t>ruan dos santos lima</t>
  </si>
  <si>
    <t>adriana aparecida</t>
  </si>
  <si>
    <t>ronivaldo pereira</t>
  </si>
  <si>
    <t>ricardo campani</t>
  </si>
  <si>
    <t>custodio silva</t>
  </si>
  <si>
    <t>teresinha mendes</t>
  </si>
  <si>
    <t>fernando de andrade</t>
  </si>
  <si>
    <t>jaqueline santos</t>
  </si>
  <si>
    <t>QUEREN SANTOS</t>
  </si>
  <si>
    <t>FRANCIELE ALEXANDRE</t>
  </si>
  <si>
    <t>REINALDO DE SANTANA</t>
  </si>
  <si>
    <t>HENRIQUE LIMA</t>
  </si>
  <si>
    <t>ANDREZA SOUZA</t>
  </si>
  <si>
    <t>SIMINE IGNACIO</t>
  </si>
  <si>
    <t>JOSE LUIZ</t>
  </si>
  <si>
    <t>EDUARDO ADRIANO</t>
  </si>
  <si>
    <t xml:space="preserve"> R$9.615,00 </t>
  </si>
  <si>
    <t>CICERO FERREIRA</t>
  </si>
  <si>
    <t>ADRIANO DOS SANTOS</t>
  </si>
  <si>
    <t>MARIA DAS GRACAS</t>
  </si>
  <si>
    <t>SIMONE MARISTELA</t>
  </si>
  <si>
    <t>JOSE APARECIDO</t>
  </si>
  <si>
    <t>ROSANGELA APARECIDA</t>
  </si>
  <si>
    <t>PRISCILA</t>
  </si>
  <si>
    <t>pedro alves</t>
  </si>
  <si>
    <t>rodrigo bispo</t>
  </si>
  <si>
    <t>aline santana</t>
  </si>
  <si>
    <t>tatiana gomes</t>
  </si>
  <si>
    <t>JULIANA SANTOS</t>
  </si>
  <si>
    <t>salmir fernandes</t>
  </si>
  <si>
    <t>fernanda aparecida</t>
  </si>
  <si>
    <t>ricardo henrique</t>
  </si>
  <si>
    <t>marcia de alcantara</t>
  </si>
  <si>
    <t>katia de oliveira</t>
  </si>
  <si>
    <t>eliel duarte</t>
  </si>
  <si>
    <t>walter alves</t>
  </si>
  <si>
    <t>ana lucia</t>
  </si>
  <si>
    <t>sirlei bueno</t>
  </si>
  <si>
    <t>darci alice</t>
  </si>
  <si>
    <t>erica da silva</t>
  </si>
  <si>
    <t>lilian cristina</t>
  </si>
  <si>
    <t>sebastão pereira</t>
  </si>
  <si>
    <t>valdemice batista</t>
  </si>
  <si>
    <t>daniela maria</t>
  </si>
  <si>
    <t>maria neusa</t>
  </si>
  <si>
    <t>sandra maria alves</t>
  </si>
  <si>
    <t>maria vitória gino</t>
  </si>
  <si>
    <t xml:space="preserve">VALDECIR DE SOUZA </t>
  </si>
  <si>
    <t xml:space="preserve">JOSE ROBERTO </t>
  </si>
  <si>
    <t>ERICA KIYOMI SENZAKI</t>
  </si>
  <si>
    <t>ISABELA BRITO OLIVEIRA</t>
  </si>
  <si>
    <t>ALINE DUARTE</t>
  </si>
  <si>
    <t>SILVANA REJANE</t>
  </si>
  <si>
    <t>IVONE PEREIRA</t>
  </si>
  <si>
    <t>LUIZ CLAUDIO</t>
  </si>
  <si>
    <t>JOSE CLAUDIO</t>
  </si>
  <si>
    <t>GILBERTO DE ALMEIDA</t>
  </si>
  <si>
    <t>EDNEUSA APARECIDA</t>
  </si>
  <si>
    <t>WILLI SOUZA</t>
  </si>
  <si>
    <t>LEANDRO DA SILVA</t>
  </si>
  <si>
    <t>NELCIMARA VENTURA</t>
  </si>
  <si>
    <t>VALDIVO SOUZA</t>
  </si>
  <si>
    <t>JOSE ROBERTO</t>
  </si>
  <si>
    <t>VIVIAN SAORI</t>
  </si>
  <si>
    <t>MARTA VAZ</t>
  </si>
  <si>
    <t>CARLINHOS FERREIRA</t>
  </si>
  <si>
    <t>NICOLE PAULINO DOS SANTOS</t>
  </si>
  <si>
    <t>SABRINA CARVALHO CRESPO</t>
  </si>
  <si>
    <t>MARCOS FERNANDO DA SILVA</t>
  </si>
  <si>
    <t>VALDEMICE BATISTA DOS SANTOS</t>
  </si>
  <si>
    <t>MARCIO VINICIUS MELLO PELONHA</t>
  </si>
  <si>
    <t>MARIA FERREIRA ALVES DE SOUZA</t>
  </si>
  <si>
    <t>LEONILDA SIQUEIRA DA SILVA</t>
  </si>
  <si>
    <t>SELMA BORGES</t>
  </si>
  <si>
    <t>MARIA ANGELA DE ARAUJO NUNES</t>
  </si>
  <si>
    <t>REGINA CUSTODIA DA SILVA</t>
  </si>
  <si>
    <t>APARECIDA MARAES LIMA</t>
  </si>
  <si>
    <t>LEANDRO GONÇALVES RIBEIRO</t>
  </si>
  <si>
    <t>JOSE APARECIDO ALVES DE LIMA</t>
  </si>
  <si>
    <t>JAQUELINE SANTOS</t>
  </si>
  <si>
    <t>JOSE PEREIRA DA SILVA</t>
  </si>
  <si>
    <t>ALINE B. DE MELO</t>
  </si>
  <si>
    <t>LENI DE SOUZA VERAS</t>
  </si>
  <si>
    <t>NELY MARIA DE OLIVEIRA</t>
  </si>
  <si>
    <t>CARMELINDA DE SOUSA FERRAMOSCA</t>
  </si>
  <si>
    <t>NAYARA ALVES FERNANDES</t>
  </si>
  <si>
    <t>TALITA DE FREITAS GOMES</t>
  </si>
  <si>
    <t>ANA PAULA VERGINIA DA SILVA</t>
  </si>
  <si>
    <t>GERTRUDES MADALENA BARBETA MORIJASU</t>
  </si>
  <si>
    <t>MARIA JOSE BORGES DOS SANTOS</t>
  </si>
  <si>
    <t>MARIA JOSE SOUZA OLIVEIRA</t>
  </si>
  <si>
    <t>ANTONIO MARIM</t>
  </si>
  <si>
    <t>INES DA SILVA MESQUITA</t>
  </si>
  <si>
    <t>CHRISTIAN LIMA GOMES</t>
  </si>
  <si>
    <t>ELISANGELA DA SILVA ARAUJO</t>
  </si>
  <si>
    <t>SAMUEL SILVA FELIX</t>
  </si>
  <si>
    <t>MARCIA DE ALCANTARA BODO PIRES</t>
  </si>
  <si>
    <t>SIRLENE ALVES DE GODOY</t>
  </si>
  <si>
    <t>MARCELO RENATO DE GODOY</t>
  </si>
  <si>
    <t>MISLENE CRUZ COSTA</t>
  </si>
  <si>
    <t xml:space="preserve">          </t>
  </si>
  <si>
    <t xml:space="preserve">JOELSON VICENTE </t>
  </si>
  <si>
    <t>SIMONE GOMES BISPO</t>
  </si>
  <si>
    <t>PAULO ROBERTO DA SILVA OLIVEIRA</t>
  </si>
  <si>
    <t>GABRIELLA AMARO DOS SANTOS</t>
  </si>
  <si>
    <t>PAULO MACHADO VIEIRA ARAUJO</t>
  </si>
  <si>
    <t>SUELI CRISTINA DOS SANTOS</t>
  </si>
  <si>
    <t>ANA CAROLINE ALVES DE SOUZA</t>
  </si>
  <si>
    <t>SILVANA REJANE FERREIRA VIEIRA</t>
  </si>
  <si>
    <t>CAROLINA APARECIDA ALVES</t>
  </si>
  <si>
    <t xml:space="preserve">IRANI DE SOUZA SILA </t>
  </si>
  <si>
    <t>ELISANGELA NICACIO CAMILO</t>
  </si>
  <si>
    <t>JACOB FIRMINO DO NASCIMENTO</t>
  </si>
  <si>
    <t>TASMIN MACHADO  RODRIGUES</t>
  </si>
  <si>
    <t>CARMERINDA DE SOUSA FERRAMOSCA</t>
  </si>
  <si>
    <t>MANOEL FRANCELINO DE OLIVEIRA</t>
  </si>
  <si>
    <t>NATAL APARECIDO MARTINS</t>
  </si>
  <si>
    <t>NEIMAR PEREIRA DOS SANTOS</t>
  </si>
  <si>
    <t>quereen santos</t>
  </si>
  <si>
    <t>marta vaz</t>
  </si>
  <si>
    <t>IVALCIR MACENA</t>
  </si>
  <si>
    <t>SOLANGE APARECIDA DOS SANRTOS</t>
  </si>
  <si>
    <t>FATIMA APARECIDA MENEZES</t>
  </si>
  <si>
    <t>NOEMIA AVELINO DE SOUZA</t>
  </si>
  <si>
    <t>MARCIA FERREIRA DA SILVA</t>
  </si>
  <si>
    <t>LIDIA MARIA LISBOA</t>
  </si>
  <si>
    <t>ADRIANO DE ALMEIDA CHAGAS</t>
  </si>
  <si>
    <t>SIMONE MARISTELA DA SILVA</t>
  </si>
  <si>
    <t xml:space="preserve">   </t>
  </si>
  <si>
    <t>ROBSON RODRIGUES PEGO</t>
  </si>
  <si>
    <t>FABIO AUGUSTO LUIS ALVES COSTA</t>
  </si>
  <si>
    <t>DEISYANE DE CASTRO</t>
  </si>
  <si>
    <t>SUELI RIBEIRO</t>
  </si>
  <si>
    <t>VALQUIRIA BATISTA FERNANDES</t>
  </si>
  <si>
    <t>SIMONE IGNACIO</t>
  </si>
  <si>
    <t>PRISCILA PAULINO BRESSIANI VICENTI</t>
  </si>
  <si>
    <t>GILVANILSON JACINTO DO NASCIMENTO</t>
  </si>
  <si>
    <t>LEONARDO BELMONTE DE PAULA</t>
  </si>
  <si>
    <t>ADRIANO RODRIGUES COSTA</t>
  </si>
  <si>
    <t>JOÃO FERNANDO DE ANDRADE</t>
  </si>
  <si>
    <t>MARIA NEUSA DOS SANTOS</t>
  </si>
  <si>
    <t>RONÉLIA DA SILVA</t>
  </si>
  <si>
    <t>Eleni de Lima Bico</t>
  </si>
  <si>
    <t>Claudia Bertoldo dos Santos</t>
  </si>
  <si>
    <t>Marcos Fernando da Silva</t>
  </si>
  <si>
    <t>Jefferson</t>
  </si>
  <si>
    <t>Irani de Souza Silva</t>
  </si>
  <si>
    <t>Marcelo Vieira Barbosa</t>
  </si>
  <si>
    <t>Bruno Correira</t>
  </si>
  <si>
    <t>Maria Imaculada do Carmo Shinkado</t>
  </si>
  <si>
    <t>Ana Paula Verginia da Silva</t>
  </si>
  <si>
    <t>Ilda Soares Ventura Rodrigues</t>
  </si>
  <si>
    <t>Ilda Soares Ventura Rodrigues (acordo)</t>
  </si>
  <si>
    <t>Aguinaldo Nascimento</t>
  </si>
  <si>
    <t>Fabiana Regina Silva dos Santos</t>
  </si>
  <si>
    <t>Milton Donizete Costa</t>
  </si>
  <si>
    <t>Talita de Freitas</t>
  </si>
  <si>
    <t>ROBERTO DOS SANTOS</t>
  </si>
  <si>
    <t>RODRIGO SILVA DE ARAÚJO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</si>
</sst>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8" fillId="0" borderId="3" xfId="2" applyFont="1" applyFill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65" fontId="39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43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5" fillId="0" borderId="17" xfId="4" applyNumberFormat="1" applyFont="1" applyFill="1" applyBorder="1" applyAlignment="1">
      <alignment horizontal="center"/>
    </xf>
    <xf numFmtId="164" fontId="44" fillId="0" borderId="17" xfId="2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5" fontId="45" fillId="0" borderId="3" xfId="4" applyNumberFormat="1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40" dataDxfId="1638" headerRowBorderDxfId="1639" tableBorderDxfId="1637" totalsRowBorderDxfId="163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35" dataCellStyle="Moeda"/>
    <tableColumn id="5" xr3:uid="{62DCD49D-7CD9-4268-A2D5-B3A594E461BB}" name="Cliente" dataDxfId="1634" dataCellStyle="Moeda"/>
    <tableColumn id="2" xr3:uid="{50D45495-B1A2-4885-996A-3E6DD92E280E}" name="Forma de Pgto" dataDxfId="1633" dataCellStyle="Moeda"/>
    <tableColumn id="3" xr3:uid="{DE57E226-692B-42B0-911E-ACCF59BC6D86}" name="Valor Venda" dataDxfId="1632" dataCellStyle="Porcentagem"/>
    <tableColumn id="4" xr3:uid="{CE230B3B-D2C9-4A92-A5F3-A5EE4A74409A}" name="Entrada" dataDxfId="1631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30" dataDxfId="1628" headerRowBorderDxfId="1629" tableBorderDxfId="1627" totalsRowBorderDxfId="1626">
  <autoFilter ref="K5:M11" xr:uid="{00000000-0009-0000-0100-000015000000}"/>
  <tableColumns count="3">
    <tableColumn id="1" xr3:uid="{58E2E66D-9AC0-4A69-BF19-1AB9AD59BA2F}" name="Descrição" dataDxfId="1625"/>
    <tableColumn id="2" xr3:uid="{FE1E3124-46C3-49A6-AE83-7C14B341DF59}" name="Tipo de Pagto" dataDxfId="1624"/>
    <tableColumn id="3" xr3:uid="{D8FBF474-04EE-46ED-9B9E-791D937CF715}" name="Valor" dataDxfId="16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22" dataDxfId="1620" headerRowBorderDxfId="1621" tableBorderDxfId="1619" totalsRowBorderDxfId="161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617"/>
    <tableColumn id="2" xr3:uid="{595EF087-A3B2-4C2B-AEEA-F930A6C2F5F4}" name="Cliente" dataDxfId="1616"/>
    <tableColumn id="3" xr3:uid="{C5C2BC75-6E8D-4808-A5EE-A5F9251ECE6C}" name="Forma de Pgto" dataDxfId="1615" dataCellStyle="Moeda"/>
    <tableColumn id="4" xr3:uid="{20CF776B-B9F4-48DD-9379-961689B40B71}" name="Valor Venda" dataDxfId="1614" dataCellStyle="Porcentagem"/>
    <tableColumn id="5" xr3:uid="{65177CB6-6D07-42E6-8EFE-435282A2F5BA}" name="Entrada" dataDxfId="1613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612" dataDxfId="1610" headerRowBorderDxfId="1611" tableBorderDxfId="1609" totalsRowBorderDxfId="160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607"/>
    <tableColumn id="2" xr3:uid="{D1AEFC99-FF9D-4A0D-BE93-D866BDC7A817}" name="Vendedor" dataDxfId="1606"/>
    <tableColumn id="3" xr3:uid="{CA30546E-8A3F-45D5-BE2B-24DCF738F1F2}" name="CARNE" dataDxfId="160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604" dataDxfId="1602" headerRowBorderDxfId="1603" tableBorderDxfId="1601" totalsRowBorderDxfId="160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99"/>
    <tableColumn id="2" xr3:uid="{7D38F106-0145-4B73-951B-86BF22EC7FAB}" name="Cliente" dataDxfId="1598"/>
    <tableColumn id="3" xr3:uid="{11A4EEBE-D35C-4719-B2B9-16486260EF79}" name="Forma de Pgto" dataDxfId="1597" dataCellStyle="Moeda"/>
    <tableColumn id="4" xr3:uid="{1BAB2FC5-9F2C-41DD-994A-6BA83A984883}" name="Valor Parcela" dataDxfId="1596" dataCellStyle="Porcentagem"/>
    <tableColumn id="5" xr3:uid="{8C539F89-5F96-4DB9-B7A4-784EA1B5350C}" name="Nº Parcela" dataDxfId="1595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94" headerRowBorderDxfId="1593" tableBorderDxfId="1592" totalsRowBorderDxfId="1591">
  <autoFilter ref="K34:M41" xr:uid="{1B8643D4-6AC3-4029-882A-C62E9D7CB225}"/>
  <tableColumns count="3">
    <tableColumn id="1" xr3:uid="{0B93901B-D681-410F-8B28-E186D9A3CAC3}" name="OS" dataDxfId="1590"/>
    <tableColumn id="2" xr3:uid="{A57C0E02-6258-48F0-9407-2095CD96B2D4}" name="Parcelas" dataDxfId="1589"/>
    <tableColumn id="3" xr3:uid="{1EA087CF-658D-4951-89BB-508667E3BBBE}" name="Valor Total" dataDxfId="15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587" headerRowBorderDxfId="1586" tableBorderDxfId="1585" totalsRowBorderDxfId="1584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583" dataCellStyle="Moeda"/>
    <tableColumn id="5" xr3:uid="{45BECD08-8ABE-4A34-BD78-E2D3AFB8C62A}" name="Cliente" dataDxfId="1582" dataCellStyle="Moeda"/>
    <tableColumn id="2" xr3:uid="{A0D6666C-9CF7-4343-AF6B-BDFE62F94469}" name="Forma de Pgto" dataDxfId="1581" dataCellStyle="Moeda"/>
    <tableColumn id="3" xr3:uid="{988F127F-9D83-4428-BB94-C16FBBB1BD89}" name="Valor Venda" dataDxfId="1580" dataCellStyle="Porcentagem"/>
    <tableColumn id="4" xr3:uid="{6A2928C3-17B0-4FA3-B60C-9E1A2C0324E1}" name="Entrada" dataDxfId="1579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578" dataDxfId="1576" headerRowBorderDxfId="1577" tableBorderDxfId="1575" totalsRowBorderDxfId="1574">
  <autoFilter ref="K5:M11" xr:uid="{DD403130-B35C-452C-92F9-290622D77A3D}"/>
  <tableColumns count="3">
    <tableColumn id="1" xr3:uid="{FAD87634-3375-4B41-BEC0-5B072F6B52CE}" name="Descrição" dataDxfId="1573"/>
    <tableColumn id="2" xr3:uid="{7688071E-9548-4552-8BB1-3BA5128DF645}" name="Tipo de Pagto" dataDxfId="1572"/>
    <tableColumn id="3" xr3:uid="{2B260C33-79A5-4C5D-9195-15780C53A861}" name="Valor" dataDxfId="157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570" headerRowBorderDxfId="1569" tableBorderDxfId="1568" totalsRowBorderDxfId="1567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566"/>
    <tableColumn id="2" xr3:uid="{606BE417-6802-4580-90D2-86F95EFAAEB7}" name="Cliente" dataDxfId="1565"/>
    <tableColumn id="3" xr3:uid="{2F522A54-F708-4DA3-97E3-CE7C29912E04}" name="Forma de Pgto" dataDxfId="1564" dataCellStyle="Moeda"/>
    <tableColumn id="4" xr3:uid="{7B46EE64-F7F1-4449-A783-67286A94A7C4}" name="Valor Venda" dataDxfId="1563" dataCellStyle="Porcentagem"/>
    <tableColumn id="5" xr3:uid="{389A7D1A-3C35-485E-9958-8A78EF77BE9B}" name="Entrada" dataDxfId="1562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561" headerRowBorderDxfId="1560" tableBorderDxfId="1559" totalsRowBorderDxfId="1558">
  <autoFilter ref="K14:M31" xr:uid="{F07D43AD-1A4D-4B31-96B8-824F8623E518}"/>
  <tableColumns count="3">
    <tableColumn id="1" xr3:uid="{3AF01421-A7B6-4D23-9DA8-C20FAFAFDD9C}" name="OS" dataDxfId="1557"/>
    <tableColumn id="2" xr3:uid="{55DCC30E-EB52-427E-A16A-B2C93A41F1CE}" name="Vendedor" dataDxfId="1556"/>
    <tableColumn id="3" xr3:uid="{23EDA46C-42B4-4F6C-97D9-7040D6B9797C}" name="CARNE" dataDxfId="155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554" headerRowBorderDxfId="1553" tableBorderDxfId="1552" totalsRowBorderDxfId="1551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550"/>
    <tableColumn id="2" xr3:uid="{FBA6EA78-F44B-4D22-A27A-92A91C10551F}" name="Cliente" dataDxfId="1549"/>
    <tableColumn id="3" xr3:uid="{749B4D89-29B3-4987-91D3-6BA3C44D9B96}" name="Forma de Pgto" dataDxfId="1548" dataCellStyle="Moeda"/>
    <tableColumn id="4" xr3:uid="{A84A6598-B291-4809-A78D-AB810461733D}" name="Valor Parcela" dataDxfId="1547" dataCellStyle="Porcentagem"/>
    <tableColumn id="5" xr3:uid="{3C45FEEC-5E06-4ED7-87CD-0097DB6BC817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45" headerRowBorderDxfId="1544" tableBorderDxfId="1543" totalsRowBorderDxfId="1542">
  <autoFilter ref="K34:M41" xr:uid="{42BA126A-AECD-4CD6-8583-BD2352D82FB9}"/>
  <tableColumns count="3">
    <tableColumn id="1" xr3:uid="{0989D88A-7CB7-4008-94FC-B7FFB3CAE582}" name="OS" dataDxfId="1541"/>
    <tableColumn id="2" xr3:uid="{AC9D76CC-A537-4210-9893-E8C57DA30B4D}" name="Parcelas" dataDxfId="1540"/>
    <tableColumn id="3" xr3:uid="{D4D72E6E-DAE0-4860-8606-BFD8E469AE3D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19" totalsRowShown="0" headerRowDxfId="1379" dataDxfId="1377" headerRowBorderDxfId="1378" tableBorderDxfId="1376" totalsRowBorderDxfId="1375">
  <autoFilter ref="E5:I19" xr:uid="{00000000-0009-0000-0100-000014000000}"/>
  <sortState xmlns:xlrd2="http://schemas.microsoft.com/office/spreadsheetml/2017/richdata2" ref="E6:I19">
    <sortCondition ref="E5:E19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2:I26" totalsRowShown="0" headerRowDxfId="1361" dataDxfId="1359" headerRowBorderDxfId="1360" tableBorderDxfId="1358" totalsRowBorderDxfId="1357">
  <autoFilter ref="E22:I26" xr:uid="{00000000-0009-0000-0100-000016000000}"/>
  <sortState xmlns:xlrd2="http://schemas.microsoft.com/office/spreadsheetml/2017/richdata2" ref="E23:I26">
    <sortCondition ref="E22:E26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26" totalsRowShown="0" headerRowDxfId="1351" dataDxfId="1349" headerRowBorderDxfId="1350" tableBorderDxfId="1348" totalsRowBorderDxfId="1347">
  <autoFilter ref="K14:M26" xr:uid="{C83FE64B-E221-4DAA-89EA-5307A7BC98B3}"/>
  <sortState xmlns:xlrd2="http://schemas.microsoft.com/office/spreadsheetml/2017/richdata2" ref="K15:M26">
    <sortCondition ref="K14:K26"/>
  </sortState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29:I42" totalsRowShown="0" headerRowDxfId="1343" dataDxfId="1341" headerRowBorderDxfId="1342" tableBorderDxfId="1340" totalsRowBorderDxfId="1339">
  <autoFilter ref="E29:I42" xr:uid="{B9E2F984-8588-4F2C-9FB9-680284154679}"/>
  <sortState xmlns:xlrd2="http://schemas.microsoft.com/office/spreadsheetml/2017/richdata2" ref="E30:I42">
    <sortCondition ref="E29:E42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29:M42" totalsRowShown="0" headerRowDxfId="1333" headerRowBorderDxfId="1332" tableBorderDxfId="1331" totalsRowBorderDxfId="1330">
  <autoFilter ref="K29:M42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 R$9.615,00 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17" totalsRowShown="0" headerRowDxfId="1167" dataDxfId="1165" headerRowBorderDxfId="1166" tableBorderDxfId="1164" totalsRowBorderDxfId="1163">
  <autoFilter ref="E5:I17" xr:uid="{00000000-0009-0000-0100-000014000000}"/>
  <sortState xmlns:xlrd2="http://schemas.microsoft.com/office/spreadsheetml/2017/richdata2" ref="E6:I17">
    <sortCondition ref="E5:E17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0:I25" totalsRowShown="0" headerRowDxfId="1149" dataDxfId="1147" headerRowBorderDxfId="1148" tableBorderDxfId="1146" totalsRowBorderDxfId="1145">
  <autoFilter ref="E20:I25" xr:uid="{00000000-0009-0000-0100-000016000000}"/>
  <sortState xmlns:xlrd2="http://schemas.microsoft.com/office/spreadsheetml/2017/richdata2" ref="E21:I25">
    <sortCondition ref="E20:E25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25" totalsRowShown="0" headerRowDxfId="1139" dataDxfId="1137" headerRowBorderDxfId="1138" tableBorderDxfId="1136" totalsRowBorderDxfId="1135">
  <autoFilter ref="K14:M25" xr:uid="{C83FE64B-E221-4DAA-89EA-5307A7BC98B3}"/>
  <sortState xmlns:xlrd2="http://schemas.microsoft.com/office/spreadsheetml/2017/richdata2" ref="K15:M25">
    <sortCondition ref="K14:K25"/>
  </sortState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28:I44" totalsRowShown="0" headerRowDxfId="1131" dataDxfId="1129" headerRowBorderDxfId="1130" tableBorderDxfId="1128" totalsRowBorderDxfId="1127">
  <autoFilter ref="E28:I44" xr:uid="{B9E2F984-8588-4F2C-9FB9-680284154679}"/>
  <sortState xmlns:xlrd2="http://schemas.microsoft.com/office/spreadsheetml/2017/richdata2" ref="E29:I44">
    <sortCondition ref="E28:E44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28:M44" totalsRowShown="0" headerRowDxfId="1121" headerRowBorderDxfId="1120" tableBorderDxfId="1119" totalsRowBorderDxfId="1118">
  <autoFilter ref="K28:M44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44" dataCellStyle="Moeda"/>
    <tableColumn id="5" xr3:uid="{08C272CC-0220-47BB-9263-1AA910D9829C}" name="Cliente" dataDxfId="843" dataCellStyle="Moeda"/>
    <tableColumn id="2" xr3:uid="{DF276F1F-7FCA-4CE9-AD90-5340B6E688D4}" name="Forma de Pgto" dataDxfId="842" dataCellStyle="Moeda"/>
    <tableColumn id="3" xr3:uid="{CF6FE509-8C51-4621-87DF-AAD8645E20D4}" name="Valor Venda" dataDxfId="841" dataCellStyle="Porcentagem"/>
    <tableColumn id="4" xr3:uid="{5AB6BADB-DBB7-45C0-89E8-2C836C831FCF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8CE76670-7409-454F-9B3A-4BD739F5C5E3}" name="Descrição" dataDxfId="834"/>
    <tableColumn id="2" xr3:uid="{B2BAF2DB-A6EF-41C6-8A5D-66027E15C8F8}" name="Tipo de Pagto" dataDxfId="833"/>
    <tableColumn id="3" xr3:uid="{99CFD3BD-FC58-49DA-AC21-ACD3EE40336E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826"/>
    <tableColumn id="2" xr3:uid="{B886F79B-BD9C-476A-88F8-CB3F80E42FD0}" name="Cliente" dataDxfId="825"/>
    <tableColumn id="3" xr3:uid="{78D9CA4E-E9E8-4359-8144-996DE0EE7A64}" name="Forma de Pgto" dataDxfId="824" dataCellStyle="Moeda"/>
    <tableColumn id="4" xr3:uid="{F327BA72-0013-44A1-B3CE-07FACF46CAC8}" name="Valor Venda" dataDxfId="823" dataCellStyle="Porcentagem"/>
    <tableColumn id="5" xr3:uid="{20494810-9085-4087-A73E-D3FE8DC5C40D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40D1E49B-6CB3-409E-AFC1-7315BAF42BBF}" name="OS" dataDxfId="816"/>
    <tableColumn id="2" xr3:uid="{4C8709E7-DDF3-475B-9A19-42E8B9FC587D}" name="Vendedor" dataDxfId="815"/>
    <tableColumn id="3" xr3:uid="{185D4DF1-07D8-4494-B6E4-5B4CFC4E2B4E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E02D4ED9-E2A5-495E-891D-41D47DE395C4}" name="OS" dataDxfId="808"/>
    <tableColumn id="2" xr3:uid="{CA06119C-2085-4F7F-B293-65E2AF15EEE5}" name="Cliente" dataDxfId="807"/>
    <tableColumn id="3" xr3:uid="{BF529E56-33D1-40B5-8E7B-EFBAB59D2A71}" name="Forma de Pgto" dataDxfId="806" dataCellStyle="Moeda"/>
    <tableColumn id="4" xr3:uid="{66CAC967-C216-41AB-BBFE-D7EC8E60B5DB}" name="Valor Parcela" dataDxfId="805" dataCellStyle="Porcentagem"/>
    <tableColumn id="5" xr3:uid="{684E478E-5460-400B-8F1B-2956E3BF42E8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803" headerRowBorderDxfId="802" tableBorderDxfId="801" totalsRowBorderDxfId="800">
  <autoFilter ref="K34:M41" xr:uid="{1B8643D4-6AC3-4029-882A-C62E9D7CB225}"/>
  <tableColumns count="3">
    <tableColumn id="1" xr3:uid="{3DD44433-DB26-4FDD-8D11-D1C35C6FECEB}" name="OS" dataDxfId="799"/>
    <tableColumn id="2" xr3:uid="{A9DC5AE8-407E-40E2-8AD6-B02FE1A5CF20}" name="Parcelas" dataDxfId="798"/>
    <tableColumn id="3" xr3:uid="{6A850C65-FE9A-4796-B920-651ED5594439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91" dataCellStyle="Moeda"/>
    <tableColumn id="5" xr3:uid="{2B9E675C-5EB2-4EBC-8FDE-19F93E6E7B08}" name="Cliente" dataDxfId="790" dataCellStyle="Moeda"/>
    <tableColumn id="2" xr3:uid="{04A3548D-E88B-4096-85CB-E08243412A85}" name="Forma de Pgto" dataDxfId="789" dataCellStyle="Moeda"/>
    <tableColumn id="3" xr3:uid="{977F794D-E094-4347-935B-1202B7138C52}" name="Valor Venda" dataDxfId="788" dataCellStyle="Porcentagem"/>
    <tableColumn id="4" xr3:uid="{908F3845-FF06-4899-A550-28B1BE92D1A9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9AC75BC-BCF6-4B22-9F75-0F3CC507495B}" name="Descrição" dataDxfId="781"/>
    <tableColumn id="2" xr3:uid="{61D86D1A-7892-4923-9684-5D9A01F0BD5D}" name="Tipo de Pagto" dataDxfId="780"/>
    <tableColumn id="3" xr3:uid="{3F8C718F-C7FE-423F-9F48-66FB2201CFE2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73"/>
    <tableColumn id="2" xr3:uid="{994EFF98-DD95-4B94-B1C7-D068C1D5212C}" name="Cliente" dataDxfId="772"/>
    <tableColumn id="3" xr3:uid="{7D4E72E0-4CFA-46C9-B3AF-A1654CF194A1}" name="Forma de Pgto" dataDxfId="771" dataCellStyle="Moeda"/>
    <tableColumn id="4" xr3:uid="{EE367263-F1E4-4631-A484-2013B6BA1F27}" name="Valor Venda" dataDxfId="770" dataCellStyle="Porcentagem"/>
    <tableColumn id="5" xr3:uid="{9DA475CB-BD5A-4734-A11F-3BB7DD0D9D7E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68" dataDxfId="766" headerRowBorderDxfId="767" tableBorderDxfId="765" totalsRowBorderDxfId="76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763"/>
    <tableColumn id="2" xr3:uid="{9ED68045-86C7-4BE0-8AE0-0417F1DD76FD}" name="Vendedor" dataDxfId="762"/>
    <tableColumn id="3" xr3:uid="{F4076139-8BF9-457D-ADE6-1BCD435E31BB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55"/>
    <tableColumn id="2" xr3:uid="{E89F59BF-5F0B-4E4E-B2BE-7B739967886D}" name="Cliente" dataDxfId="754"/>
    <tableColumn id="3" xr3:uid="{B348335B-A485-46BE-AECB-0672679F4468}" name="Forma de Pgto" dataDxfId="753" dataCellStyle="Moeda"/>
    <tableColumn id="4" xr3:uid="{73B13E6E-5431-4E90-9A6E-E15737DDA887}" name="Valor Parcela" dataDxfId="752" dataCellStyle="Porcentagem"/>
    <tableColumn id="5" xr3:uid="{C738A843-A8FD-4CB7-B2C8-59810BA17BF2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750" headerRowBorderDxfId="749" tableBorderDxfId="748" totalsRowBorderDxfId="747">
  <autoFilter ref="K34:M41" xr:uid="{1B8643D4-6AC3-4029-882A-C62E9D7CB225}"/>
  <tableColumns count="3">
    <tableColumn id="1" xr3:uid="{3F5F54B7-8999-4296-A374-3780F172D2B8}" name="OS" dataDxfId="746"/>
    <tableColumn id="2" xr3:uid="{5F252D86-495C-4A65-B391-3FF46311DE83}" name="Parcelas" dataDxfId="745"/>
    <tableColumn id="3" xr3:uid="{50E905DA-42A9-43E1-8D51-FD4BDEAB81C8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9AD97-B821-47C0-B71E-0EB7B4BC628C}">
  <we:reference id="63248266-08d5-45e8-82ee-61e691750c34" version="1.0.0.1" store="EXCatalog" storeType="EXCatalog"/>
  <we:alternateReferences>
    <we:reference id="WA200007055" version="1.0.0.1" store="pt-BR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8" sqref="C8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63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51537.86</v>
      </c>
      <c r="P3" t="s">
        <v>130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56893.410000000011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7" t="s">
        <v>4</v>
      </c>
      <c r="B6" s="28">
        <f ca="1">SUM(B4:B5)</f>
        <v>56893.410000000011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2" t="s">
        <v>5</v>
      </c>
      <c r="B8" s="102"/>
      <c r="P8" t="s">
        <v>135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3459.2</v>
      </c>
      <c r="P9" t="s">
        <v>136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9906.4999999999982</v>
      </c>
      <c r="P10" t="s">
        <v>137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29932.3</v>
      </c>
      <c r="P11" t="s">
        <v>138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13595.41</v>
      </c>
      <c r="P13" t="s">
        <v>140</v>
      </c>
    </row>
    <row r="14" spans="1:16" ht="15.75" x14ac:dyDescent="0.25">
      <c r="A14" s="27" t="s">
        <v>11</v>
      </c>
      <c r="B14" s="64">
        <f ca="1">SUM(B9:B13)</f>
        <v>56893.41</v>
      </c>
    </row>
    <row r="15" spans="1:16" ht="15" x14ac:dyDescent="0.25">
      <c r="A15" s="2"/>
      <c r="B15" s="2"/>
    </row>
    <row r="16" spans="1:16" ht="15" x14ac:dyDescent="0.2">
      <c r="A16" s="102" t="s">
        <v>12</v>
      </c>
      <c r="B16" s="102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3234.99</v>
      </c>
    </row>
    <row r="18" spans="1:2" ht="15.75" x14ac:dyDescent="0.25">
      <c r="A18" s="27" t="s">
        <v>11</v>
      </c>
      <c r="B18" s="64">
        <f>SUM(B17:B17)</f>
        <v>3234.99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C6" sqref="C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1">
        <f>'01'!B1+1</f>
        <v>45718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0"/>
      <c r="F6" s="24"/>
      <c r="G6" s="41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0"/>
      <c r="F7" s="24"/>
      <c r="G7" s="41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0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0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0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1"/>
      <c r="F13" s="50"/>
      <c r="G13" s="72"/>
      <c r="H13" s="60"/>
      <c r="I13" s="60"/>
      <c r="J13" s="2"/>
      <c r="K13" s="104" t="s">
        <v>22</v>
      </c>
      <c r="L13" s="105"/>
      <c r="M13" s="106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50"/>
      <c r="G14" s="72"/>
      <c r="H14" s="60"/>
      <c r="I14" s="60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0"/>
      <c r="F15" s="24"/>
      <c r="G15" s="25"/>
      <c r="H15" s="8"/>
      <c r="I15" s="8"/>
      <c r="J15" s="2"/>
      <c r="K15" s="88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0"/>
      <c r="F16" s="24"/>
      <c r="G16" s="25"/>
      <c r="H16" s="8"/>
      <c r="I16" s="8"/>
      <c r="J16" s="2"/>
      <c r="K16" s="88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16"/>
      <c r="R17" s="1">
        <f>IF(vend2[[#This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0"/>
      <c r="F35" s="24"/>
      <c r="G35" s="25"/>
      <c r="H35" s="8"/>
      <c r="I35" s="8"/>
      <c r="K35" s="88"/>
      <c r="L35" s="39"/>
      <c r="M35" s="16"/>
    </row>
    <row r="36" spans="2:21" ht="15.75" x14ac:dyDescent="0.25">
      <c r="E36" s="80"/>
      <c r="F36" s="24"/>
      <c r="G36" s="25"/>
      <c r="H36" s="8"/>
      <c r="I36" s="8"/>
      <c r="K36" s="88"/>
      <c r="L36" s="39"/>
      <c r="M36" s="16"/>
    </row>
    <row r="37" spans="2:21" ht="15.75" x14ac:dyDescent="0.25">
      <c r="E37" s="80"/>
      <c r="F37" s="24"/>
      <c r="G37" s="25"/>
      <c r="H37" s="8"/>
      <c r="I37" s="8"/>
      <c r="K37" s="88"/>
      <c r="L37" s="39"/>
      <c r="M37" s="16"/>
    </row>
    <row r="38" spans="2:21" ht="15.75" x14ac:dyDescent="0.25">
      <c r="E38" s="80"/>
      <c r="F38" s="24"/>
      <c r="G38" s="25"/>
      <c r="H38" s="8"/>
      <c r="I38" s="8"/>
      <c r="K38" s="88"/>
      <c r="L38" s="39"/>
      <c r="M38" s="16"/>
    </row>
    <row r="39" spans="2:21" ht="15.75" x14ac:dyDescent="0.25">
      <c r="E39" s="80"/>
      <c r="F39" s="37"/>
      <c r="G39" s="25"/>
      <c r="H39" s="8"/>
      <c r="I39" s="8"/>
      <c r="K39" s="88"/>
      <c r="L39" s="39"/>
      <c r="M39" s="16"/>
    </row>
    <row r="40" spans="2:21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0</v>
      </c>
    </row>
    <row r="41" spans="2:21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10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v>45717</v>
      </c>
    </row>
    <row r="2" spans="2:18" ht="18.75" x14ac:dyDescent="0.2">
      <c r="B2" s="107" t="s">
        <v>127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1485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1566.5</v>
      </c>
      <c r="D6" s="2"/>
      <c r="E6" s="80">
        <v>10625</v>
      </c>
      <c r="F6" s="24" t="s">
        <v>142</v>
      </c>
      <c r="G6" s="25" t="s">
        <v>8</v>
      </c>
      <c r="H6" s="8">
        <v>105</v>
      </c>
      <c r="I6" s="8">
        <v>105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10626</v>
      </c>
      <c r="F7" s="24" t="s">
        <v>143</v>
      </c>
      <c r="G7" s="25" t="s">
        <v>7</v>
      </c>
      <c r="H7" s="8">
        <v>245</v>
      </c>
      <c r="I7" s="8">
        <v>245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1566.5</v>
      </c>
      <c r="D8" s="2"/>
      <c r="E8" s="80">
        <v>10627</v>
      </c>
      <c r="F8" s="24" t="s">
        <v>143</v>
      </c>
      <c r="G8" s="25" t="s">
        <v>7</v>
      </c>
      <c r="H8" s="8">
        <v>245</v>
      </c>
      <c r="I8" s="8">
        <v>245</v>
      </c>
      <c r="J8" s="2"/>
      <c r="K8" s="24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80">
        <v>10628</v>
      </c>
      <c r="F9" s="24" t="s">
        <v>142</v>
      </c>
      <c r="G9" s="25" t="s">
        <v>7</v>
      </c>
      <c r="H9" s="8">
        <v>100</v>
      </c>
      <c r="I9" s="8">
        <v>100</v>
      </c>
      <c r="J9" s="2"/>
      <c r="K9" s="24"/>
      <c r="L9" s="9"/>
      <c r="M9" s="16"/>
      <c r="R9" s="1">
        <f>IF(vend1[[#This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10629</v>
      </c>
      <c r="F10" s="24" t="s">
        <v>144</v>
      </c>
      <c r="G10" s="25" t="s">
        <v>10</v>
      </c>
      <c r="H10" s="8">
        <v>790</v>
      </c>
      <c r="I10" s="8">
        <v>200</v>
      </c>
      <c r="J10" s="2"/>
      <c r="K10" s="24"/>
      <c r="L10" s="9"/>
      <c r="M10" s="16"/>
      <c r="R10" s="1">
        <f>IF(vend1[[#This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590</v>
      </c>
      <c r="D12" s="2"/>
      <c r="E12" s="80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604</v>
      </c>
      <c r="D13" s="2"/>
      <c r="E13" s="8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372.5</v>
      </c>
      <c r="D15" s="2"/>
      <c r="E15" s="80"/>
      <c r="F15" s="24"/>
      <c r="G15" s="25"/>
      <c r="H15" s="8"/>
      <c r="I15" s="8"/>
      <c r="J15" s="2"/>
      <c r="K15" s="88">
        <v>10583</v>
      </c>
      <c r="L15" s="9" t="s">
        <v>129</v>
      </c>
      <c r="M15" s="16" t="s">
        <v>145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1566.5</v>
      </c>
      <c r="D16" s="2"/>
      <c r="E16" s="80"/>
      <c r="F16" s="24"/>
      <c r="G16" s="25"/>
      <c r="H16" s="8"/>
      <c r="I16" s="8"/>
      <c r="J16" s="2"/>
      <c r="K16" s="88">
        <v>10595</v>
      </c>
      <c r="L16" s="9" t="s">
        <v>129</v>
      </c>
      <c r="M16" s="16" t="s">
        <v>145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10388</v>
      </c>
      <c r="L17" s="9" t="s">
        <v>136</v>
      </c>
      <c r="M17" s="16" t="s">
        <v>145</v>
      </c>
      <c r="R17" s="1">
        <f>IF(vend1[[#This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10568</v>
      </c>
      <c r="L18" s="9" t="s">
        <v>129</v>
      </c>
      <c r="M18" s="16" t="s">
        <v>145</v>
      </c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80"/>
      <c r="F19" s="24"/>
      <c r="G19" s="25"/>
      <c r="H19" s="8"/>
      <c r="I19" s="8"/>
      <c r="J19" s="2"/>
      <c r="K19" s="88">
        <v>10628</v>
      </c>
      <c r="L19" s="9" t="s">
        <v>129</v>
      </c>
      <c r="M19" s="16" t="s">
        <v>145</v>
      </c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>
        <v>10569</v>
      </c>
      <c r="L20" s="9" t="s">
        <v>129</v>
      </c>
      <c r="M20" s="16" t="s">
        <v>145</v>
      </c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>
        <v>10549</v>
      </c>
      <c r="L21" s="9" t="s">
        <v>129</v>
      </c>
      <c r="M21" s="16" t="s">
        <v>145</v>
      </c>
    </row>
    <row r="22" spans="2:18" ht="15.75" x14ac:dyDescent="0.25">
      <c r="B22" s="27" t="s">
        <v>26</v>
      </c>
      <c r="C22" s="31">
        <f>C5</f>
        <v>1485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10549</v>
      </c>
      <c r="F26" s="24" t="s">
        <v>146</v>
      </c>
      <c r="G26" s="25" t="s">
        <v>8</v>
      </c>
      <c r="H26" s="8"/>
      <c r="I26" s="8">
        <v>499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9845</v>
      </c>
      <c r="F35" s="24" t="s">
        <v>147</v>
      </c>
      <c r="G35" s="25" t="s">
        <v>10</v>
      </c>
      <c r="H35" s="8">
        <v>72.5</v>
      </c>
      <c r="I35" s="8" t="s">
        <v>38</v>
      </c>
      <c r="K35" s="88"/>
      <c r="L35" s="39"/>
      <c r="M35" s="16"/>
    </row>
    <row r="36" spans="2:18" ht="15.75" x14ac:dyDescent="0.25">
      <c r="E36" s="80">
        <v>9565</v>
      </c>
      <c r="F36" s="24" t="s">
        <v>148</v>
      </c>
      <c r="G36" s="25" t="s">
        <v>10</v>
      </c>
      <c r="H36" s="8">
        <v>100</v>
      </c>
      <c r="I36" s="8" t="s">
        <v>43</v>
      </c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5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view="pageBreakPreview" zoomScale="60" zoomScaleNormal="9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'02'!B1+1</f>
        <v>45719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1240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1746.6599999999999</v>
      </c>
      <c r="D6" s="2"/>
      <c r="E6" s="80">
        <v>10630</v>
      </c>
      <c r="F6" s="24" t="s">
        <v>149</v>
      </c>
      <c r="G6" s="41" t="s">
        <v>8</v>
      </c>
      <c r="H6" s="8">
        <v>600</v>
      </c>
      <c r="I6" s="8">
        <v>600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10631</v>
      </c>
      <c r="F7" s="24" t="s">
        <v>149</v>
      </c>
      <c r="G7" s="25" t="s">
        <v>8</v>
      </c>
      <c r="H7" s="8">
        <v>600</v>
      </c>
      <c r="I7" s="8">
        <v>600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1746.6599999999999</v>
      </c>
      <c r="D8" s="2"/>
      <c r="E8" s="80">
        <v>10632</v>
      </c>
      <c r="F8" s="24" t="s">
        <v>152</v>
      </c>
      <c r="G8" s="25" t="s">
        <v>7</v>
      </c>
      <c r="H8" s="8">
        <v>40</v>
      </c>
      <c r="I8" s="8">
        <v>40</v>
      </c>
      <c r="J8" s="2"/>
      <c r="K8" s="24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80">
        <v>10633</v>
      </c>
      <c r="F9" s="24" t="s">
        <v>151</v>
      </c>
      <c r="G9" s="25" t="s">
        <v>40</v>
      </c>
      <c r="H9" s="8">
        <v>0</v>
      </c>
      <c r="I9" s="8">
        <v>0</v>
      </c>
      <c r="J9" s="2"/>
      <c r="K9" s="24"/>
      <c r="L9" s="9"/>
      <c r="M9" s="16"/>
      <c r="R9" s="1">
        <f>IF(vend3[[#This Row],[Nº Venda]]&gt;1,1,0)</f>
        <v>1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130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</v>
      </c>
      <c r="D12" s="2"/>
      <c r="E12" s="80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1200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376.65999999999997</v>
      </c>
      <c r="D15" s="2"/>
      <c r="E15" s="80"/>
      <c r="F15" s="24"/>
      <c r="G15" s="25"/>
      <c r="H15" s="8"/>
      <c r="I15" s="8"/>
      <c r="J15" s="2"/>
      <c r="K15" s="88">
        <v>10495</v>
      </c>
      <c r="L15" s="9" t="s">
        <v>129</v>
      </c>
      <c r="M15" s="16" t="s">
        <v>145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1746.6599999999999</v>
      </c>
      <c r="D16" s="2"/>
      <c r="E16" s="80"/>
      <c r="F16" s="24"/>
      <c r="G16" s="25"/>
      <c r="H16" s="8"/>
      <c r="I16" s="8"/>
      <c r="J16" s="2"/>
      <c r="K16" s="88">
        <v>10536</v>
      </c>
      <c r="L16" s="9" t="s">
        <v>129</v>
      </c>
      <c r="M16" s="16" t="s">
        <v>145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10547</v>
      </c>
      <c r="L17" s="9" t="s">
        <v>129</v>
      </c>
      <c r="M17" s="16" t="s">
        <v>145</v>
      </c>
      <c r="R17" s="1">
        <f>IF(vend3[[#This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10553</v>
      </c>
      <c r="L18" s="9" t="s">
        <v>129</v>
      </c>
      <c r="M18" s="16" t="s">
        <v>150</v>
      </c>
      <c r="R18" s="1">
        <f>IF(vend3[[#This Row],[Nº Venda]]&gt;1,1,0)</f>
        <v>0</v>
      </c>
    </row>
    <row r="19" spans="2:18" ht="15.75" x14ac:dyDescent="0.25">
      <c r="B19" s="29">
        <f>COUNT(entr_carn3[OS])</f>
        <v>1</v>
      </c>
      <c r="C19" s="30">
        <f>SUM(entr_carn3[Valor Total])</f>
        <v>580</v>
      </c>
      <c r="D19" s="2"/>
      <c r="E19" s="80"/>
      <c r="F19" s="24"/>
      <c r="G19" s="25"/>
      <c r="H19" s="8"/>
      <c r="I19" s="8"/>
      <c r="J19" s="2"/>
      <c r="K19" s="88">
        <v>10597</v>
      </c>
      <c r="L19" s="9" t="s">
        <v>129</v>
      </c>
      <c r="M19" s="16" t="s">
        <v>145</v>
      </c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580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1240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10553</v>
      </c>
      <c r="F26" s="24" t="s">
        <v>156</v>
      </c>
      <c r="G26" s="41" t="s">
        <v>10</v>
      </c>
      <c r="H26" s="8"/>
      <c r="I26" s="8">
        <v>180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9764</v>
      </c>
      <c r="F35" s="24" t="s">
        <v>153</v>
      </c>
      <c r="G35" s="25" t="s">
        <v>6</v>
      </c>
      <c r="H35" s="8">
        <v>130</v>
      </c>
      <c r="I35" s="8" t="s">
        <v>81</v>
      </c>
      <c r="K35" s="88">
        <v>10553</v>
      </c>
      <c r="L35" s="39"/>
      <c r="M35" s="16">
        <v>580</v>
      </c>
    </row>
    <row r="36" spans="2:18" ht="15.75" x14ac:dyDescent="0.25">
      <c r="E36" s="80">
        <v>9764</v>
      </c>
      <c r="F36" s="24" t="s">
        <v>153</v>
      </c>
      <c r="G36" s="25" t="s">
        <v>10</v>
      </c>
      <c r="H36" s="8">
        <v>36.659999999999997</v>
      </c>
      <c r="I36" s="8" t="s">
        <v>81</v>
      </c>
      <c r="K36" s="88"/>
      <c r="L36" s="39"/>
      <c r="M36" s="16"/>
    </row>
    <row r="37" spans="2:18" ht="15.75" x14ac:dyDescent="0.25">
      <c r="E37" s="80">
        <v>9800</v>
      </c>
      <c r="F37" s="24" t="s">
        <v>155</v>
      </c>
      <c r="G37" s="25" t="s">
        <v>10</v>
      </c>
      <c r="H37" s="8">
        <v>92</v>
      </c>
      <c r="I37" s="8" t="s">
        <v>81</v>
      </c>
      <c r="K37" s="88"/>
      <c r="L37" s="39"/>
      <c r="M37" s="16"/>
    </row>
    <row r="38" spans="2:18" ht="15.75" x14ac:dyDescent="0.25">
      <c r="E38" s="80">
        <v>10125</v>
      </c>
      <c r="F38" s="24" t="s">
        <v>154</v>
      </c>
      <c r="G38" s="25" t="s">
        <v>10</v>
      </c>
      <c r="H38" s="8">
        <v>68</v>
      </c>
      <c r="I38" s="8" t="s">
        <v>54</v>
      </c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4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'03'!B1+1</f>
        <v>45720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0"/>
      <c r="F6" s="24"/>
      <c r="G6" s="41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0"/>
      <c r="F7" s="24"/>
      <c r="G7" s="41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0"/>
      <c r="F8" s="24"/>
      <c r="G8" s="41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80"/>
      <c r="F9" s="24"/>
      <c r="G9" s="41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0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80"/>
      <c r="F15" s="24"/>
      <c r="G15" s="25"/>
      <c r="H15" s="8"/>
      <c r="I15" s="8"/>
      <c r="J15" s="2"/>
      <c r="K15" s="88"/>
      <c r="L15" s="9"/>
      <c r="M15" s="48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80"/>
      <c r="F16" s="24"/>
      <c r="G16" s="25"/>
      <c r="H16" s="8"/>
      <c r="I16" s="8"/>
      <c r="J16" s="2"/>
      <c r="K16" s="88"/>
      <c r="L16" s="9"/>
      <c r="M16" s="48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48"/>
      <c r="R17" s="1">
        <f>IF(vend4[[#This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41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41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41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/>
      <c r="L35" s="39"/>
      <c r="M35" s="16"/>
    </row>
    <row r="36" spans="2:18" ht="15.75" x14ac:dyDescent="0.25">
      <c r="E36" s="80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zoomScale="60" zoomScaleNormal="77" workbookViewId="0">
      <selection activeCell="G8" sqref="G8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7.140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13.7109375" style="3" customWidth="1"/>
    <col min="12" max="12" width="18.7109375" style="3" customWidth="1"/>
    <col min="13" max="13" width="10.5703125" style="3" customWidth="1"/>
    <col min="14" max="14" width="2.140625" style="1" hidden="1" customWidth="1"/>
    <col min="15" max="15" width="9.140625" style="1" hidden="1" customWidth="1"/>
    <col min="16" max="16" width="11.42578125" style="1" hidden="1" customWidth="1"/>
    <col min="17" max="18" width="2.42578125" style="1" hidden="1" customWidth="1"/>
    <col min="19" max="19" width="0" style="1" hidden="1" customWidth="1"/>
    <col min="20" max="16384" width="9.140625" style="1"/>
  </cols>
  <sheetData>
    <row r="1" spans="2:17" ht="31.5" x14ac:dyDescent="0.5">
      <c r="B1" s="71">
        <f>'04'!B1+1</f>
        <v>45721</v>
      </c>
    </row>
    <row r="2" spans="2:17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7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7" ht="15" x14ac:dyDescent="0.25">
      <c r="B5" s="22" t="s">
        <v>1</v>
      </c>
      <c r="C5" s="23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7" ht="15.75" x14ac:dyDescent="0.25">
      <c r="B6" s="22" t="s">
        <v>2</v>
      </c>
      <c r="C6" s="23">
        <f>C16</f>
        <v>912.37</v>
      </c>
      <c r="D6" s="2"/>
      <c r="E6" s="80">
        <v>10634</v>
      </c>
      <c r="F6" s="24" t="s">
        <v>157</v>
      </c>
      <c r="G6" s="41" t="s">
        <v>6</v>
      </c>
      <c r="H6" s="8">
        <v>200</v>
      </c>
      <c r="I6" s="8">
        <v>10</v>
      </c>
      <c r="J6" s="2"/>
      <c r="K6" s="24"/>
      <c r="L6" s="9"/>
      <c r="M6" s="16"/>
      <c r="Q6" s="1">
        <f>IF(vend5[[#This Row],[Nº Venda]]&gt;1,1,0)</f>
        <v>1</v>
      </c>
    </row>
    <row r="7" spans="2:17" ht="15.75" x14ac:dyDescent="0.25">
      <c r="B7" s="22" t="s">
        <v>3</v>
      </c>
      <c r="C7" s="23">
        <f>SUM(M6:M11)</f>
        <v>0</v>
      </c>
      <c r="D7" s="2"/>
      <c r="E7" s="80">
        <v>10635</v>
      </c>
      <c r="F7" s="24" t="s">
        <v>157</v>
      </c>
      <c r="G7" s="41" t="s">
        <v>6</v>
      </c>
      <c r="H7" s="8">
        <v>450</v>
      </c>
      <c r="I7" s="8">
        <v>10</v>
      </c>
      <c r="J7" s="2"/>
      <c r="K7" s="24"/>
      <c r="L7" s="9"/>
      <c r="M7" s="16"/>
      <c r="Q7" s="1">
        <f>IF(vend5[[#This Row],[Nº Venda]]&gt;1,1,0)</f>
        <v>1</v>
      </c>
    </row>
    <row r="8" spans="2:17" ht="15.75" x14ac:dyDescent="0.25">
      <c r="B8" s="27" t="s">
        <v>21</v>
      </c>
      <c r="C8" s="28">
        <f>SUM(C6:C7)</f>
        <v>912.37</v>
      </c>
      <c r="D8" s="2"/>
      <c r="E8" s="80">
        <v>10636</v>
      </c>
      <c r="F8" s="24" t="s">
        <v>158</v>
      </c>
      <c r="G8" s="41" t="s">
        <v>8</v>
      </c>
      <c r="H8" s="8">
        <v>50</v>
      </c>
      <c r="I8" s="8">
        <v>50</v>
      </c>
      <c r="J8" s="2"/>
      <c r="K8" s="24"/>
      <c r="L8" s="9"/>
      <c r="M8" s="16"/>
      <c r="Q8" s="1">
        <f>IF(vend5[[#This Row],[Nº Venda]]&gt;1,1,0)</f>
        <v>1</v>
      </c>
    </row>
    <row r="9" spans="2:17" ht="15.75" x14ac:dyDescent="0.25">
      <c r="B9" s="2"/>
      <c r="C9" s="2"/>
      <c r="D9" s="2"/>
      <c r="E9" s="80"/>
      <c r="F9" s="24"/>
      <c r="G9" s="41"/>
      <c r="H9" s="8"/>
      <c r="I9" s="8"/>
      <c r="J9" s="2"/>
      <c r="K9" s="24"/>
      <c r="L9" s="9"/>
      <c r="M9" s="16"/>
      <c r="Q9" s="1">
        <f>IF(vend5[[#This Row],[Nº Venda]]&gt;1,1,0)</f>
        <v>0</v>
      </c>
    </row>
    <row r="10" spans="2:17" ht="15.75" x14ac:dyDescent="0.25">
      <c r="B10" s="102" t="s">
        <v>5</v>
      </c>
      <c r="C10" s="102"/>
      <c r="D10" s="2"/>
      <c r="E10" s="80"/>
      <c r="F10" s="24"/>
      <c r="G10" s="41"/>
      <c r="H10" s="8"/>
      <c r="I10" s="8"/>
      <c r="J10" s="2"/>
      <c r="K10" s="24"/>
      <c r="L10" s="9"/>
      <c r="M10" s="16"/>
      <c r="Q10" s="1">
        <f>IF(vend5[[#This Row],[Nº Venda]]&gt;1,1,0)</f>
        <v>0</v>
      </c>
    </row>
    <row r="11" spans="2:17" ht="15.75" x14ac:dyDescent="0.25">
      <c r="B11" s="29" t="s">
        <v>6</v>
      </c>
      <c r="C11" s="30">
        <f>(SUMIF($G$2:$G$31,B11,$I$2:$I$31))+(SUMIF($G$35:$G$41,B11,$H$35:$H$41))</f>
        <v>145</v>
      </c>
      <c r="D11" s="2"/>
      <c r="E11" s="80"/>
      <c r="F11" s="24"/>
      <c r="G11" s="41"/>
      <c r="H11" s="8"/>
      <c r="I11" s="8"/>
      <c r="J11" s="2"/>
      <c r="K11" s="26"/>
      <c r="L11" s="9"/>
      <c r="M11" s="16"/>
      <c r="N11" s="1">
        <f>IF(C16=0,0,1)</f>
        <v>1</v>
      </c>
      <c r="Q11" s="1">
        <f>IF(vend5[[#This Row],[Nº Venda]]&gt;1,1,0)</f>
        <v>0</v>
      </c>
    </row>
    <row r="12" spans="2:17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80"/>
      <c r="F12" s="24"/>
      <c r="G12" s="25"/>
      <c r="H12" s="8"/>
      <c r="I12" s="8"/>
      <c r="J12" s="2"/>
      <c r="Q12" s="1">
        <f>IF(vend5[[#This Row],[Nº Venda]]&gt;1,1,0)</f>
        <v>0</v>
      </c>
    </row>
    <row r="13" spans="2:17" ht="15.75" x14ac:dyDescent="0.25">
      <c r="B13" s="29" t="s">
        <v>8</v>
      </c>
      <c r="C13" s="30">
        <f t="shared" si="0"/>
        <v>50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Q13" s="1">
        <f>IF(vend5[[#This Row],[Nº Venda]]&gt;1,1,0)</f>
        <v>0</v>
      </c>
    </row>
    <row r="14" spans="2:17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Q14" s="1">
        <f>IF(vend5[[#This Row],[Nº Venda]]&gt;1,1,0)</f>
        <v>0</v>
      </c>
    </row>
    <row r="15" spans="2:17" ht="15.75" x14ac:dyDescent="0.25">
      <c r="B15" s="29" t="s">
        <v>10</v>
      </c>
      <c r="C15" s="30">
        <f t="shared" si="0"/>
        <v>617.37</v>
      </c>
      <c r="D15" s="2"/>
      <c r="E15" s="80"/>
      <c r="F15" s="24"/>
      <c r="G15" s="25"/>
      <c r="H15" s="8"/>
      <c r="I15" s="8"/>
      <c r="J15" s="2"/>
      <c r="K15" s="88">
        <v>10531</v>
      </c>
      <c r="L15" s="9" t="s">
        <v>136</v>
      </c>
      <c r="M15" s="96" t="s">
        <v>145</v>
      </c>
      <c r="Q15" s="1">
        <f>IF(vend5[[#This Row],[Nº Venda]]&gt;1,1,0)</f>
        <v>0</v>
      </c>
    </row>
    <row r="16" spans="2:17" ht="15.75" x14ac:dyDescent="0.25">
      <c r="B16" s="27" t="s">
        <v>11</v>
      </c>
      <c r="C16" s="31">
        <f>SUM(C11:C15)</f>
        <v>912.37</v>
      </c>
      <c r="D16" s="2"/>
      <c r="E16" s="80"/>
      <c r="F16" s="24"/>
      <c r="G16" s="25"/>
      <c r="H16" s="8"/>
      <c r="I16" s="8"/>
      <c r="J16" s="2"/>
      <c r="K16" s="88">
        <v>10636</v>
      </c>
      <c r="L16" s="9" t="s">
        <v>129</v>
      </c>
      <c r="M16" s="97" t="s">
        <v>145</v>
      </c>
      <c r="Q16" s="1">
        <f>IF(vend5[[#This Row],[Nº Venda]]&gt;1,1,0)</f>
        <v>0</v>
      </c>
    </row>
    <row r="17" spans="2:17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16"/>
      <c r="Q17" s="1">
        <f>IF(vend5[[#This Row],[Nº Venda]]&gt;1,1,0)</f>
        <v>0</v>
      </c>
    </row>
    <row r="18" spans="2:17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Q18" s="1">
        <f>IF(vend5[[#This Row],[Nº Venda]]&gt;1,1,0)</f>
        <v>0</v>
      </c>
    </row>
    <row r="19" spans="2:17" ht="15.75" x14ac:dyDescent="0.25">
      <c r="B19" s="29">
        <f>COUNT(entr_carn5[OS])</f>
        <v>0</v>
      </c>
      <c r="C19" s="30">
        <f>SUM(entr_carn5[Valor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Q19" s="1">
        <f>IF(vend5[[#This Row],[Nº Venda]]&gt;1,1,0)</f>
        <v>0</v>
      </c>
    </row>
    <row r="20" spans="2:17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Q20" s="1">
        <f>IF(vend5[[#This Row],[Nº Venda]]&gt;1,1,0)</f>
        <v>0</v>
      </c>
    </row>
    <row r="21" spans="2:17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7" ht="15.75" x14ac:dyDescent="0.25">
      <c r="B22" s="27" t="s">
        <v>26</v>
      </c>
      <c r="C22" s="31">
        <f>C5</f>
        <v>700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7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7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7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7" ht="15.75" x14ac:dyDescent="0.25">
      <c r="B26" s="2"/>
      <c r="C26" s="2"/>
      <c r="D26" s="2"/>
      <c r="E26" s="80"/>
      <c r="F26" s="24"/>
      <c r="G26" s="41"/>
      <c r="H26" s="8"/>
      <c r="I26" s="8"/>
      <c r="J26" s="2"/>
      <c r="K26" s="88"/>
      <c r="L26" s="9"/>
      <c r="M26" s="16"/>
    </row>
    <row r="27" spans="2:17" ht="15.75" x14ac:dyDescent="0.25">
      <c r="B27" s="2"/>
      <c r="C27" s="2"/>
      <c r="D27" s="2"/>
      <c r="E27" s="80"/>
      <c r="F27" s="24"/>
      <c r="G27" s="41"/>
      <c r="H27" s="8"/>
      <c r="I27" s="8"/>
      <c r="J27" s="2"/>
      <c r="K27" s="88"/>
      <c r="L27" s="9"/>
      <c r="M27" s="16"/>
    </row>
    <row r="28" spans="2:17" ht="15.75" x14ac:dyDescent="0.25">
      <c r="B28" s="2"/>
      <c r="C28" s="2"/>
      <c r="D28" s="2"/>
      <c r="E28" s="80"/>
      <c r="F28" s="24"/>
      <c r="G28" s="41"/>
      <c r="H28" s="8"/>
      <c r="I28" s="8"/>
      <c r="J28" s="2"/>
      <c r="K28" s="88"/>
      <c r="L28" s="9"/>
      <c r="M28" s="16"/>
    </row>
    <row r="29" spans="2:17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7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7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7" ht="15" x14ac:dyDescent="0.25">
      <c r="B32" s="2"/>
      <c r="C32" s="2"/>
      <c r="E32" s="32"/>
    </row>
    <row r="33" spans="2:17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7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7" ht="15.75" x14ac:dyDescent="0.25">
      <c r="E35" s="80">
        <v>9375</v>
      </c>
      <c r="F35" s="24" t="s">
        <v>161</v>
      </c>
      <c r="G35" s="25" t="s">
        <v>10</v>
      </c>
      <c r="H35" s="8">
        <v>110.12</v>
      </c>
      <c r="I35" s="8" t="s">
        <v>51</v>
      </c>
      <c r="K35" s="88"/>
      <c r="L35" s="39"/>
      <c r="M35" s="16"/>
    </row>
    <row r="36" spans="2:17" ht="15.75" x14ac:dyDescent="0.25">
      <c r="E36" s="87">
        <v>9436</v>
      </c>
      <c r="F36" s="24" t="s">
        <v>160</v>
      </c>
      <c r="G36" s="25" t="s">
        <v>6</v>
      </c>
      <c r="H36" s="8">
        <v>125</v>
      </c>
      <c r="I36" s="8" t="s">
        <v>51</v>
      </c>
      <c r="K36" s="88"/>
      <c r="L36" s="39"/>
      <c r="M36" s="16"/>
    </row>
    <row r="37" spans="2:17" ht="15.75" x14ac:dyDescent="0.25">
      <c r="E37" s="80">
        <v>9441</v>
      </c>
      <c r="F37" s="37" t="s">
        <v>163</v>
      </c>
      <c r="G37" s="25" t="s">
        <v>10</v>
      </c>
      <c r="H37" s="8">
        <v>356.25</v>
      </c>
      <c r="I37" s="8" t="s">
        <v>56</v>
      </c>
      <c r="K37" s="88"/>
      <c r="L37" s="39"/>
      <c r="M37" s="16"/>
    </row>
    <row r="38" spans="2:17" ht="15.75" x14ac:dyDescent="0.25">
      <c r="E38" s="80">
        <v>9916</v>
      </c>
      <c r="F38" s="24" t="s">
        <v>162</v>
      </c>
      <c r="G38" s="25" t="s">
        <v>10</v>
      </c>
      <c r="H38" s="8">
        <v>151</v>
      </c>
      <c r="I38" s="8" t="s">
        <v>80</v>
      </c>
      <c r="K38" s="88"/>
      <c r="L38" s="39"/>
      <c r="M38" s="16"/>
    </row>
    <row r="39" spans="2:17" ht="15.75" x14ac:dyDescent="0.25">
      <c r="E39" s="80">
        <v>10353</v>
      </c>
      <c r="F39" s="24" t="s">
        <v>159</v>
      </c>
      <c r="G39" s="25" t="s">
        <v>7</v>
      </c>
      <c r="H39" s="8">
        <v>100</v>
      </c>
      <c r="I39" s="8" t="s">
        <v>53</v>
      </c>
      <c r="K39" s="88"/>
      <c r="L39" s="39"/>
      <c r="M39" s="16"/>
    </row>
    <row r="40" spans="2:17" ht="15.75" x14ac:dyDescent="0.25">
      <c r="E40" s="82"/>
      <c r="F40" s="34"/>
      <c r="G40" s="35"/>
      <c r="H40" s="17"/>
      <c r="I40" s="8"/>
      <c r="K40" s="89"/>
      <c r="L40" s="40"/>
      <c r="M40" s="38"/>
      <c r="P40" s="1" t="s">
        <v>36</v>
      </c>
      <c r="Q40" s="1">
        <f>SUM(Q6:Q21)</f>
        <v>3</v>
      </c>
    </row>
    <row r="41" spans="2:17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3"/>
  <sheetViews>
    <sheetView showGridLines="0" view="pageBreakPreview" zoomScale="60" zoomScaleNormal="74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'05'!B1+1</f>
        <v>45722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SUMIF(I6:I26,"&gt;0",H6:H26)</f>
        <v>339.99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2363.38</v>
      </c>
      <c r="D6" s="2"/>
      <c r="E6" s="80">
        <v>10637</v>
      </c>
      <c r="F6" s="24" t="s">
        <v>157</v>
      </c>
      <c r="G6" s="25" t="s">
        <v>7</v>
      </c>
      <c r="H6" s="8">
        <v>40</v>
      </c>
      <c r="I6" s="8">
        <v>40</v>
      </c>
      <c r="J6" s="2"/>
      <c r="K6" s="24"/>
      <c r="L6" s="9"/>
      <c r="M6" s="16"/>
      <c r="R6" s="1">
        <f>IF(vend[[#This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10638</v>
      </c>
      <c r="F7" s="24" t="s">
        <v>164</v>
      </c>
      <c r="G7" s="25" t="s">
        <v>7</v>
      </c>
      <c r="H7" s="8">
        <v>50</v>
      </c>
      <c r="I7" s="8">
        <v>50</v>
      </c>
      <c r="J7" s="2"/>
      <c r="K7" s="24"/>
      <c r="L7" s="9"/>
      <c r="M7" s="16"/>
      <c r="R7" s="1">
        <f>IF(vend[[#This Row],[Nº Venda]]&gt;1,1,0)</f>
        <v>1</v>
      </c>
    </row>
    <row r="8" spans="2:18" ht="15.75" x14ac:dyDescent="0.25">
      <c r="B8" s="27" t="s">
        <v>21</v>
      </c>
      <c r="C8" s="28">
        <f>SUM(C6:C7)</f>
        <v>2363.38</v>
      </c>
      <c r="D8" s="2"/>
      <c r="E8" s="80">
        <v>10639</v>
      </c>
      <c r="F8" s="24" t="s">
        <v>165</v>
      </c>
      <c r="G8" s="25" t="s">
        <v>8</v>
      </c>
      <c r="H8" s="8">
        <v>150</v>
      </c>
      <c r="I8" s="8">
        <v>150</v>
      </c>
      <c r="J8" s="2"/>
      <c r="K8" s="24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80">
        <v>10640</v>
      </c>
      <c r="F9" s="24" t="s">
        <v>166</v>
      </c>
      <c r="G9" s="25" t="s">
        <v>8</v>
      </c>
      <c r="H9" s="8">
        <v>99.99</v>
      </c>
      <c r="I9" s="8">
        <v>99.9</v>
      </c>
      <c r="J9" s="2"/>
      <c r="K9" s="24"/>
      <c r="L9" s="9"/>
      <c r="M9" s="16"/>
      <c r="R9" s="1">
        <f>IF(vend[[#This Row],[Nº Venda]]&gt;1,1,0)</f>
        <v>1</v>
      </c>
    </row>
    <row r="10" spans="2:18" ht="15.75" x14ac:dyDescent="0.25">
      <c r="B10" s="102" t="s">
        <v>5</v>
      </c>
      <c r="C10" s="102"/>
      <c r="D10" s="2"/>
      <c r="E10" s="80"/>
      <c r="F10" s="47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68">
        <f>(SUMIF($G$2:$G$26,B11,$I$2:$I$26))+(SUMIF($G$30:$G$42,B11,$H$30:$H$42))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68">
        <f>(SUMIF($G$2:$G$26,B12,$I$2:$I$26))+(SUMIF($G$30:$G$42,B12,$H$30:$H$42))</f>
        <v>779.4</v>
      </c>
      <c r="D12" s="2"/>
      <c r="E12" s="80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68">
        <f>(SUMIF($G$2:$G$26,B13,$I$2:$I$26))+(SUMIF($G$30:$G$42,B13,$H$30:$H$42))</f>
        <v>249.9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IF(vend[[#This Row],[Nº Venda]]&gt;1,1,0)</f>
        <v>0</v>
      </c>
    </row>
    <row r="14" spans="2:18" ht="15.75" x14ac:dyDescent="0.25">
      <c r="B14" s="29" t="s">
        <v>9</v>
      </c>
      <c r="C14" s="68">
        <f>(SUMIF($G$2:$G$26,B14,$I$2:$I$26))+(SUMIF($G$30:$G$42,B14,$H$30:$H$42))</f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68">
        <f>(SUMIF($G$2:$G$26,B15,$I$2:$I$26))+(SUMIF($G$30:$G$42,B15,$H$30:$H$42))</f>
        <v>1334.08</v>
      </c>
      <c r="D15" s="2"/>
      <c r="E15" s="80"/>
      <c r="F15" s="24"/>
      <c r="G15" s="25"/>
      <c r="H15" s="8"/>
      <c r="I15" s="8"/>
      <c r="J15" s="2"/>
      <c r="K15" s="88">
        <v>10594</v>
      </c>
      <c r="L15" s="9" t="s">
        <v>130</v>
      </c>
      <c r="M15" s="16" t="s">
        <v>145</v>
      </c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2363.38</v>
      </c>
      <c r="D16" s="2"/>
      <c r="E16" s="80"/>
      <c r="F16" s="24"/>
      <c r="G16" s="25"/>
      <c r="H16" s="8"/>
      <c r="I16" s="8"/>
      <c r="J16" s="2"/>
      <c r="K16" s="88">
        <v>10600</v>
      </c>
      <c r="L16" s="9" t="s">
        <v>136</v>
      </c>
      <c r="M16" s="16" t="s">
        <v>145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10625</v>
      </c>
      <c r="L17" s="9" t="s">
        <v>129</v>
      </c>
      <c r="M17" s="16" t="s">
        <v>145</v>
      </c>
      <c r="R17" s="1">
        <f>IF(vend[[#This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10637</v>
      </c>
      <c r="L18" s="9" t="s">
        <v>129</v>
      </c>
      <c r="M18" s="16" t="s">
        <v>145</v>
      </c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0"/>
      <c r="F19" s="24"/>
      <c r="G19" s="25"/>
      <c r="H19" s="8"/>
      <c r="I19" s="8"/>
      <c r="J19" s="2"/>
      <c r="K19" s="88">
        <v>10638</v>
      </c>
      <c r="L19" s="9" t="s">
        <v>130</v>
      </c>
      <c r="M19" s="16" t="s">
        <v>145</v>
      </c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32"/>
      <c r="H20" s="7"/>
      <c r="J20" s="2"/>
      <c r="K20" s="88">
        <v>10639</v>
      </c>
      <c r="L20" s="9" t="s">
        <v>130</v>
      </c>
      <c r="M20" s="16" t="s">
        <v>145</v>
      </c>
      <c r="R20" s="1" t="e">
        <f>IF(vend[[#This Row],[Nº Venda]]&gt;1,1,0)</f>
        <v>#VALUE!</v>
      </c>
    </row>
    <row r="21" spans="2:18" ht="15" x14ac:dyDescent="0.25">
      <c r="B21" s="2"/>
      <c r="C21" s="2"/>
      <c r="D21" s="2"/>
      <c r="E21" s="103" t="s">
        <v>27</v>
      </c>
      <c r="F21" s="103"/>
      <c r="G21" s="103"/>
      <c r="H21" s="103"/>
      <c r="I21" s="103"/>
      <c r="J21" s="2"/>
      <c r="K21" s="88">
        <v>10640</v>
      </c>
      <c r="L21" s="9" t="s">
        <v>136</v>
      </c>
      <c r="M21" s="16" t="s">
        <v>145</v>
      </c>
    </row>
    <row r="22" spans="2:18" ht="15.75" x14ac:dyDescent="0.25">
      <c r="B22" s="27" t="s">
        <v>26</v>
      </c>
      <c r="C22" s="31">
        <f>C5</f>
        <v>339.99</v>
      </c>
      <c r="D22" s="2"/>
      <c r="E22" s="10" t="s">
        <v>14</v>
      </c>
      <c r="F22" s="10" t="s">
        <v>15</v>
      </c>
      <c r="G22" s="11" t="s">
        <v>16</v>
      </c>
      <c r="H22" s="12" t="s">
        <v>17</v>
      </c>
      <c r="I22" s="13" t="s">
        <v>2</v>
      </c>
      <c r="J22" s="2"/>
      <c r="K22" s="88"/>
      <c r="L22" s="9"/>
      <c r="M22" s="16"/>
    </row>
    <row r="23" spans="2:18" ht="15.75" x14ac:dyDescent="0.25">
      <c r="B23" s="2"/>
      <c r="C23" s="2"/>
      <c r="D23" s="2"/>
      <c r="E23" s="80">
        <v>10634</v>
      </c>
      <c r="F23" s="24" t="s">
        <v>157</v>
      </c>
      <c r="G23" s="25" t="s">
        <v>7</v>
      </c>
      <c r="H23" s="8">
        <v>0</v>
      </c>
      <c r="I23" s="8">
        <v>100</v>
      </c>
      <c r="J23" s="2"/>
      <c r="K23" s="88"/>
      <c r="L23" s="9"/>
      <c r="M23" s="16"/>
    </row>
    <row r="24" spans="2:18" ht="15.75" x14ac:dyDescent="0.25">
      <c r="B24" s="2"/>
      <c r="C24" s="2"/>
      <c r="D24" s="2"/>
      <c r="E24" s="80">
        <v>10635</v>
      </c>
      <c r="F24" s="24" t="s">
        <v>157</v>
      </c>
      <c r="G24" s="25" t="s">
        <v>7</v>
      </c>
      <c r="H24" s="8">
        <v>0</v>
      </c>
      <c r="I24" s="8">
        <v>100</v>
      </c>
      <c r="J24" s="2"/>
      <c r="K24" s="88"/>
      <c r="L24" s="9"/>
      <c r="M24" s="16"/>
    </row>
    <row r="25" spans="2:18" ht="15.75" x14ac:dyDescent="0.25">
      <c r="B25" s="2"/>
      <c r="C25" s="2"/>
      <c r="D25" s="2"/>
      <c r="E25" s="80"/>
      <c r="F25" s="24"/>
      <c r="G25" s="25"/>
      <c r="H25" s="8"/>
      <c r="I25" s="8"/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" x14ac:dyDescent="0.25">
      <c r="B27" s="2"/>
      <c r="C27" s="2"/>
      <c r="D27" s="2"/>
      <c r="E27" s="32"/>
      <c r="J27" s="2"/>
    </row>
    <row r="28" spans="2:18" ht="15" x14ac:dyDescent="0.25">
      <c r="B28" s="2"/>
      <c r="C28" s="2"/>
      <c r="D28" s="2"/>
      <c r="E28" s="103" t="s">
        <v>28</v>
      </c>
      <c r="F28" s="103"/>
      <c r="G28" s="103"/>
      <c r="H28" s="103"/>
      <c r="I28" s="103"/>
      <c r="J28" s="2"/>
      <c r="K28" s="104" t="s">
        <v>12</v>
      </c>
      <c r="L28" s="105"/>
      <c r="M28" s="106"/>
    </row>
    <row r="29" spans="2:18" ht="15" x14ac:dyDescent="0.25">
      <c r="B29" s="2"/>
      <c r="C29" s="2"/>
      <c r="D29" s="2"/>
      <c r="E29" s="10" t="s">
        <v>23</v>
      </c>
      <c r="F29" s="10" t="s">
        <v>15</v>
      </c>
      <c r="G29" s="11" t="s">
        <v>16</v>
      </c>
      <c r="H29" s="12" t="s">
        <v>29</v>
      </c>
      <c r="I29" s="13" t="s">
        <v>30</v>
      </c>
      <c r="J29" s="2"/>
      <c r="K29" s="14" t="s">
        <v>23</v>
      </c>
      <c r="L29" s="6" t="s">
        <v>31</v>
      </c>
      <c r="M29" s="15" t="s">
        <v>32</v>
      </c>
    </row>
    <row r="30" spans="2:18" ht="15.75" x14ac:dyDescent="0.25">
      <c r="B30" s="2"/>
      <c r="C30" s="2"/>
      <c r="D30" s="2"/>
      <c r="E30" s="85">
        <v>9494</v>
      </c>
      <c r="F30" s="24" t="s">
        <v>168</v>
      </c>
      <c r="G30" s="25" t="s">
        <v>10</v>
      </c>
      <c r="H30" s="8">
        <v>150</v>
      </c>
      <c r="I30" s="8" t="s">
        <v>81</v>
      </c>
      <c r="J30" s="2"/>
      <c r="K30" s="88"/>
      <c r="L30" s="39"/>
      <c r="M30" s="16"/>
    </row>
    <row r="31" spans="2:18" ht="15.75" x14ac:dyDescent="0.25">
      <c r="B31" s="2"/>
      <c r="C31" s="2"/>
      <c r="D31" s="2"/>
      <c r="E31" s="82">
        <v>9686</v>
      </c>
      <c r="F31" s="93" t="s">
        <v>178</v>
      </c>
      <c r="G31" s="91" t="s">
        <v>7</v>
      </c>
      <c r="H31" s="92">
        <v>225</v>
      </c>
      <c r="I31" s="8" t="s">
        <v>56</v>
      </c>
      <c r="J31" s="2"/>
      <c r="K31" s="88"/>
      <c r="L31" s="39"/>
      <c r="M31" s="16"/>
    </row>
    <row r="32" spans="2:18" ht="15.75" x14ac:dyDescent="0.25">
      <c r="B32" s="2"/>
      <c r="C32" s="2"/>
      <c r="E32" s="82">
        <v>9716</v>
      </c>
      <c r="F32" s="37" t="s">
        <v>173</v>
      </c>
      <c r="G32" s="25" t="s">
        <v>10</v>
      </c>
      <c r="H32" s="8">
        <v>120</v>
      </c>
      <c r="I32" s="8" t="s">
        <v>81</v>
      </c>
      <c r="K32" s="88"/>
      <c r="L32" s="39"/>
      <c r="M32" s="16"/>
    </row>
    <row r="33" spans="2:18" ht="15.75" x14ac:dyDescent="0.25">
      <c r="B33" s="2"/>
      <c r="C33" s="2"/>
      <c r="E33" s="80">
        <v>9746</v>
      </c>
      <c r="F33" s="24" t="s">
        <v>178</v>
      </c>
      <c r="G33" s="25" t="s">
        <v>7</v>
      </c>
      <c r="H33" s="8">
        <v>61.25</v>
      </c>
      <c r="I33" s="8" t="s">
        <v>56</v>
      </c>
      <c r="K33" s="88"/>
      <c r="L33" s="39"/>
      <c r="M33" s="16"/>
    </row>
    <row r="34" spans="2:18" ht="15.75" x14ac:dyDescent="0.25">
      <c r="E34" s="82">
        <v>9860</v>
      </c>
      <c r="F34" s="24" t="s">
        <v>172</v>
      </c>
      <c r="G34" s="25" t="s">
        <v>10</v>
      </c>
      <c r="H34" s="8">
        <v>110</v>
      </c>
      <c r="I34" s="8" t="s">
        <v>48</v>
      </c>
      <c r="K34" s="89"/>
      <c r="L34" s="39"/>
      <c r="M34" s="16"/>
    </row>
    <row r="35" spans="2:18" ht="15.75" x14ac:dyDescent="0.25">
      <c r="E35" s="80">
        <v>9973</v>
      </c>
      <c r="F35" s="24" t="s">
        <v>170</v>
      </c>
      <c r="G35" s="25" t="s">
        <v>10</v>
      </c>
      <c r="H35" s="8">
        <v>103.33</v>
      </c>
      <c r="I35" s="8" t="s">
        <v>80</v>
      </c>
      <c r="K35" s="89"/>
      <c r="L35" s="39"/>
      <c r="M35" s="16"/>
    </row>
    <row r="36" spans="2:18" ht="15.75" x14ac:dyDescent="0.25">
      <c r="E36" s="80">
        <v>9981</v>
      </c>
      <c r="F36" s="24" t="s">
        <v>167</v>
      </c>
      <c r="G36" s="25" t="s">
        <v>10</v>
      </c>
      <c r="H36" s="8">
        <v>150</v>
      </c>
      <c r="I36" s="8" t="s">
        <v>49</v>
      </c>
      <c r="K36" s="89"/>
      <c r="L36" s="39"/>
      <c r="M36" s="16"/>
    </row>
    <row r="37" spans="2:18" ht="15.75" x14ac:dyDescent="0.25">
      <c r="E37" s="82">
        <v>10001</v>
      </c>
      <c r="F37" s="93" t="s">
        <v>177</v>
      </c>
      <c r="G37" s="91" t="s">
        <v>7</v>
      </c>
      <c r="H37" s="92">
        <v>97.15</v>
      </c>
      <c r="I37" s="8" t="s">
        <v>41</v>
      </c>
      <c r="K37" s="89"/>
      <c r="L37" s="39"/>
      <c r="M37" s="16"/>
    </row>
    <row r="38" spans="2:18" ht="15.75" x14ac:dyDescent="0.25">
      <c r="E38" s="82">
        <v>10012</v>
      </c>
      <c r="F38" s="93" t="s">
        <v>174</v>
      </c>
      <c r="G38" s="91" t="s">
        <v>10</v>
      </c>
      <c r="H38" s="92">
        <v>243.75</v>
      </c>
      <c r="I38" s="8" t="s">
        <v>57</v>
      </c>
      <c r="K38" s="89"/>
      <c r="L38" s="39"/>
      <c r="M38" s="16"/>
    </row>
    <row r="39" spans="2:18" ht="15.75" x14ac:dyDescent="0.25">
      <c r="E39" s="82">
        <v>10301</v>
      </c>
      <c r="F39" s="93" t="s">
        <v>175</v>
      </c>
      <c r="G39" s="91" t="s">
        <v>10</v>
      </c>
      <c r="H39" s="92">
        <v>200</v>
      </c>
      <c r="I39" s="8" t="s">
        <v>71</v>
      </c>
      <c r="K39" s="89"/>
      <c r="L39" s="39"/>
      <c r="M39" s="16"/>
    </row>
    <row r="40" spans="2:18" ht="15.75" x14ac:dyDescent="0.25">
      <c r="E40" s="82">
        <v>10309</v>
      </c>
      <c r="F40" s="93" t="s">
        <v>176</v>
      </c>
      <c r="G40" s="91" t="s">
        <v>7</v>
      </c>
      <c r="H40" s="92">
        <v>106</v>
      </c>
      <c r="I40" s="8" t="s">
        <v>53</v>
      </c>
      <c r="K40" s="88"/>
      <c r="L40" s="39"/>
      <c r="M40" s="16"/>
      <c r="Q40" s="1" t="s">
        <v>36</v>
      </c>
      <c r="R40" s="1" t="e">
        <f>SUM(R6:R21)</f>
        <v>#VALUE!</v>
      </c>
    </row>
    <row r="41" spans="2:18" ht="15.75" x14ac:dyDescent="0.25">
      <c r="E41" s="82">
        <v>10323</v>
      </c>
      <c r="F41" s="90" t="s">
        <v>171</v>
      </c>
      <c r="G41" s="91" t="s">
        <v>10</v>
      </c>
      <c r="H41" s="92">
        <v>133</v>
      </c>
      <c r="I41" s="8" t="s">
        <v>71</v>
      </c>
      <c r="K41" s="89"/>
      <c r="L41" s="40"/>
      <c r="M41" s="38"/>
    </row>
    <row r="42" spans="2:18" ht="15.75" x14ac:dyDescent="0.25">
      <c r="E42" s="84">
        <v>10386</v>
      </c>
      <c r="F42" s="98" t="s">
        <v>169</v>
      </c>
      <c r="G42" s="99" t="s">
        <v>10</v>
      </c>
      <c r="H42" s="100">
        <v>124</v>
      </c>
      <c r="I42" s="8" t="s">
        <v>55</v>
      </c>
      <c r="K42" s="88"/>
      <c r="L42" s="39"/>
      <c r="M42" s="38"/>
    </row>
    <row r="43" spans="2:18" x14ac:dyDescent="0.2">
      <c r="F43" s="79"/>
      <c r="G43" s="79"/>
      <c r="H43" s="78"/>
      <c r="I43" s="78"/>
    </row>
  </sheetData>
  <mergeCells count="9">
    <mergeCell ref="E21:I21"/>
    <mergeCell ref="E28:I28"/>
    <mergeCell ref="K28:M28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26" xr:uid="{3687B962-37D3-4645-82D4-7A1CB45C2297}">
      <formula1>"Sim, Não"</formula1>
    </dataValidation>
    <dataValidation type="list" allowBlank="1" showInputMessage="1" showErrorMessage="1" sqref="L30:L42" xr:uid="{66993633-5100-43CF-8F1E-F4FEAAD9AAFB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G23:G26 G30:G42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G6:G19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L15:L26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E6:E19 E23:E26 K15:K26 E30:E42 K30:K42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I30:I42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68" zoomScaleNormal="68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1">
        <f>'06'!B1+1</f>
        <v>45723</v>
      </c>
    </row>
    <row r="2" spans="2:21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  <c r="U4" s="1">
        <v>0</v>
      </c>
    </row>
    <row r="5" spans="2:21" ht="15" x14ac:dyDescent="0.25">
      <c r="B5" s="22" t="s">
        <v>1</v>
      </c>
      <c r="C5" s="23">
        <f>SUMIF(I6:I31,"&gt;0",H6:H31)</f>
        <v>4217.8999999999996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4970.88</v>
      </c>
      <c r="D6" s="2"/>
      <c r="E6" s="80">
        <v>10641</v>
      </c>
      <c r="F6" s="69" t="s">
        <v>179</v>
      </c>
      <c r="G6" s="69" t="s">
        <v>50</v>
      </c>
      <c r="H6" s="70">
        <v>800</v>
      </c>
      <c r="I6" s="70"/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80">
        <v>10642</v>
      </c>
      <c r="F7" s="24" t="s">
        <v>181</v>
      </c>
      <c r="G7" s="25" t="s">
        <v>7</v>
      </c>
      <c r="H7" s="8">
        <v>999</v>
      </c>
      <c r="I7" s="8">
        <v>999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4970.88</v>
      </c>
      <c r="D8" s="2"/>
      <c r="E8" s="80">
        <v>10643</v>
      </c>
      <c r="F8" s="43" t="s">
        <v>180</v>
      </c>
      <c r="G8" s="43" t="s">
        <v>8</v>
      </c>
      <c r="H8" s="42">
        <v>500</v>
      </c>
      <c r="I8" s="42">
        <v>500</v>
      </c>
      <c r="J8" s="2"/>
      <c r="K8" s="24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80">
        <v>10644</v>
      </c>
      <c r="F9" s="24" t="s">
        <v>190</v>
      </c>
      <c r="G9" s="25" t="s">
        <v>8</v>
      </c>
      <c r="H9" s="8">
        <v>1999</v>
      </c>
      <c r="I9" s="8">
        <v>1999</v>
      </c>
      <c r="J9" s="2"/>
      <c r="K9" s="24"/>
      <c r="L9" s="9"/>
      <c r="M9" s="16"/>
      <c r="R9" s="1">
        <f>IF(vend7[[#This Row],[Nº Venda]]&gt;1,1,0)</f>
        <v>1</v>
      </c>
    </row>
    <row r="10" spans="2:21" ht="15.75" x14ac:dyDescent="0.25">
      <c r="B10" s="102" t="s">
        <v>5</v>
      </c>
      <c r="C10" s="102"/>
      <c r="D10" s="2"/>
      <c r="E10" s="80">
        <v>10645</v>
      </c>
      <c r="F10" s="24" t="s">
        <v>191</v>
      </c>
      <c r="G10" s="25" t="s">
        <v>8</v>
      </c>
      <c r="H10" s="8">
        <v>699.9</v>
      </c>
      <c r="I10" s="8">
        <v>699.9</v>
      </c>
      <c r="J10" s="2"/>
      <c r="K10" s="24"/>
      <c r="L10" s="9"/>
      <c r="M10" s="16"/>
      <c r="R10" s="1">
        <f>IF(vend7[[#This Row],[Nº Venda]]&gt;1,1,0)</f>
        <v>1</v>
      </c>
    </row>
    <row r="11" spans="2:21" ht="15.75" x14ac:dyDescent="0.25">
      <c r="B11" s="29" t="s">
        <v>6</v>
      </c>
      <c r="C11" s="30">
        <f>(SUMIF($G$2:$G$31,B11,$I$2:$I$31))+(SUMIF($G$35:$G$41,B11,$H$35:$H$41))</f>
        <v>134.28</v>
      </c>
      <c r="D11" s="2"/>
      <c r="E11" s="80">
        <v>10646</v>
      </c>
      <c r="F11" s="24" t="s">
        <v>189</v>
      </c>
      <c r="G11" s="25" t="s">
        <v>6</v>
      </c>
      <c r="H11" s="8">
        <v>20</v>
      </c>
      <c r="I11" s="8">
        <v>20</v>
      </c>
      <c r="J11" s="2"/>
      <c r="K11" s="26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1077.33</v>
      </c>
      <c r="D12" s="2"/>
      <c r="E12" s="80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3198.9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560.37</v>
      </c>
      <c r="D15" s="2"/>
      <c r="E15" s="80"/>
      <c r="F15" s="24"/>
      <c r="G15" s="25"/>
      <c r="H15" s="8"/>
      <c r="I15" s="8"/>
      <c r="J15" s="2"/>
      <c r="K15" s="88">
        <v>10533</v>
      </c>
      <c r="L15" s="9" t="s">
        <v>136</v>
      </c>
      <c r="M15" s="44" t="s">
        <v>145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4970.88</v>
      </c>
      <c r="D16" s="2"/>
      <c r="E16" s="80"/>
      <c r="F16" s="24"/>
      <c r="G16" s="25"/>
      <c r="H16" s="8"/>
      <c r="I16" s="8"/>
      <c r="J16" s="2"/>
      <c r="K16" s="88">
        <v>10646</v>
      </c>
      <c r="L16" s="9" t="s">
        <v>129</v>
      </c>
      <c r="M16" s="16" t="s">
        <v>145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10345</v>
      </c>
      <c r="L17" s="9" t="s">
        <v>136</v>
      </c>
      <c r="M17" s="16" t="s">
        <v>145</v>
      </c>
      <c r="R17" s="1">
        <f>IF(vend7[[#This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4217.8999999999996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49"/>
      <c r="G26" s="61"/>
      <c r="H26" s="62"/>
      <c r="I26" s="62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187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9699</v>
      </c>
      <c r="F35" s="24" t="s">
        <v>182</v>
      </c>
      <c r="G35" s="25" t="s">
        <v>10</v>
      </c>
      <c r="H35" s="8">
        <v>80</v>
      </c>
      <c r="I35" s="8" t="s">
        <v>59</v>
      </c>
      <c r="K35" s="88"/>
      <c r="L35" s="39"/>
      <c r="M35" s="16"/>
    </row>
    <row r="36" spans="2:18" ht="15.75" x14ac:dyDescent="0.25">
      <c r="E36" s="84">
        <v>9711</v>
      </c>
      <c r="F36" s="24" t="s">
        <v>183</v>
      </c>
      <c r="G36" s="25" t="s">
        <v>10</v>
      </c>
      <c r="H36" s="8">
        <v>100</v>
      </c>
      <c r="I36" s="8" t="s">
        <v>56</v>
      </c>
      <c r="K36" s="88"/>
      <c r="L36" s="39"/>
      <c r="M36" s="16"/>
    </row>
    <row r="37" spans="2:18" ht="15.75" x14ac:dyDescent="0.25">
      <c r="E37" s="80">
        <v>9711</v>
      </c>
      <c r="F37" s="24" t="s">
        <v>183</v>
      </c>
      <c r="G37" s="25" t="s">
        <v>10</v>
      </c>
      <c r="H37" s="8">
        <v>100</v>
      </c>
      <c r="I37" s="8" t="s">
        <v>43</v>
      </c>
      <c r="K37" s="88"/>
      <c r="L37" s="39"/>
      <c r="M37" s="16"/>
    </row>
    <row r="38" spans="2:18" ht="15.75" x14ac:dyDescent="0.25">
      <c r="E38" s="80">
        <v>10336</v>
      </c>
      <c r="F38" s="24" t="s">
        <v>184</v>
      </c>
      <c r="G38" s="25" t="s">
        <v>6</v>
      </c>
      <c r="H38" s="8">
        <v>114.28</v>
      </c>
      <c r="I38" s="8" t="s">
        <v>35</v>
      </c>
      <c r="K38" s="88"/>
      <c r="L38" s="39"/>
      <c r="M38" s="16"/>
    </row>
    <row r="39" spans="2:18" ht="15.75" x14ac:dyDescent="0.25">
      <c r="E39" s="80">
        <v>10202</v>
      </c>
      <c r="F39" s="37" t="s">
        <v>185</v>
      </c>
      <c r="G39" s="25" t="s">
        <v>10</v>
      </c>
      <c r="H39" s="8">
        <v>156.25</v>
      </c>
      <c r="I39" s="8" t="s">
        <v>82</v>
      </c>
      <c r="K39" s="88"/>
      <c r="L39" s="39"/>
      <c r="M39" s="16"/>
    </row>
    <row r="40" spans="2:18" ht="15.75" x14ac:dyDescent="0.25">
      <c r="E40" s="82">
        <v>10495</v>
      </c>
      <c r="F40" s="34" t="s">
        <v>186</v>
      </c>
      <c r="G40" s="35" t="s">
        <v>10</v>
      </c>
      <c r="H40" s="17">
        <v>124.12</v>
      </c>
      <c r="I40" s="8" t="s">
        <v>82</v>
      </c>
      <c r="K40" s="89"/>
      <c r="L40" s="40"/>
      <c r="M40" s="38"/>
      <c r="Q40" s="1" t="s">
        <v>36</v>
      </c>
      <c r="R40" s="1">
        <f>SUM(R6:R21)</f>
        <v>6</v>
      </c>
    </row>
    <row r="41" spans="2:18" ht="15.75" x14ac:dyDescent="0.25">
      <c r="E41" s="83">
        <v>9615</v>
      </c>
      <c r="F41" s="37" t="s">
        <v>188</v>
      </c>
      <c r="G41" s="25" t="s">
        <v>7</v>
      </c>
      <c r="H41" s="8">
        <v>78.33</v>
      </c>
      <c r="I41" s="8" t="s">
        <v>59</v>
      </c>
      <c r="K41" s="88"/>
      <c r="L41" s="39"/>
      <c r="M41" s="38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77" zoomScaleNormal="77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14.285156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1">
        <f>'07'!B1+1</f>
        <v>45724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3490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2799.75</v>
      </c>
      <c r="D6" s="2"/>
      <c r="E6" s="80">
        <v>10647</v>
      </c>
      <c r="F6" s="8" t="s">
        <v>192</v>
      </c>
      <c r="G6" s="8" t="s">
        <v>8</v>
      </c>
      <c r="H6" s="8">
        <v>250</v>
      </c>
      <c r="I6" s="8">
        <v>250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10648</v>
      </c>
      <c r="F7" s="8" t="s">
        <v>192</v>
      </c>
      <c r="G7" s="8" t="s">
        <v>6</v>
      </c>
      <c r="H7" s="8">
        <v>1050</v>
      </c>
      <c r="I7" s="8">
        <v>50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2799.75</v>
      </c>
      <c r="D8" s="2"/>
      <c r="E8" s="80">
        <v>10649</v>
      </c>
      <c r="F8" s="8" t="s">
        <v>194</v>
      </c>
      <c r="G8" s="8" t="s">
        <v>8</v>
      </c>
      <c r="H8" s="8">
        <v>380</v>
      </c>
      <c r="I8" s="8">
        <v>10</v>
      </c>
      <c r="J8" s="2"/>
      <c r="K8" s="24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0">
        <v>10650</v>
      </c>
      <c r="F9" s="8" t="s">
        <v>194</v>
      </c>
      <c r="G9" s="8" t="s">
        <v>8</v>
      </c>
      <c r="H9" s="8">
        <v>230</v>
      </c>
      <c r="I9" s="8">
        <v>230</v>
      </c>
      <c r="J9" s="2"/>
      <c r="K9" s="24"/>
      <c r="L9" s="9"/>
      <c r="M9" s="16"/>
      <c r="R9" s="1">
        <f>IF(vend8[[#This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10651</v>
      </c>
      <c r="F10" s="24" t="s">
        <v>199</v>
      </c>
      <c r="G10" s="25" t="s">
        <v>10</v>
      </c>
      <c r="H10" s="8">
        <v>381</v>
      </c>
      <c r="I10" s="8">
        <v>50</v>
      </c>
      <c r="J10" s="2"/>
      <c r="K10" s="24"/>
      <c r="L10" s="9"/>
      <c r="M10" s="16"/>
      <c r="R10" s="1">
        <f>IF(vend8[[#This Row],[Nº Venda]]&gt;1,1,0)</f>
        <v>1</v>
      </c>
    </row>
    <row r="11" spans="2:18" ht="15.75" x14ac:dyDescent="0.25">
      <c r="B11" s="29" t="s">
        <v>6</v>
      </c>
      <c r="C11" s="68">
        <f>(SUMIF($G$2:$G$31,B11,$I$2:$I$31))+(SUMIF($G$35:$G$41,B11,$H$35:$H$41))</f>
        <v>50</v>
      </c>
      <c r="D11" s="2"/>
      <c r="E11" s="80">
        <v>10652</v>
      </c>
      <c r="F11" s="24" t="s">
        <v>199</v>
      </c>
      <c r="G11" s="25" t="s">
        <v>10</v>
      </c>
      <c r="H11" s="8">
        <v>499</v>
      </c>
      <c r="I11" s="8">
        <v>50</v>
      </c>
      <c r="J11" s="2"/>
      <c r="K11" s="26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29" t="s">
        <v>7</v>
      </c>
      <c r="C12" s="68">
        <f>(SUMIF($G$2:$G$31,B12,$I$2:$I$31))+(SUMIF($G$35:$G$41,B12,$H$35:$H$41))</f>
        <v>459.75</v>
      </c>
      <c r="D12" s="2"/>
      <c r="E12" s="80">
        <v>10653</v>
      </c>
      <c r="F12" s="24" t="s">
        <v>199</v>
      </c>
      <c r="G12" s="25" t="s">
        <v>10</v>
      </c>
      <c r="H12" s="8">
        <v>700</v>
      </c>
      <c r="I12" s="8">
        <v>100</v>
      </c>
      <c r="J12" s="2"/>
      <c r="R12" s="1">
        <f>IF(vend8[[#This Row],[Nº Venda]]&gt;1,1,0)</f>
        <v>1</v>
      </c>
    </row>
    <row r="13" spans="2:18" ht="15.75" x14ac:dyDescent="0.25">
      <c r="B13" s="29" t="s">
        <v>8</v>
      </c>
      <c r="C13" s="68">
        <f>(SUMIF($G$2:$G$31,B13,$I$2:$I$31))+(SUMIF($G$35:$G$41,B13,$H$35:$H$41))</f>
        <v>1990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IF(vend8[[#This Row],[Nº Venda]]&gt;1,1,0)</f>
        <v>0</v>
      </c>
    </row>
    <row r="14" spans="2:18" ht="15.75" x14ac:dyDescent="0.25">
      <c r="B14" s="29" t="s">
        <v>9</v>
      </c>
      <c r="C14" s="68">
        <f>(SUMIF($G$2:$G$31,B14,$I$2:$I$31))+(SUMIF($G$35:$G$41,B14,$H$35:$H$41))</f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68">
        <f>(SUMIF($G$2:$G$31,B15,$I$2:$I$31))+(SUMIF($G$35:$G$41,B15,$H$35:$H$41))</f>
        <v>300</v>
      </c>
      <c r="D15" s="2"/>
      <c r="E15" s="80"/>
      <c r="F15" s="24"/>
      <c r="G15" s="25"/>
      <c r="H15" s="8"/>
      <c r="I15" s="8"/>
      <c r="J15" s="2"/>
      <c r="K15" s="88">
        <v>10327</v>
      </c>
      <c r="L15" s="9" t="s">
        <v>129</v>
      </c>
      <c r="M15" s="16" t="s">
        <v>145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2799.75</v>
      </c>
      <c r="D16" s="2"/>
      <c r="E16" s="80"/>
      <c r="F16" s="24"/>
      <c r="G16" s="25"/>
      <c r="H16" s="8"/>
      <c r="I16" s="8"/>
      <c r="J16" s="2"/>
      <c r="K16" s="88">
        <v>10447</v>
      </c>
      <c r="L16" s="9" t="s">
        <v>129</v>
      </c>
      <c r="M16" s="16" t="s">
        <v>145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10610</v>
      </c>
      <c r="L17" s="9" t="s">
        <v>130</v>
      </c>
      <c r="M17" s="16" t="s">
        <v>145</v>
      </c>
      <c r="R17" s="1">
        <f>IF(vend8[[#This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10611</v>
      </c>
      <c r="L18" s="9" t="s">
        <v>130</v>
      </c>
      <c r="M18" s="16" t="s">
        <v>145</v>
      </c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0"/>
      <c r="F19" s="24"/>
      <c r="G19" s="25"/>
      <c r="H19" s="8"/>
      <c r="I19" s="8"/>
      <c r="J19" s="2"/>
      <c r="K19" s="88">
        <v>10647</v>
      </c>
      <c r="L19" s="9" t="s">
        <v>130</v>
      </c>
      <c r="M19" s="16" t="s">
        <v>145</v>
      </c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3490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10447</v>
      </c>
      <c r="F26" s="94" t="s">
        <v>193</v>
      </c>
      <c r="G26" s="95" t="s">
        <v>8</v>
      </c>
      <c r="H26" s="62">
        <v>0</v>
      </c>
      <c r="I26" s="62">
        <v>1500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41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41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41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24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9887</v>
      </c>
      <c r="F35" s="24" t="s">
        <v>197</v>
      </c>
      <c r="G35" s="25" t="s">
        <v>10</v>
      </c>
      <c r="H35" s="8">
        <v>100</v>
      </c>
      <c r="I35" s="8" t="s">
        <v>48</v>
      </c>
      <c r="K35" s="88"/>
      <c r="L35" s="39"/>
      <c r="M35" s="16"/>
    </row>
    <row r="36" spans="2:18" ht="15.75" x14ac:dyDescent="0.25">
      <c r="E36" s="84">
        <v>9936</v>
      </c>
      <c r="F36" s="24" t="s">
        <v>196</v>
      </c>
      <c r="G36" s="25" t="s">
        <v>7</v>
      </c>
      <c r="H36" s="8">
        <v>69.75</v>
      </c>
      <c r="I36" s="8" t="s">
        <v>57</v>
      </c>
      <c r="K36" s="88"/>
      <c r="L36" s="39"/>
      <c r="M36" s="16"/>
    </row>
    <row r="37" spans="2:18" ht="15.75" x14ac:dyDescent="0.25">
      <c r="E37" s="80">
        <v>10058</v>
      </c>
      <c r="F37" s="24" t="s">
        <v>195</v>
      </c>
      <c r="G37" s="25" t="s">
        <v>7</v>
      </c>
      <c r="H37" s="8">
        <v>290</v>
      </c>
      <c r="I37" s="8" t="s">
        <v>95</v>
      </c>
      <c r="K37" s="88"/>
      <c r="L37" s="39"/>
      <c r="M37" s="16"/>
    </row>
    <row r="38" spans="2:18" ht="15.75" x14ac:dyDescent="0.25">
      <c r="E38" s="80">
        <v>10085</v>
      </c>
      <c r="F38" s="24" t="s">
        <v>198</v>
      </c>
      <c r="G38" s="25" t="s">
        <v>7</v>
      </c>
      <c r="H38" s="8">
        <v>100</v>
      </c>
      <c r="I38" s="8" t="s">
        <v>45</v>
      </c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7</v>
      </c>
    </row>
    <row r="41" spans="2:18" ht="15.75" x14ac:dyDescent="0.25">
      <c r="E41" s="85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46">
        <f>'08'!B1+1</f>
        <v>45725</v>
      </c>
    </row>
    <row r="2" spans="2:22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80"/>
      <c r="F6" s="24"/>
      <c r="G6" s="41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0"/>
      <c r="F7" s="24"/>
      <c r="G7" s="41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80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0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0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80"/>
      <c r="F15" s="24"/>
      <c r="G15" s="25"/>
      <c r="H15" s="8"/>
      <c r="I15" s="8"/>
      <c r="J15" s="2"/>
      <c r="K15" s="88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80"/>
      <c r="F16" s="24"/>
      <c r="G16" s="25"/>
      <c r="H16" s="8"/>
      <c r="I16" s="8"/>
      <c r="J16" s="2"/>
      <c r="K16" s="88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16"/>
      <c r="R17" s="1">
        <f>IF(vend9[[#This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4"/>
      <c r="G20" s="25"/>
      <c r="H20" s="8"/>
      <c r="I20" s="8"/>
      <c r="J20" s="2"/>
      <c r="K20" s="88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41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4"/>
  <sheetViews>
    <sheetView showGridLines="0" view="pageBreakPreview" zoomScale="70" zoomScaleNormal="67" zoomScaleSheetLayoutView="7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41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18.285156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'09'!B1+1</f>
        <v>45726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SUMIF(I6:I25,"&gt;0",H6:H25)</f>
        <v>1874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2765.06</v>
      </c>
      <c r="D6" s="2"/>
      <c r="E6" s="80">
        <v>10654</v>
      </c>
      <c r="F6" s="24" t="s">
        <v>200</v>
      </c>
      <c r="G6" s="41" t="s">
        <v>10</v>
      </c>
      <c r="H6" s="8">
        <v>150</v>
      </c>
      <c r="I6" s="8">
        <v>150</v>
      </c>
      <c r="J6" s="2"/>
      <c r="K6" s="24"/>
      <c r="L6" s="9"/>
      <c r="M6" s="16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10655</v>
      </c>
      <c r="F7" s="24" t="s">
        <v>201</v>
      </c>
      <c r="G7" s="41" t="s">
        <v>6</v>
      </c>
      <c r="H7" s="8">
        <v>35</v>
      </c>
      <c r="I7" s="8">
        <v>35</v>
      </c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2765.06</v>
      </c>
      <c r="D8" s="2"/>
      <c r="E8" s="80">
        <v>10656</v>
      </c>
      <c r="F8" s="24" t="s">
        <v>202</v>
      </c>
      <c r="G8" s="25" t="s">
        <v>40</v>
      </c>
      <c r="H8" s="8"/>
      <c r="I8" s="8"/>
      <c r="J8" s="2"/>
      <c r="K8" s="24"/>
      <c r="L8" s="9" t="s">
        <v>299</v>
      </c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80">
        <v>10657</v>
      </c>
      <c r="F9" s="24" t="s">
        <v>203</v>
      </c>
      <c r="G9" s="25" t="s">
        <v>7</v>
      </c>
      <c r="H9" s="8">
        <v>989</v>
      </c>
      <c r="I9" s="8">
        <v>500</v>
      </c>
      <c r="J9" s="2"/>
      <c r="K9" s="24"/>
      <c r="L9" s="9"/>
      <c r="M9" s="16"/>
      <c r="R9" s="1">
        <f>IF(vend10[[#This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10658</v>
      </c>
      <c r="F10" s="24" t="s">
        <v>215</v>
      </c>
      <c r="G10" s="25" t="s">
        <v>6</v>
      </c>
      <c r="H10" s="8">
        <v>400</v>
      </c>
      <c r="I10" s="8">
        <v>40</v>
      </c>
      <c r="J10" s="2"/>
      <c r="K10" s="24"/>
      <c r="L10" s="9"/>
      <c r="M10" s="16"/>
      <c r="R10" s="1">
        <f>IF(vend10[[#This Row],[Nº Venda]]&gt;1,1,0)</f>
        <v>1</v>
      </c>
    </row>
    <row r="11" spans="2:18" ht="15.75" x14ac:dyDescent="0.25">
      <c r="B11" s="29" t="s">
        <v>6</v>
      </c>
      <c r="C11" s="30">
        <f>(SUMIF($G$2:$G$25,B11,$I$2:$I$25))+(SUMIF($G$29:$G$44,B11,$H$29:$H$44))</f>
        <v>514.41999999999996</v>
      </c>
      <c r="D11" s="2"/>
      <c r="E11" s="80">
        <v>10659</v>
      </c>
      <c r="F11" s="24" t="s">
        <v>215</v>
      </c>
      <c r="G11" s="25" t="s">
        <v>6</v>
      </c>
      <c r="H11" s="8">
        <v>300</v>
      </c>
      <c r="I11" s="8">
        <v>10</v>
      </c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29" t="s">
        <v>7</v>
      </c>
      <c r="C12" s="30">
        <f>(SUMIF($G$2:$G$25,B12,$I$2:$I$25))+(SUMIF($G$29:$G$44,B12,$H$29:$H$44))</f>
        <v>1147.48</v>
      </c>
      <c r="D12" s="2"/>
      <c r="E12" s="80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(SUMIF($G$2:$G$25,B13,$I$2:$I$25))+(SUMIF($G$29:$G$44,B13,$H$29:$H$44))</f>
        <v>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(SUMIF($G$2:$G$25,B14,$I$2:$I$25))+(SUMIF($G$29:$G$44,B14,$H$29:$H$44))</f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(SUMIF($G$2:$G$25,B15,$I$2:$I$25))+(SUMIF($G$29:$G$44,B15,$H$29:$H$44))</f>
        <v>1103.1599999999999</v>
      </c>
      <c r="D15" s="2"/>
      <c r="E15" s="80"/>
      <c r="F15" s="24"/>
      <c r="G15" s="25"/>
      <c r="H15" s="8"/>
      <c r="I15" s="8"/>
      <c r="J15" s="2"/>
      <c r="K15" s="88">
        <v>10449</v>
      </c>
      <c r="L15" s="9" t="s">
        <v>129</v>
      </c>
      <c r="M15" s="16" t="s">
        <v>145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2765.06</v>
      </c>
      <c r="D16" s="2"/>
      <c r="E16" s="80"/>
      <c r="F16" s="24"/>
      <c r="G16" s="25"/>
      <c r="H16" s="8"/>
      <c r="I16" s="8"/>
      <c r="J16" s="2"/>
      <c r="K16" s="88">
        <v>10603</v>
      </c>
      <c r="L16" s="9" t="s">
        <v>129</v>
      </c>
      <c r="M16" s="16" t="s">
        <v>145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2"/>
      <c r="F17" s="24"/>
      <c r="G17" s="25"/>
      <c r="H17" s="8"/>
      <c r="I17" s="8"/>
      <c r="J17" s="2"/>
      <c r="K17" s="88">
        <v>10624</v>
      </c>
      <c r="L17" s="9" t="s">
        <v>136</v>
      </c>
      <c r="M17" s="16" t="s">
        <v>145</v>
      </c>
      <c r="R17" s="1">
        <f>IF(vend10[[#This Row],[Nº Venda]]&gt;1,1,0)</f>
        <v>0</v>
      </c>
    </row>
    <row r="18" spans="2:18" ht="15" x14ac:dyDescent="0.25">
      <c r="B18" s="102" t="s">
        <v>12</v>
      </c>
      <c r="C18" s="102"/>
      <c r="D18" s="2"/>
      <c r="H18" s="7"/>
      <c r="J18" s="2"/>
      <c r="K18" s="88">
        <v>10654</v>
      </c>
      <c r="L18" s="9" t="s">
        <v>129</v>
      </c>
      <c r="M18" s="16" t="s">
        <v>145</v>
      </c>
      <c r="R18" s="1" t="e">
        <f>IF(vend10[[#This Row],[Nº Venda]]&gt;1,1,0)</f>
        <v>#VALUE!</v>
      </c>
    </row>
    <row r="19" spans="2:18" ht="15" x14ac:dyDescent="0.25">
      <c r="B19" s="29">
        <f>COUNT(entr_carn10[OS])</f>
        <v>0</v>
      </c>
      <c r="C19" s="30">
        <f>SUM(entr_carn10[Valor Total])</f>
        <v>0</v>
      </c>
      <c r="D19" s="2"/>
      <c r="E19" s="111" t="s">
        <v>27</v>
      </c>
      <c r="F19" s="103"/>
      <c r="G19" s="103"/>
      <c r="H19" s="103"/>
      <c r="I19" s="103"/>
      <c r="J19" s="2"/>
      <c r="K19" s="88">
        <v>10655</v>
      </c>
      <c r="L19" s="9" t="s">
        <v>129</v>
      </c>
      <c r="M19" s="16" t="s">
        <v>145</v>
      </c>
      <c r="R19" s="1" t="e">
        <f>IF(vend10[[#This Row],[Nº Venda]]&gt;1,1,0)</f>
        <v>#VALUE!</v>
      </c>
    </row>
    <row r="20" spans="2:18" ht="15.75" x14ac:dyDescent="0.25">
      <c r="B20" s="27" t="s">
        <v>11</v>
      </c>
      <c r="C20" s="31">
        <f>SUM(C19:C19)</f>
        <v>0</v>
      </c>
      <c r="D20" s="2"/>
      <c r="E20" s="10" t="s">
        <v>14</v>
      </c>
      <c r="F20" s="10" t="s">
        <v>15</v>
      </c>
      <c r="G20" s="11" t="s">
        <v>16</v>
      </c>
      <c r="H20" s="12" t="s">
        <v>17</v>
      </c>
      <c r="I20" s="13" t="s">
        <v>2</v>
      </c>
      <c r="J20" s="2"/>
      <c r="K20" s="88">
        <v>10656</v>
      </c>
      <c r="L20" s="9" t="s">
        <v>130</v>
      </c>
      <c r="M20" s="52" t="s">
        <v>145</v>
      </c>
      <c r="R20" s="1" t="e">
        <f>IF(vend10[[#This Row],[Nº Venda]]&gt;1,1,0)</f>
        <v>#VALUE!</v>
      </c>
    </row>
    <row r="21" spans="2:18" ht="15.75" x14ac:dyDescent="0.25">
      <c r="B21" s="2"/>
      <c r="C21" s="2"/>
      <c r="D21" s="2"/>
      <c r="E21" s="80"/>
      <c r="F21" s="24"/>
      <c r="G21" s="41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1874</v>
      </c>
      <c r="D22" s="2"/>
      <c r="E22" s="80"/>
      <c r="F22" s="24"/>
      <c r="G22" s="41"/>
      <c r="H22" s="8"/>
      <c r="I22" s="8"/>
      <c r="J22" s="2"/>
      <c r="K22" s="88"/>
      <c r="L22" s="9"/>
      <c r="M22" s="16"/>
    </row>
    <row r="23" spans="2:18" ht="15.75" x14ac:dyDescent="0.25">
      <c r="B23" s="2"/>
      <c r="C23" s="2"/>
      <c r="D23" s="2"/>
      <c r="E23" s="80"/>
      <c r="F23" s="24"/>
      <c r="G23" s="41"/>
      <c r="H23" s="8"/>
      <c r="I23" s="8"/>
      <c r="J23" s="2"/>
      <c r="K23" s="88"/>
      <c r="L23" s="9"/>
      <c r="M23" s="16"/>
    </row>
    <row r="24" spans="2:18" ht="15.75" x14ac:dyDescent="0.25">
      <c r="B24" s="2"/>
      <c r="C24" s="2"/>
      <c r="D24" s="2"/>
      <c r="E24" s="80"/>
      <c r="F24" s="24"/>
      <c r="G24" s="25"/>
      <c r="H24" s="8"/>
      <c r="I24" s="8"/>
      <c r="J24" s="2"/>
      <c r="K24" s="88"/>
      <c r="L24" s="9"/>
      <c r="M24" s="16"/>
    </row>
    <row r="25" spans="2:18" ht="15.75" x14ac:dyDescent="0.25">
      <c r="B25" s="2"/>
      <c r="C25" s="2"/>
      <c r="D25" s="2"/>
      <c r="E25" s="82"/>
      <c r="F25" s="37"/>
      <c r="G25" s="25"/>
      <c r="H25" s="8"/>
      <c r="I25" s="8"/>
      <c r="J25" s="2"/>
      <c r="K25" s="88"/>
      <c r="L25" s="9"/>
      <c r="M25" s="16"/>
    </row>
    <row r="26" spans="2:18" ht="15" x14ac:dyDescent="0.25">
      <c r="B26" s="2"/>
      <c r="C26" s="2"/>
      <c r="D26" s="2"/>
      <c r="J26" s="2"/>
    </row>
    <row r="27" spans="2:18" ht="15" x14ac:dyDescent="0.25">
      <c r="B27" s="2"/>
      <c r="C27" s="2"/>
      <c r="D27" s="2"/>
      <c r="E27" s="111" t="s">
        <v>28</v>
      </c>
      <c r="F27" s="103"/>
      <c r="G27" s="103"/>
      <c r="H27" s="103"/>
      <c r="I27" s="103"/>
      <c r="J27" s="2"/>
      <c r="K27" s="104" t="s">
        <v>12</v>
      </c>
      <c r="L27" s="105"/>
      <c r="M27" s="106"/>
    </row>
    <row r="28" spans="2:18" ht="15" x14ac:dyDescent="0.25">
      <c r="B28" s="2"/>
      <c r="C28" s="2"/>
      <c r="D28" s="2"/>
      <c r="E28" s="86" t="s">
        <v>23</v>
      </c>
      <c r="F28" s="10" t="s">
        <v>15</v>
      </c>
      <c r="G28" s="11" t="s">
        <v>16</v>
      </c>
      <c r="H28" s="12" t="s">
        <v>29</v>
      </c>
      <c r="I28" s="13" t="s">
        <v>30</v>
      </c>
      <c r="J28" s="2"/>
      <c r="K28" s="14" t="s">
        <v>23</v>
      </c>
      <c r="L28" s="6" t="s">
        <v>31</v>
      </c>
      <c r="M28" s="15" t="s">
        <v>32</v>
      </c>
    </row>
    <row r="29" spans="2:18" ht="15.75" x14ac:dyDescent="0.25">
      <c r="B29" s="2"/>
      <c r="C29" s="2"/>
      <c r="D29" s="2"/>
      <c r="E29" s="80">
        <v>8862</v>
      </c>
      <c r="F29" s="90" t="s">
        <v>212</v>
      </c>
      <c r="G29" s="91" t="s">
        <v>7</v>
      </c>
      <c r="H29" s="92">
        <v>158.55000000000001</v>
      </c>
      <c r="I29" s="8" t="s">
        <v>92</v>
      </c>
      <c r="J29" s="2"/>
      <c r="K29" s="88"/>
      <c r="L29" s="39"/>
      <c r="M29" s="16"/>
    </row>
    <row r="30" spans="2:18" ht="15.75" x14ac:dyDescent="0.25">
      <c r="B30" s="2"/>
      <c r="C30" s="2"/>
      <c r="D30" s="2"/>
      <c r="E30" s="84">
        <v>9018</v>
      </c>
      <c r="F30" s="24" t="s">
        <v>323</v>
      </c>
      <c r="G30" s="91" t="s">
        <v>6</v>
      </c>
      <c r="H30" s="92">
        <v>25</v>
      </c>
      <c r="I30" s="8" t="s">
        <v>45</v>
      </c>
      <c r="J30" s="2"/>
      <c r="K30" s="88"/>
      <c r="L30" s="39"/>
      <c r="M30" s="16"/>
    </row>
    <row r="31" spans="2:18" ht="15.75" x14ac:dyDescent="0.25">
      <c r="B31" s="2"/>
      <c r="C31" s="2"/>
      <c r="D31" s="2"/>
      <c r="E31" s="82">
        <v>9118</v>
      </c>
      <c r="F31" s="90" t="s">
        <v>211</v>
      </c>
      <c r="G31" s="91" t="s">
        <v>10</v>
      </c>
      <c r="H31" s="92">
        <v>120</v>
      </c>
      <c r="I31" s="8" t="s">
        <v>43</v>
      </c>
      <c r="J31" s="2"/>
      <c r="K31" s="89"/>
      <c r="L31" s="39"/>
      <c r="M31" s="16"/>
    </row>
    <row r="32" spans="2:18" ht="15.75" x14ac:dyDescent="0.25">
      <c r="B32" s="2"/>
      <c r="C32" s="2"/>
      <c r="E32" s="84">
        <v>9472</v>
      </c>
      <c r="F32" s="24" t="s">
        <v>323</v>
      </c>
      <c r="G32" s="91" t="s">
        <v>6</v>
      </c>
      <c r="H32" s="92">
        <v>25</v>
      </c>
      <c r="I32" s="8" t="s">
        <v>45</v>
      </c>
      <c r="K32" s="89"/>
      <c r="L32" s="39"/>
      <c r="M32" s="16"/>
    </row>
    <row r="33" spans="2:18" ht="15.75" x14ac:dyDescent="0.25">
      <c r="B33" s="2"/>
      <c r="C33" s="2"/>
      <c r="E33" s="82">
        <v>9723</v>
      </c>
      <c r="F33" s="90" t="s">
        <v>209</v>
      </c>
      <c r="G33" s="91" t="s">
        <v>10</v>
      </c>
      <c r="H33" s="92">
        <v>91.66</v>
      </c>
      <c r="I33" s="8" t="s">
        <v>59</v>
      </c>
      <c r="K33" s="89"/>
      <c r="L33" s="39"/>
      <c r="M33" s="16"/>
    </row>
    <row r="34" spans="2:18" ht="15.75" x14ac:dyDescent="0.25">
      <c r="E34" s="85">
        <v>9728</v>
      </c>
      <c r="F34" s="24" t="s">
        <v>205</v>
      </c>
      <c r="G34" s="25" t="s">
        <v>10</v>
      </c>
      <c r="H34" s="8">
        <v>162.5</v>
      </c>
      <c r="I34" s="8" t="s">
        <v>43</v>
      </c>
      <c r="K34" s="89"/>
      <c r="L34" s="39"/>
      <c r="M34" s="16"/>
    </row>
    <row r="35" spans="2:18" ht="15.75" x14ac:dyDescent="0.25">
      <c r="E35" s="80">
        <v>9836</v>
      </c>
      <c r="F35" s="24" t="s">
        <v>207</v>
      </c>
      <c r="G35" s="25" t="s">
        <v>7</v>
      </c>
      <c r="H35" s="8">
        <v>150</v>
      </c>
      <c r="I35" s="8" t="s">
        <v>38</v>
      </c>
      <c r="K35" s="89"/>
      <c r="L35" s="39"/>
      <c r="M35" s="16"/>
    </row>
    <row r="36" spans="2:18" ht="15.75" x14ac:dyDescent="0.25">
      <c r="E36" s="82">
        <v>9891</v>
      </c>
      <c r="F36" s="37" t="s">
        <v>207</v>
      </c>
      <c r="G36" s="25" t="s">
        <v>7</v>
      </c>
      <c r="H36" s="8">
        <v>82.37</v>
      </c>
      <c r="I36" s="8" t="s">
        <v>38</v>
      </c>
      <c r="K36" s="88"/>
      <c r="L36" s="39"/>
      <c r="M36" s="16"/>
    </row>
    <row r="37" spans="2:18" ht="15.75" x14ac:dyDescent="0.25">
      <c r="E37" s="82">
        <v>10041</v>
      </c>
      <c r="F37" s="90" t="s">
        <v>210</v>
      </c>
      <c r="G37" s="91" t="s">
        <v>10</v>
      </c>
      <c r="H37" s="92">
        <v>200</v>
      </c>
      <c r="I37" s="8" t="s">
        <v>83</v>
      </c>
      <c r="K37" s="89"/>
      <c r="L37" s="39"/>
      <c r="M37" s="16"/>
    </row>
    <row r="38" spans="2:18" ht="15.75" x14ac:dyDescent="0.25">
      <c r="E38" s="82">
        <v>10137</v>
      </c>
      <c r="F38" s="90" t="s">
        <v>208</v>
      </c>
      <c r="G38" s="91" t="s">
        <v>6</v>
      </c>
      <c r="H38" s="92">
        <v>123.75</v>
      </c>
      <c r="I38" s="8" t="s">
        <v>83</v>
      </c>
      <c r="K38" s="89"/>
      <c r="L38" s="39"/>
      <c r="M38" s="16"/>
    </row>
    <row r="39" spans="2:18" ht="15.75" x14ac:dyDescent="0.25">
      <c r="E39" s="82">
        <v>10151</v>
      </c>
      <c r="F39" s="24" t="s">
        <v>216</v>
      </c>
      <c r="G39" s="25" t="s">
        <v>10</v>
      </c>
      <c r="H39" s="8">
        <v>92.5</v>
      </c>
      <c r="I39" s="8" t="s">
        <v>76</v>
      </c>
      <c r="K39" s="89"/>
      <c r="L39" s="39"/>
      <c r="M39" s="16"/>
    </row>
    <row r="40" spans="2:18" ht="15.75" x14ac:dyDescent="0.25">
      <c r="E40" s="84">
        <v>10210</v>
      </c>
      <c r="F40" s="90" t="s">
        <v>206</v>
      </c>
      <c r="G40" s="91" t="s">
        <v>10</v>
      </c>
      <c r="H40" s="92">
        <v>161</v>
      </c>
      <c r="I40" s="8" t="s">
        <v>95</v>
      </c>
      <c r="K40" s="89"/>
      <c r="L40" s="39"/>
      <c r="M40" s="16"/>
      <c r="Q40" s="1" t="s">
        <v>36</v>
      </c>
      <c r="R40" s="1" t="e">
        <f>SUM(R6:R21)</f>
        <v>#VALUE!</v>
      </c>
    </row>
    <row r="41" spans="2:18" ht="15.75" x14ac:dyDescent="0.25">
      <c r="E41" s="82">
        <v>10340</v>
      </c>
      <c r="F41" s="90" t="s">
        <v>217</v>
      </c>
      <c r="G41" s="91" t="s">
        <v>6</v>
      </c>
      <c r="H41" s="92">
        <v>255.67</v>
      </c>
      <c r="I41" s="8" t="s">
        <v>33</v>
      </c>
      <c r="K41" s="88"/>
      <c r="L41" s="39"/>
      <c r="M41" s="16"/>
    </row>
    <row r="42" spans="2:18" ht="15.75" x14ac:dyDescent="0.25">
      <c r="E42" s="82">
        <v>10442</v>
      </c>
      <c r="F42" s="24" t="s">
        <v>204</v>
      </c>
      <c r="G42" s="25" t="s">
        <v>10</v>
      </c>
      <c r="H42" s="8">
        <v>125.5</v>
      </c>
      <c r="I42" s="8" t="s">
        <v>93</v>
      </c>
      <c r="K42" s="88"/>
      <c r="L42" s="39"/>
      <c r="M42" s="16"/>
    </row>
    <row r="43" spans="2:18" ht="15.75" x14ac:dyDescent="0.25">
      <c r="E43" s="80">
        <v>10449</v>
      </c>
      <c r="F43" s="90" t="s">
        <v>214</v>
      </c>
      <c r="G43" s="91" t="s">
        <v>7</v>
      </c>
      <c r="H43" s="92">
        <v>128.71</v>
      </c>
      <c r="I43" s="8" t="s">
        <v>35</v>
      </c>
      <c r="K43" s="89"/>
      <c r="L43" s="40"/>
      <c r="M43" s="38"/>
    </row>
    <row r="44" spans="2:18" ht="15.75" x14ac:dyDescent="0.25">
      <c r="E44" s="82">
        <v>10468</v>
      </c>
      <c r="F44" s="34" t="s">
        <v>213</v>
      </c>
      <c r="G44" s="35" t="s">
        <v>7</v>
      </c>
      <c r="H44" s="17">
        <v>127.85</v>
      </c>
      <c r="I44" s="8" t="s">
        <v>35</v>
      </c>
      <c r="K44" s="88"/>
      <c r="L44" s="39"/>
      <c r="M44" s="38"/>
    </row>
  </sheetData>
  <mergeCells count="9">
    <mergeCell ref="E19:I19"/>
    <mergeCell ref="E27:I27"/>
    <mergeCell ref="K27:M27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 M17:M25" xr:uid="{D6DC696E-CA3B-41BE-A6D2-E856E1562E18}">
      <formula1>"Sim, Não"</formula1>
    </dataValidation>
    <dataValidation type="list" allowBlank="1" showInputMessage="1" showErrorMessage="1" sqref="L29:L44" xr:uid="{AD9A0320-9A30-41B2-9FAF-D01289640E0B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0BA27C-92FA-4E44-B45B-142D61BB934F}">
          <x14:formula1>
            <xm:f>base!$A$2:$A$6</xm:f>
          </x14:formula1>
          <xm:sqref>G21:G25 G29:G44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G6:G17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L15:L25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E6:E17 E21:E25 K15:K25 E28:E44 K29:K44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I29:I44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view="pageBreakPreview" zoomScale="60" zoomScaleNormal="9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8.5703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1">
        <f>'10'!B1+1</f>
        <v>45727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4369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2939</v>
      </c>
      <c r="D6" s="2"/>
      <c r="E6" s="80">
        <v>10660</v>
      </c>
      <c r="F6" s="24" t="s">
        <v>325</v>
      </c>
      <c r="G6" s="25" t="s">
        <v>7</v>
      </c>
      <c r="H6" s="8">
        <v>30</v>
      </c>
      <c r="I6" s="8">
        <v>30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10661</v>
      </c>
      <c r="F7" s="24" t="s">
        <v>326</v>
      </c>
      <c r="G7" s="25" t="s">
        <v>10</v>
      </c>
      <c r="H7" s="8">
        <v>890</v>
      </c>
      <c r="I7" s="8">
        <v>890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2939</v>
      </c>
      <c r="D8" s="2"/>
      <c r="E8" s="80">
        <v>10662</v>
      </c>
      <c r="F8" s="24" t="s">
        <v>326</v>
      </c>
      <c r="G8" s="25" t="s">
        <v>10</v>
      </c>
      <c r="H8" s="8">
        <v>950</v>
      </c>
      <c r="I8" s="8">
        <v>950</v>
      </c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80">
        <v>10663</v>
      </c>
      <c r="F9" s="24" t="s">
        <v>326</v>
      </c>
      <c r="G9" s="25" t="s">
        <v>10</v>
      </c>
      <c r="H9" s="8">
        <v>800</v>
      </c>
      <c r="I9" s="8">
        <v>535</v>
      </c>
      <c r="J9" s="2"/>
      <c r="K9" s="24"/>
      <c r="L9" s="9"/>
      <c r="M9" s="16"/>
      <c r="R9" s="1">
        <f>IF(vend11[[#This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10664</v>
      </c>
      <c r="F10" s="24" t="s">
        <v>327</v>
      </c>
      <c r="G10" s="25" t="s">
        <v>7</v>
      </c>
      <c r="H10" s="8">
        <v>624.5</v>
      </c>
      <c r="I10" s="8">
        <v>40</v>
      </c>
      <c r="J10" s="2"/>
      <c r="K10" s="24"/>
      <c r="L10" s="9"/>
      <c r="M10" s="16"/>
      <c r="R10" s="1">
        <f>IF(vend11[[#This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>
        <v>10664</v>
      </c>
      <c r="F11" s="24" t="s">
        <v>327</v>
      </c>
      <c r="G11" s="25" t="s">
        <v>8</v>
      </c>
      <c r="H11" s="8">
        <v>0</v>
      </c>
      <c r="I11" s="8">
        <v>60</v>
      </c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169</v>
      </c>
      <c r="D12" s="2"/>
      <c r="E12" s="80">
        <v>10665</v>
      </c>
      <c r="F12" s="24" t="s">
        <v>327</v>
      </c>
      <c r="G12" s="25" t="s">
        <v>8</v>
      </c>
      <c r="H12" s="8">
        <v>550</v>
      </c>
      <c r="I12" s="8">
        <v>100</v>
      </c>
      <c r="J12" s="2"/>
      <c r="R12" s="1">
        <f>IF(vend11[[#This Row],[Nº Venda]]&gt;1,1,0)</f>
        <v>1</v>
      </c>
    </row>
    <row r="13" spans="2:18" ht="15.75" x14ac:dyDescent="0.25">
      <c r="B13" s="29" t="s">
        <v>8</v>
      </c>
      <c r="C13" s="30">
        <f t="shared" si="0"/>
        <v>260</v>
      </c>
      <c r="D13" s="2"/>
      <c r="E13" s="80">
        <v>10666</v>
      </c>
      <c r="F13" s="24" t="s">
        <v>327</v>
      </c>
      <c r="G13" s="25" t="s">
        <v>8</v>
      </c>
      <c r="H13" s="8">
        <v>524.5</v>
      </c>
      <c r="I13" s="8">
        <v>100</v>
      </c>
      <c r="J13" s="2"/>
      <c r="K13" s="104" t="s">
        <v>22</v>
      </c>
      <c r="L13" s="105"/>
      <c r="M13" s="106"/>
      <c r="R13" s="1">
        <f>IF(vend11[[#This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2510</v>
      </c>
      <c r="D15" s="2"/>
      <c r="E15" s="80"/>
      <c r="F15" s="24"/>
      <c r="G15" s="25"/>
      <c r="H15" s="8"/>
      <c r="I15" s="8"/>
      <c r="J15" s="2"/>
      <c r="K15" s="88">
        <v>10334</v>
      </c>
      <c r="L15" s="9" t="s">
        <v>136</v>
      </c>
      <c r="M15" s="16" t="s">
        <v>150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2939</v>
      </c>
      <c r="D16" s="2"/>
      <c r="E16" s="80"/>
      <c r="F16" s="24"/>
      <c r="G16" s="25"/>
      <c r="H16" s="8"/>
      <c r="I16" s="8"/>
      <c r="J16" s="2"/>
      <c r="K16" s="88">
        <v>10587</v>
      </c>
      <c r="L16" s="9" t="s">
        <v>129</v>
      </c>
      <c r="M16" s="16" t="s">
        <v>145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10590</v>
      </c>
      <c r="L17" s="9" t="s">
        <v>130</v>
      </c>
      <c r="M17" s="16" t="s">
        <v>145</v>
      </c>
      <c r="R17" s="1">
        <f>IF(vend11[[#This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10620</v>
      </c>
      <c r="L18" s="9" t="s">
        <v>136</v>
      </c>
      <c r="M18" s="16" t="s">
        <v>145</v>
      </c>
      <c r="R18" s="1">
        <f>IF(vend11[[#This Row],[Nº Venda]]&gt;1,1,0)</f>
        <v>0</v>
      </c>
    </row>
    <row r="19" spans="2:18" ht="15.75" x14ac:dyDescent="0.25">
      <c r="B19" s="29">
        <f>COUNT(entr_carn11[OS])</f>
        <v>1</v>
      </c>
      <c r="C19" s="30">
        <f>SUM(entr_carn11[Valor Total])</f>
        <v>69.989999999999995</v>
      </c>
      <c r="D19" s="2"/>
      <c r="E19" s="80"/>
      <c r="F19" s="24"/>
      <c r="G19" s="25"/>
      <c r="H19" s="8"/>
      <c r="I19" s="8"/>
      <c r="J19" s="2"/>
      <c r="K19" s="88">
        <v>10626</v>
      </c>
      <c r="L19" s="9" t="s">
        <v>134</v>
      </c>
      <c r="M19" s="16" t="s">
        <v>145</v>
      </c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69.989999999999995</v>
      </c>
      <c r="D20" s="2"/>
      <c r="E20" s="80"/>
      <c r="F20" s="25"/>
      <c r="G20" s="25"/>
      <c r="H20" s="8"/>
      <c r="I20" s="8"/>
      <c r="J20" s="2"/>
      <c r="K20" s="88">
        <v>10627</v>
      </c>
      <c r="L20" s="9" t="s">
        <v>134</v>
      </c>
      <c r="M20" s="16" t="s">
        <v>145</v>
      </c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>
        <v>10630</v>
      </c>
      <c r="L21" s="9" t="s">
        <v>129</v>
      </c>
      <c r="M21" s="16" t="s">
        <v>145</v>
      </c>
    </row>
    <row r="22" spans="2:18" ht="15.75" x14ac:dyDescent="0.25">
      <c r="B22" s="27" t="s">
        <v>26</v>
      </c>
      <c r="C22" s="31">
        <f>C5</f>
        <v>4369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41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9018</v>
      </c>
      <c r="F35" s="24" t="s">
        <v>323</v>
      </c>
      <c r="G35" s="25" t="s">
        <v>7</v>
      </c>
      <c r="H35" s="8">
        <v>42.5</v>
      </c>
      <c r="I35" s="8" t="s">
        <v>80</v>
      </c>
      <c r="K35" s="88">
        <v>10334</v>
      </c>
      <c r="L35" s="39">
        <v>5</v>
      </c>
      <c r="M35" s="16">
        <v>69.989999999999995</v>
      </c>
    </row>
    <row r="36" spans="2:18" ht="15.75" x14ac:dyDescent="0.25">
      <c r="E36" s="84">
        <v>9472</v>
      </c>
      <c r="F36" s="24" t="s">
        <v>323</v>
      </c>
      <c r="G36" s="25" t="s">
        <v>7</v>
      </c>
      <c r="H36" s="8">
        <v>42.5</v>
      </c>
      <c r="I36" s="8" t="s">
        <v>80</v>
      </c>
      <c r="K36" s="88"/>
      <c r="L36" s="39"/>
      <c r="M36" s="16"/>
    </row>
    <row r="37" spans="2:18" ht="15.75" x14ac:dyDescent="0.25">
      <c r="E37" s="80">
        <v>10319</v>
      </c>
      <c r="F37" s="24" t="s">
        <v>324</v>
      </c>
      <c r="G37" s="25" t="s">
        <v>10</v>
      </c>
      <c r="H37" s="8">
        <v>135</v>
      </c>
      <c r="I37" s="8" t="s">
        <v>69</v>
      </c>
      <c r="K37" s="88"/>
      <c r="L37" s="39"/>
      <c r="M37" s="16"/>
    </row>
    <row r="38" spans="2:18" ht="15.75" x14ac:dyDescent="0.25">
      <c r="E38" s="80">
        <v>10334</v>
      </c>
      <c r="F38" s="24" t="s">
        <v>322</v>
      </c>
      <c r="G38" s="25" t="s">
        <v>7</v>
      </c>
      <c r="H38" s="8">
        <v>14</v>
      </c>
      <c r="I38" s="8" t="s">
        <v>39</v>
      </c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8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K21" sqref="K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'11'!B1+1</f>
        <v>45728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1827.9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2457.9</v>
      </c>
      <c r="D6" s="2"/>
      <c r="E6" s="80">
        <v>10667</v>
      </c>
      <c r="F6" s="61" t="s">
        <v>219</v>
      </c>
      <c r="G6" s="61" t="s">
        <v>6</v>
      </c>
      <c r="H6" s="62">
        <v>170</v>
      </c>
      <c r="I6" s="62">
        <v>170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10668</v>
      </c>
      <c r="F7" s="41" t="s">
        <v>218</v>
      </c>
      <c r="G7" s="41" t="s">
        <v>7</v>
      </c>
      <c r="H7" s="8">
        <v>69.900000000000006</v>
      </c>
      <c r="I7" s="8">
        <v>69.900000000000006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2457.9</v>
      </c>
      <c r="D8" s="2"/>
      <c r="E8" s="80">
        <v>10669</v>
      </c>
      <c r="F8" s="41" t="s">
        <v>220</v>
      </c>
      <c r="G8" s="41" t="s">
        <v>10</v>
      </c>
      <c r="H8" s="8">
        <v>589</v>
      </c>
      <c r="I8" s="8">
        <v>589</v>
      </c>
      <c r="J8" s="2"/>
      <c r="K8" s="24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80">
        <v>10670</v>
      </c>
      <c r="F9" s="101" t="s">
        <v>221</v>
      </c>
      <c r="G9" s="25" t="s">
        <v>40</v>
      </c>
      <c r="H9" s="8">
        <v>0</v>
      </c>
      <c r="I9" s="8">
        <v>0</v>
      </c>
      <c r="J9" s="2"/>
      <c r="K9" s="24"/>
      <c r="L9" s="9"/>
      <c r="M9" s="16"/>
      <c r="R9" s="1">
        <f>IF(vend12[[#This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10671</v>
      </c>
      <c r="F10" s="101" t="s">
        <v>218</v>
      </c>
      <c r="G10" s="25" t="s">
        <v>8</v>
      </c>
      <c r="H10" s="8">
        <v>999</v>
      </c>
      <c r="I10" s="8">
        <v>999</v>
      </c>
      <c r="J10" s="2"/>
      <c r="K10" s="24"/>
      <c r="L10" s="9"/>
      <c r="M10" s="16"/>
      <c r="R10" s="1">
        <f>IF(vend12[[#This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170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69.900000000000006</v>
      </c>
      <c r="D12" s="2"/>
      <c r="E12" s="80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1429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789</v>
      </c>
      <c r="D15" s="2"/>
      <c r="E15" s="80"/>
      <c r="F15" s="24"/>
      <c r="G15" s="25"/>
      <c r="H15" s="8"/>
      <c r="I15" s="8"/>
      <c r="J15" s="2"/>
      <c r="K15" s="88">
        <v>10510</v>
      </c>
      <c r="L15" s="9" t="s">
        <v>129</v>
      </c>
      <c r="M15" s="16" t="s">
        <v>145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2457.9</v>
      </c>
      <c r="D16" s="2"/>
      <c r="E16" s="80"/>
      <c r="F16" s="24"/>
      <c r="G16" s="25"/>
      <c r="H16" s="8"/>
      <c r="I16" s="8"/>
      <c r="J16" s="2"/>
      <c r="K16" s="88">
        <v>10618</v>
      </c>
      <c r="L16" s="9" t="s">
        <v>136</v>
      </c>
      <c r="M16" s="16" t="s">
        <v>145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10634</v>
      </c>
      <c r="L17" s="9" t="s">
        <v>129</v>
      </c>
      <c r="M17" s="16" t="s">
        <v>145</v>
      </c>
      <c r="R17" s="1">
        <f>IF(vend12[[#This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10635</v>
      </c>
      <c r="L18" s="9" t="s">
        <v>129</v>
      </c>
      <c r="M18" s="16" t="s">
        <v>145</v>
      </c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80"/>
      <c r="F19" s="24"/>
      <c r="G19" s="25"/>
      <c r="H19" s="8"/>
      <c r="I19" s="8"/>
      <c r="J19" s="2"/>
      <c r="K19" s="88">
        <v>10667</v>
      </c>
      <c r="L19" s="9" t="s">
        <v>129</v>
      </c>
      <c r="M19" s="16" t="s">
        <v>145</v>
      </c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>
        <v>10668</v>
      </c>
      <c r="L20" s="9" t="s">
        <v>129</v>
      </c>
      <c r="M20" s="16" t="s">
        <v>145</v>
      </c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1827.9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10629</v>
      </c>
      <c r="F26" s="45" t="s">
        <v>222</v>
      </c>
      <c r="G26" s="41" t="s">
        <v>10</v>
      </c>
      <c r="H26" s="8">
        <v>0</v>
      </c>
      <c r="I26" s="8">
        <v>200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>
        <v>10634</v>
      </c>
      <c r="F27" s="24" t="s">
        <v>328</v>
      </c>
      <c r="G27" s="25" t="s">
        <v>8</v>
      </c>
      <c r="H27" s="8">
        <v>0</v>
      </c>
      <c r="I27" s="8">
        <v>90</v>
      </c>
      <c r="J27" s="2"/>
      <c r="K27" s="88"/>
      <c r="L27" s="9"/>
      <c r="M27" s="16"/>
    </row>
    <row r="28" spans="2:18" ht="15.75" x14ac:dyDescent="0.25">
      <c r="B28" s="2"/>
      <c r="C28" s="2"/>
      <c r="D28" s="2"/>
      <c r="E28" s="80">
        <v>10635</v>
      </c>
      <c r="F28" s="24" t="s">
        <v>328</v>
      </c>
      <c r="G28" s="25" t="s">
        <v>8</v>
      </c>
      <c r="H28" s="8">
        <v>0</v>
      </c>
      <c r="I28" s="8">
        <v>340</v>
      </c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5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H7" sqref="H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'12'!B1+1</f>
        <v>45729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2300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3674.56</v>
      </c>
      <c r="D6" s="2"/>
      <c r="E6" s="80">
        <v>10672</v>
      </c>
      <c r="F6" s="24" t="s">
        <v>223</v>
      </c>
      <c r="G6" s="25" t="s">
        <v>7</v>
      </c>
      <c r="H6" s="8">
        <v>600</v>
      </c>
      <c r="I6" s="8">
        <v>300</v>
      </c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10673</v>
      </c>
      <c r="F7" s="24" t="s">
        <v>224</v>
      </c>
      <c r="G7" s="25" t="s">
        <v>8</v>
      </c>
      <c r="H7" s="8">
        <v>600</v>
      </c>
      <c r="I7" s="8">
        <v>1999.9</v>
      </c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21</v>
      </c>
      <c r="C8" s="28">
        <f>SUM(C6:C7)</f>
        <v>3674.56</v>
      </c>
      <c r="D8" s="2"/>
      <c r="E8" s="80">
        <v>10674</v>
      </c>
      <c r="F8" s="24" t="s">
        <v>225</v>
      </c>
      <c r="G8" s="25" t="s">
        <v>8</v>
      </c>
      <c r="H8" s="8">
        <v>400</v>
      </c>
      <c r="I8" s="8">
        <v>400</v>
      </c>
      <c r="J8" s="2"/>
      <c r="K8" s="24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80">
        <v>10675</v>
      </c>
      <c r="F9" s="24" t="s">
        <v>226</v>
      </c>
      <c r="G9" s="25" t="s">
        <v>8</v>
      </c>
      <c r="H9" s="8">
        <v>700</v>
      </c>
      <c r="I9" s="8">
        <v>700</v>
      </c>
      <c r="J9" s="2"/>
      <c r="K9" s="24"/>
      <c r="L9" s="9"/>
      <c r="M9" s="16"/>
      <c r="R9" s="1">
        <f>IF(vend13[[#This Row],[Nº Venda]]&gt;1,1,0)</f>
        <v>1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40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344</v>
      </c>
      <c r="D12" s="2"/>
      <c r="E12" s="80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3099.9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190.66</v>
      </c>
      <c r="D15" s="2"/>
      <c r="E15" s="80"/>
      <c r="F15" s="24"/>
      <c r="G15" s="25"/>
      <c r="H15" s="8"/>
      <c r="I15" s="8"/>
      <c r="J15" s="2"/>
      <c r="K15" s="88">
        <v>10619</v>
      </c>
      <c r="L15" s="9" t="s">
        <v>136</v>
      </c>
      <c r="M15" s="16" t="s">
        <v>145</v>
      </c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3674.56</v>
      </c>
      <c r="D16" s="2"/>
      <c r="E16" s="80"/>
      <c r="F16" s="24"/>
      <c r="G16" s="25"/>
      <c r="H16" s="8"/>
      <c r="I16" s="8"/>
      <c r="J16" s="2"/>
      <c r="K16" s="88">
        <v>10617</v>
      </c>
      <c r="L16" s="9" t="s">
        <v>136</v>
      </c>
      <c r="M16" s="16" t="s">
        <v>145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16"/>
      <c r="R17" s="1">
        <f>IF(vend13[[#This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2300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10360</v>
      </c>
      <c r="F35" s="24" t="s">
        <v>227</v>
      </c>
      <c r="G35" s="25" t="s">
        <v>7</v>
      </c>
      <c r="H35" s="8">
        <v>44</v>
      </c>
      <c r="I35" s="8" t="s">
        <v>53</v>
      </c>
      <c r="K35" s="88"/>
      <c r="L35" s="39"/>
      <c r="M35" s="16"/>
    </row>
    <row r="36" spans="2:18" ht="15.75" x14ac:dyDescent="0.25">
      <c r="E36" s="84">
        <v>10360</v>
      </c>
      <c r="F36" s="24" t="s">
        <v>227</v>
      </c>
      <c r="G36" s="25" t="s">
        <v>6</v>
      </c>
      <c r="H36" s="8">
        <v>40</v>
      </c>
      <c r="I36" s="8" t="s">
        <v>53</v>
      </c>
      <c r="K36" s="88"/>
      <c r="L36" s="39"/>
      <c r="M36" s="16"/>
    </row>
    <row r="37" spans="2:18" ht="15.75" x14ac:dyDescent="0.25">
      <c r="E37" s="80">
        <v>9307</v>
      </c>
      <c r="F37" s="24" t="s">
        <v>228</v>
      </c>
      <c r="G37" s="25" t="s">
        <v>10</v>
      </c>
      <c r="H37" s="8">
        <v>117</v>
      </c>
      <c r="I37" s="8" t="s">
        <v>39</v>
      </c>
      <c r="K37" s="88"/>
      <c r="L37" s="39"/>
      <c r="M37" s="16"/>
    </row>
    <row r="38" spans="2:18" ht="15.75" x14ac:dyDescent="0.25">
      <c r="E38" s="80">
        <v>10492</v>
      </c>
      <c r="F38" s="24" t="s">
        <v>229</v>
      </c>
      <c r="G38" s="25" t="s">
        <v>10</v>
      </c>
      <c r="H38" s="8">
        <v>73.66</v>
      </c>
      <c r="I38" s="8" t="s">
        <v>71</v>
      </c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4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5" zoomScaleNormal="85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'13'!B1+1</f>
        <v>45730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1300</v>
      </c>
      <c r="D6" s="2"/>
      <c r="E6" s="80">
        <v>10676</v>
      </c>
      <c r="F6" s="24" t="s">
        <v>230</v>
      </c>
      <c r="G6" s="41" t="s">
        <v>40</v>
      </c>
      <c r="H6" s="8"/>
      <c r="I6" s="8"/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10677</v>
      </c>
      <c r="F7" s="24" t="s">
        <v>231</v>
      </c>
      <c r="G7" s="41" t="s">
        <v>7</v>
      </c>
      <c r="H7" s="8">
        <v>100</v>
      </c>
      <c r="I7" s="8">
        <v>100</v>
      </c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1300</v>
      </c>
      <c r="D8" s="2"/>
      <c r="E8" s="80">
        <v>10678</v>
      </c>
      <c r="F8" s="24" t="s">
        <v>232</v>
      </c>
      <c r="G8" s="25" t="s">
        <v>8</v>
      </c>
      <c r="H8" s="8">
        <v>150</v>
      </c>
      <c r="I8" s="8">
        <v>150</v>
      </c>
      <c r="J8" s="2"/>
      <c r="K8" s="24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80">
        <v>10679</v>
      </c>
      <c r="F9" s="24" t="s">
        <v>233</v>
      </c>
      <c r="G9" s="25" t="s">
        <v>8</v>
      </c>
      <c r="H9" s="8">
        <v>350</v>
      </c>
      <c r="I9" s="8">
        <v>350</v>
      </c>
      <c r="J9" s="2"/>
      <c r="K9" s="24"/>
      <c r="L9" s="9"/>
      <c r="M9" s="16"/>
      <c r="R9" s="1">
        <f>IF(vend14[[#This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10680</v>
      </c>
      <c r="F10" s="24" t="s">
        <v>233</v>
      </c>
      <c r="G10" s="25" t="s">
        <v>8</v>
      </c>
      <c r="H10" s="8">
        <v>50</v>
      </c>
      <c r="I10" s="8">
        <v>40</v>
      </c>
      <c r="J10" s="2"/>
      <c r="K10" s="24"/>
      <c r="L10" s="9"/>
      <c r="M10" s="16"/>
      <c r="R10" s="1">
        <f>IF(vend14[[#This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 t="s">
        <v>10</v>
      </c>
      <c r="H11" s="8"/>
      <c r="I11" s="8">
        <v>10</v>
      </c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600</v>
      </c>
      <c r="D12" s="2"/>
      <c r="E12" s="80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540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160</v>
      </c>
      <c r="D15" s="2"/>
      <c r="E15" s="80"/>
      <c r="F15" s="24"/>
      <c r="G15" s="25"/>
      <c r="H15" s="8"/>
      <c r="I15" s="8"/>
      <c r="J15" s="2"/>
      <c r="K15" s="88">
        <v>10072</v>
      </c>
      <c r="L15" s="9" t="s">
        <v>136</v>
      </c>
      <c r="M15" s="16" t="s">
        <v>145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1300</v>
      </c>
      <c r="D16" s="2"/>
      <c r="E16" s="80"/>
      <c r="F16" s="24"/>
      <c r="G16" s="25"/>
      <c r="H16" s="8"/>
      <c r="I16" s="8"/>
      <c r="J16" s="2"/>
      <c r="K16" s="88">
        <v>10437</v>
      </c>
      <c r="L16" s="9" t="s">
        <v>129</v>
      </c>
      <c r="M16" s="16" t="s">
        <v>145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10548</v>
      </c>
      <c r="L17" s="9" t="s">
        <v>129</v>
      </c>
      <c r="M17" s="16" t="s">
        <v>145</v>
      </c>
      <c r="R17" s="1">
        <f>IF(vend14[[#This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10599</v>
      </c>
      <c r="L18" s="9" t="s">
        <v>129</v>
      </c>
      <c r="M18" s="16" t="s">
        <v>145</v>
      </c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80"/>
      <c r="F19" s="24"/>
      <c r="G19" s="25"/>
      <c r="H19" s="8"/>
      <c r="I19" s="8"/>
      <c r="J19" s="2"/>
      <c r="K19" s="88">
        <v>10650</v>
      </c>
      <c r="L19" s="9" t="s">
        <v>136</v>
      </c>
      <c r="M19" s="16" t="s">
        <v>145</v>
      </c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>
        <v>10677</v>
      </c>
      <c r="L20" s="9" t="s">
        <v>129</v>
      </c>
      <c r="M20" s="16" t="s">
        <v>145</v>
      </c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>
        <v>10678</v>
      </c>
      <c r="L21" s="9" t="s">
        <v>129</v>
      </c>
      <c r="M21" s="16" t="s">
        <v>145</v>
      </c>
    </row>
    <row r="22" spans="2:18" ht="15.75" x14ac:dyDescent="0.25">
      <c r="B22" s="27" t="s">
        <v>26</v>
      </c>
      <c r="C22" s="31">
        <f>C5</f>
        <v>650</v>
      </c>
      <c r="D22" s="2"/>
      <c r="E22" s="80"/>
      <c r="F22" s="24"/>
      <c r="G22" s="25"/>
      <c r="H22" s="8"/>
      <c r="I22" s="8"/>
      <c r="J22" s="2"/>
      <c r="K22" s="88">
        <v>10680</v>
      </c>
      <c r="L22" s="9" t="s">
        <v>129</v>
      </c>
      <c r="M22" s="16" t="s">
        <v>145</v>
      </c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10599</v>
      </c>
      <c r="F26" s="24" t="s">
        <v>234</v>
      </c>
      <c r="G26" s="25" t="s">
        <v>7</v>
      </c>
      <c r="H26" s="8"/>
      <c r="I26" s="8">
        <v>500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10192</v>
      </c>
      <c r="F35" s="24" t="s">
        <v>235</v>
      </c>
      <c r="G35" s="25" t="s">
        <v>10</v>
      </c>
      <c r="H35" s="8">
        <v>150</v>
      </c>
      <c r="I35" s="8" t="s">
        <v>54</v>
      </c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5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 G36:G41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K35:K41 K15:K31 E35 E36:E41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 I36:I41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8" zoomScale="90" zoomScaleNormal="9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1">
        <f>'14'!B1+1</f>
        <v>45731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965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600</v>
      </c>
      <c r="D6" s="2"/>
      <c r="E6" s="80">
        <v>10727</v>
      </c>
      <c r="F6" s="24" t="s">
        <v>238</v>
      </c>
      <c r="G6" s="41" t="s">
        <v>8</v>
      </c>
      <c r="H6" s="8">
        <v>220</v>
      </c>
      <c r="I6" s="8">
        <v>220</v>
      </c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10728</v>
      </c>
      <c r="F7" s="24" t="s">
        <v>237</v>
      </c>
      <c r="G7" s="41" t="s">
        <v>6</v>
      </c>
      <c r="H7" s="8">
        <v>745</v>
      </c>
      <c r="I7" s="8">
        <v>200</v>
      </c>
      <c r="J7" s="2"/>
      <c r="K7" s="24"/>
      <c r="L7" s="9"/>
      <c r="M7" s="16"/>
      <c r="R7" s="1">
        <f>IF(vend15[[#This Row],[Nº Venda]]&gt;1,1,0)</f>
        <v>1</v>
      </c>
    </row>
    <row r="8" spans="2:18" ht="15.75" x14ac:dyDescent="0.25">
      <c r="B8" s="27" t="s">
        <v>21</v>
      </c>
      <c r="C8" s="28">
        <f>SUM(C6:C7)</f>
        <v>600</v>
      </c>
      <c r="D8" s="2"/>
      <c r="E8" s="80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80"/>
      <c r="F9" s="24"/>
      <c r="G9" s="25"/>
      <c r="H9" s="8"/>
      <c r="I9" s="8" t="s">
        <v>58</v>
      </c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0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220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180</v>
      </c>
      <c r="D15" s="2"/>
      <c r="E15" s="80"/>
      <c r="F15" s="24"/>
      <c r="G15" s="25"/>
      <c r="H15" s="8"/>
      <c r="I15" s="8"/>
      <c r="J15" s="2"/>
      <c r="K15" s="88">
        <v>10552</v>
      </c>
      <c r="L15" s="9" t="s">
        <v>129</v>
      </c>
      <c r="M15" s="57" t="s">
        <v>145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600</v>
      </c>
      <c r="D16" s="2"/>
      <c r="E16" s="80"/>
      <c r="F16" s="24"/>
      <c r="G16" s="25"/>
      <c r="H16" s="8"/>
      <c r="I16" s="8"/>
      <c r="J16" s="2"/>
      <c r="K16" s="88">
        <v>10676</v>
      </c>
      <c r="L16" s="9" t="s">
        <v>129</v>
      </c>
      <c r="M16" s="16" t="s">
        <v>145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10631</v>
      </c>
      <c r="L17" s="9" t="s">
        <v>129</v>
      </c>
      <c r="M17" s="16" t="s">
        <v>145</v>
      </c>
      <c r="R17" s="1">
        <f>IF(vend15[[#This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10588</v>
      </c>
      <c r="L18" s="9" t="s">
        <v>129</v>
      </c>
      <c r="M18" s="16" t="s">
        <v>145</v>
      </c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80"/>
      <c r="F19" s="24"/>
      <c r="G19" s="25"/>
      <c r="H19" s="8"/>
      <c r="I19" s="8"/>
      <c r="J19" s="2"/>
      <c r="K19" s="88">
        <v>10662</v>
      </c>
      <c r="L19" s="9" t="s">
        <v>136</v>
      </c>
      <c r="M19" s="57" t="s">
        <v>145</v>
      </c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>
        <v>10663</v>
      </c>
      <c r="L20" s="9" t="s">
        <v>136</v>
      </c>
      <c r="M20" s="16" t="s">
        <v>145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965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41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9757</v>
      </c>
      <c r="F35" s="24" t="s">
        <v>236</v>
      </c>
      <c r="G35" s="25" t="s">
        <v>10</v>
      </c>
      <c r="H35" s="8">
        <v>180</v>
      </c>
      <c r="I35" s="8" t="s">
        <v>59</v>
      </c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2" zoomScale="90" zoomScaleNormal="9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'16'!B1+1</f>
        <v>45733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438.9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642.04</v>
      </c>
      <c r="D6" s="2"/>
      <c r="E6" s="80">
        <v>10681</v>
      </c>
      <c r="F6" s="24" t="s">
        <v>258</v>
      </c>
      <c r="G6" s="25" t="s">
        <v>10</v>
      </c>
      <c r="H6" s="8">
        <v>30</v>
      </c>
      <c r="I6" s="8">
        <v>10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10682</v>
      </c>
      <c r="F7" s="24" t="s">
        <v>259</v>
      </c>
      <c r="G7" s="25" t="s">
        <v>8</v>
      </c>
      <c r="H7" s="8">
        <v>200</v>
      </c>
      <c r="I7" s="8">
        <v>200</v>
      </c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642.04</v>
      </c>
      <c r="D8" s="2"/>
      <c r="E8" s="80">
        <v>10683</v>
      </c>
      <c r="F8" s="24" t="s">
        <v>260</v>
      </c>
      <c r="G8" s="25" t="s">
        <v>8</v>
      </c>
      <c r="H8" s="8">
        <v>179.9</v>
      </c>
      <c r="I8" s="8">
        <v>179.9</v>
      </c>
      <c r="J8" s="2"/>
      <c r="K8" s="24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80">
        <v>10684</v>
      </c>
      <c r="F9" s="24" t="s">
        <v>261</v>
      </c>
      <c r="G9" s="25" t="s">
        <v>6</v>
      </c>
      <c r="H9" s="8">
        <v>29</v>
      </c>
      <c r="I9" s="8">
        <v>15</v>
      </c>
      <c r="J9" s="2"/>
      <c r="K9" s="24"/>
      <c r="L9" s="9"/>
      <c r="M9" s="16"/>
      <c r="R9" s="1">
        <f>IF(vend17[[#This Row],[Nº Venda]]&gt;1,1,0)</f>
        <v>1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115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117.14</v>
      </c>
      <c r="D12" s="2"/>
      <c r="E12" s="80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379.9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30</v>
      </c>
      <c r="D15" s="2"/>
      <c r="E15" s="80"/>
      <c r="F15" s="24"/>
      <c r="G15" s="25"/>
      <c r="H15" s="8"/>
      <c r="I15" s="8"/>
      <c r="J15" s="2"/>
      <c r="K15" s="88">
        <v>10479</v>
      </c>
      <c r="L15" s="9" t="s">
        <v>136</v>
      </c>
      <c r="M15" s="16" t="s">
        <v>145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642.04</v>
      </c>
      <c r="D16" s="2"/>
      <c r="E16" s="80"/>
      <c r="F16" s="24"/>
      <c r="G16" s="25"/>
      <c r="H16" s="8"/>
      <c r="I16" s="8"/>
      <c r="J16" s="2"/>
      <c r="K16" s="88">
        <v>10684</v>
      </c>
      <c r="L16" s="9" t="s">
        <v>136</v>
      </c>
      <c r="M16" s="16" t="s">
        <v>145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16"/>
      <c r="R17" s="1">
        <f>IF(vend17[[#This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438.9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9894</v>
      </c>
      <c r="F35" s="24" t="s">
        <v>262</v>
      </c>
      <c r="G35" s="25" t="s">
        <v>7</v>
      </c>
      <c r="H35" s="8">
        <v>117.14</v>
      </c>
      <c r="I35" s="8" t="s">
        <v>44</v>
      </c>
      <c r="K35" s="88"/>
      <c r="L35" s="39"/>
      <c r="M35" s="16"/>
    </row>
    <row r="36" spans="2:18" ht="15.75" x14ac:dyDescent="0.25">
      <c r="E36" s="84">
        <v>10456</v>
      </c>
      <c r="F36" s="24" t="s">
        <v>261</v>
      </c>
      <c r="G36" s="25" t="s">
        <v>6</v>
      </c>
      <c r="H36" s="8">
        <v>100</v>
      </c>
      <c r="I36" s="8" t="s">
        <v>46</v>
      </c>
      <c r="K36" s="88"/>
      <c r="L36" s="39"/>
      <c r="M36" s="16"/>
    </row>
    <row r="37" spans="2:18" ht="15.75" x14ac:dyDescent="0.25">
      <c r="E37" s="80">
        <v>10553</v>
      </c>
      <c r="F37" s="24" t="s">
        <v>258</v>
      </c>
      <c r="G37" s="25" t="s">
        <v>10</v>
      </c>
      <c r="H37" s="8">
        <v>20</v>
      </c>
      <c r="I37" s="8" t="s">
        <v>46</v>
      </c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4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1">
        <f>'15'!B1+1</f>
        <v>45732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0"/>
      <c r="F6" s="24"/>
      <c r="G6" s="41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0"/>
      <c r="F7" s="24"/>
      <c r="G7" s="41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0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0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0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0"/>
      <c r="F15" s="24"/>
      <c r="G15" s="25"/>
      <c r="H15" s="8"/>
      <c r="I15" s="8"/>
      <c r="J15" s="2"/>
      <c r="K15" s="88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0"/>
      <c r="F16" s="24"/>
      <c r="G16" s="25"/>
      <c r="H16" s="8"/>
      <c r="I16" s="8"/>
      <c r="J16" s="2"/>
      <c r="K16" s="88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57"/>
      <c r="R17" s="1">
        <f>IF(vend16[[#This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41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view="pageBreakPreview" zoomScale="60" zoomScaleNormal="90" workbookViewId="0">
      <selection activeCell="G38" sqref="G3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41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9">
        <f>'17'!B1+1</f>
        <v>45734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380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630</v>
      </c>
      <c r="D6" s="2"/>
      <c r="E6" s="80">
        <v>10685</v>
      </c>
      <c r="F6" s="24" t="s">
        <v>239</v>
      </c>
      <c r="G6" s="25" t="s">
        <v>8</v>
      </c>
      <c r="H6" s="8">
        <v>350</v>
      </c>
      <c r="I6" s="8">
        <v>350</v>
      </c>
      <c r="J6" s="2"/>
      <c r="K6" s="24"/>
      <c r="L6" s="55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10686</v>
      </c>
      <c r="F7" s="24" t="s">
        <v>240</v>
      </c>
      <c r="G7" s="25" t="s">
        <v>40</v>
      </c>
      <c r="H7" s="8">
        <v>0</v>
      </c>
      <c r="I7" s="8">
        <v>0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21</v>
      </c>
      <c r="C8" s="28">
        <f>SUM(C6:C7)</f>
        <v>630</v>
      </c>
      <c r="D8" s="2"/>
      <c r="E8" s="80">
        <v>10687</v>
      </c>
      <c r="F8" s="24" t="s">
        <v>310</v>
      </c>
      <c r="G8" s="25" t="s">
        <v>7</v>
      </c>
      <c r="H8" s="8">
        <v>30</v>
      </c>
      <c r="I8" s="8">
        <v>30</v>
      </c>
      <c r="J8" s="2"/>
      <c r="K8" s="24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80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150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30</v>
      </c>
      <c r="D12" s="2"/>
      <c r="E12" s="80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350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100</v>
      </c>
      <c r="D15" s="2"/>
      <c r="E15" s="80"/>
      <c r="F15" s="24"/>
      <c r="G15" s="25"/>
      <c r="H15" s="8"/>
      <c r="I15" s="8"/>
      <c r="J15" s="2"/>
      <c r="K15" s="88">
        <v>10614</v>
      </c>
      <c r="L15" s="9" t="s">
        <v>136</v>
      </c>
      <c r="M15" s="16" t="s">
        <v>145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630</v>
      </c>
      <c r="D16" s="2"/>
      <c r="E16" s="80"/>
      <c r="F16" s="24"/>
      <c r="G16" s="25"/>
      <c r="H16" s="8"/>
      <c r="I16" s="8"/>
      <c r="J16" s="2"/>
      <c r="K16" s="88">
        <v>10651</v>
      </c>
      <c r="L16" s="9" t="s">
        <v>136</v>
      </c>
      <c r="M16" s="16" t="s">
        <v>150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10652</v>
      </c>
      <c r="L17" s="9" t="s">
        <v>136</v>
      </c>
      <c r="M17" s="16" t="s">
        <v>145</v>
      </c>
      <c r="R17" s="1">
        <f>IF(vend18[[#This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10653</v>
      </c>
      <c r="L18" s="9" t="s">
        <v>136</v>
      </c>
      <c r="M18" s="16" t="s">
        <v>145</v>
      </c>
      <c r="R18" s="1">
        <f>IF(vend18[[#This Row],[Nº Venda]]&gt;1,1,0)</f>
        <v>0</v>
      </c>
    </row>
    <row r="19" spans="2:18" ht="15.75" x14ac:dyDescent="0.25">
      <c r="B19" s="29">
        <f>COUNT(entr_carn18[OS])</f>
        <v>2</v>
      </c>
      <c r="C19" s="30">
        <f>SUM(entr_carn18[Valor Total])</f>
        <v>1485</v>
      </c>
      <c r="D19" s="2"/>
      <c r="E19" s="80"/>
      <c r="F19" s="24"/>
      <c r="G19" s="25"/>
      <c r="H19" s="8"/>
      <c r="I19" s="8"/>
      <c r="J19" s="2"/>
      <c r="K19" s="88">
        <v>10659</v>
      </c>
      <c r="L19" s="9" t="s">
        <v>129</v>
      </c>
      <c r="M19" s="16" t="s">
        <v>150</v>
      </c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1485</v>
      </c>
      <c r="D20" s="2"/>
      <c r="E20" s="80"/>
      <c r="F20" s="25"/>
      <c r="G20" s="25"/>
      <c r="H20" s="8"/>
      <c r="I20" s="8"/>
      <c r="J20" s="2"/>
      <c r="K20" s="88">
        <v>10682</v>
      </c>
      <c r="L20" s="9" t="s">
        <v>129</v>
      </c>
      <c r="M20" s="16" t="s">
        <v>145</v>
      </c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>
        <v>10687</v>
      </c>
      <c r="L21" s="9" t="s">
        <v>136</v>
      </c>
      <c r="M21" s="16" t="s">
        <v>145</v>
      </c>
    </row>
    <row r="22" spans="2:18" ht="15.75" x14ac:dyDescent="0.25">
      <c r="B22" s="27" t="s">
        <v>26</v>
      </c>
      <c r="C22" s="31">
        <f>C5</f>
        <v>380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53"/>
      <c r="F23" s="53"/>
      <c r="G23" s="53"/>
      <c r="H23" s="54"/>
      <c r="I23" s="54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10658</v>
      </c>
      <c r="F26" s="24" t="s">
        <v>311</v>
      </c>
      <c r="G26" s="25" t="s">
        <v>6</v>
      </c>
      <c r="H26" s="8">
        <v>0</v>
      </c>
      <c r="I26" s="8">
        <v>75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>
        <v>10659</v>
      </c>
      <c r="F27" s="24" t="s">
        <v>311</v>
      </c>
      <c r="G27" s="25" t="s">
        <v>6</v>
      </c>
      <c r="H27" s="8">
        <v>0</v>
      </c>
      <c r="I27" s="8">
        <v>75</v>
      </c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9960</v>
      </c>
      <c r="F35" s="24" t="s">
        <v>312</v>
      </c>
      <c r="G35" s="25" t="s">
        <v>10</v>
      </c>
      <c r="H35" s="8">
        <v>100</v>
      </c>
      <c r="I35" s="8" t="s">
        <v>57</v>
      </c>
      <c r="K35" s="88">
        <v>10651</v>
      </c>
      <c r="L35" s="39">
        <v>7</v>
      </c>
      <c r="M35" s="16">
        <v>1085</v>
      </c>
    </row>
    <row r="36" spans="2:18" ht="15.75" x14ac:dyDescent="0.25">
      <c r="E36" s="84"/>
      <c r="F36" s="24"/>
      <c r="G36" s="25"/>
      <c r="H36" s="8"/>
      <c r="I36" s="8"/>
      <c r="K36" s="88">
        <v>10659</v>
      </c>
      <c r="L36" s="39">
        <v>4</v>
      </c>
      <c r="M36" s="16">
        <v>400</v>
      </c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3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view="pageBreakPreview" zoomScale="70" zoomScaleNormal="90" zoomScaleSheetLayoutView="70" workbookViewId="0">
      <selection activeCell="F28" sqref="F28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1">
        <f>'18'!B1+1</f>
        <v>45735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3419.6000000000004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3739.6000000000004</v>
      </c>
      <c r="D6" s="2"/>
      <c r="E6" s="80">
        <v>10688</v>
      </c>
      <c r="F6" s="24" t="s">
        <v>314</v>
      </c>
      <c r="G6" s="25" t="s">
        <v>7</v>
      </c>
      <c r="H6" s="8">
        <v>450</v>
      </c>
      <c r="I6" s="8">
        <v>450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10689</v>
      </c>
      <c r="F7" s="24" t="s">
        <v>315</v>
      </c>
      <c r="G7" s="25" t="s">
        <v>8</v>
      </c>
      <c r="H7" s="56">
        <v>50</v>
      </c>
      <c r="I7" s="8">
        <v>50</v>
      </c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21</v>
      </c>
      <c r="C8" s="28">
        <f>SUM(C6:C7)</f>
        <v>3739.6000000000004</v>
      </c>
      <c r="D8" s="2"/>
      <c r="E8" s="80">
        <v>10690</v>
      </c>
      <c r="F8" s="24" t="s">
        <v>316</v>
      </c>
      <c r="G8" s="25" t="s">
        <v>50</v>
      </c>
      <c r="H8" s="8">
        <v>30</v>
      </c>
      <c r="I8" s="8">
        <v>0</v>
      </c>
      <c r="J8" s="2"/>
      <c r="K8" s="24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80">
        <v>10691</v>
      </c>
      <c r="F9" s="24" t="s">
        <v>317</v>
      </c>
      <c r="G9" s="25" t="s">
        <v>8</v>
      </c>
      <c r="H9" s="8">
        <v>99.9</v>
      </c>
      <c r="I9" s="8">
        <v>99.9</v>
      </c>
      <c r="J9" s="2"/>
      <c r="K9" s="24"/>
      <c r="L9" s="9"/>
      <c r="M9" s="16"/>
      <c r="R9" s="1">
        <f>IF(vend19[[#This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10692</v>
      </c>
      <c r="F10" s="24" t="s">
        <v>318</v>
      </c>
      <c r="G10" s="25" t="s">
        <v>8</v>
      </c>
      <c r="H10" s="8">
        <v>1700</v>
      </c>
      <c r="I10" s="8">
        <v>1700</v>
      </c>
      <c r="J10" s="2"/>
      <c r="K10" s="24"/>
      <c r="L10" s="9"/>
      <c r="M10" s="16"/>
      <c r="R10" s="1">
        <f>IF(vend19[[#This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>
        <v>10693</v>
      </c>
      <c r="F11" s="24" t="s">
        <v>318</v>
      </c>
      <c r="G11" s="25" t="s">
        <v>8</v>
      </c>
      <c r="H11" s="8">
        <v>999.9</v>
      </c>
      <c r="I11" s="8">
        <v>999.9</v>
      </c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809.9</v>
      </c>
      <c r="D12" s="2"/>
      <c r="E12" s="80">
        <v>10696</v>
      </c>
      <c r="F12" s="24" t="s">
        <v>319</v>
      </c>
      <c r="G12" s="25" t="s">
        <v>8</v>
      </c>
      <c r="H12" s="8">
        <v>79.8</v>
      </c>
      <c r="I12" s="8">
        <v>39.9</v>
      </c>
      <c r="J12" s="2"/>
      <c r="R12" s="1">
        <f>IF(vend19[[#This Row],[Nº Venda]]&gt;1,1,0)</f>
        <v>1</v>
      </c>
    </row>
    <row r="13" spans="2:18" ht="15.75" x14ac:dyDescent="0.25">
      <c r="B13" s="29" t="s">
        <v>8</v>
      </c>
      <c r="C13" s="30">
        <f t="shared" si="0"/>
        <v>2889.7000000000003</v>
      </c>
      <c r="D13" s="2"/>
      <c r="E13" s="80">
        <v>10696</v>
      </c>
      <c r="F13" s="24" t="s">
        <v>319</v>
      </c>
      <c r="G13" s="25" t="s">
        <v>7</v>
      </c>
      <c r="H13" s="8">
        <v>0</v>
      </c>
      <c r="I13" s="8">
        <v>39.9</v>
      </c>
      <c r="J13" s="2"/>
      <c r="K13" s="104" t="s">
        <v>22</v>
      </c>
      <c r="L13" s="105"/>
      <c r="M13" s="106"/>
      <c r="R13" s="1">
        <f>IF(vend19[[#This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40</v>
      </c>
      <c r="D15" s="2"/>
      <c r="E15" s="80"/>
      <c r="F15" s="24"/>
      <c r="G15" s="25"/>
      <c r="H15" s="8"/>
      <c r="I15" s="8"/>
      <c r="J15" s="2"/>
      <c r="K15" s="88">
        <v>10501</v>
      </c>
      <c r="L15" s="9" t="s">
        <v>129</v>
      </c>
      <c r="M15" s="16" t="s">
        <v>145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3739.6000000000004</v>
      </c>
      <c r="D16" s="2"/>
      <c r="E16" s="80"/>
      <c r="F16" s="24"/>
      <c r="G16" s="25"/>
      <c r="H16" s="8"/>
      <c r="I16" s="8"/>
      <c r="J16" s="2"/>
      <c r="K16" s="88">
        <v>10681</v>
      </c>
      <c r="L16" s="9" t="s">
        <v>136</v>
      </c>
      <c r="M16" s="16" t="s">
        <v>145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10686</v>
      </c>
      <c r="L17" s="9" t="s">
        <v>136</v>
      </c>
      <c r="M17" s="16" t="s">
        <v>145</v>
      </c>
      <c r="R17" s="1">
        <f>IF(vend19[[#This Row],[Nº Venda]]&gt;1,1,0)</f>
        <v>0</v>
      </c>
    </row>
    <row r="18" spans="2:22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10696</v>
      </c>
      <c r="L18" s="9" t="s">
        <v>136</v>
      </c>
      <c r="M18" s="16" t="s">
        <v>145</v>
      </c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22" ht="15.75" x14ac:dyDescent="0.25">
      <c r="B22" s="27" t="s">
        <v>26</v>
      </c>
      <c r="C22" s="31">
        <f>C5</f>
        <v>3419.6000000000004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22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22" ht="15.75" x14ac:dyDescent="0.25">
      <c r="B26" s="2"/>
      <c r="C26" s="2"/>
      <c r="D26" s="2"/>
      <c r="E26" s="80">
        <v>8932</v>
      </c>
      <c r="F26" s="24" t="s">
        <v>320</v>
      </c>
      <c r="G26" s="25" t="s">
        <v>7</v>
      </c>
      <c r="H26" s="8">
        <v>0</v>
      </c>
      <c r="I26" s="8">
        <v>290</v>
      </c>
      <c r="J26" s="2"/>
      <c r="K26" s="88"/>
      <c r="L26" s="9"/>
      <c r="M26" s="16"/>
    </row>
    <row r="27" spans="2:22" ht="15.75" x14ac:dyDescent="0.25">
      <c r="B27" s="2"/>
      <c r="C27" s="2"/>
      <c r="D27" s="2"/>
      <c r="E27" s="80">
        <v>10501</v>
      </c>
      <c r="F27" s="24" t="s">
        <v>313</v>
      </c>
      <c r="G27" s="25" t="s">
        <v>10</v>
      </c>
      <c r="H27" s="8">
        <v>40</v>
      </c>
      <c r="I27" s="8">
        <v>40</v>
      </c>
      <c r="J27" s="2"/>
      <c r="K27" s="88"/>
      <c r="L27" s="9"/>
      <c r="M27" s="16"/>
    </row>
    <row r="28" spans="2:22" ht="15.75" x14ac:dyDescent="0.25">
      <c r="B28" s="2"/>
      <c r="C28" s="2"/>
      <c r="D28" s="2"/>
      <c r="E28" s="80">
        <v>10681</v>
      </c>
      <c r="F28" s="37" t="s">
        <v>321</v>
      </c>
      <c r="G28" s="25" t="s">
        <v>7</v>
      </c>
      <c r="H28" s="8">
        <v>0</v>
      </c>
      <c r="I28" s="8">
        <v>30</v>
      </c>
      <c r="J28" s="2"/>
      <c r="K28" s="88"/>
      <c r="L28" s="9"/>
      <c r="M28" s="16"/>
    </row>
    <row r="29" spans="2:22" ht="15.75" x14ac:dyDescent="0.25">
      <c r="B29" s="2"/>
      <c r="C29" s="2"/>
      <c r="D29" s="2"/>
      <c r="E29" s="80"/>
      <c r="F29" s="24"/>
      <c r="G29" s="73"/>
      <c r="H29" s="25"/>
      <c r="I29" s="8"/>
      <c r="J29" s="2"/>
      <c r="K29" s="88"/>
      <c r="L29" s="9"/>
      <c r="M29" s="16"/>
    </row>
    <row r="30" spans="2:22" ht="15.75" x14ac:dyDescent="0.25">
      <c r="B30" s="2"/>
      <c r="C30" s="2"/>
      <c r="D30" s="2"/>
      <c r="E30" s="80"/>
      <c r="F30" s="24"/>
      <c r="G30" s="25"/>
      <c r="H30" s="8"/>
      <c r="I30" s="8"/>
      <c r="J30" s="2"/>
      <c r="K30" s="88"/>
      <c r="L30" s="9"/>
      <c r="M30" s="16"/>
    </row>
    <row r="31" spans="2:22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8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view="pageBreakPreview" zoomScale="60" zoomScaleNormal="9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710937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9">
        <f>'19'!B1+1</f>
        <v>45736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7487.99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7963</v>
      </c>
      <c r="D6" s="2"/>
      <c r="E6" s="80">
        <v>10694</v>
      </c>
      <c r="F6" s="24" t="s">
        <v>241</v>
      </c>
      <c r="G6" s="25" t="s">
        <v>8</v>
      </c>
      <c r="H6" s="8">
        <v>990</v>
      </c>
      <c r="I6" s="8">
        <v>990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10695</v>
      </c>
      <c r="F7" s="24" t="s">
        <v>241</v>
      </c>
      <c r="G7" s="25" t="s">
        <v>8</v>
      </c>
      <c r="H7" s="8">
        <v>234</v>
      </c>
      <c r="I7" s="8">
        <v>234</v>
      </c>
      <c r="J7" s="2"/>
      <c r="K7" s="24"/>
      <c r="L7" s="9"/>
      <c r="M7" s="16"/>
      <c r="R7" s="1">
        <f>IF(vend20[[#This Row],[Nº Venda]]&gt;1,1,0)</f>
        <v>1</v>
      </c>
    </row>
    <row r="8" spans="2:18" ht="15.75" x14ac:dyDescent="0.25">
      <c r="B8" s="27" t="s">
        <v>21</v>
      </c>
      <c r="C8" s="28">
        <f>SUM(C6:C7)</f>
        <v>7963</v>
      </c>
      <c r="D8" s="2"/>
      <c r="E8" s="80">
        <v>10697</v>
      </c>
      <c r="F8" s="24" t="s">
        <v>242</v>
      </c>
      <c r="G8" s="25" t="s">
        <v>40</v>
      </c>
      <c r="H8" s="8">
        <v>0</v>
      </c>
      <c r="I8" s="8">
        <v>0</v>
      </c>
      <c r="J8" s="2"/>
      <c r="K8" s="24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80">
        <v>10698</v>
      </c>
      <c r="F9" s="24" t="s">
        <v>243</v>
      </c>
      <c r="G9" s="25" t="s">
        <v>40</v>
      </c>
      <c r="H9" s="8">
        <v>0</v>
      </c>
      <c r="I9" s="8">
        <v>0</v>
      </c>
      <c r="J9" s="2"/>
      <c r="K9" s="24"/>
      <c r="L9" s="9"/>
      <c r="M9" s="16"/>
      <c r="R9" s="1">
        <f>IF(vend20[[#This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10699</v>
      </c>
      <c r="F10" s="24" t="s">
        <v>244</v>
      </c>
      <c r="G10" s="25" t="s">
        <v>50</v>
      </c>
      <c r="H10" s="8">
        <v>40</v>
      </c>
      <c r="I10" s="8">
        <v>0</v>
      </c>
      <c r="J10" s="2"/>
      <c r="K10" s="24"/>
      <c r="L10" s="9"/>
      <c r="M10" s="16"/>
      <c r="R10" s="1">
        <f>IF(vend20[[#This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>
        <v>10700</v>
      </c>
      <c r="F11" s="24" t="s">
        <v>245</v>
      </c>
      <c r="G11" s="25" t="s">
        <v>8</v>
      </c>
      <c r="H11" s="8">
        <v>3614</v>
      </c>
      <c r="I11" s="8">
        <v>3614</v>
      </c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225</v>
      </c>
      <c r="D12" s="2"/>
      <c r="E12" s="80">
        <v>10701</v>
      </c>
      <c r="F12" s="24" t="s">
        <v>245</v>
      </c>
      <c r="G12" s="25" t="s">
        <v>50</v>
      </c>
      <c r="H12" s="8">
        <v>0</v>
      </c>
      <c r="I12" s="8">
        <v>0</v>
      </c>
      <c r="J12" s="2"/>
      <c r="R12" s="1">
        <f>IF(vend20[[#This Row],[Nº Venda]]&gt;1,1,0)</f>
        <v>1</v>
      </c>
    </row>
    <row r="13" spans="2:18" ht="15.75" x14ac:dyDescent="0.25">
      <c r="B13" s="29" t="s">
        <v>8</v>
      </c>
      <c r="C13" s="30">
        <f t="shared" si="0"/>
        <v>6988</v>
      </c>
      <c r="D13" s="2"/>
      <c r="E13" s="80">
        <v>10702</v>
      </c>
      <c r="F13" s="24" t="s">
        <v>246</v>
      </c>
      <c r="G13" s="25" t="s">
        <v>50</v>
      </c>
      <c r="H13" s="8">
        <v>630</v>
      </c>
      <c r="I13" s="8">
        <v>0</v>
      </c>
      <c r="J13" s="2"/>
      <c r="K13" s="104" t="s">
        <v>22</v>
      </c>
      <c r="L13" s="105"/>
      <c r="M13" s="106"/>
      <c r="R13" s="1">
        <f>IF(vend20[[#This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0">
        <v>10703</v>
      </c>
      <c r="F14" s="24" t="s">
        <v>247</v>
      </c>
      <c r="G14" s="25" t="s">
        <v>10</v>
      </c>
      <c r="H14" s="8">
        <v>1499.99</v>
      </c>
      <c r="I14" s="8">
        <v>750</v>
      </c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1</v>
      </c>
    </row>
    <row r="15" spans="2:18" ht="15.75" x14ac:dyDescent="0.25">
      <c r="B15" s="29" t="s">
        <v>10</v>
      </c>
      <c r="C15" s="30">
        <f t="shared" si="0"/>
        <v>750</v>
      </c>
      <c r="D15" s="2"/>
      <c r="E15" s="80">
        <v>10704</v>
      </c>
      <c r="F15" s="24" t="s">
        <v>248</v>
      </c>
      <c r="G15" s="25" t="s">
        <v>8</v>
      </c>
      <c r="H15" s="8">
        <v>300</v>
      </c>
      <c r="I15" s="8">
        <v>300</v>
      </c>
      <c r="J15" s="2"/>
      <c r="K15" s="88">
        <v>10648</v>
      </c>
      <c r="L15" s="9" t="s">
        <v>130</v>
      </c>
      <c r="M15" s="16" t="s">
        <v>145</v>
      </c>
      <c r="R15" s="1">
        <f>IF(vend20[[#This Row],[Nº Venda]]&gt;1,1,0)</f>
        <v>1</v>
      </c>
    </row>
    <row r="16" spans="2:18" ht="15.75" x14ac:dyDescent="0.25">
      <c r="B16" s="27" t="s">
        <v>11</v>
      </c>
      <c r="C16" s="31">
        <f>SUM(C11:C15)</f>
        <v>7963</v>
      </c>
      <c r="D16" s="2"/>
      <c r="E16" s="80">
        <v>10705</v>
      </c>
      <c r="F16" s="24" t="s">
        <v>248</v>
      </c>
      <c r="G16" s="25" t="s">
        <v>8</v>
      </c>
      <c r="H16" s="8">
        <v>850</v>
      </c>
      <c r="I16" s="8">
        <v>850</v>
      </c>
      <c r="J16" s="2"/>
      <c r="K16" s="88">
        <v>10669</v>
      </c>
      <c r="L16" s="9" t="s">
        <v>136</v>
      </c>
      <c r="M16" s="16" t="s">
        <v>145</v>
      </c>
      <c r="R16" s="1">
        <f>IF(vend20[[#This Row],[Nº Venda]]&gt;1,1,0)</f>
        <v>1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10671</v>
      </c>
      <c r="L17" s="9" t="s">
        <v>129</v>
      </c>
      <c r="M17" s="16" t="s">
        <v>145</v>
      </c>
      <c r="R17" s="1">
        <f>IF(vend20[[#This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7487.99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10648</v>
      </c>
      <c r="F26" s="24" t="s">
        <v>249</v>
      </c>
      <c r="G26" s="25" t="s">
        <v>8</v>
      </c>
      <c r="H26" s="8">
        <v>0</v>
      </c>
      <c r="I26" s="8">
        <v>1000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9686</v>
      </c>
      <c r="F35" s="24" t="s">
        <v>250</v>
      </c>
      <c r="G35" s="25" t="s">
        <v>7</v>
      </c>
      <c r="H35" s="8">
        <v>225</v>
      </c>
      <c r="I35" s="8" t="s">
        <v>43</v>
      </c>
      <c r="K35" s="88"/>
      <c r="L35" s="39"/>
      <c r="M35" s="57"/>
    </row>
    <row r="36" spans="2:18" ht="15.75" x14ac:dyDescent="0.25">
      <c r="E36" s="84"/>
      <c r="F36" s="24"/>
      <c r="G36" s="25"/>
      <c r="H36" s="8"/>
      <c r="I36" s="8"/>
      <c r="K36" s="88"/>
      <c r="L36" s="58"/>
      <c r="M36" s="57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11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zoomScale="60" zoomScaleNormal="90" workbookViewId="0">
      <selection activeCell="H40" sqref="H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'20'!B1+1</f>
        <v>45737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2779.9799999999996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3288.99</v>
      </c>
      <c r="D6" s="2"/>
      <c r="E6" s="80">
        <v>10706</v>
      </c>
      <c r="F6" s="24" t="s">
        <v>254</v>
      </c>
      <c r="G6" s="25" t="s">
        <v>10</v>
      </c>
      <c r="H6" s="8">
        <v>1170</v>
      </c>
      <c r="I6" s="8">
        <v>600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10707</v>
      </c>
      <c r="F7" s="24" t="s">
        <v>254</v>
      </c>
      <c r="G7" s="25" t="s">
        <v>8</v>
      </c>
      <c r="H7" s="8">
        <v>450</v>
      </c>
      <c r="I7" s="8">
        <v>450</v>
      </c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3288.99</v>
      </c>
      <c r="D8" s="2"/>
      <c r="E8" s="80">
        <v>10708</v>
      </c>
      <c r="F8" s="24" t="s">
        <v>253</v>
      </c>
      <c r="G8" s="25" t="s">
        <v>8</v>
      </c>
      <c r="H8" s="8">
        <v>230</v>
      </c>
      <c r="I8" s="8">
        <v>230</v>
      </c>
      <c r="J8" s="2"/>
      <c r="K8" s="24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80">
        <v>10709</v>
      </c>
      <c r="F9" s="24" t="s">
        <v>255</v>
      </c>
      <c r="G9" s="25" t="s">
        <v>6</v>
      </c>
      <c r="H9" s="8">
        <v>429.99</v>
      </c>
      <c r="I9" s="8">
        <v>70</v>
      </c>
      <c r="J9" s="2"/>
      <c r="K9" s="24"/>
      <c r="L9" s="9"/>
      <c r="M9" s="16"/>
      <c r="R9" s="1">
        <f>IF(vend21[[#This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10710</v>
      </c>
      <c r="F10" s="24" t="s">
        <v>256</v>
      </c>
      <c r="G10" s="25" t="s">
        <v>10</v>
      </c>
      <c r="H10" s="8">
        <v>499.99</v>
      </c>
      <c r="I10" s="8">
        <v>499.99</v>
      </c>
      <c r="J10" s="2"/>
      <c r="K10" s="24"/>
      <c r="L10" s="9"/>
      <c r="M10" s="16"/>
      <c r="R10" s="1">
        <f>IF(vend21[[#This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70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1389</v>
      </c>
      <c r="D12" s="2"/>
      <c r="E12" s="80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680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1149.99</v>
      </c>
      <c r="D15" s="2"/>
      <c r="E15" s="80"/>
      <c r="F15" s="24"/>
      <c r="G15" s="25"/>
      <c r="H15" s="8"/>
      <c r="I15" s="8"/>
      <c r="J15" s="2"/>
      <c r="K15" s="88">
        <v>10578</v>
      </c>
      <c r="L15" s="9" t="s">
        <v>130</v>
      </c>
      <c r="M15" s="16" t="s">
        <v>145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3288.99</v>
      </c>
      <c r="D16" s="2"/>
      <c r="E16" s="80"/>
      <c r="F16" s="24"/>
      <c r="G16" s="25"/>
      <c r="H16" s="8"/>
      <c r="I16" s="8"/>
      <c r="J16" s="2"/>
      <c r="K16" s="88">
        <v>10593</v>
      </c>
      <c r="L16" s="9" t="s">
        <v>129</v>
      </c>
      <c r="M16" s="16" t="s">
        <v>145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10601</v>
      </c>
      <c r="L17" s="9" t="s">
        <v>130</v>
      </c>
      <c r="M17" s="16" t="s">
        <v>145</v>
      </c>
      <c r="R17" s="1">
        <f>IF(vend21[[#This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10616</v>
      </c>
      <c r="L18" s="9" t="s">
        <v>136</v>
      </c>
      <c r="M18" s="16" t="s">
        <v>145</v>
      </c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0"/>
      <c r="F19" s="24"/>
      <c r="G19" s="25"/>
      <c r="H19" s="8"/>
      <c r="I19" s="8"/>
      <c r="J19" s="2"/>
      <c r="K19" s="88">
        <v>10645</v>
      </c>
      <c r="L19" s="9" t="s">
        <v>129</v>
      </c>
      <c r="M19" s="16" t="s">
        <v>145</v>
      </c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>
        <v>10670</v>
      </c>
      <c r="L20" s="9" t="s">
        <v>129</v>
      </c>
      <c r="M20" s="16" t="s">
        <v>145</v>
      </c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 t="s">
        <v>271</v>
      </c>
      <c r="I21" s="8"/>
      <c r="J21" s="2"/>
      <c r="K21" s="88">
        <v>10679</v>
      </c>
      <c r="L21" s="9" t="s">
        <v>129</v>
      </c>
      <c r="M21" s="16" t="s">
        <v>145</v>
      </c>
    </row>
    <row r="22" spans="2:18" ht="15.75" x14ac:dyDescent="0.25">
      <c r="B22" s="27" t="s">
        <v>26</v>
      </c>
      <c r="C22" s="31">
        <f>C5</f>
        <v>2779.9799999999996</v>
      </c>
      <c r="D22" s="2"/>
      <c r="E22" s="80"/>
      <c r="F22" s="24"/>
      <c r="G22" s="25"/>
      <c r="H22" s="8"/>
      <c r="I22" s="8"/>
      <c r="J22" s="2"/>
      <c r="K22" s="88">
        <v>10691</v>
      </c>
      <c r="L22" s="9" t="s">
        <v>136</v>
      </c>
      <c r="M22" s="16" t="s">
        <v>145</v>
      </c>
    </row>
    <row r="23" spans="2:18" ht="15" x14ac:dyDescent="0.25">
      <c r="B23" s="2"/>
      <c r="C23" s="2"/>
      <c r="D23" s="2"/>
      <c r="E23" s="32"/>
      <c r="H23" s="7"/>
      <c r="J23" s="2"/>
      <c r="K23" s="88">
        <v>10697</v>
      </c>
      <c r="L23" s="9" t="s">
        <v>136</v>
      </c>
      <c r="M23" s="16" t="s">
        <v>145</v>
      </c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>
        <v>10708</v>
      </c>
      <c r="L24" s="9" t="s">
        <v>136</v>
      </c>
      <c r="M24" s="16" t="s">
        <v>145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10601</v>
      </c>
      <c r="F26" s="24" t="s">
        <v>251</v>
      </c>
      <c r="G26" s="25" t="s">
        <v>7</v>
      </c>
      <c r="H26" s="8">
        <v>0</v>
      </c>
      <c r="I26" s="8">
        <v>900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>
        <v>10664</v>
      </c>
      <c r="F27" s="24" t="s">
        <v>257</v>
      </c>
      <c r="G27" s="25" t="s">
        <v>7</v>
      </c>
      <c r="H27" s="8">
        <v>0</v>
      </c>
      <c r="I27" s="8">
        <v>133</v>
      </c>
      <c r="J27" s="2"/>
      <c r="K27" s="88"/>
      <c r="L27" s="9"/>
      <c r="M27" s="16"/>
    </row>
    <row r="28" spans="2:18" ht="15.75" x14ac:dyDescent="0.25">
      <c r="B28" s="2"/>
      <c r="C28" s="2"/>
      <c r="D28" s="2"/>
      <c r="E28" s="80">
        <v>10665</v>
      </c>
      <c r="F28" s="24" t="s">
        <v>257</v>
      </c>
      <c r="G28" s="25" t="s">
        <v>7</v>
      </c>
      <c r="H28" s="8">
        <v>0</v>
      </c>
      <c r="I28" s="8">
        <v>133</v>
      </c>
      <c r="J28" s="2"/>
      <c r="K28" s="88"/>
      <c r="L28" s="9"/>
      <c r="M28" s="16"/>
    </row>
    <row r="29" spans="2:18" ht="15.75" x14ac:dyDescent="0.25">
      <c r="B29" s="2"/>
      <c r="C29" s="2"/>
      <c r="D29" s="2"/>
      <c r="E29" s="80">
        <v>10666</v>
      </c>
      <c r="F29" s="24" t="s">
        <v>257</v>
      </c>
      <c r="G29" s="25" t="s">
        <v>7</v>
      </c>
      <c r="H29" s="8">
        <v>0</v>
      </c>
      <c r="I29" s="8">
        <v>133</v>
      </c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9956</v>
      </c>
      <c r="F35" s="24" t="s">
        <v>252</v>
      </c>
      <c r="G35" s="25" t="s">
        <v>7</v>
      </c>
      <c r="H35" s="8">
        <v>45</v>
      </c>
      <c r="I35" s="8" t="s">
        <v>81</v>
      </c>
      <c r="K35" s="88"/>
      <c r="L35" s="39"/>
      <c r="M35" s="16"/>
    </row>
    <row r="36" spans="2:18" ht="15.75" x14ac:dyDescent="0.25">
      <c r="E36" s="84">
        <v>9956</v>
      </c>
      <c r="F36" s="24" t="s">
        <v>252</v>
      </c>
      <c r="G36" s="25" t="s">
        <v>7</v>
      </c>
      <c r="H36" s="8">
        <v>45</v>
      </c>
      <c r="I36" s="8" t="s">
        <v>59</v>
      </c>
      <c r="K36" s="88"/>
      <c r="L36" s="39"/>
      <c r="M36" s="16"/>
    </row>
    <row r="37" spans="2:18" ht="15.75" x14ac:dyDescent="0.25">
      <c r="E37" s="80">
        <v>10513</v>
      </c>
      <c r="F37" s="24" t="s">
        <v>329</v>
      </c>
      <c r="G37" s="25" t="s">
        <v>10</v>
      </c>
      <c r="H37" s="8">
        <v>50</v>
      </c>
      <c r="I37" s="8" t="s">
        <v>42</v>
      </c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5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abSelected="1" view="pageBreakPreview" zoomScale="60" zoomScaleNormal="90" workbookViewId="0">
      <selection activeCell="G11" sqref="G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9.140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'21'!B1+1</f>
        <v>45738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4088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4577</v>
      </c>
      <c r="D6" s="2"/>
      <c r="E6" s="80">
        <v>10711</v>
      </c>
      <c r="F6" s="24" t="s">
        <v>263</v>
      </c>
      <c r="G6" s="25" t="s">
        <v>7</v>
      </c>
      <c r="H6" s="8">
        <v>100</v>
      </c>
      <c r="I6" s="8">
        <v>50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10711</v>
      </c>
      <c r="F7" s="24" t="s">
        <v>263</v>
      </c>
      <c r="G7" s="25" t="s">
        <v>6</v>
      </c>
      <c r="H7" s="8">
        <v>0</v>
      </c>
      <c r="I7" s="8">
        <v>50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21</v>
      </c>
      <c r="C8" s="28">
        <f>SUM(C6:C7)</f>
        <v>4577</v>
      </c>
      <c r="D8" s="2"/>
      <c r="E8" s="80">
        <v>10712</v>
      </c>
      <c r="F8" s="24" t="s">
        <v>264</v>
      </c>
      <c r="G8" s="25" t="s">
        <v>8</v>
      </c>
      <c r="H8" s="8">
        <v>600</v>
      </c>
      <c r="I8" s="8">
        <v>600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80">
        <v>10713</v>
      </c>
      <c r="F9" s="24" t="s">
        <v>264</v>
      </c>
      <c r="G9" s="25" t="s">
        <v>50</v>
      </c>
      <c r="H9" s="8">
        <v>0</v>
      </c>
      <c r="I9" s="8">
        <v>0</v>
      </c>
      <c r="J9" s="2"/>
      <c r="K9" s="24"/>
      <c r="L9" s="9"/>
      <c r="M9" s="16"/>
      <c r="R9" s="1">
        <f>IF(vend22[[#This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10714</v>
      </c>
      <c r="F10" s="24" t="s">
        <v>265</v>
      </c>
      <c r="G10" s="25" t="s">
        <v>7</v>
      </c>
      <c r="H10" s="8">
        <v>399</v>
      </c>
      <c r="I10" s="8">
        <v>399</v>
      </c>
      <c r="J10" s="2"/>
      <c r="K10" s="24"/>
      <c r="L10" s="9"/>
      <c r="M10" s="16"/>
      <c r="R10" s="1">
        <f>IF(vend22[[#This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190</v>
      </c>
      <c r="D11" s="2"/>
      <c r="E11" s="80">
        <v>10715</v>
      </c>
      <c r="F11" s="24" t="s">
        <v>266</v>
      </c>
      <c r="G11" s="25" t="s">
        <v>10</v>
      </c>
      <c r="H11" s="8">
        <v>900</v>
      </c>
      <c r="I11" s="8">
        <v>900</v>
      </c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449</v>
      </c>
      <c r="D12" s="2"/>
      <c r="E12" s="80">
        <v>10716</v>
      </c>
      <c r="F12" s="24" t="s">
        <v>268</v>
      </c>
      <c r="G12" s="25" t="s">
        <v>8</v>
      </c>
      <c r="H12" s="8">
        <v>850</v>
      </c>
      <c r="I12" s="8">
        <v>850</v>
      </c>
      <c r="J12" s="2"/>
      <c r="R12" s="1">
        <f>IF(vend22[[#This Row],[Nº Venda]]&gt;1,1,0)</f>
        <v>1</v>
      </c>
    </row>
    <row r="13" spans="2:18" ht="15.75" x14ac:dyDescent="0.25">
      <c r="B13" s="29" t="s">
        <v>8</v>
      </c>
      <c r="C13" s="30">
        <f t="shared" si="0"/>
        <v>3038</v>
      </c>
      <c r="D13" s="2"/>
      <c r="E13" s="80">
        <v>10717</v>
      </c>
      <c r="F13" s="24" t="s">
        <v>269</v>
      </c>
      <c r="G13" s="25" t="s">
        <v>8</v>
      </c>
      <c r="H13" s="8">
        <v>1199</v>
      </c>
      <c r="I13" s="8">
        <v>1199</v>
      </c>
      <c r="J13" s="2"/>
      <c r="K13" s="104" t="s">
        <v>22</v>
      </c>
      <c r="L13" s="105"/>
      <c r="M13" s="106"/>
      <c r="R13" s="1">
        <f>IF(vend22[[#This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0">
        <v>10718</v>
      </c>
      <c r="F14" s="24" t="s">
        <v>270</v>
      </c>
      <c r="G14" s="25" t="s">
        <v>6</v>
      </c>
      <c r="H14" s="8">
        <v>40</v>
      </c>
      <c r="I14" s="8">
        <v>40</v>
      </c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1</v>
      </c>
    </row>
    <row r="15" spans="2:18" ht="15.75" x14ac:dyDescent="0.25">
      <c r="B15" s="29" t="s">
        <v>10</v>
      </c>
      <c r="C15" s="30">
        <f t="shared" si="0"/>
        <v>900</v>
      </c>
      <c r="D15" s="2"/>
      <c r="E15" s="80"/>
      <c r="F15" s="24"/>
      <c r="G15" s="25"/>
      <c r="H15" s="8"/>
      <c r="I15" s="8"/>
      <c r="J15" s="2"/>
      <c r="K15" s="88">
        <v>10657</v>
      </c>
      <c r="L15" s="9" t="s">
        <v>129</v>
      </c>
      <c r="M15" s="16" t="s">
        <v>145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4577</v>
      </c>
      <c r="D16" s="2"/>
      <c r="E16" s="80"/>
      <c r="F16" s="24"/>
      <c r="G16" s="25"/>
      <c r="H16" s="8"/>
      <c r="I16" s="8"/>
      <c r="J16" s="2"/>
      <c r="K16" s="88">
        <v>10660</v>
      </c>
      <c r="L16" s="9" t="s">
        <v>129</v>
      </c>
      <c r="M16" s="16" t="s">
        <v>145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10664</v>
      </c>
      <c r="L17" s="9" t="s">
        <v>136</v>
      </c>
      <c r="M17" s="16" t="s">
        <v>150</v>
      </c>
      <c r="R17" s="1">
        <f>IF(vend22[[#This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10665</v>
      </c>
      <c r="L18" s="9" t="s">
        <v>136</v>
      </c>
      <c r="M18" s="16" t="s">
        <v>150</v>
      </c>
      <c r="R18" s="1">
        <f>IF(vend22[[#This Row],[Nº Venda]]&gt;1,1,0)</f>
        <v>0</v>
      </c>
    </row>
    <row r="19" spans="2:18" ht="15.75" x14ac:dyDescent="0.25">
      <c r="B19" s="29">
        <f>COUNT(entr_carn22[OS])</f>
        <v>1</v>
      </c>
      <c r="C19" s="30">
        <f>SUM(entr_carn22[Valor Total])</f>
        <v>1100</v>
      </c>
      <c r="D19" s="2"/>
      <c r="E19" s="80"/>
      <c r="F19" s="24"/>
      <c r="G19" s="25"/>
      <c r="H19" s="8"/>
      <c r="I19" s="8"/>
      <c r="J19" s="2"/>
      <c r="K19" s="88">
        <v>10670</v>
      </c>
      <c r="L19" s="9" t="s">
        <v>129</v>
      </c>
      <c r="M19" s="16" t="s">
        <v>145</v>
      </c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1100</v>
      </c>
      <c r="D20" s="2"/>
      <c r="E20" s="80"/>
      <c r="F20" s="25"/>
      <c r="G20" s="25"/>
      <c r="H20" s="8"/>
      <c r="I20" s="8"/>
      <c r="J20" s="2"/>
      <c r="K20" s="88">
        <v>10718</v>
      </c>
      <c r="L20" s="9" t="s">
        <v>134</v>
      </c>
      <c r="M20" s="16" t="s">
        <v>145</v>
      </c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4088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10657</v>
      </c>
      <c r="F26" s="24" t="s">
        <v>267</v>
      </c>
      <c r="G26" s="25" t="s">
        <v>8</v>
      </c>
      <c r="H26" s="8">
        <v>0</v>
      </c>
      <c r="I26" s="8">
        <v>389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>
        <v>10657</v>
      </c>
      <c r="F27" s="24" t="s">
        <v>267</v>
      </c>
      <c r="G27" s="25" t="s">
        <v>6</v>
      </c>
      <c r="H27" s="8">
        <v>0</v>
      </c>
      <c r="I27" s="8">
        <v>100</v>
      </c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>
        <v>10664</v>
      </c>
      <c r="L35" s="39">
        <v>6</v>
      </c>
      <c r="M35" s="16">
        <v>1100</v>
      </c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9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I26" sqref="I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'22'!B1+1</f>
        <v>45739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0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0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0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0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68">
        <f>(SUMIF($G$2:$G$31,B11,$I$2:$I$31))+(SUMIF($G$35:$G$44,B11,$H$35:$H$44))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68">
        <f>(SUMIF($G$2:$G$31,B12,$I$2:$I$31))+(SUMIF($G$35:$G$44,B12,$H$35:$H$44))</f>
        <v>0</v>
      </c>
      <c r="D12" s="2"/>
      <c r="E12" s="80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68">
        <f>(SUMIF($G$2:$G$31,B13,$I$2:$I$31))+(SUMIF($G$35:$G$44,B13,$H$35:$H$44))</f>
        <v>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IF(vend23[[#This Row],[Nº Venda]]&gt;1,1,0)</f>
        <v>0</v>
      </c>
    </row>
    <row r="14" spans="2:18" ht="15.75" x14ac:dyDescent="0.25">
      <c r="B14" s="29" t="s">
        <v>9</v>
      </c>
      <c r="C14" s="68">
        <f>(SUMIF($G$2:$G$31,B14,$I$2:$I$31))+(SUMIF($G$35:$G$44,B14,$H$35:$H$44))</f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68">
        <f>(SUMIF($G$2:$G$31,B15,$I$2:$I$31))+(SUMIF($G$35:$G$44,B15,$H$35:$H$44))</f>
        <v>0</v>
      </c>
      <c r="D15" s="2"/>
      <c r="E15" s="80"/>
      <c r="F15" s="24"/>
      <c r="G15" s="25"/>
      <c r="H15" s="8"/>
      <c r="I15" s="8"/>
      <c r="J15" s="2"/>
      <c r="K15" s="88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0"/>
      <c r="F16" s="24"/>
      <c r="G16" s="25"/>
      <c r="H16" s="8"/>
      <c r="I16" s="8"/>
      <c r="J16" s="2"/>
      <c r="K16" s="88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16"/>
      <c r="R17" s="1">
        <f>IF(vend23[[#This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5"/>
      <c r="F41" s="37"/>
      <c r="G41" s="25"/>
      <c r="H41" s="8"/>
      <c r="I41" s="8"/>
      <c r="K41" s="88"/>
      <c r="L41" s="39"/>
      <c r="M41" s="38"/>
    </row>
    <row r="42" spans="2:18" ht="15.75" x14ac:dyDescent="0.25">
      <c r="E42" s="76"/>
      <c r="F42" s="65"/>
      <c r="G42" s="66"/>
      <c r="H42" s="67"/>
      <c r="I42" s="17"/>
    </row>
    <row r="43" spans="2:18" ht="15.75" x14ac:dyDescent="0.25">
      <c r="E43" s="76"/>
      <c r="F43" s="74"/>
      <c r="G43" s="73"/>
      <c r="H43" s="75"/>
      <c r="I43" s="8"/>
    </row>
    <row r="44" spans="2:18" ht="15.75" x14ac:dyDescent="0.25">
      <c r="E44" s="77"/>
      <c r="F44" s="65"/>
      <c r="G44" s="66"/>
      <c r="H44" s="6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view="pageBreakPreview" zoomScale="60" zoomScaleNormal="90" workbookViewId="0">
      <selection activeCell="I13" sqref="I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7.8554687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'23'!B1+1</f>
        <v>45740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3435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1407</v>
      </c>
      <c r="D6" s="2"/>
      <c r="E6" s="80">
        <v>10719</v>
      </c>
      <c r="F6" s="24" t="s">
        <v>273</v>
      </c>
      <c r="G6" s="25" t="s">
        <v>6</v>
      </c>
      <c r="H6" s="8">
        <v>1800</v>
      </c>
      <c r="I6" s="8">
        <v>180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10720</v>
      </c>
      <c r="F7" s="24" t="s">
        <v>273</v>
      </c>
      <c r="G7" s="25" t="s">
        <v>50</v>
      </c>
      <c r="H7" s="8">
        <v>0</v>
      </c>
      <c r="I7" s="8">
        <v>0</v>
      </c>
      <c r="J7" s="2"/>
      <c r="K7" s="24"/>
      <c r="L7" s="9"/>
      <c r="M7" s="16"/>
      <c r="R7" s="1">
        <f>IF(vend24[[#This Row],[Nº Venda]]&gt;1,1,0)</f>
        <v>1</v>
      </c>
    </row>
    <row r="8" spans="2:18" ht="15.75" x14ac:dyDescent="0.25">
      <c r="B8" s="27" t="s">
        <v>21</v>
      </c>
      <c r="C8" s="28">
        <f>SUM(C6:C7)</f>
        <v>1407</v>
      </c>
      <c r="D8" s="2"/>
      <c r="E8" s="80">
        <v>10721</v>
      </c>
      <c r="F8" s="24" t="s">
        <v>274</v>
      </c>
      <c r="G8" s="25" t="s">
        <v>50</v>
      </c>
      <c r="H8" s="8">
        <v>50</v>
      </c>
      <c r="I8" s="8">
        <v>0</v>
      </c>
      <c r="J8" s="2"/>
      <c r="K8" s="24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80">
        <v>10722</v>
      </c>
      <c r="F9" s="24" t="s">
        <v>275</v>
      </c>
      <c r="G9" s="25" t="s">
        <v>6</v>
      </c>
      <c r="H9" s="8">
        <v>550</v>
      </c>
      <c r="I9" s="8">
        <v>50</v>
      </c>
      <c r="J9" s="2"/>
      <c r="K9" s="24"/>
      <c r="L9" s="9"/>
      <c r="M9" s="16"/>
      <c r="R9" s="1">
        <f>IF(vend24[[#This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10723</v>
      </c>
      <c r="F10" s="24" t="s">
        <v>276</v>
      </c>
      <c r="G10" s="25" t="s">
        <v>40</v>
      </c>
      <c r="H10" s="8">
        <v>0</v>
      </c>
      <c r="I10" s="8">
        <v>0</v>
      </c>
      <c r="J10" s="2"/>
      <c r="K10" s="24"/>
      <c r="L10" s="9"/>
      <c r="M10" s="16"/>
      <c r="R10" s="1">
        <f>IF(vend24[[#This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565</v>
      </c>
      <c r="D11" s="2"/>
      <c r="E11" s="80">
        <v>10724</v>
      </c>
      <c r="F11" s="24" t="s">
        <v>277</v>
      </c>
      <c r="G11" s="25" t="s">
        <v>6</v>
      </c>
      <c r="H11" s="8">
        <v>35</v>
      </c>
      <c r="I11" s="8">
        <v>35</v>
      </c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750</v>
      </c>
      <c r="D12" s="2"/>
      <c r="E12" s="80">
        <v>10725</v>
      </c>
      <c r="F12" s="24" t="s">
        <v>278</v>
      </c>
      <c r="G12" s="25" t="s">
        <v>6</v>
      </c>
      <c r="H12" s="8">
        <v>550</v>
      </c>
      <c r="I12" s="8">
        <v>150</v>
      </c>
      <c r="J12" s="2"/>
      <c r="R12" s="1">
        <f>IF(vend24[[#This Row],[Nº Venda]]&gt;1,1,0)</f>
        <v>1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0">
        <v>10725</v>
      </c>
      <c r="F13" s="24" t="s">
        <v>278</v>
      </c>
      <c r="G13" s="25" t="s">
        <v>7</v>
      </c>
      <c r="H13" s="8">
        <v>0</v>
      </c>
      <c r="I13" s="8">
        <v>400</v>
      </c>
      <c r="J13" s="2"/>
      <c r="K13" s="104" t="s">
        <v>22</v>
      </c>
      <c r="L13" s="105"/>
      <c r="M13" s="106"/>
      <c r="R13" s="1">
        <f>IF(vend24[[#This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0">
        <v>10726</v>
      </c>
      <c r="F14" s="24" t="s">
        <v>278</v>
      </c>
      <c r="G14" s="25" t="s">
        <v>6</v>
      </c>
      <c r="H14" s="8">
        <v>500</v>
      </c>
      <c r="I14" s="8">
        <v>150</v>
      </c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1</v>
      </c>
    </row>
    <row r="15" spans="2:18" ht="15.75" x14ac:dyDescent="0.25">
      <c r="B15" s="29" t="s">
        <v>10</v>
      </c>
      <c r="C15" s="30">
        <f t="shared" si="0"/>
        <v>92</v>
      </c>
      <c r="D15" s="2"/>
      <c r="E15" s="80">
        <v>10726</v>
      </c>
      <c r="F15" s="24" t="s">
        <v>278</v>
      </c>
      <c r="G15" s="25" t="s">
        <v>7</v>
      </c>
      <c r="H15" s="8">
        <v>0</v>
      </c>
      <c r="I15" s="8">
        <v>350</v>
      </c>
      <c r="J15" s="2"/>
      <c r="K15" s="88">
        <v>10577</v>
      </c>
      <c r="L15" s="9" t="s">
        <v>129</v>
      </c>
      <c r="M15" s="16" t="s">
        <v>145</v>
      </c>
      <c r="R15" s="1">
        <f>IF(vend24[[#This Row],[Nº Venda]]&gt;1,1,0)</f>
        <v>1</v>
      </c>
    </row>
    <row r="16" spans="2:18" ht="15.75" x14ac:dyDescent="0.25">
      <c r="B16" s="27" t="s">
        <v>11</v>
      </c>
      <c r="C16" s="31">
        <f>SUM(C11:C15)</f>
        <v>1407</v>
      </c>
      <c r="D16" s="2"/>
      <c r="E16" s="80"/>
      <c r="F16" s="24"/>
      <c r="G16" s="25"/>
      <c r="H16" s="8"/>
      <c r="I16" s="8"/>
      <c r="J16" s="2"/>
      <c r="K16" s="88">
        <v>10678</v>
      </c>
      <c r="L16" s="9" t="s">
        <v>134</v>
      </c>
      <c r="M16" s="16" t="s">
        <v>145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10690</v>
      </c>
      <c r="L17" s="9" t="s">
        <v>136</v>
      </c>
      <c r="M17" s="16" t="s">
        <v>145</v>
      </c>
      <c r="R17" s="1">
        <f>IF(vend24[[#This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10724</v>
      </c>
      <c r="L18" s="9" t="s">
        <v>136</v>
      </c>
      <c r="M18" s="16" t="s">
        <v>145</v>
      </c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3435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9948</v>
      </c>
      <c r="F35" s="24" t="s">
        <v>272</v>
      </c>
      <c r="G35" s="25" t="s">
        <v>10</v>
      </c>
      <c r="H35" s="8">
        <v>92</v>
      </c>
      <c r="I35" s="8" t="s">
        <v>81</v>
      </c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10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'24'!B1+1</f>
        <v>45741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900</v>
      </c>
      <c r="D6" s="2"/>
      <c r="E6" s="80">
        <v>10729</v>
      </c>
      <c r="F6" s="24" t="s">
        <v>280</v>
      </c>
      <c r="G6" s="25" t="s">
        <v>8</v>
      </c>
      <c r="H6" s="8">
        <v>600</v>
      </c>
      <c r="I6" s="8">
        <v>600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10730</v>
      </c>
      <c r="F7" s="24" t="s">
        <v>281</v>
      </c>
      <c r="G7" s="25" t="s">
        <v>40</v>
      </c>
      <c r="H7" s="8"/>
      <c r="I7" s="8"/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21</v>
      </c>
      <c r="C8" s="28">
        <f ca="1">SUM(C6:C7)</f>
        <v>900</v>
      </c>
      <c r="D8" s="2"/>
      <c r="E8" s="80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0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300</v>
      </c>
      <c r="D12" s="2"/>
      <c r="E12" s="80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600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80"/>
      <c r="F15" s="24"/>
      <c r="G15" s="25"/>
      <c r="H15" s="8"/>
      <c r="I15" s="8"/>
      <c r="J15" s="2"/>
      <c r="K15" s="88">
        <v>10672</v>
      </c>
      <c r="L15" s="9" t="s">
        <v>129</v>
      </c>
      <c r="M15" s="16" t="s">
        <v>145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900</v>
      </c>
      <c r="D16" s="2"/>
      <c r="E16" s="80"/>
      <c r="F16" s="24"/>
      <c r="G16" s="25"/>
      <c r="H16" s="8"/>
      <c r="I16" s="8"/>
      <c r="J16" s="2"/>
      <c r="K16" s="88">
        <v>10658</v>
      </c>
      <c r="L16" s="9" t="s">
        <v>129</v>
      </c>
      <c r="M16" s="16" t="s">
        <v>145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16"/>
      <c r="R17" s="1">
        <f>IF(vend25[[#This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600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10672</v>
      </c>
      <c r="F26" s="24" t="s">
        <v>279</v>
      </c>
      <c r="G26" s="25" t="s">
        <v>7</v>
      </c>
      <c r="H26" s="8"/>
      <c r="I26" s="8">
        <v>300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62"/>
      <c r="I35" s="8"/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view="pageBreakPreview" topLeftCell="A14" zoomScale="60" zoomScaleNormal="9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5703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'25'!B1+1</f>
        <v>45742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2650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1995.12</v>
      </c>
      <c r="D6" s="2"/>
      <c r="E6" s="80">
        <v>10731</v>
      </c>
      <c r="F6" s="24" t="s">
        <v>282</v>
      </c>
      <c r="G6" s="25" t="s">
        <v>6</v>
      </c>
      <c r="H6" s="8">
        <v>220</v>
      </c>
      <c r="I6" s="8">
        <v>220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10732</v>
      </c>
      <c r="F7" s="24" t="s">
        <v>283</v>
      </c>
      <c r="G7" s="25" t="s">
        <v>7</v>
      </c>
      <c r="H7" s="8">
        <v>800</v>
      </c>
      <c r="I7" s="8">
        <v>25</v>
      </c>
      <c r="J7" s="2"/>
      <c r="K7" s="24"/>
      <c r="L7" s="9"/>
      <c r="M7" s="16"/>
      <c r="R7" s="1">
        <f>IF(vend26[[#This Row],[Nº Venda]]&gt;1,1,0)</f>
        <v>1</v>
      </c>
    </row>
    <row r="8" spans="2:18" ht="15.75" x14ac:dyDescent="0.25">
      <c r="B8" s="27" t="s">
        <v>21</v>
      </c>
      <c r="C8" s="28">
        <f>SUM(C6:C7)</f>
        <v>1995.12</v>
      </c>
      <c r="D8" s="2"/>
      <c r="E8" s="80">
        <v>10733</v>
      </c>
      <c r="F8" s="24" t="s">
        <v>283</v>
      </c>
      <c r="G8" s="25" t="s">
        <v>7</v>
      </c>
      <c r="H8" s="8">
        <v>130</v>
      </c>
      <c r="I8" s="8">
        <v>25</v>
      </c>
      <c r="J8" s="2"/>
      <c r="K8" s="24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80">
        <v>10734</v>
      </c>
      <c r="F9" s="24" t="s">
        <v>288</v>
      </c>
      <c r="G9" s="25" t="s">
        <v>8</v>
      </c>
      <c r="H9" s="8">
        <v>400</v>
      </c>
      <c r="I9" s="8">
        <v>400</v>
      </c>
      <c r="J9" s="2"/>
      <c r="K9" s="24"/>
      <c r="L9" s="9"/>
      <c r="M9" s="16"/>
      <c r="R9" s="1">
        <f>IF(vend26[[#This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10735</v>
      </c>
      <c r="F10" s="24" t="s">
        <v>284</v>
      </c>
      <c r="G10" s="25" t="s">
        <v>7</v>
      </c>
      <c r="H10" s="8">
        <v>50</v>
      </c>
      <c r="I10" s="8">
        <v>50</v>
      </c>
      <c r="J10" s="2"/>
      <c r="K10" s="24"/>
      <c r="L10" s="9"/>
      <c r="M10" s="16"/>
      <c r="R10" s="1">
        <f>IF(vend26[[#This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270</v>
      </c>
      <c r="D11" s="2"/>
      <c r="E11" s="80">
        <v>10736</v>
      </c>
      <c r="F11" s="24" t="s">
        <v>285</v>
      </c>
      <c r="G11" s="25" t="s">
        <v>10</v>
      </c>
      <c r="H11" s="8">
        <v>250</v>
      </c>
      <c r="I11" s="8">
        <v>250</v>
      </c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150</v>
      </c>
      <c r="D12" s="2"/>
      <c r="E12" s="80">
        <v>10737</v>
      </c>
      <c r="F12" s="24" t="s">
        <v>286</v>
      </c>
      <c r="G12" s="25" t="s">
        <v>8</v>
      </c>
      <c r="H12" s="8">
        <v>200</v>
      </c>
      <c r="I12" s="8">
        <v>200</v>
      </c>
      <c r="J12" s="2"/>
      <c r="R12" s="1">
        <f>IF(vend26[[#This Row],[Nº Venda]]&gt;1,1,0)</f>
        <v>1</v>
      </c>
    </row>
    <row r="13" spans="2:18" ht="15.75" x14ac:dyDescent="0.25">
      <c r="B13" s="29" t="s">
        <v>8</v>
      </c>
      <c r="C13" s="30">
        <f t="shared" si="0"/>
        <v>1100</v>
      </c>
      <c r="D13" s="2"/>
      <c r="E13" s="80">
        <v>10738</v>
      </c>
      <c r="F13" s="24" t="s">
        <v>286</v>
      </c>
      <c r="G13" s="25" t="s">
        <v>8</v>
      </c>
      <c r="H13" s="8">
        <v>500</v>
      </c>
      <c r="I13" s="8">
        <v>500</v>
      </c>
      <c r="J13" s="2"/>
      <c r="K13" s="104" t="s">
        <v>22</v>
      </c>
      <c r="L13" s="105"/>
      <c r="M13" s="106"/>
      <c r="R13" s="1">
        <f>IF(vend26[[#This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0">
        <v>10739</v>
      </c>
      <c r="F14" s="24" t="s">
        <v>287</v>
      </c>
      <c r="G14" s="25" t="s">
        <v>6</v>
      </c>
      <c r="H14" s="8">
        <v>50</v>
      </c>
      <c r="I14" s="8">
        <v>50</v>
      </c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1</v>
      </c>
    </row>
    <row r="15" spans="2:18" ht="15.75" x14ac:dyDescent="0.25">
      <c r="B15" s="29" t="s">
        <v>10</v>
      </c>
      <c r="C15" s="30">
        <f t="shared" si="0"/>
        <v>475.12</v>
      </c>
      <c r="D15" s="2"/>
      <c r="E15" s="80"/>
      <c r="F15" s="24"/>
      <c r="G15" s="25"/>
      <c r="H15" s="8"/>
      <c r="I15" s="8"/>
      <c r="J15" s="2"/>
      <c r="K15" s="88">
        <v>10606</v>
      </c>
      <c r="L15" s="9" t="s">
        <v>136</v>
      </c>
      <c r="M15" s="16" t="s">
        <v>145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1995.12</v>
      </c>
      <c r="D16" s="2"/>
      <c r="E16" s="80"/>
      <c r="F16" s="24"/>
      <c r="G16" s="25"/>
      <c r="H16" s="8"/>
      <c r="I16" s="8"/>
      <c r="J16" s="2"/>
      <c r="K16" s="88">
        <v>10607</v>
      </c>
      <c r="L16" s="9" t="s">
        <v>136</v>
      </c>
      <c r="M16" s="16" t="s">
        <v>145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10683</v>
      </c>
      <c r="L17" s="9" t="s">
        <v>136</v>
      </c>
      <c r="M17" s="16" t="s">
        <v>145</v>
      </c>
      <c r="R17" s="1">
        <f>IF(vend26[[#This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10721</v>
      </c>
      <c r="L18" s="9" t="s">
        <v>134</v>
      </c>
      <c r="M18" s="16" t="s">
        <v>145</v>
      </c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0"/>
      <c r="F19" s="24"/>
      <c r="G19" s="25"/>
      <c r="H19" s="8"/>
      <c r="I19" s="8"/>
      <c r="J19" s="2"/>
      <c r="K19" s="88">
        <v>10731</v>
      </c>
      <c r="L19" s="9" t="s">
        <v>136</v>
      </c>
      <c r="M19" s="16" t="s">
        <v>145</v>
      </c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2650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10721</v>
      </c>
      <c r="F26" s="24" t="s">
        <v>274</v>
      </c>
      <c r="G26" s="25" t="s">
        <v>7</v>
      </c>
      <c r="H26" s="8">
        <v>50</v>
      </c>
      <c r="I26" s="8">
        <v>50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9681</v>
      </c>
      <c r="F35" s="24" t="s">
        <v>289</v>
      </c>
      <c r="G35" s="25" t="s">
        <v>10</v>
      </c>
      <c r="H35" s="8">
        <v>89</v>
      </c>
      <c r="I35" s="8" t="s">
        <v>38</v>
      </c>
      <c r="K35" s="88"/>
      <c r="L35" s="39"/>
      <c r="M35" s="16"/>
    </row>
    <row r="36" spans="2:18" ht="15.75" x14ac:dyDescent="0.25">
      <c r="E36" s="84">
        <v>10337</v>
      </c>
      <c r="F36" s="24" t="s">
        <v>290</v>
      </c>
      <c r="G36" s="25" t="s">
        <v>10</v>
      </c>
      <c r="H36" s="8">
        <v>136.12</v>
      </c>
      <c r="I36" s="8" t="s">
        <v>34</v>
      </c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9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3.42578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'26'!B1+1</f>
        <v>45743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0">
        <v>10740</v>
      </c>
      <c r="F6" s="24" t="s">
        <v>291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10741</v>
      </c>
      <c r="F7" s="24" t="s">
        <v>292</v>
      </c>
      <c r="G7" s="25" t="s">
        <v>40</v>
      </c>
      <c r="H7" s="8">
        <v>0</v>
      </c>
      <c r="I7" s="8">
        <v>0</v>
      </c>
      <c r="J7" s="2"/>
      <c r="K7" s="24"/>
      <c r="L7" s="9"/>
      <c r="M7" s="16"/>
      <c r="R7" s="1">
        <f>IF(vend27[[#This Row],[Nº Venda]]&gt;1,1,0)</f>
        <v>1</v>
      </c>
    </row>
    <row r="8" spans="2:18" ht="15.75" x14ac:dyDescent="0.25">
      <c r="B8" s="27" t="s">
        <v>21</v>
      </c>
      <c r="C8" s="28">
        <f>SUM(C6:C7)</f>
        <v>0</v>
      </c>
      <c r="D8" s="2"/>
      <c r="E8" s="80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0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0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0"/>
      <c r="F15" s="24"/>
      <c r="G15" s="25"/>
      <c r="H15" s="8"/>
      <c r="I15" s="8"/>
      <c r="J15" s="2"/>
      <c r="K15" s="88">
        <v>10729</v>
      </c>
      <c r="L15" s="9" t="s">
        <v>134</v>
      </c>
      <c r="M15" s="16" t="s">
        <v>145</v>
      </c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0"/>
      <c r="F16" s="24"/>
      <c r="G16" s="25"/>
      <c r="H16" s="8"/>
      <c r="I16" s="8"/>
      <c r="J16" s="2"/>
      <c r="K16" s="88">
        <v>10674</v>
      </c>
      <c r="L16" s="9" t="s">
        <v>129</v>
      </c>
      <c r="M16" s="16" t="s">
        <v>145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10739</v>
      </c>
      <c r="L17" s="9" t="s">
        <v>134</v>
      </c>
      <c r="M17" s="16" t="s">
        <v>145</v>
      </c>
      <c r="R17" s="1">
        <f>IF(vend27[[#This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'27'!B1+1</f>
        <v>45744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1319.8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929.8</v>
      </c>
      <c r="D6" s="2"/>
      <c r="E6" s="80">
        <v>10742</v>
      </c>
      <c r="F6" s="24" t="s">
        <v>294</v>
      </c>
      <c r="G6" s="25" t="s">
        <v>6</v>
      </c>
      <c r="H6" s="8">
        <v>350</v>
      </c>
      <c r="I6" s="8">
        <v>350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10743</v>
      </c>
      <c r="F7" s="24" t="s">
        <v>295</v>
      </c>
      <c r="G7" s="25" t="s">
        <v>8</v>
      </c>
      <c r="H7" s="8">
        <v>150</v>
      </c>
      <c r="I7" s="8">
        <v>150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929.8</v>
      </c>
      <c r="D8" s="2"/>
      <c r="E8" s="80">
        <v>10744</v>
      </c>
      <c r="F8" s="24" t="s">
        <v>296</v>
      </c>
      <c r="G8" s="25" t="s">
        <v>7</v>
      </c>
      <c r="H8" s="8">
        <v>79.8</v>
      </c>
      <c r="I8" s="8">
        <v>79.8</v>
      </c>
      <c r="J8" s="2"/>
      <c r="K8" s="24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80">
        <v>10745</v>
      </c>
      <c r="F9" s="24" t="s">
        <v>297</v>
      </c>
      <c r="G9" s="25" t="s">
        <v>7</v>
      </c>
      <c r="H9" s="8">
        <v>740</v>
      </c>
      <c r="I9" s="8">
        <v>150</v>
      </c>
      <c r="J9" s="2"/>
      <c r="K9" s="24"/>
      <c r="L9" s="9"/>
      <c r="M9" s="16"/>
      <c r="R9" s="1">
        <f>IF(vend28[[#This Row],[Nº Venda]]&gt;1,1,0)</f>
        <v>1</v>
      </c>
    </row>
    <row r="10" spans="2:18" ht="15.75" x14ac:dyDescent="0.25">
      <c r="B10" s="102" t="s">
        <v>5</v>
      </c>
      <c r="C10" s="102"/>
      <c r="D10" s="2"/>
      <c r="E10" s="80">
        <v>10746</v>
      </c>
      <c r="F10" s="24" t="s">
        <v>298</v>
      </c>
      <c r="G10" s="25" t="s">
        <v>40</v>
      </c>
      <c r="H10" s="8">
        <v>0</v>
      </c>
      <c r="I10" s="8">
        <v>0</v>
      </c>
      <c r="J10" s="2"/>
      <c r="K10" s="24"/>
      <c r="L10" s="9"/>
      <c r="M10" s="16"/>
      <c r="R10" s="1">
        <f>IF(vend28[[#This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550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229.8</v>
      </c>
      <c r="D12" s="2"/>
      <c r="E12" s="80"/>
      <c r="F12" s="24" t="s">
        <v>299</v>
      </c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150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0"/>
      <c r="F15" s="24"/>
      <c r="G15" s="25"/>
      <c r="H15" s="8"/>
      <c r="I15" s="8"/>
      <c r="J15" s="2"/>
      <c r="K15" s="88">
        <v>10644</v>
      </c>
      <c r="L15" s="9" t="s">
        <v>129</v>
      </c>
      <c r="M15" s="16" t="s">
        <v>145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929.8</v>
      </c>
      <c r="D16" s="2"/>
      <c r="E16" s="80"/>
      <c r="F16" s="24"/>
      <c r="G16" s="25"/>
      <c r="H16" s="8"/>
      <c r="I16" s="8"/>
      <c r="J16" s="2"/>
      <c r="K16" s="88">
        <v>10661</v>
      </c>
      <c r="L16" s="9" t="s">
        <v>136</v>
      </c>
      <c r="M16" s="16" t="s">
        <v>145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10704</v>
      </c>
      <c r="L17" s="9" t="s">
        <v>136</v>
      </c>
      <c r="M17" s="16" t="s">
        <v>145</v>
      </c>
      <c r="R17" s="1">
        <f>IF(vend28[[#This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10725</v>
      </c>
      <c r="L18" s="9" t="s">
        <v>136</v>
      </c>
      <c r="M18" s="16" t="s">
        <v>145</v>
      </c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80"/>
      <c r="F19" s="24"/>
      <c r="G19" s="25"/>
      <c r="H19" s="8"/>
      <c r="I19" s="8"/>
      <c r="J19" s="2"/>
      <c r="K19" s="88">
        <v>10726</v>
      </c>
      <c r="L19" s="9" t="s">
        <v>136</v>
      </c>
      <c r="M19" s="16" t="s">
        <v>145</v>
      </c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>
        <v>10743</v>
      </c>
      <c r="L20" s="9" t="s">
        <v>136</v>
      </c>
      <c r="M20" s="16" t="s">
        <v>145</v>
      </c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>
        <v>10744</v>
      </c>
      <c r="L21" s="9" t="s">
        <v>136</v>
      </c>
      <c r="M21" s="16" t="s">
        <v>145</v>
      </c>
    </row>
    <row r="22" spans="2:18" ht="15.75" x14ac:dyDescent="0.25">
      <c r="B22" s="27" t="s">
        <v>26</v>
      </c>
      <c r="C22" s="31">
        <f>C5</f>
        <v>1319.8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9942</v>
      </c>
      <c r="F35" s="24" t="s">
        <v>293</v>
      </c>
      <c r="G35" s="25" t="s">
        <v>6</v>
      </c>
      <c r="H35" s="8">
        <v>100</v>
      </c>
      <c r="I35" s="8" t="s">
        <v>49</v>
      </c>
      <c r="K35" s="88"/>
      <c r="L35" s="39"/>
      <c r="M35" s="16"/>
    </row>
    <row r="36" spans="2:18" ht="15.75" x14ac:dyDescent="0.25">
      <c r="E36" s="84">
        <v>9942</v>
      </c>
      <c r="F36" s="24" t="s">
        <v>293</v>
      </c>
      <c r="G36" s="25" t="s">
        <v>6</v>
      </c>
      <c r="H36" s="8">
        <v>100</v>
      </c>
      <c r="I36" s="8" t="s">
        <v>41</v>
      </c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5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90" zoomScaleNormal="90" workbookViewId="0">
      <selection activeCell="G41" sqref="G40:G4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1">
        <f>'28'!B1+1</f>
        <v>45745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1479.8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1644.3</v>
      </c>
      <c r="D6" s="2"/>
      <c r="E6" s="80">
        <v>10747</v>
      </c>
      <c r="F6" s="24" t="s">
        <v>296</v>
      </c>
      <c r="G6" s="25" t="s">
        <v>7</v>
      </c>
      <c r="H6" s="8">
        <v>79.8</v>
      </c>
      <c r="I6" s="8">
        <v>79.8</v>
      </c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10748</v>
      </c>
      <c r="F7" s="24" t="s">
        <v>300</v>
      </c>
      <c r="G7" s="25" t="s">
        <v>10</v>
      </c>
      <c r="H7" s="8">
        <v>470</v>
      </c>
      <c r="I7" s="8">
        <v>470</v>
      </c>
      <c r="J7" s="2"/>
      <c r="K7" s="24"/>
      <c r="L7" s="9"/>
      <c r="M7" s="16"/>
      <c r="R7" s="1">
        <f>IF(vend29[[#This Row],[Nº Venda]]&gt;1,1,0)</f>
        <v>1</v>
      </c>
    </row>
    <row r="8" spans="2:18" ht="15.75" x14ac:dyDescent="0.25">
      <c r="B8" s="27" t="s">
        <v>21</v>
      </c>
      <c r="C8" s="28">
        <f>SUM(C6:C7)</f>
        <v>1644.3</v>
      </c>
      <c r="D8" s="2"/>
      <c r="E8" s="80">
        <v>10749</v>
      </c>
      <c r="F8" s="24" t="s">
        <v>300</v>
      </c>
      <c r="G8" s="25" t="s">
        <v>10</v>
      </c>
      <c r="H8" s="8">
        <v>130</v>
      </c>
      <c r="I8" s="8">
        <v>130</v>
      </c>
      <c r="J8" s="2"/>
      <c r="K8" s="24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80">
        <v>10750</v>
      </c>
      <c r="F9" s="24" t="s">
        <v>301</v>
      </c>
      <c r="G9" s="25" t="s">
        <v>10</v>
      </c>
      <c r="H9" s="42">
        <v>800</v>
      </c>
      <c r="I9" s="8">
        <v>800</v>
      </c>
      <c r="J9" s="2"/>
      <c r="K9" s="24"/>
      <c r="L9" s="9"/>
      <c r="M9" s="16"/>
      <c r="R9" s="1">
        <f>IF(vend29[[#This Row],[Nº Venda]]&gt;1,1,0)</f>
        <v>1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79.8</v>
      </c>
      <c r="D12" s="2"/>
      <c r="E12" s="80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1564.5</v>
      </c>
      <c r="D15" s="2"/>
      <c r="E15" s="80"/>
      <c r="F15" s="24"/>
      <c r="G15" s="25"/>
      <c r="H15" s="8"/>
      <c r="I15" s="8"/>
      <c r="J15" s="2"/>
      <c r="K15" s="88">
        <v>10688</v>
      </c>
      <c r="L15" s="9" t="s">
        <v>136</v>
      </c>
      <c r="M15" s="16" t="s">
        <v>145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1644.3</v>
      </c>
      <c r="D16" s="2"/>
      <c r="E16" s="80"/>
      <c r="F16" s="24"/>
      <c r="G16" s="25"/>
      <c r="H16" s="8"/>
      <c r="I16" s="8"/>
      <c r="J16" s="2"/>
      <c r="K16" s="88">
        <v>10642</v>
      </c>
      <c r="L16" s="9" t="s">
        <v>129</v>
      </c>
      <c r="M16" s="16" t="s">
        <v>145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10747</v>
      </c>
      <c r="L17" s="9" t="s">
        <v>136</v>
      </c>
      <c r="M17" s="16" t="s">
        <v>145</v>
      </c>
      <c r="R17" s="1">
        <f>IF(vend29[[#This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</row>
    <row r="22" spans="2:18" ht="15.75" x14ac:dyDescent="0.25">
      <c r="B22" s="27" t="s">
        <v>26</v>
      </c>
      <c r="C22" s="31">
        <f>C5</f>
        <v>1479.8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18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>
        <v>9845</v>
      </c>
      <c r="F35" s="24" t="s">
        <v>302</v>
      </c>
      <c r="G35" s="25" t="s">
        <v>10</v>
      </c>
      <c r="H35" s="8">
        <v>72.5</v>
      </c>
      <c r="I35" s="8" t="s">
        <v>56</v>
      </c>
      <c r="K35" s="88"/>
      <c r="L35" s="39"/>
      <c r="M35" s="16"/>
    </row>
    <row r="36" spans="2:18" ht="15.75" x14ac:dyDescent="0.25">
      <c r="E36" s="84">
        <v>9800</v>
      </c>
      <c r="F36" s="24" t="s">
        <v>303</v>
      </c>
      <c r="G36" s="25" t="s">
        <v>10</v>
      </c>
      <c r="H36" s="8">
        <v>92</v>
      </c>
      <c r="I36" s="8" t="s">
        <v>59</v>
      </c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4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2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'29'!B1+1</f>
        <v>45746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0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0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0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80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0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1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0"/>
      <c r="F15" s="24"/>
      <c r="G15" s="25"/>
      <c r="H15" s="8"/>
      <c r="I15" s="8"/>
      <c r="J15" s="2"/>
      <c r="K15" s="88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0"/>
      <c r="F16" s="24"/>
      <c r="G16" s="25"/>
      <c r="H16" s="8"/>
      <c r="I16" s="8"/>
      <c r="J16" s="2"/>
      <c r="K16" s="88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/>
      <c r="L17" s="9"/>
      <c r="M17" s="16"/>
      <c r="R17" s="1">
        <f>IF(vend30[[#This Row],[Nº Venda]]&gt;1,1,0)</f>
        <v>0</v>
      </c>
    </row>
    <row r="18" spans="2:22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80"/>
      <c r="F19" s="24"/>
      <c r="G19" s="25"/>
      <c r="H19" s="8"/>
      <c r="I19" s="8"/>
      <c r="J19" s="2"/>
      <c r="K19" s="88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22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22" ht="15.75" x14ac:dyDescent="0.25">
      <c r="B26" s="2"/>
      <c r="C26" s="2"/>
      <c r="D26" s="2"/>
      <c r="E26" s="80"/>
      <c r="F26" s="24"/>
      <c r="G26" s="25"/>
      <c r="H26" s="8"/>
      <c r="I26" s="8"/>
      <c r="J26" s="2"/>
      <c r="K26" s="88"/>
      <c r="L26" s="9"/>
      <c r="M26" s="16"/>
    </row>
    <row r="27" spans="2:22" ht="15.75" x14ac:dyDescent="0.25">
      <c r="B27" s="2"/>
      <c r="C27" s="2"/>
      <c r="D27" s="2"/>
      <c r="E27" s="80"/>
      <c r="F27" s="24"/>
      <c r="G27" s="25"/>
      <c r="H27" s="8"/>
      <c r="I27" s="8"/>
      <c r="J27" s="2"/>
      <c r="K27" s="88"/>
      <c r="L27" s="9"/>
      <c r="M27" s="16"/>
    </row>
    <row r="28" spans="2:22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22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22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22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0"/>
      <c r="F35" s="24"/>
      <c r="G35" s="25"/>
      <c r="H35" s="8"/>
      <c r="I35" s="8"/>
      <c r="K35" s="88"/>
      <c r="L35" s="39"/>
      <c r="M35" s="16"/>
    </row>
    <row r="36" spans="2:18" ht="15.75" x14ac:dyDescent="0.25">
      <c r="E36" s="84"/>
      <c r="F36" s="24"/>
      <c r="G36" s="25"/>
      <c r="H36" s="8"/>
      <c r="I36" s="8"/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view="pageBreakPreview" zoomScale="60" zoomScaleNormal="90" workbookViewId="0">
      <selection activeCell="H28" sqref="H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7.42578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'30'!B1+1</f>
        <v>45747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1080.5</v>
      </c>
      <c r="D6" s="2"/>
      <c r="E6" s="80">
        <v>10752</v>
      </c>
      <c r="F6" s="24" t="s">
        <v>307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IF(vend31[[#This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0">
        <v>10753</v>
      </c>
      <c r="F7" s="24" t="s">
        <v>308</v>
      </c>
      <c r="G7" s="25" t="s">
        <v>40</v>
      </c>
      <c r="H7" s="8">
        <v>0</v>
      </c>
      <c r="I7" s="8">
        <v>0</v>
      </c>
      <c r="J7" s="2"/>
      <c r="K7" s="24"/>
      <c r="L7" s="9"/>
      <c r="M7" s="16"/>
      <c r="R7" s="1">
        <f>IF(vend31[[#This Row],[Nº Venda]]&gt;1,1,0)</f>
        <v>1</v>
      </c>
    </row>
    <row r="8" spans="2:18" ht="15.75" x14ac:dyDescent="0.25">
      <c r="B8" s="27" t="s">
        <v>21</v>
      </c>
      <c r="C8" s="28">
        <f>SUM(C6:C7)</f>
        <v>1080.5</v>
      </c>
      <c r="D8" s="2"/>
      <c r="E8" s="80">
        <v>10754</v>
      </c>
      <c r="F8" s="24" t="s">
        <v>309</v>
      </c>
      <c r="G8" s="25" t="s">
        <v>50</v>
      </c>
      <c r="H8" s="8">
        <v>3899</v>
      </c>
      <c r="I8" s="8">
        <v>0</v>
      </c>
      <c r="J8" s="2"/>
      <c r="K8" s="24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80">
        <v>10755</v>
      </c>
      <c r="F9" s="24" t="s">
        <v>309</v>
      </c>
      <c r="G9" s="25" t="s">
        <v>50</v>
      </c>
      <c r="H9" s="8">
        <v>0</v>
      </c>
      <c r="I9" s="8">
        <v>0</v>
      </c>
      <c r="J9" s="2"/>
      <c r="K9" s="24"/>
      <c r="L9" s="9"/>
      <c r="M9" s="16"/>
      <c r="R9" s="1">
        <f>IF(vend31[[#This Row],[Nº Venda]]&gt;1,1,0)</f>
        <v>1</v>
      </c>
    </row>
    <row r="10" spans="2:18" ht="15.75" x14ac:dyDescent="0.25">
      <c r="B10" s="102" t="s">
        <v>5</v>
      </c>
      <c r="C10" s="102"/>
      <c r="D10" s="2"/>
      <c r="E10" s="80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165.5</v>
      </c>
      <c r="D11" s="2"/>
      <c r="E11" s="8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0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915</v>
      </c>
      <c r="D13" s="2"/>
      <c r="E13" s="8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0"/>
      <c r="F15" s="24"/>
      <c r="G15" s="25"/>
      <c r="H15" s="8"/>
      <c r="I15" s="8"/>
      <c r="J15" s="2"/>
      <c r="K15" s="88">
        <v>10649</v>
      </c>
      <c r="L15" s="9" t="s">
        <v>136</v>
      </c>
      <c r="M15" s="16" t="s">
        <v>145</v>
      </c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1080.5</v>
      </c>
      <c r="D16" s="2"/>
      <c r="E16" s="80"/>
      <c r="F16" s="24"/>
      <c r="G16" s="25"/>
      <c r="H16" s="8"/>
      <c r="I16" s="8"/>
      <c r="J16" s="2"/>
      <c r="K16" s="88">
        <v>10679</v>
      </c>
      <c r="L16" s="9" t="s">
        <v>134</v>
      </c>
      <c r="M16" s="16" t="s">
        <v>145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80"/>
      <c r="F17" s="24"/>
      <c r="G17" s="25"/>
      <c r="H17" s="8"/>
      <c r="I17" s="8"/>
      <c r="J17" s="2"/>
      <c r="K17" s="88">
        <v>10685</v>
      </c>
      <c r="L17" s="9" t="s">
        <v>129</v>
      </c>
      <c r="M17" s="16" t="s">
        <v>145</v>
      </c>
      <c r="R17" s="1">
        <f>IF(vend31[[#This Row],[Nº Venda]]&gt;1,1,0)</f>
        <v>0</v>
      </c>
    </row>
    <row r="18" spans="2:18" ht="15.75" x14ac:dyDescent="0.25">
      <c r="B18" s="102" t="s">
        <v>12</v>
      </c>
      <c r="C18" s="102"/>
      <c r="D18" s="2"/>
      <c r="E18" s="80"/>
      <c r="F18" s="24"/>
      <c r="G18" s="25"/>
      <c r="H18" s="8"/>
      <c r="I18" s="8"/>
      <c r="J18" s="2"/>
      <c r="K18" s="88">
        <v>10689</v>
      </c>
      <c r="L18" s="9" t="s">
        <v>136</v>
      </c>
      <c r="M18" s="16" t="s">
        <v>145</v>
      </c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80"/>
      <c r="F19" s="24"/>
      <c r="G19" s="25"/>
      <c r="H19" s="8"/>
      <c r="I19" s="8"/>
      <c r="J19" s="2"/>
      <c r="K19" s="88">
        <v>10707</v>
      </c>
      <c r="L19" s="9" t="s">
        <v>136</v>
      </c>
      <c r="M19" s="16" t="s">
        <v>145</v>
      </c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0"/>
      <c r="F20" s="25"/>
      <c r="G20" s="25"/>
      <c r="H20" s="8"/>
      <c r="I20" s="8"/>
      <c r="J20" s="2"/>
      <c r="K20" s="88">
        <v>10710</v>
      </c>
      <c r="L20" s="9" t="s">
        <v>136</v>
      </c>
      <c r="M20" s="16" t="s">
        <v>145</v>
      </c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80"/>
      <c r="F21" s="24"/>
      <c r="G21" s="25"/>
      <c r="H21" s="8"/>
      <c r="I21" s="8"/>
      <c r="J21" s="2"/>
      <c r="K21" s="88">
        <v>10740</v>
      </c>
      <c r="L21" s="9" t="s">
        <v>134</v>
      </c>
      <c r="M21" s="16" t="s">
        <v>145</v>
      </c>
    </row>
    <row r="22" spans="2:18" ht="15.75" x14ac:dyDescent="0.25">
      <c r="B22" s="27" t="s">
        <v>26</v>
      </c>
      <c r="C22" s="31">
        <f>C5</f>
        <v>0</v>
      </c>
      <c r="D22" s="2"/>
      <c r="E22" s="80"/>
      <c r="F22" s="24"/>
      <c r="G22" s="25"/>
      <c r="H22" s="8"/>
      <c r="I22" s="8"/>
      <c r="J22" s="2"/>
      <c r="K22" s="8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88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8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8"/>
      <c r="L25" s="9"/>
      <c r="M25" s="16"/>
    </row>
    <row r="26" spans="2:18" ht="15.75" x14ac:dyDescent="0.25">
      <c r="B26" s="2"/>
      <c r="C26" s="2"/>
      <c r="D26" s="2"/>
      <c r="E26" s="80">
        <v>10649</v>
      </c>
      <c r="F26" s="24" t="s">
        <v>306</v>
      </c>
      <c r="G26" s="25" t="s">
        <v>8</v>
      </c>
      <c r="H26" s="8">
        <v>0</v>
      </c>
      <c r="I26" s="8">
        <v>370</v>
      </c>
      <c r="J26" s="2"/>
      <c r="K26" s="88"/>
      <c r="L26" s="9"/>
      <c r="M26" s="16"/>
    </row>
    <row r="27" spans="2:18" ht="15.75" x14ac:dyDescent="0.25">
      <c r="B27" s="2"/>
      <c r="C27" s="2"/>
      <c r="D27" s="2"/>
      <c r="E27" s="80">
        <v>10679</v>
      </c>
      <c r="F27" s="24" t="s">
        <v>237</v>
      </c>
      <c r="G27" s="25" t="s">
        <v>8</v>
      </c>
      <c r="H27" s="8">
        <v>0</v>
      </c>
      <c r="I27" s="8">
        <v>545</v>
      </c>
      <c r="J27" s="2"/>
      <c r="K27" s="88"/>
      <c r="L27" s="9"/>
      <c r="M27" s="16"/>
    </row>
    <row r="28" spans="2:18" ht="15.75" x14ac:dyDescent="0.25">
      <c r="B28" s="2"/>
      <c r="C28" s="2"/>
      <c r="D28" s="2"/>
      <c r="E28" s="80"/>
      <c r="F28" s="24"/>
      <c r="G28" s="25"/>
      <c r="H28" s="8"/>
      <c r="I28" s="8"/>
      <c r="J28" s="2"/>
      <c r="K28" s="88"/>
      <c r="L28" s="9"/>
      <c r="M28" s="16"/>
    </row>
    <row r="29" spans="2:18" ht="15.75" x14ac:dyDescent="0.25">
      <c r="B29" s="2"/>
      <c r="C29" s="2"/>
      <c r="D29" s="2"/>
      <c r="E29" s="80"/>
      <c r="F29" s="24"/>
      <c r="G29" s="25"/>
      <c r="H29" s="8"/>
      <c r="I29" s="8"/>
      <c r="J29" s="2"/>
      <c r="K29" s="88"/>
      <c r="L29" s="9"/>
      <c r="M29" s="16"/>
    </row>
    <row r="30" spans="2:18" ht="15.75" x14ac:dyDescent="0.25">
      <c r="B30" s="2"/>
      <c r="C30" s="2"/>
      <c r="D30" s="2"/>
      <c r="E30" s="80"/>
      <c r="F30" s="37"/>
      <c r="G30" s="25"/>
      <c r="H30" s="8"/>
      <c r="I30" s="8"/>
      <c r="J30" s="2"/>
      <c r="K30" s="88"/>
      <c r="L30" s="9"/>
      <c r="M30" s="16"/>
    </row>
    <row r="31" spans="2:18" ht="15.75" x14ac:dyDescent="0.25">
      <c r="B31" s="2"/>
      <c r="C31" s="2"/>
      <c r="D31" s="2"/>
      <c r="E31" s="82"/>
      <c r="F31" s="34"/>
      <c r="G31" s="35"/>
      <c r="H31" s="17"/>
      <c r="I31" s="17"/>
      <c r="J31" s="2"/>
      <c r="K31" s="8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5">
        <v>10336</v>
      </c>
      <c r="F35" s="24" t="s">
        <v>305</v>
      </c>
      <c r="G35" s="25" t="s">
        <v>6</v>
      </c>
      <c r="H35" s="8">
        <v>114</v>
      </c>
      <c r="I35" s="8" t="s">
        <v>55</v>
      </c>
      <c r="K35" s="88"/>
      <c r="L35" s="39"/>
      <c r="M35" s="16"/>
    </row>
    <row r="36" spans="2:18" ht="15.75" x14ac:dyDescent="0.25">
      <c r="E36" s="82">
        <v>10620</v>
      </c>
      <c r="F36" s="24" t="s">
        <v>304</v>
      </c>
      <c r="G36" s="25" t="s">
        <v>6</v>
      </c>
      <c r="H36" s="8">
        <v>51.5</v>
      </c>
      <c r="I36" s="8" t="s">
        <v>42</v>
      </c>
      <c r="K36" s="88"/>
      <c r="L36" s="39"/>
      <c r="M36" s="16"/>
    </row>
    <row r="37" spans="2:18" ht="15.75" x14ac:dyDescent="0.25">
      <c r="E37" s="80"/>
      <c r="F37" s="24"/>
      <c r="G37" s="25"/>
      <c r="H37" s="8"/>
      <c r="I37" s="8"/>
      <c r="K37" s="88"/>
      <c r="L37" s="39"/>
      <c r="M37" s="16"/>
    </row>
    <row r="38" spans="2:18" ht="15.75" x14ac:dyDescent="0.25">
      <c r="E38" s="80"/>
      <c r="F38" s="24"/>
      <c r="G38" s="25"/>
      <c r="H38" s="8"/>
      <c r="I38" s="8"/>
      <c r="K38" s="88"/>
      <c r="L38" s="39"/>
      <c r="M38" s="16"/>
    </row>
    <row r="39" spans="2:18" ht="15.75" x14ac:dyDescent="0.25">
      <c r="E39" s="80"/>
      <c r="F39" s="37"/>
      <c r="G39" s="25"/>
      <c r="H39" s="8"/>
      <c r="I39" s="8"/>
      <c r="K39" s="88"/>
      <c r="L39" s="39"/>
      <c r="M39" s="16"/>
    </row>
    <row r="40" spans="2:18" ht="15.75" x14ac:dyDescent="0.25">
      <c r="E40" s="82"/>
      <c r="F40" s="34"/>
      <c r="G40" s="35"/>
      <c r="H40" s="17"/>
      <c r="I40" s="8"/>
      <c r="K40" s="89"/>
      <c r="L40" s="40"/>
      <c r="M40" s="38"/>
      <c r="Q40" s="1" t="s">
        <v>36</v>
      </c>
      <c r="R40" s="1">
        <f>SUM(R6:R21)</f>
        <v>4</v>
      </c>
    </row>
    <row r="41" spans="2:18" ht="15.75" x14ac:dyDescent="0.25">
      <c r="E41" s="83"/>
      <c r="F41" s="37"/>
      <c r="G41" s="25"/>
      <c r="H41" s="8"/>
      <c r="I41" s="8"/>
      <c r="K41" s="88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6" t="s">
        <v>62</v>
      </c>
      <c r="B1" s="36" t="s">
        <v>63</v>
      </c>
      <c r="E1" s="36" t="s">
        <v>64</v>
      </c>
    </row>
    <row r="2" spans="1:5" x14ac:dyDescent="0.2">
      <c r="A2" s="36" t="s">
        <v>6</v>
      </c>
      <c r="B2" s="36" t="s">
        <v>65</v>
      </c>
      <c r="E2" t="s">
        <v>46</v>
      </c>
    </row>
    <row r="3" spans="1:5" x14ac:dyDescent="0.2">
      <c r="A3" s="36" t="s">
        <v>7</v>
      </c>
      <c r="B3" s="36" t="s">
        <v>66</v>
      </c>
      <c r="E3" t="s">
        <v>67</v>
      </c>
    </row>
    <row r="4" spans="1:5" x14ac:dyDescent="0.2">
      <c r="A4" s="36" t="s">
        <v>8</v>
      </c>
      <c r="B4" s="36" t="s">
        <v>68</v>
      </c>
      <c r="E4" t="s">
        <v>69</v>
      </c>
    </row>
    <row r="5" spans="1:5" x14ac:dyDescent="0.2">
      <c r="A5" s="36" t="s">
        <v>9</v>
      </c>
      <c r="B5" s="36" t="s">
        <v>70</v>
      </c>
      <c r="E5" t="s">
        <v>71</v>
      </c>
    </row>
    <row r="6" spans="1:5" x14ac:dyDescent="0.2">
      <c r="A6" s="36" t="s">
        <v>10</v>
      </c>
      <c r="B6" s="36" t="s">
        <v>10</v>
      </c>
      <c r="E6" t="s">
        <v>33</v>
      </c>
    </row>
    <row r="7" spans="1:5" x14ac:dyDescent="0.2">
      <c r="A7" s="36" t="s">
        <v>50</v>
      </c>
      <c r="B7" s="36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6" t="s">
        <v>40</v>
      </c>
      <c r="B9" s="36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02</vt:lpstr>
      <vt:lpstr>01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17</vt:lpstr>
      <vt:lpstr>16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2025-09-26T16:57:26Z</cp:lastPrinted>
  <dcterms:created xsi:type="dcterms:W3CDTF">2004-04-07T20:43:43Z</dcterms:created>
  <dcterms:modified xsi:type="dcterms:W3CDTF">2025-09-26T16:57:34Z</dcterms:modified>
  <cp:category/>
  <cp:contentStatus/>
</cp:coreProperties>
</file>