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1918" documentId="8_{A8EC729E-B486-4075-9BB3-C7666ACF8709}" xr6:coauthVersionLast="47" xr6:coauthVersionMax="47" xr10:uidLastSave="{7AD17F1C-028D-45D7-9BA2-020DC2F55CFF}"/>
  <bookViews>
    <workbookView xWindow="-120" yWindow="-120" windowWidth="20730" windowHeight="11310" tabRatio="895" firstSheet="5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80" l="1"/>
  <c r="C6" i="182"/>
  <c r="C6" i="177"/>
  <c r="C6" i="178"/>
  <c r="C6" i="171"/>
  <c r="C6" i="172"/>
  <c r="C6" i="174"/>
  <c r="C6" i="175"/>
  <c r="C13" i="195"/>
  <c r="C12" i="195"/>
  <c r="C11" i="195"/>
  <c r="C6" i="170"/>
  <c r="C6" i="189" l="1"/>
  <c r="C12" i="184" l="1"/>
  <c r="C6" i="198"/>
  <c r="C6" i="193"/>
  <c r="C6" i="186"/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6" i="173"/>
  <c r="C8" i="172"/>
  <c r="C8" i="171"/>
  <c r="C6" i="176"/>
  <c r="C6" i="179"/>
  <c r="C8" i="179" s="1"/>
  <c r="C6" i="185"/>
  <c r="C8" i="18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16" i="184" l="1"/>
  <c r="C6" i="184" s="1"/>
  <c r="C8" i="180"/>
  <c r="C8" i="186"/>
  <c r="C8" i="173"/>
  <c r="C8" i="176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C16" i="185"/>
  <c r="O11" i="185" s="1"/>
  <c r="C8" i="193"/>
  <c r="C8" i="178"/>
  <c r="C8" i="198"/>
  <c r="C8" i="185"/>
  <c r="C8" i="170"/>
  <c r="C8" i="177"/>
  <c r="C8" i="182"/>
  <c r="C16" i="198"/>
  <c r="O11" i="198" s="1"/>
  <c r="C16" i="199"/>
  <c r="C16" i="192"/>
  <c r="C16" i="197"/>
  <c r="C16" i="194"/>
  <c r="C16" i="195"/>
  <c r="C16" i="193"/>
  <c r="O11" i="193" s="1"/>
  <c r="C16" i="191"/>
  <c r="C16" i="190"/>
  <c r="C16" i="187"/>
  <c r="C16" i="186"/>
  <c r="O11" i="186" s="1"/>
  <c r="O11" i="184"/>
  <c r="C8" i="184"/>
  <c r="C16" i="179"/>
  <c r="O11" i="179" s="1"/>
  <c r="C16" i="181"/>
  <c r="C16" i="183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4"/>
  <c r="C6" i="194"/>
  <c r="C8" i="194" s="1"/>
  <c r="O11" i="188"/>
  <c r="C6" i="188"/>
  <c r="C8" i="188" s="1"/>
  <c r="O11" i="191"/>
  <c r="C6" i="191"/>
  <c r="C8" i="191" s="1"/>
  <c r="O11" i="190"/>
  <c r="C6" i="190"/>
  <c r="C8" i="190" s="1"/>
  <c r="O11" i="181"/>
  <c r="C6" i="181"/>
  <c r="C8" i="181" s="1"/>
  <c r="O11" i="187"/>
  <c r="C6" i="187"/>
  <c r="C8" i="187" s="1"/>
  <c r="O11" i="195"/>
  <c r="C6" i="195"/>
  <c r="C8" i="195" s="1"/>
  <c r="O11" i="183"/>
  <c r="C6" i="183"/>
  <c r="B14" i="200"/>
  <c r="C16" i="103"/>
  <c r="R40" i="103"/>
  <c r="O11" i="103" l="1"/>
  <c r="C6" i="103"/>
  <c r="C8" i="103" s="1"/>
  <c r="B4" i="200"/>
  <c r="B6" i="200" s="1"/>
  <c r="C8" i="183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<sst xmlns="http://schemas.openxmlformats.org/spreadsheetml/2006/main" count="2348" uniqueCount="328">
  <si>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</si>
  <si>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</si>
  <si>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</si>
  <si>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</si>
  <si>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</si>
  <si>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</si>
  <si>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</si>
  <si>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</si>
  <si>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WEVILLY</t>
  </si>
  <si>
    <t>Entr_Desp</t>
  </si>
  <si>
    <t>BETH</t>
  </si>
  <si>
    <t>ARIANI</t>
  </si>
  <si>
    <t>Tipos de Pagtos</t>
  </si>
  <si>
    <t>ROSÂNGELA</t>
  </si>
  <si>
    <t>DN</t>
  </si>
  <si>
    <t>TATY</t>
  </si>
  <si>
    <t>CTD</t>
  </si>
  <si>
    <t>LARISSA</t>
  </si>
  <si>
    <t>CTC</t>
  </si>
  <si>
    <t>ERIKA</t>
  </si>
  <si>
    <t>PCTC</t>
  </si>
  <si>
    <t>LUANA</t>
  </si>
  <si>
    <t>PIX</t>
  </si>
  <si>
    <t>FELIPE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</si>
  <si>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</si>
  <si>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</si>
  <si>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</si>
  <si>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</si>
  <si>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</si>
  <si>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</si>
  <si>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</si>
  <si>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</si>
  <si>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</si>
  <si>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</si>
  <si>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joao alves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</si>
  <si>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</si>
  <si>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</si>
  <si>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</si>
  <si>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</si>
  <si>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</si>
  <si>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</si>
  <si>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</si>
  <si>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</si>
  <si>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maria clara</t>
  </si>
  <si>
    <t>Recebimento de Carnê</t>
  </si>
  <si>
    <t>Valor Parcela</t>
  </si>
  <si>
    <t>Nº Parcela</t>
  </si>
  <si>
    <t>Parcelas</t>
  </si>
  <si>
    <t>Valor Total</t>
  </si>
  <si>
    <t>marinalva beserra</t>
  </si>
  <si>
    <t>PARC. 7/7</t>
  </si>
  <si>
    <t xml:space="preserve">sueli ribeiro </t>
  </si>
  <si>
    <t>PARC. 1/6</t>
  </si>
  <si>
    <t xml:space="preserve">fernando joao </t>
  </si>
  <si>
    <t>PARC. 3/7</t>
  </si>
  <si>
    <t>Total de OS</t>
  </si>
  <si>
    <t>Fechamento Diário do Caixa</t>
  </si>
  <si>
    <t>Coluna1</t>
  </si>
  <si>
    <t xml:space="preserve">MARIA SANDRA </t>
  </si>
  <si>
    <t xml:space="preserve">MILHO DE PIPOCA </t>
  </si>
  <si>
    <t xml:space="preserve">QUITERIA MARIA </t>
  </si>
  <si>
    <t xml:space="preserve">MONTAGEM </t>
  </si>
  <si>
    <t>NEUZALINA VIEIRA</t>
  </si>
  <si>
    <t>LEANDRO BELMONTE</t>
  </si>
  <si>
    <t xml:space="preserve">CARLA DE SOUZA </t>
  </si>
  <si>
    <t>Sim</t>
  </si>
  <si>
    <t xml:space="preserve"> V</t>
  </si>
  <si>
    <t>MARIANA ROSA</t>
  </si>
  <si>
    <t>PARC. 6/6</t>
  </si>
  <si>
    <t>roberto donizete</t>
  </si>
  <si>
    <t>maria celia</t>
  </si>
  <si>
    <t>pricila alexandre</t>
  </si>
  <si>
    <t>raquel fuga</t>
  </si>
  <si>
    <t>edna regina</t>
  </si>
  <si>
    <t>sidney nilson</t>
  </si>
  <si>
    <t>solange</t>
  </si>
  <si>
    <t>elisangela alves</t>
  </si>
  <si>
    <t>jaqueline dos santos</t>
  </si>
  <si>
    <t>PARC. 3/6</t>
  </si>
  <si>
    <t>carlos de abreu</t>
  </si>
  <si>
    <t>carmen lucia</t>
  </si>
  <si>
    <t>andreia de oliveira</t>
  </si>
  <si>
    <t>GARANTIA</t>
  </si>
  <si>
    <t>não</t>
  </si>
  <si>
    <t xml:space="preserve">diego perez </t>
  </si>
  <si>
    <t xml:space="preserve">santina aparecida </t>
  </si>
  <si>
    <t>condução</t>
  </si>
  <si>
    <t>condução keth</t>
  </si>
  <si>
    <t xml:space="preserve">ruvaldo caetano </t>
  </si>
  <si>
    <t xml:space="preserve">thiago de santana </t>
  </si>
  <si>
    <t>maria das neves</t>
  </si>
  <si>
    <t>maria antonia da silva</t>
  </si>
  <si>
    <t xml:space="preserve">rosileide batista </t>
  </si>
  <si>
    <t xml:space="preserve">carmen lucia </t>
  </si>
  <si>
    <t>rodrigo bispo</t>
  </si>
  <si>
    <t xml:space="preserve">maria sandra </t>
  </si>
  <si>
    <t xml:space="preserve">ZULEIDE MARIA </t>
  </si>
  <si>
    <t>PARC. 2/3</t>
  </si>
  <si>
    <t xml:space="preserve">ana lucia </t>
  </si>
  <si>
    <t>PARC. 1/8</t>
  </si>
  <si>
    <t xml:space="preserve">julcimara aparecida </t>
  </si>
  <si>
    <t>PARC. 4/6</t>
  </si>
  <si>
    <t>PARC. 5/6</t>
  </si>
  <si>
    <t>magno figueiredo</t>
  </si>
  <si>
    <t>kawany chaves de melo</t>
  </si>
  <si>
    <t>PARC. 3/3</t>
  </si>
  <si>
    <t xml:space="preserve">silas diego </t>
  </si>
  <si>
    <t>PARC. 6/8</t>
  </si>
  <si>
    <t>adriana aparecida</t>
  </si>
  <si>
    <t>PARC. 1/5</t>
  </si>
  <si>
    <t>leni souza</t>
  </si>
  <si>
    <t xml:space="preserve">roberto morais </t>
  </si>
  <si>
    <t>ricardo campani</t>
  </si>
  <si>
    <t xml:space="preserve">kauã martins dos santos </t>
  </si>
  <si>
    <t xml:space="preserve">quiteria maria </t>
  </si>
  <si>
    <t xml:space="preserve">andreza souza </t>
  </si>
  <si>
    <t>PARC. 1/1</t>
  </si>
  <si>
    <t>PARC. 2/8</t>
  </si>
  <si>
    <t xml:space="preserve">carmelina da conceição </t>
  </si>
  <si>
    <t>PARC. 4/8</t>
  </si>
  <si>
    <t>JACKSON RABELO DAMA</t>
  </si>
  <si>
    <t>JONATHAN MOREIRA</t>
  </si>
  <si>
    <t>SERAFIM LIMA</t>
  </si>
  <si>
    <t xml:space="preserve"> RONIELIA DA SILVA</t>
  </si>
  <si>
    <t>cicero ferreira</t>
  </si>
  <si>
    <t>PARC. 2/6</t>
  </si>
  <si>
    <t>gilmar lopes</t>
  </si>
  <si>
    <t>vitoria nhoque</t>
  </si>
  <si>
    <t>PARC. 3/8</t>
  </si>
  <si>
    <t>henrique lima</t>
  </si>
  <si>
    <t>JAIR LOURENCO</t>
  </si>
  <si>
    <t>ROGERIO ALVES</t>
  </si>
  <si>
    <t>ANTONIO BEZERRA</t>
  </si>
  <si>
    <t>SIDNEI ROQUE</t>
  </si>
  <si>
    <t xml:space="preserve">ALEX SANDRA </t>
  </si>
  <si>
    <t>CARLA ARIANE</t>
  </si>
  <si>
    <t>SS</t>
  </si>
  <si>
    <t>LIDIA MARIA</t>
  </si>
  <si>
    <t>ELADIO JULIO</t>
  </si>
  <si>
    <t>THAIS HELENA</t>
  </si>
  <si>
    <t>MARIA NEUZA</t>
  </si>
  <si>
    <t>PARC. 3/5</t>
  </si>
  <si>
    <t xml:space="preserve"> </t>
  </si>
  <si>
    <t>MARIA CELIA</t>
  </si>
  <si>
    <t>VITOR SOARES</t>
  </si>
  <si>
    <t>FRANCINE MARCONDES</t>
  </si>
  <si>
    <t>ADELAIDE MARIA</t>
  </si>
  <si>
    <t>PARC. 1/4</t>
  </si>
  <si>
    <t>PARC. 2/4</t>
  </si>
  <si>
    <t>RONIVALDO PEREIRA</t>
  </si>
  <si>
    <t>ELIEL DUARTE</t>
  </si>
  <si>
    <t>PATRICIA PAULINO</t>
  </si>
  <si>
    <t>marcos rogerio</t>
  </si>
  <si>
    <t>fatima aparecida</t>
  </si>
  <si>
    <t>marilu candida</t>
  </si>
  <si>
    <t>darci alves</t>
  </si>
  <si>
    <t>carlinhos ferreira</t>
  </si>
  <si>
    <t>geogia nazare</t>
  </si>
  <si>
    <t>luiz carlos</t>
  </si>
  <si>
    <t>PARC. 1/3</t>
  </si>
  <si>
    <t>rozileide brito</t>
  </si>
  <si>
    <t>erica tamires</t>
  </si>
  <si>
    <t>quiteria bezerra</t>
  </si>
  <si>
    <t>juan nilson</t>
  </si>
  <si>
    <t>antonio marim</t>
  </si>
  <si>
    <t>PARC. 1/7</t>
  </si>
  <si>
    <t>PARC. 2/7</t>
  </si>
  <si>
    <t xml:space="preserve">LINDALVA FERREIRA </t>
  </si>
  <si>
    <t>MARCOS SILVA</t>
  </si>
  <si>
    <t>ERICA DA SILVA</t>
  </si>
  <si>
    <t>rosana glesia</t>
  </si>
  <si>
    <t>LUCIA SOARES</t>
  </si>
  <si>
    <t>GERUSA PEREIRA</t>
  </si>
  <si>
    <t>FABIO TOSHIO</t>
  </si>
  <si>
    <t>EUNILDA CANDIDA</t>
  </si>
  <si>
    <t>MICHELE VITAL</t>
  </si>
  <si>
    <t>DIVA DE OLIVEIRA</t>
  </si>
  <si>
    <t>ALINE B. DE MELO</t>
  </si>
  <si>
    <t>JOSE ARAUJO</t>
  </si>
  <si>
    <t>FABIANA DE SOUZA</t>
  </si>
  <si>
    <t>PARC. 6/7</t>
  </si>
  <si>
    <t>APARECIDA ROSENDO</t>
  </si>
  <si>
    <t>LUCIANO PAIANI</t>
  </si>
  <si>
    <t>EDVANIA CARVALHO</t>
  </si>
  <si>
    <t>ROSIMARY</t>
  </si>
  <si>
    <t>SILAS RODRIGUES</t>
  </si>
  <si>
    <t xml:space="preserve">NELSON BISPO </t>
  </si>
  <si>
    <t>CRISLAINE SANTANA</t>
  </si>
  <si>
    <t>CIBELE CRISTINA</t>
  </si>
  <si>
    <t>PEDRO ALVES</t>
  </si>
  <si>
    <t>DANIEL AMORIM</t>
  </si>
  <si>
    <t>RAQUEL FUGA</t>
  </si>
  <si>
    <t>WESLEY DA SILVA</t>
  </si>
  <si>
    <t>GISLENE ELOISA</t>
  </si>
  <si>
    <t>WESLEY DA SOLVA</t>
  </si>
  <si>
    <t>PARC. 2/5</t>
  </si>
  <si>
    <t>VIVIAN DANTAS</t>
  </si>
  <si>
    <t>PETERSON PEREIRA</t>
  </si>
  <si>
    <t>MARIA ALVES</t>
  </si>
  <si>
    <t>ROSANGELA DOS SANTOS</t>
  </si>
  <si>
    <t>JAQUELINE SANTOS</t>
  </si>
  <si>
    <t>MARIA  SANDRA</t>
  </si>
  <si>
    <t>ULISSES ROBERTO</t>
  </si>
  <si>
    <t>terezinha goncalves</t>
  </si>
  <si>
    <t>jessica marques</t>
  </si>
  <si>
    <t>maria antonia</t>
  </si>
  <si>
    <t xml:space="preserve">bruna  do santas </t>
  </si>
  <si>
    <t>vagner nunes</t>
  </si>
  <si>
    <t>maria ivani</t>
  </si>
  <si>
    <t xml:space="preserve">VITOR </t>
  </si>
  <si>
    <t>MICAELE</t>
  </si>
  <si>
    <t>ANA BEATRIZ</t>
  </si>
  <si>
    <t xml:space="preserve">ANA BEATRIZ </t>
  </si>
  <si>
    <t>LUIZ</t>
  </si>
  <si>
    <t xml:space="preserve">CLEIDE </t>
  </si>
  <si>
    <t>JULIA</t>
  </si>
  <si>
    <t>LUIZ CARLOS</t>
  </si>
  <si>
    <t>ana paula</t>
  </si>
  <si>
    <t>aline roseli</t>
  </si>
  <si>
    <t>julia almeida</t>
  </si>
  <si>
    <t>marinalva bezerra</t>
  </si>
  <si>
    <t>PARC. 4/7</t>
  </si>
  <si>
    <t>pedro pinheiro</t>
  </si>
  <si>
    <t>marilza franquelino</t>
  </si>
  <si>
    <t>lindinalva ferreira</t>
  </si>
  <si>
    <t>vera lucia pires</t>
  </si>
  <si>
    <t>Queren santos</t>
  </si>
  <si>
    <t>JOILSON VICENTE</t>
  </si>
  <si>
    <t>TATIANA GOMES</t>
  </si>
  <si>
    <t>SANDRA MARIA</t>
  </si>
  <si>
    <t>GABRIEL GUSTAVO</t>
  </si>
  <si>
    <t>EDNA REGINA</t>
  </si>
  <si>
    <t>RONIELIA DA SILVA</t>
  </si>
  <si>
    <t>CAMILA ANDRADE</t>
  </si>
  <si>
    <t>SILVA PECEGUEIRO</t>
  </si>
  <si>
    <t>IVAN ALVES</t>
  </si>
  <si>
    <t>SANTINA JOSEFA</t>
  </si>
  <si>
    <t>SAMUEL DE MELO</t>
  </si>
  <si>
    <t>PARC. 6/9</t>
  </si>
  <si>
    <t>nagla adna</t>
  </si>
  <si>
    <t>erika gomes</t>
  </si>
  <si>
    <t>amanda</t>
  </si>
  <si>
    <t>ednalva</t>
  </si>
  <si>
    <t>andressa souza</t>
  </si>
  <si>
    <t>quiteria</t>
  </si>
  <si>
    <t>wesley da silva</t>
  </si>
  <si>
    <t xml:space="preserve">maria de araujo </t>
  </si>
  <si>
    <t>wesley</t>
  </si>
  <si>
    <t>PARC. 3/4</t>
  </si>
  <si>
    <t>arildson ribeiro</t>
  </si>
  <si>
    <t>PARC. 2/10</t>
  </si>
  <si>
    <t>deisyane</t>
  </si>
  <si>
    <t>NATALICIO ISIDIO</t>
  </si>
  <si>
    <t>AMANDA DOS SANTOS</t>
  </si>
  <si>
    <t xml:space="preserve">ANA PAULA </t>
  </si>
  <si>
    <t>JONATHAS MORENO</t>
  </si>
  <si>
    <t>CUSTODIA MAGALI</t>
  </si>
  <si>
    <t>RICARDO HENRIQUE</t>
  </si>
  <si>
    <t>ROGERIO LUZ</t>
  </si>
  <si>
    <t xml:space="preserve">LEONILDA SIQUEIRA </t>
  </si>
  <si>
    <t xml:space="preserve">DEISE CRISTINA </t>
  </si>
  <si>
    <t xml:space="preserve">        </t>
  </si>
  <si>
    <t>ROSINETE TAVARES</t>
  </si>
  <si>
    <t xml:space="preserve">JULIO CESAR </t>
  </si>
  <si>
    <t>OSs Mauá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</si>
  <si>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</si>
  <si>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</si>
  <si>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</si>
  <si>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</si>
  <si>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</si>
  <si>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</si>
  <si>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</si>
  <si>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</si>
  <si>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</si>
  <si>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Sem Sinal</t>
  </si>
  <si>
    <t xml:space="preserve">Carne </t>
  </si>
  <si>
    <t>Todas as Garantias</t>
  </si>
  <si>
    <t>PARC. 4/4</t>
  </si>
  <si>
    <t>PARC. 4/5</t>
  </si>
  <si>
    <t>PARC. 5/5</t>
  </si>
  <si>
    <t>PARC. 5/7</t>
  </si>
  <si>
    <t>PARC. 5/8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</si>
  <si>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</si>
  <si>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</si>
  <si>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</si>
  <si>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</si>
  <si>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</si>
  <si>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</si>
  <si>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</si>
  <si>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7/9</t>
  </si>
  <si>
    <t>PARC. 8/9</t>
  </si>
  <si>
    <t>PARC. 9/9</t>
  </si>
  <si>
    <t>PARC. 1/10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</si>
  <si>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</si>
  <si>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</si>
  <si>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</si>
  <si>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</si>
  <si>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</si>
  <si>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</si>
  <si>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</si>
  <si>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</si>
  <si>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</si>
  <si>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</si>
  <si>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</si>
  <si>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</si>
  <si>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</si>
  <si>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</si>
  <si>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</si>
  <si>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</si>
  <si>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</si>
  <si>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</si>
  <si>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</si>
  <si>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</si>
  <si>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</si>
  <si>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</si>
  <si>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</si>
  <si>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</si>
  <si>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</si>
  <si>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</si>
  <si>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</si>
  <si>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</si>
  <si>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</si>
  <si>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</si>
  <si>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</si>
  <si>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CANCELADO</t>
  </si>
  <si>
    <t>ANDRE LUIS DE ALMEIDA DINIZ</t>
  </si>
  <si>
    <t>Joana Maria de Campos</t>
  </si>
  <si>
    <t>SUELI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</si>
</sst>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7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0" fillId="5" borderId="0" xfId="2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166" fontId="37" fillId="0" borderId="17" xfId="2" applyFont="1" applyFill="1" applyBorder="1" applyAlignment="1">
      <alignment horizontal="center"/>
    </xf>
    <xf numFmtId="167" fontId="0" fillId="0" borderId="0" xfId="4" applyNumberFormat="1" applyFont="1" applyAlignment="1">
      <alignment horizontal="center"/>
    </xf>
    <xf numFmtId="166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7" fontId="5" fillId="0" borderId="13" xfId="4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6" fontId="24" fillId="0" borderId="13" xfId="2" applyFont="1" applyFill="1" applyBorder="1" applyAlignment="1">
      <alignment horizontal="center"/>
    </xf>
    <xf numFmtId="166" fontId="13" fillId="0" borderId="13" xfId="2" applyFont="1" applyFill="1" applyBorder="1" applyAlignment="1">
      <alignment horizontal="center"/>
    </xf>
    <xf numFmtId="1" fontId="30" fillId="0" borderId="13" xfId="2" applyNumberFormat="1" applyFont="1" applyFill="1" applyBorder="1" applyAlignment="1">
      <alignment horizontal="center"/>
    </xf>
    <xf numFmtId="166" fontId="24" fillId="0" borderId="3" xfId="2" applyFont="1" applyFill="1" applyBorder="1" applyAlignment="1">
      <alignment horizontal="center"/>
    </xf>
    <xf numFmtId="166" fontId="30" fillId="0" borderId="3" xfId="2" applyFont="1" applyFill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6" fontId="44" fillId="0" borderId="17" xfId="2" applyFont="1" applyFill="1" applyBorder="1" applyAlignment="1">
      <alignment horizontal="center"/>
    </xf>
    <xf numFmtId="167" fontId="44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39" headerRowBorderDxfId="1638" tableBorderDxfId="1637" totalsRowBorderDxfId="1636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5" dataCellStyle="Moeda"/>
    <tableColumn id="5" xr3:uid="{45BECD08-8ABE-4A34-BD78-E2D3AFB8C62A}" name="Cliente" dataDxfId="1634" dataCellStyle="Moeda"/>
    <tableColumn id="2" xr3:uid="{A0D6666C-9CF7-4343-AF6B-BDFE62F94469}" name="Forma de Pgto" dataDxfId="1633" dataCellStyle="Moeda"/>
    <tableColumn id="3" xr3:uid="{988F127F-9D83-4428-BB94-C16FBBB1BD89}" name="Valor Venda" dataDxfId="1632" dataCellStyle="Porcentagem"/>
    <tableColumn id="4" xr3:uid="{6A2928C3-17B0-4FA3-B60C-9E1A2C0324E1}" name="Entrada" dataDxfId="1631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0" dataDxfId="1628" headerRowBorderDxfId="1629" tableBorderDxfId="1627" totalsRowBorderDxfId="1626">
  <autoFilter ref="K5:M11" xr:uid="{DD403130-B35C-452C-92F9-290622D77A3D}"/>
  <tableColumns count="3">
    <tableColumn id="1" xr3:uid="{FAD87634-3375-4B41-BEC0-5B072F6B52CE}" name="Descrição" dataDxfId="1625"/>
    <tableColumn id="2" xr3:uid="{7688071E-9548-4552-8BB1-3BA5128DF645}" name="Tipo de Pagto" dataDxfId="1624"/>
    <tableColumn id="3" xr3:uid="{2B260C33-79A5-4C5D-9195-15780C53A861}" name="Valor" dataDxfId="16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2" headerRowBorderDxfId="1621" tableBorderDxfId="1620" totalsRowBorderDxfId="1619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8"/>
    <tableColumn id="2" xr3:uid="{606BE417-6802-4580-90D2-86F95EFAAEB7}" name="Cliente" dataDxfId="1617"/>
    <tableColumn id="3" xr3:uid="{2F522A54-F708-4DA3-97E3-CE7C29912E04}" name="Forma de Pgto" dataDxfId="1616" dataCellStyle="Moeda"/>
    <tableColumn id="4" xr3:uid="{7B46EE64-F7F1-4449-A783-67286A94A7C4}" name="Valor Venda" dataDxfId="1615" dataCellStyle="Porcentagem"/>
    <tableColumn id="5" xr3:uid="{389A7D1A-3C35-485E-9958-8A78EF77BE9B}" name="Entrada" dataDxfId="1614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3" headerRowBorderDxfId="1612" tableBorderDxfId="1611" totalsRowBorderDxfId="1610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09"/>
    <tableColumn id="2" xr3:uid="{55DCC30E-EB52-427E-A16A-B2C93A41F1CE}" name="Vendedor" dataDxfId="1608"/>
    <tableColumn id="3" xr3:uid="{23EDA46C-42B4-4F6C-97D9-7040D6B9797C}" name="CARNE" dataDxfId="160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6" headerRowBorderDxfId="1605" tableBorderDxfId="1604" totalsRowBorderDxfId="1603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2"/>
    <tableColumn id="2" xr3:uid="{FBA6EA78-F44B-4D22-A27A-92A91C10551F}" name="Cliente" dataDxfId="1601"/>
    <tableColumn id="3" xr3:uid="{749B4D89-29B3-4987-91D3-6BA3C44D9B96}" name="Forma de Pgto" dataDxfId="1600" dataCellStyle="Moeda"/>
    <tableColumn id="4" xr3:uid="{A84A6598-B291-4809-A78D-AB810461733D}" name="Valor Parcela" dataDxfId="1599" dataCellStyle="Porcentagem"/>
    <tableColumn id="5" xr3:uid="{3C45FEEC-5E06-4ED7-87CD-0097DB6BC817}" name="Nº Parcela" dataDxfId="1598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7" headerRowBorderDxfId="1596" tableBorderDxfId="1595" totalsRowBorderDxfId="1594">
  <autoFilter ref="K34:M41" xr:uid="{42BA126A-AECD-4CD6-8583-BD2352D82FB9}"/>
  <tableColumns count="3">
    <tableColumn id="1" xr3:uid="{0989D88A-7CB7-4008-94FC-B7FFB3CAE582}" name="OS" dataDxfId="1593"/>
    <tableColumn id="2" xr3:uid="{AC9D76CC-A537-4210-9893-E8C57DA30B4D}" name="Parcelas" dataDxfId="1592"/>
    <tableColumn id="3" xr3:uid="{D4D72E6E-DAE0-4860-8606-BFD8E469AE3D}" name="Valor Total" dataDxfId="159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0" dataDxfId="1588" headerRowBorderDxfId="1589" tableBorderDxfId="1587" totalsRowBorderDxfId="15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5" dataCellStyle="Moeda"/>
    <tableColumn id="5" xr3:uid="{62DCD49D-7CD9-4268-A2D5-B3A594E461BB}" name="Coluna1" dataDxfId="1584" dataCellStyle="Moeda"/>
    <tableColumn id="2" xr3:uid="{50D45495-B1A2-4885-996A-3E6DD92E280E}" name="Forma de Pgto" dataDxfId="1583" dataCellStyle="Moeda"/>
    <tableColumn id="3" xr3:uid="{DE57E226-692B-42B0-911E-ACCF59BC6D86}" name="Valor Venda" dataDxfId="1582" dataCellStyle="Porcentagem"/>
    <tableColumn id="4" xr3:uid="{CE230B3B-D2C9-4A92-A5F3-A5EE4A74409A}" name="Entrada" dataDxfId="1581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0" dataDxfId="1578" headerRowBorderDxfId="1579" tableBorderDxfId="1577" totalsRowBorderDxfId="1576">
  <autoFilter ref="K5:M11" xr:uid="{00000000-0009-0000-0100-000015000000}"/>
  <tableColumns count="3">
    <tableColumn id="1" xr3:uid="{58E2E66D-9AC0-4A69-BF19-1AB9AD59BA2F}" name="Descrição" dataDxfId="1575"/>
    <tableColumn id="2" xr3:uid="{FE1E3124-46C3-49A6-AE83-7C14B341DF59}" name="Tipo de Pagto" dataDxfId="1574"/>
    <tableColumn id="3" xr3:uid="{D8FBF474-04EE-46ED-9B9E-791D937CF715}" name="Valor" dataDxfId="15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2" dataDxfId="1570" headerRowBorderDxfId="1571" tableBorderDxfId="1569" totalsRowBorderDxfId="15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7"/>
    <tableColumn id="2" xr3:uid="{595EF087-A3B2-4C2B-AEEA-F930A6C2F5F4}" name="Cliente" dataDxfId="1566"/>
    <tableColumn id="3" xr3:uid="{C5C2BC75-6E8D-4808-A5EE-A5F9251ECE6C}" name="Forma de Pgto" dataDxfId="1565" dataCellStyle="Moeda"/>
    <tableColumn id="4" xr3:uid="{20CF776B-B9F4-48DD-9379-961689B40B71}" name="Valor Venda" dataDxfId="1564" dataCellStyle="Porcentagem"/>
    <tableColumn id="5" xr3:uid="{65177CB6-6D07-42E6-8EFE-435282A2F5BA}" name="Entrada" dataDxfId="1563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2" dataDxfId="1560" headerRowBorderDxfId="1561" tableBorderDxfId="1559" totalsRowBorderDxfId="15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7"/>
    <tableColumn id="2" xr3:uid="{D1AEFC99-FF9D-4A0D-BE93-D866BDC7A817}" name="Vendedor" dataDxfId="1556"/>
    <tableColumn id="3" xr3:uid="{CA30546E-8A3F-45D5-BE2B-24DCF738F1F2}" name="CARNE" dataDxfId="15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4" dataDxfId="1552" headerRowBorderDxfId="1553" tableBorderDxfId="1551" totalsRowBorderDxfId="15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9"/>
    <tableColumn id="2" xr3:uid="{7D38F106-0145-4B73-951B-86BF22EC7FAB}" name="Cliente" dataDxfId="1548"/>
    <tableColumn id="3" xr3:uid="{11A4EEBE-D35C-4719-B2B9-16486260EF79}" name="Forma de Pgto" dataDxfId="1547" dataCellStyle="Moeda"/>
    <tableColumn id="4" xr3:uid="{1BAB2FC5-9F2C-41DD-994A-6BA83A984883}" name="Valor Parcela" dataDxfId="1546" dataCellStyle="Porcentagem"/>
    <tableColumn id="5" xr3:uid="{8C539F89-5F96-4DB9-B7A4-784EA1B5350C}" name="Nº Parcela" dataDxfId="1545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4" headerRowBorderDxfId="1543" tableBorderDxfId="1542" totalsRowBorderDxfId="1541">
  <autoFilter ref="K34:M41" xr:uid="{1B8643D4-6AC3-4029-882A-C62E9D7CB225}"/>
  <tableColumns count="3">
    <tableColumn id="1" xr3:uid="{0B93901B-D681-410F-8B28-E186D9A3CAC3}" name="OS" dataDxfId="1540"/>
    <tableColumn id="2" xr3:uid="{A57C0E02-6258-48F0-9407-2095CD96B2D4}" name="Parcelas" dataDxfId="1539"/>
    <tableColumn id="3" xr3:uid="{1EA087CF-658D-4951-89BB-508667E3BBBE}" name="Valor Total" dataDxfId="15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7" dataDxfId="1535" headerRowBorderDxfId="1536" tableBorderDxfId="1534" totalsRowBorderDxfId="15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2" dataCellStyle="Moeda"/>
    <tableColumn id="5" xr3:uid="{98DC42E5-632F-4288-9CC5-1F032859A7E7}" name="Cliente" dataDxfId="1531" dataCellStyle="Moeda"/>
    <tableColumn id="2" xr3:uid="{4AE32B81-9EBD-470B-9ABE-A82D6658F3FE}" name="Forma de Pgto" dataDxfId="1530" dataCellStyle="Moeda"/>
    <tableColumn id="3" xr3:uid="{6E5BAEC1-2689-4ABB-93EC-298595B5C82E}" name="Valor Venda" dataDxfId="1529" dataCellStyle="Porcentagem"/>
    <tableColumn id="4" xr3:uid="{24493E7B-FE77-4A85-8810-0F0A4A84D997}" name="Entrada" dataDxfId="152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7" dataDxfId="1525" headerRowBorderDxfId="1526" tableBorderDxfId="1524" totalsRowBorderDxfId="1523">
  <autoFilter ref="K5:M11" xr:uid="{00000000-0009-0000-0100-000015000000}"/>
  <tableColumns count="3">
    <tableColumn id="1" xr3:uid="{DA50BBFB-ECA9-45DE-9949-F3F90EEC3BA7}" name="Descrição" dataDxfId="1522"/>
    <tableColumn id="2" xr3:uid="{A64D4F88-B62D-440B-BA71-6D7BB28D542E}" name="Tipo de Pagto" dataDxfId="1521"/>
    <tableColumn id="3" xr3:uid="{0406A209-0652-47F9-9AB4-3256B26876D2}" name="Valor" dataDxfId="15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9" dataDxfId="1517" headerRowBorderDxfId="1518" tableBorderDxfId="1516" totalsRowBorderDxfId="15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4"/>
    <tableColumn id="2" xr3:uid="{8B8D24E4-1123-478B-838C-FCF56EABBDFD}" name="Cliente" dataDxfId="1513"/>
    <tableColumn id="3" xr3:uid="{8B7DE8DF-8D5D-4245-A63D-EF550AE347E3}" name="Forma de Pgto" dataDxfId="1512" dataCellStyle="Moeda"/>
    <tableColumn id="4" xr3:uid="{95A77C0C-49D0-45A2-8B99-A765C4741CE7}" name="Valor Venda" dataDxfId="1511" dataCellStyle="Porcentagem"/>
    <tableColumn id="5" xr3:uid="{FF4FDD32-DA70-4723-A8FB-07B3FB04B5CD}" name="Entrada" dataDxfId="151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9" dataDxfId="1507" headerRowBorderDxfId="1508" tableBorderDxfId="1506" totalsRowBorderDxfId="1505">
  <autoFilter ref="K14:M31" xr:uid="{C83FE64B-E221-4DAA-89EA-5307A7BC98B3}"/>
  <tableColumns count="3">
    <tableColumn id="1" xr3:uid="{A31E67F7-E266-4220-8D3F-09556FCE20B1}" name="OS" dataDxfId="1504"/>
    <tableColumn id="2" xr3:uid="{2ED39269-8DA5-4157-9E82-8C8ED0C828A3}" name="Vendedor" dataDxfId="1503"/>
    <tableColumn id="3" xr3:uid="{F550B35D-6F70-4E2E-9037-3A7DF5BB4D86}" name="CARNE" dataDxfId="150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1" dataDxfId="1499" headerRowBorderDxfId="1500" tableBorderDxfId="1498" totalsRowBorderDxfId="14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6"/>
    <tableColumn id="2" xr3:uid="{58D563AD-1DCA-4768-9170-A0079A20A1DF}" name="Cliente" dataDxfId="1495"/>
    <tableColumn id="3" xr3:uid="{FE883FCE-942C-4DE5-904D-B12FE6C4992D}" name="Forma de Pgto" dataDxfId="1494" dataCellStyle="Moeda"/>
    <tableColumn id="4" xr3:uid="{21451B08-4DF0-4C35-AC45-94C183AA6A59}" name="Valor Parcela" dataDxfId="1493" dataCellStyle="Porcentagem"/>
    <tableColumn id="5" xr3:uid="{8F93C3AE-47D0-4E55-A038-445341804CE9}" name="Nº Parcela" dataDxfId="149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1" headerRowBorderDxfId="1490" tableBorderDxfId="1489" totalsRowBorderDxfId="1488">
  <autoFilter ref="K34:M41" xr:uid="{1B8643D4-6AC3-4029-882A-C62E9D7CB225}"/>
  <tableColumns count="3">
    <tableColumn id="1" xr3:uid="{2687574F-C0F9-4AD1-A54B-286C1AE50D97}" name="OS" dataDxfId="1487"/>
    <tableColumn id="2" xr3:uid="{AE623FF4-38C1-45D9-B220-1CD4A553B7C1}" name="Parcelas" dataDxfId="1486"/>
    <tableColumn id="3" xr3:uid="{EEBFC521-3084-43FF-A36B-C25CE198B817}" name="Valor Total" dataDxfId="148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4" dataDxfId="1482" headerRowBorderDxfId="1483" tableBorderDxfId="1481" totalsRowBorderDxfId="14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9" dataCellStyle="Moeda"/>
    <tableColumn id="5" xr3:uid="{F5DA840E-A051-4AE4-AE1A-9DAFAF8FFC3B}" name="Cliente" dataDxfId="1478" dataCellStyle="Moeda"/>
    <tableColumn id="2" xr3:uid="{DF65CD3D-444A-4025-B98B-F38F11610432}" name="Forma de Pgto" dataDxfId="1477" dataCellStyle="Moeda"/>
    <tableColumn id="3" xr3:uid="{9A4839DC-9153-466A-B0AF-456FAEF79174}" name="Valor Venda" dataDxfId="1476" dataCellStyle="Porcentagem"/>
    <tableColumn id="4" xr3:uid="{EF410A7C-DBD1-4367-A43B-616826FFEB4F}" name="Entrada" dataDxfId="1475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4" dataDxfId="1472" headerRowBorderDxfId="1473" tableBorderDxfId="1471" totalsRowBorderDxfId="1470">
  <autoFilter ref="K5:M11" xr:uid="{00000000-0009-0000-0100-000015000000}"/>
  <tableColumns count="3">
    <tableColumn id="1" xr3:uid="{F1C90853-2F5A-4C32-8AC3-18ECE1FDDF43}" name="Descrição" dataDxfId="1469"/>
    <tableColumn id="2" xr3:uid="{DEB32F17-2D52-4FBB-90C4-1C3AE9C104E6}" name="Tipo de Pagto" dataDxfId="1468"/>
    <tableColumn id="3" xr3:uid="{089B3650-C090-496F-BF9A-6E8466DBF76A}" name="Valor" dataDxfId="146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6" dataDxfId="1464" headerRowBorderDxfId="1465" tableBorderDxfId="1463" totalsRowBorderDxfId="14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1"/>
    <tableColumn id="2" xr3:uid="{73AEC7DD-005C-4428-9D1D-1A3761F2192B}" name="Cliente" dataDxfId="1460"/>
    <tableColumn id="3" xr3:uid="{FA28017F-3137-49BD-B826-2E261901E543}" name="Forma de Pgto" dataDxfId="1459" dataCellStyle="Moeda"/>
    <tableColumn id="4" xr3:uid="{6030418B-B1EC-4D4D-96DF-0EB78B87F6F9}" name="Valor Venda" dataDxfId="1458" dataCellStyle="Porcentagem"/>
    <tableColumn id="5" xr3:uid="{0576A975-F40D-4463-85C0-76AB6FCD63AC}" name="Entrada" dataDxfId="1457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6" dataDxfId="1454" headerRowBorderDxfId="1455" tableBorderDxfId="1453" totalsRowBorderDxfId="1452">
  <autoFilter ref="K14:M31" xr:uid="{C83FE64B-E221-4DAA-89EA-5307A7BC98B3}"/>
  <tableColumns count="3">
    <tableColumn id="1" xr3:uid="{830E23BA-DE90-49EF-B4EA-89C3276575B2}" name="OS" dataDxfId="1451"/>
    <tableColumn id="2" xr3:uid="{679AF5A0-4545-4316-AD6C-E4B7A7BA099A}" name="Vendedor" dataDxfId="1450"/>
    <tableColumn id="3" xr3:uid="{6B801D58-D05B-4A78-A6FE-BC9EF408DC10}" name="CARNE" dataDxfId="144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8" dataDxfId="1446" headerRowBorderDxfId="1447" tableBorderDxfId="1445" totalsRowBorderDxfId="14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3"/>
    <tableColumn id="2" xr3:uid="{953837B7-D16A-40C2-9C83-CD7E7171C88F}" name="Cliente" dataDxfId="1442"/>
    <tableColumn id="3" xr3:uid="{63860264-C651-4A12-8F01-E9F622A843C0}" name="Forma de Pgto" dataDxfId="1441" dataCellStyle="Moeda"/>
    <tableColumn id="4" xr3:uid="{584373BD-23BA-4A1E-A4FC-3D4A594F4148}" name="Valor Parcela" dataDxfId="1440" dataCellStyle="Porcentagem"/>
    <tableColumn id="5" xr3:uid="{7CBAF04B-D82E-4180-A8EA-98461BE41F4A}" name="Nº Parcela" dataDxfId="1439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8" headerRowBorderDxfId="1437" tableBorderDxfId="1436" totalsRowBorderDxfId="1435">
  <autoFilter ref="K34:M41" xr:uid="{1B8643D4-6AC3-4029-882A-C62E9D7CB225}"/>
  <tableColumns count="3">
    <tableColumn id="1" xr3:uid="{F555359C-BC20-4C24-A948-500BDD3B5763}" name="OS" dataDxfId="1434"/>
    <tableColumn id="2" xr3:uid="{B72B4820-B8B5-4F80-83B5-9EC54EF78025}" name="Parcelas" dataDxfId="1433"/>
    <tableColumn id="3" xr3:uid="{893DDBC4-5663-4D63-80CB-4E7482811983}" name="Valor Total" dataDxfId="143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1" dataDxfId="1429" headerRowBorderDxfId="1430" tableBorderDxfId="1428" totalsRowBorderDxfId="1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6" dataCellStyle="Moeda"/>
    <tableColumn id="5" xr3:uid="{4F9ED826-A0E1-4FB0-83C6-A561EA7B6750}" name="Cliente" dataDxfId="1425" dataCellStyle="Moeda"/>
    <tableColumn id="2" xr3:uid="{C2B928FE-CB2E-4271-AE3D-2FE26117248E}" name="Forma de Pgto" dataDxfId="1424" dataCellStyle="Moeda"/>
    <tableColumn id="3" xr3:uid="{CE23E3D0-4056-4DCB-83C4-5B94BD49CAAC}" name="Valor Venda" dataDxfId="1423" dataCellStyle="Porcentagem"/>
    <tableColumn id="4" xr3:uid="{1F426340-BFB9-4B9E-B988-7A195156D2F2}" name="Entrada" dataDxfId="1422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1" dataDxfId="1419" headerRowBorderDxfId="1420" tableBorderDxfId="1418" totalsRowBorderDxfId="1417">
  <autoFilter ref="K5:M11" xr:uid="{00000000-0009-0000-0100-000015000000}"/>
  <tableColumns count="3">
    <tableColumn id="1" xr3:uid="{F4C840DC-E06E-4A51-B1BF-E769E4EC9ACB}" name="Descrição" dataDxfId="1416"/>
    <tableColumn id="2" xr3:uid="{E6DE1F07-CE97-421A-A22A-4B4270DDF46D}" name="Tipo de Pagto" dataDxfId="1415"/>
    <tableColumn id="3" xr3:uid="{D84FBA92-07C5-41FD-BBA2-2AADF245D1D6}" name="Valor" dataDxfId="141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3" dataDxfId="1411" headerRowBorderDxfId="1412" tableBorderDxfId="1410" totalsRowBorderDxfId="1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8"/>
    <tableColumn id="2" xr3:uid="{CD77FB12-1DAA-4DAF-B42A-0357959803DD}" name="Cliente" dataDxfId="1407"/>
    <tableColumn id="3" xr3:uid="{5F4C4F5C-C920-452A-B2BA-592AD2C18723}" name="Forma de Pgto" dataDxfId="1406" dataCellStyle="Moeda"/>
    <tableColumn id="4" xr3:uid="{3930B2F0-6049-4E02-92B1-EC55A5330B2C}" name="Valor Venda" dataDxfId="1405" dataCellStyle="Porcentagem"/>
    <tableColumn id="5" xr3:uid="{82EBAE08-64CA-459E-9015-FA8F61210D87}" name="Entrada" dataDxfId="1404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3" dataDxfId="1401" headerRowBorderDxfId="1402" tableBorderDxfId="1400" totalsRowBorderDxfId="1399">
  <autoFilter ref="K14:M31" xr:uid="{C83FE64B-E221-4DAA-89EA-5307A7BC98B3}"/>
  <tableColumns count="3">
    <tableColumn id="1" xr3:uid="{E0565617-EB8C-486F-838C-B370E84BC8A2}" name="OS" dataDxfId="1398"/>
    <tableColumn id="2" xr3:uid="{EA20833B-67D8-48B8-B6E4-54A10D0969E8}" name="Vendedor" dataDxfId="1397"/>
    <tableColumn id="3" xr3:uid="{8B1F8993-74A4-499F-AD5E-91A6051BA219}" name="CARNE" dataDxfId="139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5" dataDxfId="1393" headerRowBorderDxfId="1394" tableBorderDxfId="1392" totalsRowBorderDxfId="1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0"/>
    <tableColumn id="2" xr3:uid="{FB461660-91D6-4E31-81FF-113A17320EED}" name="Cliente" dataDxfId="1389"/>
    <tableColumn id="3" xr3:uid="{0A47D0C3-375B-4E2D-B5E9-2048252BC0D3}" name="Forma de Pgto" dataDxfId="1388" dataCellStyle="Moeda"/>
    <tableColumn id="4" xr3:uid="{F9C62ED5-C18D-465D-B7E4-0729BD7B3A10}" name="Valor Parcela" dataDxfId="1387" dataCellStyle="Porcentagem"/>
    <tableColumn id="5" xr3:uid="{DD9D513B-1645-445F-83E9-DC54C163BD4E}" name="Nº Parcela" dataDxfId="1386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5" headerRowBorderDxfId="1384" tableBorderDxfId="1383" totalsRowBorderDxfId="1382">
  <autoFilter ref="K34:M41" xr:uid="{1B8643D4-6AC3-4029-882A-C62E9D7CB225}"/>
  <tableColumns count="3">
    <tableColumn id="1" xr3:uid="{D65B195F-C059-40E5-A4CA-FE91C5DB43DB}" name="OS" dataDxfId="1381"/>
    <tableColumn id="2" xr3:uid="{A2A023CF-C61D-419E-ABB0-2F9CEE35150B}" name="Parcelas" dataDxfId="1380"/>
    <tableColumn id="3" xr3:uid="{F7D650A1-7C3D-42D0-B133-EB49D396C64F}" name="Valor Total" dataDxfId="137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8" dataDxfId="1376" headerRowBorderDxfId="1377" tableBorderDxfId="1375" totalsRowBorderDxfId="1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3" dataCellStyle="Moeda"/>
    <tableColumn id="5" xr3:uid="{FF96847D-D5C5-4F73-905C-E549112972E1}" name="Cliente" dataDxfId="1372" dataCellStyle="Moeda"/>
    <tableColumn id="2" xr3:uid="{1B47815A-C2E2-4886-9A6F-B2A7307F901E}" name="Forma de Pgto" dataDxfId="1371" dataCellStyle="Moeda"/>
    <tableColumn id="3" xr3:uid="{FD86C99A-4E69-452A-8D71-B939B84F2B55}" name="Valor Venda" dataDxfId="1370" dataCellStyle="Porcentagem"/>
    <tableColumn id="4" xr3:uid="{49ECBAAC-14EE-43F3-BE6F-974EF5F3E156}" name="Entrada" dataDxfId="1369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8" dataDxfId="1366" headerRowBorderDxfId="1367" tableBorderDxfId="1365" totalsRowBorderDxfId="1364">
  <autoFilter ref="K5:M11" xr:uid="{00000000-0009-0000-0100-000015000000}"/>
  <tableColumns count="3">
    <tableColumn id="1" xr3:uid="{5236D397-E61A-4AA1-B99C-AD40093239F9}" name="Descrição" dataDxfId="1363"/>
    <tableColumn id="2" xr3:uid="{3341FC2A-819A-41AF-B8A9-B5A195B8D597}" name="Tipo de Pagto" dataDxfId="1362"/>
    <tableColumn id="3" xr3:uid="{D568CA16-B32B-4F86-9DE5-B8B3E9825745}" name="Valor" dataDxfId="136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0" dataDxfId="1358" headerRowBorderDxfId="1359" tableBorderDxfId="1357" totalsRowBorderDxfId="1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5"/>
    <tableColumn id="2" xr3:uid="{DEEB020C-2BC4-4E77-9557-B0FDBCF683E9}" name="Cliente" dataDxfId="1354"/>
    <tableColumn id="3" xr3:uid="{FC27FDBE-5194-4E32-AFD1-DB754ECCEF38}" name="Forma de Pgto" dataDxfId="1353" dataCellStyle="Moeda"/>
    <tableColumn id="4" xr3:uid="{489A4CE9-C3F1-4322-9639-D01F0935FB0E}" name="Valor Venda" dataDxfId="1352" dataCellStyle="Porcentagem"/>
    <tableColumn id="5" xr3:uid="{07E5F22F-7782-466E-98DB-48416B35B9C4}" name="Entrada" dataDxfId="1351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0" dataDxfId="1348" headerRowBorderDxfId="1349" tableBorderDxfId="1347" totalsRowBorderDxfId="134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45"/>
    <tableColumn id="2" xr3:uid="{CFC62C38-9887-48E6-A3B8-42586D1EC066}" name="Vendedor" dataDxfId="1344"/>
    <tableColumn id="3" xr3:uid="{32577275-2002-496E-8AD4-5FE489DBC179}" name="CARNE" dataDxfId="134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7" totalsRowShown="0" headerRowDxfId="1342" dataDxfId="1340" headerRowBorderDxfId="1341" tableBorderDxfId="1339" totalsRowBorderDxfId="1338">
  <autoFilter ref="E34:I47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7"/>
    <tableColumn id="2" xr3:uid="{19438CD0-86D0-4CC4-9B41-5D756AC61E4D}" name="Cliente" dataDxfId="1336"/>
    <tableColumn id="3" xr3:uid="{59621200-4821-4583-9D35-A2EA6C27B52D}" name="Forma de Pgto" dataDxfId="1335" dataCellStyle="Moeda"/>
    <tableColumn id="4" xr3:uid="{35A817E7-6B21-48A7-863E-225DFEDD8B2A}" name="Valor Parcela" dataDxfId="1334" dataCellStyle="Porcentagem"/>
    <tableColumn id="5" xr3:uid="{77D80430-C5F8-4582-B3DF-9A9A9350F565}" name="Nº Parcela" dataDxfId="1333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2" headerRowBorderDxfId="1331" tableBorderDxfId="1330" totalsRowBorderDxfId="1329">
  <autoFilter ref="K34:M41" xr:uid="{1B8643D4-6AC3-4029-882A-C62E9D7CB225}"/>
  <tableColumns count="3">
    <tableColumn id="1" xr3:uid="{503F9F70-E540-4505-B65D-D233FCB88D5F}" name="OS" dataDxfId="1328"/>
    <tableColumn id="2" xr3:uid="{6A2B4927-D830-4C18-8831-6FE23BFAD877}" name="Parcelas" dataDxfId="1327"/>
    <tableColumn id="3" xr3:uid="{8E06E94A-FF62-4D13-8B11-C6CE2990FCDF}" name="Valor Total" dataDxfId="132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5" dataDxfId="1323" headerRowBorderDxfId="1324" tableBorderDxfId="1322" totalsRowBorderDxfId="1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0" dataCellStyle="Moeda"/>
    <tableColumn id="5" xr3:uid="{00000000-0010-0000-0900-000005000000}" name="Cliente" dataDxfId="1319" dataCellStyle="Moeda"/>
    <tableColumn id="2" xr3:uid="{00000000-0010-0000-0900-000002000000}" name="Forma de Pgto" dataDxfId="1318" dataCellStyle="Moeda"/>
    <tableColumn id="3" xr3:uid="{00000000-0010-0000-0900-000003000000}" name="Valor Venda" dataDxfId="1317" dataCellStyle="Porcentagem"/>
    <tableColumn id="4" xr3:uid="{00000000-0010-0000-0900-000004000000}" name="Entrada" dataDxfId="1316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5" dataDxfId="1313" headerRowBorderDxfId="1314" tableBorderDxfId="1312" totalsRowBorderDxfId="1311">
  <autoFilter ref="K5:M11" xr:uid="{00000000-0009-0000-0100-000015000000}"/>
  <tableColumns count="3">
    <tableColumn id="1" xr3:uid="{00000000-0010-0000-0A00-000001000000}" name="Descrição" dataDxfId="1310"/>
    <tableColumn id="2" xr3:uid="{00000000-0010-0000-0A00-000002000000}" name="Tipo de Pagto" dataDxfId="1309"/>
    <tableColumn id="3" xr3:uid="{00000000-0010-0000-0A00-000003000000}" name="Valor" dataDxfId="130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7" dataDxfId="1305" headerRowBorderDxfId="1306" tableBorderDxfId="1304" totalsRowBorderDxfId="1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2"/>
    <tableColumn id="2" xr3:uid="{00000000-0010-0000-0B00-000002000000}" name="Cliente" dataDxfId="1301"/>
    <tableColumn id="3" xr3:uid="{00000000-0010-0000-0B00-000003000000}" name="Forma de Pgto" dataDxfId="1300" dataCellStyle="Moeda"/>
    <tableColumn id="4" xr3:uid="{00000000-0010-0000-0B00-000004000000}" name="Valor Venda" dataDxfId="1299" dataCellStyle="Porcentagem"/>
    <tableColumn id="5" xr3:uid="{00000000-0010-0000-0B00-000005000000}" name="Entrada" dataDxfId="1298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7" dataDxfId="1295" headerRowBorderDxfId="1296" tableBorderDxfId="1294" totalsRowBorderDxfId="129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292"/>
    <tableColumn id="2" xr3:uid="{E1794679-294A-42ED-9D8F-4C0874170BFA}" name="Vendedor" dataDxfId="1291"/>
    <tableColumn id="3" xr3:uid="{CB411C23-941D-4548-984D-68460932D683}" name="CARNE" dataDxfId="129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89" dataDxfId="1287" headerRowBorderDxfId="1288" tableBorderDxfId="1286" totalsRowBorderDxfId="1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4"/>
    <tableColumn id="2" xr3:uid="{430FE27E-32BC-43B0-BB6E-CCBAB36B2A5A}" name="Cliente" dataDxfId="1283"/>
    <tableColumn id="3" xr3:uid="{568CECCF-BE0A-4266-A7C7-9359F722EA0F}" name="Forma de Pgto" dataDxfId="1282" dataCellStyle="Moeda"/>
    <tableColumn id="4" xr3:uid="{9CF4291A-8808-43DB-9F83-A7EB463C5F4A}" name="Valor Parcela" dataDxfId="1281" dataCellStyle="Porcentagem"/>
    <tableColumn id="5" xr3:uid="{736EA743-97FA-4800-BEDD-5C07EEB144A8}" name="Nº Parcela" dataDxfId="1280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79" headerRowBorderDxfId="1278" tableBorderDxfId="1277" totalsRowBorderDxfId="1276">
  <autoFilter ref="K34:M41" xr:uid="{1B8643D4-6AC3-4029-882A-C62E9D7CB225}"/>
  <tableColumns count="3">
    <tableColumn id="1" xr3:uid="{132FEC50-51B3-4AAA-BF48-63FA39ED861C}" name="OS" dataDxfId="1275"/>
    <tableColumn id="2" xr3:uid="{11276640-1C63-48D7-BE0B-1FE7C736A1A8}" name="Parcelas" dataDxfId="1274"/>
    <tableColumn id="3" xr3:uid="{96591591-9F74-40A6-B0B9-BA6D2106107F}" name="Valor Total" dataDxfId="127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2" dataDxfId="1270" headerRowBorderDxfId="1271" tableBorderDxfId="1269" totalsRowBorderDxfId="12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7" dataCellStyle="Moeda"/>
    <tableColumn id="5" xr3:uid="{795F9F6D-AAE5-4C61-A646-82BF506C503E}" name="Cliente" dataDxfId="1266" dataCellStyle="Moeda"/>
    <tableColumn id="2" xr3:uid="{DD13626B-6361-410E-BFB7-9E75436163A4}" name="Forma de Pgto" dataDxfId="1265" dataCellStyle="Moeda"/>
    <tableColumn id="3" xr3:uid="{8939280F-F6DC-4F66-ADDF-59F6A387460C}" name="Valor Venda" dataDxfId="1264" dataCellStyle="Porcentagem"/>
    <tableColumn id="4" xr3:uid="{FFC83B9E-825A-4058-BFEA-DA64D7159065}" name="Entrada" dataDxfId="1263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2" dataDxfId="1260" headerRowBorderDxfId="1261" tableBorderDxfId="1259" totalsRowBorderDxfId="1258">
  <autoFilter ref="K5:M11" xr:uid="{00000000-0009-0000-0100-000015000000}"/>
  <tableColumns count="3">
    <tableColumn id="1" xr3:uid="{9309A091-2326-4B68-B8C9-B31CF2D72EAF}" name="Descrição" dataDxfId="1257"/>
    <tableColumn id="2" xr3:uid="{910D89CE-506B-440F-8EB2-31633D7CAD51}" name="Tipo de Pagto" dataDxfId="1256"/>
    <tableColumn id="3" xr3:uid="{7155C391-52F1-4F4A-84B1-7BBC44A35A99}" name="Valor" dataDxfId="125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4" dataDxfId="1252" headerRowBorderDxfId="1253" tableBorderDxfId="1251" totalsRowBorderDxfId="12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49"/>
    <tableColumn id="2" xr3:uid="{75B601B3-9668-4B1A-ADF2-17DA487A3413}" name="Cliente" dataDxfId="1248"/>
    <tableColumn id="3" xr3:uid="{64F47935-52AF-4AE3-9262-06D7472567D7}" name="Forma de Pgto" dataDxfId="1247" dataCellStyle="Moeda"/>
    <tableColumn id="4" xr3:uid="{9257AA0D-34DE-4B38-8406-BC1F561A53B3}" name="Valor Venda" dataDxfId="1246" dataCellStyle="Porcentagem"/>
    <tableColumn id="5" xr3:uid="{4C98958F-FB27-4968-81B6-D7CC6BBD2DAE}" name="Entrada" dataDxfId="1245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4" dataDxfId="1242" headerRowBorderDxfId="1243" tableBorderDxfId="1241" totalsRowBorderDxfId="124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39"/>
    <tableColumn id="2" xr3:uid="{AEB024E2-EB15-40A6-B65B-468339937BD0}" name="Vendedor" dataDxfId="1238"/>
    <tableColumn id="3" xr3:uid="{ACDDDA2A-4116-4E25-B799-0071372A8FAA}" name="CARNE" dataDxfId="1237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6" dataDxfId="1234" headerRowBorderDxfId="1235" tableBorderDxfId="1233" totalsRowBorderDxfId="1232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1"/>
    <tableColumn id="2" xr3:uid="{A06C5B3A-A28C-4563-87C4-B63635D6E7B9}" name="Cliente" dataDxfId="1230"/>
    <tableColumn id="3" xr3:uid="{4AC120F2-6F4A-41F2-87D2-680E8D6F8D96}" name="Forma de Pgto" dataDxfId="1229" dataCellStyle="Moeda"/>
    <tableColumn id="4" xr3:uid="{17DB2EA9-C13D-4AEB-AB97-B4C907D16420}" name="Valor Parcela" dataDxfId="1228" dataCellStyle="Porcentagem"/>
    <tableColumn id="5" xr3:uid="{F6E09F06-2F23-4822-A9B4-D8898604A1E0}" name="Nº Parcela" dataDxfId="1227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6" headerRowBorderDxfId="1225" tableBorderDxfId="1224" totalsRowBorderDxfId="1223">
  <autoFilter ref="K34:M41" xr:uid="{1B8643D4-6AC3-4029-882A-C62E9D7CB225}"/>
  <tableColumns count="3">
    <tableColumn id="1" xr3:uid="{D0DE8F47-9BDA-4E4F-92E6-E2404F920F1B}" name="OS" dataDxfId="1222"/>
    <tableColumn id="2" xr3:uid="{43AD47D8-F738-4D39-8B0B-E0AC217D9D32}" name="Parcelas" dataDxfId="1221"/>
    <tableColumn id="3" xr3:uid="{024ED2FF-C4EC-44DC-9129-9BE8032DC4A5}" name="Valor Total" dataDxfId="122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19" dataDxfId="1217" headerRowBorderDxfId="1218" tableBorderDxfId="1216" totalsRowBorderDxfId="12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4" dataCellStyle="Moeda"/>
    <tableColumn id="5" xr3:uid="{C13AA79A-76C7-4954-B055-3EC7A6A9008A}" name="Cliente" dataDxfId="1213" dataCellStyle="Moeda"/>
    <tableColumn id="2" xr3:uid="{56D92948-0431-4E11-AC7A-A6D6B6D3D15E}" name="Forma de Pgto" dataDxfId="1212" dataCellStyle="Moeda"/>
    <tableColumn id="3" xr3:uid="{3348DA9C-6AA9-49E4-8450-E8BC22BC5F6C}" name="Valor Venda" dataDxfId="1211" dataCellStyle="Porcentagem"/>
    <tableColumn id="4" xr3:uid="{A03B4BE2-2B4F-4512-98ED-45C3754F4D2A}" name="Entrada" dataDxfId="1210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09" dataDxfId="1207" headerRowBorderDxfId="1208" tableBorderDxfId="1206" totalsRowBorderDxfId="1205">
  <autoFilter ref="K5:M11" xr:uid="{00000000-0009-0000-0100-000015000000}"/>
  <tableColumns count="3">
    <tableColumn id="1" xr3:uid="{2700D0CD-8906-41BB-B51F-AAECD67A05FE}" name="Descrição" dataDxfId="1204"/>
    <tableColumn id="2" xr3:uid="{00E5FAC2-C7E2-44A6-AA64-460782F41E47}" name="Tipo de Pagto" dataDxfId="1203"/>
    <tableColumn id="3" xr3:uid="{70D30678-03EC-4DC1-BB28-EBD756D1976D}" name="Valor" dataDxfId="120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1" dataDxfId="1199" headerRowBorderDxfId="1200" tableBorderDxfId="1198" totalsRowBorderDxfId="11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6"/>
    <tableColumn id="2" xr3:uid="{59310BF7-C6CA-49AF-8D7C-32023868A553}" name="Cliente" dataDxfId="1195"/>
    <tableColumn id="3" xr3:uid="{C13BE163-BA03-41E0-A121-27164C58ABA3}" name="Forma de Pgto" dataDxfId="1194" dataCellStyle="Moeda"/>
    <tableColumn id="4" xr3:uid="{E9797482-8A01-4C8B-8B66-47DE3D38D78F}" name="Valor Venda" dataDxfId="1193" dataCellStyle="Porcentagem"/>
    <tableColumn id="5" xr3:uid="{864D3F67-D199-48BA-8E16-3EFBAC4AF8A2}" name="Entrada" dataDxfId="1192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1" dataDxfId="1189" headerRowBorderDxfId="1190" tableBorderDxfId="1188" totalsRowBorderDxfId="11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186"/>
    <tableColumn id="2" xr3:uid="{BE1934F5-5D06-41D6-9394-C4D383C8CD33}" name="Vendedor" dataDxfId="1185"/>
    <tableColumn id="3" xr3:uid="{F504E9B2-856C-4C10-AA72-D7A7B035B330}" name="CARNE" dataDxfId="118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3" dataDxfId="1181" headerRowBorderDxfId="1182" tableBorderDxfId="1180" totalsRowBorderDxfId="11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8"/>
    <tableColumn id="2" xr3:uid="{95B09C40-3752-47D7-9085-F5B42BC487DA}" name="Cliente" dataDxfId="1177"/>
    <tableColumn id="3" xr3:uid="{1A0B311C-327A-4C44-9D04-81730B41B9A2}" name="Forma de Pgto" dataDxfId="1176" dataCellStyle="Moeda"/>
    <tableColumn id="4" xr3:uid="{9A802666-F9A1-4EB6-824C-ECF60066044F}" name="Valor Parcela" dataDxfId="1175" dataCellStyle="Porcentagem"/>
    <tableColumn id="5" xr3:uid="{1CC0AF26-B599-4D4F-8BD5-BBE76DBCE085}" name="Nº Parcela" dataDxfId="1174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3" headerRowBorderDxfId="1172" tableBorderDxfId="1171" totalsRowBorderDxfId="1170">
  <autoFilter ref="K34:M41" xr:uid="{1B8643D4-6AC3-4029-882A-C62E9D7CB225}"/>
  <tableColumns count="3">
    <tableColumn id="1" xr3:uid="{D712257D-E310-4A34-972E-E8E3502C0E07}" name="OS" dataDxfId="1169"/>
    <tableColumn id="2" xr3:uid="{DE78D123-6817-4646-8C08-920B2F11524F}" name="Parcelas" dataDxfId="1168"/>
    <tableColumn id="3" xr3:uid="{5BFF5A3E-02FE-410E-B1DB-45BB5A31FC42}" name="Valor Total" dataDxfId="116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6" dataDxfId="1164" headerRowBorderDxfId="1165" tableBorderDxfId="1163" totalsRowBorderDxfId="11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1" dataCellStyle="Moeda"/>
    <tableColumn id="5" xr3:uid="{A57F8BDB-02F9-493C-AD6D-F47611C369D5}" name="Cliente" dataDxfId="1160" dataCellStyle="Moeda"/>
    <tableColumn id="2" xr3:uid="{3BF4EA26-026F-42E1-9B28-3FCC68B54E9F}" name="Forma de Pgto" dataDxfId="1159" dataCellStyle="Moeda"/>
    <tableColumn id="3" xr3:uid="{FD063076-8462-4774-B716-34AAD1738449}" name="Valor Venda" dataDxfId="1158" dataCellStyle="Porcentagem"/>
    <tableColumn id="4" xr3:uid="{690445E0-65B1-450A-A6D3-179070107086}" name="Entrada" dataDxfId="1157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6" dataDxfId="1154" headerRowBorderDxfId="1155" tableBorderDxfId="1153" totalsRowBorderDxfId="1152">
  <autoFilter ref="K5:M11" xr:uid="{00000000-0009-0000-0100-000015000000}"/>
  <tableColumns count="3">
    <tableColumn id="1" xr3:uid="{5D510C76-887A-4F0A-A2F3-BD55732E9E85}" name="Descrição" dataDxfId="1151"/>
    <tableColumn id="2" xr3:uid="{F6C1F4A7-28F4-48F8-905E-708FA62EB574}" name="Tipo de Pagto" dataDxfId="1150"/>
    <tableColumn id="3" xr3:uid="{E62B0002-F6CD-4351-A9EA-673FC7C97B03}" name="Valor" dataDxfId="114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8" dataDxfId="1146" headerRowBorderDxfId="1147" tableBorderDxfId="1145" totalsRowBorderDxfId="1144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3"/>
    <tableColumn id="2" xr3:uid="{822B50C3-46B7-46F0-8829-5293CCAFB21E}" name="Cliente" dataDxfId="1142"/>
    <tableColumn id="3" xr3:uid="{F2A36AB3-30D6-4C43-A466-18FF147EE075}" name="Forma de Pgto" dataDxfId="1141" dataCellStyle="Moeda"/>
    <tableColumn id="4" xr3:uid="{AD829CF8-2271-44F1-A1F1-4928D83ED658}" name="Valor Venda" dataDxfId="1140" dataCellStyle="Porcentagem"/>
    <tableColumn id="5" xr3:uid="{7973C843-3740-4AE2-931D-89DE845BA145}" name="Entrada" dataDxfId="1139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8" dataDxfId="1136" headerRowBorderDxfId="1137" tableBorderDxfId="1135" totalsRowBorderDxfId="1134">
  <autoFilter ref="K14:M31" xr:uid="{C83FE64B-E221-4DAA-89EA-5307A7BC98B3}"/>
  <tableColumns count="3">
    <tableColumn id="1" xr3:uid="{404BEA27-9F48-40AC-AF84-177E7CA2ADEC}" name="OS" dataDxfId="1133"/>
    <tableColumn id="2" xr3:uid="{BC07784A-25E9-4C57-B0FF-1E3D183BCD37}" name="Vendedor" dataDxfId="1132"/>
    <tableColumn id="3" xr3:uid="{EFFF7860-5B35-466B-BA53-4485DC02FB15}" name="CARNE" dataDxfId="1131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0" dataDxfId="1128" headerRowBorderDxfId="1129" tableBorderDxfId="1127" totalsRowBorderDxfId="1126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5"/>
    <tableColumn id="2" xr3:uid="{A8D4686B-F05E-4D96-BDB9-FD354C9E28B8}" name="Cliente" dataDxfId="1124"/>
    <tableColumn id="3" xr3:uid="{0FB871EC-4505-4E7C-A162-0EFDB16AB8E5}" name="Forma de Pgto" dataDxfId="1123" dataCellStyle="Moeda"/>
    <tableColumn id="4" xr3:uid="{41436228-3E61-4F7F-80EF-627B1794150B}" name="Valor Parcela" dataDxfId="1122" dataCellStyle="Porcentagem"/>
    <tableColumn id="5" xr3:uid="{9C580DC7-08E3-4AD7-B73C-C1AA4298633B}" name="Nº Parcela" dataDxfId="1121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0" headerRowBorderDxfId="1119" tableBorderDxfId="1118" totalsRowBorderDxfId="1117">
  <autoFilter ref="K34:M41" xr:uid="{1B8643D4-6AC3-4029-882A-C62E9D7CB225}"/>
  <tableColumns count="3">
    <tableColumn id="1" xr3:uid="{6E774D52-7DFE-4ED1-9F2F-47B5899CBAC1}" name="OS" dataDxfId="1116"/>
    <tableColumn id="2" xr3:uid="{39CE62CA-537C-4DF4-B8D5-281ED0EE57C3}" name="Parcelas" dataDxfId="1115"/>
    <tableColumn id="3" xr3:uid="{830AFF05-9BCF-488F-97F3-8D4378DE4DCB}" name="Valor Total" dataDxfId="111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3" dataDxfId="1111" headerRowBorderDxfId="1112" tableBorderDxfId="1110" totalsRowBorderDxfId="11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8" dataCellStyle="Moeda"/>
    <tableColumn id="5" xr3:uid="{CE0B3E90-9420-4A96-9195-72088311874E}" name="Cliente" dataDxfId="1107" dataCellStyle="Moeda"/>
    <tableColumn id="2" xr3:uid="{3EF1B45D-588D-4066-8ACF-697863B5F984}" name="Forma de Pgto" dataDxfId="1106" dataCellStyle="Moeda"/>
    <tableColumn id="3" xr3:uid="{9ADBAC7B-B04C-4E2B-9C83-E18200698CCE}" name="Valor Venda" dataDxfId="1105" dataCellStyle="Porcentagem"/>
    <tableColumn id="4" xr3:uid="{16823673-1F5B-4F46-A676-8665CF4D02BA}" name="Entrada" dataDxfId="1104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3" dataDxfId="1101" headerRowBorderDxfId="1102" tableBorderDxfId="1100" totalsRowBorderDxfId="1099">
  <autoFilter ref="K5:M11" xr:uid="{00000000-0009-0000-0100-000015000000}"/>
  <tableColumns count="3">
    <tableColumn id="1" xr3:uid="{A02811B4-F6FA-4EDA-94FE-5EDFE6293B48}" name="Descrição" dataDxfId="1098"/>
    <tableColumn id="2" xr3:uid="{39EAD4CE-DDFA-4948-8B1E-10589BABDD84}" name="Tipo de Pagto" dataDxfId="1097"/>
    <tableColumn id="3" xr3:uid="{30C3BD81-38C9-4C67-BF45-044DFDDD7A0B}" name="Valor" dataDxfId="109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5" dataDxfId="1093" headerRowBorderDxfId="1094" tableBorderDxfId="1092" totalsRowBorderDxfId="10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0"/>
    <tableColumn id="2" xr3:uid="{BE6E3444-490A-4F75-BE63-234EB84D04F7}" name="Cliente" dataDxfId="1089"/>
    <tableColumn id="3" xr3:uid="{868472E6-6C45-4AEC-9672-E559CFA15EA7}" name="Forma de Pgto" dataDxfId="1088" dataCellStyle="Moeda"/>
    <tableColumn id="4" xr3:uid="{DB2D0AA9-9B1E-4A35-B9B2-8B1052EAD782}" name="Valor Venda" dataDxfId="1087" dataCellStyle="Porcentagem"/>
    <tableColumn id="5" xr3:uid="{C23CEEDF-415E-4EFC-ACF7-2661157A84C3}" name="Entrada" dataDxfId="1086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5" dataDxfId="1083" headerRowBorderDxfId="1084" tableBorderDxfId="1082" totalsRowBorderDxfId="10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0"/>
    <tableColumn id="2" xr3:uid="{13D709D4-8F81-4D58-95F2-22F1C686CB18}" name="Vendedor" dataDxfId="1079"/>
    <tableColumn id="3" xr3:uid="{92130A71-CEC8-4371-B6C9-DA29C0189A09}" name="CARNE" dataDxfId="1078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7" headerRowBorderDxfId="1076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3" totalsRowShown="0" headerRowDxfId="107" dataDxfId="105" headerRowBorderDxfId="106" tableBorderDxfId="104" totalsRowBorderDxfId="10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0</v>
      </c>
    </row>
    <row r="2" spans="1:16" ht="15" x14ac:dyDescent="0.2">
      <c r="A2" s="18" t="s">
        <v>1</v>
      </c>
      <c r="B2" s="67">
        <v>0</v>
      </c>
      <c r="P2" t="s">
        <v>2</v>
      </c>
    </row>
    <row r="3" spans="1:16" ht="15" x14ac:dyDescent="0.25">
      <c r="A3" s="22" t="s">
        <v>3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77449.829999999987</v>
      </c>
      <c r="P3" t="s">
        <v>4</v>
      </c>
    </row>
    <row r="4" spans="1:16" ht="15" x14ac:dyDescent="0.25">
      <c r="A4" s="22" t="s">
        <v>5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64590.92</v>
      </c>
      <c r="P4" t="s">
        <v>6</v>
      </c>
    </row>
    <row r="5" spans="1:16" ht="15" x14ac:dyDescent="0.25">
      <c r="A5" s="22" t="s">
        <v>7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33.99</v>
      </c>
      <c r="P5" t="s">
        <v>8</v>
      </c>
    </row>
    <row r="6" spans="1:16" ht="15.75" x14ac:dyDescent="0.25">
      <c r="A6" s="27" t="s">
        <v>9</v>
      </c>
      <c r="B6" s="28">
        <f ca="1">SUM(B4:B5)</f>
        <v>64624.909999999996</v>
      </c>
      <c r="P6" t="s">
        <v>10</v>
      </c>
    </row>
    <row r="7" spans="1:16" ht="15" x14ac:dyDescent="0.25">
      <c r="A7" s="2"/>
      <c r="B7" s="2"/>
      <c r="P7" t="s">
        <v>11</v>
      </c>
    </row>
    <row r="8" spans="1:16" ht="15" x14ac:dyDescent="0.2">
      <c r="A8" s="102" t="s">
        <v>12</v>
      </c>
      <c r="B8" s="102"/>
      <c r="P8" t="s">
        <v>13</v>
      </c>
    </row>
    <row r="9" spans="1:16" ht="15" x14ac:dyDescent="0.25">
      <c r="A9" s="29" t="s">
        <v>14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9093.98</v>
      </c>
      <c r="P9" t="s">
        <v>15</v>
      </c>
    </row>
    <row r="10" spans="1:16" ht="15" x14ac:dyDescent="0.25">
      <c r="A10" s="29" t="s">
        <v>16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8625.92</v>
      </c>
      <c r="P10" t="s">
        <v>17</v>
      </c>
    </row>
    <row r="11" spans="1:16" ht="15" x14ac:dyDescent="0.25">
      <c r="A11" s="29" t="s">
        <v>18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36569.89</v>
      </c>
      <c r="P11" t="s">
        <v>19</v>
      </c>
    </row>
    <row r="12" spans="1:16" ht="15" x14ac:dyDescent="0.25">
      <c r="A12" s="29" t="s">
        <v>20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21</v>
      </c>
    </row>
    <row r="13" spans="1:16" ht="15" x14ac:dyDescent="0.25">
      <c r="A13" s="29" t="s">
        <v>22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12270.279999999999</v>
      </c>
      <c r="P13" t="s">
        <v>23</v>
      </c>
    </row>
    <row r="14" spans="1:16" ht="15.75" x14ac:dyDescent="0.25">
      <c r="A14" s="27" t="s">
        <v>24</v>
      </c>
      <c r="B14" s="68">
        <f ca="1">SUM(B9:B13)</f>
        <v>66560.070000000007</v>
      </c>
    </row>
    <row r="15" spans="1:16" ht="15" x14ac:dyDescent="0.25">
      <c r="A15" s="2"/>
      <c r="B15" s="2"/>
    </row>
    <row r="16" spans="1:16" ht="15" x14ac:dyDescent="0.2">
      <c r="A16" s="102" t="s">
        <v>25</v>
      </c>
      <c r="B16" s="102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6127</v>
      </c>
    </row>
    <row r="18" spans="1:2" ht="15.75" x14ac:dyDescent="0.25">
      <c r="A18" s="27" t="s">
        <v>24</v>
      </c>
      <c r="B18" s="68">
        <f>SUM(B17:B17)</f>
        <v>6127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view="pageBreakPreview" zoomScale="60" zoomScaleNormal="9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v>45597</v>
      </c>
    </row>
    <row r="2" spans="2:18" ht="18.75" x14ac:dyDescent="0.2">
      <c r="B2" s="107" t="s">
        <v>26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90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667</v>
      </c>
      <c r="D6" s="2"/>
      <c r="E6" s="77">
        <v>9979</v>
      </c>
      <c r="F6" s="24" t="s">
        <v>34</v>
      </c>
      <c r="G6" s="25" t="s">
        <v>14</v>
      </c>
      <c r="H6" s="8">
        <v>90</v>
      </c>
      <c r="I6" s="8">
        <v>90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35</v>
      </c>
      <c r="C8" s="28">
        <f>SUM(C6:C7)</f>
        <v>667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150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7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7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IF(vend1[[#This Row],[Nº Venda]]&gt;1,1,0)</f>
        <v>0</v>
      </c>
    </row>
    <row r="15" spans="2:18" ht="15.75" x14ac:dyDescent="0.25">
      <c r="B15" s="29" t="s">
        <v>22</v>
      </c>
      <c r="C15" s="30">
        <f t="shared" si="0"/>
        <v>517</v>
      </c>
      <c r="D15" s="2"/>
      <c r="E15" s="77"/>
      <c r="F15" s="24"/>
      <c r="G15" s="25"/>
      <c r="H15" s="8"/>
      <c r="I15" s="8"/>
      <c r="J15" s="2"/>
      <c r="K15" s="85">
        <v>9751</v>
      </c>
      <c r="L15" s="9" t="s">
        <v>15</v>
      </c>
      <c r="M15" s="16" t="s">
        <v>40</v>
      </c>
      <c r="R15" s="1">
        <f>IF(vend1[[#This Row],[Nº Venda]]&gt;1,1,0)</f>
        <v>0</v>
      </c>
    </row>
    <row r="16" spans="2:18" ht="15.75" x14ac:dyDescent="0.25">
      <c r="B16" s="27" t="s">
        <v>24</v>
      </c>
      <c r="C16" s="31">
        <f>SUM(C11:C15)</f>
        <v>667</v>
      </c>
      <c r="D16" s="2"/>
      <c r="E16" s="77"/>
      <c r="F16" s="24"/>
      <c r="G16" s="25"/>
      <c r="H16" s="8"/>
      <c r="I16" s="8"/>
      <c r="J16" s="2"/>
      <c r="K16" s="85">
        <v>9875</v>
      </c>
      <c r="L16" s="9" t="s">
        <v>15</v>
      </c>
      <c r="M16" s="16" t="s">
        <v>40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9876</v>
      </c>
      <c r="L17" s="9" t="s">
        <v>15</v>
      </c>
      <c r="M17" s="16" t="s">
        <v>40</v>
      </c>
      <c r="R17" s="1">
        <f>IF(vend1[[#This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9876</v>
      </c>
      <c r="L18" s="9" t="s">
        <v>15</v>
      </c>
      <c r="M18" s="16" t="s">
        <v>40</v>
      </c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77"/>
      <c r="F19" s="24"/>
      <c r="G19" s="25"/>
      <c r="H19" s="8"/>
      <c r="I19" s="8"/>
      <c r="J19" s="2"/>
      <c r="K19" s="85">
        <v>9910</v>
      </c>
      <c r="L19" s="9" t="s">
        <v>4</v>
      </c>
      <c r="M19" s="16" t="s">
        <v>40</v>
      </c>
      <c r="R19" s="1">
        <f>IF(vend1[[#This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>
        <v>9958</v>
      </c>
      <c r="L20" s="9" t="s">
        <v>4</v>
      </c>
      <c r="M20" s="16" t="s">
        <v>40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9962</v>
      </c>
      <c r="L21" s="9" t="s">
        <v>4</v>
      </c>
      <c r="M21" s="16" t="s">
        <v>40</v>
      </c>
    </row>
    <row r="22" spans="2:18" ht="15.75" x14ac:dyDescent="0.25">
      <c r="B22" s="27" t="s">
        <v>41</v>
      </c>
      <c r="C22" s="31">
        <f>C5</f>
        <v>90</v>
      </c>
      <c r="D22" s="2"/>
      <c r="E22" s="77"/>
      <c r="F22" s="24"/>
      <c r="G22" s="25"/>
      <c r="H22" s="8"/>
      <c r="I22" s="8"/>
      <c r="J22" s="2"/>
      <c r="K22" s="85">
        <v>9975</v>
      </c>
      <c r="L22" s="9" t="s">
        <v>15</v>
      </c>
      <c r="M22" s="16" t="s">
        <v>40</v>
      </c>
    </row>
    <row r="23" spans="2:18" ht="15" x14ac:dyDescent="0.25">
      <c r="B23" s="2"/>
      <c r="C23" s="2"/>
      <c r="D23" s="2"/>
      <c r="E23" s="32"/>
      <c r="H23" s="7"/>
      <c r="J23" s="2"/>
      <c r="K23" s="85">
        <v>9979</v>
      </c>
      <c r="L23" s="9" t="s">
        <v>4</v>
      </c>
      <c r="M23" s="16" t="s">
        <v>40</v>
      </c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9958</v>
      </c>
      <c r="F26" s="24" t="s">
        <v>43</v>
      </c>
      <c r="G26" s="25" t="s">
        <v>22</v>
      </c>
      <c r="H26" s="8"/>
      <c r="I26" s="8">
        <v>300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8999</v>
      </c>
      <c r="F35" s="24" t="s">
        <v>49</v>
      </c>
      <c r="G35" s="25" t="s">
        <v>14</v>
      </c>
      <c r="H35" s="8">
        <v>60</v>
      </c>
      <c r="I35" s="8" t="s">
        <v>50</v>
      </c>
      <c r="K35" s="85"/>
      <c r="L35" s="40"/>
      <c r="M35" s="16"/>
    </row>
    <row r="36" spans="2:18" ht="15.75" x14ac:dyDescent="0.25">
      <c r="E36" s="77">
        <v>9800</v>
      </c>
      <c r="F36" s="24" t="s">
        <v>51</v>
      </c>
      <c r="G36" s="25" t="s">
        <v>22</v>
      </c>
      <c r="H36" s="8">
        <v>92</v>
      </c>
      <c r="I36" s="8" t="s">
        <v>52</v>
      </c>
      <c r="K36" s="85"/>
      <c r="L36" s="40"/>
      <c r="M36" s="16"/>
    </row>
    <row r="37" spans="2:18" ht="15.75" x14ac:dyDescent="0.25">
      <c r="E37" s="77">
        <v>9068</v>
      </c>
      <c r="F37" s="24" t="s">
        <v>53</v>
      </c>
      <c r="G37" s="25" t="s">
        <v>22</v>
      </c>
      <c r="H37" s="8">
        <v>125</v>
      </c>
      <c r="I37" s="8" t="s">
        <v>54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1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" zoomScale="9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'01'!B1+1</f>
        <v>45598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7238</v>
      </c>
      <c r="D5" s="2"/>
      <c r="E5" s="10" t="s">
        <v>27</v>
      </c>
      <c r="F5" s="10" t="s">
        <v>57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5040</v>
      </c>
      <c r="D6" s="2"/>
      <c r="E6" s="77">
        <v>9980</v>
      </c>
      <c r="F6" s="24" t="s">
        <v>58</v>
      </c>
      <c r="G6" s="43" t="s">
        <v>14</v>
      </c>
      <c r="H6" s="8">
        <v>999</v>
      </c>
      <c r="I6" s="8">
        <v>50</v>
      </c>
      <c r="J6" s="2"/>
      <c r="K6" s="24" t="s">
        <v>59</v>
      </c>
      <c r="L6" s="9" t="s">
        <v>14</v>
      </c>
      <c r="M6" s="16">
        <v>3.99</v>
      </c>
      <c r="R6" s="1">
        <f>IF(vend2[[#This Row],[Nº Venda]]&gt;1,1,0)</f>
        <v>1</v>
      </c>
    </row>
    <row r="7" spans="2:18" ht="15.75" x14ac:dyDescent="0.25">
      <c r="B7" s="22" t="s">
        <v>7</v>
      </c>
      <c r="C7" s="23">
        <f>SUM(M6:M11)</f>
        <v>28.990000000000002</v>
      </c>
      <c r="D7" s="2"/>
      <c r="E7" s="77">
        <v>9981</v>
      </c>
      <c r="F7" s="24" t="s">
        <v>60</v>
      </c>
      <c r="G7" s="43" t="s">
        <v>14</v>
      </c>
      <c r="H7" s="8">
        <v>1499</v>
      </c>
      <c r="I7" s="8">
        <v>100</v>
      </c>
      <c r="J7" s="2"/>
      <c r="K7" s="24" t="s">
        <v>61</v>
      </c>
      <c r="L7" s="9" t="s">
        <v>14</v>
      </c>
      <c r="M7" s="16">
        <v>25</v>
      </c>
      <c r="R7" s="1">
        <f>IF(vend2[[#This Row],[Nº Venda]]&gt;1,1,0)</f>
        <v>1</v>
      </c>
    </row>
    <row r="8" spans="2:18" ht="15.75" x14ac:dyDescent="0.25">
      <c r="B8" s="27" t="s">
        <v>35</v>
      </c>
      <c r="C8" s="28">
        <f>SUM(C6:C7)</f>
        <v>5068.99</v>
      </c>
      <c r="D8" s="2"/>
      <c r="E8" s="77">
        <v>9982</v>
      </c>
      <c r="F8" s="24" t="s">
        <v>62</v>
      </c>
      <c r="G8" s="25" t="s">
        <v>18</v>
      </c>
      <c r="H8" s="8">
        <v>700</v>
      </c>
      <c r="I8" s="8">
        <v>700</v>
      </c>
      <c r="J8" s="2"/>
      <c r="K8" s="24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77">
        <v>9983</v>
      </c>
      <c r="F9" s="24" t="s">
        <v>63</v>
      </c>
      <c r="G9" s="25" t="s">
        <v>18</v>
      </c>
      <c r="H9" s="8">
        <v>1200</v>
      </c>
      <c r="I9" s="8">
        <v>1200</v>
      </c>
      <c r="J9" s="2"/>
      <c r="K9" s="24"/>
      <c r="L9" s="9"/>
      <c r="M9" s="16"/>
      <c r="R9" s="1">
        <f>IF(vend2[[#This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9984</v>
      </c>
      <c r="F10" s="24" t="s">
        <v>63</v>
      </c>
      <c r="G10" s="25" t="s">
        <v>18</v>
      </c>
      <c r="H10" s="8">
        <v>690</v>
      </c>
      <c r="I10" s="8">
        <v>690</v>
      </c>
      <c r="J10" s="2"/>
      <c r="K10" s="24"/>
      <c r="L10" s="9"/>
      <c r="M10" s="16"/>
      <c r="R10" s="1">
        <f>IF(vend2[[#This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150</v>
      </c>
      <c r="D11" s="2"/>
      <c r="E11" s="77">
        <v>9985</v>
      </c>
      <c r="F11" s="24" t="s">
        <v>64</v>
      </c>
      <c r="G11" s="25" t="s">
        <v>18</v>
      </c>
      <c r="H11" s="8">
        <v>800</v>
      </c>
      <c r="I11" s="8">
        <v>800</v>
      </c>
      <c r="J11" s="2"/>
      <c r="K11" s="26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150</v>
      </c>
      <c r="D12" s="2"/>
      <c r="E12" s="77">
        <v>9986</v>
      </c>
      <c r="F12" s="24" t="s">
        <v>64</v>
      </c>
      <c r="G12" s="25" t="s">
        <v>18</v>
      </c>
      <c r="H12" s="8">
        <v>750</v>
      </c>
      <c r="I12" s="8">
        <v>750</v>
      </c>
      <c r="J12" s="2"/>
      <c r="R12" s="1">
        <f>IF(vend2[[#This Row],[Nº Venda]]&gt;1,1,0)</f>
        <v>1</v>
      </c>
    </row>
    <row r="13" spans="2:18" ht="15.75" x14ac:dyDescent="0.25">
      <c r="B13" s="29" t="s">
        <v>18</v>
      </c>
      <c r="C13" s="30">
        <f t="shared" si="0"/>
        <v>4740</v>
      </c>
      <c r="D13" s="2"/>
      <c r="E13" s="77">
        <v>9987</v>
      </c>
      <c r="F13" s="24" t="s">
        <v>64</v>
      </c>
      <c r="G13" s="25" t="s">
        <v>18</v>
      </c>
      <c r="H13" s="8">
        <v>600</v>
      </c>
      <c r="I13" s="8">
        <v>600</v>
      </c>
      <c r="J13" s="2"/>
      <c r="K13" s="104" t="s">
        <v>36</v>
      </c>
      <c r="L13" s="105"/>
      <c r="M13" s="106"/>
      <c r="R13" s="1">
        <f>IF(vend2[[#This Row],[Nº Venda]]&gt;1,1,0)</f>
        <v>1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55"/>
      <c r="G14" s="74"/>
      <c r="H14" s="64"/>
      <c r="I14" s="64"/>
      <c r="J14" s="2"/>
      <c r="K14" s="14" t="s">
        <v>37</v>
      </c>
      <c r="L14" s="6" t="s">
        <v>38</v>
      </c>
      <c r="M14" s="15" t="s">
        <v>39</v>
      </c>
      <c r="R14" s="1">
        <f>IF(vend2[[#This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>
        <v>9956</v>
      </c>
      <c r="L15" s="9" t="s">
        <v>15</v>
      </c>
      <c r="M15" s="16" t="s">
        <v>65</v>
      </c>
      <c r="R15" s="1">
        <f>IF(vend2[[#This Row],[Nº Venda]]&gt;1,1,0)</f>
        <v>0</v>
      </c>
    </row>
    <row r="16" spans="2:18" ht="15.75" x14ac:dyDescent="0.25">
      <c r="B16" s="27" t="s">
        <v>24</v>
      </c>
      <c r="C16" s="31">
        <f>SUM(C11:C15)</f>
        <v>5040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1</v>
      </c>
      <c r="C19" s="30">
        <f>SUM(entr_carn2[Valor Total])</f>
        <v>270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24</v>
      </c>
      <c r="C20" s="31">
        <f>SUM(C19:C19)</f>
        <v>270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7238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21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  <c r="U34" s="1" t="s">
        <v>66</v>
      </c>
    </row>
    <row r="35" spans="2:21" ht="15.75" x14ac:dyDescent="0.25">
      <c r="E35" s="77">
        <v>9494</v>
      </c>
      <c r="F35" s="24" t="s">
        <v>67</v>
      </c>
      <c r="G35" s="25" t="s">
        <v>16</v>
      </c>
      <c r="H35" s="8">
        <v>150</v>
      </c>
      <c r="I35" s="8" t="s">
        <v>68</v>
      </c>
      <c r="K35" s="85">
        <v>9956</v>
      </c>
      <c r="L35" s="40">
        <v>6</v>
      </c>
      <c r="M35" s="16">
        <v>270</v>
      </c>
    </row>
    <row r="36" spans="2:21" ht="15.75" x14ac:dyDescent="0.25">
      <c r="E36" s="77"/>
      <c r="F36" s="24"/>
      <c r="G36" s="25"/>
      <c r="H36" s="8"/>
      <c r="I36" s="8"/>
      <c r="K36" s="85"/>
      <c r="L36" s="40"/>
      <c r="M36" s="16"/>
    </row>
    <row r="37" spans="2:21" ht="15.75" x14ac:dyDescent="0.25">
      <c r="E37" s="77"/>
      <c r="F37" s="24"/>
      <c r="G37" s="25"/>
      <c r="H37" s="8"/>
      <c r="I37" s="8"/>
      <c r="K37" s="85"/>
      <c r="L37" s="40"/>
      <c r="M37" s="16"/>
    </row>
    <row r="38" spans="2:21" ht="15.75" x14ac:dyDescent="0.25">
      <c r="E38" s="77"/>
      <c r="F38" s="24"/>
      <c r="G38" s="25"/>
      <c r="H38" s="8"/>
      <c r="I38" s="8"/>
      <c r="K38" s="85"/>
      <c r="L38" s="40"/>
      <c r="M38" s="16"/>
    </row>
    <row r="39" spans="2:21" ht="15.75" x14ac:dyDescent="0.25">
      <c r="E39" s="77"/>
      <c r="F39" s="38"/>
      <c r="G39" s="25"/>
      <c r="H39" s="8"/>
      <c r="I39" s="8"/>
      <c r="K39" s="85"/>
      <c r="L39" s="40"/>
      <c r="M39" s="16"/>
    </row>
    <row r="40" spans="2:21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8</v>
      </c>
    </row>
    <row r="41" spans="2:21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'02'!B1+1</f>
        <v>45599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0</v>
      </c>
      <c r="D6" s="2"/>
      <c r="E6" s="77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IF(vend3[[#This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IF(vend3[[#This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43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16"/>
    </row>
    <row r="36" spans="2:18" ht="15.75" x14ac:dyDescent="0.25">
      <c r="E36" s="77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77" zoomScaleNormal="77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'03'!B1+1</f>
        <v>45600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5826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4269.32</v>
      </c>
      <c r="D6" s="2"/>
      <c r="E6" s="77">
        <v>9988</v>
      </c>
      <c r="F6" s="24" t="s">
        <v>69</v>
      </c>
      <c r="G6" s="43" t="s">
        <v>18</v>
      </c>
      <c r="H6" s="8">
        <v>100</v>
      </c>
      <c r="I6" s="8">
        <v>100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9989</v>
      </c>
      <c r="F7" s="24" t="s">
        <v>70</v>
      </c>
      <c r="G7" s="43" t="s">
        <v>18</v>
      </c>
      <c r="H7" s="8">
        <v>600</v>
      </c>
      <c r="I7" s="8">
        <v>600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35</v>
      </c>
      <c r="C8" s="28">
        <f>SUM(C6:C7)</f>
        <v>4269.32</v>
      </c>
      <c r="D8" s="2"/>
      <c r="E8" s="77">
        <v>9990</v>
      </c>
      <c r="F8" s="24" t="s">
        <v>70</v>
      </c>
      <c r="G8" s="43" t="s">
        <v>18</v>
      </c>
      <c r="H8" s="8">
        <v>186</v>
      </c>
      <c r="I8" s="8">
        <v>186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77">
        <v>9991</v>
      </c>
      <c r="F9" s="24" t="s">
        <v>71</v>
      </c>
      <c r="G9" s="43" t="s">
        <v>18</v>
      </c>
      <c r="H9" s="8">
        <v>550</v>
      </c>
      <c r="I9" s="8">
        <v>550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9992</v>
      </c>
      <c r="F10" s="24" t="s">
        <v>72</v>
      </c>
      <c r="G10" s="25" t="s">
        <v>14</v>
      </c>
      <c r="H10" s="8">
        <v>2600</v>
      </c>
      <c r="I10" s="8">
        <v>450</v>
      </c>
      <c r="J10" s="2"/>
      <c r="K10" s="24"/>
      <c r="L10" s="9"/>
      <c r="M10" s="16"/>
      <c r="R10" s="1">
        <f>IF(vend4[[#This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700</v>
      </c>
      <c r="D11" s="2"/>
      <c r="E11" s="77">
        <v>9993</v>
      </c>
      <c r="F11" s="24" t="s">
        <v>72</v>
      </c>
      <c r="G11" s="25" t="s">
        <v>14</v>
      </c>
      <c r="H11" s="8">
        <v>250</v>
      </c>
      <c r="I11" s="8">
        <v>250</v>
      </c>
      <c r="J11" s="2"/>
      <c r="K11" s="26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700</v>
      </c>
      <c r="D12" s="2"/>
      <c r="E12" s="77">
        <v>9994</v>
      </c>
      <c r="F12" s="24" t="s">
        <v>73</v>
      </c>
      <c r="G12" s="25" t="s">
        <v>16</v>
      </c>
      <c r="H12" s="8">
        <v>1540</v>
      </c>
      <c r="I12" s="8">
        <v>500</v>
      </c>
      <c r="J12" s="2"/>
      <c r="R12" s="1">
        <f>IF(vend4[[#This Row],[Nº Venda]]&gt;1,1,0)</f>
        <v>1</v>
      </c>
    </row>
    <row r="13" spans="2:18" ht="15.75" x14ac:dyDescent="0.25">
      <c r="B13" s="29" t="s">
        <v>18</v>
      </c>
      <c r="C13" s="30">
        <f t="shared" si="0"/>
        <v>2536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IF(vend4[[#This Row],[Nº Venda]]&gt;1,1,0)</f>
        <v>0</v>
      </c>
    </row>
    <row r="15" spans="2:18" ht="18.75" x14ac:dyDescent="0.4">
      <c r="B15" s="29" t="s">
        <v>22</v>
      </c>
      <c r="C15" s="30">
        <f t="shared" si="0"/>
        <v>333.32</v>
      </c>
      <c r="D15" s="2"/>
      <c r="E15" s="77"/>
      <c r="F15" s="24"/>
      <c r="G15" s="25"/>
      <c r="H15" s="8"/>
      <c r="I15" s="8"/>
      <c r="J15" s="2"/>
      <c r="K15" s="85">
        <v>9988</v>
      </c>
      <c r="L15" s="9" t="s">
        <v>4</v>
      </c>
      <c r="M15" s="53" t="s">
        <v>40</v>
      </c>
      <c r="R15" s="1">
        <f>IF(vend4[[#This Row],[Nº Venda]]&gt;1,1,0)</f>
        <v>0</v>
      </c>
    </row>
    <row r="16" spans="2:18" ht="18.75" x14ac:dyDescent="0.4">
      <c r="B16" s="27" t="s">
        <v>24</v>
      </c>
      <c r="C16" s="31">
        <f>SUM(C11:C15)</f>
        <v>4269.32</v>
      </c>
      <c r="D16" s="2"/>
      <c r="E16" s="77"/>
      <c r="F16" s="24"/>
      <c r="G16" s="25"/>
      <c r="H16" s="8"/>
      <c r="I16" s="8"/>
      <c r="J16" s="2"/>
      <c r="K16" s="85">
        <v>9990</v>
      </c>
      <c r="L16" s="9" t="s">
        <v>4</v>
      </c>
      <c r="M16" s="53" t="s">
        <v>40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77"/>
      <c r="F17" s="24"/>
      <c r="G17" s="25"/>
      <c r="H17" s="8"/>
      <c r="I17" s="8"/>
      <c r="J17" s="2"/>
      <c r="K17" s="85">
        <v>9974</v>
      </c>
      <c r="L17" s="9" t="s">
        <v>4</v>
      </c>
      <c r="M17" s="53" t="s">
        <v>40</v>
      </c>
      <c r="R17" s="1">
        <f>IF(vend4[[#This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9914</v>
      </c>
      <c r="L18" s="9" t="s">
        <v>15</v>
      </c>
      <c r="M18" s="16" t="s">
        <v>40</v>
      </c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5826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9914</v>
      </c>
      <c r="F26" s="24" t="s">
        <v>74</v>
      </c>
      <c r="G26" s="43" t="s">
        <v>16</v>
      </c>
      <c r="H26" s="8"/>
      <c r="I26" s="8">
        <v>200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9914</v>
      </c>
      <c r="F27" s="24" t="s">
        <v>74</v>
      </c>
      <c r="G27" s="43" t="s">
        <v>18</v>
      </c>
      <c r="H27" s="8"/>
      <c r="I27" s="8">
        <v>500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>
        <v>9972</v>
      </c>
      <c r="F28" s="24" t="s">
        <v>75</v>
      </c>
      <c r="G28" s="43" t="s">
        <v>18</v>
      </c>
      <c r="H28" s="8"/>
      <c r="I28" s="8">
        <v>600</v>
      </c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9764</v>
      </c>
      <c r="F35" s="24" t="s">
        <v>76</v>
      </c>
      <c r="G35" s="25" t="s">
        <v>22</v>
      </c>
      <c r="H35" s="8">
        <v>166.66</v>
      </c>
      <c r="I35" s="8" t="s">
        <v>52</v>
      </c>
      <c r="K35" s="85"/>
      <c r="L35" s="40"/>
      <c r="M35" s="16"/>
    </row>
    <row r="36" spans="2:18" ht="15.75" x14ac:dyDescent="0.25">
      <c r="E36" s="77">
        <v>9308</v>
      </c>
      <c r="F36" s="24" t="s">
        <v>77</v>
      </c>
      <c r="G36" s="25" t="s">
        <v>22</v>
      </c>
      <c r="H36" s="8">
        <v>166.66</v>
      </c>
      <c r="I36" s="8" t="s">
        <v>78</v>
      </c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7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78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9.140625" style="1" bestFit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'04'!B1+1</f>
        <v>45601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2150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2186.66</v>
      </c>
      <c r="D6" s="2"/>
      <c r="E6" s="77">
        <v>9995</v>
      </c>
      <c r="F6" s="24" t="s">
        <v>79</v>
      </c>
      <c r="G6" s="43" t="s">
        <v>16</v>
      </c>
      <c r="H6" s="8">
        <v>950</v>
      </c>
      <c r="I6" s="8">
        <v>950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9996</v>
      </c>
      <c r="F7" s="24" t="s">
        <v>80</v>
      </c>
      <c r="G7" s="43" t="s">
        <v>14</v>
      </c>
      <c r="H7" s="8">
        <v>650</v>
      </c>
      <c r="I7" s="8">
        <v>520</v>
      </c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35</v>
      </c>
      <c r="C8" s="28">
        <f>SUM(C6:C7)</f>
        <v>2186.66</v>
      </c>
      <c r="D8" s="2"/>
      <c r="E8" s="77">
        <v>9997</v>
      </c>
      <c r="F8" s="24" t="s">
        <v>81</v>
      </c>
      <c r="G8" s="43" t="s">
        <v>18</v>
      </c>
      <c r="H8" s="8">
        <v>550</v>
      </c>
      <c r="I8" s="8">
        <v>550</v>
      </c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77">
        <v>9998</v>
      </c>
      <c r="F9" s="24" t="s">
        <v>81</v>
      </c>
      <c r="G9" s="43" t="s">
        <v>82</v>
      </c>
      <c r="H9" s="8"/>
      <c r="I9" s="8"/>
      <c r="J9" s="2"/>
      <c r="K9" s="24"/>
      <c r="L9" s="9"/>
      <c r="M9" s="16"/>
      <c r="R9" s="1">
        <f>IF(vend5[[#This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9999</v>
      </c>
      <c r="F10" s="24" t="s">
        <v>81</v>
      </c>
      <c r="G10" s="43" t="s">
        <v>82</v>
      </c>
      <c r="H10" s="8"/>
      <c r="I10" s="8"/>
      <c r="J10" s="2"/>
      <c r="K10" s="24"/>
      <c r="L10" s="9"/>
      <c r="M10" s="16"/>
      <c r="R10" s="1">
        <f>IF(vend5[[#This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520</v>
      </c>
      <c r="D11" s="2"/>
      <c r="E11" s="77">
        <v>10000</v>
      </c>
      <c r="F11" s="24" t="s">
        <v>81</v>
      </c>
      <c r="G11" s="43" t="s">
        <v>82</v>
      </c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950</v>
      </c>
      <c r="D12" s="2"/>
      <c r="E12" s="77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18</v>
      </c>
      <c r="C13" s="30">
        <f t="shared" si="0"/>
        <v>550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IF(vend5[[#This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IF(vend5[[#This Row],[Nº Venda]]&gt;1,1,0)</f>
        <v>0</v>
      </c>
    </row>
    <row r="15" spans="2:18" ht="15.75" x14ac:dyDescent="0.25">
      <c r="B15" s="29" t="s">
        <v>22</v>
      </c>
      <c r="C15" s="30">
        <f t="shared" si="0"/>
        <v>166.66</v>
      </c>
      <c r="D15" s="2"/>
      <c r="E15" s="77"/>
      <c r="F15" s="24"/>
      <c r="G15" s="25"/>
      <c r="H15" s="8"/>
      <c r="I15" s="8"/>
      <c r="J15" s="2"/>
      <c r="K15" s="85">
        <v>9997</v>
      </c>
      <c r="L15" s="9" t="s">
        <v>15</v>
      </c>
      <c r="M15" s="87" t="s">
        <v>83</v>
      </c>
      <c r="N15" s="16"/>
      <c r="R15" s="1">
        <f>IF(vend5[[#This Row],[Nº Venda]]&gt;1,1,0)</f>
        <v>0</v>
      </c>
    </row>
    <row r="16" spans="2:18" ht="15.75" x14ac:dyDescent="0.25">
      <c r="B16" s="27" t="s">
        <v>24</v>
      </c>
      <c r="C16" s="31">
        <f>SUM(C11:C15)</f>
        <v>2186.66</v>
      </c>
      <c r="D16" s="2"/>
      <c r="E16" s="77"/>
      <c r="F16" s="24"/>
      <c r="G16" s="25"/>
      <c r="H16" s="8"/>
      <c r="I16" s="8"/>
      <c r="J16" s="2"/>
      <c r="K16" s="85">
        <v>9245</v>
      </c>
      <c r="L16" s="9" t="s">
        <v>15</v>
      </c>
      <c r="M16" s="88" t="s">
        <v>83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IF(vend5[[#This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2150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43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43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43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9645</v>
      </c>
      <c r="F35" s="24" t="s">
        <v>84</v>
      </c>
      <c r="G35" s="25" t="s">
        <v>22</v>
      </c>
      <c r="H35" s="8">
        <v>166.66</v>
      </c>
      <c r="I35" s="8" t="s">
        <v>78</v>
      </c>
      <c r="K35" s="85"/>
      <c r="L35" s="40"/>
      <c r="M35" s="16"/>
    </row>
    <row r="36" spans="2:18" ht="15.75" x14ac:dyDescent="0.25">
      <c r="E36" s="84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71"/>
      <c r="G37" s="72"/>
      <c r="H37" s="73"/>
      <c r="I37" s="73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6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8"/>
  <sheetViews>
    <sheetView showGridLines="0" topLeftCell="B13" zoomScale="90" zoomScaleNormal="9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'05'!B1+1</f>
        <v>45602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4268.99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3866.0099999999998</v>
      </c>
      <c r="D6" s="2"/>
      <c r="E6" s="77">
        <v>10001</v>
      </c>
      <c r="F6" s="24" t="s">
        <v>85</v>
      </c>
      <c r="G6" s="25" t="s">
        <v>16</v>
      </c>
      <c r="H6" s="8">
        <v>800</v>
      </c>
      <c r="I6" s="8">
        <v>120</v>
      </c>
      <c r="J6" s="2"/>
      <c r="K6" s="24" t="s">
        <v>86</v>
      </c>
      <c r="L6" s="9" t="s">
        <v>87</v>
      </c>
      <c r="M6" s="16">
        <v>5</v>
      </c>
      <c r="R6" s="1">
        <f>IF(vend[[#This Row],[Nº Venda]]&gt;1,1,0)</f>
        <v>1</v>
      </c>
    </row>
    <row r="7" spans="2:18" ht="15.75" x14ac:dyDescent="0.25">
      <c r="B7" s="22" t="s">
        <v>7</v>
      </c>
      <c r="C7" s="23">
        <f>SUM(M6:M11)</f>
        <v>5</v>
      </c>
      <c r="D7" s="2"/>
      <c r="E7" s="77">
        <v>10002</v>
      </c>
      <c r="F7" s="24" t="s">
        <v>88</v>
      </c>
      <c r="G7" s="25" t="s">
        <v>22</v>
      </c>
      <c r="H7" s="8">
        <v>390</v>
      </c>
      <c r="I7" s="8">
        <v>390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35</v>
      </c>
      <c r="C8" s="28">
        <f>SUM(C6:C7)</f>
        <v>3871.0099999999998</v>
      </c>
      <c r="D8" s="2"/>
      <c r="E8" s="77">
        <v>10003</v>
      </c>
      <c r="F8" s="24" t="s">
        <v>89</v>
      </c>
      <c r="G8" s="25" t="s">
        <v>18</v>
      </c>
      <c r="H8" s="8">
        <v>450</v>
      </c>
      <c r="I8" s="8">
        <v>450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77">
        <v>10004</v>
      </c>
      <c r="F9" s="24" t="s">
        <v>89</v>
      </c>
      <c r="G9" s="25" t="s">
        <v>18</v>
      </c>
      <c r="H9" s="8">
        <v>450</v>
      </c>
      <c r="I9" s="8">
        <v>450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10005</v>
      </c>
      <c r="F10" s="52" t="s">
        <v>89</v>
      </c>
      <c r="G10" s="25" t="s">
        <v>18</v>
      </c>
      <c r="H10" s="8">
        <v>450</v>
      </c>
      <c r="I10" s="8">
        <v>450</v>
      </c>
      <c r="J10" s="2"/>
      <c r="K10" s="24"/>
      <c r="L10" s="9"/>
      <c r="M10" s="16"/>
      <c r="R10" s="1">
        <f>IF(vend[[#This Row],[Nº Venda]]&gt;1,1,0)</f>
        <v>1</v>
      </c>
    </row>
    <row r="11" spans="2:18" ht="15.75" x14ac:dyDescent="0.25">
      <c r="B11" s="29" t="s">
        <v>14</v>
      </c>
      <c r="C11" s="69">
        <f>(SUMIF($G$2:$G$31,B11,$I$2:$I$31))+(SUMIF($G$35:$G$47,B11,$H$35:$H$47))</f>
        <v>537.98</v>
      </c>
      <c r="D11" s="2"/>
      <c r="E11" s="77">
        <v>10006</v>
      </c>
      <c r="F11" s="24" t="s">
        <v>90</v>
      </c>
      <c r="G11" s="25" t="s">
        <v>18</v>
      </c>
      <c r="H11" s="8">
        <v>230</v>
      </c>
      <c r="I11" s="8">
        <v>230</v>
      </c>
      <c r="J11" s="2"/>
      <c r="K11" s="26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29" t="s">
        <v>16</v>
      </c>
      <c r="C12" s="69">
        <f>(SUMIF($G$2:$G$31,B12,$I$2:$I$31))+(SUMIF($G$35:$G$47,B12,$H$35:$H$47))</f>
        <v>452.37</v>
      </c>
      <c r="D12" s="2"/>
      <c r="E12" s="77">
        <v>10007</v>
      </c>
      <c r="F12" s="24" t="s">
        <v>91</v>
      </c>
      <c r="G12" s="25" t="s">
        <v>14</v>
      </c>
      <c r="H12" s="8">
        <v>999.99</v>
      </c>
      <c r="I12" s="8">
        <v>100</v>
      </c>
      <c r="J12" s="2"/>
      <c r="R12" s="1">
        <f>IF(vend[[#This Row],[Nº Venda]]&gt;1,1,0)</f>
        <v>1</v>
      </c>
    </row>
    <row r="13" spans="2:18" ht="15.75" x14ac:dyDescent="0.25">
      <c r="B13" s="29" t="s">
        <v>18</v>
      </c>
      <c r="C13" s="69">
        <f>(SUMIF($G$2:$G$31,B13,$I$2:$I$31))+(SUMIF($G$35:$G$47,B13,$H$35:$H$47))</f>
        <v>1580</v>
      </c>
      <c r="D13" s="2"/>
      <c r="E13" s="77">
        <v>10008</v>
      </c>
      <c r="F13" s="24" t="s">
        <v>92</v>
      </c>
      <c r="G13" s="25" t="s">
        <v>22</v>
      </c>
      <c r="H13" s="8">
        <v>499</v>
      </c>
      <c r="I13" s="8">
        <v>60</v>
      </c>
      <c r="J13" s="2"/>
      <c r="K13" s="104" t="s">
        <v>36</v>
      </c>
      <c r="L13" s="105"/>
      <c r="M13" s="106"/>
      <c r="R13" s="1">
        <f>IF(vend[[#This Row],[Nº Venda]]&gt;1,1,0)</f>
        <v>1</v>
      </c>
    </row>
    <row r="14" spans="2:18" ht="15.75" x14ac:dyDescent="0.25">
      <c r="B14" s="29" t="s">
        <v>20</v>
      </c>
      <c r="C14" s="69">
        <f>(SUMIF($G$2:$G$31,B14,$I$2:$I$31))+(SUMIF($G$35:$G$47,B14,$H$35:$H$47))</f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IF(vend[[#This Row],[Nº Venda]]&gt;1,1,0)</f>
        <v>0</v>
      </c>
    </row>
    <row r="15" spans="2:18" ht="15.75" x14ac:dyDescent="0.25">
      <c r="B15" s="29" t="s">
        <v>22</v>
      </c>
      <c r="C15" s="69">
        <f>(SUMIF($G$2:$G$31,B15,$I$2:$I$31))+(SUMIF($G$35:$G$47,B15,$H$35:$H$47))</f>
        <v>1295.6599999999999</v>
      </c>
      <c r="D15" s="2"/>
      <c r="E15" s="77"/>
      <c r="F15" s="24"/>
      <c r="G15" s="25"/>
      <c r="H15" s="8"/>
      <c r="I15" s="8"/>
      <c r="J15" s="2"/>
      <c r="K15" s="85">
        <v>9681</v>
      </c>
      <c r="L15" s="9" t="s">
        <v>15</v>
      </c>
      <c r="M15" s="16" t="s">
        <v>65</v>
      </c>
      <c r="R15" s="1">
        <f>IF(vend[[#This Row],[Nº Venda]]&gt;1,1,0)</f>
        <v>0</v>
      </c>
    </row>
    <row r="16" spans="2:18" ht="15.75" x14ac:dyDescent="0.25">
      <c r="B16" s="27" t="s">
        <v>24</v>
      </c>
      <c r="C16" s="31">
        <f>SUM(C11:C15)</f>
        <v>3866.0099999999998</v>
      </c>
      <c r="D16" s="2"/>
      <c r="E16" s="77"/>
      <c r="F16" s="24"/>
      <c r="G16" s="25"/>
      <c r="H16" s="8"/>
      <c r="I16" s="8"/>
      <c r="J16" s="2"/>
      <c r="K16" s="85">
        <v>9924</v>
      </c>
      <c r="L16" s="9" t="s">
        <v>15</v>
      </c>
      <c r="M16" s="16" t="s">
        <v>40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9936</v>
      </c>
      <c r="L17" s="9" t="s">
        <v>15</v>
      </c>
      <c r="M17" s="16" t="s">
        <v>65</v>
      </c>
      <c r="R17" s="1">
        <f>IF(vend[[#This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9948</v>
      </c>
      <c r="L18" s="9" t="s">
        <v>4</v>
      </c>
      <c r="M18" s="16" t="s">
        <v>65</v>
      </c>
      <c r="R18" s="1">
        <f>IF(vend[[#This Row],[Nº Venda]]&gt;1,1,0)</f>
        <v>0</v>
      </c>
    </row>
    <row r="19" spans="2:18" ht="15.75" x14ac:dyDescent="0.25">
      <c r="B19" s="29">
        <f>COUNT(entr_carn6[OS])</f>
        <v>3</v>
      </c>
      <c r="C19" s="30">
        <f>SUM(entr_carn6[Valor Total])</f>
        <v>1592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24</v>
      </c>
      <c r="C20" s="31">
        <f>SUM(C19:C19)</f>
        <v>1592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4268.99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9996</v>
      </c>
      <c r="F26" s="24" t="s">
        <v>93</v>
      </c>
      <c r="G26" s="25" t="s">
        <v>14</v>
      </c>
      <c r="H26" s="8"/>
      <c r="I26" s="8">
        <v>130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9936</v>
      </c>
      <c r="F27" s="24" t="s">
        <v>94</v>
      </c>
      <c r="G27" s="25" t="s">
        <v>16</v>
      </c>
      <c r="H27" s="8"/>
      <c r="I27" s="8">
        <v>100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>
        <v>9980</v>
      </c>
      <c r="F28" s="24" t="s">
        <v>95</v>
      </c>
      <c r="G28" s="25" t="s">
        <v>22</v>
      </c>
      <c r="H28" s="8"/>
      <c r="I28" s="8">
        <v>249</v>
      </c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9811</v>
      </c>
      <c r="F35" s="24" t="s">
        <v>96</v>
      </c>
      <c r="G35" s="25" t="s">
        <v>14</v>
      </c>
      <c r="H35" s="8">
        <v>33</v>
      </c>
      <c r="I35" s="8" t="s">
        <v>97</v>
      </c>
      <c r="K35" s="85">
        <v>9948</v>
      </c>
      <c r="L35" s="40">
        <v>6</v>
      </c>
      <c r="M35" s="16">
        <v>552</v>
      </c>
    </row>
    <row r="36" spans="2:18" ht="15.75" x14ac:dyDescent="0.25">
      <c r="E36" s="81">
        <v>9891</v>
      </c>
      <c r="F36" s="24" t="s">
        <v>98</v>
      </c>
      <c r="G36" s="25" t="s">
        <v>16</v>
      </c>
      <c r="H36" s="8">
        <v>82.37</v>
      </c>
      <c r="I36" s="8" t="s">
        <v>99</v>
      </c>
      <c r="K36" s="85">
        <v>9681</v>
      </c>
      <c r="L36" s="40">
        <v>8</v>
      </c>
      <c r="M36" s="16">
        <v>482</v>
      </c>
    </row>
    <row r="37" spans="2:18" ht="15.75" x14ac:dyDescent="0.25">
      <c r="E37" s="77">
        <v>9836</v>
      </c>
      <c r="F37" s="24" t="s">
        <v>98</v>
      </c>
      <c r="G37" s="25" t="s">
        <v>16</v>
      </c>
      <c r="H37" s="8">
        <v>150</v>
      </c>
      <c r="I37" s="8" t="s">
        <v>99</v>
      </c>
      <c r="K37" s="85">
        <v>9936</v>
      </c>
      <c r="L37" s="40">
        <v>8</v>
      </c>
      <c r="M37" s="16">
        <v>558</v>
      </c>
    </row>
    <row r="38" spans="2:18" ht="15.75" x14ac:dyDescent="0.25">
      <c r="E38" s="77">
        <v>9289</v>
      </c>
      <c r="F38" s="24" t="s">
        <v>100</v>
      </c>
      <c r="G38" s="25" t="s">
        <v>14</v>
      </c>
      <c r="H38" s="8">
        <v>91.66</v>
      </c>
      <c r="I38" s="8" t="s">
        <v>101</v>
      </c>
      <c r="K38" s="85"/>
      <c r="L38" s="40"/>
      <c r="M38" s="16"/>
    </row>
    <row r="39" spans="2:18" ht="15.75" x14ac:dyDescent="0.25">
      <c r="E39" s="77">
        <v>9289</v>
      </c>
      <c r="F39" s="38" t="s">
        <v>100</v>
      </c>
      <c r="G39" s="25" t="s">
        <v>14</v>
      </c>
      <c r="H39" s="8">
        <v>91.66</v>
      </c>
      <c r="I39" s="8" t="s">
        <v>102</v>
      </c>
      <c r="K39" s="85"/>
      <c r="L39" s="40"/>
      <c r="M39" s="16"/>
    </row>
    <row r="40" spans="2:18" ht="15.75" x14ac:dyDescent="0.25">
      <c r="E40" s="79">
        <v>9289</v>
      </c>
      <c r="F40" s="35" t="s">
        <v>100</v>
      </c>
      <c r="G40" s="36" t="s">
        <v>14</v>
      </c>
      <c r="H40" s="17">
        <v>91.66</v>
      </c>
      <c r="I40" s="8" t="s">
        <v>68</v>
      </c>
      <c r="K40" s="86"/>
      <c r="L40" s="41"/>
      <c r="M40" s="39"/>
      <c r="Q40" s="1" t="s">
        <v>55</v>
      </c>
      <c r="R40" s="1">
        <f>SUM(R6:R21)</f>
        <v>8</v>
      </c>
    </row>
    <row r="41" spans="2:18" ht="15.75" x14ac:dyDescent="0.25">
      <c r="E41" s="82">
        <v>9784</v>
      </c>
      <c r="F41" s="38" t="s">
        <v>103</v>
      </c>
      <c r="G41" s="25" t="s">
        <v>22</v>
      </c>
      <c r="H41" s="8">
        <v>116.66</v>
      </c>
      <c r="I41" s="8" t="s">
        <v>97</v>
      </c>
      <c r="K41" s="85"/>
      <c r="L41" s="40"/>
      <c r="M41" s="39"/>
    </row>
    <row r="42" spans="2:18" ht="15.75" x14ac:dyDescent="0.25">
      <c r="E42" s="79">
        <v>8497</v>
      </c>
      <c r="F42" s="24" t="s">
        <v>104</v>
      </c>
      <c r="G42" s="25" t="s">
        <v>22</v>
      </c>
      <c r="H42" s="8">
        <v>145</v>
      </c>
      <c r="I42" s="8" t="s">
        <v>105</v>
      </c>
    </row>
    <row r="43" spans="2:18" ht="15.75" x14ac:dyDescent="0.25">
      <c r="E43" s="79">
        <v>9012</v>
      </c>
      <c r="F43" s="24" t="s">
        <v>106</v>
      </c>
      <c r="G43" s="25" t="s">
        <v>22</v>
      </c>
      <c r="H43" s="8">
        <v>225</v>
      </c>
      <c r="I43" s="8" t="s">
        <v>107</v>
      </c>
    </row>
    <row r="44" spans="2:18" ht="15.75" x14ac:dyDescent="0.25">
      <c r="E44" s="79">
        <v>9860</v>
      </c>
      <c r="F44" s="24" t="s">
        <v>108</v>
      </c>
      <c r="G44" s="25" t="s">
        <v>22</v>
      </c>
      <c r="H44" s="8">
        <v>110</v>
      </c>
      <c r="I44" s="8" t="s">
        <v>109</v>
      </c>
      <c r="K44" s="3">
        <v>0</v>
      </c>
    </row>
    <row r="45" spans="2:18" ht="15.75" x14ac:dyDescent="0.25">
      <c r="E45" s="79"/>
      <c r="F45" s="24"/>
      <c r="G45" s="25"/>
      <c r="H45" s="8"/>
      <c r="I45" s="8"/>
    </row>
    <row r="46" spans="2:18" ht="15.75" x14ac:dyDescent="0.25">
      <c r="E46" s="79"/>
      <c r="F46" s="24"/>
      <c r="G46" s="25"/>
      <c r="H46" s="8"/>
      <c r="I46" s="8"/>
    </row>
    <row r="47" spans="2:18" ht="15.75" x14ac:dyDescent="0.25">
      <c r="E47" s="82"/>
      <c r="F47" s="38"/>
      <c r="G47" s="25"/>
      <c r="H47" s="8"/>
      <c r="I47" s="8"/>
    </row>
    <row r="48" spans="2:18" x14ac:dyDescent="0.2">
      <c r="F48" s="76"/>
      <c r="G48" s="76"/>
      <c r="H48" s="75"/>
      <c r="I48" s="7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G35:G47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E35:E47 E26:E31 K35:K41 K15:K31 E6:E22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0">
        <f>'06'!B1+1</f>
        <v>45603</v>
      </c>
    </row>
    <row r="2" spans="2:21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  <c r="U4" s="1">
        <v>0</v>
      </c>
    </row>
    <row r="5" spans="2:21" ht="15" x14ac:dyDescent="0.25">
      <c r="B5" s="22" t="s">
        <v>3</v>
      </c>
      <c r="C5" s="23">
        <f>SUMIF(I6:I31,"&gt;0",H6:H31)</f>
        <v>5410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1" ht="15.75" x14ac:dyDescent="0.25">
      <c r="B6" s="22" t="s">
        <v>5</v>
      </c>
      <c r="C6" s="23">
        <f>C16</f>
        <v>4120.12</v>
      </c>
      <c r="D6" s="2"/>
      <c r="E6" s="77">
        <v>10009</v>
      </c>
      <c r="F6" s="90" t="s">
        <v>110</v>
      </c>
      <c r="G6" s="90" t="s">
        <v>82</v>
      </c>
      <c r="H6" s="91"/>
      <c r="I6" s="91"/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7</v>
      </c>
      <c r="C7" s="23">
        <f>SUM(M6:M11)</f>
        <v>0</v>
      </c>
      <c r="D7" s="2"/>
      <c r="E7" s="77">
        <v>10010</v>
      </c>
      <c r="F7" s="89" t="s">
        <v>111</v>
      </c>
      <c r="G7" s="89" t="s">
        <v>22</v>
      </c>
      <c r="H7" s="60">
        <v>410</v>
      </c>
      <c r="I7" s="60">
        <v>390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35</v>
      </c>
      <c r="C8" s="28">
        <f>SUM(C6:C7)</f>
        <v>4120.12</v>
      </c>
      <c r="D8" s="2"/>
      <c r="E8" s="77">
        <v>10010</v>
      </c>
      <c r="F8" s="24"/>
      <c r="G8" s="25" t="s">
        <v>14</v>
      </c>
      <c r="H8" s="8"/>
      <c r="I8" s="8">
        <v>20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77">
        <v>10011</v>
      </c>
      <c r="F9" s="24" t="s">
        <v>112</v>
      </c>
      <c r="G9" s="25" t="s">
        <v>18</v>
      </c>
      <c r="H9" s="8">
        <v>1700</v>
      </c>
      <c r="I9" s="8">
        <v>500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02" t="s">
        <v>12</v>
      </c>
      <c r="C10" s="102"/>
      <c r="D10" s="2"/>
      <c r="E10" s="77">
        <v>10012</v>
      </c>
      <c r="F10" s="24" t="s">
        <v>112</v>
      </c>
      <c r="G10" s="25" t="s">
        <v>18</v>
      </c>
      <c r="H10" s="8">
        <v>1250</v>
      </c>
      <c r="I10" s="8">
        <v>500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14</v>
      </c>
      <c r="C11" s="30">
        <f>(SUMIF($G$2:$G$31,B11,$I$2:$I$31))+(SUMIF($G$35:$G$41,B11,$H$35:$H$41))</f>
        <v>20</v>
      </c>
      <c r="D11" s="2"/>
      <c r="E11" s="77">
        <v>10013</v>
      </c>
      <c r="F11" s="24" t="s">
        <v>113</v>
      </c>
      <c r="G11" s="25" t="s">
        <v>18</v>
      </c>
      <c r="H11" s="8">
        <v>1650</v>
      </c>
      <c r="I11" s="8">
        <v>1650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>
        <v>10014</v>
      </c>
      <c r="F12" s="24" t="s">
        <v>113</v>
      </c>
      <c r="G12" s="25" t="s">
        <v>18</v>
      </c>
      <c r="H12" s="8">
        <v>400</v>
      </c>
      <c r="I12" s="8">
        <v>400</v>
      </c>
      <c r="J12" s="2"/>
      <c r="R12" s="1">
        <f>IF(vend7[[#This Row],[Nº Venda]]&gt;1,1,0)</f>
        <v>1</v>
      </c>
    </row>
    <row r="13" spans="2:21" ht="15.75" x14ac:dyDescent="0.25">
      <c r="B13" s="29" t="s">
        <v>18</v>
      </c>
      <c r="C13" s="30">
        <f t="shared" si="0"/>
        <v>3050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IF(vend7[[#This Row],[Nº Venda]]&gt;1,1,0)</f>
        <v>0</v>
      </c>
    </row>
    <row r="14" spans="2:21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IF(vend7[[#This Row],[Nº Venda]]&gt;1,1,0)</f>
        <v>0</v>
      </c>
    </row>
    <row r="15" spans="2:21" ht="15.75" x14ac:dyDescent="0.25">
      <c r="B15" s="29" t="s">
        <v>22</v>
      </c>
      <c r="C15" s="30">
        <f t="shared" si="0"/>
        <v>1050.1199999999999</v>
      </c>
      <c r="D15" s="2"/>
      <c r="E15" s="77"/>
      <c r="F15" s="24"/>
      <c r="G15" s="25"/>
      <c r="H15" s="8"/>
      <c r="I15" s="8"/>
      <c r="J15" s="2"/>
      <c r="K15" s="85">
        <v>9852</v>
      </c>
      <c r="L15" s="9" t="s">
        <v>4</v>
      </c>
      <c r="M15" s="45" t="s">
        <v>40</v>
      </c>
      <c r="R15" s="1">
        <f>IF(vend7[[#This Row],[Nº Venda]]&gt;1,1,0)</f>
        <v>0</v>
      </c>
    </row>
    <row r="16" spans="2:21" ht="15.75" x14ac:dyDescent="0.25">
      <c r="B16" s="27" t="s">
        <v>24</v>
      </c>
      <c r="C16" s="31">
        <f>SUM(C11:C15)</f>
        <v>4120.12</v>
      </c>
      <c r="D16" s="2"/>
      <c r="E16" s="77"/>
      <c r="F16" s="24"/>
      <c r="G16" s="25"/>
      <c r="H16" s="8"/>
      <c r="I16" s="8"/>
      <c r="J16" s="2"/>
      <c r="K16" s="85">
        <v>9946</v>
      </c>
      <c r="L16" s="9" t="s">
        <v>4</v>
      </c>
      <c r="M16" s="16" t="s">
        <v>40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9982</v>
      </c>
      <c r="L17" s="9" t="s">
        <v>4</v>
      </c>
      <c r="M17" s="16" t="s">
        <v>40</v>
      </c>
      <c r="R17" s="1">
        <f>IF(vend7[[#This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10010</v>
      </c>
      <c r="L18" s="9" t="s">
        <v>15</v>
      </c>
      <c r="M18" s="16" t="s">
        <v>40</v>
      </c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5410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9981</v>
      </c>
      <c r="F26" s="54" t="s">
        <v>114</v>
      </c>
      <c r="G26" s="65" t="s">
        <v>22</v>
      </c>
      <c r="H26" s="66"/>
      <c r="I26" s="66">
        <v>349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9814</v>
      </c>
      <c r="F35" s="24" t="s">
        <v>115</v>
      </c>
      <c r="G35" s="25" t="s">
        <v>22</v>
      </c>
      <c r="H35" s="8">
        <v>100</v>
      </c>
      <c r="I35" s="8" t="s">
        <v>116</v>
      </c>
      <c r="K35" s="85"/>
      <c r="L35" s="40"/>
      <c r="M35" s="16"/>
    </row>
    <row r="36" spans="2:18" ht="15.75" x14ac:dyDescent="0.25">
      <c r="E36" s="81">
        <v>9711</v>
      </c>
      <c r="F36" s="24" t="s">
        <v>115</v>
      </c>
      <c r="G36" s="25" t="s">
        <v>22</v>
      </c>
      <c r="H36" s="8">
        <v>101</v>
      </c>
      <c r="I36" s="8" t="s">
        <v>117</v>
      </c>
      <c r="K36" s="85"/>
      <c r="L36" s="40"/>
      <c r="M36" s="16"/>
    </row>
    <row r="37" spans="2:18" ht="15.75" x14ac:dyDescent="0.25">
      <c r="E37" s="77">
        <v>9375</v>
      </c>
      <c r="F37" s="24" t="s">
        <v>118</v>
      </c>
      <c r="G37" s="25" t="s">
        <v>22</v>
      </c>
      <c r="H37" s="8">
        <v>110.12</v>
      </c>
      <c r="I37" s="8" t="s">
        <v>119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7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zoomScale="85" zoomScaleNormal="67" zoomScaleSheetLayoutView="85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3.140625" style="33" customWidth="1"/>
    <col min="8" max="8" width="16.8554687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6.57031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'07'!B1+1</f>
        <v>45604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2840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3474.58</v>
      </c>
      <c r="D6" s="2"/>
      <c r="E6" s="77">
        <v>10015</v>
      </c>
      <c r="F6" s="8" t="s">
        <v>120</v>
      </c>
      <c r="G6" s="8" t="s">
        <v>18</v>
      </c>
      <c r="H6" s="8">
        <v>450</v>
      </c>
      <c r="I6" s="8">
        <v>450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10016</v>
      </c>
      <c r="F7" s="8" t="s">
        <v>121</v>
      </c>
      <c r="G7" s="8" t="s">
        <v>18</v>
      </c>
      <c r="H7" s="8">
        <v>390</v>
      </c>
      <c r="I7" s="8">
        <v>390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35</v>
      </c>
      <c r="C8" s="28">
        <f>SUM(C6:C7)</f>
        <v>3474.58</v>
      </c>
      <c r="D8" s="2"/>
      <c r="E8" s="77">
        <v>10017</v>
      </c>
      <c r="F8" s="8" t="s">
        <v>122</v>
      </c>
      <c r="G8" s="8" t="s">
        <v>16</v>
      </c>
      <c r="H8" s="8">
        <v>1800</v>
      </c>
      <c r="I8" s="8">
        <v>1200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77">
        <v>10017</v>
      </c>
      <c r="F9" s="8" t="s">
        <v>122</v>
      </c>
      <c r="G9" s="8" t="s">
        <v>18</v>
      </c>
      <c r="H9" s="8"/>
      <c r="I9" s="8">
        <v>600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10018</v>
      </c>
      <c r="F10" s="24" t="s">
        <v>122</v>
      </c>
      <c r="G10" s="25" t="s">
        <v>18</v>
      </c>
      <c r="H10" s="8">
        <v>200</v>
      </c>
      <c r="I10" s="8">
        <v>200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14</v>
      </c>
      <c r="C11" s="69">
        <f>(SUMIF($G$2:$G$31,B11,$I$2:$I$31))+(SUMIF($G$35:$G$42,B11,$H$35:$H$42))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16</v>
      </c>
      <c r="C12" s="69">
        <f>(SUMIF($G$2:$G$31,B12,$I$2:$I$31))+(SUMIF($G$35:$G$42,B12,$H$35:$H$42))</f>
        <v>1278.33</v>
      </c>
      <c r="D12" s="2"/>
      <c r="E12" s="77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18</v>
      </c>
      <c r="C13" s="69">
        <f>(SUMIF($G$2:$G$31,B13,$I$2:$I$31))+(SUMIF($G$35:$G$42,B13,$H$35:$H$42))</f>
        <v>1640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IF(vend8[[#This Row],[Nº Venda]]&gt;1,1,0)</f>
        <v>0</v>
      </c>
    </row>
    <row r="14" spans="2:18" ht="15.75" x14ac:dyDescent="0.25">
      <c r="B14" s="29" t="s">
        <v>20</v>
      </c>
      <c r="C14" s="69">
        <f>(SUMIF($G$2:$G$31,B14,$I$2:$I$31))+(SUMIF($G$35:$G$42,B14,$H$35:$H$42))</f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IF(vend8[[#This Row],[Nº Venda]]&gt;1,1,0)</f>
        <v>0</v>
      </c>
    </row>
    <row r="15" spans="2:18" ht="15.75" x14ac:dyDescent="0.25">
      <c r="B15" s="29" t="s">
        <v>22</v>
      </c>
      <c r="C15" s="69">
        <f>(SUMIF($G$2:$G$31,B15,$I$2:$I$31))+(SUMIF($G$35:$G$42,B15,$H$35:$H$42))</f>
        <v>556.25</v>
      </c>
      <c r="D15" s="2"/>
      <c r="E15" s="77"/>
      <c r="F15" s="24"/>
      <c r="G15" s="25"/>
      <c r="H15" s="8"/>
      <c r="I15" s="8"/>
      <c r="J15" s="2"/>
      <c r="K15" s="85">
        <v>9960</v>
      </c>
      <c r="L15" s="9" t="s">
        <v>4</v>
      </c>
      <c r="M15" s="16" t="s">
        <v>65</v>
      </c>
      <c r="R15" s="1">
        <f>IF(vend8[[#This Row],[Nº Venda]]&gt;1,1,0)</f>
        <v>0</v>
      </c>
    </row>
    <row r="16" spans="2:18" ht="15.75" x14ac:dyDescent="0.25">
      <c r="B16" s="27" t="s">
        <v>24</v>
      </c>
      <c r="C16" s="31">
        <f>SUM(C11:C15)</f>
        <v>3474.58</v>
      </c>
      <c r="D16" s="2"/>
      <c r="E16" s="77"/>
      <c r="F16" s="24"/>
      <c r="G16" s="25"/>
      <c r="H16" s="8"/>
      <c r="I16" s="8"/>
      <c r="J16" s="2"/>
      <c r="K16" s="85">
        <v>9961</v>
      </c>
      <c r="L16" s="9" t="s">
        <v>4</v>
      </c>
      <c r="M16" s="16" t="s">
        <v>65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IF(vend8[[#This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1</v>
      </c>
      <c r="C19" s="30">
        <f>SUM(entr_carn8[Valor Total])</f>
        <v>800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24</v>
      </c>
      <c r="C20" s="31">
        <f>SUM(C19:C19)</f>
        <v>800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2840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9960</v>
      </c>
      <c r="F26" s="93" t="s">
        <v>123</v>
      </c>
      <c r="G26" s="94" t="s">
        <v>22</v>
      </c>
      <c r="H26" s="66"/>
      <c r="I26" s="66">
        <v>20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43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43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43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24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9615</v>
      </c>
      <c r="F35" s="24" t="s">
        <v>124</v>
      </c>
      <c r="G35" s="25" t="s">
        <v>16</v>
      </c>
      <c r="H35" s="8">
        <v>78.33</v>
      </c>
      <c r="I35" s="8" t="s">
        <v>125</v>
      </c>
      <c r="K35" s="85">
        <v>9960</v>
      </c>
      <c r="L35" s="40">
        <v>8</v>
      </c>
      <c r="M35" s="16">
        <v>800</v>
      </c>
    </row>
    <row r="36" spans="2:18" ht="15.75" x14ac:dyDescent="0.25">
      <c r="E36" s="81">
        <v>9441</v>
      </c>
      <c r="F36" s="24" t="s">
        <v>126</v>
      </c>
      <c r="G36" s="25" t="s">
        <v>22</v>
      </c>
      <c r="H36" s="8">
        <v>356.25</v>
      </c>
      <c r="I36" s="8" t="s">
        <v>119</v>
      </c>
      <c r="K36" s="85"/>
      <c r="L36" s="40"/>
      <c r="M36" s="16"/>
    </row>
    <row r="37" spans="2:18" ht="15.75" x14ac:dyDescent="0.25">
      <c r="E37" s="77">
        <v>9565</v>
      </c>
      <c r="F37" s="24" t="s">
        <v>127</v>
      </c>
      <c r="G37" s="25" t="s">
        <v>22</v>
      </c>
      <c r="H37" s="8">
        <v>100</v>
      </c>
      <c r="I37" s="8" t="s">
        <v>128</v>
      </c>
      <c r="K37" s="85"/>
      <c r="L37" s="40"/>
      <c r="M37" s="16"/>
    </row>
    <row r="38" spans="2:18" ht="15.75" x14ac:dyDescent="0.25">
      <c r="E38" s="77">
        <v>9699</v>
      </c>
      <c r="F38" s="24" t="s">
        <v>129</v>
      </c>
      <c r="G38" s="25" t="s">
        <v>22</v>
      </c>
      <c r="H38" s="8">
        <v>80</v>
      </c>
      <c r="I38" s="8" t="s">
        <v>125</v>
      </c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5</v>
      </c>
    </row>
    <row r="41" spans="2:18" ht="15.75" x14ac:dyDescent="0.25">
      <c r="E41" s="82"/>
      <c r="F41" s="38"/>
      <c r="G41" s="25"/>
      <c r="H41" s="8"/>
      <c r="I41" s="8"/>
      <c r="K41" s="85"/>
      <c r="L41" s="40"/>
      <c r="M41" s="39"/>
    </row>
    <row r="42" spans="2:18" ht="15.75" x14ac:dyDescent="0.25">
      <c r="E42" s="34"/>
      <c r="F42" s="96"/>
      <c r="G42" s="36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9.710937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1">
        <f>'08'!B1+1</f>
        <v>45605</v>
      </c>
    </row>
    <row r="2" spans="2:22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22" ht="15" x14ac:dyDescent="0.25">
      <c r="B5" s="22" t="s">
        <v>3</v>
      </c>
      <c r="C5" s="23">
        <f>SUMIF(I6:I31,"&gt;0",H6:H31)</f>
        <v>3689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2" ht="15.75" x14ac:dyDescent="0.25">
      <c r="B6" s="22" t="s">
        <v>5</v>
      </c>
      <c r="C6" s="23">
        <f>C16</f>
        <v>1287.6599999999999</v>
      </c>
      <c r="D6" s="2"/>
      <c r="E6" s="77">
        <v>10019</v>
      </c>
      <c r="F6" s="24" t="s">
        <v>130</v>
      </c>
      <c r="G6" s="43" t="s">
        <v>16</v>
      </c>
      <c r="H6" s="8">
        <v>100</v>
      </c>
      <c r="I6" s="8">
        <v>100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7</v>
      </c>
      <c r="C7" s="23">
        <f>SUM(M6:M11)</f>
        <v>0</v>
      </c>
      <c r="D7" s="2"/>
      <c r="E7" s="77">
        <v>10020</v>
      </c>
      <c r="F7" s="24" t="s">
        <v>131</v>
      </c>
      <c r="G7" s="43" t="s">
        <v>82</v>
      </c>
      <c r="H7" s="8"/>
      <c r="I7" s="8"/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35</v>
      </c>
      <c r="C8" s="28">
        <f>SUM(C6:C7)</f>
        <v>1287.6599999999999</v>
      </c>
      <c r="D8" s="2"/>
      <c r="E8" s="77">
        <v>10021</v>
      </c>
      <c r="F8" s="24" t="s">
        <v>132</v>
      </c>
      <c r="G8" s="25" t="s">
        <v>14</v>
      </c>
      <c r="H8" s="8">
        <v>700</v>
      </c>
      <c r="I8" s="8">
        <v>106</v>
      </c>
      <c r="J8" s="2"/>
      <c r="K8" s="24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77">
        <v>10022</v>
      </c>
      <c r="F9" s="24" t="s">
        <v>133</v>
      </c>
      <c r="G9" s="25" t="s">
        <v>18</v>
      </c>
      <c r="H9" s="8">
        <v>1100</v>
      </c>
      <c r="I9" s="8">
        <v>50</v>
      </c>
      <c r="J9" s="2"/>
      <c r="K9" s="24"/>
      <c r="L9" s="9"/>
      <c r="M9" s="16"/>
      <c r="R9" s="1">
        <f>IF(vend9[[#This Row],[Nº Venda]]&gt;1,1,0)</f>
        <v>1</v>
      </c>
    </row>
    <row r="10" spans="2:22" ht="15.75" x14ac:dyDescent="0.25">
      <c r="B10" s="102" t="s">
        <v>12</v>
      </c>
      <c r="C10" s="102"/>
      <c r="D10" s="2"/>
      <c r="E10" s="77">
        <v>10023</v>
      </c>
      <c r="F10" s="24" t="s">
        <v>133</v>
      </c>
      <c r="G10" s="25" t="s">
        <v>18</v>
      </c>
      <c r="H10" s="8">
        <v>1100</v>
      </c>
      <c r="I10" s="8">
        <v>50</v>
      </c>
      <c r="J10" s="2"/>
      <c r="K10" s="24"/>
      <c r="L10" s="9"/>
      <c r="M10" s="16"/>
      <c r="R10" s="1">
        <f>IF(vend9[[#This Row],[Nº Venda]]&gt;1,1,0)</f>
        <v>1</v>
      </c>
    </row>
    <row r="11" spans="2:22" ht="15.75" x14ac:dyDescent="0.25">
      <c r="B11" s="29" t="s">
        <v>14</v>
      </c>
      <c r="C11" s="30">
        <f>(SUMIF($G$2:$G$31,B11,$I$2:$I$31))+(SUMIF($G$35:$G$41,B11,$H$35:$H$41))</f>
        <v>306</v>
      </c>
      <c r="D11" s="2"/>
      <c r="E11" s="77">
        <v>10024</v>
      </c>
      <c r="F11" s="24" t="s">
        <v>134</v>
      </c>
      <c r="G11" s="25" t="s">
        <v>18</v>
      </c>
      <c r="H11" s="8">
        <v>590</v>
      </c>
      <c r="I11" s="8">
        <v>390</v>
      </c>
      <c r="J11" s="2"/>
      <c r="K11" s="26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29" t="s">
        <v>16</v>
      </c>
      <c r="C12" s="30">
        <f t="shared" ref="C12:C15" si="0">(SUMIF($G$2:$G$31,B12,$I$2:$I$31))+(SUMIF($G$35:$G$41,B12,$H$35:$H$41))</f>
        <v>100</v>
      </c>
      <c r="D12" s="2"/>
      <c r="E12" s="77">
        <v>10024</v>
      </c>
      <c r="F12" s="24" t="s">
        <v>134</v>
      </c>
      <c r="G12" s="25" t="s">
        <v>14</v>
      </c>
      <c r="H12" s="8"/>
      <c r="I12" s="8">
        <v>200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29" t="s">
        <v>18</v>
      </c>
      <c r="C13" s="30">
        <f t="shared" si="0"/>
        <v>589</v>
      </c>
      <c r="D13" s="2"/>
      <c r="E13" s="77">
        <v>10025</v>
      </c>
      <c r="F13" s="24" t="s">
        <v>135</v>
      </c>
      <c r="G13" s="25" t="s">
        <v>136</v>
      </c>
      <c r="H13" s="8">
        <v>40</v>
      </c>
      <c r="I13" s="8">
        <v>0</v>
      </c>
      <c r="J13" s="2"/>
      <c r="K13" s="104" t="s">
        <v>36</v>
      </c>
      <c r="L13" s="105"/>
      <c r="M13" s="106"/>
      <c r="R13" s="1">
        <f>IF(vend9[[#This Row],[Nº Venda]]&gt;1,1,0)</f>
        <v>1</v>
      </c>
    </row>
    <row r="14" spans="2:22" ht="15.75" x14ac:dyDescent="0.25">
      <c r="B14" s="29" t="s">
        <v>20</v>
      </c>
      <c r="C14" s="30">
        <f t="shared" si="0"/>
        <v>0</v>
      </c>
      <c r="D14" s="2"/>
      <c r="E14" s="77">
        <v>10026</v>
      </c>
      <c r="F14" s="24" t="s">
        <v>137</v>
      </c>
      <c r="G14" s="25" t="s">
        <v>18</v>
      </c>
      <c r="H14" s="8">
        <v>99</v>
      </c>
      <c r="I14" s="8">
        <v>99</v>
      </c>
      <c r="J14" s="2"/>
      <c r="K14" s="14" t="s">
        <v>37</v>
      </c>
      <c r="L14" s="6" t="s">
        <v>38</v>
      </c>
      <c r="M14" s="15" t="s">
        <v>39</v>
      </c>
      <c r="R14" s="1">
        <f>IF(vend9[[#This Row],[Nº Venda]]&gt;1,1,0)</f>
        <v>1</v>
      </c>
    </row>
    <row r="15" spans="2:22" ht="15.75" x14ac:dyDescent="0.25">
      <c r="B15" s="29" t="s">
        <v>22</v>
      </c>
      <c r="C15" s="30">
        <f t="shared" si="0"/>
        <v>292.65999999999997</v>
      </c>
      <c r="D15" s="2"/>
      <c r="E15" s="77"/>
      <c r="F15" s="24"/>
      <c r="G15" s="25"/>
      <c r="H15" s="8"/>
      <c r="I15" s="8"/>
      <c r="J15" s="2"/>
      <c r="K15" s="85">
        <v>9890</v>
      </c>
      <c r="L15" s="9" t="s">
        <v>15</v>
      </c>
      <c r="M15" s="16" t="s">
        <v>40</v>
      </c>
      <c r="R15" s="1">
        <f>IF(vend9[[#This Row],[Nº Venda]]&gt;1,1,0)</f>
        <v>0</v>
      </c>
    </row>
    <row r="16" spans="2:22" ht="15.75" x14ac:dyDescent="0.25">
      <c r="B16" s="27" t="s">
        <v>24</v>
      </c>
      <c r="C16" s="31">
        <f>SUM(C11:C15)</f>
        <v>1287.6599999999999</v>
      </c>
      <c r="D16" s="2"/>
      <c r="E16" s="77"/>
      <c r="F16" s="24"/>
      <c r="G16" s="25"/>
      <c r="H16" s="8"/>
      <c r="I16" s="8"/>
      <c r="J16" s="2"/>
      <c r="K16" s="85">
        <v>9945</v>
      </c>
      <c r="L16" s="9" t="s">
        <v>4</v>
      </c>
      <c r="M16" s="16" t="s">
        <v>40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9973</v>
      </c>
      <c r="L17" s="9" t="s">
        <v>4</v>
      </c>
      <c r="M17" s="16" t="s">
        <v>65</v>
      </c>
      <c r="R17" s="1">
        <f>IF(vend9[[#This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9977</v>
      </c>
      <c r="L18" s="9" t="s">
        <v>4</v>
      </c>
      <c r="M18" s="16" t="s">
        <v>40</v>
      </c>
      <c r="R18" s="1">
        <f>IF(vend9[[#This Row],[Nº Venda]]&gt;1,1,0)</f>
        <v>0</v>
      </c>
    </row>
    <row r="19" spans="2:18" ht="15.75" x14ac:dyDescent="0.25">
      <c r="B19" s="29">
        <f>COUNT(entr_carn9[OS])</f>
        <v>1</v>
      </c>
      <c r="C19" s="30">
        <f>SUM(entr_carn9[Valor Total])</f>
        <v>620</v>
      </c>
      <c r="D19" s="2"/>
      <c r="E19" s="77"/>
      <c r="F19" s="24"/>
      <c r="G19" s="25"/>
      <c r="H19" s="8"/>
      <c r="I19" s="8"/>
      <c r="J19" s="2"/>
      <c r="K19" s="85">
        <v>9986</v>
      </c>
      <c r="L19" s="9" t="s">
        <v>4</v>
      </c>
      <c r="M19" s="16" t="s">
        <v>40</v>
      </c>
      <c r="R19" s="1">
        <f>IF(vend9[[#This Row],[Nº Venda]]&gt;1,1,0)</f>
        <v>0</v>
      </c>
    </row>
    <row r="20" spans="2:18" ht="15.75" x14ac:dyDescent="0.25">
      <c r="B20" s="27" t="s">
        <v>24</v>
      </c>
      <c r="C20" s="31">
        <f>SUM(C19:C19)</f>
        <v>620</v>
      </c>
      <c r="D20" s="2"/>
      <c r="E20" s="77"/>
      <c r="F20" s="24"/>
      <c r="G20" s="25"/>
      <c r="H20" s="8"/>
      <c r="I20" s="8"/>
      <c r="J20" s="2"/>
      <c r="K20" s="85">
        <v>10009</v>
      </c>
      <c r="L20" s="9" t="s">
        <v>15</v>
      </c>
      <c r="M20" s="16" t="s">
        <v>40</v>
      </c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10019</v>
      </c>
      <c r="L21" s="9" t="s">
        <v>4</v>
      </c>
      <c r="M21" s="16" t="s">
        <v>40</v>
      </c>
    </row>
    <row r="22" spans="2:18" ht="15.75" x14ac:dyDescent="0.25">
      <c r="B22" s="27" t="s">
        <v>41</v>
      </c>
      <c r="C22" s="31">
        <f>C5</f>
        <v>3689</v>
      </c>
      <c r="D22" s="2"/>
      <c r="E22" s="77"/>
      <c r="F22" s="24"/>
      <c r="G22" s="25"/>
      <c r="H22" s="8"/>
      <c r="I22" s="8"/>
      <c r="J22" s="2"/>
      <c r="K22" s="85">
        <v>10026</v>
      </c>
      <c r="L22" s="9" t="s">
        <v>15</v>
      </c>
      <c r="M22" s="16" t="s">
        <v>40</v>
      </c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9973</v>
      </c>
      <c r="F26" s="24" t="s">
        <v>138</v>
      </c>
      <c r="G26" s="43" t="s">
        <v>22</v>
      </c>
      <c r="H26" s="8"/>
      <c r="I26" s="8">
        <v>120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9452</v>
      </c>
      <c r="F35" s="24" t="s">
        <v>139</v>
      </c>
      <c r="G35" s="25" t="s">
        <v>22</v>
      </c>
      <c r="H35" s="8">
        <v>66.66</v>
      </c>
      <c r="I35" s="8" t="s">
        <v>101</v>
      </c>
      <c r="K35" s="85">
        <v>9973</v>
      </c>
      <c r="L35" s="40">
        <v>6</v>
      </c>
      <c r="M35" s="16">
        <v>620</v>
      </c>
    </row>
    <row r="36" spans="2:18" ht="15.75" x14ac:dyDescent="0.25">
      <c r="E36" s="81">
        <v>9092</v>
      </c>
      <c r="F36" s="24" t="s">
        <v>140</v>
      </c>
      <c r="G36" s="25" t="s">
        <v>22</v>
      </c>
      <c r="H36" s="8">
        <v>106</v>
      </c>
      <c r="I36" s="8" t="s">
        <v>141</v>
      </c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9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3"/>
  <sheetViews>
    <sheetView showGridLines="0" zoomScale="76" zoomScaleNormal="76" workbookViewId="0">
      <selection activeCell="U14" sqref="U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'09'!B1+1</f>
        <v>45606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SUMIF(I6:I32,"&gt;0",H6:H32)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SUM(I6:I42)</f>
        <v>0</v>
      </c>
      <c r="D6" s="2"/>
      <c r="E6" s="77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14</v>
      </c>
      <c r="C11" s="30">
        <f>(SUMIF($G$2:$G$32,B11,$I$2:$I$32))+(SUMIF($G$36:$G$42,B11,$H$36:$H$42))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16</v>
      </c>
      <c r="C12" s="30">
        <f>(SUMIF($G$2:$G$32,B12,$I$2:$I$32))+(SUMIF($G$36:$G$42,B12,$H$36:$H$42))</f>
        <v>0</v>
      </c>
      <c r="D12" s="2"/>
      <c r="E12" s="77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18</v>
      </c>
      <c r="C13" s="30">
        <f>(SUMIF($G$2:$G$32,B13,$I$2:$I$32))+(SUMIF($G$36:$G$42,B13,$H$36:$H$42))</f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IF(vend10[[#This Row],[Nº Venda]]&gt;1,1,0)</f>
        <v>0</v>
      </c>
    </row>
    <row r="14" spans="2:18" ht="15.75" x14ac:dyDescent="0.25">
      <c r="B14" s="29" t="s">
        <v>20</v>
      </c>
      <c r="C14" s="30">
        <f>(SUMIF($G$2:$G$32,B14,$I$2:$I$32))+(SUMIF($G$36:$G$42,B14,$H$36:$H$42))</f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IF(vend10[[#This Row],[Nº Venda]]&gt;1,1,0)</f>
        <v>0</v>
      </c>
    </row>
    <row r="15" spans="2:18" ht="15.75" x14ac:dyDescent="0.25">
      <c r="B15" s="29" t="s">
        <v>22</v>
      </c>
      <c r="C15" s="30">
        <f>(SUMIF($G$2:$G$32,B15,$I$2:$I$32))+(SUMIF($G$36:$G$42,B15,$H$36:$H$42))</f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8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IF(vend10[[#This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43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43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43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4" t="s">
        <v>25</v>
      </c>
      <c r="L33" s="105"/>
      <c r="M33" s="106"/>
    </row>
    <row r="34" spans="2:18" ht="15" x14ac:dyDescent="0.25">
      <c r="E34" s="103" t="s">
        <v>44</v>
      </c>
      <c r="F34" s="103"/>
      <c r="G34" s="103"/>
      <c r="H34" s="103"/>
      <c r="I34" s="103"/>
      <c r="K34" s="14" t="s">
        <v>37</v>
      </c>
      <c r="L34" s="6" t="s">
        <v>47</v>
      </c>
      <c r="M34" s="15" t="s">
        <v>48</v>
      </c>
    </row>
    <row r="35" spans="2:18" ht="15" x14ac:dyDescent="0.25">
      <c r="E35" s="83" t="s">
        <v>37</v>
      </c>
      <c r="F35" s="10" t="s">
        <v>28</v>
      </c>
      <c r="G35" s="11" t="s">
        <v>29</v>
      </c>
      <c r="H35" s="12" t="s">
        <v>45</v>
      </c>
      <c r="I35" s="13" t="s">
        <v>46</v>
      </c>
      <c r="K35" s="85"/>
      <c r="L35" s="40"/>
      <c r="M35" s="16"/>
    </row>
    <row r="36" spans="2:18" ht="15.75" x14ac:dyDescent="0.25">
      <c r="E36" s="77"/>
      <c r="F36" s="24"/>
      <c r="G36" s="25"/>
      <c r="H36" s="8"/>
      <c r="I36" s="8"/>
      <c r="K36" s="85"/>
      <c r="L36" s="40"/>
      <c r="M36" s="16"/>
    </row>
    <row r="37" spans="2:18" ht="15.75" x14ac:dyDescent="0.25">
      <c r="E37" s="81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24"/>
      <c r="G39" s="25"/>
      <c r="H39" s="8"/>
      <c r="I39" s="8"/>
      <c r="K39" s="85"/>
      <c r="L39" s="40"/>
      <c r="M39" s="16"/>
    </row>
    <row r="40" spans="2:18" ht="15.75" x14ac:dyDescent="0.25">
      <c r="E40" s="77"/>
      <c r="F40" s="38"/>
      <c r="G40" s="25"/>
      <c r="H40" s="8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79"/>
      <c r="F41" s="35"/>
      <c r="G41" s="36"/>
      <c r="H41" s="17"/>
      <c r="I41" s="8"/>
      <c r="K41" s="85"/>
      <c r="L41" s="40"/>
      <c r="M41" s="39"/>
    </row>
    <row r="42" spans="2:18" ht="15.75" x14ac:dyDescent="0.25">
      <c r="E42" s="42"/>
      <c r="F42" s="38"/>
      <c r="G42" s="25"/>
      <c r="H42" s="8"/>
      <c r="I42" s="8"/>
    </row>
    <row r="43" spans="2:18" x14ac:dyDescent="0.2">
      <c r="K43" s="92" t="s">
        <v>142</v>
      </c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" zoomScale="90" zoomScaleNormal="90" workbookViewId="0">
      <selection activeCell="G23" sqref="G2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'10'!B1+1</f>
        <v>45607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3067.99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3067.99</v>
      </c>
      <c r="D6" s="2"/>
      <c r="E6" s="77">
        <v>10027</v>
      </c>
      <c r="F6" s="24" t="s">
        <v>143</v>
      </c>
      <c r="G6" s="43" t="s">
        <v>14</v>
      </c>
      <c r="H6" s="8">
        <v>800</v>
      </c>
      <c r="I6" s="8">
        <v>800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10028</v>
      </c>
      <c r="F7" s="24" t="s">
        <v>143</v>
      </c>
      <c r="G7" s="43" t="s">
        <v>14</v>
      </c>
      <c r="H7" s="8">
        <v>500</v>
      </c>
      <c r="I7" s="8">
        <v>200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35</v>
      </c>
      <c r="C8" s="28">
        <f>SUM(C6:C7)</f>
        <v>3067.99</v>
      </c>
      <c r="D8" s="2"/>
      <c r="E8" s="77">
        <v>10028</v>
      </c>
      <c r="F8" s="24" t="s">
        <v>143</v>
      </c>
      <c r="G8" s="25" t="s">
        <v>18</v>
      </c>
      <c r="H8" s="8"/>
      <c r="I8" s="8">
        <v>300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77">
        <v>10029</v>
      </c>
      <c r="F9" s="24" t="s">
        <v>143</v>
      </c>
      <c r="G9" s="25" t="s">
        <v>18</v>
      </c>
      <c r="H9" s="8">
        <v>900</v>
      </c>
      <c r="I9" s="8">
        <v>900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10030</v>
      </c>
      <c r="F10" s="24" t="s">
        <v>144</v>
      </c>
      <c r="G10" s="25" t="s">
        <v>16</v>
      </c>
      <c r="H10" s="8">
        <v>229.99</v>
      </c>
      <c r="I10" s="8">
        <v>229.99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1550</v>
      </c>
      <c r="D11" s="2"/>
      <c r="E11" s="77">
        <v>10031</v>
      </c>
      <c r="F11" s="24" t="s">
        <v>143</v>
      </c>
      <c r="G11" s="25" t="s">
        <v>18</v>
      </c>
      <c r="H11" s="8">
        <v>219</v>
      </c>
      <c r="I11" s="8">
        <v>219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229.99</v>
      </c>
      <c r="D12" s="2"/>
      <c r="E12" s="77">
        <v>10032</v>
      </c>
      <c r="F12" s="24" t="s">
        <v>143</v>
      </c>
      <c r="G12" s="25" t="s">
        <v>18</v>
      </c>
      <c r="H12" s="8">
        <v>219</v>
      </c>
      <c r="I12" s="8">
        <v>219</v>
      </c>
      <c r="J12" s="2"/>
      <c r="R12" s="1">
        <f>IF(vend11[[#This Row],[Nº Venda]]&gt;1,1,0)</f>
        <v>1</v>
      </c>
    </row>
    <row r="13" spans="2:18" ht="15.75" x14ac:dyDescent="0.25">
      <c r="B13" s="29" t="s">
        <v>18</v>
      </c>
      <c r="C13" s="30">
        <f t="shared" si="0"/>
        <v>1638</v>
      </c>
      <c r="D13" s="2"/>
      <c r="E13" s="78">
        <v>10033</v>
      </c>
      <c r="F13" s="24" t="s">
        <v>145</v>
      </c>
      <c r="G13" s="25" t="s">
        <v>22</v>
      </c>
      <c r="H13" s="8">
        <v>200</v>
      </c>
      <c r="I13" s="8">
        <v>200</v>
      </c>
      <c r="J13" s="2"/>
      <c r="K13" s="104" t="s">
        <v>36</v>
      </c>
      <c r="L13" s="105"/>
      <c r="M13" s="106"/>
      <c r="R13" s="1">
        <f>IF(vend11[[#This Row],[Nº Venda]]&gt;1,1,0)</f>
        <v>1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IF(vend11[[#This Row],[Nº Venda]]&gt;1,1,0)</f>
        <v>0</v>
      </c>
    </row>
    <row r="15" spans="2:18" ht="15.75" x14ac:dyDescent="0.25">
      <c r="B15" s="29" t="s">
        <v>22</v>
      </c>
      <c r="C15" s="30">
        <f t="shared" si="0"/>
        <v>615.16</v>
      </c>
      <c r="D15" s="2"/>
      <c r="E15" s="77"/>
      <c r="F15" s="24"/>
      <c r="G15" s="25"/>
      <c r="H15" s="8"/>
      <c r="I15" s="8"/>
      <c r="J15" s="2"/>
      <c r="K15" s="85">
        <v>9989</v>
      </c>
      <c r="L15" s="9" t="s">
        <v>4</v>
      </c>
      <c r="M15" s="16" t="s">
        <v>40</v>
      </c>
      <c r="R15" s="1">
        <f>IF(vend11[[#This Row],[Nº Venda]]&gt;1,1,0)</f>
        <v>0</v>
      </c>
    </row>
    <row r="16" spans="2:18" ht="15.75" x14ac:dyDescent="0.25">
      <c r="B16" s="27" t="s">
        <v>24</v>
      </c>
      <c r="C16" s="31">
        <f>SUM(C11:C15)</f>
        <v>4033.1499999999996</v>
      </c>
      <c r="D16" s="2"/>
      <c r="E16" s="77"/>
      <c r="F16" s="24"/>
      <c r="G16" s="25"/>
      <c r="H16" s="8"/>
      <c r="I16" s="8"/>
      <c r="J16" s="2"/>
      <c r="K16" s="85">
        <v>9965</v>
      </c>
      <c r="L16" s="9" t="s">
        <v>15</v>
      </c>
      <c r="M16" s="88" t="s">
        <v>40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10031</v>
      </c>
      <c r="L17" s="9" t="s">
        <v>4</v>
      </c>
      <c r="M17" s="16" t="s">
        <v>40</v>
      </c>
      <c r="R17" s="1">
        <f>IF(vend11[[#This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10032</v>
      </c>
      <c r="L18" s="9" t="s">
        <v>4</v>
      </c>
      <c r="M18" s="16" t="s">
        <v>40</v>
      </c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77"/>
      <c r="F19" s="24"/>
      <c r="G19" s="25"/>
      <c r="H19" s="8"/>
      <c r="I19" s="8"/>
      <c r="J19" s="2"/>
      <c r="K19" s="85">
        <v>9972</v>
      </c>
      <c r="L19" s="9" t="s">
        <v>15</v>
      </c>
      <c r="M19" s="16" t="s">
        <v>40</v>
      </c>
      <c r="R19" s="1">
        <f>IF(vend11[[#This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>
        <v>10029</v>
      </c>
      <c r="L20" s="9" t="s">
        <v>4</v>
      </c>
      <c r="M20" s="16" t="s">
        <v>40</v>
      </c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9901</v>
      </c>
      <c r="L21" s="9" t="s">
        <v>4</v>
      </c>
      <c r="M21" s="16" t="s">
        <v>40</v>
      </c>
    </row>
    <row r="22" spans="2:18" ht="15.75" x14ac:dyDescent="0.25">
      <c r="B22" s="27" t="s">
        <v>41</v>
      </c>
      <c r="C22" s="31">
        <f>C5</f>
        <v>3067.99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43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9850</v>
      </c>
      <c r="F35" s="24" t="s">
        <v>146</v>
      </c>
      <c r="G35" s="25" t="s">
        <v>14</v>
      </c>
      <c r="H35" s="8">
        <v>275</v>
      </c>
      <c r="I35" s="8" t="s">
        <v>147</v>
      </c>
      <c r="K35" s="85"/>
      <c r="L35" s="40"/>
      <c r="M35" s="16"/>
    </row>
    <row r="36" spans="2:18" ht="15.75" x14ac:dyDescent="0.25">
      <c r="E36" s="81">
        <v>9850</v>
      </c>
      <c r="F36" s="24" t="s">
        <v>146</v>
      </c>
      <c r="G36" s="25" t="s">
        <v>14</v>
      </c>
      <c r="H36" s="8">
        <v>275</v>
      </c>
      <c r="I36" s="8" t="s">
        <v>148</v>
      </c>
      <c r="K36" s="85"/>
      <c r="L36" s="40"/>
      <c r="M36" s="16"/>
    </row>
    <row r="37" spans="2:18" ht="15.75" x14ac:dyDescent="0.25">
      <c r="E37" s="77">
        <v>9716</v>
      </c>
      <c r="F37" s="24" t="s">
        <v>149</v>
      </c>
      <c r="G37" s="25" t="s">
        <v>22</v>
      </c>
      <c r="H37" s="8">
        <v>120</v>
      </c>
      <c r="I37" s="8" t="s">
        <v>125</v>
      </c>
      <c r="K37" s="85"/>
      <c r="L37" s="40"/>
      <c r="M37" s="16"/>
    </row>
    <row r="38" spans="2:18" ht="15.75" x14ac:dyDescent="0.25">
      <c r="E38" s="77">
        <v>9728</v>
      </c>
      <c r="F38" s="24" t="s">
        <v>150</v>
      </c>
      <c r="G38" s="25" t="s">
        <v>22</v>
      </c>
      <c r="H38" s="8">
        <v>162.5</v>
      </c>
      <c r="I38" s="8" t="s">
        <v>128</v>
      </c>
      <c r="K38" s="85"/>
      <c r="L38" s="40"/>
      <c r="M38" s="16"/>
    </row>
    <row r="39" spans="2:18" ht="15.75" x14ac:dyDescent="0.25">
      <c r="E39" s="77">
        <v>9208</v>
      </c>
      <c r="F39" s="38" t="s">
        <v>151</v>
      </c>
      <c r="G39" s="25" t="s">
        <v>22</v>
      </c>
      <c r="H39" s="8">
        <v>66.33</v>
      </c>
      <c r="I39" s="8" t="s">
        <v>101</v>
      </c>
      <c r="K39" s="85"/>
      <c r="L39" s="40"/>
      <c r="M39" s="16"/>
    </row>
    <row r="40" spans="2:18" ht="15.75" x14ac:dyDescent="0.25">
      <c r="E40" s="79">
        <v>9208</v>
      </c>
      <c r="F40" s="35" t="s">
        <v>151</v>
      </c>
      <c r="G40" s="36" t="s">
        <v>22</v>
      </c>
      <c r="H40" s="17">
        <v>66.33</v>
      </c>
      <c r="I40" s="8" t="s">
        <v>102</v>
      </c>
      <c r="K40" s="86"/>
      <c r="L40" s="41"/>
      <c r="M40" s="39"/>
      <c r="Q40" s="1" t="s">
        <v>55</v>
      </c>
      <c r="R40" s="1">
        <f>SUM(R6:R21)</f>
        <v>8</v>
      </c>
    </row>
    <row r="41" spans="2:18" ht="15.75" x14ac:dyDescent="0.25">
      <c r="E41" s="42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7:M31 M15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31F3012D-9140-4A62-93B0-5E0B6C678CB8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E35:E40 E26:E31 E6:E22 K35:K41 K15:K31</xm:sqref>
        </x14:dataValidation>
        <x14:dataValidation type="list" allowBlank="1" showInputMessage="1" showErrorMessage="1" xr:uid="{E5A44FEC-6D80-4034-81A6-DD15AC4E73FB}">
          <x14:formula1>
            <xm:f>base_OS!$A$2:$A$3502</xm:f>
          </x14:formula1>
          <xm:sqref>E41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4" zoomScale="90" zoomScaleNormal="90" workbookViewId="0">
      <selection activeCell="C6" sqref="C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'11'!B1+1</f>
        <v>45608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100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200</v>
      </c>
      <c r="D6" s="2"/>
      <c r="E6" s="77">
        <v>10034</v>
      </c>
      <c r="F6" s="46" t="s">
        <v>152</v>
      </c>
      <c r="G6" s="46" t="s">
        <v>22</v>
      </c>
      <c r="H6" s="47">
        <v>100</v>
      </c>
      <c r="I6" s="47">
        <v>100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48"/>
      <c r="G7" s="48"/>
      <c r="H7" s="49"/>
      <c r="I7" s="49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35</v>
      </c>
      <c r="C8" s="28">
        <f>SUM(C6:C7)</f>
        <v>200</v>
      </c>
      <c r="D8" s="2"/>
      <c r="E8" s="77"/>
      <c r="F8" s="48"/>
      <c r="G8" s="48"/>
      <c r="H8" s="49"/>
      <c r="I8" s="49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100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500</v>
      </c>
      <c r="D12" s="2"/>
      <c r="E12" s="77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IF(vend12[[#This Row],[Nº Venda]]&gt;1,1,0)</f>
        <v>0</v>
      </c>
    </row>
    <row r="15" spans="2:18" ht="15.75" x14ac:dyDescent="0.25">
      <c r="B15" s="29" t="s">
        <v>22</v>
      </c>
      <c r="C15" s="30">
        <f t="shared" si="0"/>
        <v>603.99</v>
      </c>
      <c r="D15" s="2"/>
      <c r="E15" s="77"/>
      <c r="F15" s="24"/>
      <c r="G15" s="25"/>
      <c r="H15" s="8"/>
      <c r="I15" s="8"/>
      <c r="J15" s="2"/>
      <c r="K15" s="85">
        <v>10034</v>
      </c>
      <c r="L15" s="9" t="s">
        <v>4</v>
      </c>
      <c r="M15" s="16" t="s">
        <v>40</v>
      </c>
      <c r="R15" s="1">
        <f>IF(vend12[[#This Row],[Nº Venda]]&gt;1,1,0)</f>
        <v>0</v>
      </c>
    </row>
    <row r="16" spans="2:18" ht="15.75" x14ac:dyDescent="0.25">
      <c r="B16" s="27" t="s">
        <v>24</v>
      </c>
      <c r="C16" s="31">
        <f>SUM(C11:C15)</f>
        <v>1203.99</v>
      </c>
      <c r="D16" s="2"/>
      <c r="E16" s="77"/>
      <c r="F16" s="24"/>
      <c r="G16" s="25"/>
      <c r="H16" s="8"/>
      <c r="I16" s="8"/>
      <c r="J16" s="2"/>
      <c r="K16" s="85">
        <v>9964</v>
      </c>
      <c r="L16" s="9" t="s">
        <v>15</v>
      </c>
      <c r="M16" s="16" t="s">
        <v>40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9969</v>
      </c>
      <c r="L17" s="9" t="s">
        <v>4</v>
      </c>
      <c r="M17" s="16" t="s">
        <v>40</v>
      </c>
      <c r="R17" s="1">
        <f>IF(vend12[[#This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100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9941</v>
      </c>
      <c r="F26" s="50" t="s">
        <v>153</v>
      </c>
      <c r="G26" s="43" t="s">
        <v>14</v>
      </c>
      <c r="H26" s="8"/>
      <c r="I26" s="8">
        <v>100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9072</v>
      </c>
      <c r="F35" s="24" t="s">
        <v>154</v>
      </c>
      <c r="G35" s="25" t="s">
        <v>22</v>
      </c>
      <c r="H35" s="8">
        <v>168.33</v>
      </c>
      <c r="I35" s="8" t="s">
        <v>68</v>
      </c>
      <c r="K35" s="85"/>
      <c r="L35" s="40"/>
      <c r="M35" s="16"/>
    </row>
    <row r="36" spans="2:18" ht="15.75" x14ac:dyDescent="0.25">
      <c r="E36" s="81">
        <v>9723</v>
      </c>
      <c r="F36" s="24" t="s">
        <v>155</v>
      </c>
      <c r="G36" s="25" t="s">
        <v>22</v>
      </c>
      <c r="H36" s="8">
        <v>91.66</v>
      </c>
      <c r="I36" s="8" t="s">
        <v>125</v>
      </c>
      <c r="K36" s="85"/>
      <c r="L36" s="40"/>
      <c r="M36" s="16"/>
    </row>
    <row r="37" spans="2:18" ht="15.75" x14ac:dyDescent="0.25">
      <c r="E37" s="77">
        <v>9757</v>
      </c>
      <c r="F37" s="24" t="s">
        <v>156</v>
      </c>
      <c r="G37" s="25" t="s">
        <v>22</v>
      </c>
      <c r="H37" s="8">
        <v>180</v>
      </c>
      <c r="I37" s="8" t="s">
        <v>125</v>
      </c>
      <c r="K37" s="85"/>
      <c r="L37" s="40"/>
      <c r="M37" s="16"/>
    </row>
    <row r="38" spans="2:18" ht="15.75" x14ac:dyDescent="0.25">
      <c r="E38" s="77">
        <v>9598</v>
      </c>
      <c r="F38" s="38" t="s">
        <v>157</v>
      </c>
      <c r="G38" s="25" t="s">
        <v>22</v>
      </c>
      <c r="H38" s="8">
        <v>64</v>
      </c>
      <c r="I38" s="8" t="s">
        <v>102</v>
      </c>
      <c r="K38" s="85"/>
      <c r="L38" s="40"/>
      <c r="M38" s="16"/>
    </row>
    <row r="39" spans="2:18" ht="15.75" x14ac:dyDescent="0.25">
      <c r="E39" s="77">
        <v>9272</v>
      </c>
      <c r="F39" s="38" t="s">
        <v>158</v>
      </c>
      <c r="G39" s="25" t="s">
        <v>16</v>
      </c>
      <c r="H39" s="8">
        <v>500</v>
      </c>
      <c r="I39" s="8" t="s">
        <v>159</v>
      </c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1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90" zoomScaleNormal="9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'12'!B1+1</f>
        <v>45609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1074.6399999999999</v>
      </c>
      <c r="D6" s="2"/>
      <c r="E6" s="77">
        <v>10035</v>
      </c>
      <c r="F6" s="24" t="s">
        <v>160</v>
      </c>
      <c r="G6" s="25" t="s">
        <v>82</v>
      </c>
      <c r="H6" s="8"/>
      <c r="I6" s="8"/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10036</v>
      </c>
      <c r="F7" s="24" t="s">
        <v>154</v>
      </c>
      <c r="G7" s="25" t="s">
        <v>82</v>
      </c>
      <c r="H7" s="8"/>
      <c r="I7" s="8"/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35</v>
      </c>
      <c r="C8" s="28">
        <f>SUM(C6:C7)</f>
        <v>1074.6399999999999</v>
      </c>
      <c r="D8" s="2"/>
      <c r="E8" s="77">
        <v>10037</v>
      </c>
      <c r="F8" s="24" t="s">
        <v>161</v>
      </c>
      <c r="G8" s="25" t="s">
        <v>82</v>
      </c>
      <c r="H8" s="8"/>
      <c r="I8" s="8"/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77">
        <v>10038</v>
      </c>
      <c r="F9" s="24" t="s">
        <v>161</v>
      </c>
      <c r="G9" s="25" t="s">
        <v>136</v>
      </c>
      <c r="H9" s="8">
        <v>180</v>
      </c>
      <c r="I9" s="8">
        <v>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700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237.14</v>
      </c>
      <c r="D12" s="2"/>
      <c r="E12" s="77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IF(vend13[[#This Row],[Nº Venda]]&gt;1,1,0)</f>
        <v>0</v>
      </c>
    </row>
    <row r="15" spans="2:18" ht="15.75" x14ac:dyDescent="0.25">
      <c r="B15" s="29" t="s">
        <v>22</v>
      </c>
      <c r="C15" s="30">
        <f t="shared" si="0"/>
        <v>137.5</v>
      </c>
      <c r="D15" s="2"/>
      <c r="E15" s="77"/>
      <c r="F15" s="24"/>
      <c r="G15" s="25"/>
      <c r="H15" s="8"/>
      <c r="I15" s="8"/>
      <c r="J15" s="2"/>
      <c r="K15" s="85">
        <v>10030</v>
      </c>
      <c r="L15" s="9" t="s">
        <v>4</v>
      </c>
      <c r="M15" s="16" t="s">
        <v>40</v>
      </c>
      <c r="R15" s="1">
        <f>IF(vend13[[#This Row],[Nº Venda]]&gt;1,1,0)</f>
        <v>0</v>
      </c>
    </row>
    <row r="16" spans="2:18" ht="15.75" x14ac:dyDescent="0.25">
      <c r="B16" s="27" t="s">
        <v>24</v>
      </c>
      <c r="C16" s="31">
        <f>SUM(C11:C15)</f>
        <v>1074.6399999999999</v>
      </c>
      <c r="D16" s="2"/>
      <c r="E16" s="77"/>
      <c r="F16" s="24"/>
      <c r="G16" s="25"/>
      <c r="H16" s="8"/>
      <c r="I16" s="8"/>
      <c r="J16" s="2"/>
      <c r="K16" s="85">
        <v>9970</v>
      </c>
      <c r="L16" s="9" t="s">
        <v>4</v>
      </c>
      <c r="M16" s="16" t="s">
        <v>40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10035</v>
      </c>
      <c r="L17" s="9" t="s">
        <v>4</v>
      </c>
      <c r="M17" s="16" t="s">
        <v>40</v>
      </c>
      <c r="R17" s="1">
        <f>IF(vend13[[#This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9970</v>
      </c>
      <c r="F26" s="24" t="s">
        <v>162</v>
      </c>
      <c r="G26" s="25" t="s">
        <v>14</v>
      </c>
      <c r="H26" s="8"/>
      <c r="I26" s="8">
        <v>700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3871</v>
      </c>
      <c r="F35" s="24" t="s">
        <v>163</v>
      </c>
      <c r="G35" s="25" t="s">
        <v>22</v>
      </c>
      <c r="H35" s="8">
        <v>137.5</v>
      </c>
      <c r="I35" s="8" t="s">
        <v>101</v>
      </c>
      <c r="K35" s="85"/>
      <c r="L35" s="40"/>
      <c r="M35" s="16"/>
    </row>
    <row r="36" spans="2:18" ht="15.75" x14ac:dyDescent="0.25">
      <c r="E36" s="81">
        <v>9894</v>
      </c>
      <c r="F36" s="24" t="s">
        <v>164</v>
      </c>
      <c r="G36" s="25" t="s">
        <v>16</v>
      </c>
      <c r="H36" s="8">
        <v>118.57</v>
      </c>
      <c r="I36" s="8" t="s">
        <v>165</v>
      </c>
      <c r="K36" s="85"/>
      <c r="L36" s="40"/>
      <c r="M36" s="16"/>
    </row>
    <row r="37" spans="2:18" ht="15.75" x14ac:dyDescent="0.25">
      <c r="E37" s="77">
        <v>9894</v>
      </c>
      <c r="F37" s="24" t="s">
        <v>164</v>
      </c>
      <c r="G37" s="25" t="s">
        <v>16</v>
      </c>
      <c r="H37" s="8">
        <v>118.57</v>
      </c>
      <c r="I37" s="8" t="s">
        <v>166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4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4" zoomScale="90" zoomScaleNormal="90" workbookViewId="0">
      <selection activeCell="H35" sqref="H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4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3.140625" style="3" customWidth="1"/>
    <col min="12" max="12" width="17.855468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'13'!B1+1</f>
        <v>45610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2500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801</v>
      </c>
      <c r="D6" s="2"/>
      <c r="E6" s="77">
        <v>10039</v>
      </c>
      <c r="F6" s="24" t="s">
        <v>167</v>
      </c>
      <c r="G6" s="43" t="s">
        <v>14</v>
      </c>
      <c r="H6" s="8">
        <v>300</v>
      </c>
      <c r="I6" s="8">
        <v>50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10040</v>
      </c>
      <c r="F7" s="24" t="s">
        <v>168</v>
      </c>
      <c r="G7" s="43" t="s">
        <v>82</v>
      </c>
      <c r="H7" s="8"/>
      <c r="I7" s="8"/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35</v>
      </c>
      <c r="C8" s="28">
        <f>SUM(C6:C7)</f>
        <v>801</v>
      </c>
      <c r="D8" s="2"/>
      <c r="E8" s="77">
        <v>10041</v>
      </c>
      <c r="F8" s="24" t="s">
        <v>169</v>
      </c>
      <c r="G8" s="25" t="s">
        <v>18</v>
      </c>
      <c r="H8" s="8">
        <v>900</v>
      </c>
      <c r="I8" s="8">
        <v>250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77">
        <v>10042</v>
      </c>
      <c r="F9" s="24" t="s">
        <v>169</v>
      </c>
      <c r="G9" s="25" t="s">
        <v>18</v>
      </c>
      <c r="H9" s="8">
        <v>900</v>
      </c>
      <c r="I9" s="8">
        <v>250</v>
      </c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10043</v>
      </c>
      <c r="F10" s="24" t="s">
        <v>169</v>
      </c>
      <c r="G10" s="25" t="s">
        <v>18</v>
      </c>
      <c r="H10" s="8">
        <v>400</v>
      </c>
      <c r="I10" s="8">
        <v>100</v>
      </c>
      <c r="J10" s="2"/>
      <c r="K10" s="24"/>
      <c r="L10" s="9"/>
      <c r="M10" s="16"/>
      <c r="R10" s="1">
        <f>IF(vend14[[#This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50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18</v>
      </c>
      <c r="C13" s="30">
        <f t="shared" si="0"/>
        <v>600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IF(vend14[[#This Row],[Nº Venda]]&gt;1,1,0)</f>
        <v>0</v>
      </c>
    </row>
    <row r="15" spans="2:18" ht="15.75" x14ac:dyDescent="0.25">
      <c r="B15" s="29" t="s">
        <v>22</v>
      </c>
      <c r="C15" s="30">
        <f t="shared" si="0"/>
        <v>151</v>
      </c>
      <c r="D15" s="2"/>
      <c r="E15" s="77"/>
      <c r="F15" s="24"/>
      <c r="G15" s="25"/>
      <c r="H15" s="8"/>
      <c r="I15" s="8"/>
      <c r="J15" s="2"/>
      <c r="K15" s="85">
        <v>10003</v>
      </c>
      <c r="L15" s="9" t="s">
        <v>15</v>
      </c>
      <c r="M15" s="16" t="s">
        <v>40</v>
      </c>
      <c r="R15" s="1">
        <f>IF(vend14[[#This Row],[Nº Venda]]&gt;1,1,0)</f>
        <v>0</v>
      </c>
    </row>
    <row r="16" spans="2:18" ht="15.75" x14ac:dyDescent="0.25">
      <c r="B16" s="27" t="s">
        <v>24</v>
      </c>
      <c r="C16" s="31">
        <f>SUM(C11:C15)</f>
        <v>801</v>
      </c>
      <c r="D16" s="2"/>
      <c r="E16" s="77"/>
      <c r="F16" s="24"/>
      <c r="G16" s="25"/>
      <c r="H16" s="8"/>
      <c r="I16" s="8"/>
      <c r="J16" s="2"/>
      <c r="K16" s="85">
        <v>10004</v>
      </c>
      <c r="L16" s="9" t="s">
        <v>15</v>
      </c>
      <c r="M16" s="16" t="s">
        <v>40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10033</v>
      </c>
      <c r="L17" s="9" t="s">
        <v>4</v>
      </c>
      <c r="M17" s="16" t="s">
        <v>40</v>
      </c>
      <c r="R17" s="1">
        <f>IF(vend14[[#This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2500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9916</v>
      </c>
      <c r="F35" s="24" t="s">
        <v>170</v>
      </c>
      <c r="G35" s="25" t="s">
        <v>22</v>
      </c>
      <c r="H35" s="8">
        <v>151</v>
      </c>
      <c r="I35" s="8" t="s">
        <v>109</v>
      </c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5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17.7109375" style="33" customWidth="1"/>
    <col min="7" max="7" width="17.28515625" style="33" customWidth="1"/>
    <col min="8" max="8" width="11.140625" style="4" customWidth="1"/>
    <col min="9" max="9" width="15.5703125" style="4" customWidth="1"/>
    <col min="10" max="10" width="2.7109375" style="1" customWidth="1"/>
    <col min="11" max="11" width="13.140625" style="3" customWidth="1"/>
    <col min="12" max="12" width="14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'14'!B1+1</f>
        <v>45611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0</v>
      </c>
      <c r="D6" s="2"/>
      <c r="E6" s="77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IF(vend15[[#This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IF(vend15[[#This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61"/>
      <c r="R15" s="1">
        <f>IF(vend15[[#This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IF(vend15[[#This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61"/>
      <c r="R19" s="1">
        <f>IF(vend15[[#This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43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'15'!B1+1</f>
        <v>45612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3994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4458.25</v>
      </c>
      <c r="D6" s="2"/>
      <c r="E6" s="77">
        <v>10044</v>
      </c>
      <c r="F6" s="24" t="s">
        <v>171</v>
      </c>
      <c r="G6" s="43" t="s">
        <v>18</v>
      </c>
      <c r="H6" s="8">
        <v>890</v>
      </c>
      <c r="I6" s="8">
        <v>890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10045</v>
      </c>
      <c r="F7" s="24" t="s">
        <v>172</v>
      </c>
      <c r="G7" s="43" t="s">
        <v>14</v>
      </c>
      <c r="H7" s="8">
        <v>850</v>
      </c>
      <c r="I7" s="8">
        <v>850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35</v>
      </c>
      <c r="C8" s="28">
        <f>SUM(C6:C7)</f>
        <v>4458.25</v>
      </c>
      <c r="D8" s="2"/>
      <c r="E8" s="77">
        <v>10046</v>
      </c>
      <c r="F8" s="24" t="s">
        <v>173</v>
      </c>
      <c r="G8" s="25" t="s">
        <v>136</v>
      </c>
      <c r="H8" s="8">
        <v>35</v>
      </c>
      <c r="I8" s="8">
        <v>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77">
        <v>10047</v>
      </c>
      <c r="F9" s="24" t="s">
        <v>135</v>
      </c>
      <c r="G9" s="25" t="s">
        <v>18</v>
      </c>
      <c r="H9" s="8">
        <v>299</v>
      </c>
      <c r="I9" s="8">
        <v>299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10048</v>
      </c>
      <c r="F10" s="24" t="s">
        <v>174</v>
      </c>
      <c r="G10" s="25" t="s">
        <v>18</v>
      </c>
      <c r="H10" s="8">
        <v>750</v>
      </c>
      <c r="I10" s="8">
        <v>750</v>
      </c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895</v>
      </c>
      <c r="D11" s="2"/>
      <c r="E11" s="77">
        <v>10049</v>
      </c>
      <c r="F11" s="24" t="s">
        <v>174</v>
      </c>
      <c r="G11" s="25" t="s">
        <v>18</v>
      </c>
      <c r="H11" s="8">
        <v>1150</v>
      </c>
      <c r="I11" s="8">
        <v>1150</v>
      </c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29" t="s">
        <v>16</v>
      </c>
      <c r="C12" s="30">
        <f>(SUMIF($G$2:$G$31,B12,$I$2:$I$31))+(SUMIF($G$35:$G$41,B12,$H$35:$H$41))</f>
        <v>416.25</v>
      </c>
      <c r="D12" s="2"/>
      <c r="E12" s="77">
        <v>10050</v>
      </c>
      <c r="F12" s="24" t="s">
        <v>175</v>
      </c>
      <c r="G12" s="25" t="s">
        <v>16</v>
      </c>
      <c r="H12" s="8">
        <v>55</v>
      </c>
      <c r="I12" s="8">
        <v>55</v>
      </c>
      <c r="J12" s="2"/>
      <c r="R12" s="1">
        <f>IF(vend16[[#This Row],[Nº Venda]]&gt;1,1,0)</f>
        <v>1</v>
      </c>
    </row>
    <row r="13" spans="2:18" ht="15.75" x14ac:dyDescent="0.25">
      <c r="B13" s="29" t="s">
        <v>18</v>
      </c>
      <c r="C13" s="30">
        <f t="shared" ref="C13:C15" si="0">(SUMIF($G$2:$G$31,B13,$I$2:$I$31))+(SUMIF($G$35:$G$41,B13,$H$35:$H$41))</f>
        <v>3089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IF(vend16[[#This Row],[Nº Venda]]&gt;1,1,0)</f>
        <v>0</v>
      </c>
    </row>
    <row r="15" spans="2:18" ht="15.75" x14ac:dyDescent="0.25">
      <c r="B15" s="29" t="s">
        <v>22</v>
      </c>
      <c r="C15" s="30">
        <f t="shared" si="0"/>
        <v>58</v>
      </c>
      <c r="D15" s="2"/>
      <c r="E15" s="77"/>
      <c r="F15" s="24"/>
      <c r="G15" s="25"/>
      <c r="H15" s="8"/>
      <c r="I15" s="8"/>
      <c r="J15" s="2"/>
      <c r="K15" s="85">
        <v>9976</v>
      </c>
      <c r="L15" s="9" t="s">
        <v>4</v>
      </c>
      <c r="M15" s="16" t="s">
        <v>40</v>
      </c>
      <c r="R15" s="1">
        <f>IF(vend16[[#This Row],[Nº Venda]]&gt;1,1,0)</f>
        <v>0</v>
      </c>
    </row>
    <row r="16" spans="2:18" ht="15.75" x14ac:dyDescent="0.25">
      <c r="B16" s="27" t="s">
        <v>24</v>
      </c>
      <c r="C16" s="31">
        <f>SUM(C11:C15)</f>
        <v>4458.25</v>
      </c>
      <c r="D16" s="2"/>
      <c r="E16" s="77"/>
      <c r="F16" s="24"/>
      <c r="G16" s="25"/>
      <c r="H16" s="8"/>
      <c r="I16" s="8"/>
      <c r="J16" s="2"/>
      <c r="K16" s="85">
        <v>9991</v>
      </c>
      <c r="L16" s="9" t="s">
        <v>4</v>
      </c>
      <c r="M16" s="16" t="s">
        <v>40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10025</v>
      </c>
      <c r="L17" s="9" t="s">
        <v>15</v>
      </c>
      <c r="M17" s="16" t="s">
        <v>40</v>
      </c>
      <c r="R17" s="1">
        <f>IF(vend16[[#This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10050</v>
      </c>
      <c r="L18" s="9" t="s">
        <v>15</v>
      </c>
      <c r="M18" s="16" t="s">
        <v>40</v>
      </c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3994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9935</v>
      </c>
      <c r="F26" s="24" t="s">
        <v>176</v>
      </c>
      <c r="G26" s="43" t="s">
        <v>16</v>
      </c>
      <c r="H26" s="8"/>
      <c r="I26" s="8">
        <v>200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8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9956</v>
      </c>
      <c r="F35" s="24" t="s">
        <v>177</v>
      </c>
      <c r="G35" s="25" t="s">
        <v>14</v>
      </c>
      <c r="H35" s="8">
        <v>45</v>
      </c>
      <c r="I35" s="8" t="s">
        <v>52</v>
      </c>
      <c r="K35" s="85"/>
      <c r="L35" s="40"/>
      <c r="M35" s="16"/>
    </row>
    <row r="36" spans="2:18" ht="15.75" x14ac:dyDescent="0.25">
      <c r="E36" s="81">
        <v>9116</v>
      </c>
      <c r="F36" s="24" t="s">
        <v>178</v>
      </c>
      <c r="G36" s="25" t="s">
        <v>16</v>
      </c>
      <c r="H36" s="8">
        <v>161.25</v>
      </c>
      <c r="I36" s="8" t="s">
        <v>107</v>
      </c>
      <c r="K36" s="85"/>
      <c r="L36" s="40"/>
      <c r="M36" s="16"/>
    </row>
    <row r="37" spans="2:18" ht="15.75" x14ac:dyDescent="0.25">
      <c r="E37" s="77">
        <v>9104</v>
      </c>
      <c r="F37" s="24" t="s">
        <v>179</v>
      </c>
      <c r="G37" s="25" t="s">
        <v>22</v>
      </c>
      <c r="H37" s="8">
        <v>58</v>
      </c>
      <c r="I37" s="8" t="s">
        <v>180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7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G35:G41 G26:G31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E35:E41 K15:K31 K35:K41 E26:E31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3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'16'!B1+1</f>
        <v>45613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0</v>
      </c>
      <c r="D6" s="2"/>
      <c r="E6" s="77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IF(vend17[[#This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IF(vend17[[#This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'17'!B1+1</f>
        <v>45614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2110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2470</v>
      </c>
      <c r="D6" s="2"/>
      <c r="E6" s="77">
        <v>10051</v>
      </c>
      <c r="F6" s="24" t="s">
        <v>181</v>
      </c>
      <c r="G6" s="25" t="s">
        <v>16</v>
      </c>
      <c r="H6" s="8">
        <v>60</v>
      </c>
      <c r="I6" s="8">
        <v>60</v>
      </c>
      <c r="J6" s="2"/>
      <c r="K6" s="24"/>
      <c r="L6" s="59"/>
      <c r="M6" s="16"/>
      <c r="R6" s="1">
        <f>IF(vend18[[#This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10052</v>
      </c>
      <c r="F7" s="24" t="s">
        <v>182</v>
      </c>
      <c r="G7" s="25" t="s">
        <v>22</v>
      </c>
      <c r="H7" s="8">
        <v>1000</v>
      </c>
      <c r="I7" s="8">
        <v>1000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35</v>
      </c>
      <c r="C8" s="28">
        <f>SUM(C6:C7)</f>
        <v>2470</v>
      </c>
      <c r="D8" s="2"/>
      <c r="E8" s="77">
        <v>10053</v>
      </c>
      <c r="F8" s="24" t="s">
        <v>168</v>
      </c>
      <c r="G8" s="25" t="s">
        <v>18</v>
      </c>
      <c r="H8" s="8">
        <v>700</v>
      </c>
      <c r="I8" s="8">
        <v>700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77">
        <v>10054</v>
      </c>
      <c r="F9" s="24" t="s">
        <v>183</v>
      </c>
      <c r="G9" s="25" t="s">
        <v>82</v>
      </c>
      <c r="H9" s="8"/>
      <c r="I9" s="8"/>
      <c r="J9" s="2"/>
      <c r="K9" s="24"/>
      <c r="L9" s="9"/>
      <c r="M9" s="16"/>
      <c r="R9" s="1">
        <f>IF(vend18[[#This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10055</v>
      </c>
      <c r="F10" s="24" t="s">
        <v>184</v>
      </c>
      <c r="G10" s="25" t="s">
        <v>18</v>
      </c>
      <c r="H10" s="8">
        <v>150</v>
      </c>
      <c r="I10" s="8">
        <v>150</v>
      </c>
      <c r="J10" s="2"/>
      <c r="K10" s="24"/>
      <c r="L10" s="9"/>
      <c r="M10" s="16"/>
      <c r="R10" s="1">
        <f>IF(vend18[[#This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300</v>
      </c>
      <c r="D11" s="2"/>
      <c r="E11" s="77">
        <v>10056</v>
      </c>
      <c r="F11" s="24" t="s">
        <v>185</v>
      </c>
      <c r="G11" s="25" t="s">
        <v>22</v>
      </c>
      <c r="H11" s="8">
        <v>200</v>
      </c>
      <c r="I11" s="8">
        <v>200</v>
      </c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60</v>
      </c>
      <c r="D12" s="2"/>
      <c r="E12" s="77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18</v>
      </c>
      <c r="C13" s="30">
        <f t="shared" si="0"/>
        <v>850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IF(vend18[[#This Row],[Nº Venda]]&gt;1,1,0)</f>
        <v>0</v>
      </c>
    </row>
    <row r="15" spans="2:18" ht="15.75" x14ac:dyDescent="0.25">
      <c r="B15" s="29" t="s">
        <v>22</v>
      </c>
      <c r="C15" s="30">
        <f t="shared" si="0"/>
        <v>1260</v>
      </c>
      <c r="D15" s="2"/>
      <c r="E15" s="77"/>
      <c r="F15" s="24"/>
      <c r="G15" s="25"/>
      <c r="H15" s="8"/>
      <c r="I15" s="8"/>
      <c r="J15" s="2"/>
      <c r="K15" s="85">
        <v>9754</v>
      </c>
      <c r="L15" s="9" t="s">
        <v>4</v>
      </c>
      <c r="M15" s="16" t="s">
        <v>40</v>
      </c>
      <c r="R15" s="1">
        <f>IF(vend18[[#This Row],[Nº Venda]]&gt;1,1,0)</f>
        <v>0</v>
      </c>
    </row>
    <row r="16" spans="2:18" ht="15.75" x14ac:dyDescent="0.25">
      <c r="B16" s="27" t="s">
        <v>24</v>
      </c>
      <c r="C16" s="31">
        <f>SUM(C11:C15)</f>
        <v>2470</v>
      </c>
      <c r="D16" s="2"/>
      <c r="E16" s="77"/>
      <c r="F16" s="24"/>
      <c r="G16" s="25"/>
      <c r="H16" s="8"/>
      <c r="I16" s="8"/>
      <c r="J16" s="2"/>
      <c r="K16" s="85">
        <v>9959</v>
      </c>
      <c r="L16" s="9" t="s">
        <v>4</v>
      </c>
      <c r="M16" s="16" t="s">
        <v>40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9966</v>
      </c>
      <c r="L17" s="9" t="s">
        <v>15</v>
      </c>
      <c r="M17" s="16" t="s">
        <v>40</v>
      </c>
      <c r="R17" s="1">
        <f>IF(vend18[[#This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9983</v>
      </c>
      <c r="L18" s="9" t="s">
        <v>4</v>
      </c>
      <c r="M18" s="16" t="s">
        <v>40</v>
      </c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77"/>
      <c r="F19" s="24"/>
      <c r="G19" s="25"/>
      <c r="H19" s="8"/>
      <c r="I19" s="8"/>
      <c r="J19" s="2"/>
      <c r="K19" s="85">
        <v>9996</v>
      </c>
      <c r="L19" s="9" t="s">
        <v>15</v>
      </c>
      <c r="M19" s="16" t="s">
        <v>40</v>
      </c>
      <c r="R19" s="1">
        <f>IF(vend18[[#This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>
        <v>10051</v>
      </c>
      <c r="L20" s="9" t="s">
        <v>4</v>
      </c>
      <c r="M20" s="16" t="s">
        <v>40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2110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57"/>
      <c r="F23" s="57"/>
      <c r="G23" s="57"/>
      <c r="H23" s="58"/>
      <c r="I23" s="58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9959</v>
      </c>
      <c r="F26" s="24" t="s">
        <v>186</v>
      </c>
      <c r="G26" s="25" t="s">
        <v>14</v>
      </c>
      <c r="H26" s="8"/>
      <c r="I26" s="8">
        <v>300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9621</v>
      </c>
      <c r="F35" s="24" t="s">
        <v>187</v>
      </c>
      <c r="G35" s="25" t="s">
        <v>22</v>
      </c>
      <c r="H35" s="8">
        <v>60</v>
      </c>
      <c r="I35" s="8" t="s">
        <v>78</v>
      </c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6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1" zoomScale="90" zoomScaleNormal="90" zoomScaleSheetLayoutView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0.7109375" style="3" customWidth="1"/>
    <col min="12" max="12" width="10.85546875" style="3" customWidth="1"/>
    <col min="13" max="13" width="11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'18'!B1+1</f>
        <v>45615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7030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6975</v>
      </c>
      <c r="D6" s="2"/>
      <c r="E6" s="77">
        <v>10057</v>
      </c>
      <c r="F6" s="24" t="s">
        <v>188</v>
      </c>
      <c r="G6" s="25" t="s">
        <v>18</v>
      </c>
      <c r="H6" s="8">
        <v>1780</v>
      </c>
      <c r="I6" s="8">
        <v>1780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10058</v>
      </c>
      <c r="F7" s="24" t="s">
        <v>189</v>
      </c>
      <c r="G7" s="25" t="s">
        <v>18</v>
      </c>
      <c r="H7" s="60">
        <v>3900</v>
      </c>
      <c r="I7" s="8">
        <v>1000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35</v>
      </c>
      <c r="C8" s="28">
        <f>SUM(C6:C7)</f>
        <v>6975</v>
      </c>
      <c r="D8" s="2"/>
      <c r="E8" s="77">
        <v>10059</v>
      </c>
      <c r="F8" s="24" t="s">
        <v>189</v>
      </c>
      <c r="G8" s="25" t="s">
        <v>18</v>
      </c>
      <c r="H8" s="8">
        <v>400</v>
      </c>
      <c r="I8" s="8">
        <v>400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77">
        <v>10060</v>
      </c>
      <c r="F9" s="24" t="s">
        <v>189</v>
      </c>
      <c r="G9" s="25" t="s">
        <v>18</v>
      </c>
      <c r="H9" s="8">
        <v>500</v>
      </c>
      <c r="I9" s="8">
        <v>500</v>
      </c>
      <c r="J9" s="2"/>
      <c r="K9" s="24"/>
      <c r="L9" s="9"/>
      <c r="M9" s="16"/>
      <c r="R9" s="1">
        <f>IF(vend19[[#This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10061</v>
      </c>
      <c r="F10" s="24" t="s">
        <v>190</v>
      </c>
      <c r="G10" s="25" t="s">
        <v>18</v>
      </c>
      <c r="H10" s="8">
        <v>450</v>
      </c>
      <c r="I10" s="8">
        <v>450</v>
      </c>
      <c r="J10" s="2"/>
      <c r="K10" s="24"/>
      <c r="L10" s="9"/>
      <c r="M10" s="16"/>
      <c r="R10" s="1">
        <f>IF(vend19[[#This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2325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18</v>
      </c>
      <c r="C13" s="30">
        <f t="shared" si="0"/>
        <v>4130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IF(vend19[[#This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IF(vend19[[#This Row],[Nº Venda]]&gt;1,1,0)</f>
        <v>0</v>
      </c>
    </row>
    <row r="15" spans="2:18" ht="15.75" x14ac:dyDescent="0.25">
      <c r="B15" s="29" t="s">
        <v>22</v>
      </c>
      <c r="C15" s="30">
        <f t="shared" si="0"/>
        <v>520</v>
      </c>
      <c r="D15" s="2"/>
      <c r="E15" s="77"/>
      <c r="F15" s="24"/>
      <c r="G15" s="25"/>
      <c r="H15" s="8"/>
      <c r="I15" s="8"/>
      <c r="J15" s="2"/>
      <c r="K15" s="85">
        <v>9992</v>
      </c>
      <c r="L15" s="9" t="s">
        <v>4</v>
      </c>
      <c r="M15" s="16" t="s">
        <v>40</v>
      </c>
      <c r="R15" s="1">
        <f>IF(vend19[[#This Row],[Nº Venda]]&gt;1,1,0)</f>
        <v>0</v>
      </c>
    </row>
    <row r="16" spans="2:18" ht="15.75" x14ac:dyDescent="0.25">
      <c r="B16" s="27" t="s">
        <v>24</v>
      </c>
      <c r="C16" s="31">
        <f>SUM(C11:C15)</f>
        <v>6975</v>
      </c>
      <c r="D16" s="2"/>
      <c r="E16" s="77"/>
      <c r="F16" s="24"/>
      <c r="G16" s="25"/>
      <c r="H16" s="8"/>
      <c r="I16" s="8"/>
      <c r="J16" s="2"/>
      <c r="K16" s="85">
        <v>9993</v>
      </c>
      <c r="L16" s="9" t="s">
        <v>4</v>
      </c>
      <c r="M16" s="16" t="s">
        <v>40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10021</v>
      </c>
      <c r="L17" s="9" t="s">
        <v>4</v>
      </c>
      <c r="M17" s="16" t="s">
        <v>65</v>
      </c>
      <c r="R17" s="1">
        <f>IF(vend19[[#This Row],[Nº Venda]]&gt;1,1,0)</f>
        <v>0</v>
      </c>
    </row>
    <row r="18" spans="2:22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10027</v>
      </c>
      <c r="L18" s="9" t="s">
        <v>4</v>
      </c>
      <c r="M18" s="16" t="s">
        <v>40</v>
      </c>
      <c r="R18" s="1">
        <f>IF(vend19[[#This Row],[Nº Venda]]&gt;1,1,0)</f>
        <v>0</v>
      </c>
    </row>
    <row r="19" spans="2:22" ht="15.75" x14ac:dyDescent="0.25">
      <c r="B19" s="29">
        <f>COUNT(entr_carn19[OS])</f>
        <v>1</v>
      </c>
      <c r="C19" s="30">
        <f>SUM(entr_carn19[Valor Total])</f>
        <v>494</v>
      </c>
      <c r="D19" s="2"/>
      <c r="E19" s="77"/>
      <c r="F19" s="24"/>
      <c r="G19" s="25"/>
      <c r="H19" s="8"/>
      <c r="I19" s="8"/>
      <c r="J19" s="2"/>
      <c r="K19" s="85">
        <v>10028</v>
      </c>
      <c r="L19" s="9" t="s">
        <v>4</v>
      </c>
      <c r="M19" s="16" t="s">
        <v>40</v>
      </c>
      <c r="R19" s="1">
        <f>IF(vend19[[#This Row],[Nº Venda]]&gt;1,1,0)</f>
        <v>0</v>
      </c>
    </row>
    <row r="20" spans="2:22" ht="15.75" x14ac:dyDescent="0.25">
      <c r="B20" s="27" t="s">
        <v>24</v>
      </c>
      <c r="C20" s="31">
        <f>SUM(C19:C19)</f>
        <v>494</v>
      </c>
      <c r="D20" s="2"/>
      <c r="E20" s="77"/>
      <c r="F20" s="25"/>
      <c r="G20" s="25"/>
      <c r="H20" s="8"/>
      <c r="I20" s="8"/>
      <c r="J20" s="2"/>
      <c r="K20" s="85">
        <v>10036</v>
      </c>
      <c r="L20" s="9" t="s">
        <v>4</v>
      </c>
      <c r="M20" s="16" t="s">
        <v>40</v>
      </c>
      <c r="R20" s="1">
        <f>IF(vend19[[#This Row],[Nº Venda]]&gt;1,1,0)</f>
        <v>0</v>
      </c>
      <c r="V20" s="1" t="s">
        <v>142</v>
      </c>
    </row>
    <row r="21" spans="2:22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10055</v>
      </c>
      <c r="L21" s="9" t="s">
        <v>4</v>
      </c>
      <c r="M21" s="16" t="s">
        <v>40</v>
      </c>
    </row>
    <row r="22" spans="2:22" ht="15.75" x14ac:dyDescent="0.25">
      <c r="B22" s="27" t="s">
        <v>41</v>
      </c>
      <c r="C22" s="31">
        <f>C5</f>
        <v>7030</v>
      </c>
      <c r="D22" s="2"/>
      <c r="E22" s="77"/>
      <c r="F22" s="24"/>
      <c r="G22" s="25"/>
      <c r="H22" s="8"/>
      <c r="I22" s="8"/>
      <c r="J22" s="2"/>
      <c r="K22" s="85">
        <v>10056</v>
      </c>
      <c r="L22" s="9" t="s">
        <v>4</v>
      </c>
      <c r="M22" s="16" t="s">
        <v>40</v>
      </c>
    </row>
    <row r="23" spans="2:22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22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22" ht="15.75" x14ac:dyDescent="0.25">
      <c r="B26" s="2"/>
      <c r="C26" s="2"/>
      <c r="D26" s="2"/>
      <c r="E26" s="77">
        <v>9992</v>
      </c>
      <c r="F26" s="38" t="s">
        <v>191</v>
      </c>
      <c r="G26" s="25" t="s">
        <v>14</v>
      </c>
      <c r="H26" s="8"/>
      <c r="I26" s="8">
        <v>2150</v>
      </c>
      <c r="J26" s="2"/>
      <c r="K26" s="85"/>
      <c r="L26" s="9"/>
      <c r="M26" s="16"/>
    </row>
    <row r="27" spans="2:22" ht="15.75" x14ac:dyDescent="0.25">
      <c r="B27" s="2"/>
      <c r="C27" s="2"/>
      <c r="D27" s="2"/>
      <c r="E27" s="77">
        <v>10021</v>
      </c>
      <c r="F27" s="24" t="s">
        <v>132</v>
      </c>
      <c r="G27" s="25" t="s">
        <v>14</v>
      </c>
      <c r="H27" s="8"/>
      <c r="I27" s="8">
        <v>100</v>
      </c>
      <c r="J27" s="2"/>
      <c r="K27" s="85"/>
      <c r="L27" s="9"/>
      <c r="M27" s="16"/>
    </row>
    <row r="28" spans="2:22" ht="15.75" x14ac:dyDescent="0.25">
      <c r="B28" s="2"/>
      <c r="C28" s="2"/>
      <c r="D28" s="2"/>
      <c r="E28" s="77">
        <v>9684</v>
      </c>
      <c r="F28" s="24" t="s">
        <v>192</v>
      </c>
      <c r="G28" s="25" t="s">
        <v>22</v>
      </c>
      <c r="H28" s="8"/>
      <c r="I28" s="8">
        <v>70</v>
      </c>
      <c r="J28" s="2"/>
      <c r="K28" s="85"/>
      <c r="L28" s="9"/>
      <c r="M28" s="16"/>
    </row>
    <row r="29" spans="2:22" ht="15.75" x14ac:dyDescent="0.25">
      <c r="B29" s="2"/>
      <c r="C29" s="2"/>
      <c r="D29" s="2"/>
      <c r="E29" s="77"/>
      <c r="F29" s="24"/>
      <c r="G29" s="25"/>
      <c r="H29" s="25"/>
      <c r="I29" s="8"/>
      <c r="J29" s="2"/>
      <c r="K29" s="85"/>
      <c r="L29" s="9"/>
      <c r="M29" s="16"/>
    </row>
    <row r="30" spans="2:22" ht="15.75" x14ac:dyDescent="0.25">
      <c r="B30" s="2"/>
      <c r="C30" s="2"/>
      <c r="D30" s="2"/>
      <c r="E30" s="77"/>
      <c r="F30" s="24"/>
      <c r="G30" s="25"/>
      <c r="H30" s="8"/>
      <c r="I30" s="8"/>
      <c r="J30" s="2"/>
      <c r="K30" s="85"/>
      <c r="L30" s="9"/>
      <c r="M30" s="16"/>
    </row>
    <row r="31" spans="2:22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9642</v>
      </c>
      <c r="F35" s="24" t="s">
        <v>193</v>
      </c>
      <c r="G35" s="25" t="s">
        <v>14</v>
      </c>
      <c r="H35" s="8">
        <v>75</v>
      </c>
      <c r="I35" s="8" t="s">
        <v>78</v>
      </c>
      <c r="K35" s="85">
        <v>10021</v>
      </c>
      <c r="L35" s="40">
        <v>1</v>
      </c>
      <c r="M35" s="16">
        <v>494</v>
      </c>
    </row>
    <row r="36" spans="2:18" ht="15.75" x14ac:dyDescent="0.25">
      <c r="E36" s="81">
        <v>9527</v>
      </c>
      <c r="F36" s="24" t="s">
        <v>194</v>
      </c>
      <c r="G36" s="25" t="s">
        <v>22</v>
      </c>
      <c r="H36" s="8">
        <v>300</v>
      </c>
      <c r="I36" s="8" t="s">
        <v>195</v>
      </c>
      <c r="K36" s="85"/>
      <c r="L36" s="40"/>
      <c r="M36" s="16"/>
    </row>
    <row r="37" spans="2:18" ht="15.75" x14ac:dyDescent="0.25">
      <c r="E37" s="77">
        <v>9536</v>
      </c>
      <c r="F37" s="24" t="s">
        <v>196</v>
      </c>
      <c r="G37" s="25" t="s">
        <v>22</v>
      </c>
      <c r="H37" s="8">
        <v>150</v>
      </c>
      <c r="I37" s="8" t="s">
        <v>78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5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5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3">
        <f>'19'!B1+1</f>
        <v>45616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77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IF(vend20[[#This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IF(vend20[[#This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6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IF(vend20[[#This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61"/>
    </row>
    <row r="36" spans="2:18" ht="15.75" x14ac:dyDescent="0.25">
      <c r="E36" s="81"/>
      <c r="F36" s="24"/>
      <c r="G36" s="25"/>
      <c r="H36" s="8"/>
      <c r="I36" s="8"/>
      <c r="K36" s="85"/>
      <c r="L36" s="62"/>
      <c r="M36" s="61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3" zoomScale="90" zoomScaleNormal="90" workbookViewId="0">
      <selection activeCell="G5" sqref="G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'20'!B1+1</f>
        <v>45617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135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904.16</v>
      </c>
      <c r="D6" s="2"/>
      <c r="E6" s="77">
        <v>10062</v>
      </c>
      <c r="F6" s="24" t="s">
        <v>197</v>
      </c>
      <c r="G6" s="25" t="s">
        <v>14</v>
      </c>
      <c r="H6" s="8">
        <v>100</v>
      </c>
      <c r="I6" s="8">
        <v>100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35</v>
      </c>
      <c r="C8" s="28">
        <f>SUM(C6:C7)</f>
        <v>904.16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260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225</v>
      </c>
      <c r="D12" s="2"/>
      <c r="E12" s="77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IF(vend21[[#This Row],[Nº Venda]]&gt;1,1,0)</f>
        <v>0</v>
      </c>
    </row>
    <row r="15" spans="2:18" ht="15.75" x14ac:dyDescent="0.25">
      <c r="B15" s="29" t="s">
        <v>22</v>
      </c>
      <c r="C15" s="30">
        <f t="shared" si="0"/>
        <v>419.15999999999997</v>
      </c>
      <c r="D15" s="2"/>
      <c r="E15" s="77"/>
      <c r="F15" s="24"/>
      <c r="G15" s="25"/>
      <c r="H15" s="8"/>
      <c r="I15" s="8"/>
      <c r="J15" s="2"/>
      <c r="K15" s="85">
        <v>9980</v>
      </c>
      <c r="L15" s="9" t="s">
        <v>15</v>
      </c>
      <c r="M15" s="16" t="s">
        <v>65</v>
      </c>
      <c r="R15" s="1">
        <f>IF(vend21[[#This Row],[Nº Venda]]&gt;1,1,0)</f>
        <v>0</v>
      </c>
    </row>
    <row r="16" spans="2:18" ht="15.75" x14ac:dyDescent="0.25">
      <c r="B16" s="27" t="s">
        <v>24</v>
      </c>
      <c r="C16" s="31">
        <f>SUM(C11:C15)</f>
        <v>904.16</v>
      </c>
      <c r="D16" s="2"/>
      <c r="E16" s="77"/>
      <c r="F16" s="24"/>
      <c r="G16" s="25"/>
      <c r="H16" s="8"/>
      <c r="I16" s="8"/>
      <c r="J16" s="2"/>
      <c r="K16" s="85">
        <v>9981</v>
      </c>
      <c r="L16" s="9" t="s">
        <v>15</v>
      </c>
      <c r="M16" s="16" t="s">
        <v>65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9984</v>
      </c>
      <c r="L17" s="9" t="s">
        <v>4</v>
      </c>
      <c r="M17" s="16" t="s">
        <v>40</v>
      </c>
      <c r="R17" s="1">
        <f>IF(vend21[[#This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9987</v>
      </c>
      <c r="L18" s="9" t="s">
        <v>4</v>
      </c>
      <c r="M18" s="16" t="s">
        <v>40</v>
      </c>
      <c r="R18" s="1">
        <f>IF(vend21[[#This Row],[Nº Venda]]&gt;1,1,0)</f>
        <v>0</v>
      </c>
    </row>
    <row r="19" spans="2:18" ht="15.75" x14ac:dyDescent="0.25">
      <c r="B19" s="29">
        <f>COUNT(entr_carn21[OS])</f>
        <v>2</v>
      </c>
      <c r="C19" s="30">
        <f>SUM(entr_carn21[Valor Total])</f>
        <v>1750</v>
      </c>
      <c r="D19" s="2"/>
      <c r="E19" s="77"/>
      <c r="F19" s="24"/>
      <c r="G19" s="25"/>
      <c r="H19" s="8"/>
      <c r="I19" s="8"/>
      <c r="J19" s="2"/>
      <c r="K19" s="85">
        <v>10002</v>
      </c>
      <c r="L19" s="9" t="s">
        <v>15</v>
      </c>
      <c r="M19" s="16" t="s">
        <v>40</v>
      </c>
      <c r="R19" s="1">
        <f>IF(vend21[[#This Row],[Nº Venda]]&gt;1,1,0)</f>
        <v>0</v>
      </c>
    </row>
    <row r="20" spans="2:18" ht="15.75" x14ac:dyDescent="0.25">
      <c r="B20" s="27" t="s">
        <v>24</v>
      </c>
      <c r="C20" s="31">
        <f>SUM(C19:C19)</f>
        <v>1750</v>
      </c>
      <c r="D20" s="2"/>
      <c r="E20" s="77"/>
      <c r="F20" s="25"/>
      <c r="G20" s="25"/>
      <c r="H20" s="8"/>
      <c r="I20" s="8"/>
      <c r="J20" s="2"/>
      <c r="K20" s="85">
        <v>10012</v>
      </c>
      <c r="L20" s="9" t="s">
        <v>15</v>
      </c>
      <c r="M20" s="16" t="s">
        <v>40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10016</v>
      </c>
      <c r="L21" s="9" t="s">
        <v>15</v>
      </c>
      <c r="M21" s="16" t="s">
        <v>40</v>
      </c>
    </row>
    <row r="22" spans="2:18" ht="15.75" x14ac:dyDescent="0.25">
      <c r="B22" s="27" t="s">
        <v>41</v>
      </c>
      <c r="C22" s="31">
        <f>C5</f>
        <v>135</v>
      </c>
      <c r="D22" s="2"/>
      <c r="E22" s="77"/>
      <c r="F22" s="24"/>
      <c r="G22" s="25"/>
      <c r="H22" s="8"/>
      <c r="I22" s="8"/>
      <c r="J22" s="2"/>
      <c r="K22" s="85">
        <v>10046</v>
      </c>
      <c r="L22" s="9" t="s">
        <v>4</v>
      </c>
      <c r="M22" s="16" t="s">
        <v>40</v>
      </c>
    </row>
    <row r="23" spans="2:18" ht="15" x14ac:dyDescent="0.25">
      <c r="B23" s="2"/>
      <c r="C23" s="2"/>
      <c r="D23" s="2"/>
      <c r="E23" s="32"/>
      <c r="H23" s="7"/>
      <c r="J23" s="2"/>
      <c r="K23" s="85">
        <v>10062</v>
      </c>
      <c r="L23" s="9" t="s">
        <v>4</v>
      </c>
      <c r="M23" s="16" t="s">
        <v>40</v>
      </c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10046</v>
      </c>
      <c r="F26" s="24" t="s">
        <v>173</v>
      </c>
      <c r="G26" s="25" t="s">
        <v>14</v>
      </c>
      <c r="H26" s="8">
        <v>35</v>
      </c>
      <c r="I26" s="8">
        <v>35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9393</v>
      </c>
      <c r="F35" s="24" t="s">
        <v>198</v>
      </c>
      <c r="G35" s="25" t="s">
        <v>14</v>
      </c>
      <c r="H35" s="8">
        <v>125</v>
      </c>
      <c r="I35" s="8" t="s">
        <v>107</v>
      </c>
      <c r="K35" s="85">
        <v>9980</v>
      </c>
      <c r="L35" s="40">
        <v>7</v>
      </c>
      <c r="M35" s="16">
        <v>700</v>
      </c>
    </row>
    <row r="36" spans="2:18" ht="15.75" x14ac:dyDescent="0.25">
      <c r="E36" s="81">
        <v>9451</v>
      </c>
      <c r="F36" s="24" t="s">
        <v>199</v>
      </c>
      <c r="G36" s="25" t="s">
        <v>22</v>
      </c>
      <c r="H36" s="8">
        <v>162.5</v>
      </c>
      <c r="I36" s="8" t="s">
        <v>119</v>
      </c>
      <c r="K36" s="85">
        <v>9981</v>
      </c>
      <c r="L36" s="40">
        <v>7</v>
      </c>
      <c r="M36" s="16">
        <v>1050</v>
      </c>
    </row>
    <row r="37" spans="2:18" ht="15.75" x14ac:dyDescent="0.25">
      <c r="E37" s="77">
        <v>9686</v>
      </c>
      <c r="F37" s="24" t="s">
        <v>200</v>
      </c>
      <c r="G37" s="25" t="s">
        <v>16</v>
      </c>
      <c r="H37" s="8">
        <v>225</v>
      </c>
      <c r="I37" s="8" t="s">
        <v>128</v>
      </c>
      <c r="K37" s="85"/>
      <c r="L37" s="40"/>
      <c r="M37" s="16"/>
    </row>
    <row r="38" spans="2:18" ht="15.75" x14ac:dyDescent="0.25">
      <c r="E38" s="77">
        <v>9189</v>
      </c>
      <c r="F38" s="24" t="s">
        <v>201</v>
      </c>
      <c r="G38" s="25" t="s">
        <v>22</v>
      </c>
      <c r="H38" s="8">
        <v>100</v>
      </c>
      <c r="I38" s="8" t="s">
        <v>180</v>
      </c>
      <c r="K38" s="85"/>
      <c r="L38" s="40"/>
      <c r="M38" s="16"/>
    </row>
    <row r="39" spans="2:18" ht="15.75" x14ac:dyDescent="0.25">
      <c r="E39" s="77">
        <v>9816</v>
      </c>
      <c r="F39" s="38" t="s">
        <v>202</v>
      </c>
      <c r="G39" s="25" t="s">
        <v>22</v>
      </c>
      <c r="H39" s="8">
        <v>156.66</v>
      </c>
      <c r="I39" s="8" t="s">
        <v>125</v>
      </c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1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1" zoomScale="90" zoomScaleNormal="9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'21'!B1+1</f>
        <v>45618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5889.99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4539.7</v>
      </c>
      <c r="D6" s="2"/>
      <c r="E6" s="77">
        <v>10063</v>
      </c>
      <c r="F6" s="24" t="s">
        <v>203</v>
      </c>
      <c r="G6" s="25" t="s">
        <v>18</v>
      </c>
      <c r="H6" s="8">
        <v>600</v>
      </c>
      <c r="I6" s="8">
        <v>600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10064</v>
      </c>
      <c r="F7" s="24" t="s">
        <v>203</v>
      </c>
      <c r="G7" s="25" t="s">
        <v>18</v>
      </c>
      <c r="H7" s="8">
        <v>600</v>
      </c>
      <c r="I7" s="8">
        <v>600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35</v>
      </c>
      <c r="C8" s="28">
        <f>SUM(C6:C7)</f>
        <v>4539.7</v>
      </c>
      <c r="D8" s="2"/>
      <c r="E8" s="77">
        <v>10065</v>
      </c>
      <c r="F8" s="24" t="s">
        <v>203</v>
      </c>
      <c r="G8" s="25" t="s">
        <v>18</v>
      </c>
      <c r="H8" s="8">
        <v>399.99</v>
      </c>
      <c r="I8" s="8">
        <v>399.9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77">
        <v>10066</v>
      </c>
      <c r="F9" s="24" t="s">
        <v>204</v>
      </c>
      <c r="G9" s="25" t="s">
        <v>14</v>
      </c>
      <c r="H9" s="8">
        <v>450</v>
      </c>
      <c r="I9" s="8">
        <v>10</v>
      </c>
      <c r="J9" s="2"/>
      <c r="K9" s="24"/>
      <c r="L9" s="9"/>
      <c r="M9" s="16"/>
      <c r="R9" s="1">
        <f>IF(vend22[[#This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10067</v>
      </c>
      <c r="F10" s="24" t="s">
        <v>204</v>
      </c>
      <c r="G10" s="25" t="s">
        <v>18</v>
      </c>
      <c r="H10" s="8">
        <v>100</v>
      </c>
      <c r="I10" s="8">
        <v>100</v>
      </c>
      <c r="J10" s="2"/>
      <c r="K10" s="24"/>
      <c r="L10" s="9"/>
      <c r="M10" s="16"/>
      <c r="R10" s="1">
        <f>IF(vend22[[#This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10</v>
      </c>
      <c r="D11" s="2"/>
      <c r="E11" s="77">
        <v>10068</v>
      </c>
      <c r="F11" s="24" t="s">
        <v>205</v>
      </c>
      <c r="G11" s="25" t="s">
        <v>18</v>
      </c>
      <c r="H11" s="8">
        <v>1640</v>
      </c>
      <c r="I11" s="8">
        <v>1640</v>
      </c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>
        <v>10069</v>
      </c>
      <c r="F12" s="24" t="s">
        <v>205</v>
      </c>
      <c r="G12" s="25" t="s">
        <v>22</v>
      </c>
      <c r="H12" s="8">
        <v>600</v>
      </c>
      <c r="I12" s="8">
        <v>600</v>
      </c>
      <c r="J12" s="2"/>
      <c r="R12" s="1">
        <f>IF(vend22[[#This Row],[Nº Venda]]&gt;1,1,0)</f>
        <v>1</v>
      </c>
    </row>
    <row r="13" spans="2:18" ht="15.75" x14ac:dyDescent="0.25">
      <c r="B13" s="29" t="s">
        <v>18</v>
      </c>
      <c r="C13" s="30">
        <f t="shared" si="0"/>
        <v>3339.9</v>
      </c>
      <c r="D13" s="2"/>
      <c r="E13" s="77">
        <v>10070</v>
      </c>
      <c r="F13" s="24" t="s">
        <v>205</v>
      </c>
      <c r="G13" s="25" t="s">
        <v>22</v>
      </c>
      <c r="H13" s="8">
        <v>400</v>
      </c>
      <c r="I13" s="8">
        <v>400</v>
      </c>
      <c r="J13" s="2"/>
      <c r="K13" s="104" t="s">
        <v>36</v>
      </c>
      <c r="L13" s="105"/>
      <c r="M13" s="106"/>
      <c r="R13" s="1">
        <f>IF(vend22[[#This Row],[Nº Venda]]&gt;1,1,0)</f>
        <v>1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7">
        <v>10071</v>
      </c>
      <c r="F14" s="24" t="s">
        <v>206</v>
      </c>
      <c r="G14" s="25" t="s">
        <v>22</v>
      </c>
      <c r="H14" s="8">
        <v>600</v>
      </c>
      <c r="I14" s="8">
        <v>20</v>
      </c>
      <c r="J14" s="2"/>
      <c r="K14" s="14" t="s">
        <v>37</v>
      </c>
      <c r="L14" s="6" t="s">
        <v>38</v>
      </c>
      <c r="M14" s="15" t="s">
        <v>39</v>
      </c>
      <c r="R14" s="1">
        <f>IF(vend22[[#This Row],[Nº Venda]]&gt;1,1,0)</f>
        <v>1</v>
      </c>
    </row>
    <row r="15" spans="2:18" ht="15.75" x14ac:dyDescent="0.25">
      <c r="B15" s="29" t="s">
        <v>22</v>
      </c>
      <c r="C15" s="30">
        <f t="shared" si="0"/>
        <v>1189.8</v>
      </c>
      <c r="D15" s="2"/>
      <c r="E15" s="77">
        <v>10072</v>
      </c>
      <c r="F15" s="24" t="s">
        <v>206</v>
      </c>
      <c r="G15" s="25" t="s">
        <v>22</v>
      </c>
      <c r="H15" s="8">
        <v>500</v>
      </c>
      <c r="I15" s="8">
        <v>20</v>
      </c>
      <c r="J15" s="2"/>
      <c r="K15" s="85">
        <v>9602</v>
      </c>
      <c r="L15" s="9" t="s">
        <v>15</v>
      </c>
      <c r="M15" s="16" t="s">
        <v>40</v>
      </c>
      <c r="R15" s="1">
        <f>IF(vend22[[#This Row],[Nº Venda]]&gt;1,1,0)</f>
        <v>1</v>
      </c>
    </row>
    <row r="16" spans="2:18" ht="15.75" x14ac:dyDescent="0.25">
      <c r="B16" s="27" t="s">
        <v>24</v>
      </c>
      <c r="C16" s="31">
        <f>SUM(C11:C15)</f>
        <v>4539.7</v>
      </c>
      <c r="D16" s="2"/>
      <c r="E16" s="77"/>
      <c r="F16" s="24"/>
      <c r="G16" s="25"/>
      <c r="H16" s="8"/>
      <c r="I16" s="8"/>
      <c r="J16" s="2"/>
      <c r="K16" s="85">
        <v>10067</v>
      </c>
      <c r="L16" s="9" t="s">
        <v>4</v>
      </c>
      <c r="M16" s="16" t="s">
        <v>40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IF(vend22[[#This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5889.99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9858</v>
      </c>
      <c r="F35" s="24" t="s">
        <v>207</v>
      </c>
      <c r="G35" s="25" t="s">
        <v>22</v>
      </c>
      <c r="H35" s="8">
        <v>30</v>
      </c>
      <c r="I35" s="8" t="s">
        <v>116</v>
      </c>
      <c r="K35" s="85"/>
      <c r="L35" s="40"/>
      <c r="M35" s="16"/>
    </row>
    <row r="36" spans="2:18" ht="15.75" x14ac:dyDescent="0.25">
      <c r="E36" s="81">
        <v>9471</v>
      </c>
      <c r="F36" s="24" t="s">
        <v>208</v>
      </c>
      <c r="G36" s="25" t="s">
        <v>22</v>
      </c>
      <c r="H36" s="8">
        <v>119.8</v>
      </c>
      <c r="I36" s="8" t="s">
        <v>141</v>
      </c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10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1" zoomScale="90" zoomScaleNormal="90" workbookViewId="0">
      <selection activeCell="G21" sqref="G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8.5703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'22'!B1+1</f>
        <v>45619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2770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2720</v>
      </c>
      <c r="D6" s="2"/>
      <c r="E6" s="77">
        <v>10073</v>
      </c>
      <c r="F6" s="24" t="s">
        <v>209</v>
      </c>
      <c r="G6" s="25" t="s">
        <v>18</v>
      </c>
      <c r="H6" s="8">
        <v>500</v>
      </c>
      <c r="I6" s="8">
        <v>250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10073</v>
      </c>
      <c r="F7" s="24" t="s">
        <v>209</v>
      </c>
      <c r="G7" s="25" t="s">
        <v>22</v>
      </c>
      <c r="H7" s="8"/>
      <c r="I7" s="8">
        <v>250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35</v>
      </c>
      <c r="C8" s="28">
        <f>SUM(C6:C7)</f>
        <v>2720</v>
      </c>
      <c r="D8" s="2"/>
      <c r="E8" s="77">
        <v>10074</v>
      </c>
      <c r="F8" s="24" t="s">
        <v>210</v>
      </c>
      <c r="G8" s="25" t="s">
        <v>22</v>
      </c>
      <c r="H8" s="8">
        <v>500</v>
      </c>
      <c r="I8" s="8">
        <v>500</v>
      </c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77">
        <v>10075</v>
      </c>
      <c r="F9" s="24" t="s">
        <v>211</v>
      </c>
      <c r="G9" s="25" t="s">
        <v>18</v>
      </c>
      <c r="H9" s="8">
        <v>600</v>
      </c>
      <c r="I9" s="8">
        <v>600</v>
      </c>
      <c r="J9" s="2"/>
      <c r="K9" s="24"/>
      <c r="L9" s="9"/>
      <c r="M9" s="16"/>
      <c r="R9" s="1">
        <f>IF(vend23[[#This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10076</v>
      </c>
      <c r="F10" s="24" t="s">
        <v>212</v>
      </c>
      <c r="G10" s="25" t="s">
        <v>18</v>
      </c>
      <c r="H10" s="8">
        <v>200</v>
      </c>
      <c r="I10" s="8">
        <v>200</v>
      </c>
      <c r="J10" s="2"/>
      <c r="K10" s="24"/>
      <c r="L10" s="9"/>
      <c r="M10" s="16"/>
      <c r="R10" s="1">
        <f>IF(vend23[[#This Row],[Nº Venda]]&gt;1,1,0)</f>
        <v>1</v>
      </c>
    </row>
    <row r="11" spans="2:18" ht="15.75" x14ac:dyDescent="0.25">
      <c r="B11" s="29" t="s">
        <v>14</v>
      </c>
      <c r="C11" s="69">
        <f>(SUMIF($G$2:$G$31,B11,$I$2:$I$31))+(SUMIF($G$35:$G$44,B11,$H$35:$H$44))</f>
        <v>0</v>
      </c>
      <c r="D11" s="2"/>
      <c r="E11" s="98">
        <v>10077</v>
      </c>
      <c r="F11" s="99" t="s">
        <v>325</v>
      </c>
      <c r="G11" s="100" t="s">
        <v>136</v>
      </c>
      <c r="H11" s="101">
        <v>39</v>
      </c>
      <c r="I11" s="101" t="s">
        <v>324</v>
      </c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29" t="s">
        <v>16</v>
      </c>
      <c r="C12" s="69">
        <f>(SUMIF($G$2:$G$31,B12,$I$2:$I$31))+(SUMIF($G$35:$G$44,B12,$H$35:$H$44))</f>
        <v>770</v>
      </c>
      <c r="D12" s="2"/>
      <c r="E12" s="77">
        <v>10078</v>
      </c>
      <c r="F12" s="24" t="s">
        <v>213</v>
      </c>
      <c r="G12" s="25" t="s">
        <v>16</v>
      </c>
      <c r="H12" s="8">
        <v>390</v>
      </c>
      <c r="I12" s="8">
        <v>50</v>
      </c>
      <c r="J12" s="2"/>
      <c r="R12" s="1">
        <f>IF(vend23[[#This Row],[Nº Venda]]&gt;1,1,0)</f>
        <v>1</v>
      </c>
    </row>
    <row r="13" spans="2:18" ht="15.75" x14ac:dyDescent="0.25">
      <c r="B13" s="29" t="s">
        <v>18</v>
      </c>
      <c r="C13" s="69">
        <f>(SUMIF($G$2:$G$31,B13,$I$2:$I$31))+(SUMIF($G$35:$G$44,B13,$H$35:$H$44))</f>
        <v>1200</v>
      </c>
      <c r="D13" s="2"/>
      <c r="E13" s="77">
        <v>10079</v>
      </c>
      <c r="F13" s="24" t="s">
        <v>214</v>
      </c>
      <c r="G13" s="25" t="s">
        <v>18</v>
      </c>
      <c r="H13" s="8">
        <v>150</v>
      </c>
      <c r="I13" s="8">
        <v>150</v>
      </c>
      <c r="J13" s="2"/>
      <c r="K13" s="104" t="s">
        <v>36</v>
      </c>
      <c r="L13" s="105"/>
      <c r="M13" s="106"/>
      <c r="R13" s="1">
        <f>IF(vend23[[#This Row],[Nº Venda]]&gt;1,1,0)</f>
        <v>1</v>
      </c>
    </row>
    <row r="14" spans="2:18" ht="15.75" x14ac:dyDescent="0.25">
      <c r="B14" s="29" t="s">
        <v>20</v>
      </c>
      <c r="C14" s="69">
        <f>(SUMIF($G$2:$G$31,B14,$I$2:$I$31))+(SUMIF($G$35:$G$44,B14,$H$35:$H$44))</f>
        <v>0</v>
      </c>
      <c r="D14" s="2"/>
      <c r="E14" s="78">
        <v>10080</v>
      </c>
      <c r="F14" s="24" t="s">
        <v>215</v>
      </c>
      <c r="G14" s="25" t="s">
        <v>16</v>
      </c>
      <c r="H14" s="8">
        <v>430</v>
      </c>
      <c r="I14" s="8">
        <v>20</v>
      </c>
      <c r="J14" s="2"/>
      <c r="K14" s="14" t="s">
        <v>37</v>
      </c>
      <c r="L14" s="6" t="s">
        <v>38</v>
      </c>
      <c r="M14" s="15" t="s">
        <v>39</v>
      </c>
      <c r="R14" s="1">
        <f>IF(vend23[[#This Row],[Nº Venda]]&gt;1,1,0)</f>
        <v>1</v>
      </c>
    </row>
    <row r="15" spans="2:18" ht="15.75" x14ac:dyDescent="0.25">
      <c r="B15" s="29" t="s">
        <v>22</v>
      </c>
      <c r="C15" s="69">
        <f>(SUMIF($G$2:$G$31,B15,$I$2:$I$31))+(SUMIF($G$35:$G$44,B15,$H$35:$H$44))</f>
        <v>750</v>
      </c>
      <c r="D15" s="2"/>
      <c r="E15" s="77"/>
      <c r="F15" s="24"/>
      <c r="G15" s="25"/>
      <c r="H15" s="8"/>
      <c r="I15" s="8"/>
      <c r="J15" s="2"/>
      <c r="K15" s="85">
        <v>9935</v>
      </c>
      <c r="L15" s="9" t="s">
        <v>4</v>
      </c>
      <c r="M15" s="16" t="s">
        <v>40</v>
      </c>
      <c r="R15" s="1">
        <f>IF(vend23[[#This Row],[Nº Venda]]&gt;1,1,0)</f>
        <v>0</v>
      </c>
    </row>
    <row r="16" spans="2:18" ht="15.75" x14ac:dyDescent="0.25">
      <c r="B16" s="27" t="s">
        <v>24</v>
      </c>
      <c r="C16" s="31">
        <f>SUM(C11:C15)</f>
        <v>2720</v>
      </c>
      <c r="D16" s="2"/>
      <c r="E16" s="77"/>
      <c r="F16" s="24"/>
      <c r="G16" s="25"/>
      <c r="H16" s="8"/>
      <c r="I16" s="8"/>
      <c r="J16" s="2"/>
      <c r="K16" s="85">
        <v>9985</v>
      </c>
      <c r="L16" s="9" t="s">
        <v>4</v>
      </c>
      <c r="M16" s="16" t="s">
        <v>40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9995</v>
      </c>
      <c r="L17" s="9" t="s">
        <v>4</v>
      </c>
      <c r="M17" s="16" t="s">
        <v>40</v>
      </c>
      <c r="R17" s="1">
        <f>IF(vend23[[#This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10001</v>
      </c>
      <c r="L18" s="9" t="s">
        <v>15</v>
      </c>
      <c r="M18" s="16" t="s">
        <v>65</v>
      </c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77"/>
      <c r="F19" s="24"/>
      <c r="G19" s="25"/>
      <c r="H19" s="8"/>
      <c r="I19" s="8"/>
      <c r="J19" s="2"/>
      <c r="K19" s="85">
        <v>10024</v>
      </c>
      <c r="L19" s="9" t="s">
        <v>15</v>
      </c>
      <c r="M19" s="16" t="s">
        <v>40</v>
      </c>
      <c r="R19" s="1">
        <f>IF(vend23[[#This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>
        <v>10047</v>
      </c>
      <c r="L20" s="9" t="s">
        <v>15</v>
      </c>
      <c r="M20" s="16" t="s">
        <v>40</v>
      </c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2770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9935</v>
      </c>
      <c r="F26" s="24" t="s">
        <v>176</v>
      </c>
      <c r="G26" s="25" t="s">
        <v>16</v>
      </c>
      <c r="H26" s="8">
        <v>0</v>
      </c>
      <c r="I26" s="8">
        <v>200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9272</v>
      </c>
      <c r="F35" s="24" t="s">
        <v>216</v>
      </c>
      <c r="G35" s="25" t="s">
        <v>16</v>
      </c>
      <c r="H35" s="8">
        <v>500</v>
      </c>
      <c r="I35" s="8" t="s">
        <v>97</v>
      </c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9</v>
      </c>
    </row>
    <row r="41" spans="2:18" ht="15.75" x14ac:dyDescent="0.25">
      <c r="E41" s="82"/>
      <c r="F41" s="38"/>
      <c r="G41" s="25"/>
      <c r="H41" s="8"/>
      <c r="I41" s="8"/>
      <c r="K41" s="85"/>
      <c r="L41" s="40"/>
      <c r="M41" s="39"/>
    </row>
    <row r="42" spans="2:18" ht="15.75" x14ac:dyDescent="0.25">
      <c r="E42" s="34"/>
      <c r="F42" s="96"/>
      <c r="G42" s="36"/>
      <c r="H42" s="17"/>
      <c r="I42" s="17"/>
    </row>
    <row r="43" spans="2:18" ht="15.75" x14ac:dyDescent="0.25">
      <c r="E43" s="34"/>
      <c r="F43" s="38"/>
      <c r="G43" s="25"/>
      <c r="H43" s="8"/>
      <c r="I43" s="8"/>
    </row>
    <row r="44" spans="2:18" ht="15.75" x14ac:dyDescent="0.25">
      <c r="E44" s="97"/>
      <c r="F44" s="96"/>
      <c r="G44" s="36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8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'23'!B1+1</f>
        <v>45620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77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IF(vend24[[#This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IF(vend24[[#This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3" zoomScale="90" zoomScaleNormal="90" workbookViewId="0">
      <selection activeCell="F28" sqref="F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'24'!B1+1</f>
        <v>45621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429.99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 ca="1">C16</f>
        <v>929.99</v>
      </c>
      <c r="D6" s="2"/>
      <c r="E6" s="77">
        <v>10081</v>
      </c>
      <c r="F6" s="24" t="s">
        <v>217</v>
      </c>
      <c r="G6" s="25" t="s">
        <v>16</v>
      </c>
      <c r="H6" s="8">
        <v>249.99</v>
      </c>
      <c r="I6" s="8">
        <v>249.99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10082</v>
      </c>
      <c r="F7" s="24" t="s">
        <v>218</v>
      </c>
      <c r="G7" s="25" t="s">
        <v>82</v>
      </c>
      <c r="H7" s="8"/>
      <c r="I7" s="8"/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35</v>
      </c>
      <c r="C8" s="28">
        <f ca="1">SUM(C6:C7)</f>
        <v>929.99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70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16</v>
      </c>
      <c r="C12" s="30">
        <f>(SUMIF($G$2:$G$31,B12,$I$2:$I$31))+(SUMIF($G$35:$G$41,B12,$H$35:$H$41))</f>
        <v>249.99</v>
      </c>
      <c r="D12" s="2"/>
      <c r="E12" s="77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18</v>
      </c>
      <c r="C13" s="30">
        <f>(SUMIF($G$2:$G$31,B13,$I$2:$I$31))+(SUMIF($G$35:$G$41,B13,$H$35:$H$41))</f>
        <v>610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IF(vend25[[#This Row],[Nº Venda]]&gt;1,1,0)</f>
        <v>0</v>
      </c>
    </row>
    <row r="14" spans="2:18" ht="15.75" x14ac:dyDescent="0.25">
      <c r="B14" s="29" t="s">
        <v>20</v>
      </c>
      <c r="C14" s="30">
        <f ca="1">(SUMIF($G$2:$G$31,B14,$I$2:$I$31))+(SUMIF($G$35:$G$41,B14,$H$36:$H$41))</f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IF(vend25[[#This Row],[Nº Venda]]&gt;1,1,0)</f>
        <v>0</v>
      </c>
    </row>
    <row r="15" spans="2:18" ht="15.75" x14ac:dyDescent="0.25">
      <c r="B15" s="29" t="s">
        <v>22</v>
      </c>
      <c r="C15" s="30">
        <f ca="1">(SUMIF($G$2:$G$31,B15,$I$2:$I$31))+(SUMIF($G$35:$G$41,B15,$H$36:$H$41))</f>
        <v>0</v>
      </c>
      <c r="D15" s="2"/>
      <c r="E15" s="77"/>
      <c r="F15" s="24"/>
      <c r="G15" s="25"/>
      <c r="H15" s="8"/>
      <c r="I15" s="8"/>
      <c r="J15" s="2"/>
      <c r="K15" s="85">
        <v>10015</v>
      </c>
      <c r="L15" s="9" t="s">
        <v>4</v>
      </c>
      <c r="M15" s="16" t="s">
        <v>40</v>
      </c>
      <c r="R15" s="1">
        <f>IF(vend25[[#This Row],[Nº Venda]]&gt;1,1,0)</f>
        <v>0</v>
      </c>
    </row>
    <row r="16" spans="2:18" ht="15.75" x14ac:dyDescent="0.25">
      <c r="B16" s="27" t="s">
        <v>24</v>
      </c>
      <c r="C16" s="31">
        <f ca="1">SUM(C11:C15)</f>
        <v>929.99</v>
      </c>
      <c r="D16" s="2"/>
      <c r="E16" s="77"/>
      <c r="F16" s="24"/>
      <c r="G16" s="25"/>
      <c r="H16" s="8"/>
      <c r="I16" s="8"/>
      <c r="J16" s="2"/>
      <c r="K16" s="85">
        <v>10038</v>
      </c>
      <c r="L16" s="9" t="s">
        <v>4</v>
      </c>
      <c r="M16" s="16" t="s">
        <v>40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10037</v>
      </c>
      <c r="L17" s="9" t="s">
        <v>4</v>
      </c>
      <c r="M17" s="16" t="s">
        <v>40</v>
      </c>
      <c r="R17" s="1">
        <f>IF(vend25[[#This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429.99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10038</v>
      </c>
      <c r="F26" s="24" t="s">
        <v>161</v>
      </c>
      <c r="G26" s="25" t="s">
        <v>18</v>
      </c>
      <c r="H26" s="8">
        <v>180</v>
      </c>
      <c r="I26" s="8">
        <v>180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10080</v>
      </c>
      <c r="F27" s="24" t="s">
        <v>219</v>
      </c>
      <c r="G27" s="25" t="s">
        <v>18</v>
      </c>
      <c r="H27" s="8"/>
      <c r="I27" s="8">
        <v>430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9330</v>
      </c>
      <c r="F35" s="24" t="s">
        <v>220</v>
      </c>
      <c r="G35" s="25" t="s">
        <v>14</v>
      </c>
      <c r="H35" s="66">
        <v>50</v>
      </c>
      <c r="I35" s="8" t="s">
        <v>102</v>
      </c>
      <c r="K35" s="85"/>
      <c r="L35" s="40"/>
      <c r="M35" s="16"/>
    </row>
    <row r="36" spans="2:18" ht="15.75" x14ac:dyDescent="0.25">
      <c r="E36" s="81">
        <v>9447</v>
      </c>
      <c r="F36" s="24" t="s">
        <v>220</v>
      </c>
      <c r="G36" s="25" t="s">
        <v>14</v>
      </c>
      <c r="H36" s="8">
        <v>20</v>
      </c>
      <c r="I36" s="8" t="s">
        <v>221</v>
      </c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2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'25'!B1+1</f>
        <v>45622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3331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1060</v>
      </c>
      <c r="D6" s="2"/>
      <c r="E6" s="77">
        <v>10083</v>
      </c>
      <c r="F6" s="24" t="s">
        <v>222</v>
      </c>
      <c r="G6" s="25" t="s">
        <v>18</v>
      </c>
      <c r="H6" s="8">
        <v>1100</v>
      </c>
      <c r="I6" s="8">
        <v>199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10084</v>
      </c>
      <c r="F7" s="24" t="s">
        <v>223</v>
      </c>
      <c r="G7" s="25" t="s">
        <v>22</v>
      </c>
      <c r="H7" s="8">
        <v>2231</v>
      </c>
      <c r="I7" s="8">
        <v>10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35</v>
      </c>
      <c r="C8" s="28">
        <f>SUM(C6:C7)</f>
        <v>1060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250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18</v>
      </c>
      <c r="C13" s="30">
        <f t="shared" si="0"/>
        <v>619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IF(vend26[[#This Row],[Nº Venda]]&gt;1,1,0)</f>
        <v>0</v>
      </c>
    </row>
    <row r="15" spans="2:18" ht="15.75" x14ac:dyDescent="0.25">
      <c r="B15" s="29" t="s">
        <v>22</v>
      </c>
      <c r="C15" s="30">
        <f t="shared" si="0"/>
        <v>191</v>
      </c>
      <c r="D15" s="2"/>
      <c r="E15" s="77"/>
      <c r="F15" s="24"/>
      <c r="G15" s="25"/>
      <c r="H15" s="8"/>
      <c r="I15" s="8"/>
      <c r="J15" s="2"/>
      <c r="K15" s="85">
        <v>10061</v>
      </c>
      <c r="L15" s="9" t="s">
        <v>15</v>
      </c>
      <c r="M15" s="16" t="s">
        <v>40</v>
      </c>
      <c r="R15" s="1">
        <f>IF(vend26[[#This Row],[Nº Venda]]&gt;1,1,0)</f>
        <v>0</v>
      </c>
    </row>
    <row r="16" spans="2:18" ht="15.75" x14ac:dyDescent="0.25">
      <c r="B16" s="27" t="s">
        <v>24</v>
      </c>
      <c r="C16" s="31">
        <f>SUM(C11:C15)</f>
        <v>1060</v>
      </c>
      <c r="D16" s="2"/>
      <c r="E16" s="77"/>
      <c r="F16" s="24"/>
      <c r="G16" s="25"/>
      <c r="H16" s="8"/>
      <c r="I16" s="8"/>
      <c r="J16" s="2"/>
      <c r="K16" s="85">
        <v>10039</v>
      </c>
      <c r="L16" s="9" t="s">
        <v>4</v>
      </c>
      <c r="M16" s="16" t="s">
        <v>40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9955</v>
      </c>
      <c r="L17" s="9" t="s">
        <v>15</v>
      </c>
      <c r="M17" s="16" t="s">
        <v>40</v>
      </c>
      <c r="R17" s="1">
        <f>IF(vend26[[#This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3331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10039</v>
      </c>
      <c r="F26" s="24" t="s">
        <v>224</v>
      </c>
      <c r="G26" s="25" t="s">
        <v>14</v>
      </c>
      <c r="H26" s="8"/>
      <c r="I26" s="8">
        <v>250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9955</v>
      </c>
      <c r="F27" s="24" t="s">
        <v>225</v>
      </c>
      <c r="G27" s="25" t="s">
        <v>18</v>
      </c>
      <c r="H27" s="8"/>
      <c r="I27" s="8">
        <v>420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9681</v>
      </c>
      <c r="F35" s="24" t="s">
        <v>226</v>
      </c>
      <c r="G35" s="25" t="s">
        <v>22</v>
      </c>
      <c r="H35" s="8">
        <v>89</v>
      </c>
      <c r="I35" s="8" t="s">
        <v>99</v>
      </c>
      <c r="K35" s="85"/>
      <c r="L35" s="40"/>
      <c r="M35" s="16"/>
    </row>
    <row r="36" spans="2:18" ht="15.75" x14ac:dyDescent="0.25">
      <c r="E36" s="81">
        <v>9948</v>
      </c>
      <c r="F36" s="24" t="s">
        <v>227</v>
      </c>
      <c r="G36" s="25" t="s">
        <v>22</v>
      </c>
      <c r="H36" s="8">
        <v>92</v>
      </c>
      <c r="I36" s="8" t="s">
        <v>109</v>
      </c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2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1" zoomScale="90" zoomScaleNormal="9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'26'!B1+1</f>
        <v>45623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1069.99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1717.99</v>
      </c>
      <c r="D6" s="2"/>
      <c r="E6" s="77">
        <v>10085</v>
      </c>
      <c r="F6" s="24" t="s">
        <v>228</v>
      </c>
      <c r="G6" s="25" t="s">
        <v>16</v>
      </c>
      <c r="H6" s="8">
        <v>900</v>
      </c>
      <c r="I6" s="8">
        <v>150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10086</v>
      </c>
      <c r="F7" s="24" t="s">
        <v>229</v>
      </c>
      <c r="G7" s="25" t="s">
        <v>18</v>
      </c>
      <c r="H7" s="8">
        <v>149.99</v>
      </c>
      <c r="I7" s="8">
        <v>149.99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35</v>
      </c>
      <c r="C8" s="28">
        <f>SUM(C6:C7)</f>
        <v>1717.99</v>
      </c>
      <c r="D8" s="2"/>
      <c r="E8" s="77">
        <v>10087</v>
      </c>
      <c r="F8" s="24" t="s">
        <v>230</v>
      </c>
      <c r="G8" s="25" t="s">
        <v>18</v>
      </c>
      <c r="H8" s="8">
        <v>20</v>
      </c>
      <c r="I8" s="8">
        <v>20</v>
      </c>
      <c r="J8" s="2"/>
      <c r="K8" s="24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590</v>
      </c>
      <c r="D12" s="2"/>
      <c r="E12" s="77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18</v>
      </c>
      <c r="C13" s="30">
        <f t="shared" si="0"/>
        <v>769.99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IF(vend27[[#This Row],[Nº Venda]]&gt;1,1,0)</f>
        <v>0</v>
      </c>
    </row>
    <row r="15" spans="2:18" ht="15.75" x14ac:dyDescent="0.25">
      <c r="B15" s="29" t="s">
        <v>22</v>
      </c>
      <c r="C15" s="30">
        <f t="shared" si="0"/>
        <v>358</v>
      </c>
      <c r="D15" s="2"/>
      <c r="E15" s="77"/>
      <c r="F15" s="24"/>
      <c r="G15" s="25"/>
      <c r="H15" s="8"/>
      <c r="I15" s="8"/>
      <c r="J15" s="2"/>
      <c r="K15" s="85">
        <v>10049</v>
      </c>
      <c r="L15" s="9" t="s">
        <v>4</v>
      </c>
      <c r="M15" s="16" t="s">
        <v>40</v>
      </c>
      <c r="R15" s="1">
        <f>IF(vend27[[#This Row],[Nº Venda]]&gt;1,1,0)</f>
        <v>0</v>
      </c>
    </row>
    <row r="16" spans="2:18" ht="15.75" x14ac:dyDescent="0.25">
      <c r="B16" s="27" t="s">
        <v>24</v>
      </c>
      <c r="C16" s="31">
        <f>SUM(C11:C15)</f>
        <v>1717.99</v>
      </c>
      <c r="D16" s="2"/>
      <c r="E16" s="77"/>
      <c r="F16" s="24"/>
      <c r="G16" s="25"/>
      <c r="H16" s="8"/>
      <c r="I16" s="8"/>
      <c r="J16" s="2"/>
      <c r="K16" s="85">
        <v>10073</v>
      </c>
      <c r="L16" s="9" t="s">
        <v>4</v>
      </c>
      <c r="M16" s="16" t="s">
        <v>40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10086</v>
      </c>
      <c r="L17" s="9" t="s">
        <v>15</v>
      </c>
      <c r="M17" s="16" t="s">
        <v>40</v>
      </c>
      <c r="R17" s="1">
        <f>IF(vend27[[#This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1069.99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95">
        <v>9994</v>
      </c>
      <c r="F26" s="24" t="s">
        <v>231</v>
      </c>
      <c r="G26" s="25" t="s">
        <v>18</v>
      </c>
      <c r="H26" s="8"/>
      <c r="I26" s="8">
        <v>600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9994</v>
      </c>
      <c r="F27" s="24" t="s">
        <v>231</v>
      </c>
      <c r="G27" s="25" t="s">
        <v>16</v>
      </c>
      <c r="H27" s="8"/>
      <c r="I27" s="8">
        <v>440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9960</v>
      </c>
      <c r="F35" s="24" t="s">
        <v>232</v>
      </c>
      <c r="G35" s="25" t="s">
        <v>22</v>
      </c>
      <c r="H35" s="8">
        <v>100</v>
      </c>
      <c r="I35" s="8" t="s">
        <v>99</v>
      </c>
      <c r="K35" s="85"/>
      <c r="L35" s="40"/>
      <c r="M35" s="16"/>
    </row>
    <row r="36" spans="2:18" ht="15.75" x14ac:dyDescent="0.25">
      <c r="E36" s="81">
        <v>9755</v>
      </c>
      <c r="F36" s="24" t="s">
        <v>233</v>
      </c>
      <c r="G36" s="25" t="s">
        <v>22</v>
      </c>
      <c r="H36" s="8">
        <v>152</v>
      </c>
      <c r="I36" s="8" t="s">
        <v>159</v>
      </c>
      <c r="K36" s="85"/>
      <c r="L36" s="40"/>
      <c r="M36" s="16"/>
    </row>
    <row r="37" spans="2:18" ht="15.75" x14ac:dyDescent="0.25">
      <c r="E37" s="77">
        <v>9590</v>
      </c>
      <c r="F37" s="24" t="s">
        <v>234</v>
      </c>
      <c r="G37" s="25" t="s">
        <v>22</v>
      </c>
      <c r="H37" s="8">
        <v>106</v>
      </c>
      <c r="I37" s="8" t="s">
        <v>141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3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E35:E41 K35:K41 K15:K31 E27:E31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7" zoomScale="90" zoomScaleNormal="9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'27'!B1+1</f>
        <v>45624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2490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2680</v>
      </c>
      <c r="D6" s="2"/>
      <c r="E6" s="77">
        <v>10088</v>
      </c>
      <c r="F6" s="24" t="s">
        <v>235</v>
      </c>
      <c r="G6" s="25" t="s">
        <v>18</v>
      </c>
      <c r="H6" s="8">
        <v>690</v>
      </c>
      <c r="I6" s="8">
        <v>690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10089</v>
      </c>
      <c r="F7" s="24" t="s">
        <v>236</v>
      </c>
      <c r="G7" s="25" t="s">
        <v>18</v>
      </c>
      <c r="H7" s="8">
        <v>1800</v>
      </c>
      <c r="I7" s="8">
        <v>1800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35</v>
      </c>
      <c r="C8" s="28">
        <f>SUM(C6:C7)</f>
        <v>2680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190</v>
      </c>
      <c r="D12" s="2"/>
      <c r="E12" s="77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18</v>
      </c>
      <c r="C13" s="30">
        <f t="shared" si="0"/>
        <v>2490</v>
      </c>
      <c r="D13" s="2"/>
      <c r="E13" s="78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IF(vend28[[#This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IF(vend28[[#This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>
        <v>10079</v>
      </c>
      <c r="L15" s="9" t="s">
        <v>15</v>
      </c>
      <c r="M15" s="16" t="s">
        <v>40</v>
      </c>
      <c r="R15" s="1">
        <f>IF(vend28[[#This Row],[Nº Venda]]&gt;1,1,0)</f>
        <v>0</v>
      </c>
    </row>
    <row r="16" spans="2:18" ht="15.75" x14ac:dyDescent="0.25">
      <c r="B16" s="27" t="s">
        <v>24</v>
      </c>
      <c r="C16" s="31">
        <f>SUM(C11:C15)</f>
        <v>2680</v>
      </c>
      <c r="D16" s="2"/>
      <c r="E16" s="77"/>
      <c r="F16" s="24"/>
      <c r="G16" s="25"/>
      <c r="H16" s="8"/>
      <c r="I16" s="8"/>
      <c r="J16" s="2"/>
      <c r="K16" s="85">
        <v>10011</v>
      </c>
      <c r="L16" s="9" t="s">
        <v>15</v>
      </c>
      <c r="M16" s="16" t="s">
        <v>40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10087</v>
      </c>
      <c r="L17" s="9" t="s">
        <v>4</v>
      </c>
      <c r="M17" s="16" t="s">
        <v>40</v>
      </c>
      <c r="R17" s="1">
        <f>IF(vend28[[#This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2490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8943</v>
      </c>
      <c r="F35" s="24" t="s">
        <v>237</v>
      </c>
      <c r="G35" s="25" t="s">
        <v>16</v>
      </c>
      <c r="H35" s="8">
        <v>190</v>
      </c>
      <c r="I35" s="8" t="s">
        <v>238</v>
      </c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2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abSelected="1" view="pageBreakPreview" topLeftCell="A13" zoomScale="60" zoomScaleNormal="90" workbookViewId="0">
      <selection activeCell="E39" sqref="E3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2.42578125" style="33" bestFit="1" customWidth="1"/>
    <col min="7" max="7" width="10.140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0.7109375" style="3" customWidth="1"/>
    <col min="12" max="12" width="11.425781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6">
        <f>'28'!B1+1</f>
        <v>45625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3215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2603.66</v>
      </c>
      <c r="D6" s="2"/>
      <c r="E6" s="77">
        <v>10090</v>
      </c>
      <c r="F6" s="24" t="s">
        <v>239</v>
      </c>
      <c r="G6" s="25" t="s">
        <v>18</v>
      </c>
      <c r="H6" s="8">
        <v>900</v>
      </c>
      <c r="I6" s="8">
        <v>900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10091</v>
      </c>
      <c r="F7" s="24" t="s">
        <v>240</v>
      </c>
      <c r="G7" s="25" t="s">
        <v>16</v>
      </c>
      <c r="H7" s="44">
        <v>115</v>
      </c>
      <c r="I7" s="8">
        <v>115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35</v>
      </c>
      <c r="C8" s="28">
        <f>SUM(C6:C7)</f>
        <v>2603.66</v>
      </c>
      <c r="D8" s="2"/>
      <c r="E8" s="77">
        <v>10092</v>
      </c>
      <c r="F8" s="24" t="s">
        <v>241</v>
      </c>
      <c r="G8" s="25" t="s">
        <v>18</v>
      </c>
      <c r="H8" s="8">
        <v>200</v>
      </c>
      <c r="I8" s="8">
        <v>200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77">
        <v>10093</v>
      </c>
      <c r="F9" s="24" t="s">
        <v>242</v>
      </c>
      <c r="G9" s="25" t="s">
        <v>22</v>
      </c>
      <c r="H9" s="8">
        <v>550</v>
      </c>
      <c r="I9" s="8">
        <v>40</v>
      </c>
      <c r="J9" s="2"/>
      <c r="K9" s="24"/>
      <c r="L9" s="9"/>
      <c r="M9" s="16"/>
      <c r="R9" s="1">
        <f>IF(vend29[[#This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10094</v>
      </c>
      <c r="F10" s="24" t="s">
        <v>243</v>
      </c>
      <c r="G10" s="25" t="s">
        <v>22</v>
      </c>
      <c r="H10" s="8">
        <v>400</v>
      </c>
      <c r="I10" s="8">
        <v>50</v>
      </c>
      <c r="J10" s="2"/>
      <c r="K10" s="24"/>
      <c r="L10" s="9"/>
      <c r="M10" s="16"/>
      <c r="R10" s="1">
        <f>IF(vend29[[#This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100</v>
      </c>
      <c r="D11" s="2"/>
      <c r="E11" s="77">
        <v>10095</v>
      </c>
      <c r="F11" s="24" t="s">
        <v>243</v>
      </c>
      <c r="G11" s="25" t="s">
        <v>22</v>
      </c>
      <c r="H11" s="8">
        <v>450</v>
      </c>
      <c r="I11" s="8">
        <v>50</v>
      </c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631.66</v>
      </c>
      <c r="D12" s="2"/>
      <c r="E12" s="77">
        <v>10096</v>
      </c>
      <c r="F12" s="24" t="s">
        <v>244</v>
      </c>
      <c r="G12" s="25" t="s">
        <v>14</v>
      </c>
      <c r="H12" s="8">
        <v>400</v>
      </c>
      <c r="I12" s="8">
        <v>50</v>
      </c>
      <c r="J12" s="2"/>
      <c r="R12" s="1">
        <f>IF(vend29[[#This Row],[Nº Venda]]&gt;1,1,0)</f>
        <v>1</v>
      </c>
    </row>
    <row r="13" spans="2:18" ht="15.75" x14ac:dyDescent="0.25">
      <c r="B13" s="29" t="s">
        <v>18</v>
      </c>
      <c r="C13" s="30">
        <f t="shared" si="0"/>
        <v>1100</v>
      </c>
      <c r="D13" s="2"/>
      <c r="E13" s="77">
        <v>10097</v>
      </c>
      <c r="F13" s="24" t="s">
        <v>244</v>
      </c>
      <c r="G13" s="25" t="s">
        <v>14</v>
      </c>
      <c r="H13" s="8">
        <v>200</v>
      </c>
      <c r="I13" s="8">
        <v>50</v>
      </c>
      <c r="J13" s="2"/>
      <c r="K13" s="104" t="s">
        <v>36</v>
      </c>
      <c r="L13" s="105"/>
      <c r="M13" s="106"/>
      <c r="R13" s="1">
        <f>IF(vend29[[#This Row],[Nº Venda]]&gt;1,1,0)</f>
        <v>1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8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IF(vend29[[#This Row],[Nº Venda]]&gt;1,1,0)</f>
        <v>0</v>
      </c>
    </row>
    <row r="15" spans="2:18" ht="15.75" x14ac:dyDescent="0.25">
      <c r="B15" s="29" t="s">
        <v>22</v>
      </c>
      <c r="C15" s="30">
        <f t="shared" si="0"/>
        <v>772</v>
      </c>
      <c r="D15" s="2"/>
      <c r="E15" s="77"/>
      <c r="F15" s="24"/>
      <c r="G15" s="25"/>
      <c r="H15" s="8"/>
      <c r="I15" s="8"/>
      <c r="J15" s="2"/>
      <c r="K15" s="85">
        <v>9933</v>
      </c>
      <c r="L15" s="9" t="s">
        <v>15</v>
      </c>
      <c r="M15" s="16" t="s">
        <v>65</v>
      </c>
      <c r="R15" s="1">
        <f>IF(vend29[[#This Row],[Nº Venda]]&gt;1,1,0)</f>
        <v>0</v>
      </c>
    </row>
    <row r="16" spans="2:18" ht="15.75" x14ac:dyDescent="0.25">
      <c r="B16" s="27" t="s">
        <v>24</v>
      </c>
      <c r="C16" s="31">
        <f>SUM(C11:C15)</f>
        <v>2603.66</v>
      </c>
      <c r="D16" s="2"/>
      <c r="E16" s="77"/>
      <c r="F16" s="24"/>
      <c r="G16" s="25"/>
      <c r="H16" s="8"/>
      <c r="I16" s="8"/>
      <c r="J16" s="2"/>
      <c r="K16" s="85">
        <v>9942</v>
      </c>
      <c r="L16" s="9" t="s">
        <v>15</v>
      </c>
      <c r="M16" s="16" t="s">
        <v>40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10052</v>
      </c>
      <c r="L17" s="9" t="s">
        <v>4</v>
      </c>
      <c r="M17" s="16" t="s">
        <v>40</v>
      </c>
      <c r="R17" s="1">
        <f>IF(vend29[[#This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10081</v>
      </c>
      <c r="L18" s="9" t="s">
        <v>4</v>
      </c>
      <c r="M18" s="16" t="s">
        <v>40</v>
      </c>
      <c r="R18" s="1">
        <f>IF(vend29[[#This Row],[Nº Venda]]&gt;1,1,0)</f>
        <v>0</v>
      </c>
    </row>
    <row r="19" spans="2:18" ht="15.75" x14ac:dyDescent="0.25">
      <c r="B19" s="29">
        <f>COUNT(entr_carn29[OS])</f>
        <v>1</v>
      </c>
      <c r="C19" s="30">
        <f>SUM(entr_carn29[Valor Total])</f>
        <v>601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24</v>
      </c>
      <c r="C20" s="31">
        <f>SUM(C19:C19)</f>
        <v>601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3215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>
        <v>9527</v>
      </c>
      <c r="F26" s="24" t="s">
        <v>245</v>
      </c>
      <c r="G26" s="25" t="s">
        <v>22</v>
      </c>
      <c r="H26" s="8"/>
      <c r="I26" s="8">
        <v>70</v>
      </c>
      <c r="J26" s="2"/>
      <c r="K26" s="85"/>
      <c r="L26" s="9"/>
      <c r="M26" s="16"/>
    </row>
    <row r="27" spans="2:18" ht="15.75" x14ac:dyDescent="0.25">
      <c r="B27" s="2"/>
      <c r="C27" s="2"/>
      <c r="D27" s="2"/>
      <c r="E27" s="77">
        <v>9933</v>
      </c>
      <c r="F27" s="24" t="s">
        <v>326</v>
      </c>
      <c r="G27" s="25" t="s">
        <v>16</v>
      </c>
      <c r="H27" s="8">
        <v>0</v>
      </c>
      <c r="I27" s="8">
        <v>300</v>
      </c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81">
        <v>9370</v>
      </c>
      <c r="F35" s="24" t="s">
        <v>246</v>
      </c>
      <c r="G35" s="25" t="s">
        <v>16</v>
      </c>
      <c r="H35" s="8">
        <v>108.33</v>
      </c>
      <c r="I35" s="8" t="s">
        <v>78</v>
      </c>
      <c r="K35" s="85">
        <v>9933</v>
      </c>
      <c r="L35" s="40">
        <v>7</v>
      </c>
      <c r="M35" s="16">
        <v>601</v>
      </c>
    </row>
    <row r="36" spans="2:18" ht="15.75" x14ac:dyDescent="0.25">
      <c r="E36" s="81">
        <v>9370</v>
      </c>
      <c r="F36" s="24" t="s">
        <v>246</v>
      </c>
      <c r="G36" s="25" t="s">
        <v>16</v>
      </c>
      <c r="H36" s="8">
        <v>108.33</v>
      </c>
      <c r="I36" s="8" t="s">
        <v>101</v>
      </c>
      <c r="K36" s="85"/>
      <c r="L36" s="40"/>
      <c r="M36" s="16"/>
    </row>
    <row r="37" spans="2:18" ht="15.75" x14ac:dyDescent="0.25">
      <c r="E37" s="77">
        <v>9527</v>
      </c>
      <c r="F37" s="24" t="s">
        <v>247</v>
      </c>
      <c r="G37" s="25" t="s">
        <v>22</v>
      </c>
      <c r="H37" s="8">
        <v>300</v>
      </c>
      <c r="I37" s="8" t="s">
        <v>248</v>
      </c>
      <c r="K37" s="85"/>
      <c r="L37" s="40"/>
      <c r="M37" s="16"/>
    </row>
    <row r="38" spans="2:18" ht="15.75" x14ac:dyDescent="0.25">
      <c r="E38" s="77">
        <v>9750</v>
      </c>
      <c r="F38" s="24" t="s">
        <v>249</v>
      </c>
      <c r="G38" s="25" t="s">
        <v>22</v>
      </c>
      <c r="H38" s="8">
        <v>189.5</v>
      </c>
      <c r="I38" s="8" t="s">
        <v>250</v>
      </c>
      <c r="K38" s="85"/>
      <c r="L38" s="40"/>
      <c r="M38" s="16"/>
    </row>
    <row r="39" spans="2:18" ht="15.75" x14ac:dyDescent="0.25">
      <c r="E39" s="77">
        <v>9845</v>
      </c>
      <c r="F39" s="38" t="s">
        <v>251</v>
      </c>
      <c r="G39" s="25" t="s">
        <v>22</v>
      </c>
      <c r="H39" s="8">
        <v>72.5</v>
      </c>
      <c r="I39" s="8" t="s">
        <v>250</v>
      </c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8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E35:E41 E26:E31 K35:K41 K15:K31 E6:E22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zoomScale="60" zoomScaleNormal="9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'29'!B1+1</f>
        <v>45626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7804.88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3477.19</v>
      </c>
      <c r="D6" s="2"/>
      <c r="E6" s="77">
        <v>10098</v>
      </c>
      <c r="F6" s="24" t="s">
        <v>252</v>
      </c>
      <c r="G6" s="25" t="s">
        <v>16</v>
      </c>
      <c r="H6" s="8">
        <v>179.99</v>
      </c>
      <c r="I6" s="8">
        <v>179.99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77">
        <v>10099</v>
      </c>
      <c r="F7" s="24" t="s">
        <v>253</v>
      </c>
      <c r="G7" s="25" t="s">
        <v>14</v>
      </c>
      <c r="H7" s="8">
        <v>100</v>
      </c>
      <c r="I7" s="8">
        <v>100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35</v>
      </c>
      <c r="C8" s="28">
        <f>SUM(C6:C7)</f>
        <v>3477.19</v>
      </c>
      <c r="D8" s="2"/>
      <c r="E8" s="77">
        <v>10100</v>
      </c>
      <c r="F8" s="24" t="s">
        <v>254</v>
      </c>
      <c r="G8" s="25" t="s">
        <v>18</v>
      </c>
      <c r="H8" s="8">
        <v>800</v>
      </c>
      <c r="I8" s="8">
        <v>800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77">
        <v>10101</v>
      </c>
      <c r="F9" s="24" t="s">
        <v>255</v>
      </c>
      <c r="G9" s="25" t="s">
        <v>16</v>
      </c>
      <c r="H9" s="8">
        <v>450</v>
      </c>
      <c r="I9" s="8">
        <v>450</v>
      </c>
      <c r="J9" s="2"/>
      <c r="K9" s="24"/>
      <c r="L9" s="9"/>
      <c r="M9" s="16"/>
      <c r="R9" s="1">
        <f>IF(vend30[[#This Row],[Nº Venda]]&gt;1,1,0)</f>
        <v>1</v>
      </c>
    </row>
    <row r="10" spans="2:18" ht="15.75" x14ac:dyDescent="0.25">
      <c r="B10" s="102" t="s">
        <v>12</v>
      </c>
      <c r="C10" s="102"/>
      <c r="D10" s="2"/>
      <c r="E10" s="77">
        <v>10102</v>
      </c>
      <c r="F10" s="24" t="s">
        <v>255</v>
      </c>
      <c r="G10" s="25" t="s">
        <v>18</v>
      </c>
      <c r="H10" s="8">
        <v>450</v>
      </c>
      <c r="I10" s="8">
        <v>450</v>
      </c>
      <c r="J10" s="2"/>
      <c r="K10" s="24"/>
      <c r="L10" s="9"/>
      <c r="M10" s="16"/>
      <c r="R10" s="1">
        <f>IF(vend30[[#This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100</v>
      </c>
      <c r="D11" s="2"/>
      <c r="E11" s="77">
        <v>10103</v>
      </c>
      <c r="F11" s="24" t="s">
        <v>256</v>
      </c>
      <c r="G11" s="25" t="s">
        <v>18</v>
      </c>
      <c r="H11" s="8">
        <v>550</v>
      </c>
      <c r="I11" s="8">
        <v>199</v>
      </c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895.19</v>
      </c>
      <c r="D12" s="2"/>
      <c r="E12" s="77">
        <v>10104</v>
      </c>
      <c r="F12" s="24" t="s">
        <v>257</v>
      </c>
      <c r="G12" s="25" t="s">
        <v>22</v>
      </c>
      <c r="H12" s="8">
        <v>2500</v>
      </c>
      <c r="I12" s="8">
        <v>350</v>
      </c>
      <c r="J12" s="2"/>
      <c r="R12" s="1">
        <f>IF(vend30[[#This Row],[Nº Venda]]&gt;1,1,0)</f>
        <v>1</v>
      </c>
    </row>
    <row r="13" spans="2:18" ht="15.75" x14ac:dyDescent="0.25">
      <c r="B13" s="29" t="s">
        <v>18</v>
      </c>
      <c r="C13" s="30">
        <f t="shared" si="0"/>
        <v>1449</v>
      </c>
      <c r="D13" s="2"/>
      <c r="E13" s="77">
        <v>10105</v>
      </c>
      <c r="F13" s="24" t="s">
        <v>257</v>
      </c>
      <c r="G13" s="25" t="s">
        <v>22</v>
      </c>
      <c r="H13" s="8">
        <v>2500</v>
      </c>
      <c r="I13" s="8">
        <v>350</v>
      </c>
      <c r="J13" s="2"/>
      <c r="K13" s="104" t="s">
        <v>36</v>
      </c>
      <c r="L13" s="105"/>
      <c r="M13" s="106"/>
      <c r="R13" s="1">
        <f>IF(vend30[[#This Row],[Nº Venda]]&gt;1,1,0)</f>
        <v>1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7">
        <v>10106</v>
      </c>
      <c r="F14" s="24" t="s">
        <v>258</v>
      </c>
      <c r="G14" s="25" t="s">
        <v>22</v>
      </c>
      <c r="H14" s="8">
        <v>100</v>
      </c>
      <c r="I14" s="8">
        <v>100</v>
      </c>
      <c r="J14" s="2"/>
      <c r="K14" s="14" t="s">
        <v>37</v>
      </c>
      <c r="L14" s="6" t="s">
        <v>38</v>
      </c>
      <c r="M14" s="15" t="s">
        <v>39</v>
      </c>
      <c r="R14" s="1">
        <f>IF(vend30[[#This Row],[Nº Venda]]&gt;1,1,0)</f>
        <v>1</v>
      </c>
    </row>
    <row r="15" spans="2:18" ht="15.75" x14ac:dyDescent="0.25">
      <c r="B15" s="29" t="s">
        <v>22</v>
      </c>
      <c r="C15" s="30">
        <f t="shared" si="0"/>
        <v>1033</v>
      </c>
      <c r="D15" s="2"/>
      <c r="E15" s="77">
        <v>10107</v>
      </c>
      <c r="F15" s="24" t="s">
        <v>259</v>
      </c>
      <c r="G15" s="25" t="s">
        <v>16</v>
      </c>
      <c r="H15" s="8">
        <v>139.88999999999999</v>
      </c>
      <c r="I15" s="8">
        <v>139.88999999999999</v>
      </c>
      <c r="J15" s="2"/>
      <c r="K15" s="85">
        <v>9927</v>
      </c>
      <c r="L15" s="9" t="s">
        <v>4</v>
      </c>
      <c r="M15" s="16" t="s">
        <v>40</v>
      </c>
      <c r="R15" s="1">
        <f>IF(vend30[[#This Row],[Nº Venda]]&gt;1,1,0)</f>
        <v>1</v>
      </c>
    </row>
    <row r="16" spans="2:18" ht="15.75" x14ac:dyDescent="0.25">
      <c r="B16" s="27" t="s">
        <v>24</v>
      </c>
      <c r="C16" s="31">
        <f>SUM(C11:C15)</f>
        <v>3477.19</v>
      </c>
      <c r="D16" s="2"/>
      <c r="E16" s="77">
        <v>10108</v>
      </c>
      <c r="F16" s="24" t="s">
        <v>260</v>
      </c>
      <c r="G16" s="25" t="s">
        <v>22</v>
      </c>
      <c r="H16" s="8">
        <v>35</v>
      </c>
      <c r="I16" s="8">
        <v>35</v>
      </c>
      <c r="J16" s="2"/>
      <c r="K16" s="85">
        <v>10040</v>
      </c>
      <c r="L16" s="9" t="s">
        <v>4</v>
      </c>
      <c r="M16" s="16" t="s">
        <v>40</v>
      </c>
      <c r="R16" s="1">
        <f>IF(vend30[[#This Row],[Nº Venda]]&gt;1,1,0)</f>
        <v>1</v>
      </c>
    </row>
    <row r="17" spans="2:22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>
        <v>10057</v>
      </c>
      <c r="L17" s="9" t="s">
        <v>15</v>
      </c>
      <c r="M17" s="16" t="s">
        <v>40</v>
      </c>
      <c r="R17" s="1">
        <f>IF(vend30[[#This Row],[Nº Venda]]&gt;1,1,0)</f>
        <v>0</v>
      </c>
    </row>
    <row r="18" spans="2:22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>
        <v>10075</v>
      </c>
      <c r="L18" s="9" t="s">
        <v>4</v>
      </c>
      <c r="M18" s="16" t="s">
        <v>40</v>
      </c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77"/>
      <c r="F19" s="24"/>
      <c r="G19" s="25"/>
      <c r="H19" s="8"/>
      <c r="I19" s="8"/>
      <c r="J19" s="2"/>
      <c r="K19" s="85">
        <v>10082</v>
      </c>
      <c r="L19" s="9" t="s">
        <v>4</v>
      </c>
      <c r="M19" s="16" t="s">
        <v>40</v>
      </c>
      <c r="R19" s="1">
        <f>IF(vend30[[#This Row],[Nº Venda]]&gt;1,1,0)</f>
        <v>0</v>
      </c>
    </row>
    <row r="20" spans="2:22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>
        <v>10098</v>
      </c>
      <c r="L20" s="9" t="s">
        <v>4</v>
      </c>
      <c r="M20" s="16" t="s">
        <v>40</v>
      </c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>
        <v>10099</v>
      </c>
      <c r="L21" s="9" t="s">
        <v>4</v>
      </c>
      <c r="M21" s="16" t="s">
        <v>40</v>
      </c>
      <c r="V21" s="1" t="s">
        <v>261</v>
      </c>
    </row>
    <row r="22" spans="2:22" ht="15.75" x14ac:dyDescent="0.25">
      <c r="B22" s="27" t="s">
        <v>41</v>
      </c>
      <c r="C22" s="31">
        <f>C5</f>
        <v>7804.88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22" ht="15.75" x14ac:dyDescent="0.25">
      <c r="B23" s="2"/>
      <c r="C23" s="2"/>
      <c r="D23" s="2"/>
      <c r="E23" s="84"/>
      <c r="F23" s="57"/>
      <c r="G23" s="57"/>
      <c r="H23" s="58"/>
      <c r="I23" s="58"/>
      <c r="J23" s="2"/>
      <c r="K23" s="85"/>
      <c r="L23" s="9"/>
      <c r="M23" s="16"/>
    </row>
    <row r="24" spans="2:22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22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22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22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22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22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22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>
        <v>9091</v>
      </c>
      <c r="F35" s="24" t="s">
        <v>262</v>
      </c>
      <c r="G35" s="25" t="s">
        <v>16</v>
      </c>
      <c r="H35" s="8">
        <v>125.31</v>
      </c>
      <c r="I35" s="8" t="s">
        <v>68</v>
      </c>
      <c r="K35" s="85"/>
      <c r="L35" s="40"/>
      <c r="M35" s="16"/>
    </row>
    <row r="36" spans="2:18" ht="15.75" x14ac:dyDescent="0.25">
      <c r="E36" s="79">
        <v>9424</v>
      </c>
      <c r="F36" s="24" t="s">
        <v>263</v>
      </c>
      <c r="G36" s="25" t="s">
        <v>22</v>
      </c>
      <c r="H36" s="8">
        <v>106</v>
      </c>
      <c r="I36" s="8" t="s">
        <v>101</v>
      </c>
      <c r="K36" s="85"/>
      <c r="L36" s="40"/>
      <c r="M36" s="16"/>
    </row>
    <row r="37" spans="2:18" ht="15.75" x14ac:dyDescent="0.25">
      <c r="E37" s="82">
        <v>9800</v>
      </c>
      <c r="F37" s="24" t="s">
        <v>327</v>
      </c>
      <c r="G37" s="25" t="s">
        <v>22</v>
      </c>
      <c r="H37" s="8">
        <v>92</v>
      </c>
      <c r="I37" s="8" t="s">
        <v>125</v>
      </c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11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G6:G23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K15:K31 E26:E31 E35:E41 K35:K41 E6:E23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'30'!B1+1</f>
        <v>45627</v>
      </c>
    </row>
    <row r="2" spans="2:18" ht="18.75" x14ac:dyDescent="0.2">
      <c r="B2" s="107" t="s">
        <v>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0" t="s">
        <v>3</v>
      </c>
      <c r="F4" s="110"/>
      <c r="G4" s="110"/>
      <c r="H4" s="110"/>
      <c r="I4" s="110"/>
      <c r="J4" s="21"/>
      <c r="K4" s="104" t="s">
        <v>7</v>
      </c>
      <c r="L4" s="105"/>
      <c r="M4" s="106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77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77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77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77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2" t="s">
        <v>12</v>
      </c>
      <c r="C10" s="102"/>
      <c r="D10" s="2"/>
      <c r="E10" s="77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7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77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77"/>
      <c r="F13" s="24"/>
      <c r="G13" s="25"/>
      <c r="H13" s="8"/>
      <c r="I13" s="8"/>
      <c r="J13" s="2"/>
      <c r="K13" s="104" t="s">
        <v>36</v>
      </c>
      <c r="L13" s="105"/>
      <c r="M13" s="106"/>
      <c r="R13" s="1">
        <f>IF(vend31[[#This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77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IF(vend31[[#This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77"/>
      <c r="F15" s="24"/>
      <c r="G15" s="25"/>
      <c r="H15" s="8"/>
      <c r="I15" s="8"/>
      <c r="J15" s="2"/>
      <c r="K15" s="85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77"/>
      <c r="F16" s="24"/>
      <c r="G16" s="25"/>
      <c r="H16" s="8"/>
      <c r="I16" s="8"/>
      <c r="J16" s="2"/>
      <c r="K16" s="8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77"/>
      <c r="F17" s="24"/>
      <c r="G17" s="25"/>
      <c r="H17" s="8"/>
      <c r="I17" s="8"/>
      <c r="J17" s="2"/>
      <c r="K17" s="85"/>
      <c r="L17" s="9"/>
      <c r="M17" s="16"/>
      <c r="R17" s="1">
        <f>IF(vend31[[#This Row],[Nº Venda]]&gt;1,1,0)</f>
        <v>0</v>
      </c>
    </row>
    <row r="18" spans="2:18" ht="15.75" x14ac:dyDescent="0.25">
      <c r="B18" s="102" t="s">
        <v>25</v>
      </c>
      <c r="C18" s="102"/>
      <c r="D18" s="2"/>
      <c r="E18" s="77"/>
      <c r="F18" s="24"/>
      <c r="G18" s="25"/>
      <c r="H18" s="8"/>
      <c r="I18" s="8"/>
      <c r="J18" s="2"/>
      <c r="K18" s="85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77"/>
      <c r="F19" s="24"/>
      <c r="G19" s="25"/>
      <c r="H19" s="8"/>
      <c r="I19" s="8"/>
      <c r="J19" s="2"/>
      <c r="K19" s="85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77"/>
      <c r="F20" s="25"/>
      <c r="G20" s="25"/>
      <c r="H20" s="8"/>
      <c r="I20" s="8"/>
      <c r="J20" s="2"/>
      <c r="K20" s="8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77"/>
      <c r="F21" s="24"/>
      <c r="G21" s="25"/>
      <c r="H21" s="8"/>
      <c r="I21" s="8"/>
      <c r="J21" s="2"/>
      <c r="K21" s="85"/>
      <c r="L21" s="9"/>
      <c r="M21" s="16"/>
    </row>
    <row r="22" spans="2:18" ht="15.75" x14ac:dyDescent="0.25">
      <c r="B22" s="27" t="s">
        <v>41</v>
      </c>
      <c r="C22" s="31">
        <f>C5</f>
        <v>0</v>
      </c>
      <c r="D22" s="2"/>
      <c r="E22" s="77"/>
      <c r="F22" s="24"/>
      <c r="G22" s="25"/>
      <c r="H22" s="8"/>
      <c r="I22" s="8"/>
      <c r="J22" s="2"/>
      <c r="K22" s="8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5"/>
      <c r="L23" s="9"/>
      <c r="M23" s="16"/>
    </row>
    <row r="24" spans="2:18" ht="15" x14ac:dyDescent="0.25">
      <c r="B24" s="2"/>
      <c r="C24" s="2"/>
      <c r="D24" s="2"/>
      <c r="E24" s="103" t="s">
        <v>42</v>
      </c>
      <c r="F24" s="103"/>
      <c r="G24" s="103"/>
      <c r="H24" s="103"/>
      <c r="I24" s="103"/>
      <c r="J24" s="2"/>
      <c r="K24" s="85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85"/>
      <c r="L25" s="9"/>
      <c r="M25" s="16"/>
    </row>
    <row r="26" spans="2:18" ht="15.75" x14ac:dyDescent="0.25">
      <c r="B26" s="2"/>
      <c r="C26" s="2"/>
      <c r="D26" s="2"/>
      <c r="E26" s="77"/>
      <c r="F26" s="24"/>
      <c r="G26" s="25"/>
      <c r="H26" s="8"/>
      <c r="I26" s="8"/>
      <c r="J26" s="2"/>
      <c r="K26" s="85"/>
      <c r="L26" s="9"/>
      <c r="M26" s="16"/>
    </row>
    <row r="27" spans="2:18" ht="15.75" x14ac:dyDescent="0.25">
      <c r="B27" s="2"/>
      <c r="C27" s="2"/>
      <c r="D27" s="2"/>
      <c r="E27" s="77"/>
      <c r="F27" s="24"/>
      <c r="G27" s="25"/>
      <c r="H27" s="8"/>
      <c r="I27" s="8"/>
      <c r="J27" s="2"/>
      <c r="K27" s="85"/>
      <c r="L27" s="9"/>
      <c r="M27" s="16"/>
    </row>
    <row r="28" spans="2:18" ht="15.75" x14ac:dyDescent="0.25">
      <c r="B28" s="2"/>
      <c r="C28" s="2"/>
      <c r="D28" s="2"/>
      <c r="E28" s="77"/>
      <c r="F28" s="24"/>
      <c r="G28" s="25"/>
      <c r="H28" s="8"/>
      <c r="I28" s="8"/>
      <c r="J28" s="2"/>
      <c r="K28" s="85"/>
      <c r="L28" s="9"/>
      <c r="M28" s="16"/>
    </row>
    <row r="29" spans="2:18" ht="15.75" x14ac:dyDescent="0.25">
      <c r="B29" s="2"/>
      <c r="C29" s="2"/>
      <c r="D29" s="2"/>
      <c r="E29" s="77"/>
      <c r="F29" s="24"/>
      <c r="G29" s="25"/>
      <c r="H29" s="8"/>
      <c r="I29" s="8"/>
      <c r="J29" s="2"/>
      <c r="K29" s="85"/>
      <c r="L29" s="9"/>
      <c r="M29" s="16"/>
    </row>
    <row r="30" spans="2:18" ht="15.75" x14ac:dyDescent="0.25">
      <c r="B30" s="2"/>
      <c r="C30" s="2"/>
      <c r="D30" s="2"/>
      <c r="E30" s="77"/>
      <c r="F30" s="38"/>
      <c r="G30" s="25"/>
      <c r="H30" s="8"/>
      <c r="I30" s="8"/>
      <c r="J30" s="2"/>
      <c r="K30" s="85"/>
      <c r="L30" s="9"/>
      <c r="M30" s="16"/>
    </row>
    <row r="31" spans="2:18" ht="15.75" x14ac:dyDescent="0.25">
      <c r="B31" s="2"/>
      <c r="C31" s="2"/>
      <c r="D31" s="2"/>
      <c r="E31" s="79"/>
      <c r="F31" s="35"/>
      <c r="G31" s="36"/>
      <c r="H31" s="17"/>
      <c r="I31" s="17"/>
      <c r="J31" s="2"/>
      <c r="K31" s="8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44</v>
      </c>
      <c r="F33" s="103"/>
      <c r="G33" s="103"/>
      <c r="H33" s="103"/>
      <c r="I33" s="103"/>
      <c r="K33" s="104" t="s">
        <v>25</v>
      </c>
      <c r="L33" s="105"/>
      <c r="M33" s="106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45</v>
      </c>
      <c r="I34" s="13" t="s">
        <v>46</v>
      </c>
      <c r="K34" s="14" t="s">
        <v>37</v>
      </c>
      <c r="L34" s="6" t="s">
        <v>47</v>
      </c>
      <c r="M34" s="15" t="s">
        <v>48</v>
      </c>
    </row>
    <row r="35" spans="2:18" ht="15.75" x14ac:dyDescent="0.25">
      <c r="E35" s="77"/>
      <c r="F35" s="24"/>
      <c r="G35" s="25"/>
      <c r="H35" s="8"/>
      <c r="I35" s="8"/>
      <c r="K35" s="85"/>
      <c r="L35" s="40"/>
      <c r="M35" s="16"/>
    </row>
    <row r="36" spans="2:18" ht="15.75" x14ac:dyDescent="0.25">
      <c r="E36" s="81"/>
      <c r="F36" s="24"/>
      <c r="G36" s="25"/>
      <c r="H36" s="8"/>
      <c r="I36" s="8"/>
      <c r="K36" s="85"/>
      <c r="L36" s="40"/>
      <c r="M36" s="16"/>
    </row>
    <row r="37" spans="2:18" ht="15.75" x14ac:dyDescent="0.25">
      <c r="E37" s="77"/>
      <c r="F37" s="24"/>
      <c r="G37" s="25"/>
      <c r="H37" s="8"/>
      <c r="I37" s="8"/>
      <c r="K37" s="85"/>
      <c r="L37" s="40"/>
      <c r="M37" s="16"/>
    </row>
    <row r="38" spans="2:18" ht="15.75" x14ac:dyDescent="0.25">
      <c r="E38" s="77"/>
      <c r="F38" s="24"/>
      <c r="G38" s="25"/>
      <c r="H38" s="8"/>
      <c r="I38" s="8"/>
      <c r="K38" s="85"/>
      <c r="L38" s="40"/>
      <c r="M38" s="16"/>
    </row>
    <row r="39" spans="2:18" ht="15.75" x14ac:dyDescent="0.25">
      <c r="E39" s="77"/>
      <c r="F39" s="38"/>
      <c r="G39" s="25"/>
      <c r="H39" s="8"/>
      <c r="I39" s="8"/>
      <c r="K39" s="85"/>
      <c r="L39" s="40"/>
      <c r="M39" s="16"/>
    </row>
    <row r="40" spans="2:18" ht="15.75" x14ac:dyDescent="0.25">
      <c r="E40" s="79"/>
      <c r="F40" s="35"/>
      <c r="G40" s="36"/>
      <c r="H40" s="17"/>
      <c r="I40" s="8"/>
      <c r="K40" s="86"/>
      <c r="L40" s="41"/>
      <c r="M40" s="39"/>
      <c r="Q40" s="1" t="s">
        <v>55</v>
      </c>
      <c r="R40" s="1">
        <f>SUM(R6:R21)</f>
        <v>0</v>
      </c>
    </row>
    <row r="41" spans="2:18" ht="15.75" x14ac:dyDescent="0.25">
      <c r="E41" s="80"/>
      <c r="F41" s="38"/>
      <c r="G41" s="25"/>
      <c r="H41" s="8"/>
      <c r="I41" s="8"/>
      <c r="K41" s="8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264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265</v>
      </c>
      <c r="B1" s="37" t="s">
        <v>266</v>
      </c>
      <c r="E1" s="37" t="s">
        <v>267</v>
      </c>
    </row>
    <row r="2" spans="1:5" x14ac:dyDescent="0.2">
      <c r="A2" s="37" t="s">
        <v>14</v>
      </c>
      <c r="B2" s="37" t="s">
        <v>268</v>
      </c>
      <c r="E2" t="s">
        <v>116</v>
      </c>
    </row>
    <row r="3" spans="1:5" x14ac:dyDescent="0.2">
      <c r="A3" s="37" t="s">
        <v>16</v>
      </c>
      <c r="B3" s="37" t="s">
        <v>269</v>
      </c>
      <c r="E3" t="s">
        <v>270</v>
      </c>
    </row>
    <row r="4" spans="1:5" x14ac:dyDescent="0.2">
      <c r="A4" s="37" t="s">
        <v>18</v>
      </c>
      <c r="B4" s="37" t="s">
        <v>271</v>
      </c>
      <c r="E4" t="s">
        <v>272</v>
      </c>
    </row>
    <row r="5" spans="1:5" x14ac:dyDescent="0.2">
      <c r="A5" s="37" t="s">
        <v>20</v>
      </c>
      <c r="B5" s="37" t="s">
        <v>273</v>
      </c>
      <c r="E5" t="s">
        <v>159</v>
      </c>
    </row>
    <row r="6" spans="1:5" x14ac:dyDescent="0.2">
      <c r="A6" s="37" t="s">
        <v>22</v>
      </c>
      <c r="B6" s="37" t="s">
        <v>22</v>
      </c>
      <c r="E6" t="s">
        <v>97</v>
      </c>
    </row>
    <row r="7" spans="1:5" x14ac:dyDescent="0.2">
      <c r="A7" s="37" t="s">
        <v>136</v>
      </c>
      <c r="B7" s="37" t="s">
        <v>274</v>
      </c>
      <c r="E7" t="s">
        <v>105</v>
      </c>
    </row>
    <row r="8" spans="1:5" x14ac:dyDescent="0.2">
      <c r="A8" t="s">
        <v>39</v>
      </c>
      <c r="B8" t="s">
        <v>275</v>
      </c>
      <c r="E8" t="s">
        <v>147</v>
      </c>
    </row>
    <row r="9" spans="1:5" x14ac:dyDescent="0.2">
      <c r="A9" s="37" t="s">
        <v>82</v>
      </c>
      <c r="B9" s="37" t="s">
        <v>276</v>
      </c>
      <c r="E9" t="s">
        <v>148</v>
      </c>
    </row>
    <row r="10" spans="1:5" x14ac:dyDescent="0.2">
      <c r="E10" t="s">
        <v>248</v>
      </c>
    </row>
    <row r="11" spans="1:5" x14ac:dyDescent="0.2">
      <c r="E11" t="s">
        <v>277</v>
      </c>
    </row>
    <row r="12" spans="1:5" x14ac:dyDescent="0.2">
      <c r="E12" t="s">
        <v>109</v>
      </c>
    </row>
    <row r="13" spans="1:5" x14ac:dyDescent="0.2">
      <c r="E13" t="s">
        <v>195</v>
      </c>
    </row>
    <row r="14" spans="1:5" x14ac:dyDescent="0.2">
      <c r="E14" t="s">
        <v>141</v>
      </c>
    </row>
    <row r="15" spans="1:5" x14ac:dyDescent="0.2">
      <c r="E15" t="s">
        <v>278</v>
      </c>
    </row>
    <row r="16" spans="1:5" x14ac:dyDescent="0.2">
      <c r="E16" t="s">
        <v>279</v>
      </c>
    </row>
    <row r="17" spans="5:5" x14ac:dyDescent="0.2">
      <c r="E17" t="s">
        <v>52</v>
      </c>
    </row>
    <row r="18" spans="5:5" x14ac:dyDescent="0.2">
      <c r="E18" t="s">
        <v>125</v>
      </c>
    </row>
    <row r="19" spans="5:5" x14ac:dyDescent="0.2">
      <c r="E19" t="s">
        <v>78</v>
      </c>
    </row>
    <row r="20" spans="5:5" x14ac:dyDescent="0.2">
      <c r="E20" t="s">
        <v>101</v>
      </c>
    </row>
    <row r="21" spans="5:5" x14ac:dyDescent="0.2">
      <c r="E21" t="s">
        <v>102</v>
      </c>
    </row>
    <row r="22" spans="5:5" x14ac:dyDescent="0.2">
      <c r="E22" t="s">
        <v>68</v>
      </c>
    </row>
    <row r="23" spans="5:5" x14ac:dyDescent="0.2">
      <c r="E23" t="s">
        <v>165</v>
      </c>
    </row>
    <row r="24" spans="5:5" x14ac:dyDescent="0.2">
      <c r="E24" t="s">
        <v>166</v>
      </c>
    </row>
    <row r="25" spans="5:5" x14ac:dyDescent="0.2">
      <c r="E25" t="s">
        <v>54</v>
      </c>
    </row>
    <row r="26" spans="5:5" x14ac:dyDescent="0.2">
      <c r="E26" t="s">
        <v>221</v>
      </c>
    </row>
    <row r="27" spans="5:5" x14ac:dyDescent="0.2">
      <c r="E27" t="s">
        <v>280</v>
      </c>
    </row>
    <row r="28" spans="5:5" x14ac:dyDescent="0.2">
      <c r="E28" t="s">
        <v>180</v>
      </c>
    </row>
    <row r="29" spans="5:5" x14ac:dyDescent="0.2">
      <c r="E29" t="s">
        <v>50</v>
      </c>
    </row>
    <row r="30" spans="5:5" x14ac:dyDescent="0.2">
      <c r="E30" t="s">
        <v>99</v>
      </c>
    </row>
    <row r="31" spans="5:5" x14ac:dyDescent="0.2">
      <c r="E31" t="s">
        <v>117</v>
      </c>
    </row>
    <row r="32" spans="5:5" x14ac:dyDescent="0.2">
      <c r="E32" t="s">
        <v>128</v>
      </c>
    </row>
    <row r="33" spans="5:5" x14ac:dyDescent="0.2">
      <c r="E33" t="s">
        <v>119</v>
      </c>
    </row>
    <row r="34" spans="5:5" x14ac:dyDescent="0.2">
      <c r="E34" t="s">
        <v>281</v>
      </c>
    </row>
    <row r="35" spans="5:5" x14ac:dyDescent="0.2">
      <c r="E35" t="s">
        <v>107</v>
      </c>
    </row>
    <row r="36" spans="5:5" x14ac:dyDescent="0.2">
      <c r="E36" t="s">
        <v>282</v>
      </c>
    </row>
    <row r="37" spans="5:5" x14ac:dyDescent="0.2">
      <c r="E37" t="s">
        <v>283</v>
      </c>
    </row>
    <row r="38" spans="5:5" x14ac:dyDescent="0.2">
      <c r="E38" t="s">
        <v>284</v>
      </c>
    </row>
    <row r="39" spans="5:5" x14ac:dyDescent="0.2">
      <c r="E39" t="s">
        <v>285</v>
      </c>
    </row>
    <row r="40" spans="5:5" x14ac:dyDescent="0.2">
      <c r="E40" t="s">
        <v>286</v>
      </c>
    </row>
    <row r="41" spans="5:5" x14ac:dyDescent="0.2">
      <c r="E41" t="s">
        <v>287</v>
      </c>
    </row>
    <row r="42" spans="5:5" x14ac:dyDescent="0.2">
      <c r="E42" t="s">
        <v>288</v>
      </c>
    </row>
    <row r="43" spans="5:5" x14ac:dyDescent="0.2">
      <c r="E43" t="s">
        <v>238</v>
      </c>
    </row>
    <row r="44" spans="5:5" x14ac:dyDescent="0.2">
      <c r="E44" t="s">
        <v>289</v>
      </c>
    </row>
    <row r="45" spans="5:5" x14ac:dyDescent="0.2">
      <c r="E45" t="s">
        <v>290</v>
      </c>
    </row>
    <row r="46" spans="5:5" x14ac:dyDescent="0.2">
      <c r="E46" t="s">
        <v>291</v>
      </c>
    </row>
    <row r="47" spans="5:5" x14ac:dyDescent="0.2">
      <c r="E47" t="s">
        <v>292</v>
      </c>
    </row>
    <row r="48" spans="5:5" x14ac:dyDescent="0.2">
      <c r="E48" t="s">
        <v>250</v>
      </c>
    </row>
    <row r="49" spans="5:5" x14ac:dyDescent="0.2">
      <c r="E49" t="s">
        <v>293</v>
      </c>
    </row>
    <row r="50" spans="5:5" x14ac:dyDescent="0.2">
      <c r="E50" t="s">
        <v>294</v>
      </c>
    </row>
    <row r="51" spans="5:5" x14ac:dyDescent="0.2">
      <c r="E51" t="s">
        <v>295</v>
      </c>
    </row>
    <row r="52" spans="5:5" x14ac:dyDescent="0.2">
      <c r="E52" t="s">
        <v>296</v>
      </c>
    </row>
    <row r="53" spans="5:5" x14ac:dyDescent="0.2">
      <c r="E53" t="s">
        <v>297</v>
      </c>
    </row>
    <row r="54" spans="5:5" x14ac:dyDescent="0.2">
      <c r="E54" t="s">
        <v>298</v>
      </c>
    </row>
    <row r="55" spans="5:5" x14ac:dyDescent="0.2">
      <c r="E55" t="s">
        <v>299</v>
      </c>
    </row>
    <row r="56" spans="5:5" x14ac:dyDescent="0.2">
      <c r="E56" t="s">
        <v>300</v>
      </c>
    </row>
    <row r="57" spans="5:5" x14ac:dyDescent="0.2">
      <c r="E57" t="s">
        <v>301</v>
      </c>
    </row>
    <row r="58" spans="5:5" x14ac:dyDescent="0.2">
      <c r="E58" t="s">
        <v>302</v>
      </c>
    </row>
    <row r="59" spans="5:5" x14ac:dyDescent="0.2">
      <c r="E59" t="s">
        <v>303</v>
      </c>
    </row>
    <row r="60" spans="5:5" x14ac:dyDescent="0.2">
      <c r="E60" t="s">
        <v>304</v>
      </c>
    </row>
    <row r="61" spans="5:5" x14ac:dyDescent="0.2">
      <c r="E61" t="s">
        <v>305</v>
      </c>
    </row>
    <row r="62" spans="5:5" x14ac:dyDescent="0.2">
      <c r="E62" t="s">
        <v>306</v>
      </c>
    </row>
    <row r="63" spans="5:5" x14ac:dyDescent="0.2">
      <c r="E63" t="s">
        <v>307</v>
      </c>
    </row>
    <row r="64" spans="5:5" x14ac:dyDescent="0.2">
      <c r="E64" t="s">
        <v>308</v>
      </c>
    </row>
    <row r="65" spans="5:5" x14ac:dyDescent="0.2">
      <c r="E65" t="s">
        <v>309</v>
      </c>
    </row>
    <row r="66" spans="5:5" x14ac:dyDescent="0.2">
      <c r="E66" t="s">
        <v>310</v>
      </c>
    </row>
    <row r="67" spans="5:5" x14ac:dyDescent="0.2">
      <c r="E67" t="s">
        <v>311</v>
      </c>
    </row>
    <row r="68" spans="5:5" x14ac:dyDescent="0.2">
      <c r="E68" t="s">
        <v>312</v>
      </c>
    </row>
    <row r="69" spans="5:5" x14ac:dyDescent="0.2">
      <c r="E69" t="s">
        <v>313</v>
      </c>
    </row>
    <row r="70" spans="5:5" x14ac:dyDescent="0.2">
      <c r="E70" t="s">
        <v>314</v>
      </c>
    </row>
    <row r="71" spans="5:5" x14ac:dyDescent="0.2">
      <c r="E71" t="s">
        <v>315</v>
      </c>
    </row>
    <row r="72" spans="5:5" x14ac:dyDescent="0.2">
      <c r="E72" t="s">
        <v>316</v>
      </c>
    </row>
    <row r="73" spans="5:5" x14ac:dyDescent="0.2">
      <c r="E73" t="s">
        <v>317</v>
      </c>
    </row>
    <row r="74" spans="5:5" x14ac:dyDescent="0.2">
      <c r="E74" t="s">
        <v>318</v>
      </c>
    </row>
    <row r="75" spans="5:5" x14ac:dyDescent="0.2">
      <c r="E75" t="s">
        <v>319</v>
      </c>
    </row>
    <row r="76" spans="5:5" x14ac:dyDescent="0.2">
      <c r="E76" t="s">
        <v>320</v>
      </c>
    </row>
    <row r="77" spans="5:5" x14ac:dyDescent="0.2">
      <c r="E77" t="s">
        <v>321</v>
      </c>
    </row>
    <row r="78" spans="5:5" x14ac:dyDescent="0.2">
      <c r="E78" t="s">
        <v>322</v>
      </c>
    </row>
    <row r="79" spans="5:5" x14ac:dyDescent="0.2">
      <c r="E79" t="s">
        <v>323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2024-12-23T18:07:23Z</cp:lastPrinted>
  <dcterms:created xsi:type="dcterms:W3CDTF">2004-04-07T20:43:43Z</dcterms:created>
  <dcterms:modified xsi:type="dcterms:W3CDTF">2025-05-14T16:46:59Z</dcterms:modified>
  <cp:category/>
  <cp:contentStatus/>
</cp:coreProperties>
</file>