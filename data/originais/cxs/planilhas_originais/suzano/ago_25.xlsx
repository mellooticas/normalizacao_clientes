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/CAIXA/"/>
    </mc:Choice>
  </mc:AlternateContent>
  <xr:revisionPtr revIDLastSave="21" documentId="14_{B47298D1-6602-4D9A-A7B7-F5F33B52CE87}" xr6:coauthVersionLast="47" xr6:coauthVersionMax="47" xr10:uidLastSave="{DCFFED45-5086-42D8-91DD-ED4A2D51861A}"/>
  <bookViews>
    <workbookView xWindow="-120" yWindow="-120" windowWidth="20730" windowHeight="11310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_OS" sheetId="201" state="hidden" r:id="rId33"/>
    <sheet name="base" sheetId="36" state="hidden" r:id="rId34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9">'09'!$A$1:$M$41</definedName>
    <definedName name="_xlnm.Print_Area" localSheetId="18">'18'!$A$1:$M$41</definedName>
    <definedName name="_xlnm.Print_Area" localSheetId="19">'19'!$A$1:$M$41</definedName>
    <definedName name="_xlnm.Print_Area" localSheetId="22">'22'!$A$1:$M$42</definedName>
    <definedName name="_xlnm.Print_Area" localSheetId="30">'30'!$A$1:$M$41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00" l="1"/>
  <c r="C6" i="173"/>
  <c r="C6" i="176"/>
  <c r="C6" i="185"/>
  <c r="C6" i="193"/>
  <c r="C6" i="198"/>
  <c r="C12" i="170"/>
  <c r="C13" i="170"/>
  <c r="C14" i="170"/>
  <c r="C15" i="170"/>
  <c r="C11" i="170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Q20" i="171"/>
  <c r="Q19" i="171"/>
  <c r="C19" i="171"/>
  <c r="C20" i="171" s="1"/>
  <c r="B19" i="171"/>
  <c r="Q18" i="171"/>
  <c r="Q17" i="171"/>
  <c r="Q16" i="171"/>
  <c r="Q15" i="171"/>
  <c r="Q14" i="171"/>
  <c r="Q13" i="171"/>
  <c r="Q12" i="171"/>
  <c r="Q11" i="171"/>
  <c r="Q10" i="171"/>
  <c r="Q9" i="171"/>
  <c r="Q8" i="171"/>
  <c r="Q7" i="171"/>
  <c r="Q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73" l="1"/>
  <c r="C8" i="176"/>
  <c r="R40" i="194"/>
  <c r="R40" i="190"/>
  <c r="R40" i="183"/>
  <c r="R40" i="192"/>
  <c r="R40" i="196"/>
  <c r="R40" i="198"/>
  <c r="B17" i="200"/>
  <c r="B18" i="200" s="1"/>
  <c r="R40" i="187"/>
  <c r="R40" i="189"/>
  <c r="R41" i="191"/>
  <c r="R40" i="193"/>
  <c r="R40" i="195"/>
  <c r="R40" i="180"/>
  <c r="R40" i="185"/>
  <c r="R40" i="186"/>
  <c r="R40" i="188"/>
  <c r="R40" i="197"/>
  <c r="R40" i="199"/>
  <c r="C16" i="170"/>
  <c r="R40" i="170"/>
  <c r="C16" i="175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Q40" i="171"/>
  <c r="B13" i="200"/>
  <c r="B5" i="200"/>
  <c r="B11" i="200"/>
  <c r="B10" i="200"/>
  <c r="B9" i="200"/>
  <c r="B3" i="200"/>
  <c r="B12" i="200"/>
  <c r="C16" i="196"/>
  <c r="C16" i="189"/>
  <c r="C16" i="188"/>
  <c r="C16" i="185"/>
  <c r="O11" i="185" s="1"/>
  <c r="C8" i="193"/>
  <c r="C8" i="198"/>
  <c r="C8" i="185"/>
  <c r="C16" i="198"/>
  <c r="O11" i="198" s="1"/>
  <c r="C16" i="199"/>
  <c r="C16" i="192"/>
  <c r="C16" i="197"/>
  <c r="C16" i="194"/>
  <c r="C16" i="195"/>
  <c r="C6" i="195" s="1"/>
  <c r="C16" i="193"/>
  <c r="O11" i="193" s="1"/>
  <c r="C16" i="191"/>
  <c r="C16" i="190"/>
  <c r="C16" i="187"/>
  <c r="C16" i="186"/>
  <c r="C16" i="184"/>
  <c r="C16" i="179"/>
  <c r="C16" i="181"/>
  <c r="C16" i="183"/>
  <c r="C16" i="182"/>
  <c r="C16" i="180"/>
  <c r="C16" i="176"/>
  <c r="O11" i="176" s="1"/>
  <c r="C16" i="177"/>
  <c r="C16" i="178"/>
  <c r="C16" i="172"/>
  <c r="C16" i="173"/>
  <c r="O11" i="173" s="1"/>
  <c r="C16" i="174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O11" i="199" l="1"/>
  <c r="C6" i="199"/>
  <c r="C8" i="199" s="1"/>
  <c r="O11" i="192"/>
  <c r="C6" i="192"/>
  <c r="C8" i="192" s="1"/>
  <c r="O11" i="196"/>
  <c r="C6" i="196"/>
  <c r="C8" i="196" s="1"/>
  <c r="O11" i="197"/>
  <c r="C6" i="197"/>
  <c r="C8" i="197" s="1"/>
  <c r="O11" i="194"/>
  <c r="C6" i="194"/>
  <c r="C8" i="194" s="1"/>
  <c r="O11" i="191"/>
  <c r="C6" i="191"/>
  <c r="C8" i="191" s="1"/>
  <c r="O11" i="190"/>
  <c r="C6" i="190"/>
  <c r="C8" i="190" s="1"/>
  <c r="O11" i="189"/>
  <c r="C6" i="189"/>
  <c r="C8" i="189" s="1"/>
  <c r="O11" i="187"/>
  <c r="C6" i="187"/>
  <c r="C8" i="187" s="1"/>
  <c r="O11" i="186"/>
  <c r="C6" i="186"/>
  <c r="C8" i="186" s="1"/>
  <c r="O11" i="184"/>
  <c r="C6" i="184"/>
  <c r="C8" i="184" s="1"/>
  <c r="O11" i="179"/>
  <c r="C6" i="179"/>
  <c r="C8" i="179" s="1"/>
  <c r="O11" i="181"/>
  <c r="C6" i="181"/>
  <c r="C8" i="181" s="1"/>
  <c r="O11" i="183"/>
  <c r="C6" i="183"/>
  <c r="C8" i="183" s="1"/>
  <c r="O11" i="182"/>
  <c r="C6" i="182"/>
  <c r="C8" i="182" s="1"/>
  <c r="O11" i="180"/>
  <c r="C6" i="180"/>
  <c r="C8" i="180" s="1"/>
  <c r="O11" i="177"/>
  <c r="C6" i="177"/>
  <c r="C8" i="177" s="1"/>
  <c r="O11" i="178"/>
  <c r="C6" i="178"/>
  <c r="C8" i="178" s="1"/>
  <c r="O11" i="170"/>
  <c r="C6" i="170"/>
  <c r="C8" i="170" s="1"/>
  <c r="N11" i="171"/>
  <c r="C6" i="171"/>
  <c r="C8" i="171" s="1"/>
  <c r="O11" i="172"/>
  <c r="C6" i="172"/>
  <c r="C8" i="172" s="1"/>
  <c r="O11" i="174"/>
  <c r="C6" i="174"/>
  <c r="C8" i="174" s="1"/>
  <c r="O11" i="188"/>
  <c r="C6" i="188"/>
  <c r="C8" i="188" s="1"/>
  <c r="O11" i="175"/>
  <c r="C6" i="175"/>
  <c r="C8" i="175" s="1"/>
  <c r="O11" i="195"/>
  <c r="B14" i="200"/>
  <c r="C16" i="103"/>
  <c r="R40" i="103"/>
  <c r="O11" i="103" l="1"/>
  <c r="C6" i="103"/>
  <c r="C8" i="103" s="1"/>
  <c r="C8" i="19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4" i="200" l="1"/>
  <c r="B6" i="200" s="1"/>
  <c r="B1" i="179"/>
  <c r="B1" i="184" s="1"/>
  <c r="B1" i="185" s="1"/>
  <c r="B1" i="186" s="1"/>
  <c r="B1" i="187" s="1"/>
  <c r="B1" i="189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<sst xmlns="http://schemas.openxmlformats.org/spreadsheetml/2006/main" count="2890" uniqueCount="424">
  <si>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</si>
  <si>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</si>
  <si>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</si>
  <si>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</si>
  <si>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</si>
  <si>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</si>
  <si>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</si>
  <si>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</si>
  <si>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</si>
  <si>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</si>
  <si>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</si>
  <si>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</si>
  <si>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</si>
  <si>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</si>
  <si>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</si>
  <si>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</si>
  <si>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</si>
  <si>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</si>
  <si>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</si>
  <si>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</si>
  <si>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</si>
  <si>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</si>
  <si>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</t>
  </si>
  <si>
    <t>Vendedor</t>
  </si>
  <si>
    <t>CARNE</t>
  </si>
  <si>
    <t>Venda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</si>
  <si>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</si>
  <si>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</si>
  <si>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</si>
  <si>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</si>
  <si>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</si>
  <si>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</si>
  <si>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</si>
  <si>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</si>
  <si>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</si>
  <si>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</si>
  <si>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</si>
  <si>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</si>
  <si>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</si>
  <si>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</si>
  <si>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</si>
  <si>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</si>
  <si>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</si>
  <si>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</si>
  <si>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</si>
  <si>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</si>
  <si>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</si>
  <si>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</si>
  <si>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</si>
  <si>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</si>
  <si>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</si>
  <si>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</si>
  <si>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</si>
  <si>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</si>
  <si>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</si>
  <si>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</si>
  <si>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</si>
  <si>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</si>
  <si>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</si>
  <si>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</si>
  <si>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</si>
  <si>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</si>
  <si>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</si>
  <si>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</si>
  <si>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</si>
  <si>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</si>
  <si>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</si>
  <si>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</si>
  <si>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</si>
  <si>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</si>
  <si>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</si>
  <si>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</si>
  <si>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</si>
  <si>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</si>
  <si>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</si>
  <si>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</si>
  <si>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</si>
  <si>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</si>
  <si>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</si>
  <si>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</si>
  <si>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</si>
  <si>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</si>
  <si>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</si>
  <si>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</si>
  <si>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</si>
  <si>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</si>
  <si>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</si>
  <si>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</si>
  <si>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</si>
  <si>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</si>
  <si>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</si>
  <si>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</si>
  <si>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</si>
  <si>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</si>
  <si>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</si>
  <si>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</si>
  <si>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</si>
  <si>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</si>
  <si>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</si>
  <si>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</si>
  <si>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</si>
  <si>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</si>
  <si>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</si>
  <si>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</si>
  <si>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</si>
  <si>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</si>
  <si>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</si>
  <si>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</si>
  <si>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</si>
  <si>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</si>
  <si>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</si>
  <si>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</si>
  <si>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</si>
  <si>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</si>
  <si>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</si>
  <si>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</si>
  <si>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</si>
  <si>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</si>
  <si>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</si>
  <si>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</si>
  <si>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</si>
  <si>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</si>
  <si>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</si>
  <si>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</si>
  <si>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</si>
  <si>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</si>
  <si>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</si>
  <si>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</si>
  <si>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</si>
  <si>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</si>
  <si>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</si>
  <si>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</si>
  <si>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</si>
  <si>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</si>
  <si>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</si>
  <si>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</si>
  <si>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</si>
  <si>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>VENDAS</t>
  </si>
  <si>
    <t>DESPESAS</t>
  </si>
  <si>
    <t>RESTANTE DE ENTRADA</t>
  </si>
  <si>
    <t xml:space="preserve">RECEBIMENTO DE CARNÊ </t>
  </si>
  <si>
    <t xml:space="preserve">ENTREGA DE CARNÊ </t>
  </si>
  <si>
    <t>OS's ENTREGUES NO DIA</t>
  </si>
  <si>
    <t>RECEBIMENTO DE CARNÊ</t>
  </si>
  <si>
    <t>suzano 1</t>
  </si>
  <si>
    <t>Não</t>
  </si>
  <si>
    <t>Sim</t>
  </si>
  <si>
    <t>nelson anisio soares</t>
  </si>
  <si>
    <t>josefa correia da silva</t>
  </si>
  <si>
    <t>marilu candida jacob pereira</t>
  </si>
  <si>
    <t>elza therezinha de souza s.dos reis</t>
  </si>
  <si>
    <t>sandra maria alves passos</t>
  </si>
  <si>
    <t>MIRIAM CLARA DOS SANTOS</t>
  </si>
  <si>
    <t>RAILDA GOMES DA SILVA</t>
  </si>
  <si>
    <t>SARA REGINA CORREA DA SILVA</t>
  </si>
  <si>
    <t>ZULEIKA ERICINA DE ALMEIDA</t>
  </si>
  <si>
    <t>EDILENE DOS SANTOS MANGUEIRA</t>
  </si>
  <si>
    <t>HENRIQUE SANTOS DA SILVA</t>
  </si>
  <si>
    <t>SARA EMILY DE SOUZA MAGLIOCCO</t>
  </si>
  <si>
    <t>RAPHAELA AUGUSTO</t>
  </si>
  <si>
    <t>EDISON CASTILHO TAVARES</t>
  </si>
  <si>
    <t>IRENE MARES DE CARVALHO BEZERRA</t>
  </si>
  <si>
    <t>CIRSO BERTHO</t>
  </si>
  <si>
    <t>ANA FLÁVIA FERREIRA DE CASTRO (LAURA)</t>
  </si>
  <si>
    <t>LETICIA LUCENA DE MORAES</t>
  </si>
  <si>
    <t>RONAILLY LOUREIRO DA PAIXÃO</t>
  </si>
  <si>
    <t>WILSON CASTILHO TAVARES</t>
  </si>
  <si>
    <t>ELEN PEREIRA DE ARAUJO</t>
  </si>
  <si>
    <t>ARNALDO ZACARIOTO</t>
  </si>
  <si>
    <t>ARILDSON RIBEIRO DE SOUZA</t>
  </si>
  <si>
    <t>MARTA VAZ DA SILVA</t>
  </si>
  <si>
    <t xml:space="preserve">WALDECK SILVA JUNIOR </t>
  </si>
  <si>
    <t>MANUEL BEZERRA SOBRINHO</t>
  </si>
  <si>
    <t xml:space="preserve">LUCIANE FARIA DE ALMEIDA </t>
  </si>
  <si>
    <t>GIOVANA DE ALMEIDA SILVA</t>
  </si>
  <si>
    <t xml:space="preserve">SERAFIM LIMA FRANCISCA </t>
  </si>
  <si>
    <t>ANTÔNIO DOS SANTOS</t>
  </si>
  <si>
    <t>DEPÓSITO</t>
  </si>
  <si>
    <t>DINHEIRO</t>
  </si>
  <si>
    <t xml:space="preserve">DEPÓSITO </t>
  </si>
  <si>
    <t xml:space="preserve">DINEHIRO </t>
  </si>
  <si>
    <t xml:space="preserve">DEPÓSITO EM CONTA </t>
  </si>
  <si>
    <t>MARCIA REGINA DA SILVA</t>
  </si>
  <si>
    <t>EUFRASIA DE SOUZA</t>
  </si>
  <si>
    <t>SEBASTIÃO JOSÉ DE LIMA</t>
  </si>
  <si>
    <t>KELLY YURI UEDA</t>
  </si>
  <si>
    <t>NILSEIA LOPES DE FARIA</t>
  </si>
  <si>
    <t>FRANCISCA LUIZA FEITOZA</t>
  </si>
  <si>
    <t>VALDIR ANUNCIATO GRASEFFI</t>
  </si>
  <si>
    <t>MARCIA DE ALCANTARA</t>
  </si>
  <si>
    <t>MARIA DE LOURDES GOMES LEITE</t>
  </si>
  <si>
    <t>ALUIZIO NOGUEIRA PESSANHA JUNIOR</t>
  </si>
  <si>
    <t>IVONE PEREIRA DEAZEVEDO</t>
  </si>
  <si>
    <t xml:space="preserve">ERMELINDA DIAS ALVES </t>
  </si>
  <si>
    <t xml:space="preserve">VALDIR ANUNCIATO </t>
  </si>
  <si>
    <t>IVANILDA ALVES SANTANA</t>
  </si>
  <si>
    <t>MARIA APARECIDA DA SILVA</t>
  </si>
  <si>
    <t xml:space="preserve">SUELI </t>
  </si>
  <si>
    <t>JOSÉ ELIAS DE MORAES</t>
  </si>
  <si>
    <t>RODOLFO HENRIQUE CLAUSING</t>
  </si>
  <si>
    <t>FERNANDO DA SILVA</t>
  </si>
  <si>
    <t>LARISSA CARBONI DE MELO</t>
  </si>
  <si>
    <t>CARMELINA DA CONCEIÇÃO</t>
  </si>
  <si>
    <t>BRUNA DOS SANTOS</t>
  </si>
  <si>
    <t>JACOB FIRMINO NASCIMENTO</t>
  </si>
  <si>
    <t>EDUARDO ADRIANO DA SILVA</t>
  </si>
  <si>
    <t>JOSÉ SEBASTIÃO MARTINS</t>
  </si>
  <si>
    <t>DEPÓSITO EM CONTA</t>
  </si>
  <si>
    <t>LUIZ ANTONIO DA SILVA (ALDALCINDA CLAUDIO)</t>
  </si>
  <si>
    <t>CAMILA ESTRELA SOUZA DOMINGUES</t>
  </si>
  <si>
    <t>BERNADETE BENEDITO PONTES</t>
  </si>
  <si>
    <t>MARIA DA GLÓRIA ZEFERINO</t>
  </si>
  <si>
    <t>THADEU PIZOLITO MONTEIRO</t>
  </si>
  <si>
    <t>ROSINEIDE DA SILVA FREITAS</t>
  </si>
  <si>
    <t>ADRIANO DA SILVA CHAIME</t>
  </si>
  <si>
    <t>CANETA BRANCA</t>
  </si>
  <si>
    <t>SULFITE</t>
  </si>
  <si>
    <t>BENEDITA CANDIDA DOS SANTOS QUINTELA</t>
  </si>
  <si>
    <t>FERNANDO OLIVEIRA SANTOS</t>
  </si>
  <si>
    <t>IRIS CRISTINA AUGUSTO SILVA</t>
  </si>
  <si>
    <t>LIDIA MARIA LISBOA</t>
  </si>
  <si>
    <t>VITORIA NHOQUE JACINTO</t>
  </si>
  <si>
    <t>MARIA ZILENE</t>
  </si>
  <si>
    <t>RONALDO BARBOSA RESENDE</t>
  </si>
  <si>
    <t>MARIA DO CARMO DEMORI</t>
  </si>
  <si>
    <t>PATRICIA VICTORINO</t>
  </si>
  <si>
    <t>SILVANIA MARIA DE AMORIM</t>
  </si>
  <si>
    <t>APARECIDO XAVIER DE OLIVEIRA</t>
  </si>
  <si>
    <t>ANTONIA ALVES FERREIRA SILVA</t>
  </si>
  <si>
    <t>SANDRA FERNANDES</t>
  </si>
  <si>
    <t>VALDEMICE BATISTA DOS SANTOS</t>
  </si>
  <si>
    <t>EVONEIDE FERNANDES DA SILVA</t>
  </si>
  <si>
    <t>MARY SAITO</t>
  </si>
  <si>
    <t>NATALIA RAQUEL PEREIRA DE ARAUJO</t>
  </si>
  <si>
    <t>JAQUELINE DOS SANTOS</t>
  </si>
  <si>
    <t>PEDRO ALVES DE LIMA</t>
  </si>
  <si>
    <t>ERICA DA SILVA BARBOSA</t>
  </si>
  <si>
    <t>BARBARA DE PAES SIMPLICIO</t>
  </si>
  <si>
    <t xml:space="preserve">ADRIANE DIAS FERNANDES </t>
  </si>
  <si>
    <t xml:space="preserve">REGINA CAVALCANTE </t>
  </si>
  <si>
    <t>MARIA APARECIDA</t>
  </si>
  <si>
    <t>ANDRÉ LUIZ DOS SANTOS</t>
  </si>
  <si>
    <t>NEIDE BEZERRA DA SILVA</t>
  </si>
  <si>
    <t>DIÁRIA DYENNIFER</t>
  </si>
  <si>
    <t xml:space="preserve">EMANUEL DOS PRAZERES </t>
  </si>
  <si>
    <t xml:space="preserve">EDISON BEBIANO </t>
  </si>
  <si>
    <t>MARIA CLAUDIA DA SILVA</t>
  </si>
  <si>
    <t xml:space="preserve">JEANE CRISTINA SANTOS </t>
  </si>
  <si>
    <t>ERIKA APARECIDA CARREGOSA</t>
  </si>
  <si>
    <t xml:space="preserve">APARECIDO XAVIER DE OLIVEIRA </t>
  </si>
  <si>
    <t xml:space="preserve">MAURO RAMOS </t>
  </si>
  <si>
    <t xml:space="preserve">EUNICE APARECIDA DOS ANJOS </t>
  </si>
  <si>
    <t xml:space="preserve">ERIKA APARECIDA CARREGOSA </t>
  </si>
  <si>
    <t>JÉSSICA MARQUES BAZILIO</t>
  </si>
  <si>
    <t>IVONE PEREIRA DE AZEVEDO</t>
  </si>
  <si>
    <t>WALDETE ALVES DOS SANTOS</t>
  </si>
  <si>
    <t>ALUIZIO NOGUEIRA PESANHA</t>
  </si>
  <si>
    <t>LUCIANO BITTENCOURT</t>
  </si>
  <si>
    <t>KATIA DE OLIVEIRA</t>
  </si>
  <si>
    <t>MARIA DE FÁTIMA</t>
  </si>
  <si>
    <t xml:space="preserve">DIEGO SILVA VIANA </t>
  </si>
  <si>
    <t>VAGNER GOMES DE ALMEIDA</t>
  </si>
  <si>
    <t xml:space="preserve">SIMONE IGNÁCIO </t>
  </si>
  <si>
    <t xml:space="preserve">SACOLAS </t>
  </si>
  <si>
    <t xml:space="preserve">MARCUS ANTONIUS </t>
  </si>
  <si>
    <t>Coluna1</t>
  </si>
  <si>
    <t>EVA MARIA ALVES</t>
  </si>
  <si>
    <t>RAQUEL DE SOUZA</t>
  </si>
  <si>
    <t>ANGELA MIRANDA DOS SANTOS</t>
  </si>
  <si>
    <t xml:space="preserve">KAREN AMARAL ROCHA DOS SANTOS </t>
  </si>
  <si>
    <t>NATALI DOS SANTOS MENEZES</t>
  </si>
  <si>
    <t>MARY SATO</t>
  </si>
  <si>
    <t xml:space="preserve">EDNA DA SILVA </t>
  </si>
  <si>
    <t>LAELSON BARROS DA SILVA</t>
  </si>
  <si>
    <t>DARIO CAMPOS</t>
  </si>
  <si>
    <t xml:space="preserve">JOSE ARAUJO  RODRIGUES </t>
  </si>
  <si>
    <t>VANUSA SOUZA DA SILVA</t>
  </si>
  <si>
    <t>PAULO ROBERTO PEREIRA DO NASCIMENTO</t>
  </si>
  <si>
    <t>RITA DE CÁSSIA DE SOUZA</t>
  </si>
  <si>
    <t>ANA FLÁVIA FERREIRA DE CASTRO SANTOS</t>
  </si>
  <si>
    <t xml:space="preserve">CLAUMIDIO MARTINS </t>
  </si>
  <si>
    <t>RITA DE CASSIA DA SILVA GOMES</t>
  </si>
  <si>
    <t>LEANDRO LOPES</t>
  </si>
  <si>
    <t>JOÃO IUJI</t>
  </si>
  <si>
    <t>ANTONIO CARLOS POLIDORIO</t>
  </si>
  <si>
    <t>JEANE CRISTINA SANTOS LIMA</t>
  </si>
  <si>
    <t>MARCOS ANTONIO DOS NASCIMENTO</t>
  </si>
  <si>
    <t>JOSICLEIA DE JESUS DOS ANJOS</t>
  </si>
  <si>
    <t>KAREN AMARAL ROCHA DOS SANTOS</t>
  </si>
  <si>
    <t>ALESSANDRA DURAES DE SOUZA</t>
  </si>
  <si>
    <t>ANTÔNIO CARLOS DOS REIAS</t>
  </si>
  <si>
    <t xml:space="preserve">SERAFIM LIMA </t>
  </si>
  <si>
    <t>ADRIANA VICTORINO GUEDES</t>
  </si>
  <si>
    <t xml:space="preserve">FERNANDA </t>
  </si>
  <si>
    <t>GILMAR LOPES MARINHO</t>
  </si>
  <si>
    <t>RITA DE CASSIA DA SILVA</t>
  </si>
  <si>
    <t>JOSENICE DE JESUS SANTOS ARAUJO</t>
  </si>
  <si>
    <t>MARCIA APARECIDA DA SILVA</t>
  </si>
  <si>
    <t xml:space="preserve">DYENNIFER NICOLE BRANDÃO DA </t>
  </si>
  <si>
    <t>MARCOS ANTÔNIO DO NASCIMENTO</t>
  </si>
  <si>
    <t>ROSANA ALVES SANTOS ARAUJO</t>
  </si>
  <si>
    <t>OSVALDO CARIRI DOS SANTOS</t>
  </si>
  <si>
    <t>JONAS APARECIDO GUIMARÃES</t>
  </si>
  <si>
    <t>GABRIELA DE FÁTIMA COSTA</t>
  </si>
  <si>
    <t>GIOVANNA MELLO</t>
  </si>
  <si>
    <t xml:space="preserve">IRIS CRISTINA AUGUSTO </t>
  </si>
  <si>
    <t>IRENE MARIA FERREIRA</t>
  </si>
  <si>
    <t>HENRIQUE SANTOS</t>
  </si>
  <si>
    <t xml:space="preserve">BRUNA RODRIGUES </t>
  </si>
  <si>
    <t xml:space="preserve">EMANUEL </t>
  </si>
  <si>
    <t>JULIO NJOAQUIM DA SILVA</t>
  </si>
  <si>
    <t>PATRICIA APARECIDA BRAZ</t>
  </si>
  <si>
    <t xml:space="preserve">MARLENE CARDOSO DE AGUIAR </t>
  </si>
  <si>
    <t xml:space="preserve">RAISSA MILENA SIQUEIRA </t>
  </si>
  <si>
    <t xml:space="preserve">ALUIZIO NOGUEIRA </t>
  </si>
  <si>
    <t>ROGÉRIO FAUSTINO DA SILVA</t>
  </si>
  <si>
    <t>ANDREIA BATISTA DA SILVA</t>
  </si>
  <si>
    <t>ANA CAROLINA CAETANO JESUS</t>
  </si>
  <si>
    <t>ANA CAROLINA CAETANO JESUS(RENAN)</t>
  </si>
  <si>
    <t>LEANDRO CESAR MACHADO TAVARES</t>
  </si>
  <si>
    <t>LEANDRO CESAR MACHADO TAVARES(THIAHO)</t>
  </si>
  <si>
    <t>Rafael silva de lima</t>
  </si>
  <si>
    <t xml:space="preserve">GILBERTO CELINO DA SILVA </t>
  </si>
  <si>
    <t>julio joaquim da silva</t>
  </si>
  <si>
    <t>PÃO</t>
  </si>
  <si>
    <t>MARGARINA</t>
  </si>
  <si>
    <t>MARILENE AGOSTINHO</t>
  </si>
  <si>
    <t>GLÓRIA NUNES KEREN DE OLIVEIRA</t>
  </si>
  <si>
    <t>CARLA CRISTINA SOUZA BARROS DOS SANTOS</t>
  </si>
  <si>
    <t>DÉBORA BRAGA MOLINARI</t>
  </si>
  <si>
    <t>CLEUSA MARIA DOS SANTOS</t>
  </si>
  <si>
    <t>WANTUIR GADELHA DOS SANTOS</t>
  </si>
  <si>
    <t>ROGERIO ALVES DUARTE</t>
  </si>
  <si>
    <t>NATALI DOS SANTOS</t>
  </si>
  <si>
    <t>ANDERSON DA SILVA FREITAS ALVES</t>
  </si>
  <si>
    <t>MAURA ALICE DE FREITAS</t>
  </si>
  <si>
    <t>EURICO RIBEIRO JUNIOR</t>
  </si>
  <si>
    <t>CLARICE TERUMI SATO</t>
  </si>
  <si>
    <t xml:space="preserve">CRISTIANO LUIZ GREGORIO </t>
  </si>
  <si>
    <t>JOSÉ LUIZ DOS SANTOS</t>
  </si>
  <si>
    <t>PATRICIA VICTORINO BATISTA</t>
  </si>
  <si>
    <t xml:space="preserve">MARCELA CALDAS GUEDES </t>
  </si>
  <si>
    <t>ANA FLÁVIA DE CASTRO</t>
  </si>
  <si>
    <t>ANA FLAVIA DE CASTRO</t>
  </si>
  <si>
    <t>MARIA SOREL PERES DURAN</t>
  </si>
  <si>
    <t xml:space="preserve">MARCELO RENATO </t>
  </si>
  <si>
    <t xml:space="preserve">ADRIANA FERREIRA </t>
  </si>
  <si>
    <t>DENIVALDO DA SILVA NASCIMENTO</t>
  </si>
  <si>
    <t>ROSANA MARIA EREY GUARDIA</t>
  </si>
  <si>
    <t xml:space="preserve">SOMONICA ALVES DE ALMEIDA </t>
  </si>
  <si>
    <t>NIDINALVA ALVES MATOS</t>
  </si>
  <si>
    <t>ANTÔNIO CARLOS POLIDORI</t>
  </si>
  <si>
    <t>EUNICE DA SILVA</t>
  </si>
  <si>
    <t xml:space="preserve">ROSANA MARIA EREY GUARDIA </t>
  </si>
  <si>
    <t>CARLA CRISTINA SOUZA BARROS</t>
  </si>
  <si>
    <t>ANA FLAVIA FERREIRA</t>
  </si>
  <si>
    <t xml:space="preserve">maria das graças </t>
  </si>
  <si>
    <t>CAFÉ</t>
  </si>
  <si>
    <t>JORGE KOWALSKI SALVARANI</t>
  </si>
  <si>
    <t xml:space="preserve">SIMONICA ALVES DE ALMEIDA </t>
  </si>
  <si>
    <t>LUCIMAR FÁTIMA DE SOUSA</t>
  </si>
  <si>
    <t>FELIPE SANCHES</t>
  </si>
  <si>
    <t>ROSANA MARIA EREY</t>
  </si>
  <si>
    <t>MARGARETE DE ARAUJO SEBASTIÃO</t>
  </si>
  <si>
    <t xml:space="preserve">DYENNIFER NICOLE BRANDÃO </t>
  </si>
  <si>
    <t xml:space="preserve">LARISSA RANIELLE RIBEIRO </t>
  </si>
  <si>
    <t xml:space="preserve">CARLOS MONTEIRO </t>
  </si>
  <si>
    <t xml:space="preserve">MARCIA TAKIUTI MIURA </t>
  </si>
  <si>
    <t>CARLOS MONTEIRO SILHO</t>
  </si>
  <si>
    <t xml:space="preserve">ANTONIA </t>
  </si>
  <si>
    <t>ELIANA APARECIDA FARIAS</t>
  </si>
  <si>
    <t>WILLIAM PIRES</t>
  </si>
  <si>
    <t>GESSI LOPES DA SILVA</t>
  </si>
  <si>
    <t xml:space="preserve">PÃO </t>
  </si>
  <si>
    <t>MANTIMENTOS</t>
  </si>
  <si>
    <t xml:space="preserve">RICARDO HENRIQUE </t>
  </si>
  <si>
    <t>SIDILAINE APARECIDA DE PAULA</t>
  </si>
  <si>
    <t>LEDIANA ALVES</t>
  </si>
  <si>
    <t>OWANTUIR GADELHA DOS SANTOS</t>
  </si>
  <si>
    <t>LUIZ ANTÔNIO DA SILVA</t>
  </si>
  <si>
    <t>ALESSANDRA FELIX SILVA</t>
  </si>
  <si>
    <t>SOLANGE FELIPE RIBEIRO</t>
  </si>
  <si>
    <t>TERUYO SAITO NISHIORA</t>
  </si>
  <si>
    <t xml:space="preserve">SIDILAINE APARECIDA DE PAULA </t>
  </si>
  <si>
    <t>KLEBER TOSCARO CONTIM</t>
  </si>
  <si>
    <t>RUBIA VALERIA BATISTA</t>
  </si>
  <si>
    <t>SIRLEI BUENO BORGES</t>
  </si>
  <si>
    <t>KETTELYN ARAÚJO DE OLIVEIRA</t>
  </si>
  <si>
    <t>MÁRCIA DE ALCÂNTARA</t>
  </si>
  <si>
    <t>SARA ROCHA DE JESUS</t>
  </si>
  <si>
    <t>R$ 96,66</t>
  </si>
  <si>
    <t>R$ 1.305,00</t>
  </si>
  <si>
    <t>21/08/2025</t>
  </si>
  <si>
    <t>RÚBIA VALÉRIA BATISTA</t>
  </si>
  <si>
    <t>SACOLAS</t>
  </si>
  <si>
    <t xml:space="preserve">LUCILENE GOMES DA ROCHA </t>
  </si>
  <si>
    <t>ANA CAROLINE ALVES DE SOUZA</t>
  </si>
  <si>
    <t xml:space="preserve">MICHELE PAIXÃO DOS SANTOS </t>
  </si>
  <si>
    <t>HELENA RODRIGUES PINTO</t>
  </si>
  <si>
    <t>MARIA DAS GRAÇAS BORGES</t>
  </si>
  <si>
    <t>MARCIA REGINA TEIXEIRA</t>
  </si>
  <si>
    <t>DEBORA BRAGA MOLINARI</t>
  </si>
  <si>
    <t xml:space="preserve">LUIZ FELIPE </t>
  </si>
  <si>
    <t>GABRIELY COUTINHO PETERES</t>
  </si>
  <si>
    <t>EZEQUIAS LEONARDO DA SILVA</t>
  </si>
  <si>
    <t>EMANOEL DELLANGELICA</t>
  </si>
  <si>
    <t>JOÃO CARLOS DA SILVA</t>
  </si>
  <si>
    <t>ELIÉTE CAVALCANTE DOS SANTOS</t>
  </si>
  <si>
    <t>ELIÉTE  CAVALCANTE DOS SANTOS</t>
  </si>
  <si>
    <t>JANE PEREIRA ANGELO</t>
  </si>
  <si>
    <t>LUCIMAR FATIMA DE SOUZA</t>
  </si>
  <si>
    <t>LARISSA RANIELLE RIBEIRO DE BARROS MOTA</t>
  </si>
  <si>
    <t>MATHEUS DE FREITAS AMARCIO</t>
  </si>
  <si>
    <t>JOSEFA CORREIRA DA SILVA</t>
  </si>
  <si>
    <t>SIMONE IGNÁCIO</t>
  </si>
  <si>
    <t>SIMONE RODRIGUES NABICA DE CARVALHO</t>
  </si>
  <si>
    <t>FERNANDO DE OLIVEIRA SANTOS</t>
  </si>
  <si>
    <t xml:space="preserve">KATIA DE OLIVEIRA MOURA </t>
  </si>
  <si>
    <t>FRANCISCO FERREIRA DA SILVA</t>
  </si>
  <si>
    <t>CECILIA BOAVENTURA SUZARTE</t>
  </si>
  <si>
    <t>ELVIS CHARLES DA SILVA</t>
  </si>
  <si>
    <t>REGIANE DIAS PEREIRA</t>
  </si>
  <si>
    <t>TATIANE APARECIDA LIMA HERNANDES</t>
  </si>
  <si>
    <t>PATRICIA PAULINO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</si>
</sst>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  <numFmt numFmtId="169" formatCode="_(&quot;$&quot;* #,##0.00_);_(&quot;$&quot;* \(#,##0.00\);_(&quot;$&quot;* &quot;-&quot;??_);_(@_)"/>
  </numFmts>
  <fonts count="4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8"/>
      <name val="Arial"/>
      <family val="2"/>
    </font>
    <font>
      <sz val="22"/>
      <name val="Castellar"/>
      <family val="1"/>
    </font>
    <font>
      <u/>
      <sz val="22"/>
      <name val="Castellar"/>
      <family val="1"/>
    </font>
    <font>
      <b/>
      <sz val="18"/>
      <name val="Castellar"/>
      <family val="1"/>
    </font>
    <font>
      <b/>
      <sz val="14"/>
      <color theme="0"/>
      <name val="Candara Light"/>
      <family val="2"/>
    </font>
    <font>
      <b/>
      <sz val="11"/>
      <name val="Candara Light"/>
      <family val="2"/>
    </font>
    <font>
      <sz val="10"/>
      <name val="Candara Light"/>
      <family val="2"/>
    </font>
    <font>
      <b/>
      <sz val="11"/>
      <color theme="0"/>
      <name val="Century Gothic"/>
      <family val="2"/>
    </font>
    <font>
      <sz val="11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b/>
      <sz val="12"/>
      <color theme="0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4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0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8" fillId="0" borderId="0" applyNumberFormat="0" applyFill="0" applyBorder="0" applyAlignment="0" applyProtection="0">
      <alignment vertical="top"/>
      <protection locked="0"/>
    </xf>
    <xf numFmtId="0" fontId="19" fillId="2" borderId="0"/>
    <xf numFmtId="0" fontId="17" fillId="3" borderId="0"/>
    <xf numFmtId="0" fontId="15" fillId="0" borderId="0" applyNumberFormat="0" applyBorder="0" applyAlignment="0" applyProtection="0"/>
    <xf numFmtId="44" fontId="20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1" fillId="0" borderId="0"/>
    <xf numFmtId="0" fontId="22" fillId="0" borderId="0" applyNumberFormat="0" applyFill="0" applyBorder="0" applyAlignment="0" applyProtection="0"/>
    <xf numFmtId="0" fontId="23" fillId="4" borderId="14">
      <alignment horizontal="center"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5" fillId="0" borderId="0" applyNumberFormat="0" applyBorder="0" applyAlignment="0" applyProtection="0"/>
    <xf numFmtId="44" fontId="20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4" fillId="0" borderId="15">
      <alignment horizontal="left" vertical="center" indent="2"/>
    </xf>
    <xf numFmtId="9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6" fillId="0" borderId="0" applyNumberFormat="0" applyFill="0" applyBorder="0" applyAlignment="0" applyProtection="0"/>
    <xf numFmtId="168" fontId="27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0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20">
    <xf numFmtId="0" fontId="0" fillId="0" borderId="0" xfId="0"/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/>
    </xf>
    <xf numFmtId="165" fontId="12" fillId="5" borderId="11" xfId="0" applyNumberFormat="1" applyFont="1" applyFill="1" applyBorder="1" applyAlignment="1">
      <alignment horizontal="center"/>
    </xf>
    <xf numFmtId="0" fontId="13" fillId="7" borderId="6" xfId="0" applyFont="1" applyFill="1" applyBorder="1" applyAlignment="1">
      <alignment horizontal="center"/>
    </xf>
    <xf numFmtId="0" fontId="12" fillId="5" borderId="0" xfId="0" applyFont="1" applyFill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5" fillId="0" borderId="0" xfId="0" applyFont="1"/>
    <xf numFmtId="165" fontId="33" fillId="6" borderId="12" xfId="2" applyNumberFormat="1" applyFont="1" applyFill="1" applyBorder="1" applyAlignment="1" applyProtection="1">
      <alignment horizontal="center" vertical="center"/>
    </xf>
    <xf numFmtId="0" fontId="34" fillId="0" borderId="0" xfId="0" applyFont="1"/>
    <xf numFmtId="164" fontId="36" fillId="5" borderId="10" xfId="2" applyFont="1" applyFill="1" applyBorder="1" applyAlignment="1">
      <alignment horizontal="center"/>
    </xf>
    <xf numFmtId="164" fontId="36" fillId="5" borderId="13" xfId="2" applyFont="1" applyFill="1" applyBorder="1" applyAlignment="1">
      <alignment horizontal="center"/>
    </xf>
    <xf numFmtId="165" fontId="36" fillId="5" borderId="13" xfId="4" applyNumberFormat="1" applyFont="1" applyFill="1" applyBorder="1" applyAlignment="1">
      <alignment horizontal="center"/>
    </xf>
    <xf numFmtId="165" fontId="36" fillId="5" borderId="9" xfId="4" applyNumberFormat="1" applyFont="1" applyFill="1" applyBorder="1" applyAlignment="1">
      <alignment horizontal="center"/>
    </xf>
    <xf numFmtId="164" fontId="36" fillId="0" borderId="17" xfId="2" applyFont="1" applyFill="1" applyBorder="1" applyAlignment="1">
      <alignment horizontal="center"/>
    </xf>
    <xf numFmtId="165" fontId="36" fillId="0" borderId="17" xfId="4" applyNumberFormat="1" applyFont="1" applyFill="1" applyBorder="1" applyAlignment="1">
      <alignment horizontal="center"/>
    </xf>
    <xf numFmtId="165" fontId="36" fillId="5" borderId="10" xfId="0" applyNumberFormat="1" applyFont="1" applyFill="1" applyBorder="1" applyAlignment="1">
      <alignment horizontal="center"/>
    </xf>
    <xf numFmtId="165" fontId="36" fillId="5" borderId="13" xfId="0" applyNumberFormat="1" applyFont="1" applyFill="1" applyBorder="1" applyAlignment="1">
      <alignment horizontal="center"/>
    </xf>
    <xf numFmtId="165" fontId="36" fillId="5" borderId="9" xfId="0" applyNumberFormat="1" applyFont="1" applyFill="1" applyBorder="1" applyAlignment="1">
      <alignment horizontal="center"/>
    </xf>
    <xf numFmtId="0" fontId="38" fillId="6" borderId="5" xfId="0" applyFont="1" applyFill="1" applyBorder="1" applyAlignment="1">
      <alignment horizontal="center" vertical="center"/>
    </xf>
    <xf numFmtId="165" fontId="38" fillId="6" borderId="12" xfId="2" applyNumberFormat="1" applyFont="1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0" fontId="38" fillId="5" borderId="2" xfId="0" applyFont="1" applyFill="1" applyBorder="1" applyAlignment="1">
      <alignment horizontal="center"/>
    </xf>
    <xf numFmtId="165" fontId="38" fillId="5" borderId="11" xfId="0" applyNumberFormat="1" applyFont="1" applyFill="1" applyBorder="1" applyAlignment="1">
      <alignment horizontal="center"/>
    </xf>
    <xf numFmtId="0" fontId="36" fillId="0" borderId="0" xfId="0" applyFont="1" applyAlignment="1">
      <alignment horizontal="center"/>
    </xf>
    <xf numFmtId="0" fontId="39" fillId="7" borderId="6" xfId="0" applyFont="1" applyFill="1" applyBorder="1" applyAlignment="1">
      <alignment horizontal="center"/>
    </xf>
    <xf numFmtId="165" fontId="39" fillId="7" borderId="8" xfId="0" applyNumberFormat="1" applyFont="1" applyFill="1" applyBorder="1" applyAlignment="1">
      <alignment horizontal="center"/>
    </xf>
    <xf numFmtId="165" fontId="40" fillId="0" borderId="0" xfId="0" applyNumberFormat="1" applyFont="1" applyAlignment="1">
      <alignment horizontal="center"/>
    </xf>
    <xf numFmtId="164" fontId="39" fillId="7" borderId="6" xfId="2" applyFont="1" applyFill="1" applyBorder="1" applyAlignment="1">
      <alignment horizontal="center"/>
    </xf>
    <xf numFmtId="164" fontId="40" fillId="0" borderId="0" xfId="2" applyFont="1" applyFill="1" applyBorder="1" applyAlignment="1">
      <alignment horizontal="center"/>
    </xf>
    <xf numFmtId="165" fontId="40" fillId="0" borderId="11" xfId="4" applyNumberFormat="1" applyFont="1" applyFill="1" applyBorder="1" applyAlignment="1">
      <alignment horizontal="center"/>
    </xf>
    <xf numFmtId="165" fontId="40" fillId="0" borderId="0" xfId="4" applyNumberFormat="1" applyFont="1" applyFill="1" applyBorder="1" applyAlignment="1">
      <alignment horizontal="center"/>
    </xf>
    <xf numFmtId="0" fontId="40" fillId="0" borderId="0" xfId="0" applyFont="1" applyAlignment="1">
      <alignment horizontal="center"/>
    </xf>
    <xf numFmtId="165" fontId="40" fillId="0" borderId="17" xfId="4" applyNumberFormat="1" applyFont="1" applyFill="1" applyBorder="1" applyAlignment="1">
      <alignment horizontal="center"/>
    </xf>
    <xf numFmtId="165" fontId="40" fillId="0" borderId="13" xfId="0" applyNumberFormat="1" applyFont="1" applyBorder="1" applyAlignment="1">
      <alignment horizontal="center"/>
    </xf>
    <xf numFmtId="164" fontId="40" fillId="0" borderId="3" xfId="2" applyFont="1" applyFill="1" applyBorder="1" applyAlignment="1">
      <alignment horizontal="center"/>
    </xf>
    <xf numFmtId="165" fontId="40" fillId="0" borderId="3" xfId="4" applyNumberFormat="1" applyFont="1" applyFill="1" applyBorder="1" applyAlignment="1">
      <alignment horizontal="center"/>
    </xf>
    <xf numFmtId="165" fontId="40" fillId="0" borderId="6" xfId="0" applyNumberFormat="1" applyFont="1" applyBorder="1" applyAlignment="1">
      <alignment horizontal="center"/>
    </xf>
    <xf numFmtId="164" fontId="41" fillId="0" borderId="2" xfId="2" applyFont="1" applyFill="1" applyBorder="1" applyAlignment="1">
      <alignment horizontal="center"/>
    </xf>
    <xf numFmtId="164" fontId="41" fillId="0" borderId="0" xfId="2" applyFont="1" applyFill="1" applyBorder="1" applyAlignment="1">
      <alignment horizontal="center"/>
    </xf>
    <xf numFmtId="165" fontId="41" fillId="0" borderId="0" xfId="4" applyNumberFormat="1" applyFont="1" applyFill="1" applyBorder="1" applyAlignment="1">
      <alignment horizontal="center"/>
    </xf>
    <xf numFmtId="164" fontId="37" fillId="0" borderId="17" xfId="2" applyFont="1" applyFill="1" applyBorder="1" applyAlignment="1">
      <alignment horizontal="center"/>
    </xf>
    <xf numFmtId="44" fontId="40" fillId="0" borderId="13" xfId="39" applyFont="1" applyFill="1" applyBorder="1" applyAlignment="1">
      <alignment horizontal="center"/>
    </xf>
    <xf numFmtId="165" fontId="40" fillId="0" borderId="13" xfId="4" applyNumberFormat="1" applyFont="1" applyFill="1" applyBorder="1" applyAlignment="1">
      <alignment horizontal="center"/>
    </xf>
    <xf numFmtId="44" fontId="40" fillId="0" borderId="17" xfId="39" applyFont="1" applyFill="1" applyBorder="1" applyAlignment="1">
      <alignment horizontal="center"/>
    </xf>
    <xf numFmtId="164" fontId="40" fillId="0" borderId="17" xfId="2" applyFont="1" applyFill="1" applyBorder="1" applyAlignment="1">
      <alignment horizontal="center"/>
    </xf>
    <xf numFmtId="164" fontId="40" fillId="0" borderId="0" xfId="2" applyFont="1" applyAlignment="1">
      <alignment horizontal="center"/>
    </xf>
    <xf numFmtId="165" fontId="40" fillId="0" borderId="0" xfId="4" applyNumberFormat="1" applyFont="1" applyAlignment="1">
      <alignment horizontal="center"/>
    </xf>
    <xf numFmtId="165" fontId="40" fillId="0" borderId="9" xfId="0" applyNumberFormat="1" applyFont="1" applyBorder="1" applyAlignment="1">
      <alignment horizontal="center"/>
    </xf>
    <xf numFmtId="0" fontId="41" fillId="0" borderId="0" xfId="0" applyFont="1"/>
    <xf numFmtId="0" fontId="40" fillId="0" borderId="0" xfId="0" applyFont="1"/>
    <xf numFmtId="164" fontId="39" fillId="7" borderId="6" xfId="2" applyFont="1" applyFill="1" applyBorder="1" applyAlignment="1" applyProtection="1">
      <alignment horizontal="center"/>
    </xf>
    <xf numFmtId="0" fontId="36" fillId="0" borderId="0" xfId="0" applyFont="1" applyAlignment="1">
      <alignment horizontal="center" vertical="center"/>
    </xf>
    <xf numFmtId="165" fontId="41" fillId="0" borderId="11" xfId="4" applyNumberFormat="1" applyFont="1" applyFill="1" applyBorder="1" applyAlignment="1">
      <alignment horizontal="center"/>
    </xf>
    <xf numFmtId="164" fontId="40" fillId="0" borderId="12" xfId="2" applyFont="1" applyFill="1" applyBorder="1" applyAlignment="1">
      <alignment horizontal="center"/>
    </xf>
    <xf numFmtId="164" fontId="36" fillId="0" borderId="8" xfId="2" applyFont="1" applyFill="1" applyBorder="1" applyAlignment="1">
      <alignment horizontal="center"/>
    </xf>
    <xf numFmtId="0" fontId="37" fillId="0" borderId="0" xfId="0" applyFont="1" applyAlignment="1">
      <alignment horizontal="center"/>
    </xf>
    <xf numFmtId="0" fontId="40" fillId="0" borderId="2" xfId="0" applyFont="1" applyBorder="1"/>
    <xf numFmtId="0" fontId="41" fillId="0" borderId="2" xfId="0" applyFont="1" applyBorder="1"/>
    <xf numFmtId="0" fontId="41" fillId="0" borderId="11" xfId="0" applyFont="1" applyBorder="1"/>
    <xf numFmtId="0" fontId="40" fillId="0" borderId="11" xfId="0" applyFont="1" applyBorder="1"/>
    <xf numFmtId="0" fontId="40" fillId="0" borderId="19" xfId="0" applyFont="1" applyBorder="1"/>
    <xf numFmtId="165" fontId="38" fillId="5" borderId="3" xfId="0" applyNumberFormat="1" applyFont="1" applyFill="1" applyBorder="1" applyAlignment="1">
      <alignment horizontal="center"/>
    </xf>
    <xf numFmtId="165" fontId="38" fillId="5" borderId="19" xfId="0" applyNumberFormat="1" applyFont="1" applyFill="1" applyBorder="1" applyAlignment="1">
      <alignment horizontal="center"/>
    </xf>
    <xf numFmtId="0" fontId="38" fillId="0" borderId="2" xfId="0" applyFont="1" applyBorder="1" applyAlignment="1">
      <alignment horizontal="center"/>
    </xf>
    <xf numFmtId="164" fontId="38" fillId="5" borderId="11" xfId="2" applyFont="1" applyFill="1" applyBorder="1" applyAlignment="1">
      <alignment horizontal="center"/>
    </xf>
    <xf numFmtId="164" fontId="39" fillId="7" borderId="17" xfId="2" applyFont="1" applyFill="1" applyBorder="1" applyAlignment="1">
      <alignment horizontal="center"/>
    </xf>
    <xf numFmtId="164" fontId="41" fillId="5" borderId="11" xfId="2" applyFont="1" applyFill="1" applyBorder="1" applyAlignment="1">
      <alignment horizontal="center"/>
    </xf>
    <xf numFmtId="0" fontId="41" fillId="0" borderId="12" xfId="0" applyFont="1" applyBorder="1"/>
    <xf numFmtId="0" fontId="41" fillId="0" borderId="10" xfId="0" applyFont="1" applyBorder="1"/>
    <xf numFmtId="0" fontId="41" fillId="0" borderId="9" xfId="0" applyFont="1" applyBorder="1"/>
    <xf numFmtId="1" fontId="40" fillId="0" borderId="17" xfId="0" applyNumberFormat="1" applyFont="1" applyBorder="1" applyAlignment="1">
      <alignment horizontal="center"/>
    </xf>
    <xf numFmtId="0" fontId="40" fillId="0" borderId="17" xfId="0" applyFont="1" applyBorder="1" applyAlignment="1">
      <alignment horizontal="center"/>
    </xf>
    <xf numFmtId="1" fontId="40" fillId="0" borderId="3" xfId="0" applyNumberFormat="1" applyFont="1" applyBorder="1" applyAlignment="1">
      <alignment horizontal="center"/>
    </xf>
    <xf numFmtId="0" fontId="40" fillId="0" borderId="3" xfId="0" applyFont="1" applyBorder="1" applyAlignment="1">
      <alignment horizontal="center"/>
    </xf>
    <xf numFmtId="164" fontId="40" fillId="0" borderId="13" xfId="2" applyFont="1" applyFill="1" applyBorder="1" applyAlignment="1">
      <alignment horizontal="center"/>
    </xf>
    <xf numFmtId="0" fontId="40" fillId="0" borderId="13" xfId="0" applyFont="1" applyBorder="1" applyAlignment="1">
      <alignment horizontal="center"/>
    </xf>
    <xf numFmtId="1" fontId="40" fillId="0" borderId="17" xfId="2" applyNumberFormat="1" applyFont="1" applyFill="1" applyBorder="1" applyAlignment="1">
      <alignment horizontal="center"/>
    </xf>
    <xf numFmtId="1" fontId="40" fillId="0" borderId="3" xfId="2" applyNumberFormat="1" applyFont="1" applyBorder="1" applyAlignment="1">
      <alignment horizontal="center"/>
    </xf>
    <xf numFmtId="1" fontId="40" fillId="0" borderId="17" xfId="2" applyNumberFormat="1" applyFont="1" applyBorder="1" applyAlignment="1">
      <alignment horizontal="center"/>
    </xf>
    <xf numFmtId="1" fontId="40" fillId="5" borderId="10" xfId="2" applyNumberFormat="1" applyFont="1" applyFill="1" applyBorder="1" applyAlignment="1">
      <alignment horizontal="center"/>
    </xf>
    <xf numFmtId="164" fontId="40" fillId="5" borderId="10" xfId="2" applyFont="1" applyFill="1" applyBorder="1" applyAlignment="1">
      <alignment horizontal="center"/>
    </xf>
    <xf numFmtId="164" fontId="40" fillId="5" borderId="13" xfId="2" applyFont="1" applyFill="1" applyBorder="1" applyAlignment="1">
      <alignment horizontal="center"/>
    </xf>
    <xf numFmtId="165" fontId="40" fillId="5" borderId="13" xfId="4" applyNumberFormat="1" applyFont="1" applyFill="1" applyBorder="1" applyAlignment="1">
      <alignment horizontal="center"/>
    </xf>
    <xf numFmtId="165" fontId="40" fillId="5" borderId="9" xfId="4" applyNumberFormat="1" applyFont="1" applyFill="1" applyBorder="1" applyAlignment="1">
      <alignment horizontal="center"/>
    </xf>
    <xf numFmtId="1" fontId="40" fillId="0" borderId="3" xfId="2" applyNumberFormat="1" applyFont="1" applyFill="1" applyBorder="1" applyAlignment="1">
      <alignment horizontal="center"/>
    </xf>
    <xf numFmtId="165" fontId="40" fillId="0" borderId="17" xfId="0" applyNumberFormat="1" applyFont="1" applyBorder="1" applyAlignment="1">
      <alignment horizontal="center"/>
    </xf>
    <xf numFmtId="165" fontId="40" fillId="0" borderId="3" xfId="0" applyNumberFormat="1" applyFont="1" applyBorder="1" applyAlignment="1">
      <alignment horizontal="center"/>
    </xf>
    <xf numFmtId="0" fontId="0" fillId="0" borderId="17" xfId="0" applyBorder="1"/>
    <xf numFmtId="165" fontId="40" fillId="0" borderId="5" xfId="0" applyNumberFormat="1" applyFont="1" applyBorder="1" applyAlignment="1">
      <alignment horizontal="center"/>
    </xf>
    <xf numFmtId="169" fontId="40" fillId="0" borderId="17" xfId="0" applyNumberFormat="1" applyFont="1" applyBorder="1" applyAlignment="1">
      <alignment horizontal="center"/>
    </xf>
    <xf numFmtId="165" fontId="40" fillId="0" borderId="4" xfId="0" applyNumberFormat="1" applyFont="1" applyBorder="1" applyAlignment="1">
      <alignment horizontal="center"/>
    </xf>
    <xf numFmtId="1" fontId="40" fillId="0" borderId="0" xfId="0" applyNumberFormat="1" applyFont="1" applyAlignment="1">
      <alignment horizontal="center"/>
    </xf>
    <xf numFmtId="0" fontId="11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8" fillId="6" borderId="9" xfId="0" applyFont="1" applyFill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14" fontId="29" fillId="0" borderId="18" xfId="0" applyNumberFormat="1" applyFont="1" applyBorder="1" applyAlignment="1">
      <alignment horizontal="center"/>
    </xf>
    <xf numFmtId="165" fontId="31" fillId="0" borderId="18" xfId="0" applyNumberFormat="1" applyFont="1" applyBorder="1" applyAlignment="1">
      <alignment horizontal="center"/>
    </xf>
    <xf numFmtId="0" fontId="35" fillId="7" borderId="19" xfId="0" applyFont="1" applyFill="1" applyBorder="1" applyAlignment="1">
      <alignment horizontal="center"/>
    </xf>
    <xf numFmtId="0" fontId="35" fillId="7" borderId="3" xfId="0" applyFont="1" applyFill="1" applyBorder="1" applyAlignment="1">
      <alignment horizontal="center"/>
    </xf>
    <xf numFmtId="165" fontId="35" fillId="7" borderId="5" xfId="0" applyNumberFormat="1" applyFont="1" applyFill="1" applyBorder="1" applyAlignment="1">
      <alignment horizontal="center"/>
    </xf>
    <xf numFmtId="165" fontId="35" fillId="7" borderId="4" xfId="0" applyNumberFormat="1" applyFont="1" applyFill="1" applyBorder="1" applyAlignment="1">
      <alignment horizontal="center"/>
    </xf>
    <xf numFmtId="165" fontId="35" fillId="7" borderId="12" xfId="0" applyNumberFormat="1" applyFont="1" applyFill="1" applyBorder="1" applyAlignment="1">
      <alignment horizontal="center"/>
    </xf>
    <xf numFmtId="0" fontId="32" fillId="7" borderId="6" xfId="0" applyFont="1" applyFill="1" applyBorder="1" applyAlignment="1">
      <alignment horizontal="center" vertical="center"/>
    </xf>
    <xf numFmtId="0" fontId="32" fillId="7" borderId="7" xfId="0" applyFont="1" applyFill="1" applyBorder="1" applyAlignment="1">
      <alignment horizontal="center" vertical="center"/>
    </xf>
    <xf numFmtId="0" fontId="32" fillId="7" borderId="8" xfId="0" applyFont="1" applyFill="1" applyBorder="1" applyAlignment="1">
      <alignment horizontal="center" vertical="center"/>
    </xf>
    <xf numFmtId="0" fontId="35" fillId="7" borderId="17" xfId="0" applyFont="1" applyFill="1" applyBorder="1" applyAlignment="1">
      <alignment horizontal="center"/>
    </xf>
    <xf numFmtId="0" fontId="38" fillId="6" borderId="5" xfId="0" applyFont="1" applyFill="1" applyBorder="1" applyAlignment="1">
      <alignment horizontal="center" vertical="center"/>
    </xf>
    <xf numFmtId="0" fontId="38" fillId="6" borderId="12" xfId="0" applyFont="1" applyFill="1" applyBorder="1" applyAlignment="1">
      <alignment horizontal="center" vertical="center"/>
    </xf>
    <xf numFmtId="14" fontId="30" fillId="0" borderId="18" xfId="0" applyNumberFormat="1" applyFont="1" applyBorder="1" applyAlignment="1">
      <alignment horizontal="center"/>
    </xf>
    <xf numFmtId="165" fontId="35" fillId="7" borderId="2" xfId="0" applyNumberFormat="1" applyFont="1" applyFill="1" applyBorder="1" applyAlignment="1">
      <alignment horizontal="center"/>
    </xf>
    <xf numFmtId="165" fontId="35" fillId="7" borderId="0" xfId="0" applyNumberFormat="1" applyFont="1" applyFill="1" applyAlignment="1">
      <alignment horizontal="center"/>
    </xf>
    <xf numFmtId="165" fontId="35" fillId="7" borderId="11" xfId="0" applyNumberFormat="1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70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75" dataDxfId="1673" headerRowBorderDxfId="1674" tableBorderDxfId="1672" totalsRowBorderDxfId="1671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70" dataCellStyle="Moeda"/>
    <tableColumn id="5" xr3:uid="{45BECD08-8ABE-4A34-BD78-E2D3AFB8C62A}" name="Cliente" dataDxfId="1669" dataCellStyle="Moeda"/>
    <tableColumn id="2" xr3:uid="{A0D6666C-9CF7-4343-AF6B-BDFE62F94469}" name="Forma de Pgto" dataDxfId="1668" dataCellStyle="Moeda"/>
    <tableColumn id="3" xr3:uid="{988F127F-9D83-4428-BB94-C16FBBB1BD89}" name="Valor Venda" dataDxfId="1667" dataCellStyle="Porcentagem"/>
    <tableColumn id="4" xr3:uid="{6A2928C3-17B0-4FA3-B60C-9E1A2C0324E1}" name="Entrada" dataDxfId="1666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665" dataDxfId="1663" headerRowBorderDxfId="1664" tableBorderDxfId="1662" totalsRowBorderDxfId="1661">
  <autoFilter ref="K5:M11" xr:uid="{DD403130-B35C-452C-92F9-290622D77A3D}"/>
  <tableColumns count="3">
    <tableColumn id="1" xr3:uid="{FAD87634-3375-4B41-BEC0-5B072F6B52CE}" name="Descrição" dataDxfId="1660"/>
    <tableColumn id="2" xr3:uid="{7688071E-9548-4552-8BB1-3BA5128DF645}" name="Tipo de Pagto" dataDxfId="1659"/>
    <tableColumn id="3" xr3:uid="{2B260C33-79A5-4C5D-9195-15780C53A861}" name="Valor" dataDxfId="165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57" dataDxfId="1655" headerRowBorderDxfId="1656" tableBorderDxfId="1654" totalsRowBorderDxfId="1653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52"/>
    <tableColumn id="2" xr3:uid="{606BE417-6802-4580-90D2-86F95EFAAEB7}" name="Cliente" dataDxfId="1651"/>
    <tableColumn id="3" xr3:uid="{2F522A54-F708-4DA3-97E3-CE7C29912E04}" name="Forma de Pgto" dataDxfId="1650" dataCellStyle="Moeda"/>
    <tableColumn id="4" xr3:uid="{7B46EE64-F7F1-4449-A783-67286A94A7C4}" name="Valor Venda" dataDxfId="1649" dataCellStyle="Porcentagem"/>
    <tableColumn id="5" xr3:uid="{389A7D1A-3C35-485E-9958-8A78EF77BE9B}" name="Entrada" dataDxfId="1648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647" dataDxfId="1645" headerRowBorderDxfId="1646" tableBorderDxfId="1644" totalsRowBorderDxfId="1643">
  <autoFilter ref="K14:M31" xr:uid="{F07D43AD-1A4D-4B31-96B8-824F8623E518}"/>
  <sortState xmlns:xlrd2="http://schemas.microsoft.com/office/spreadsheetml/2017/richdata2" ref="K15:M31">
    <sortCondition ref="K14:K31"/>
  </sortState>
  <tableColumns count="3">
    <tableColumn id="1" xr3:uid="{3AF01421-A7B6-4D23-9DA8-C20FAFAFDD9C}" name="OS" dataDxfId="1642"/>
    <tableColumn id="2" xr3:uid="{55DCC30E-EB52-427E-A16A-B2C93A41F1CE}" name="Vendedor" dataDxfId="1641"/>
    <tableColumn id="3" xr3:uid="{23EDA46C-42B4-4F6C-97D9-7040D6B9797C}" name="CARNE" dataDxfId="164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639" dataDxfId="1637" headerRowBorderDxfId="1638" tableBorderDxfId="1636" totalsRowBorderDxfId="1635">
  <autoFilter ref="E34:I41" xr:uid="{160070D3-12DB-4B84-9ECC-6FB01084295E}"/>
  <sortState xmlns:xlrd2="http://schemas.microsoft.com/office/spreadsheetml/2017/richdata2" ref="E35:I41">
    <sortCondition ref="E34:E41"/>
  </sortState>
  <tableColumns count="5">
    <tableColumn id="1" xr3:uid="{BB49FC7C-C2C1-4464-B507-93763DA8CB96}" name="OS" dataDxfId="1634"/>
    <tableColumn id="2" xr3:uid="{FBA6EA78-F44B-4D22-A27A-92A91C10551F}" name="Cliente" dataDxfId="1633"/>
    <tableColumn id="3" xr3:uid="{749B4D89-29B3-4987-91D3-6BA3C44D9B96}" name="Forma de Pgto" dataDxfId="1632" dataCellStyle="Moeda"/>
    <tableColumn id="4" xr3:uid="{A84A6598-B291-4809-A78D-AB810461733D}" name="Valor Parcela" dataDxfId="1631" dataCellStyle="Porcentagem"/>
    <tableColumn id="5" xr3:uid="{3C45FEEC-5E06-4ED7-87CD-0097DB6BC817}" name="Nº Parcela" dataDxfId="1630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629" dataDxfId="1627" headerRowBorderDxfId="1628" tableBorderDxfId="1626" totalsRowBorderDxfId="1625">
  <autoFilter ref="K34:M41" xr:uid="{42BA126A-AECD-4CD6-8583-BD2352D82FB9}"/>
  <tableColumns count="3">
    <tableColumn id="1" xr3:uid="{0989D88A-7CB7-4008-94FC-B7FFB3CAE582}" name="OS" dataDxfId="1624"/>
    <tableColumn id="2" xr3:uid="{AC9D76CC-A537-4210-9893-E8C57DA30B4D}" name="Parcelas" dataDxfId="1623"/>
    <tableColumn id="3" xr3:uid="{D4D72E6E-DAE0-4860-8606-BFD8E469AE3D}" name="Valor Total" dataDxfId="162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621" dataDxfId="1619" headerRowBorderDxfId="1620" tableBorderDxfId="1618" totalsRowBorderDxfId="161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616" dataCellStyle="Moeda"/>
    <tableColumn id="5" xr3:uid="{62DCD49D-7CD9-4268-A2D5-B3A594E461BB}" name="Cliente" dataDxfId="1615" dataCellStyle="Moeda"/>
    <tableColumn id="2" xr3:uid="{50D45495-B1A2-4885-996A-3E6DD92E280E}" name="Forma de Pgto" dataDxfId="1614" dataCellStyle="Moeda"/>
    <tableColumn id="3" xr3:uid="{DE57E226-692B-42B0-911E-ACCF59BC6D86}" name="Valor Venda" dataDxfId="1613" dataCellStyle="Porcentagem"/>
    <tableColumn id="4" xr3:uid="{CE230B3B-D2C9-4A92-A5F3-A5EE4A74409A}" name="Entrada" dataDxfId="1612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611" dataDxfId="1609" headerRowBorderDxfId="1610" tableBorderDxfId="1608" totalsRowBorderDxfId="1607">
  <autoFilter ref="K5:M11" xr:uid="{00000000-0009-0000-0100-000015000000}"/>
  <tableColumns count="3">
    <tableColumn id="1" xr3:uid="{58E2E66D-9AC0-4A69-BF19-1AB9AD59BA2F}" name="Descrição" dataDxfId="1606"/>
    <tableColumn id="2" xr3:uid="{FE1E3124-46C3-49A6-AE83-7C14B341DF59}" name="Tipo de Pagto" dataDxfId="1605"/>
    <tableColumn id="3" xr3:uid="{D8FBF474-04EE-46ED-9B9E-791D937CF715}" name="Valor" dataDxfId="160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603" dataDxfId="1601" headerRowBorderDxfId="1602" tableBorderDxfId="1600" totalsRowBorderDxfId="159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98"/>
    <tableColumn id="2" xr3:uid="{595EF087-A3B2-4C2B-AEEA-F930A6C2F5F4}" name="Cliente" dataDxfId="1597"/>
    <tableColumn id="3" xr3:uid="{C5C2BC75-6E8D-4808-A5EE-A5F9251ECE6C}" name="Forma de Pgto" dataDxfId="1596" dataCellStyle="Moeda"/>
    <tableColumn id="4" xr3:uid="{20CF776B-B9F4-48DD-9379-961689B40B71}" name="Valor Venda" dataDxfId="1595" dataCellStyle="Porcentagem"/>
    <tableColumn id="5" xr3:uid="{65177CB6-6D07-42E6-8EFE-435282A2F5BA}" name="Entrada" dataDxfId="1594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93" dataDxfId="1591" headerRowBorderDxfId="1592" tableBorderDxfId="1590" totalsRowBorderDxfId="158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88"/>
    <tableColumn id="2" xr3:uid="{D1AEFC99-FF9D-4A0D-BE93-D866BDC7A817}" name="Vendedor" dataDxfId="1587"/>
    <tableColumn id="3" xr3:uid="{CA30546E-8A3F-45D5-BE2B-24DCF738F1F2}" name="CARNE" dataDxfId="158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85" dataDxfId="1583" headerRowBorderDxfId="1584" tableBorderDxfId="1582" totalsRowBorderDxfId="158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80"/>
    <tableColumn id="2" xr3:uid="{7D38F106-0145-4B73-951B-86BF22EC7FAB}" name="Cliente" dataDxfId="1579"/>
    <tableColumn id="3" xr3:uid="{11A4EEBE-D35C-4719-B2B9-16486260EF79}" name="Forma de Pgto" dataDxfId="1578" dataCellStyle="Moeda"/>
    <tableColumn id="4" xr3:uid="{1BAB2FC5-9F2C-41DD-994A-6BA83A984883}" name="Valor Parcela" dataDxfId="1577" dataCellStyle="Porcentagem"/>
    <tableColumn id="5" xr3:uid="{8C539F89-5F96-4DB9-B7A4-784EA1B5350C}" name="Nº Parcela" dataDxfId="1576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75" dataDxfId="1573" headerRowBorderDxfId="1574" tableBorderDxfId="1572" totalsRowBorderDxfId="1571">
  <autoFilter ref="K34:M41" xr:uid="{1B8643D4-6AC3-4029-882A-C62E9D7CB225}"/>
  <tableColumns count="3">
    <tableColumn id="1" xr3:uid="{0B93901B-D681-410F-8B28-E186D9A3CAC3}" name="OS" dataDxfId="1570"/>
    <tableColumn id="2" xr3:uid="{A57C0E02-6258-48F0-9407-2095CD96B2D4}" name="Parcelas" dataDxfId="1569"/>
    <tableColumn id="3" xr3:uid="{1EA087CF-658D-4951-89BB-508667E3BBBE}" name="Valor Total" dataDxfId="156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67" dataDxfId="1565" headerRowBorderDxfId="1566" tableBorderDxfId="1564" totalsRowBorderDxfId="15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62" dataCellStyle="Moeda"/>
    <tableColumn id="5" xr3:uid="{98DC42E5-632F-4288-9CC5-1F032859A7E7}" name="Cliente" dataDxfId="1561" dataCellStyle="Moeda"/>
    <tableColumn id="2" xr3:uid="{4AE32B81-9EBD-470B-9ABE-A82D6658F3FE}" name="Forma de Pgto" dataDxfId="1560" dataCellStyle="Moeda"/>
    <tableColumn id="3" xr3:uid="{6E5BAEC1-2689-4ABB-93EC-298595B5C82E}" name="Valor Venda" dataDxfId="1559" dataCellStyle="Porcentagem"/>
    <tableColumn id="4" xr3:uid="{24493E7B-FE77-4A85-8810-0F0A4A84D997}" name="Entrada" dataDxfId="1558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57" dataDxfId="1555" headerRowBorderDxfId="1556" tableBorderDxfId="1554" totalsRowBorderDxfId="1553">
  <autoFilter ref="K5:M11" xr:uid="{00000000-0009-0000-0100-000015000000}"/>
  <tableColumns count="3">
    <tableColumn id="1" xr3:uid="{DA50BBFB-ECA9-45DE-9949-F3F90EEC3BA7}" name="Descrição" dataDxfId="1552"/>
    <tableColumn id="2" xr3:uid="{A64D4F88-B62D-440B-BA71-6D7BB28D542E}" name="Tipo de Pagto" dataDxfId="1551"/>
    <tableColumn id="3" xr3:uid="{0406A209-0652-47F9-9AB4-3256B26876D2}" name="Valor" dataDxfId="155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49" dataDxfId="1547" headerRowBorderDxfId="1548" tableBorderDxfId="1546" totalsRowBorderDxfId="15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44"/>
    <tableColumn id="2" xr3:uid="{8B8D24E4-1123-478B-838C-FCF56EABBDFD}" name="Cliente" dataDxfId="1543"/>
    <tableColumn id="3" xr3:uid="{8B7DE8DF-8D5D-4245-A63D-EF550AE347E3}" name="Forma de Pgto" dataDxfId="1542" dataCellStyle="Moeda"/>
    <tableColumn id="4" xr3:uid="{95A77C0C-49D0-45A2-8B99-A765C4741CE7}" name="Valor Venda" dataDxfId="1541" dataCellStyle="Porcentagem"/>
    <tableColumn id="5" xr3:uid="{FF4FDD32-DA70-4723-A8FB-07B3FB04B5CD}" name="Entrada" dataDxfId="1540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39" dataDxfId="1537" headerRowBorderDxfId="1538" tableBorderDxfId="1536" totalsRowBorderDxfId="1535">
  <autoFilter ref="K14:M31" xr:uid="{C83FE64B-E221-4DAA-89EA-5307A7BC98B3}"/>
  <tableColumns count="3">
    <tableColumn id="1" xr3:uid="{A31E67F7-E266-4220-8D3F-09556FCE20B1}" name="OS" dataDxfId="1534"/>
    <tableColumn id="2" xr3:uid="{2ED39269-8DA5-4157-9E82-8C8ED0C828A3}" name="Vendedor" dataDxfId="1533"/>
    <tableColumn id="3" xr3:uid="{F550B35D-6F70-4E2E-9037-3A7DF5BB4D86}" name="CARNE" dataDxfId="153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31" dataDxfId="1529" headerRowBorderDxfId="1530" tableBorderDxfId="1528" totalsRowBorderDxfId="15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526"/>
    <tableColumn id="2" xr3:uid="{58D563AD-1DCA-4768-9170-A0079A20A1DF}" name="Cliente" dataDxfId="1525"/>
    <tableColumn id="3" xr3:uid="{FE883FCE-942C-4DE5-904D-B12FE6C4992D}" name="Forma de Pgto" dataDxfId="1524" dataCellStyle="Moeda"/>
    <tableColumn id="4" xr3:uid="{21451B08-4DF0-4C35-AC45-94C183AA6A59}" name="Valor Parcela" dataDxfId="1523" dataCellStyle="Porcentagem"/>
    <tableColumn id="5" xr3:uid="{8F93C3AE-47D0-4E55-A038-445341804CE9}" name="Nº Parcela" dataDxfId="1522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521" dataDxfId="1519" headerRowBorderDxfId="1520" tableBorderDxfId="1518" totalsRowBorderDxfId="1517">
  <autoFilter ref="K34:M41" xr:uid="{1B8643D4-6AC3-4029-882A-C62E9D7CB225}"/>
  <tableColumns count="3">
    <tableColumn id="1" xr3:uid="{2687574F-C0F9-4AD1-A54B-286C1AE50D97}" name="OS" dataDxfId="1516"/>
    <tableColumn id="2" xr3:uid="{AE623FF4-38C1-45D9-B220-1CD4A553B7C1}" name="Parcelas" dataDxfId="1515"/>
    <tableColumn id="3" xr3:uid="{EEBFC521-3084-43FF-A36B-C25CE198B817}" name="Valor Total" dataDxfId="1514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513" dataDxfId="1511" headerRowBorderDxfId="1512" tableBorderDxfId="1510" totalsRowBorderDxfId="15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508" dataCellStyle="Moeda"/>
    <tableColumn id="5" xr3:uid="{F5DA840E-A051-4AE4-AE1A-9DAFAF8FFC3B}" name="Cliente" dataDxfId="1507" dataCellStyle="Moeda"/>
    <tableColumn id="2" xr3:uid="{DF65CD3D-444A-4025-B98B-F38F11610432}" name="Forma de Pgto" dataDxfId="1506" dataCellStyle="Moeda"/>
    <tableColumn id="3" xr3:uid="{9A4839DC-9153-466A-B0AF-456FAEF79174}" name="Valor Venda" dataDxfId="1505" dataCellStyle="Porcentagem"/>
    <tableColumn id="4" xr3:uid="{EF410A7C-DBD1-4367-A43B-616826FFEB4F}" name="Entrada" dataDxfId="1504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503" dataDxfId="1501" headerRowBorderDxfId="1502" tableBorderDxfId="1500" totalsRowBorderDxfId="1499">
  <autoFilter ref="K5:M11" xr:uid="{00000000-0009-0000-0100-000015000000}"/>
  <tableColumns count="3">
    <tableColumn id="1" xr3:uid="{F1C90853-2F5A-4C32-8AC3-18ECE1FDDF43}" name="Descrição" dataDxfId="1498"/>
    <tableColumn id="2" xr3:uid="{DEB32F17-2D52-4FBB-90C4-1C3AE9C104E6}" name="Tipo de Pagto" dataDxfId="1497"/>
    <tableColumn id="3" xr3:uid="{089B3650-C090-496F-BF9A-6E8466DBF76A}" name="Valor" dataDxfId="1496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95" dataDxfId="1493" headerRowBorderDxfId="1494" tableBorderDxfId="1492" totalsRowBorderDxfId="14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90"/>
    <tableColumn id="2" xr3:uid="{73AEC7DD-005C-4428-9D1D-1A3761F2192B}" name="Cliente" dataDxfId="1489"/>
    <tableColumn id="3" xr3:uid="{FA28017F-3137-49BD-B826-2E261901E543}" name="Forma de Pgto" dataDxfId="1488" dataCellStyle="Moeda"/>
    <tableColumn id="4" xr3:uid="{6030418B-B1EC-4D4D-96DF-0EB78B87F6F9}" name="Valor Venda" dataDxfId="1487" dataCellStyle="Porcentagem"/>
    <tableColumn id="5" xr3:uid="{0576A975-F40D-4463-85C0-76AB6FCD63AC}" name="Entrada" dataDxfId="1486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85" dataDxfId="1483" headerRowBorderDxfId="1484" tableBorderDxfId="1482" totalsRowBorderDxfId="148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830E23BA-DE90-49EF-B4EA-89C3276575B2}" name="OS" dataDxfId="1480"/>
    <tableColumn id="2" xr3:uid="{679AF5A0-4545-4316-AD6C-E4B7A7BA099A}" name="Vendedor" dataDxfId="1479"/>
    <tableColumn id="3" xr3:uid="{6B801D58-D05B-4A78-A6FE-BC9EF408DC10}" name="CARNE" dataDxfId="1478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77" dataDxfId="1475" headerRowBorderDxfId="1476" tableBorderDxfId="1474" totalsRowBorderDxfId="1473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6BEE042E-9E35-4BD7-842C-73720AA03CCF}" name="OS" dataDxfId="1472"/>
    <tableColumn id="2" xr3:uid="{953837B7-D16A-40C2-9C83-CD7E7171C88F}" name="Cliente" dataDxfId="1471"/>
    <tableColumn id="3" xr3:uid="{63860264-C651-4A12-8F01-E9F622A843C0}" name="Forma de Pgto" dataDxfId="1470" dataCellStyle="Moeda"/>
    <tableColumn id="4" xr3:uid="{584373BD-23BA-4A1E-A4FC-3D4A594F4148}" name="Valor Parcela" dataDxfId="1469" dataCellStyle="Porcentagem"/>
    <tableColumn id="5" xr3:uid="{7CBAF04B-D82E-4180-A8EA-98461BE41F4A}" name="Nº Parcela" dataDxfId="1468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67" dataDxfId="1465" headerRowBorderDxfId="1466" tableBorderDxfId="1464" totalsRowBorderDxfId="1463">
  <autoFilter ref="K34:M41" xr:uid="{1B8643D4-6AC3-4029-882A-C62E9D7CB225}"/>
  <tableColumns count="3">
    <tableColumn id="1" xr3:uid="{F555359C-BC20-4C24-A948-500BDD3B5763}" name="OS" dataDxfId="1462"/>
    <tableColumn id="2" xr3:uid="{B72B4820-B8B5-4F80-83B5-9EC54EF78025}" name="Parcelas" dataDxfId="1461"/>
    <tableColumn id="3" xr3:uid="{893DDBC4-5663-4D63-80CB-4E7482811983}" name="Valor Total" dataDxfId="1460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59" dataDxfId="1457" headerRowBorderDxfId="1458" tableBorderDxfId="1456" totalsRowBorderDxfId="145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54" dataCellStyle="Moeda"/>
    <tableColumn id="5" xr3:uid="{4F9ED826-A0E1-4FB0-83C6-A561EA7B6750}" name="Cliente" dataDxfId="1453" dataCellStyle="Moeda"/>
    <tableColumn id="2" xr3:uid="{C2B928FE-CB2E-4271-AE3D-2FE26117248E}" name="Forma de Pgto" dataDxfId="1452" dataCellStyle="Moeda"/>
    <tableColumn id="3" xr3:uid="{CE23E3D0-4056-4DCB-83C4-5B94BD49CAAC}" name="Valor Venda" dataDxfId="1451" dataCellStyle="Porcentagem"/>
    <tableColumn id="4" xr3:uid="{1F426340-BFB9-4B9E-B988-7A195156D2F2}" name="Entrada" dataDxfId="1450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49" dataDxfId="1447" headerRowBorderDxfId="1448" tableBorderDxfId="1446" totalsRowBorderDxfId="1445">
  <autoFilter ref="K5:M11" xr:uid="{00000000-0009-0000-0100-000015000000}"/>
  <tableColumns count="3">
    <tableColumn id="1" xr3:uid="{F4C840DC-E06E-4A51-B1BF-E769E4EC9ACB}" name="Descrição" dataDxfId="1444"/>
    <tableColumn id="2" xr3:uid="{E6DE1F07-CE97-421A-A22A-4B4270DDF46D}" name="Tipo de Pagto" dataDxfId="1443"/>
    <tableColumn id="3" xr3:uid="{D84FBA92-07C5-41FD-BBA2-2AADF245D1D6}" name="Valor" dataDxfId="1442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41" dataDxfId="1439" headerRowBorderDxfId="1440" tableBorderDxfId="1438" totalsRowBorderDxfId="143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36"/>
    <tableColumn id="2" xr3:uid="{CD77FB12-1DAA-4DAF-B42A-0357959803DD}" name="Cliente" dataDxfId="1435"/>
    <tableColumn id="3" xr3:uid="{5F4C4F5C-C920-452A-B2BA-592AD2C18723}" name="Forma de Pgto" dataDxfId="1434" dataCellStyle="Moeda"/>
    <tableColumn id="4" xr3:uid="{3930B2F0-6049-4E02-92B1-EC55A5330B2C}" name="Valor Venda" dataDxfId="1433" dataCellStyle="Porcentagem"/>
    <tableColumn id="5" xr3:uid="{82EBAE08-64CA-459E-9015-FA8F61210D87}" name="Entrada" dataDxfId="1432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31" dataDxfId="1429" headerRowBorderDxfId="1430" tableBorderDxfId="1428" totalsRowBorderDxfId="142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E0565617-EB8C-486F-838C-B370E84BC8A2}" name="OS" dataDxfId="1426"/>
    <tableColumn id="2" xr3:uid="{EA20833B-67D8-48B8-B6E4-54A10D0969E8}" name="Vendedor" dataDxfId="1425"/>
    <tableColumn id="3" xr3:uid="{8B1F8993-74A4-499F-AD5E-91A6051BA219}" name="CARNE" dataDxfId="1424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423" dataDxfId="1421" headerRowBorderDxfId="1422" tableBorderDxfId="1420" totalsRowBorderDxfId="141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418"/>
    <tableColumn id="2" xr3:uid="{FB461660-91D6-4E31-81FF-113A17320EED}" name="Cliente" dataDxfId="1417"/>
    <tableColumn id="3" xr3:uid="{0A47D0C3-375B-4E2D-B5E9-2048252BC0D3}" name="Forma de Pgto" dataDxfId="1416" dataCellStyle="Moeda"/>
    <tableColumn id="4" xr3:uid="{F9C62ED5-C18D-465D-B7E4-0729BD7B3A10}" name="Valor Parcela" dataDxfId="1415" dataCellStyle="Porcentagem"/>
    <tableColumn id="5" xr3:uid="{DD9D513B-1645-445F-83E9-DC54C163BD4E}" name="Nº Parcela" dataDxfId="1414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413" dataDxfId="1411" headerRowBorderDxfId="1412" tableBorderDxfId="1410" totalsRowBorderDxfId="1409">
  <autoFilter ref="K34:M41" xr:uid="{1B8643D4-6AC3-4029-882A-C62E9D7CB225}"/>
  <tableColumns count="3">
    <tableColumn id="1" xr3:uid="{D65B195F-C059-40E5-A4CA-FE91C5DB43DB}" name="OS" dataDxfId="1408"/>
    <tableColumn id="2" xr3:uid="{A2A023CF-C61D-419E-ABB0-2F9CEE35150B}" name="Parcelas" dataDxfId="1407"/>
    <tableColumn id="3" xr3:uid="{F7D650A1-7C3D-42D0-B133-EB49D396C64F}" name="Valor Total" dataDxfId="1406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405" dataDxfId="1403" headerRowBorderDxfId="1404" tableBorderDxfId="1402" totalsRowBorderDxfId="1401">
  <autoFilter ref="E5:I22" xr:uid="{00000000-0009-0000-0100-000014000000}"/>
  <sortState xmlns:xlrd2="http://schemas.microsoft.com/office/spreadsheetml/2017/richdata2" ref="E6:I22">
    <sortCondition descending="1" ref="E5:E22"/>
  </sortState>
  <tableColumns count="5">
    <tableColumn id="1" xr3:uid="{9D85D10C-C547-42BD-93D2-B3B7F8603FD8}" name="Nº Venda" dataDxfId="1400" dataCellStyle="Moeda"/>
    <tableColumn id="5" xr3:uid="{FF96847D-D5C5-4F73-905C-E549112972E1}" name="Cliente" dataDxfId="1399" dataCellStyle="Moeda"/>
    <tableColumn id="2" xr3:uid="{1B47815A-C2E2-4886-9A6F-B2A7307F901E}" name="Forma de Pgto" dataDxfId="1398" dataCellStyle="Moeda"/>
    <tableColumn id="3" xr3:uid="{FD86C99A-4E69-452A-8D71-B939B84F2B55}" name="Valor Venda" dataDxfId="1397" dataCellStyle="Porcentagem"/>
    <tableColumn id="4" xr3:uid="{49ECBAAC-14EE-43F3-BE6F-974EF5F3E156}" name="Entrada" dataDxfId="1396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95" dataDxfId="1393" headerRowBorderDxfId="1394" tableBorderDxfId="1392" totalsRowBorderDxfId="1391">
  <autoFilter ref="K5:M11" xr:uid="{00000000-0009-0000-0100-000015000000}"/>
  <tableColumns count="3">
    <tableColumn id="1" xr3:uid="{5236D397-E61A-4AA1-B99C-AD40093239F9}" name="Descrição" dataDxfId="1390"/>
    <tableColumn id="2" xr3:uid="{3341FC2A-819A-41AF-B8A9-B5A195B8D597}" name="Tipo de Pagto" dataDxfId="1389"/>
    <tableColumn id="3" xr3:uid="{D568CA16-B32B-4F86-9DE5-B8B3E9825745}" name="Valor" dataDxfId="1388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87" dataDxfId="1385" headerRowBorderDxfId="1386" tableBorderDxfId="1384" totalsRowBorderDxfId="138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82"/>
    <tableColumn id="2" xr3:uid="{DEEB020C-2BC4-4E77-9557-B0FDBCF683E9}" name="Cliente" dataDxfId="1381"/>
    <tableColumn id="3" xr3:uid="{FC27FDBE-5194-4E32-AFD1-DB754ECCEF38}" name="Forma de Pgto" dataDxfId="1380" dataCellStyle="Moeda"/>
    <tableColumn id="4" xr3:uid="{489A4CE9-C3F1-4322-9639-D01F0935FB0E}" name="Valor Venda" dataDxfId="1379" dataCellStyle="Porcentagem"/>
    <tableColumn id="5" xr3:uid="{07E5F22F-7782-466E-98DB-48416B35B9C4}" name="Entrada" dataDxfId="1378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77" dataDxfId="1375" headerRowBorderDxfId="1376" tableBorderDxfId="1374" totalsRowBorderDxfId="137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E4926A1A-00A9-4844-90B1-E36D53050FAD}" name="OS" dataDxfId="1372"/>
    <tableColumn id="2" xr3:uid="{CFC62C38-9887-48E6-A3B8-42586D1EC066}" name="Vendedor" dataDxfId="1371"/>
    <tableColumn id="3" xr3:uid="{32577275-2002-496E-8AD4-5FE489DBC179}" name="CARNE" dataDxfId="1370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69" dataDxfId="1367" headerRowBorderDxfId="1368" tableBorderDxfId="1366" totalsRowBorderDxfId="136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64"/>
    <tableColumn id="2" xr3:uid="{19438CD0-86D0-4CC4-9B41-5D756AC61E4D}" name="Cliente" dataDxfId="1363"/>
    <tableColumn id="3" xr3:uid="{59621200-4821-4583-9D35-A2EA6C27B52D}" name="Forma de Pgto" dataDxfId="1362" dataCellStyle="Moeda"/>
    <tableColumn id="4" xr3:uid="{35A817E7-6B21-48A7-863E-225DFEDD8B2A}" name="Valor Parcela" dataDxfId="1361" dataCellStyle="Porcentagem"/>
    <tableColumn id="5" xr3:uid="{77D80430-C5F8-4582-B3DF-9A9A9350F565}" name="Nº Parcela" dataDxfId="1360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59" dataDxfId="1357" headerRowBorderDxfId="1358" tableBorderDxfId="1356" totalsRowBorderDxfId="1355">
  <autoFilter ref="K34:M41" xr:uid="{1B8643D4-6AC3-4029-882A-C62E9D7CB225}"/>
  <tableColumns count="3">
    <tableColumn id="1" xr3:uid="{503F9F70-E540-4505-B65D-D233FCB88D5F}" name="OS" dataDxfId="1354"/>
    <tableColumn id="2" xr3:uid="{6A2B4927-D830-4C18-8831-6FE23BFAD877}" name="Parcelas" dataDxfId="1353"/>
    <tableColumn id="3" xr3:uid="{8E06E94A-FF62-4D13-8B11-C6CE2990FCDF}" name="Valor Total" dataDxfId="1352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51" dataDxfId="1349" headerRowBorderDxfId="1350" tableBorderDxfId="1348" totalsRowBorderDxfId="134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46" dataCellStyle="Moeda"/>
    <tableColumn id="5" xr3:uid="{00000000-0010-0000-0900-000005000000}" name="Cliente" dataDxfId="1345" dataCellStyle="Moeda"/>
    <tableColumn id="2" xr3:uid="{00000000-0010-0000-0900-000002000000}" name="Forma de Pgto" dataDxfId="1344" dataCellStyle="Moeda"/>
    <tableColumn id="3" xr3:uid="{00000000-0010-0000-0900-000003000000}" name="Valor Venda" dataDxfId="1343" dataCellStyle="Porcentagem"/>
    <tableColumn id="4" xr3:uid="{00000000-0010-0000-0900-000004000000}" name="Entrada" dataDxfId="1342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41" dataDxfId="1339" headerRowBorderDxfId="1340" tableBorderDxfId="1338" totalsRowBorderDxfId="1337">
  <autoFilter ref="K5:M11" xr:uid="{00000000-0009-0000-0100-000015000000}"/>
  <tableColumns count="3">
    <tableColumn id="1" xr3:uid="{00000000-0010-0000-0A00-000001000000}" name="Descrição" dataDxfId="1336"/>
    <tableColumn id="2" xr3:uid="{00000000-0010-0000-0A00-000002000000}" name="Tipo de Pagto" dataDxfId="1335"/>
    <tableColumn id="3" xr3:uid="{00000000-0010-0000-0A00-000003000000}" name="Valor" dataDxfId="1334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33" dataDxfId="1331" headerRowBorderDxfId="1332" tableBorderDxfId="1330" totalsRowBorderDxfId="132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28"/>
    <tableColumn id="2" xr3:uid="{00000000-0010-0000-0B00-000002000000}" name="Cliente" dataDxfId="1327"/>
    <tableColumn id="3" xr3:uid="{00000000-0010-0000-0B00-000003000000}" name="Forma de Pgto" dataDxfId="1326" dataCellStyle="Moeda"/>
    <tableColumn id="4" xr3:uid="{00000000-0010-0000-0B00-000004000000}" name="Valor Venda" dataDxfId="1325" dataCellStyle="Porcentagem"/>
    <tableColumn id="5" xr3:uid="{00000000-0010-0000-0B00-000005000000}" name="Entrada" dataDxfId="1324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323" dataDxfId="1321" headerRowBorderDxfId="1322" tableBorderDxfId="1320" totalsRowBorderDxfId="131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E5EB8AC8-7F8E-49D1-A903-14124A5BA1B1}" name="OS" dataDxfId="1318"/>
    <tableColumn id="2" xr3:uid="{E1794679-294A-42ED-9D8F-4C0874170BFA}" name="Vendedor" dataDxfId="1317"/>
    <tableColumn id="3" xr3:uid="{CB411C23-941D-4548-984D-68460932D683}" name="CARNE" dataDxfId="1316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315" dataDxfId="1313" headerRowBorderDxfId="1314" tableBorderDxfId="1312" totalsRowBorderDxfId="1311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9EF94E6D-5A9B-4566-BFFC-98A6514BD048}" name="OS" dataDxfId="1310"/>
    <tableColumn id="2" xr3:uid="{430FE27E-32BC-43B0-BB6E-CCBAB36B2A5A}" name="Cliente" dataDxfId="1309"/>
    <tableColumn id="3" xr3:uid="{568CECCF-BE0A-4266-A7C7-9359F722EA0F}" name="Forma de Pgto" dataDxfId="1308" dataCellStyle="Moeda"/>
    <tableColumn id="4" xr3:uid="{9CF4291A-8808-43DB-9F83-A7EB463C5F4A}" name="Valor Parcela" dataDxfId="1307" dataCellStyle="Porcentagem"/>
    <tableColumn id="5" xr3:uid="{736EA743-97FA-4800-BEDD-5C07EEB144A8}" name="Nº Parcela" dataDxfId="1306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305" dataDxfId="1303" headerRowBorderDxfId="1304" tableBorderDxfId="1302" totalsRowBorderDxfId="1301">
  <autoFilter ref="K34:M41" xr:uid="{1B8643D4-6AC3-4029-882A-C62E9D7CB225}"/>
  <sortState xmlns:xlrd2="http://schemas.microsoft.com/office/spreadsheetml/2017/richdata2" ref="K35:M41">
    <sortCondition ref="K34:K41"/>
  </sortState>
  <tableColumns count="3">
    <tableColumn id="1" xr3:uid="{132FEC50-51B3-4AAA-BF48-63FA39ED861C}" name="OS" dataDxfId="1300"/>
    <tableColumn id="2" xr3:uid="{11276640-1C63-48D7-BE0B-1FE7C736A1A8}" name="Parcelas" dataDxfId="1299"/>
    <tableColumn id="3" xr3:uid="{96591591-9F74-40A6-B0B9-BA6D2106107F}" name="Valor Total" dataDxfId="1298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97" dataDxfId="1295" headerRowBorderDxfId="1296" tableBorderDxfId="1294" totalsRowBorderDxfId="129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92" dataCellStyle="Moeda"/>
    <tableColumn id="5" xr3:uid="{795F9F6D-AAE5-4C61-A646-82BF506C503E}" name="Cliente" dataDxfId="1291" dataCellStyle="Moeda"/>
    <tableColumn id="2" xr3:uid="{DD13626B-6361-410E-BFB7-9E75436163A4}" name="Forma de Pgto" dataDxfId="1290" dataCellStyle="Moeda"/>
    <tableColumn id="3" xr3:uid="{8939280F-F6DC-4F66-ADDF-59F6A387460C}" name="Valor Venda" dataDxfId="1289" dataCellStyle="Porcentagem"/>
    <tableColumn id="4" xr3:uid="{FFC83B9E-825A-4058-BFEA-DA64D7159065}" name="Entrada" dataDxfId="1288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87" dataDxfId="1285" headerRowBorderDxfId="1286" tableBorderDxfId="1284" totalsRowBorderDxfId="1283">
  <autoFilter ref="K5:M11" xr:uid="{00000000-0009-0000-0100-000015000000}"/>
  <tableColumns count="3">
    <tableColumn id="1" xr3:uid="{9309A091-2326-4B68-B8C9-B31CF2D72EAF}" name="Descrição" dataDxfId="1282"/>
    <tableColumn id="2" xr3:uid="{910D89CE-506B-440F-8EB2-31633D7CAD51}" name="Tipo de Pagto" dataDxfId="1281"/>
    <tableColumn id="3" xr3:uid="{7155C391-52F1-4F4A-84B1-7BBC44A35A99}" name="Valor" dataDxfId="1280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79" dataDxfId="1277" headerRowBorderDxfId="1278" tableBorderDxfId="1276" totalsRowBorderDxfId="127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74"/>
    <tableColumn id="2" xr3:uid="{75B601B3-9668-4B1A-ADF2-17DA487A3413}" name="Cliente" dataDxfId="1273"/>
    <tableColumn id="3" xr3:uid="{64F47935-52AF-4AE3-9262-06D7472567D7}" name="Forma de Pgto" dataDxfId="1272" dataCellStyle="Moeda"/>
    <tableColumn id="4" xr3:uid="{9257AA0D-34DE-4B38-8406-BC1F561A53B3}" name="Valor Venda" dataDxfId="1271" dataCellStyle="Porcentagem"/>
    <tableColumn id="5" xr3:uid="{4C98958F-FB27-4968-81B6-D7CC6BBD2DAE}" name="Entrada" dataDxfId="1270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69" dataDxfId="1267" headerRowBorderDxfId="1268" tableBorderDxfId="1266" totalsRowBorderDxfId="126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64"/>
    <tableColumn id="2" xr3:uid="{AEB024E2-EB15-40A6-B65B-468339937BD0}" name="Vendedor" dataDxfId="1263"/>
    <tableColumn id="3" xr3:uid="{ACDDDA2A-4116-4E25-B799-0071372A8FAA}" name="CARNE" dataDxfId="1262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261" dataDxfId="1259" headerRowBorderDxfId="1260" tableBorderDxfId="1258" totalsRowBorderDxfId="125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56"/>
    <tableColumn id="2" xr3:uid="{A06C5B3A-A28C-4563-87C4-B63635D6E7B9}" name="Cliente" dataDxfId="1255"/>
    <tableColumn id="3" xr3:uid="{4AC120F2-6F4A-41F2-87D2-680E8D6F8D96}" name="Forma de Pgto" dataDxfId="1254" dataCellStyle="Moeda"/>
    <tableColumn id="4" xr3:uid="{17DB2EA9-C13D-4AEB-AB97-B4C907D16420}" name="Valor Parcela" dataDxfId="1253" dataCellStyle="Porcentagem"/>
    <tableColumn id="5" xr3:uid="{F6E09F06-2F23-4822-A9B4-D8898604A1E0}" name="Nº Parcela" dataDxfId="1252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51" dataDxfId="1249" headerRowBorderDxfId="1250" tableBorderDxfId="1248" totalsRowBorderDxfId="1247">
  <autoFilter ref="K34:M41" xr:uid="{1B8643D4-6AC3-4029-882A-C62E9D7CB225}"/>
  <tableColumns count="3">
    <tableColumn id="1" xr3:uid="{D0DE8F47-9BDA-4E4F-92E6-E2404F920F1B}" name="OS" dataDxfId="1246"/>
    <tableColumn id="2" xr3:uid="{43AD47D8-F738-4D39-8B0B-E0AC217D9D32}" name="Parcelas" dataDxfId="1245"/>
    <tableColumn id="3" xr3:uid="{024ED2FF-C4EC-44DC-9129-9BE8032DC4A5}" name="Valor Total" dataDxfId="1244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43" dataDxfId="1241" headerRowBorderDxfId="1242" tableBorderDxfId="1240" totalsRowBorderDxfId="12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38" dataCellStyle="Moeda"/>
    <tableColumn id="5" xr3:uid="{C13AA79A-76C7-4954-B055-3EC7A6A9008A}" name="Cliente" dataDxfId="1237" dataCellStyle="Moeda"/>
    <tableColumn id="2" xr3:uid="{56D92948-0431-4E11-AC7A-A6D6B6D3D15E}" name="Forma de Pgto" dataDxfId="1236" dataCellStyle="Moeda"/>
    <tableColumn id="3" xr3:uid="{3348DA9C-6AA9-49E4-8450-E8BC22BC5F6C}" name="Valor Venda" dataDxfId="1235" dataCellStyle="Porcentagem"/>
    <tableColumn id="4" xr3:uid="{A03B4BE2-2B4F-4512-98ED-45C3754F4D2A}" name="Entrada" dataDxfId="1234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33" dataDxfId="1231" headerRowBorderDxfId="1232" tableBorderDxfId="1230" totalsRowBorderDxfId="1229">
  <autoFilter ref="K5:M11" xr:uid="{00000000-0009-0000-0100-000015000000}"/>
  <tableColumns count="3">
    <tableColumn id="1" xr3:uid="{2700D0CD-8906-41BB-B51F-AAECD67A05FE}" name="Descrição" dataDxfId="1228"/>
    <tableColumn id="2" xr3:uid="{00E5FAC2-C7E2-44A6-AA64-460782F41E47}" name="Tipo de Pagto" dataDxfId="1227"/>
    <tableColumn id="3" xr3:uid="{70D30678-03EC-4DC1-BB28-EBD756D1976D}" name="Valor" dataDxfId="1226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4" totalsRowShown="0" headerRowDxfId="1225" dataDxfId="1223" headerRowBorderDxfId="1224" tableBorderDxfId="1222" totalsRowBorderDxfId="1221">
  <autoFilter ref="E25:I34" xr:uid="{00000000-0009-0000-0100-000016000000}"/>
  <sortState xmlns:xlrd2="http://schemas.microsoft.com/office/spreadsheetml/2017/richdata2" ref="E26:I34">
    <sortCondition ref="E25:E34"/>
  </sortState>
  <tableColumns count="5">
    <tableColumn id="1" xr3:uid="{8DF2F9B5-4746-4A22-8492-75E9333898FF}" name="Nº Venda" dataDxfId="1220"/>
    <tableColumn id="2" xr3:uid="{59310BF7-C6CA-49AF-8D7C-32023868A553}" name="Cliente" dataDxfId="1219"/>
    <tableColumn id="3" xr3:uid="{C13BE163-BA03-41E0-A121-27164C58ABA3}" name="Forma de Pgto" dataDxfId="1218" dataCellStyle="Moeda"/>
    <tableColumn id="4" xr3:uid="{E9797482-8A01-4C8B-8B66-47DE3D38D78F}" name="Valor Venda" dataDxfId="1217" dataCellStyle="Porcentagem"/>
    <tableColumn id="5" xr3:uid="{864D3F67-D199-48BA-8E16-3EFBAC4AF8A2}" name="Entrada" dataDxfId="1216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215" dataDxfId="1213" headerRowBorderDxfId="1214" tableBorderDxfId="1212" totalsRowBorderDxfId="121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92200504-6651-4517-B155-4C75687BBC1E}" name="OS" dataDxfId="1210"/>
    <tableColumn id="2" xr3:uid="{BE1934F5-5D06-41D6-9394-C4D383C8CD33}" name="Vendedor" dataDxfId="1209"/>
    <tableColumn id="3" xr3:uid="{F504E9B2-856C-4C10-AA72-D7A7B035B330}" name="CARNE" dataDxfId="1208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7:I41" totalsRowShown="0" headerRowDxfId="1207" dataDxfId="1205" headerRowBorderDxfId="1206" tableBorderDxfId="1204" totalsRowBorderDxfId="1203">
  <autoFilter ref="E37:I41" xr:uid="{B9E2F984-8588-4F2C-9FB9-680284154679}"/>
  <sortState xmlns:xlrd2="http://schemas.microsoft.com/office/spreadsheetml/2017/richdata2" ref="E38:I41">
    <sortCondition ref="E25:E34"/>
  </sortState>
  <tableColumns count="5">
    <tableColumn id="1" xr3:uid="{F3980081-0D4B-4D73-936C-96EC2D376955}" name="OS" dataDxfId="1202"/>
    <tableColumn id="2" xr3:uid="{95B09C40-3752-47D7-9085-F5B42BC487DA}" name="Cliente" dataDxfId="1201"/>
    <tableColumn id="3" xr3:uid="{1A0B311C-327A-4C44-9D04-81730B41B9A2}" name="Forma de Pgto" dataDxfId="1200" dataCellStyle="Moeda"/>
    <tableColumn id="4" xr3:uid="{9A802666-F9A1-4EB6-824C-ECF60066044F}" name="Valor Parcela" dataDxfId="1199" dataCellStyle="Porcentagem"/>
    <tableColumn id="5" xr3:uid="{1CC0AF26-B599-4D4F-8BD5-BBE76DBCE085}" name="Nº Parcela" dataDxfId="1198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97" dataDxfId="1195" headerRowBorderDxfId="1196" tableBorderDxfId="1194" totalsRowBorderDxfId="1193">
  <autoFilter ref="K34:M41" xr:uid="{1B8643D4-6AC3-4029-882A-C62E9D7CB225}"/>
  <tableColumns count="3">
    <tableColumn id="1" xr3:uid="{D712257D-E310-4A34-972E-E8E3502C0E07}" name="OS" dataDxfId="1192"/>
    <tableColumn id="2" xr3:uid="{DE78D123-6817-4646-8C08-920B2F11524F}" name="Parcelas" dataDxfId="1191"/>
    <tableColumn id="3" xr3:uid="{5BFF5A3E-02FE-410E-B1DB-45BB5A31FC42}" name="Valor Total" dataDxfId="1190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89" dataDxfId="1187" headerRowBorderDxfId="1188" tableBorderDxfId="1186" totalsRowBorderDxfId="118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84" dataCellStyle="Moeda"/>
    <tableColumn id="5" xr3:uid="{A57F8BDB-02F9-493C-AD6D-F47611C369D5}" name="Cliente" dataDxfId="1183" dataCellStyle="Moeda"/>
    <tableColumn id="2" xr3:uid="{3BF4EA26-026F-42E1-9B28-3FCC68B54E9F}" name="Forma de Pgto" dataDxfId="1182" dataCellStyle="Moeda"/>
    <tableColumn id="3" xr3:uid="{FD063076-8462-4774-B716-34AAD1738449}" name="Valor Venda" dataDxfId="1181" dataCellStyle="Porcentagem"/>
    <tableColumn id="4" xr3:uid="{690445E0-65B1-450A-A6D3-179070107086}" name="Entrada" dataDxfId="1180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79" dataDxfId="1177" headerRowBorderDxfId="1178" tableBorderDxfId="1176" totalsRowBorderDxfId="1175">
  <autoFilter ref="K5:M11" xr:uid="{00000000-0009-0000-0100-000015000000}"/>
  <tableColumns count="3">
    <tableColumn id="1" xr3:uid="{5D510C76-887A-4F0A-A2F3-BD55732E9E85}" name="Descrição" dataDxfId="1174"/>
    <tableColumn id="2" xr3:uid="{F6C1F4A7-28F4-48F8-905E-708FA62EB574}" name="Tipo de Pagto" dataDxfId="1173"/>
    <tableColumn id="3" xr3:uid="{E62B0002-F6CD-4351-A9EA-673FC7C97B03}" name="Valor" dataDxfId="1172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71" dataDxfId="1169" headerRowBorderDxfId="1170" tableBorderDxfId="1168" totalsRowBorderDxfId="1167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66"/>
    <tableColumn id="2" xr3:uid="{822B50C3-46B7-46F0-8829-5293CCAFB21E}" name="Cliente" dataDxfId="1165"/>
    <tableColumn id="3" xr3:uid="{F2A36AB3-30D6-4C43-A466-18FF147EE075}" name="Forma de Pgto" dataDxfId="1164" dataCellStyle="Moeda"/>
    <tableColumn id="4" xr3:uid="{AD829CF8-2271-44F1-A1F1-4928D83ED658}" name="Valor Venda" dataDxfId="1163" dataCellStyle="Porcentagem"/>
    <tableColumn id="5" xr3:uid="{7973C843-3740-4AE2-931D-89DE845BA145}" name="Entrada" dataDxfId="1162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61" dataDxfId="1159" headerRowBorderDxfId="1160" tableBorderDxfId="1158" totalsRowBorderDxfId="1157">
  <autoFilter ref="K14:M31" xr:uid="{C83FE64B-E221-4DAA-89EA-5307A7BC98B3}"/>
  <tableColumns count="3">
    <tableColumn id="1" xr3:uid="{404BEA27-9F48-40AC-AF84-177E7CA2ADEC}" name="OS" dataDxfId="1156"/>
    <tableColumn id="2" xr3:uid="{BC07784A-25E9-4C57-B0FF-1E3D183BCD37}" name="Vendedor" dataDxfId="1155"/>
    <tableColumn id="3" xr3:uid="{EFFF7860-5B35-466B-BA53-4485DC02FB15}" name="CARNE" dataDxfId="1154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53" dataDxfId="1151" headerRowBorderDxfId="1152" tableBorderDxfId="1150" totalsRowBorderDxfId="1149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48"/>
    <tableColumn id="2" xr3:uid="{A8D4686B-F05E-4D96-BDB9-FD354C9E28B8}" name="Cliente" dataDxfId="1147"/>
    <tableColumn id="3" xr3:uid="{0FB871EC-4505-4E7C-A162-0EFDB16AB8E5}" name="Forma de Pgto" dataDxfId="1146" dataCellStyle="Moeda"/>
    <tableColumn id="4" xr3:uid="{41436228-3E61-4F7F-80EF-627B1794150B}" name="Valor Parcela" dataDxfId="1145" dataCellStyle="Porcentagem"/>
    <tableColumn id="5" xr3:uid="{9C580DC7-08E3-4AD7-B73C-C1AA4298633B}" name="Nº Parcela" dataDxfId="1144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43" dataDxfId="1141" headerRowBorderDxfId="1142" tableBorderDxfId="1140" totalsRowBorderDxfId="1139">
  <autoFilter ref="K34:M41" xr:uid="{1B8643D4-6AC3-4029-882A-C62E9D7CB225}"/>
  <tableColumns count="3">
    <tableColumn id="1" xr3:uid="{6E774D52-7DFE-4ED1-9F2F-47B5899CBAC1}" name="OS" dataDxfId="1138"/>
    <tableColumn id="2" xr3:uid="{39CE62CA-537C-4DF4-B8D5-281ED0EE57C3}" name="Parcelas" dataDxfId="1137"/>
    <tableColumn id="3" xr3:uid="{830AFF05-9BCF-488F-97F3-8D4378DE4DCB}" name="Valor Total" dataDxfId="1136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35" dataDxfId="1133" headerRowBorderDxfId="1134" tableBorderDxfId="1132" totalsRowBorderDxfId="113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30" dataCellStyle="Moeda"/>
    <tableColumn id="5" xr3:uid="{CE0B3E90-9420-4A96-9195-72088311874E}" name="Cliente" dataDxfId="1129" dataCellStyle="Moeda"/>
    <tableColumn id="2" xr3:uid="{3EF1B45D-588D-4066-8ACF-697863B5F984}" name="Forma de Pgto" dataDxfId="1128" dataCellStyle="Moeda"/>
    <tableColumn id="3" xr3:uid="{9ADBAC7B-B04C-4E2B-9C83-E18200698CCE}" name="Valor Venda" dataDxfId="1127" dataCellStyle="Porcentagem"/>
    <tableColumn id="4" xr3:uid="{16823673-1F5B-4F46-A676-8665CF4D02BA}" name="Entrada" dataDxfId="1126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25" dataDxfId="1123" headerRowBorderDxfId="1124" tableBorderDxfId="1122" totalsRowBorderDxfId="1121">
  <autoFilter ref="K5:M11" xr:uid="{00000000-0009-0000-0100-000015000000}"/>
  <tableColumns count="3">
    <tableColumn id="1" xr3:uid="{A02811B4-F6FA-4EDA-94FE-5EDFE6293B48}" name="Descrição" dataDxfId="1120"/>
    <tableColumn id="2" xr3:uid="{39EAD4CE-DDFA-4948-8B1E-10589BABDD84}" name="Tipo de Pagto" dataDxfId="1119"/>
    <tableColumn id="3" xr3:uid="{30C3BD81-38C9-4C67-BF45-044DFDDD7A0B}" name="Valor" dataDxfId="1118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117" dataDxfId="1115" headerRowBorderDxfId="1116" tableBorderDxfId="1114" totalsRowBorderDxfId="111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112"/>
    <tableColumn id="2" xr3:uid="{BE6E3444-490A-4F75-BE63-234EB84D04F7}" name="Cliente" dataDxfId="1111"/>
    <tableColumn id="3" xr3:uid="{868472E6-6C45-4AEC-9672-E559CFA15EA7}" name="Forma de Pgto" dataDxfId="1110" dataCellStyle="Moeda"/>
    <tableColumn id="4" xr3:uid="{DB2D0AA9-9B1E-4A35-B9B2-8B1052EAD782}" name="Valor Venda" dataDxfId="1109" dataCellStyle="Porcentagem"/>
    <tableColumn id="5" xr3:uid="{C23CEEDF-415E-4EFC-ACF7-2661157A84C3}" name="Entrada" dataDxfId="1108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107" dataDxfId="1105" headerRowBorderDxfId="1106" tableBorderDxfId="1104" totalsRowBorderDxfId="110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102"/>
    <tableColumn id="2" xr3:uid="{13D709D4-8F81-4D58-95F2-22F1C686CB18}" name="Vendedor" dataDxfId="1101"/>
    <tableColumn id="3" xr3:uid="{92130A71-CEC8-4371-B6C9-DA29C0189A09}" name="CARNE" dataDxfId="1100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99" dataDxfId="1097" headerRowBorderDxfId="1098" tableBorderDxfId="1096" totalsRowBorderDxfId="109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94"/>
    <tableColumn id="2" xr3:uid="{7652DD36-D535-400C-856B-02CB62C18176}" name="Cliente" dataDxfId="1093"/>
    <tableColumn id="3" xr3:uid="{129618E1-FDB4-497A-9DB0-29AC7143AF10}" name="Forma de Pgto" dataDxfId="1092" dataCellStyle="Moeda"/>
    <tableColumn id="4" xr3:uid="{EC69F906-8001-4D12-8ED6-D597AE23E936}" name="Valor Parcela" dataDxfId="1091" dataCellStyle="Porcentagem"/>
    <tableColumn id="5" xr3:uid="{65040BF1-55E0-4DD6-926F-3F0324D47077}" name="Nº Parcela" dataDxfId="1090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89" dataDxfId="1087" headerRowBorderDxfId="1088" tableBorderDxfId="1086" totalsRowBorderDxfId="1085">
  <autoFilter ref="K34:M41" xr:uid="{1B8643D4-6AC3-4029-882A-C62E9D7CB225}"/>
  <tableColumns count="3">
    <tableColumn id="1" xr3:uid="{710179D9-1888-45A0-96B5-C6E1151FFFF0}" name="OS" dataDxfId="1084"/>
    <tableColumn id="2" xr3:uid="{D9D130F4-6D87-4655-90D8-AF3976107C2A}" name="Parcelas" dataDxfId="1083"/>
    <tableColumn id="3" xr3:uid="{07DCBA20-7E86-4F99-AED4-2BDCD854B71C}" name="Valor Total" dataDxfId="108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81" dataDxfId="1079" headerRowBorderDxfId="1080" tableBorderDxfId="1078" totalsRowBorderDxfId="107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76" dataCellStyle="Moeda"/>
    <tableColumn id="5" xr3:uid="{C388448A-992D-4C2D-8BB2-14D587C7E260}" name="Cliente" dataDxfId="1075" dataCellStyle="Moeda"/>
    <tableColumn id="2" xr3:uid="{C66BE185-63F5-4991-91CC-2661F40F891F}" name="Forma de Pgto" dataDxfId="1074" dataCellStyle="Moeda"/>
    <tableColumn id="3" xr3:uid="{C86C165C-F04B-4F8A-9769-AE38C03F025E}" name="Valor Venda" dataDxfId="1073" dataCellStyle="Porcentagem"/>
    <tableColumn id="4" xr3:uid="{C11C99C9-E646-4417-8698-61AFF55AB567}" name="Entrada" dataDxfId="107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71" dataDxfId="1069" headerRowBorderDxfId="1070" tableBorderDxfId="1068" totalsRowBorderDxfId="1067">
  <autoFilter ref="K5:M11" xr:uid="{00000000-0009-0000-0100-000015000000}"/>
  <tableColumns count="3">
    <tableColumn id="1" xr3:uid="{696BC9EF-69BB-4D0D-96DF-B836B5771C08}" name="Descrição" dataDxfId="1066"/>
    <tableColumn id="2" xr3:uid="{4F12E940-09E4-4E51-A2A0-CEF5523233E2}" name="Tipo de Pagto" dataDxfId="1065"/>
    <tableColumn id="3" xr3:uid="{329E2ABB-99D4-47D1-8CEB-C3F4DE69A1C8}" name="Valor" dataDxfId="106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63" dataDxfId="1061" headerRowBorderDxfId="1062" tableBorderDxfId="1060" totalsRowBorderDxfId="105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58"/>
    <tableColumn id="2" xr3:uid="{4745164B-5E29-4C65-87CA-C8C1B31B8272}" name="Cliente" dataDxfId="1057"/>
    <tableColumn id="3" xr3:uid="{69D7D490-36CA-4F69-BF76-2ADB810B4F37}" name="Forma de Pgto" dataDxfId="1056" dataCellStyle="Moeda"/>
    <tableColumn id="4" xr3:uid="{9B6B365B-42F7-499F-B705-B8F5196F8192}" name="Valor Venda" dataDxfId="1055" dataCellStyle="Porcentagem"/>
    <tableColumn id="5" xr3:uid="{7C88B9A2-2920-4AD8-AC1F-7417F3FA8282}" name="Entrada" dataDxfId="105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53" dataDxfId="1051" headerRowBorderDxfId="1052" tableBorderDxfId="1050" totalsRowBorderDxfId="104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740FA63-223C-47B7-8842-178B003DB4BC}" name="OS" dataDxfId="1048"/>
    <tableColumn id="2" xr3:uid="{5CCC3C75-C80E-44BB-BC37-80F487481DDA}" name="Vendedor" dataDxfId="1047"/>
    <tableColumn id="3" xr3:uid="{585175B8-B982-429E-9344-163CE2687302}" name="CARNE" dataDxfId="104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45" dataDxfId="1043" headerRowBorderDxfId="1044" tableBorderDxfId="1042" totalsRowBorderDxfId="104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40"/>
    <tableColumn id="2" xr3:uid="{2540FF22-68AB-4A04-B72D-DDBC8B064A8D}" name="Cliente" dataDxfId="1039"/>
    <tableColumn id="3" xr3:uid="{A7CB1680-9636-42C6-8AD9-F68C54BBCE0A}" name="Forma de Pgto" dataDxfId="1038" dataCellStyle="Moeda"/>
    <tableColumn id="4" xr3:uid="{727C37A8-450C-4D57-A2C9-396F29733C0A}" name="Valor Parcela" dataDxfId="1037" dataCellStyle="Porcentagem"/>
    <tableColumn id="5" xr3:uid="{4B27DCBF-BD8C-46A2-BC12-DE369C458E8A}" name="Nº Parcela" dataDxfId="103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35" dataDxfId="1033" headerRowBorderDxfId="1034" tableBorderDxfId="1032" totalsRowBorderDxfId="1031">
  <autoFilter ref="K34:M41" xr:uid="{1B8643D4-6AC3-4029-882A-C62E9D7CB225}"/>
  <tableColumns count="3">
    <tableColumn id="1" xr3:uid="{60FAE849-4EC1-49E6-990F-8A43377EE6C3}" name="OS" dataDxfId="1030"/>
    <tableColumn id="2" xr3:uid="{B3127003-34D7-49FE-AFFC-7FA256F8BC3F}" name="Parcelas" dataDxfId="1029"/>
    <tableColumn id="3" xr3:uid="{412AC98E-5FB9-4C3C-9FBF-2EBE1631A397}" name="Valor Total" dataDxfId="1028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27" dataDxfId="1025" headerRowBorderDxfId="1026" tableBorderDxfId="1024" totalsRowBorderDxfId="102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22" dataCellStyle="Moeda"/>
    <tableColumn id="5" xr3:uid="{A1AF61B3-EFAB-450A-92B2-38E357233CD5}" name="Coluna1" dataDxfId="1021" dataCellStyle="Moeda"/>
    <tableColumn id="2" xr3:uid="{DF277353-579D-439F-85C3-76DEACDE7A39}" name="Forma de Pgto" dataDxfId="1020" dataCellStyle="Moeda"/>
    <tableColumn id="3" xr3:uid="{7164D8F5-C0CB-47F7-BD16-B590E7D85EDB}" name="Valor Venda" dataDxfId="1019" dataCellStyle="Porcentagem"/>
    <tableColumn id="4" xr3:uid="{065B051D-7958-4E7D-972D-DDB0E8E7D052}" name="Entrada" dataDxfId="1018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1017" dataDxfId="1015" headerRowBorderDxfId="1016" tableBorderDxfId="1014" totalsRowBorderDxfId="1013">
  <autoFilter ref="K5:M11" xr:uid="{00000000-0009-0000-0100-000015000000}"/>
  <tableColumns count="3">
    <tableColumn id="1" xr3:uid="{865498B1-F05E-46C9-B6C1-CCD85D9306C6}" name="Descrição" dataDxfId="1012"/>
    <tableColumn id="2" xr3:uid="{37F7AC6A-A7CD-43FB-89B1-5E904BAC1EBD}" name="Tipo de Pagto" dataDxfId="1011"/>
    <tableColumn id="3" xr3:uid="{A014E45A-B38A-47C2-A582-411CA2B495EE}" name="Valor" dataDxfId="1010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4" totalsRowShown="0" headerRowDxfId="1009" dataDxfId="1007" headerRowBorderDxfId="1008" tableBorderDxfId="1006" totalsRowBorderDxfId="1005">
  <autoFilter ref="E25:I34" xr:uid="{00000000-0009-0000-0100-000016000000}"/>
  <sortState xmlns:xlrd2="http://schemas.microsoft.com/office/spreadsheetml/2017/richdata2" ref="E26:I34">
    <sortCondition ref="E25:E34"/>
  </sortState>
  <tableColumns count="5">
    <tableColumn id="1" xr3:uid="{CC487CAE-CC27-411A-A094-B78D46045632}" name="Nº Venda" dataDxfId="1004"/>
    <tableColumn id="2" xr3:uid="{BC7B7FC1-CF4C-42C2-ABD3-DFEEA234B02B}" name="Cliente" dataDxfId="1003"/>
    <tableColumn id="3" xr3:uid="{67F17557-E38E-4865-93F5-DCEF4A7ED2C6}" name="Forma de Pgto" dataDxfId="1002" dataCellStyle="Moeda"/>
    <tableColumn id="4" xr3:uid="{D2C10329-9C1A-4D0D-BC74-3A320E9B6593}" name="Valor Venda" dataDxfId="1001" dataCellStyle="Porcentagem"/>
    <tableColumn id="5" xr3:uid="{82810E21-D152-4A22-94D5-0A28C60F4849}" name="Entrada" dataDxfId="1000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99" dataDxfId="997" headerRowBorderDxfId="998" tableBorderDxfId="996" totalsRowBorderDxfId="99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7A4CC637-3546-4D1B-9D86-75C6034079BF}" name="OS" dataDxfId="994"/>
    <tableColumn id="2" xr3:uid="{CEB52B1C-2642-45A1-A1EB-26029A9B5402}" name="Vendedor" dataDxfId="993"/>
    <tableColumn id="3" xr3:uid="{8C88CFEB-7155-49BD-9D63-1FCC9096735E}" name="CARNE" dataDxfId="992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7:I44" totalsRowShown="0" headerRowDxfId="991" dataDxfId="989" headerRowBorderDxfId="990" tableBorderDxfId="988" totalsRowBorderDxfId="987">
  <autoFilter ref="E37:I44" xr:uid="{B9E2F984-8588-4F2C-9FB9-680284154679}"/>
  <sortState xmlns:xlrd2="http://schemas.microsoft.com/office/spreadsheetml/2017/richdata2" ref="E38:I43">
    <sortCondition ref="E25:E34"/>
  </sortState>
  <tableColumns count="5">
    <tableColumn id="1" xr3:uid="{1DB4C12B-EA3D-46AB-A74D-0E714AC049CD}" name="OS" dataDxfId="986"/>
    <tableColumn id="2" xr3:uid="{7C3577CA-FC44-4DC9-9002-D4EA74DFF73F}" name="Cliente" dataDxfId="985"/>
    <tableColumn id="3" xr3:uid="{77D25058-5D06-4E37-8746-BF184DDEEA81}" name="Forma de Pgto" dataDxfId="984" dataCellStyle="Moeda"/>
    <tableColumn id="4" xr3:uid="{5EDAFC3F-F478-449C-990C-45300A2C66DF}" name="Valor Parcela" dataDxfId="983" dataCellStyle="Porcentagem"/>
    <tableColumn id="5" xr3:uid="{5DBCC805-C046-4526-8886-13334D431CB2}" name="Nº Parcela" dataDxfId="982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81" dataDxfId="979" headerRowBorderDxfId="980" tableBorderDxfId="978" totalsRowBorderDxfId="977">
  <autoFilter ref="K34:M41" xr:uid="{1B8643D4-6AC3-4029-882A-C62E9D7CB225}"/>
  <tableColumns count="3">
    <tableColumn id="1" xr3:uid="{FDFEB034-D746-488E-9611-5C5421DF9812}" name="OS" dataDxfId="976"/>
    <tableColumn id="2" xr3:uid="{AD1C8A9C-91DA-4D2C-A438-9B8648A5521B}" name="Parcelas" dataDxfId="975"/>
    <tableColumn id="3" xr3:uid="{577D3B3F-3A18-4FE3-8E0F-E82C9012821F}" name="Valor Total" dataDxfId="974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73" dataDxfId="971" headerRowBorderDxfId="972" tableBorderDxfId="970" totalsRowBorderDxfId="9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68" dataCellStyle="Moeda"/>
    <tableColumn id="5" xr3:uid="{53B9FE46-E769-466F-9757-A5C752203582}" name="Cliente" dataDxfId="967" dataCellStyle="Moeda"/>
    <tableColumn id="2" xr3:uid="{9AFD5C78-132A-4E21-96EC-75882307A334}" name="Forma de Pgto" dataDxfId="966" dataCellStyle="Moeda"/>
    <tableColumn id="3" xr3:uid="{0B7791DE-BC7F-4EA7-87CC-E8588E2F6D00}" name="Valor Venda" dataDxfId="965" dataCellStyle="Porcentagem"/>
    <tableColumn id="4" xr3:uid="{EDACC2B7-28DE-40D1-BC9D-356B5D64934D}" name="Entrada" dataDxfId="964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63" dataDxfId="961" headerRowBorderDxfId="962" tableBorderDxfId="960" totalsRowBorderDxfId="959">
  <autoFilter ref="K5:M11" xr:uid="{00000000-0009-0000-0100-000015000000}"/>
  <tableColumns count="3">
    <tableColumn id="1" xr3:uid="{F638F61A-E4B9-4300-BD8D-C0A6A3D7A8E2}" name="Descrição" dataDxfId="958"/>
    <tableColumn id="2" xr3:uid="{9DC04330-37E5-4813-8F2D-4BAA554527A5}" name="Tipo de Pagto" dataDxfId="957"/>
    <tableColumn id="3" xr3:uid="{799A991A-3D2C-4EC1-A2D8-A1F3023DD9AF}" name="Valor" dataDxfId="956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55" dataDxfId="953" headerRowBorderDxfId="954" tableBorderDxfId="952" totalsRowBorderDxfId="9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50"/>
    <tableColumn id="2" xr3:uid="{2FD43CA2-90CA-449B-821F-205F1748177C}" name="Cliente" dataDxfId="949"/>
    <tableColumn id="3" xr3:uid="{A5640B64-FD50-49A5-B305-E61D9280F57A}" name="Forma de Pgto" dataDxfId="948" dataCellStyle="Moeda"/>
    <tableColumn id="4" xr3:uid="{26AD2EE8-2400-4B07-A340-99B1BA546B01}" name="Valor Venda" dataDxfId="947" dataCellStyle="Porcentagem"/>
    <tableColumn id="5" xr3:uid="{DF786930-B464-48C0-92C5-A18D129572D3}" name="Entrada" dataDxfId="946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45" dataDxfId="943" headerRowBorderDxfId="944" tableBorderDxfId="942" totalsRowBorderDxfId="94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686E8A3B-2CC1-443E-B3F0-07F1D6AF8C19}" name="OS" dataDxfId="940"/>
    <tableColumn id="2" xr3:uid="{1250D1EA-82EB-4EB4-AEDB-99799165C996}" name="Vendedor" dataDxfId="939"/>
    <tableColumn id="3" xr3:uid="{F6A6C0FE-3106-4929-AC63-C2A418BAD9A1}" name="CARNE" dataDxfId="938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37" dataDxfId="935" headerRowBorderDxfId="936" tableBorderDxfId="934" totalsRowBorderDxfId="9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32"/>
    <tableColumn id="2" xr3:uid="{6946C657-632E-4A47-A04C-EBD987018798}" name="Cliente" dataDxfId="931"/>
    <tableColumn id="3" xr3:uid="{11747110-E63B-4D92-AE0D-F744DD494204}" name="Forma de Pgto" dataDxfId="930" dataCellStyle="Moeda"/>
    <tableColumn id="4" xr3:uid="{7637A14A-3C11-482C-A77B-09489718F039}" name="Valor Parcela" dataDxfId="929" dataCellStyle="Porcentagem"/>
    <tableColumn id="5" xr3:uid="{E03E863B-EAD4-4137-9B26-2CA0EAC2F09E}" name="Nº Parcela" dataDxfId="928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27" dataDxfId="925" headerRowBorderDxfId="926" tableBorderDxfId="924" totalsRowBorderDxfId="923">
  <autoFilter ref="K34:M41" xr:uid="{1B8643D4-6AC3-4029-882A-C62E9D7CB225}"/>
  <tableColumns count="3">
    <tableColumn id="1" xr3:uid="{6F6F5FBA-037D-4F8B-8355-AC821A55F803}" name="OS" dataDxfId="922"/>
    <tableColumn id="2" xr3:uid="{BEED8472-6636-42D9-A60A-E43C842B7D8F}" name="Parcelas" dataDxfId="921"/>
    <tableColumn id="3" xr3:uid="{0CE64280-F6A9-46AC-8696-F227912F6552}" name="Valor Total" dataDxfId="920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19" dataDxfId="917" headerRowBorderDxfId="918" tableBorderDxfId="916" totalsRowBorderDxfId="9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914" dataCellStyle="Moeda"/>
    <tableColumn id="5" xr3:uid="{864A4F89-382F-4099-9D59-467A7AB12940}" name="Cliente" dataDxfId="913" dataCellStyle="Moeda"/>
    <tableColumn id="2" xr3:uid="{529253EE-0917-4E7A-AA5F-14D2DCAD4080}" name="Forma de Pgto" dataDxfId="912" dataCellStyle="Moeda"/>
    <tableColumn id="3" xr3:uid="{7A07E6EC-5721-4AB5-B7BB-F8D16153B615}" name="Valor Venda" dataDxfId="911" dataCellStyle="Porcentagem"/>
    <tableColumn id="4" xr3:uid="{E3569DCA-7BA5-47A8-9C20-6FB2B553052E}" name="Entrada" dataDxfId="910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909" dataDxfId="907" headerRowBorderDxfId="908" tableBorderDxfId="906" totalsRowBorderDxfId="905">
  <autoFilter ref="K5:M11" xr:uid="{00000000-0009-0000-0100-000015000000}"/>
  <tableColumns count="3">
    <tableColumn id="1" xr3:uid="{95CF041F-F7B4-4974-9B76-66A5C7C3CF1E}" name="Descrição" dataDxfId="904"/>
    <tableColumn id="2" xr3:uid="{010F2147-2B02-4E80-9D4E-E9E6110BD535}" name="Tipo de Pagto" dataDxfId="903"/>
    <tableColumn id="3" xr3:uid="{667C80AD-481C-4689-8F6A-2426991759A7}" name="Valor" dataDxfId="902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6" totalsRowShown="0" headerRowDxfId="901" dataDxfId="899" headerRowBorderDxfId="900" tableBorderDxfId="898" totalsRowBorderDxfId="897">
  <autoFilter ref="E25:I36" xr:uid="{00000000-0009-0000-0100-000016000000}"/>
  <sortState xmlns:xlrd2="http://schemas.microsoft.com/office/spreadsheetml/2017/richdata2" ref="E26:I36">
    <sortCondition ref="E25:E36"/>
  </sortState>
  <tableColumns count="5">
    <tableColumn id="1" xr3:uid="{52FD36A8-9E9D-438E-87C9-67AFF15AFADE}" name="Nº Venda" dataDxfId="896"/>
    <tableColumn id="2" xr3:uid="{A401C727-3942-4BDF-BC32-5D789E1F6979}" name="Cliente" dataDxfId="895"/>
    <tableColumn id="3" xr3:uid="{29237CE2-AC3D-477F-ABA7-60B5DA6F8120}" name="Forma de Pgto" dataDxfId="894" dataCellStyle="Moeda"/>
    <tableColumn id="4" xr3:uid="{A39B1F5A-49E3-45B8-BCA8-E3252A43E2CC}" name="Valor Venda" dataDxfId="893" dataCellStyle="Porcentagem"/>
    <tableColumn id="5" xr3:uid="{A1809E96-D43C-48CA-B4B0-F8952BB21709}" name="Entrada" dataDxfId="892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91" dataDxfId="889" headerRowBorderDxfId="890" tableBorderDxfId="888" totalsRowBorderDxfId="88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86"/>
    <tableColumn id="2" xr3:uid="{61C3945B-58EB-4D02-A420-14D13F69B1FD}" name="Vendedor" dataDxfId="885"/>
    <tableColumn id="3" xr3:uid="{310A696D-E474-4609-8CAC-92E3BC19A517}" name="CARNE" dataDxfId="884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9:I46" totalsRowShown="0" headerRowDxfId="883" dataDxfId="881" headerRowBorderDxfId="882" tableBorderDxfId="880" totalsRowBorderDxfId="879">
  <autoFilter ref="E39:I46" xr:uid="{B9E2F984-8588-4F2C-9FB9-680284154679}"/>
  <sortState xmlns:xlrd2="http://schemas.microsoft.com/office/spreadsheetml/2017/richdata2" ref="E40:I45">
    <sortCondition ref="E25:E36"/>
  </sortState>
  <tableColumns count="5">
    <tableColumn id="1" xr3:uid="{FB7A1AB2-2B7D-4875-B630-BE4A367B4EC6}" name="OS" dataDxfId="878"/>
    <tableColumn id="2" xr3:uid="{A7114117-5F41-4611-B14C-A3B2F7C35961}" name="Cliente" dataDxfId="877"/>
    <tableColumn id="3" xr3:uid="{3B2F2924-60FC-459E-BAAE-2D26D316360F}" name="Forma de Pgto" dataDxfId="876" dataCellStyle="Moeda"/>
    <tableColumn id="4" xr3:uid="{8C86BF8B-36B7-46FA-B050-2F1437A14710}" name="Valor Parcela" dataDxfId="875" dataCellStyle="Porcentagem"/>
    <tableColumn id="5" xr3:uid="{C429DF1A-E6B0-43DD-A949-A1EBA6DBEC04}" name="Nº Parcela" dataDxfId="874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73" dataDxfId="871" headerRowBorderDxfId="872" tableBorderDxfId="870" totalsRowBorderDxfId="869">
  <autoFilter ref="K34:M41" xr:uid="{1B8643D4-6AC3-4029-882A-C62E9D7CB225}"/>
  <tableColumns count="3">
    <tableColumn id="1" xr3:uid="{182484ED-66B8-43D1-B168-BDEB5996673F}" name="OS" dataDxfId="868"/>
    <tableColumn id="2" xr3:uid="{FC47BB11-B6D3-4928-BFCD-BDAC4B2BDD2F}" name="Parcelas" dataDxfId="867"/>
    <tableColumn id="3" xr3:uid="{F7E0E4E8-A2A1-4513-B1F5-B98008299FD0}" name="Valor Total" dataDxfId="866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65" dataDxfId="863" headerRowBorderDxfId="864" tableBorderDxfId="862" totalsRowBorderDxfId="86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60" dataCellStyle="Moeda"/>
    <tableColumn id="5" xr3:uid="{2B9E675C-5EB2-4EBC-8FDE-19F93E6E7B08}" name="Cliente" dataDxfId="859" dataCellStyle="Moeda"/>
    <tableColumn id="2" xr3:uid="{04A3548D-E88B-4096-85CB-E08243412A85}" name="Forma de Pgto" dataDxfId="858" dataCellStyle="Moeda"/>
    <tableColumn id="3" xr3:uid="{977F794D-E094-4347-935B-1202B7138C52}" name="Valor Venda" dataDxfId="857" dataCellStyle="Porcentagem"/>
    <tableColumn id="4" xr3:uid="{908F3845-FF06-4899-A550-28B1BE92D1A9}" name="Entrada" dataDxfId="856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55" dataDxfId="853" headerRowBorderDxfId="854" tableBorderDxfId="852" totalsRowBorderDxfId="851">
  <autoFilter ref="K5:M11" xr:uid="{00000000-0009-0000-0100-000015000000}"/>
  <tableColumns count="3">
    <tableColumn id="1" xr3:uid="{F9AC75BC-BCF6-4B22-9F75-0F3CC507495B}" name="Descrição" dataDxfId="850"/>
    <tableColumn id="2" xr3:uid="{61D86D1A-7892-4923-9684-5D9A01F0BD5D}" name="Tipo de Pagto" dataDxfId="849"/>
    <tableColumn id="3" xr3:uid="{3F8C718F-C7FE-423F-9F48-66FB2201CFE2}" name="Valor" dataDxfId="848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47" dataDxfId="845" headerRowBorderDxfId="846" tableBorderDxfId="844" totalsRowBorderDxfId="84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42"/>
    <tableColumn id="2" xr3:uid="{994EFF98-DD95-4B94-B1C7-D068C1D5212C}" name="Cliente" dataDxfId="841"/>
    <tableColumn id="3" xr3:uid="{7D4E72E0-4CFA-46C9-B3AF-A1654CF194A1}" name="Forma de Pgto" dataDxfId="840" dataCellStyle="Moeda"/>
    <tableColumn id="4" xr3:uid="{EE367263-F1E4-4631-A484-2013B6BA1F27}" name="Valor Venda" dataDxfId="839" dataCellStyle="Porcentagem"/>
    <tableColumn id="5" xr3:uid="{9DA475CB-BD5A-4734-A11F-3BB7DD0D9D7E}" name="Entrada" dataDxfId="838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37" dataDxfId="835" headerRowBorderDxfId="836" tableBorderDxfId="834" totalsRowBorderDxfId="83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32"/>
    <tableColumn id="2" xr3:uid="{9ED68045-86C7-4BE0-8AE0-0417F1DD76FD}" name="Vendedor" dataDxfId="831"/>
    <tableColumn id="3" xr3:uid="{F4076139-8BF9-457D-ADE6-1BCD435E31BB}" name="CARNE" dataDxfId="830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29" dataDxfId="827" headerRowBorderDxfId="828" tableBorderDxfId="826" totalsRowBorderDxfId="82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24"/>
    <tableColumn id="2" xr3:uid="{E89F59BF-5F0B-4E4E-B2BE-7B739967886D}" name="Cliente" dataDxfId="823"/>
    <tableColumn id="3" xr3:uid="{B348335B-A485-46BE-AECB-0672679F4468}" name="Forma de Pgto" dataDxfId="822" dataCellStyle="Moeda"/>
    <tableColumn id="4" xr3:uid="{73B13E6E-5431-4E90-9A6E-E15737DDA887}" name="Valor Parcela" dataDxfId="821" dataCellStyle="Porcentagem"/>
    <tableColumn id="5" xr3:uid="{C738A843-A8FD-4CB7-B2C8-59810BA17BF2}" name="Nº Parcela" dataDxfId="820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19" dataDxfId="817" headerRowBorderDxfId="818" tableBorderDxfId="816" totalsRowBorderDxfId="815">
  <autoFilter ref="K34:M41" xr:uid="{1B8643D4-6AC3-4029-882A-C62E9D7CB225}"/>
  <tableColumns count="3">
    <tableColumn id="1" xr3:uid="{3F5F54B7-8999-4296-A374-3780F172D2B8}" name="OS" dataDxfId="814"/>
    <tableColumn id="2" xr3:uid="{5F252D86-495C-4A65-B391-3FF46311DE83}" name="Parcelas" dataDxfId="813"/>
    <tableColumn id="3" xr3:uid="{50E905DA-42A9-43E1-8D51-FD4BDEAB81C8}" name="Valor Total" dataDxfId="812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811" dataDxfId="809" headerRowBorderDxfId="810" tableBorderDxfId="808" totalsRowBorderDxfId="80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806" dataCellStyle="Moeda"/>
    <tableColumn id="5" xr3:uid="{08C272CC-0220-47BB-9263-1AA910D9829C}" name="Cliente" dataDxfId="805" dataCellStyle="Moeda"/>
    <tableColumn id="2" xr3:uid="{DF276F1F-7FCA-4CE9-AD90-5340B6E688D4}" name="Forma de Pgto" dataDxfId="804" dataCellStyle="Moeda"/>
    <tableColumn id="3" xr3:uid="{CF6FE509-8C51-4621-87DF-AAD8645E20D4}" name="Valor Venda" dataDxfId="803" dataCellStyle="Porcentagem"/>
    <tableColumn id="4" xr3:uid="{5AB6BADB-DBB7-45C0-89E8-2C836C831FCF}" name="Entrada" dataDxfId="802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801" dataDxfId="799" headerRowBorderDxfId="800" tableBorderDxfId="798" totalsRowBorderDxfId="797">
  <autoFilter ref="K5:M11" xr:uid="{00000000-0009-0000-0100-000015000000}"/>
  <tableColumns count="3">
    <tableColumn id="1" xr3:uid="{8CE76670-7409-454F-9B3A-4BD739F5C5E3}" name="Descrição" dataDxfId="796"/>
    <tableColumn id="2" xr3:uid="{B2BAF2DB-A6EF-41C6-8A5D-66027E15C8F8}" name="Tipo de Pagto" dataDxfId="795"/>
    <tableColumn id="3" xr3:uid="{99CFD3BD-FC58-49DA-AC21-ACD3EE40336E}" name="Valor" dataDxfId="794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93" dataDxfId="791" headerRowBorderDxfId="792" tableBorderDxfId="790" totalsRowBorderDxfId="78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88"/>
    <tableColumn id="2" xr3:uid="{B886F79B-BD9C-476A-88F8-CB3F80E42FD0}" name="Cliente" dataDxfId="787"/>
    <tableColumn id="3" xr3:uid="{78D9CA4E-E9E8-4359-8144-996DE0EE7A64}" name="Forma de Pgto" dataDxfId="786" dataCellStyle="Moeda"/>
    <tableColumn id="4" xr3:uid="{F327BA72-0013-44A1-B3CE-07FACF46CAC8}" name="Valor Venda" dataDxfId="785" dataCellStyle="Porcentagem"/>
    <tableColumn id="5" xr3:uid="{20494810-9085-4087-A73E-D3FE8DC5C40D}" name="Entrada" dataDxfId="784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83" dataDxfId="781" headerRowBorderDxfId="782" tableBorderDxfId="780" totalsRowBorderDxfId="779">
  <autoFilter ref="K14:M31" xr:uid="{C83FE64B-E221-4DAA-89EA-5307A7BC98B3}"/>
  <tableColumns count="3">
    <tableColumn id="1" xr3:uid="{40D1E49B-6CB3-409E-AFC1-7315BAF42BBF}" name="OS" dataDxfId="778"/>
    <tableColumn id="2" xr3:uid="{4C8709E7-DDF3-475B-9A19-42E8B9FC587D}" name="Vendedor" dataDxfId="777"/>
    <tableColumn id="3" xr3:uid="{185D4DF1-07D8-4494-B6E4-5B4CFC4E2B4E}" name="CARNE" dataDxfId="776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75" dataDxfId="773" headerRowBorderDxfId="774" tableBorderDxfId="772" totalsRowBorderDxfId="77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70"/>
    <tableColumn id="2" xr3:uid="{CA06119C-2085-4F7F-B293-65E2AF15EEE5}" name="Cliente" dataDxfId="769"/>
    <tableColumn id="3" xr3:uid="{BF529E56-33D1-40B5-8E7B-EFBAB59D2A71}" name="Forma de Pgto" dataDxfId="768" dataCellStyle="Moeda"/>
    <tableColumn id="4" xr3:uid="{66CAC967-C216-41AB-BBFE-D7EC8E60B5DB}" name="Valor Parcela" dataDxfId="767" dataCellStyle="Porcentagem"/>
    <tableColumn id="5" xr3:uid="{684E478E-5460-400B-8F1B-2956E3BF42E8}" name="Nº Parcela" dataDxfId="766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65" dataDxfId="763" headerRowBorderDxfId="764" tableBorderDxfId="762" totalsRowBorderDxfId="761">
  <autoFilter ref="K34:M41" xr:uid="{1B8643D4-6AC3-4029-882A-C62E9D7CB225}"/>
  <tableColumns count="3">
    <tableColumn id="1" xr3:uid="{3DD44433-DB26-4FDD-8D11-D1C35C6FECEB}" name="OS" dataDxfId="760"/>
    <tableColumn id="2" xr3:uid="{A9DC5AE8-407E-40E2-8AD6-B02FE1A5CF20}" name="Parcelas" dataDxfId="759"/>
    <tableColumn id="3" xr3:uid="{6A850C65-FE9A-4796-B920-651ED5594439}" name="Valor Total" dataDxfId="758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57" dataDxfId="755" headerRowBorderDxfId="756" tableBorderDxfId="754" totalsRowBorderDxfId="753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52" dataCellStyle="Moeda"/>
    <tableColumn id="5" xr3:uid="{60E6A65C-186D-4764-A3E8-74F5C0B0AFC1}" name="Cliente" dataDxfId="751" dataCellStyle="Moeda"/>
    <tableColumn id="2" xr3:uid="{22FA520F-5DA7-46FD-9861-DF942B6D91AB}" name="Forma de Pgto" dataDxfId="750" dataCellStyle="Moeda"/>
    <tableColumn id="3" xr3:uid="{7DEE868C-EA7D-401A-A3DF-4CC64A44467F}" name="Valor Venda" dataDxfId="749" dataCellStyle="Porcentagem"/>
    <tableColumn id="4" xr3:uid="{720D25ED-5FF4-421F-94C6-24275CF94733}" name="Entrada" dataDxfId="748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47" dataDxfId="745" headerRowBorderDxfId="746" tableBorderDxfId="744" totalsRowBorderDxfId="743">
  <autoFilter ref="K5:M11" xr:uid="{00000000-0009-0000-0100-000015000000}"/>
  <tableColumns count="3">
    <tableColumn id="1" xr3:uid="{2FBA0522-04E5-4ED5-94F6-52B232AF2373}" name="Descrição" dataDxfId="742"/>
    <tableColumn id="2" xr3:uid="{DB3FC5DE-C5F6-4B07-A662-D19BD76E91F6}" name="Tipo de Pagto" dataDxfId="741"/>
    <tableColumn id="3" xr3:uid="{A2799F30-0033-4E72-9108-ABF645A8DCD3}" name="Valor" dataDxfId="740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39" dataDxfId="737" headerRowBorderDxfId="738" tableBorderDxfId="736" totalsRowBorderDxfId="73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34"/>
    <tableColumn id="2" xr3:uid="{6DECDDC0-CF3A-4677-94C4-62618488FE89}" name="Cliente" dataDxfId="733"/>
    <tableColumn id="3" xr3:uid="{D40EA3F2-0782-4C3D-A060-4DCC1DCF2881}" name="Forma de Pgto" dataDxfId="732" dataCellStyle="Moeda"/>
    <tableColumn id="4" xr3:uid="{A527DD67-780C-4EE1-A7AE-0831114EA80A}" name="Valor Venda" dataDxfId="731" dataCellStyle="Porcentagem"/>
    <tableColumn id="5" xr3:uid="{4082F19A-5570-4E9D-B250-BCD24B16165E}" name="Entrada" dataDxfId="730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29" dataDxfId="727" headerRowBorderDxfId="728" tableBorderDxfId="726" totalsRowBorderDxfId="72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CF4CC083-8415-4A42-9102-69414AAB96C8}" name="OS" dataDxfId="724"/>
    <tableColumn id="2" xr3:uid="{AFF5A585-6EEA-427D-B49B-A553763AA94C}" name="Vendedor" dataDxfId="723"/>
    <tableColumn id="3" xr3:uid="{2D8D088A-4AB0-487F-929A-89D197884938}" name="CARNE" dataDxfId="722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21" dataDxfId="719" headerRowBorderDxfId="720" tableBorderDxfId="718" totalsRowBorderDxfId="71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16"/>
    <tableColumn id="2" xr3:uid="{71667114-B8E0-4FEE-B3C4-B23C231E71C9}" name="Cliente" dataDxfId="715"/>
    <tableColumn id="3" xr3:uid="{413E4F46-D41F-4D0A-8403-3244651C22ED}" name="Forma de Pgto" dataDxfId="714" dataCellStyle="Moeda"/>
    <tableColumn id="4" xr3:uid="{695A7396-BEC7-498E-8F8D-5C11C17422D0}" name="Valor Parcela" dataDxfId="713" dataCellStyle="Porcentagem"/>
    <tableColumn id="5" xr3:uid="{7D0562F5-5DF1-49C0-BE96-CBD4632BD577}" name="Nº Parcela" dataDxfId="712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711" dataDxfId="709" headerRowBorderDxfId="710" tableBorderDxfId="708" totalsRowBorderDxfId="707">
  <autoFilter ref="K34:M41" xr:uid="{1B8643D4-6AC3-4029-882A-C62E9D7CB225}"/>
  <tableColumns count="3">
    <tableColumn id="1" xr3:uid="{468A4151-2B13-428F-B7B3-DD7850FB056D}" name="OS" dataDxfId="706"/>
    <tableColumn id="2" xr3:uid="{0E5A1628-3806-4E80-9B5C-6CCB43ED7A95}" name="Parcelas" dataDxfId="705"/>
    <tableColumn id="3" xr3:uid="{94527026-C4E7-48B1-ADEC-FAE98EDE2DF7}" name="Valor Total" dataDxfId="704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703" dataDxfId="701" headerRowBorderDxfId="702" tableBorderDxfId="700" totalsRowBorderDxfId="69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98" dataCellStyle="Moeda"/>
    <tableColumn id="5" xr3:uid="{B476382F-8FC0-4C4B-904B-9CEC2FD1737F}" name="Cliente" dataDxfId="697" dataCellStyle="Moeda"/>
    <tableColumn id="2" xr3:uid="{9347CB1E-8ECB-4789-B3B3-F0676BCEF308}" name="Forma de Pgto" dataDxfId="696" dataCellStyle="Moeda"/>
    <tableColumn id="3" xr3:uid="{95E7B651-F8E7-4260-A9CD-31524C1AF920}" name="Valor Venda" dataDxfId="695" dataCellStyle="Porcentagem"/>
    <tableColumn id="4" xr3:uid="{E1F36979-874B-46CF-A70F-6769CE2B4972}" name="Entrada" dataDxfId="694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93" dataDxfId="691" headerRowBorderDxfId="692" tableBorderDxfId="690" totalsRowBorderDxfId="689">
  <autoFilter ref="K5:M11" xr:uid="{00000000-0009-0000-0100-000015000000}"/>
  <tableColumns count="3">
    <tableColumn id="1" xr3:uid="{5DAF9728-D097-46AC-AFA1-2A7D5A636197}" name="Descrição" dataDxfId="688"/>
    <tableColumn id="2" xr3:uid="{7E14BBAB-F602-43F7-BA75-66182DDDFB5A}" name="Tipo de Pagto" dataDxfId="687"/>
    <tableColumn id="3" xr3:uid="{807C6654-E3F5-4B45-B712-93A22255EE13}" name="Valor" dataDxfId="686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85" dataDxfId="683" headerRowBorderDxfId="684" tableBorderDxfId="682" totalsRowBorderDxfId="68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80"/>
    <tableColumn id="2" xr3:uid="{DA2D4CE2-3235-4592-824A-D21C9FEE1324}" name="Cliente" dataDxfId="679"/>
    <tableColumn id="3" xr3:uid="{78436E8E-423C-4634-A0AC-78283D9649B2}" name="Forma de Pgto" dataDxfId="678" dataCellStyle="Moeda"/>
    <tableColumn id="4" xr3:uid="{9B5C140A-AEF6-451D-B599-1B3C00239BF3}" name="Valor Venda" dataDxfId="677" dataCellStyle="Porcentagem"/>
    <tableColumn id="5" xr3:uid="{91C4587E-3C3A-4A8E-B0CF-84D9FBCB29D6}" name="Entrada" dataDxfId="676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75" dataDxfId="673" headerRowBorderDxfId="674" tableBorderDxfId="672" totalsRowBorderDxfId="67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70"/>
    <tableColumn id="2" xr3:uid="{8A5D657B-8F60-4746-999B-0FA3393A39E9}" name="Vendedor" dataDxfId="669"/>
    <tableColumn id="3" xr3:uid="{496CB9CC-67BF-4541-A109-5F5FF565C716}" name="CARNE" dataDxfId="668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67" dataDxfId="665" headerRowBorderDxfId="666" tableBorderDxfId="664" totalsRowBorderDxfId="66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62"/>
    <tableColumn id="2" xr3:uid="{B3362A08-206B-41A8-970B-34C6B8B4C7AA}" name="Cliente" dataDxfId="661"/>
    <tableColumn id="3" xr3:uid="{718A6844-98C1-4F96-8966-19162734BEB9}" name="Forma de Pgto" dataDxfId="660" dataCellStyle="Moeda"/>
    <tableColumn id="4" xr3:uid="{DC15894A-49A7-435B-A661-5666005BEEC8}" name="Valor Parcela" dataDxfId="659" dataCellStyle="Porcentagem"/>
    <tableColumn id="5" xr3:uid="{DE080DD1-0F6B-485E-8515-CE624433C220}" name="Nº Parcela" dataDxfId="658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57" dataDxfId="655" headerRowBorderDxfId="656" tableBorderDxfId="654" totalsRowBorderDxfId="653">
  <autoFilter ref="K34:M41" xr:uid="{1B8643D4-6AC3-4029-882A-C62E9D7CB225}"/>
  <tableColumns count="3">
    <tableColumn id="1" xr3:uid="{DF952D1A-166D-4762-BD7E-3B8C91304310}" name="OS" dataDxfId="652"/>
    <tableColumn id="2" xr3:uid="{4F0F7384-D5B8-477E-9EC7-B82060EBBD78}" name="Parcelas" dataDxfId="651"/>
    <tableColumn id="3" xr3:uid="{8DD00EBF-D0FE-4903-8F44-7064A873609A}" name="Valor Total" dataDxfId="650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49" dataDxfId="647" headerRowBorderDxfId="648" tableBorderDxfId="646" totalsRowBorderDxfId="6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44" dataCellStyle="Moeda"/>
    <tableColumn id="5" xr3:uid="{F65697F3-20D0-4B41-BE55-C2885202D924}" name="Cliente" dataDxfId="643" dataCellStyle="Moeda"/>
    <tableColumn id="2" xr3:uid="{11E8E848-C035-46A3-B1AB-9BBD863CA30A}" name="Forma de Pgto" dataDxfId="642" dataCellStyle="Moeda"/>
    <tableColumn id="3" xr3:uid="{CE50BBF0-66D9-4ABB-AD66-D300C740ED4C}" name="Valor Venda" dataDxfId="641" dataCellStyle="Porcentagem"/>
    <tableColumn id="4" xr3:uid="{A6700982-093E-4E60-A8B4-C0EB11A78A03}" name="Entrada" dataDxfId="640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39" dataDxfId="637" headerRowBorderDxfId="638" tableBorderDxfId="636" totalsRowBorderDxfId="635">
  <autoFilter ref="K5:M11" xr:uid="{00000000-0009-0000-0100-000015000000}"/>
  <tableColumns count="3">
    <tableColumn id="1" xr3:uid="{53B1873C-545D-4906-B601-0C81EDA7CFE1}" name="Descrição" dataDxfId="634"/>
    <tableColumn id="2" xr3:uid="{76E6DB40-F96B-4A9C-8632-7103030C72DC}" name="Tipo de Pagto" dataDxfId="633"/>
    <tableColumn id="3" xr3:uid="{C62F93B6-2A0A-47C6-8FF1-E604490619BC}" name="Valor" dataDxfId="632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31" dataDxfId="629" headerRowBorderDxfId="630" tableBorderDxfId="628" totalsRowBorderDxfId="6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26"/>
    <tableColumn id="2" xr3:uid="{B806E92F-CE0E-4D07-A956-20D8F2029057}" name="Cliente" dataDxfId="625"/>
    <tableColumn id="3" xr3:uid="{36BDBAFD-E01B-4EEA-BEB0-2FB5914B315B}" name="Forma de Pgto" dataDxfId="624" dataCellStyle="Moeda"/>
    <tableColumn id="4" xr3:uid="{56605023-01AD-4E35-8794-2FCCF14CCA1F}" name="Valor Venda" dataDxfId="623" dataCellStyle="Porcentagem"/>
    <tableColumn id="5" xr3:uid="{C1960D0E-D625-415E-9C4E-608948FC535D}" name="Entrada" dataDxfId="622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21" dataDxfId="619" headerRowBorderDxfId="620" tableBorderDxfId="618" totalsRowBorderDxfId="617">
  <autoFilter ref="K14:M31" xr:uid="{C83FE64B-E221-4DAA-89EA-5307A7BC98B3}"/>
  <tableColumns count="3">
    <tableColumn id="1" xr3:uid="{6A036C59-7D03-43F7-84CF-EE3CB14BE67B}" name="OS" dataDxfId="616"/>
    <tableColumn id="2" xr3:uid="{C5A126A9-9B7F-4F06-ADC7-ACCED0396BF3}" name="Vendedor" dataDxfId="615"/>
    <tableColumn id="3" xr3:uid="{BA1C7B45-A00B-472E-A02F-25A3DC58D90D}" name="CARNE" dataDxfId="614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13" dataDxfId="611" headerRowBorderDxfId="612" tableBorderDxfId="610" totalsRowBorderDxfId="6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608"/>
    <tableColumn id="2" xr3:uid="{2C145274-4831-4FAC-9C72-4EE6C56B54AE}" name="Cliente" dataDxfId="607"/>
    <tableColumn id="3" xr3:uid="{DE981E69-6CF2-49CA-A2F4-E16E28E648B8}" name="Forma de Pgto" dataDxfId="606" dataCellStyle="Moeda"/>
    <tableColumn id="4" xr3:uid="{6444B2E2-EBBD-4AD1-8C9A-93047C0686E8}" name="Valor Parcela" dataDxfId="605" dataCellStyle="Porcentagem"/>
    <tableColumn id="5" xr3:uid="{04528C7F-DC52-411C-A2BF-BF90292C4224}" name="Nº Parcela" dataDxfId="604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603" dataDxfId="601" headerRowBorderDxfId="602" tableBorderDxfId="600" totalsRowBorderDxfId="599">
  <autoFilter ref="K34:M41" xr:uid="{1B8643D4-6AC3-4029-882A-C62E9D7CB225}"/>
  <tableColumns count="3">
    <tableColumn id="1" xr3:uid="{B8F19651-A782-44BC-8BA0-FFD090973F4B}" name="OS" dataDxfId="598"/>
    <tableColumn id="2" xr3:uid="{47E2F01C-C7E6-4997-80A0-4C35FA7B082A}" name="Parcelas" dataDxfId="597"/>
    <tableColumn id="3" xr3:uid="{BBBC80DF-0D25-47A9-9C8A-B68DAC85549A}" name="Valor Total" dataDxfId="596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95" dataDxfId="593" headerRowBorderDxfId="594" tableBorderDxfId="592" totalsRowBorderDxfId="59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90" dataCellStyle="Moeda"/>
    <tableColumn id="5" xr3:uid="{63E5AEF6-80DE-4801-B1C2-914D1F185217}" name="Cliente" dataDxfId="589" dataCellStyle="Moeda"/>
    <tableColumn id="2" xr3:uid="{1109E74A-578C-491B-B35C-C22544718F14}" name="Forma de Pgto" dataDxfId="588" dataCellStyle="Moeda"/>
    <tableColumn id="3" xr3:uid="{5C59392A-0568-4E84-9867-F9DCD09B25B6}" name="Valor Venda" dataDxfId="587" dataCellStyle="Porcentagem"/>
    <tableColumn id="4" xr3:uid="{D2C3A378-8143-432B-A8C6-A6193ABD7662}" name="Entrada" dataDxfId="586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85" dataDxfId="583" headerRowBorderDxfId="584" tableBorderDxfId="582" totalsRowBorderDxfId="581">
  <autoFilter ref="K5:M11" xr:uid="{00000000-0009-0000-0100-000015000000}"/>
  <tableColumns count="3">
    <tableColumn id="1" xr3:uid="{E6962685-66B9-4B52-AFC6-82E1DC5ABF13}" name="Descrição" dataDxfId="580"/>
    <tableColumn id="2" xr3:uid="{632111FE-E109-4AB8-89E6-0435B85BD131}" name="Tipo de Pagto" dataDxfId="579"/>
    <tableColumn id="3" xr3:uid="{E8C5B365-8D2D-4605-8A16-1AB9150BCC44}" name="Valor" dataDxfId="578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77" dataDxfId="575" headerRowBorderDxfId="576" tableBorderDxfId="574" totalsRowBorderDxfId="57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72"/>
    <tableColumn id="2" xr3:uid="{C0E81097-83C4-4524-8E34-CEF9787F8A7E}" name="Cliente" dataDxfId="571"/>
    <tableColumn id="3" xr3:uid="{8D59E67E-B452-4F9A-AAE0-36EA95BB6E19}" name="Forma de Pgto" dataDxfId="570" dataCellStyle="Moeda"/>
    <tableColumn id="4" xr3:uid="{F7466880-2D96-46D0-97F5-A0F3057F4B83}" name="Valor Venda" dataDxfId="569" dataCellStyle="Porcentagem"/>
    <tableColumn id="5" xr3:uid="{1C9ACBF3-A8FA-4869-9459-B9FD6EE7CC98}" name="Entrada" dataDxfId="568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67" dataDxfId="565" headerRowBorderDxfId="566" tableBorderDxfId="564" totalsRowBorderDxfId="56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00D0221-B7E2-4319-872F-39A5F278179B}" name="OS" dataDxfId="562"/>
    <tableColumn id="2" xr3:uid="{EB50C8BC-2DB9-4F7B-B612-681BB547926A}" name="Vendedor" dataDxfId="561"/>
    <tableColumn id="3" xr3:uid="{35270191-CAC7-406B-B916-370E9194FBD0}" name="CARNE" dataDxfId="560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59" dataDxfId="557" headerRowBorderDxfId="558" tableBorderDxfId="556" totalsRowBorderDxfId="55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54"/>
    <tableColumn id="2" xr3:uid="{D650DC73-190F-4D20-A432-5DFA05B32EBB}" name="Cliente" dataDxfId="553"/>
    <tableColumn id="3" xr3:uid="{B232D3BA-4291-4772-8FA1-966DFC2F6BAD}" name="Forma de Pgto" dataDxfId="552" dataCellStyle="Moeda"/>
    <tableColumn id="4" xr3:uid="{27933DC4-0B14-4F8A-9424-CDECA8B0BE13}" name="Valor Parcela" dataDxfId="551" dataCellStyle="Porcentagem"/>
    <tableColumn id="5" xr3:uid="{812A2DA5-D78D-454A-BF37-5BC7C8B486FB}" name="Nº Parcela" dataDxfId="550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49" dataDxfId="547" headerRowBorderDxfId="548" tableBorderDxfId="546" totalsRowBorderDxfId="545">
  <autoFilter ref="K34:M41" xr:uid="{1B8643D4-6AC3-4029-882A-C62E9D7CB225}"/>
  <tableColumns count="3">
    <tableColumn id="1" xr3:uid="{F3E7E89B-8196-4CDC-A23E-947DB3CEA07C}" name="OS" dataDxfId="544"/>
    <tableColumn id="2" xr3:uid="{D705822D-AFE1-401D-A8C8-7D7BB7A4C86C}" name="Parcelas" dataDxfId="543"/>
    <tableColumn id="3" xr3:uid="{C528E7A1-6466-4E27-8A7C-A46F4678792C}" name="Valor Total" dataDxfId="54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41" dataDxfId="539" headerRowBorderDxfId="540" tableBorderDxfId="538" totalsRowBorderDxfId="53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36" dataCellStyle="Moeda"/>
    <tableColumn id="5" xr3:uid="{935EFB73-C7DF-4DB2-A9CA-2CCBA3650F22}" name="Cliente" dataDxfId="535" dataCellStyle="Moeda"/>
    <tableColumn id="2" xr3:uid="{869122A0-3CC2-4E92-8EFB-746E8E8CB311}" name="Forma de Pgto" dataDxfId="534" dataCellStyle="Moeda"/>
    <tableColumn id="3" xr3:uid="{6DA3B9FE-BCC2-4503-9E60-EA0ED444B7A6}" name="Valor Venda" dataDxfId="533" dataCellStyle="Porcentagem"/>
    <tableColumn id="4" xr3:uid="{A8A1A79C-5DE2-48A0-9D24-1DA382BBF42E}" name="Entrada" dataDxfId="53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31" dataDxfId="529" headerRowBorderDxfId="530" tableBorderDxfId="528" totalsRowBorderDxfId="527">
  <autoFilter ref="K5:M11" xr:uid="{00000000-0009-0000-0100-000015000000}"/>
  <tableColumns count="3">
    <tableColumn id="1" xr3:uid="{3E8535D4-7B2A-41EF-B25F-D96FCA746C77}" name="Descrição" dataDxfId="526"/>
    <tableColumn id="2" xr3:uid="{29FD7EBB-FAB4-46A7-8D0C-8DEF811BE03C}" name="Tipo de Pagto" dataDxfId="525"/>
    <tableColumn id="3" xr3:uid="{42A84199-904C-48CF-9EA1-668D5693A5E1}" name="Valor" dataDxfId="52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23" dataDxfId="521" headerRowBorderDxfId="522" tableBorderDxfId="520" totalsRowBorderDxfId="51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18"/>
    <tableColumn id="2" xr3:uid="{06FD4E8A-ECFC-46A5-9546-F18D5C7CCF46}" name="Cliente" dataDxfId="517"/>
    <tableColumn id="3" xr3:uid="{393434A3-085F-407B-B651-4C537A1C4DCA}" name="Forma de Pgto" dataDxfId="516" dataCellStyle="Moeda"/>
    <tableColumn id="4" xr3:uid="{D08FA6C2-56D1-4A76-94C1-132618C070F2}" name="Valor Venda" dataDxfId="515" dataCellStyle="Porcentagem"/>
    <tableColumn id="5" xr3:uid="{A94780A1-5426-454F-8950-AFE4D356071F}" name="Entrada" dataDxfId="51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13" dataDxfId="511" headerRowBorderDxfId="512" tableBorderDxfId="510" totalsRowBorderDxfId="50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F81F202-5A63-416E-B66A-BC7A70C51944}" name="OS" dataDxfId="508"/>
    <tableColumn id="2" xr3:uid="{74527326-0E45-44AC-976A-01AD354EEF97}" name="Vendedor" dataDxfId="507"/>
    <tableColumn id="3" xr3:uid="{7E368C39-6290-45A4-8C60-3E0B6BEC860E}" name="CARNE" dataDxfId="50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505" dataDxfId="503" headerRowBorderDxfId="504" tableBorderDxfId="502" totalsRowBorderDxfId="501">
  <autoFilter ref="E34:I41" xr:uid="{B9E2F984-8588-4F2C-9FB9-680284154679}"/>
  <sortState xmlns:xlrd2="http://schemas.microsoft.com/office/spreadsheetml/2017/richdata2" ref="E34:I39">
    <sortCondition ref="E25:E31"/>
  </sortState>
  <tableColumns count="5">
    <tableColumn id="1" xr3:uid="{87737CB8-CCB0-49CE-AC97-9BACC99F1ECB}" name="OS" dataDxfId="500"/>
    <tableColumn id="2" xr3:uid="{5FB18F19-64B5-46AA-955B-A301C651C0F2}" name="Cliente" dataDxfId="499"/>
    <tableColumn id="3" xr3:uid="{51F731CD-986B-4FF6-A861-83997E66998E}" name="Forma de Pgto" dataDxfId="498" dataCellStyle="Moeda"/>
    <tableColumn id="4" xr3:uid="{BD861052-26CD-48E9-91C6-0A6DF7C6A099}" name="Valor Parcela" dataDxfId="497" dataCellStyle="Porcentagem"/>
    <tableColumn id="5" xr3:uid="{8A5D6765-7637-45A4-9660-09EDBB031EC1}" name="Nº Parcela" dataDxfId="49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95" dataDxfId="493" headerRowBorderDxfId="494" tableBorderDxfId="492" totalsRowBorderDxfId="491">
  <autoFilter ref="K34:M41" xr:uid="{1B8643D4-6AC3-4029-882A-C62E9D7CB225}"/>
  <sortState xmlns:xlrd2="http://schemas.microsoft.com/office/spreadsheetml/2017/richdata2" ref="K35:M41">
    <sortCondition ref="K34:K41"/>
  </sortState>
  <tableColumns count="3">
    <tableColumn id="1" xr3:uid="{96F2F5A7-6005-4604-8B24-0E2838B4DD29}" name="OS" dataDxfId="490"/>
    <tableColumn id="2" xr3:uid="{ED904B68-5D9C-4B50-96BA-96CAD5E34CF1}" name="Parcelas" dataDxfId="489"/>
    <tableColumn id="3" xr3:uid="{317680F4-80F7-44BC-B3EF-4EFC6A803CAC}" name="Valor Total" dataDxfId="488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87" dataDxfId="485" headerRowBorderDxfId="486" tableBorderDxfId="484" totalsRowBorderDxfId="48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82" dataCellStyle="Moeda"/>
    <tableColumn id="5" xr3:uid="{8C950723-3D74-47BB-96EF-8D7D6A2189F6}" name="Cliente" dataDxfId="481" dataCellStyle="Moeda"/>
    <tableColumn id="2" xr3:uid="{891A7678-229E-4FF4-AD78-C00F149C7AB3}" name="Forma de Pgto" dataDxfId="480" dataCellStyle="Moeda"/>
    <tableColumn id="3" xr3:uid="{C1AD64CF-D636-4D0B-90AF-998E65C41E3B}" name="Valor Venda" dataDxfId="479" dataCellStyle="Porcentagem"/>
    <tableColumn id="4" xr3:uid="{4674130B-789D-479A-9F01-407FB3322D27}" name="Entrada" dataDxfId="478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77" dataDxfId="475" headerRowBorderDxfId="476" tableBorderDxfId="474" totalsRowBorderDxfId="473">
  <autoFilter ref="K5:M11" xr:uid="{00000000-0009-0000-0100-000015000000}"/>
  <tableColumns count="3">
    <tableColumn id="1" xr3:uid="{558DC85F-C627-4F48-82AA-C24727E75A42}" name="Descrição" dataDxfId="472"/>
    <tableColumn id="2" xr3:uid="{8346B0E0-FB0D-4ED3-ABBC-3816B7CB40C9}" name="Tipo de Pagto" dataDxfId="471"/>
    <tableColumn id="3" xr3:uid="{362F9934-CC54-4E70-A26F-6CDF66DEB838}" name="Valor" dataDxfId="470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2" totalsRowShown="0" headerRowDxfId="469" dataDxfId="467" headerRowBorderDxfId="468" tableBorderDxfId="466" totalsRowBorderDxfId="465">
  <autoFilter ref="E25:I32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64"/>
    <tableColumn id="2" xr3:uid="{B711E4E6-0AE5-42C8-8015-A72C2855CDFB}" name="Cliente" dataDxfId="463"/>
    <tableColumn id="3" xr3:uid="{016D3713-BA29-48F8-8683-6E42C1C8BDFE}" name="Forma de Pgto" dataDxfId="462" dataCellStyle="Moeda"/>
    <tableColumn id="4" xr3:uid="{66F30211-F047-40DA-B134-05B87A798574}" name="Valor Venda" dataDxfId="461" dataCellStyle="Porcentagem"/>
    <tableColumn id="5" xr3:uid="{2FB6AB3C-AA9E-4034-AF4B-12D9A3ECBBCA}" name="Entrada" dataDxfId="460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9" dataDxfId="457" headerRowBorderDxfId="458" tableBorderDxfId="456" totalsRowBorderDxfId="45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D6DF1477-46D1-47E2-A070-9A33886E6137}" name="OS" dataDxfId="454"/>
    <tableColumn id="2" xr3:uid="{C4215FA6-4F2C-444A-8E0B-4F99AEEE9430}" name="Vendedor" dataDxfId="453"/>
    <tableColumn id="3" xr3:uid="{7B8AD675-F389-4803-BFFB-8166F703E829}" name="CARNE" dataDxfId="452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51" dataDxfId="449" headerRowBorderDxfId="450" tableBorderDxfId="448" totalsRowBorderDxfId="44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46"/>
    <tableColumn id="2" xr3:uid="{45674E96-72EC-433B-9141-E40A07A72A19}" name="Cliente" dataDxfId="445"/>
    <tableColumn id="3" xr3:uid="{22102B96-8607-4584-B5A3-C1EE639E0F4C}" name="Forma de Pgto" dataDxfId="444" dataCellStyle="Moeda"/>
    <tableColumn id="4" xr3:uid="{DC2E9D15-91B3-4478-AA38-B98773D1B0DA}" name="Valor Parcela" dataDxfId="443" dataCellStyle="Porcentagem"/>
    <tableColumn id="5" xr3:uid="{ABCCDEDB-69A0-4492-A24A-12A60E76A2F8}" name="Nº Parcela" dataDxfId="442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41" dataDxfId="439" headerRowBorderDxfId="440" tableBorderDxfId="438" totalsRowBorderDxfId="437">
  <autoFilter ref="K34:M41" xr:uid="{1B8643D4-6AC3-4029-882A-C62E9D7CB225}"/>
  <tableColumns count="3">
    <tableColumn id="1" xr3:uid="{96E4A694-A16C-4FAB-8484-5D1DCD513FF1}" name="OS" dataDxfId="436"/>
    <tableColumn id="2" xr3:uid="{CEC7F98C-5986-47BB-824E-5616D5A150E4}" name="Parcelas" dataDxfId="435"/>
    <tableColumn id="3" xr3:uid="{A82CBD0B-203D-4ED5-BDE4-3B77ECED5860}" name="Valor Total" dataDxfId="434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33" dataDxfId="431" headerRowBorderDxfId="432" tableBorderDxfId="430" totalsRowBorderDxfId="42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8" dataCellStyle="Moeda"/>
    <tableColumn id="5" xr3:uid="{28960474-C27A-4147-BD99-7BB60462B8B0}" name="Cliente" dataDxfId="427" dataCellStyle="Moeda"/>
    <tableColumn id="2" xr3:uid="{67D37C1F-FE45-48AD-BED8-2CFECE89FEA0}" name="Forma de Pgto" dataDxfId="426" dataCellStyle="Moeda"/>
    <tableColumn id="3" xr3:uid="{9D53CA59-8DC0-45C1-B948-0BC9CE105A46}" name="Valor Venda" dataDxfId="425" dataCellStyle="Porcentagem"/>
    <tableColumn id="4" xr3:uid="{63C5EED9-C4FA-4177-B2B7-18053322A958}" name="Entrada" dataDxfId="424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23" dataDxfId="421" headerRowBorderDxfId="422" tableBorderDxfId="420" totalsRowBorderDxfId="419">
  <autoFilter ref="K5:M11" xr:uid="{00000000-0009-0000-0100-000015000000}"/>
  <tableColumns count="3">
    <tableColumn id="1" xr3:uid="{EA5469B7-1D8E-40E9-95A2-35DAC9D5EC13}" name="Descrição" dataDxfId="418"/>
    <tableColumn id="2" xr3:uid="{6149AE8A-4EBC-4D73-8258-5E25710E3A30}" name="Tipo de Pagto" dataDxfId="417"/>
    <tableColumn id="3" xr3:uid="{6872D867-5B80-4E69-B012-87CC7B75B649}" name="Valor" dataDxfId="416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15" dataDxfId="413" headerRowBorderDxfId="414" tableBorderDxfId="412" totalsRowBorderDxfId="41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10"/>
    <tableColumn id="2" xr3:uid="{83BEE3E3-D5E6-4B4E-B0F3-B7D166EBC951}" name="Cliente" dataDxfId="409"/>
    <tableColumn id="3" xr3:uid="{D56D36FF-3364-4C9B-95E8-FF48852EB70B}" name="Forma de Pgto" dataDxfId="408" dataCellStyle="Moeda"/>
    <tableColumn id="4" xr3:uid="{E2E76570-BF3A-47F8-A702-0FE2FE405B33}" name="Valor Venda" dataDxfId="407" dataCellStyle="Porcentagem"/>
    <tableColumn id="5" xr3:uid="{19FD5054-F0CE-4B30-BF14-7D86B666A44E}" name="Entrada" dataDxfId="406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405" dataDxfId="403" headerRowBorderDxfId="404" tableBorderDxfId="402" totalsRowBorderDxfId="401">
  <autoFilter ref="K14:M31" xr:uid="{C83FE64B-E221-4DAA-89EA-5307A7BC98B3}"/>
  <tableColumns count="3">
    <tableColumn id="1" xr3:uid="{2A900AC2-CDD6-4655-B7AF-13F9A8DDD9FF}" name="OS" dataDxfId="400"/>
    <tableColumn id="2" xr3:uid="{D566D654-CC7D-40A6-874D-6CD6342DEC3B}" name="Vendedor" dataDxfId="399"/>
    <tableColumn id="3" xr3:uid="{E8D97BA9-0913-40AD-B2A5-0F60E6A0BE95}" name="CARNE" dataDxfId="398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97" dataDxfId="395" headerRowBorderDxfId="396" tableBorderDxfId="394" totalsRowBorderDxfId="39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92"/>
    <tableColumn id="2" xr3:uid="{CDAD5229-EE1B-4727-8C27-8A17FEDA1C5C}" name="Cliente" dataDxfId="391"/>
    <tableColumn id="3" xr3:uid="{93224419-805E-4D8C-A296-80DA02CCC413}" name="Forma de Pgto" dataDxfId="390" dataCellStyle="Moeda"/>
    <tableColumn id="4" xr3:uid="{40C77CE6-762C-49C9-94EB-7D5AFC9A73A4}" name="Valor Parcela" dataDxfId="389" dataCellStyle="Porcentagem"/>
    <tableColumn id="5" xr3:uid="{8A7914AB-189B-4928-860C-9AB79BAA232D}" name="Nº Parcela" dataDxfId="388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87" dataDxfId="385" headerRowBorderDxfId="386" tableBorderDxfId="384" totalsRowBorderDxfId="383">
  <autoFilter ref="K34:M41" xr:uid="{1B8643D4-6AC3-4029-882A-C62E9D7CB225}"/>
  <tableColumns count="3">
    <tableColumn id="1" xr3:uid="{C92D7BD7-E114-41CE-802D-B41EFFA721F2}" name="OS" dataDxfId="382"/>
    <tableColumn id="2" xr3:uid="{C67ABBBE-4637-4653-928F-36D0678D64F6}" name="Parcelas" dataDxfId="381"/>
    <tableColumn id="3" xr3:uid="{2217F874-8724-4CC1-9542-1585CC1817E3}" name="Valor Total" dataDxfId="380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9" dataDxfId="377" headerRowBorderDxfId="378" tableBorderDxfId="376" totalsRowBorderDxfId="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74" dataCellStyle="Moeda"/>
    <tableColumn id="5" xr3:uid="{EA7582FE-FEFF-4011-BD42-218C3664E6AB}" name="Cliente" dataDxfId="373" dataCellStyle="Moeda"/>
    <tableColumn id="2" xr3:uid="{F90F407A-44F2-4B25-95B2-7FFF747C7AA1}" name="Forma de Pgto" dataDxfId="372" dataCellStyle="Moeda"/>
    <tableColumn id="3" xr3:uid="{3ED51D07-27C8-4437-A49E-867C7274BC65}" name="Valor Venda" dataDxfId="371" dataCellStyle="Porcentagem"/>
    <tableColumn id="4" xr3:uid="{42C92817-5DF0-4DE7-B430-03840EF6E852}" name="Entrada" dataDxfId="370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9" dataDxfId="367" headerRowBorderDxfId="368" tableBorderDxfId="366" totalsRowBorderDxfId="365">
  <autoFilter ref="K5:M11" xr:uid="{00000000-0009-0000-0100-000015000000}"/>
  <tableColumns count="3">
    <tableColumn id="1" xr3:uid="{BCDA9109-FE1B-43D0-A775-F187BA433103}" name="Descrição" dataDxfId="364"/>
    <tableColumn id="2" xr3:uid="{6200DB38-1340-49E2-8DB4-68F203C169F1}" name="Tipo de Pagto" dataDxfId="363"/>
    <tableColumn id="3" xr3:uid="{27595B27-AB97-40C9-BECE-DEB4EF2576B7}" name="Valor" dataDxfId="362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61" dataDxfId="359" headerRowBorderDxfId="360" tableBorderDxfId="358" totalsRowBorderDxfId="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56"/>
    <tableColumn id="2" xr3:uid="{2547CEAB-188F-4407-8B89-F3536432D0FA}" name="Cliente" dataDxfId="355"/>
    <tableColumn id="3" xr3:uid="{54CBD340-AB1A-4F98-A129-037389C3E236}" name="Forma de Pgto" dataDxfId="354" dataCellStyle="Moeda"/>
    <tableColumn id="4" xr3:uid="{CB0BC571-5837-4C35-AFDD-D5873CE23AE9}" name="Valor Venda" dataDxfId="353" dataCellStyle="Porcentagem"/>
    <tableColumn id="5" xr3:uid="{517A77AC-A76A-4CE7-B5D1-3FEFDF7B8722}" name="Entrada" dataDxfId="352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51" dataDxfId="349" headerRowBorderDxfId="350" tableBorderDxfId="348" totalsRowBorderDxfId="34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71C4392B-8887-40B1-9A7B-C600C91C0A9F}" name="OS" dataDxfId="346"/>
    <tableColumn id="2" xr3:uid="{EAC02F14-380C-4B61-8944-E4F1EC6C2572}" name="Vendedor" dataDxfId="345"/>
    <tableColumn id="3" xr3:uid="{04750BAB-2533-45E4-AD1A-4273DBA80CF4}" name="CARNE" dataDxfId="344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43" dataDxfId="341" headerRowBorderDxfId="342" tableBorderDxfId="340" totalsRowBorderDxfId="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8"/>
    <tableColumn id="2" xr3:uid="{C78ED1A0-4ABC-4C46-9011-9E7D40E53828}" name="Cliente" dataDxfId="337"/>
    <tableColumn id="3" xr3:uid="{5CDE3049-7EDA-4337-9E8E-58F0DB4CFDD5}" name="Forma de Pgto" dataDxfId="336" dataCellStyle="Moeda"/>
    <tableColumn id="4" xr3:uid="{7ACCAB16-AFFF-4B9D-A25F-B45F3BBA93B9}" name="Valor Parcela" dataDxfId="335" dataCellStyle="Porcentagem"/>
    <tableColumn id="5" xr3:uid="{15EC4276-5957-4146-877A-2D9AF52832DE}" name="Nº Parcela" dataDxfId="334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33" dataDxfId="331" headerRowBorderDxfId="332" tableBorderDxfId="330" totalsRowBorderDxfId="329">
  <autoFilter ref="K34:M41" xr:uid="{1B8643D4-6AC3-4029-882A-C62E9D7CB225}"/>
  <tableColumns count="3">
    <tableColumn id="1" xr3:uid="{509FE920-B0D4-48CC-8AFC-C231084014ED}" name="OS" dataDxfId="328"/>
    <tableColumn id="2" xr3:uid="{648797DA-323D-4F7C-95F3-3223D3A08821}" name="Parcelas" dataDxfId="327"/>
    <tableColumn id="3" xr3:uid="{0684A7C0-4163-4297-B332-DFFBB65E266D}" name="Valor Total" dataDxfId="326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25" dataDxfId="323" headerRowBorderDxfId="324" tableBorderDxfId="322" totalsRowBorderDxfId="3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20" dataCellStyle="Moeda"/>
    <tableColumn id="5" xr3:uid="{FA1FA1DC-5352-4524-9AB2-369222C4BDD1}" name="Cliente" dataDxfId="319" dataCellStyle="Moeda"/>
    <tableColumn id="2" xr3:uid="{A73B5E06-AB1F-48ED-B61C-8853446A4F5E}" name="Forma de Pgto" dataDxfId="318" dataCellStyle="Moeda"/>
    <tableColumn id="3" xr3:uid="{E5231A7F-7D20-4503-A786-BF9FC0E23F42}" name="Valor Venda" dataDxfId="317" dataCellStyle="Porcentagem"/>
    <tableColumn id="4" xr3:uid="{86DAF072-A11E-464D-A335-9A5F5FF09F8D}" name="Entrada" dataDxfId="316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15" dataDxfId="313" headerRowBorderDxfId="314" tableBorderDxfId="312" totalsRowBorderDxfId="311">
  <autoFilter ref="K5:M11" xr:uid="{00000000-0009-0000-0100-000015000000}"/>
  <tableColumns count="3">
    <tableColumn id="1" xr3:uid="{0C299E65-9391-4336-8CF7-2EC1702B221E}" name="Descrição" dataDxfId="310"/>
    <tableColumn id="2" xr3:uid="{45EA8371-50DD-4161-8CE6-AE739B48843A}" name="Tipo de Pagto" dataDxfId="309"/>
    <tableColumn id="3" xr3:uid="{4D98764C-873C-4A32-9ABD-121372723463}" name="Valor" dataDxfId="308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7" dataDxfId="305" headerRowBorderDxfId="306" tableBorderDxfId="304" totalsRowBorderDxfId="3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302"/>
    <tableColumn id="2" xr3:uid="{212BE65F-3FA5-419B-B9A4-58240EFDEBFA}" name="Cliente" dataDxfId="301"/>
    <tableColumn id="3" xr3:uid="{1EE1E2AC-25F1-4013-8D38-A0638CF454DB}" name="Forma de Pgto" dataDxfId="300" dataCellStyle="Moeda"/>
    <tableColumn id="4" xr3:uid="{38D98562-880F-4C00-A26B-F40D7F6C9E67}" name="Valor Venda" dataDxfId="299" dataCellStyle="Porcentagem"/>
    <tableColumn id="5" xr3:uid="{183B778F-EB01-4FDA-BD28-D4D361F688C4}" name="Entrada" dataDxfId="298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7" dataDxfId="295" headerRowBorderDxfId="296" tableBorderDxfId="294" totalsRowBorderDxfId="29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21BA2342-0EF4-4D12-8CEB-D5F98AF1E43D}" name="OS" dataDxfId="292"/>
    <tableColumn id="2" xr3:uid="{8EC3F5A2-9325-43BD-A364-C3D24B7F492B}" name="Vendedor" dataDxfId="291"/>
    <tableColumn id="3" xr3:uid="{60B7BB21-2E30-4BF0-9109-7C61A6F8023E}" name="CARNE" dataDxfId="290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9" dataDxfId="287" headerRowBorderDxfId="288" tableBorderDxfId="286" totalsRowBorderDxfId="2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84"/>
    <tableColumn id="2" xr3:uid="{FEC021D0-C21F-4087-AA46-92F79B0BD15C}" name="Cliente" dataDxfId="283"/>
    <tableColumn id="3" xr3:uid="{B057DFD4-3A13-40AD-95B0-7A4A6D2F12EA}" name="Forma de Pgto" dataDxfId="282" dataCellStyle="Moeda"/>
    <tableColumn id="4" xr3:uid="{8571FA4F-3615-40B7-87DD-4A3572C756ED}" name="Valor Parcela" dataDxfId="281" dataCellStyle="Porcentagem"/>
    <tableColumn id="5" xr3:uid="{32F42922-7FF4-44E6-8FE1-CF1D84ED2607}" name="Nº Parcela" dataDxfId="280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9" dataDxfId="277" headerRowBorderDxfId="278" tableBorderDxfId="276" totalsRowBorderDxfId="275">
  <autoFilter ref="K34:M41" xr:uid="{1B8643D4-6AC3-4029-882A-C62E9D7CB225}"/>
  <tableColumns count="3">
    <tableColumn id="1" xr3:uid="{239C8B86-39AD-48DE-8CD4-9E298F831595}" name="OS" dataDxfId="274"/>
    <tableColumn id="2" xr3:uid="{52A4913C-562E-40FD-8422-19A5A2E9F3E9}" name="Parcelas" dataDxfId="273"/>
    <tableColumn id="3" xr3:uid="{A2980378-BECE-4786-B65D-94F14F69AE6B}" name="Valor Total" dataDxfId="272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71" dataDxfId="269" headerRowBorderDxfId="270" tableBorderDxfId="268" totalsRowBorderDxfId="26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6" dataCellStyle="Moeda"/>
    <tableColumn id="5" xr3:uid="{570F0DA8-D686-4E48-AB43-770DB49D735A}" name="Cliente" dataDxfId="265" dataCellStyle="Moeda"/>
    <tableColumn id="2" xr3:uid="{80EB692B-CEF9-4384-93C3-D0C2D659D8B9}" name="Forma de Pgto" dataDxfId="264" dataCellStyle="Moeda"/>
    <tableColumn id="3" xr3:uid="{C072FA33-E65C-46A1-9619-122C55ADB543}" name="Valor Venda" dataDxfId="263" dataCellStyle="Porcentagem"/>
    <tableColumn id="4" xr3:uid="{A6AD7AE2-A356-40B6-8551-4661FBEB3F51}" name="Entrada" dataDxfId="262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61" dataDxfId="259" headerRowBorderDxfId="260" tableBorderDxfId="258" totalsRowBorderDxfId="257">
  <autoFilter ref="K5:M11" xr:uid="{00000000-0009-0000-0100-000015000000}"/>
  <tableColumns count="3">
    <tableColumn id="1" xr3:uid="{B332CB19-9163-40A3-A95C-B96A1582E073}" name="Descrição" dataDxfId="256"/>
    <tableColumn id="2" xr3:uid="{61F5EE7F-73F4-42E2-A9DC-23449B0C3C01}" name="Tipo de Pagto" dataDxfId="255"/>
    <tableColumn id="3" xr3:uid="{DA89D608-9609-4843-A5C1-DE0E1200E4A8}" name="Valor" dataDxfId="254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53" dataDxfId="251" headerRowBorderDxfId="252" tableBorderDxfId="250" totalsRowBorderDxfId="24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8"/>
    <tableColumn id="2" xr3:uid="{AC5BDFCE-FCF6-4AAB-9202-5F41FD623E7A}" name="Cliente" dataDxfId="247"/>
    <tableColumn id="3" xr3:uid="{60B29A82-92C4-41E9-85E9-1CB47FDC0F48}" name="Forma de Pgto" dataDxfId="246" dataCellStyle="Moeda"/>
    <tableColumn id="4" xr3:uid="{77AEFEA3-2B2A-45D9-B420-2C503790CB98}" name="Valor Venda" dataDxfId="245" dataCellStyle="Porcentagem"/>
    <tableColumn id="5" xr3:uid="{ADAFB771-5146-4657-B325-26E81CB97F70}" name="Entrada" dataDxfId="244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43" dataDxfId="241" headerRowBorderDxfId="242" tableBorderDxfId="240" totalsRowBorderDxfId="23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A681CC1B-EF00-4702-9240-49A1F9CD0ED9}" name="OS" dataDxfId="238"/>
    <tableColumn id="2" xr3:uid="{CACBAC13-6FB8-41CD-B9DA-E0BF6545625A}" name="Vendedor" dataDxfId="237"/>
    <tableColumn id="3" xr3:uid="{62DBFAEA-33ED-481B-88FE-D480C79BD70A}" name="CARNE" dataDxfId="236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5" dataDxfId="233" headerRowBorderDxfId="234" tableBorderDxfId="232" totalsRowBorderDxfId="23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30"/>
    <tableColumn id="2" xr3:uid="{84774BA8-817B-4BB4-B330-18FC2D74BEBD}" name="Cliente" dataDxfId="229"/>
    <tableColumn id="3" xr3:uid="{B445E0F1-2EE3-48E4-A8D9-FA43238816EF}" name="Forma de Pgto" dataDxfId="228" dataCellStyle="Moeda"/>
    <tableColumn id="4" xr3:uid="{ABB960AB-65AE-4F15-BF53-C9D07E2FDA8B}" name="Valor Parcela" dataDxfId="227" dataCellStyle="Porcentagem"/>
    <tableColumn id="5" xr3:uid="{89825584-3833-4995-A86E-D7E4080CB9BB}" name="Nº Parcela" dataDxfId="226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5" dataDxfId="223" headerRowBorderDxfId="224" tableBorderDxfId="222" totalsRowBorderDxfId="221">
  <autoFilter ref="K34:M41" xr:uid="{1B8643D4-6AC3-4029-882A-C62E9D7CB225}"/>
  <tableColumns count="3">
    <tableColumn id="1" xr3:uid="{EAA08E73-C7D6-46EB-8CB3-0B41DCC95916}" name="OS" dataDxfId="220"/>
    <tableColumn id="2" xr3:uid="{706D1FAA-0C88-4CDF-B8E1-15AD01A2E582}" name="Parcelas" dataDxfId="219"/>
    <tableColumn id="3" xr3:uid="{98D05923-385E-4F7C-ADF4-C1FB7F5B5CC5}" name="Valor Total" dataDxfId="218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7" dataDxfId="215" headerRowBorderDxfId="216" tableBorderDxfId="214" totalsRowBorderDxfId="21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12" dataCellStyle="Moeda"/>
    <tableColumn id="5" xr3:uid="{57575EBC-6B68-41EF-9676-918A4ABDCB4D}" name="Cliente" dataDxfId="211" dataCellStyle="Moeda"/>
    <tableColumn id="2" xr3:uid="{85714B76-869D-4DF7-8709-20EB0FE90848}" name="Forma de Pgto" dataDxfId="210" dataCellStyle="Moeda"/>
    <tableColumn id="3" xr3:uid="{A556487C-0FB8-4138-908B-0692480ED40F}" name="Valor Venda" dataDxfId="209" dataCellStyle="Porcentagem"/>
    <tableColumn id="4" xr3:uid="{2437A1CF-1861-42F2-9B6F-020480542B91}" name="Entrada" dataDxfId="208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7" dataDxfId="205" headerRowBorderDxfId="206" tableBorderDxfId="204" totalsRowBorderDxfId="203">
  <autoFilter ref="K5:M11" xr:uid="{00000000-0009-0000-0100-000015000000}"/>
  <tableColumns count="3">
    <tableColumn id="1" xr3:uid="{EA498FD3-4549-4930-A7C5-2A6A697F86CC}" name="Descrição" dataDxfId="202"/>
    <tableColumn id="2" xr3:uid="{8748D917-3F00-4700-B7E5-7700540A331D}" name="Tipo de Pagto" dataDxfId="201"/>
    <tableColumn id="3" xr3:uid="{42A9985B-0743-4482-AA4C-D8FD0E0F72A5}" name="Valor" dataDxfId="200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9" dataDxfId="197" headerRowBorderDxfId="198" tableBorderDxfId="196" totalsRowBorderDxfId="19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4"/>
    <tableColumn id="2" xr3:uid="{FE587643-BC52-4E6E-AF00-724AEF5CF68E}" name="Cliente" dataDxfId="193"/>
    <tableColumn id="3" xr3:uid="{7FE7D67C-9631-4982-8037-006DC6383D49}" name="Forma de Pgto" dataDxfId="192" dataCellStyle="Moeda"/>
    <tableColumn id="4" xr3:uid="{F211FF52-FD8A-4441-B1F6-EDB12BA108C0}" name="Valor Venda" dataDxfId="191" dataCellStyle="Porcentagem"/>
    <tableColumn id="5" xr3:uid="{16E4261B-0737-47FE-A7D3-731BFAF25FF7}" name="Entrada" dataDxfId="190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9" dataDxfId="187" headerRowBorderDxfId="188" tableBorderDxfId="186" totalsRowBorderDxfId="185">
  <autoFilter ref="K14:M31" xr:uid="{C83FE64B-E221-4DAA-89EA-5307A7BC98B3}"/>
  <tableColumns count="3">
    <tableColumn id="1" xr3:uid="{8E54EB92-C776-41FF-A0DB-06AF704A4887}" name="OS" dataDxfId="184"/>
    <tableColumn id="2" xr3:uid="{6868B7F3-9EF7-46C7-BEF9-654E8E36ED1C}" name="Vendedor" dataDxfId="183"/>
    <tableColumn id="3" xr3:uid="{1350521A-D743-40D9-A465-2D8D4BFE6A10}" name="CARNE" dataDxfId="182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81" dataDxfId="179" headerRowBorderDxfId="180" tableBorderDxfId="178" totalsRowBorderDxfId="17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6"/>
    <tableColumn id="2" xr3:uid="{85BDCF85-AA6C-42E1-B1B7-C516556DBDB9}" name="Cliente" dataDxfId="175"/>
    <tableColumn id="3" xr3:uid="{9F8DE4E4-D5E2-48B5-8EAA-40EB197D32AC}" name="Forma de Pgto" dataDxfId="174" dataCellStyle="Moeda"/>
    <tableColumn id="4" xr3:uid="{C6290D95-7284-445D-8939-C5FD7951996B}" name="Valor Parcela" dataDxfId="173" dataCellStyle="Porcentagem"/>
    <tableColumn id="5" xr3:uid="{52285BEC-0F7D-418F-A98F-3BC424F4B159}" name="Nº Parcela" dataDxfId="172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71" dataDxfId="169" headerRowBorderDxfId="170" tableBorderDxfId="168" totalsRowBorderDxfId="167">
  <autoFilter ref="K34:M41" xr:uid="{1B8643D4-6AC3-4029-882A-C62E9D7CB225}"/>
  <tableColumns count="3">
    <tableColumn id="1" xr3:uid="{2CBB75AA-30A1-4E7B-931E-A32395F87AA4}" name="OS" dataDxfId="166"/>
    <tableColumn id="2" xr3:uid="{9C8D7AA6-CFE0-4494-82DC-042A052CAAA0}" name="Parcelas" dataDxfId="165"/>
    <tableColumn id="3" xr3:uid="{57D19216-198A-4E06-835D-91E30A9FE599}" name="Valor Total" dataDxfId="164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3" dataDxfId="161" headerRowBorderDxfId="162" tableBorderDxfId="160" totalsRowBorderDxfId="15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8" dataCellStyle="Moeda"/>
    <tableColumn id="5" xr3:uid="{B57FE100-D980-4793-9BEF-6EB81A189BDF}" name="Cliente" dataDxfId="157" dataCellStyle="Moeda"/>
    <tableColumn id="2" xr3:uid="{E3E7153F-994D-48FC-90C4-2CBF846DD020}" name="Forma de Pgto" dataDxfId="156" dataCellStyle="Moeda"/>
    <tableColumn id="3" xr3:uid="{665F1580-FA55-4C7F-BD41-C142CAFE3223}" name="Valor Venda" dataDxfId="155" dataCellStyle="Porcentagem"/>
    <tableColumn id="4" xr3:uid="{6F1E523A-10ED-4EDD-B2CA-D0C7AD019914}" name="Entrada" dataDxfId="154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3" dataDxfId="151" headerRowBorderDxfId="152" tableBorderDxfId="150" totalsRowBorderDxfId="149">
  <autoFilter ref="K5:M11" xr:uid="{00000000-0009-0000-0100-000015000000}"/>
  <tableColumns count="3">
    <tableColumn id="1" xr3:uid="{8A51E802-CECA-43FB-B82C-E6736A43EA3D}" name="Descrição" dataDxfId="148"/>
    <tableColumn id="2" xr3:uid="{5BCD8607-AADC-48F8-8E37-0466420D4FCD}" name="Tipo de Pagto" dataDxfId="147"/>
    <tableColumn id="3" xr3:uid="{4723FDE3-A519-42AE-9778-8C9E4D87D4F8}" name="Valor" dataDxfId="146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5" dataDxfId="143" headerRowBorderDxfId="144" tableBorderDxfId="142" totalsRowBorderDxfId="14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40"/>
    <tableColumn id="2" xr3:uid="{DD36027F-0205-4159-9C6C-7703DD9F61D1}" name="Cliente" dataDxfId="139"/>
    <tableColumn id="3" xr3:uid="{C8916D40-C533-47FF-A39E-183396744611}" name="Forma de Pgto" dataDxfId="138" dataCellStyle="Moeda"/>
    <tableColumn id="4" xr3:uid="{80EB5638-1F44-4817-8C1B-9EB07004D4CA}" name="Valor Venda" dataDxfId="137" dataCellStyle="Porcentagem"/>
    <tableColumn id="5" xr3:uid="{B4816614-99C6-4C2F-BA88-5290B6B734E3}" name="Entrada" dataDxfId="136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5" dataDxfId="133" headerRowBorderDxfId="134" tableBorderDxfId="132" totalsRowBorderDxfId="13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DCFC0FAB-C428-42CC-A79B-6BBC4C4E77BA}" name="OS" dataDxfId="130"/>
    <tableColumn id="2" xr3:uid="{55C72FAB-171A-4E5F-A55F-BBFBE0F4AF66}" name="Vendedor" dataDxfId="129"/>
    <tableColumn id="3" xr3:uid="{DCD6A944-16B4-44C6-9625-37A26D7A1151}" name="CARNE" dataDxfId="128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7" dataDxfId="125" headerRowBorderDxfId="126" tableBorderDxfId="124" totalsRowBorderDxfId="123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0DF6EDFC-3FFD-429A-9DDC-C536FE5B75E7}" name="OS" dataDxfId="122"/>
    <tableColumn id="2" xr3:uid="{D2E85D99-F671-4642-9D56-7BBD7EADC926}" name="Cliente" dataDxfId="121"/>
    <tableColumn id="3" xr3:uid="{B8D270E5-112A-4D49-B21F-9055AF1F02FC}" name="Forma de Pgto" dataDxfId="120" dataCellStyle="Moeda"/>
    <tableColumn id="4" xr3:uid="{BA14CF36-FD33-4C35-B77D-D8C5207F906C}" name="Valor Parcela" dataDxfId="119" dataCellStyle="Porcentagem"/>
    <tableColumn id="5" xr3:uid="{2E862B2B-4705-4EDB-B528-4C423CDCC317}" name="Nº Parcela" dataDxfId="118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7" dataDxfId="115" headerRowBorderDxfId="116" tableBorderDxfId="114" totalsRowBorderDxfId="113">
  <autoFilter ref="K34:M41" xr:uid="{1B8643D4-6AC3-4029-882A-C62E9D7CB225}"/>
  <tableColumns count="3">
    <tableColumn id="1" xr3:uid="{2092375F-825B-4295-AC07-BBBA3650EB3F}" name="OS" dataDxfId="112"/>
    <tableColumn id="2" xr3:uid="{8614B6AF-F25C-401B-AE51-F9959608EB4A}" name="Parcelas" dataDxfId="111"/>
    <tableColumn id="3" xr3:uid="{9702475E-64D8-4282-B5F4-F45E7E7B1891}" name="Valor Total" dataDxfId="110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9" dataDxfId="107" headerRowBorderDxfId="108" tableBorderDxfId="106" totalsRowBorderDxfId="10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4" dataCellStyle="Moeda"/>
    <tableColumn id="5" xr3:uid="{6DA19713-2E98-46D3-97C5-9220DCA239CF}" name="Cliente" dataDxfId="103" dataCellStyle="Moeda"/>
    <tableColumn id="2" xr3:uid="{88459FA3-E39A-4E24-BE6F-5B43DDEA2A4A}" name="Forma de Pgto" dataDxfId="102" dataCellStyle="Moeda"/>
    <tableColumn id="3" xr3:uid="{D7168B7C-70C2-4F65-A7A3-4909E88C1A7B}" name="Valor Venda" dataDxfId="101" dataCellStyle="Porcentagem"/>
    <tableColumn id="4" xr3:uid="{ADF4588D-7BC9-4314-A427-3D24958DACCC}" name="Entrada" dataDxfId="100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9" dataDxfId="97" headerRowBorderDxfId="98" tableBorderDxfId="96" totalsRowBorderDxfId="95">
  <autoFilter ref="K5:M11" xr:uid="{00000000-0009-0000-0100-000015000000}"/>
  <tableColumns count="3">
    <tableColumn id="1" xr3:uid="{E442CE4D-8AE5-41ED-A914-7256B88EAC73}" name="Descrição" dataDxfId="94"/>
    <tableColumn id="2" xr3:uid="{1E7FE08B-850F-4E9F-8B47-9536C8F5EC41}" name="Tipo de Pagto" dataDxfId="93"/>
    <tableColumn id="3" xr3:uid="{3DF1C1DC-F67A-43FF-B2A1-DF3622684536}" name="Valor" dataDxfId="92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91" dataDxfId="89" headerRowBorderDxfId="90" tableBorderDxfId="88" totalsRowBorderDxfId="8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6"/>
    <tableColumn id="2" xr3:uid="{7751C919-065D-412F-B8A7-F92A54826246}" name="Cliente" dataDxfId="85"/>
    <tableColumn id="3" xr3:uid="{22CEA33D-E4AE-4795-B81E-F00AEE0259C7}" name="Forma de Pgto" dataDxfId="84" dataCellStyle="Moeda"/>
    <tableColumn id="4" xr3:uid="{111A6D3D-9DF3-48E3-B298-6A078CD9958A}" name="Valor Venda" dataDxfId="83" dataCellStyle="Porcentagem"/>
    <tableColumn id="5" xr3:uid="{6FAC4EB6-9A05-4962-BE54-D649C18DF277}" name="Entrada" dataDxfId="82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81" dataDxfId="79" headerRowBorderDxfId="80" tableBorderDxfId="78" totalsRowBorderDxfId="7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70EC0554-ECDB-4BBB-8EC8-2A8F33D6CFC6}" name="OS" dataDxfId="76"/>
    <tableColumn id="2" xr3:uid="{7B162083-69E8-4F3B-A78B-AAB824AC7351}" name="Vendedor" dataDxfId="75"/>
    <tableColumn id="3" xr3:uid="{A73D781B-1144-472F-AB4F-C1B60353EA62}" name="CARNE" dataDxfId="74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3" dataDxfId="71" headerRowBorderDxfId="72" tableBorderDxfId="70" totalsRowBorderDxfId="6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8"/>
    <tableColumn id="2" xr3:uid="{20C66877-6F9A-47B0-A475-B6BCD966BCDE}" name="Cliente" dataDxfId="67"/>
    <tableColumn id="3" xr3:uid="{0B1C76D4-E380-4017-B2F1-2785D2AA0EB8}" name="Forma de Pgto" dataDxfId="66" dataCellStyle="Moeda"/>
    <tableColumn id="4" xr3:uid="{B7ACF4A8-9732-43AF-BAA1-9675D326ADFE}" name="Valor Parcela" dataDxfId="65" dataCellStyle="Porcentagem"/>
    <tableColumn id="5" xr3:uid="{D3AA6A31-6891-4F0D-A789-213423B77F89}" name="Nº Parcela" dataDxfId="64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3" dataDxfId="61" headerRowBorderDxfId="62" tableBorderDxfId="60" totalsRowBorderDxfId="59">
  <autoFilter ref="K34:M41" xr:uid="{1B8643D4-6AC3-4029-882A-C62E9D7CB225}"/>
  <tableColumns count="3">
    <tableColumn id="1" xr3:uid="{2F82B378-0FB6-4745-B866-67CFE9774172}" name="OS" dataDxfId="58"/>
    <tableColumn id="2" xr3:uid="{BC22F8A2-3A5C-41B3-B76F-5C0070F63051}" name="Parcelas" dataDxfId="57"/>
    <tableColumn id="3" xr3:uid="{4BD95DAA-0D20-4678-8E3E-53FA905C70F9}" name="Valor Total" dataDxfId="56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5" dataDxfId="53" headerRowBorderDxfId="54" tableBorderDxfId="52" totalsRowBorderDxfId="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50" dataCellStyle="Moeda"/>
    <tableColumn id="5" xr3:uid="{B349F75C-FD83-42BC-AC89-09AA029D8EFE}" name="Cliente" dataDxfId="49" dataCellStyle="Moeda"/>
    <tableColumn id="2" xr3:uid="{5AC8E623-19E4-4450-B04F-87D3C51A3106}" name="Forma de Pgto" dataDxfId="48" dataCellStyle="Moeda"/>
    <tableColumn id="3" xr3:uid="{B508839F-67B8-4567-A0E7-F626D9292F0F}" name="Valor Venda" dataDxfId="47" dataCellStyle="Porcentagem"/>
    <tableColumn id="4" xr3:uid="{EEC337BF-1756-4A9B-AD25-186C19F608E4}" name="Entrada" dataDxfId="46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5" dataDxfId="43" headerRowBorderDxfId="44" tableBorderDxfId="42" totalsRowBorderDxfId="41">
  <autoFilter ref="K5:M11" xr:uid="{00000000-0009-0000-0100-000015000000}"/>
  <tableColumns count="3">
    <tableColumn id="1" xr3:uid="{3592BEEC-943B-4302-A978-B56ADB08BED9}" name="Descrição" dataDxfId="40"/>
    <tableColumn id="2" xr3:uid="{49221644-AE32-4BF9-BB52-77A3EABD5F0C}" name="Tipo de Pagto" dataDxfId="39"/>
    <tableColumn id="3" xr3:uid="{88361A78-CF3F-4DCF-8424-AE46053C75E6}" name="Valor" dataDxfId="38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7" dataDxfId="35" headerRowBorderDxfId="36" tableBorderDxfId="34" totalsRowBorderDxfId="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2"/>
    <tableColumn id="2" xr3:uid="{97DD3132-3804-4C47-A6DB-7DC40600EC8C}" name="Cliente" dataDxfId="31"/>
    <tableColumn id="3" xr3:uid="{1BC70869-3856-4ED9-8F16-5BD65C3868A7}" name="Forma de Pgto" dataDxfId="30" dataCellStyle="Moeda"/>
    <tableColumn id="4" xr3:uid="{C05A5EE1-AECF-408D-AE83-591D903C7D3B}" name="Valor Venda" dataDxfId="29" dataCellStyle="Porcentagem"/>
    <tableColumn id="5" xr3:uid="{1797FF6E-998A-42EF-B971-6F5AF105380C}" name="Entrada" dataDxfId="28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7" dataDxfId="25" headerRowBorderDxfId="26" tableBorderDxfId="24" totalsRowBorderDxfId="23">
  <autoFilter ref="K14:M31" xr:uid="{C83FE64B-E221-4DAA-89EA-5307A7BC98B3}"/>
  <tableColumns count="3">
    <tableColumn id="1" xr3:uid="{9DE4A889-248F-459E-8992-681934B06197}" name="OS" dataDxfId="22"/>
    <tableColumn id="2" xr3:uid="{02C1F889-1B21-460D-A9B5-23882A34C610}" name="Vendedor" dataDxfId="21"/>
    <tableColumn id="3" xr3:uid="{7BA38CB9-A108-482C-89FC-5BAC0E16D20B}" name="CARNE" dataDxfId="20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9" dataDxfId="17" headerRowBorderDxfId="18" tableBorderDxfId="16" totalsRowBorderDxfId="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4"/>
    <tableColumn id="2" xr3:uid="{0384488B-A6E8-45B8-95DF-1AFC546D97F7}" name="Cliente" dataDxfId="13"/>
    <tableColumn id="3" xr3:uid="{27D144F0-AF87-462E-9717-001979EED817}" name="Forma de Pgto" dataDxfId="12" dataCellStyle="Moeda"/>
    <tableColumn id="4" xr3:uid="{53029C9F-CBAD-4B52-99B7-2C6ECD96CA7E}" name="Valor Parcela" dataDxfId="11" dataCellStyle="Porcentagem"/>
    <tableColumn id="5" xr3:uid="{6A53694F-D9A9-435C-8BF9-62A66BB6F1AD}" name="Nº Parcela" dataDxfId="10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9" dataDxfId="7" headerRowBorderDxfId="8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2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table" Target="../tables/table1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45"/>
  <sheetViews>
    <sheetView tabSelected="1" zoomScaleNormal="100" workbookViewId="0">
      <selection activeCell="A2" sqref="A2"/>
    </sheetView>
  </sheetViews>
  <sheetFormatPr defaultColWidth="21.28515625" defaultRowHeight="12.75" x14ac:dyDescent="0.2"/>
  <cols>
    <col min="2" max="2" width="22.7109375" customWidth="1"/>
    <col min="5" max="5" width="15.7109375" customWidth="1"/>
    <col min="6" max="6" width="34.7109375" customWidth="1"/>
    <col min="7" max="7" width="15.7109375" customWidth="1"/>
    <col min="8" max="9" width="18.85546875" customWidth="1"/>
    <col min="11" max="11" width="25.7109375" customWidth="1"/>
    <col min="12" max="12" width="20.85546875" customWidth="1"/>
    <col min="13" max="13" width="18.85546875" customWidth="1"/>
  </cols>
  <sheetData>
    <row r="1" spans="1:16" ht="28.5" x14ac:dyDescent="0.45">
      <c r="B1" s="101"/>
      <c r="C1" s="101"/>
      <c r="L1" s="102" t="s">
        <v>144</v>
      </c>
      <c r="M1" s="102"/>
      <c r="P1" t="s">
        <v>123</v>
      </c>
    </row>
    <row r="2" spans="1:16" ht="15" x14ac:dyDescent="0.2">
      <c r="A2" s="6" t="s">
        <v>0</v>
      </c>
      <c r="B2" s="13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P2" t="s">
        <v>124</v>
      </c>
    </row>
    <row r="3" spans="1:16" ht="15" x14ac:dyDescent="0.25">
      <c r="A3" s="7" t="s">
        <v>1</v>
      </c>
      <c r="B3" s="8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102998.99</v>
      </c>
      <c r="P3" t="s">
        <v>125</v>
      </c>
    </row>
    <row r="4" spans="1:16" ht="15" x14ac:dyDescent="0.25">
      <c r="A4" s="7" t="s">
        <v>2</v>
      </c>
      <c r="B4" s="28">
        <f ca="1">SUM('01'!C6,'02'!C6,'03'!C6,'04'!C6,'05'!C6,'06'!C6,'07'!C6,'08'!C6,'09'!C6,'10'!C6,'11'!C6,'12'!C6,'13'!C6,'14'!C6,'15'!C6,'16'!C6,'17'!C6,'18'!C6,'19'!C6,'20'!C6,'21'!C6,'22'!C6,'23'!C6,'24'!C6,'25'!C6,'26'!C6,'27'!C6,'28'!C6,'29'!C6,'30'!C6,'31'!C6)</f>
        <v>103124.84000000003</v>
      </c>
      <c r="C4" s="54"/>
      <c r="D4" s="55"/>
      <c r="E4" s="54" t="s">
        <v>137</v>
      </c>
      <c r="F4" s="54"/>
      <c r="G4" s="54"/>
      <c r="H4" s="54"/>
      <c r="I4" s="54"/>
      <c r="J4" s="55"/>
      <c r="K4" s="54" t="s">
        <v>138</v>
      </c>
      <c r="L4" s="54"/>
      <c r="M4" s="54"/>
      <c r="P4" t="s">
        <v>126</v>
      </c>
    </row>
    <row r="5" spans="1:16" ht="15" x14ac:dyDescent="0.25">
      <c r="A5" s="7" t="s">
        <v>3</v>
      </c>
      <c r="B5" s="28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7057.2699999999995</v>
      </c>
      <c r="C5" s="54"/>
      <c r="D5" s="55"/>
      <c r="E5" s="55"/>
      <c r="F5" s="55"/>
      <c r="G5" s="55"/>
      <c r="H5" s="55"/>
      <c r="I5" s="55"/>
      <c r="J5" s="55"/>
      <c r="K5" s="55"/>
      <c r="L5" s="55"/>
      <c r="M5" s="55"/>
      <c r="P5" t="s">
        <v>127</v>
      </c>
    </row>
    <row r="6" spans="1:16" ht="15.75" x14ac:dyDescent="0.25">
      <c r="A6" s="9" t="s">
        <v>4</v>
      </c>
      <c r="B6" s="31">
        <f ca="1">SUM(B4:B5)</f>
        <v>110182.11000000003</v>
      </c>
      <c r="C6" s="54">
        <f>C16</f>
        <v>0</v>
      </c>
      <c r="D6" s="55"/>
      <c r="E6" s="55"/>
      <c r="F6" s="55"/>
      <c r="G6" s="55"/>
      <c r="H6" s="55"/>
      <c r="I6" s="55"/>
      <c r="J6" s="55"/>
      <c r="K6" s="55"/>
      <c r="L6" s="55"/>
      <c r="M6" s="55"/>
      <c r="P6" t="s">
        <v>128</v>
      </c>
    </row>
    <row r="7" spans="1:16" ht="15" x14ac:dyDescent="0.25">
      <c r="A7" s="2"/>
      <c r="B7" s="26"/>
      <c r="C7" s="54"/>
      <c r="D7" s="55"/>
      <c r="E7" s="55"/>
      <c r="F7" s="55"/>
      <c r="G7" s="55"/>
      <c r="H7" s="55"/>
      <c r="I7" s="55"/>
      <c r="J7" s="55"/>
      <c r="K7" s="55"/>
      <c r="L7" s="55"/>
      <c r="M7" s="55"/>
      <c r="P7" t="s">
        <v>129</v>
      </c>
    </row>
    <row r="8" spans="1:16" ht="15" x14ac:dyDescent="0.25">
      <c r="A8" s="98" t="s">
        <v>5</v>
      </c>
      <c r="B8" s="99"/>
      <c r="C8" s="54"/>
      <c r="D8" s="55"/>
      <c r="E8" s="55"/>
      <c r="F8" s="55"/>
      <c r="G8" s="55"/>
      <c r="H8" s="55"/>
      <c r="I8" s="55"/>
      <c r="J8" s="55"/>
      <c r="K8" s="55"/>
      <c r="L8" s="55"/>
      <c r="M8" s="55"/>
      <c r="P8" t="s">
        <v>130</v>
      </c>
    </row>
    <row r="9" spans="1:16" ht="15" x14ac:dyDescent="0.25">
      <c r="A9" s="10" t="s">
        <v>6</v>
      </c>
      <c r="B9" s="28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8048.54</v>
      </c>
      <c r="C9" s="54"/>
      <c r="D9" s="55"/>
      <c r="E9" s="55"/>
      <c r="F9" s="55"/>
      <c r="G9" s="55"/>
      <c r="H9" s="55"/>
      <c r="I9" s="55"/>
      <c r="J9" s="55"/>
      <c r="K9" s="55"/>
      <c r="L9" s="55"/>
      <c r="M9" s="55"/>
      <c r="P9" t="s">
        <v>131</v>
      </c>
    </row>
    <row r="10" spans="1:16" ht="15" x14ac:dyDescent="0.25">
      <c r="A10" s="10" t="s">
        <v>7</v>
      </c>
      <c r="B10" s="67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8318.18</v>
      </c>
      <c r="C10" s="73"/>
      <c r="D10" s="55"/>
      <c r="E10" s="55"/>
      <c r="F10" s="55"/>
      <c r="G10" s="55"/>
      <c r="H10" s="55"/>
      <c r="I10" s="55"/>
      <c r="J10" s="55"/>
      <c r="K10" s="55"/>
      <c r="L10" s="55"/>
      <c r="M10" s="55"/>
      <c r="P10" t="s">
        <v>132</v>
      </c>
    </row>
    <row r="11" spans="1:16" ht="15" x14ac:dyDescent="0.25">
      <c r="A11" s="10" t="s">
        <v>8</v>
      </c>
      <c r="B11" s="68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73997.729999999981</v>
      </c>
      <c r="C11" s="64"/>
      <c r="D11" s="55"/>
      <c r="E11" s="55"/>
      <c r="F11" s="55"/>
      <c r="G11" s="55"/>
      <c r="H11" s="55"/>
      <c r="I11" s="55"/>
      <c r="J11" s="55"/>
      <c r="K11" s="55"/>
      <c r="L11" s="55"/>
      <c r="M11" s="55"/>
      <c r="P11" t="s">
        <v>133</v>
      </c>
    </row>
    <row r="12" spans="1:16" ht="15" x14ac:dyDescent="0.25">
      <c r="A12" s="10" t="s">
        <v>9</v>
      </c>
      <c r="B12" s="68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C12" s="64"/>
      <c r="D12" s="55"/>
      <c r="E12" s="55"/>
      <c r="F12" s="55"/>
      <c r="G12" s="55"/>
      <c r="H12" s="55"/>
      <c r="I12" s="55"/>
      <c r="J12" s="55"/>
      <c r="K12" s="55"/>
      <c r="L12" s="55"/>
      <c r="M12" s="55"/>
      <c r="P12" t="s">
        <v>134</v>
      </c>
    </row>
    <row r="13" spans="1:16" ht="15" x14ac:dyDescent="0.25">
      <c r="A13" s="10" t="s">
        <v>10</v>
      </c>
      <c r="B13" s="68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12760.39</v>
      </c>
      <c r="C13" s="64"/>
      <c r="D13" s="55"/>
      <c r="E13" s="55"/>
      <c r="F13" s="55"/>
      <c r="G13" s="55"/>
      <c r="H13" s="55"/>
      <c r="I13" s="55"/>
      <c r="J13" s="55"/>
      <c r="K13" s="54" t="s">
        <v>142</v>
      </c>
      <c r="L13" s="54"/>
      <c r="M13" s="54"/>
      <c r="P13" t="s">
        <v>135</v>
      </c>
    </row>
    <row r="14" spans="1:16" ht="15.75" x14ac:dyDescent="0.25">
      <c r="A14" s="9" t="s">
        <v>11</v>
      </c>
      <c r="B14" s="56">
        <f ca="1">SUM(B9:B13)</f>
        <v>103124.83999999998</v>
      </c>
      <c r="C14" s="64"/>
      <c r="D14" s="55"/>
      <c r="E14" s="55"/>
      <c r="F14" s="55"/>
      <c r="G14" s="55"/>
      <c r="H14" s="55"/>
      <c r="I14" s="55"/>
      <c r="J14" s="55"/>
      <c r="K14" s="55"/>
      <c r="L14" s="55"/>
      <c r="M14" s="55"/>
    </row>
    <row r="15" spans="1:16" ht="15" x14ac:dyDescent="0.25">
      <c r="A15" s="2"/>
      <c r="B15" s="69"/>
      <c r="C15" s="64"/>
      <c r="D15" s="55"/>
      <c r="E15" s="55"/>
      <c r="F15" s="55"/>
      <c r="G15" s="55"/>
      <c r="H15" s="55"/>
      <c r="I15" s="55"/>
      <c r="J15" s="55"/>
      <c r="K15" s="55"/>
      <c r="L15" s="55"/>
      <c r="M15" s="55"/>
    </row>
    <row r="16" spans="1:16" ht="15" x14ac:dyDescent="0.25">
      <c r="A16" s="98" t="s">
        <v>12</v>
      </c>
      <c r="B16" s="100"/>
      <c r="C16" s="74"/>
      <c r="D16" s="55"/>
      <c r="E16" s="55"/>
      <c r="F16" s="55"/>
      <c r="G16" s="55"/>
      <c r="H16" s="55"/>
      <c r="I16" s="55"/>
      <c r="J16" s="55"/>
      <c r="K16" s="55"/>
      <c r="L16" s="55"/>
      <c r="M16" s="55"/>
    </row>
    <row r="17" spans="1:13" ht="15" x14ac:dyDescent="0.25">
      <c r="A17" s="10">
        <f>COUNT(#REF!)</f>
        <v>0</v>
      </c>
      <c r="B17" s="28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11232.64</v>
      </c>
      <c r="C17" s="54"/>
      <c r="D17" s="55"/>
      <c r="E17" s="55"/>
      <c r="F17" s="55"/>
      <c r="G17" s="55"/>
      <c r="H17" s="55"/>
      <c r="I17" s="55"/>
      <c r="J17" s="55"/>
      <c r="K17" s="55"/>
      <c r="L17" s="55"/>
      <c r="M17" s="55"/>
    </row>
    <row r="18" spans="1:13" ht="15.75" x14ac:dyDescent="0.25">
      <c r="A18" s="9" t="s">
        <v>11</v>
      </c>
      <c r="B18" s="56">
        <f>SUM(B17:B17)</f>
        <v>11232.64</v>
      </c>
      <c r="C18" s="73"/>
      <c r="D18" s="55"/>
      <c r="E18" s="55"/>
      <c r="F18" s="55"/>
      <c r="G18" s="55"/>
      <c r="H18" s="55"/>
      <c r="I18" s="55"/>
      <c r="J18" s="55"/>
      <c r="K18" s="55"/>
      <c r="L18" s="55"/>
      <c r="M18" s="55"/>
    </row>
    <row r="19" spans="1:13" ht="13.5" x14ac:dyDescent="0.25">
      <c r="B19" s="63"/>
      <c r="C19" s="64"/>
      <c r="D19" s="55"/>
      <c r="E19" s="55"/>
      <c r="F19" s="55"/>
      <c r="G19" s="55"/>
      <c r="H19" s="55"/>
      <c r="I19" s="55"/>
      <c r="J19" s="55"/>
      <c r="K19" s="55"/>
      <c r="L19" s="55"/>
      <c r="M19" s="55"/>
    </row>
    <row r="20" spans="1:13" ht="13.5" x14ac:dyDescent="0.25">
      <c r="B20" s="75"/>
      <c r="C20" s="74"/>
      <c r="D20" s="55"/>
      <c r="E20" s="55"/>
      <c r="F20" s="55"/>
      <c r="G20" s="55"/>
      <c r="H20" s="55"/>
      <c r="I20" s="55"/>
      <c r="J20" s="55"/>
      <c r="K20" s="55"/>
      <c r="L20" s="55"/>
      <c r="M20" s="55"/>
    </row>
    <row r="21" spans="1:13" ht="13.5" x14ac:dyDescent="0.25">
      <c r="B21" s="54"/>
      <c r="C21" s="54"/>
      <c r="D21" s="55"/>
      <c r="E21" s="55"/>
      <c r="F21" s="55"/>
      <c r="G21" s="55"/>
      <c r="H21" s="55"/>
      <c r="I21" s="55"/>
      <c r="J21" s="55"/>
      <c r="K21" s="55"/>
      <c r="L21" s="55"/>
      <c r="M21" s="55"/>
    </row>
    <row r="22" spans="1:13" ht="13.5" x14ac:dyDescent="0.25">
      <c r="B22" s="54"/>
      <c r="C22" s="54"/>
      <c r="D22" s="55"/>
      <c r="E22" s="55"/>
      <c r="F22" s="55"/>
      <c r="G22" s="55"/>
      <c r="H22" s="55"/>
      <c r="I22" s="55"/>
      <c r="J22" s="55"/>
      <c r="K22" s="55"/>
      <c r="L22" s="55"/>
      <c r="M22" s="55"/>
    </row>
    <row r="23" spans="1:13" ht="13.5" x14ac:dyDescent="0.25"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</row>
    <row r="24" spans="1:13" ht="13.5" x14ac:dyDescent="0.25">
      <c r="B24" s="55"/>
      <c r="C24" s="55"/>
      <c r="D24" s="55"/>
      <c r="E24" s="63" t="s">
        <v>139</v>
      </c>
      <c r="F24" s="54"/>
      <c r="G24" s="54"/>
      <c r="H24" s="54"/>
      <c r="I24" s="64"/>
      <c r="J24" s="55"/>
      <c r="K24" s="55"/>
      <c r="L24" s="55"/>
      <c r="M24" s="55"/>
    </row>
    <row r="25" spans="1:13" ht="13.5" x14ac:dyDescent="0.25">
      <c r="B25" s="55"/>
      <c r="C25" s="55"/>
      <c r="D25" s="55"/>
      <c r="E25" s="62"/>
      <c r="F25" s="55"/>
      <c r="G25" s="55"/>
      <c r="H25" s="55"/>
      <c r="I25" s="65"/>
      <c r="J25" s="55"/>
      <c r="K25" s="55"/>
      <c r="L25" s="55"/>
      <c r="M25" s="55"/>
    </row>
    <row r="26" spans="1:13" ht="13.5" x14ac:dyDescent="0.25"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</row>
    <row r="27" spans="1:13" ht="13.5" x14ac:dyDescent="0.25"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</row>
    <row r="28" spans="1:13" ht="13.5" x14ac:dyDescent="0.25"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</row>
    <row r="29" spans="1:13" ht="13.5" x14ac:dyDescent="0.25"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</row>
    <row r="30" spans="1:13" ht="13.5" x14ac:dyDescent="0.25"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</row>
    <row r="31" spans="1:13" ht="13.5" x14ac:dyDescent="0.25"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</row>
    <row r="32" spans="1:13" ht="13.5" x14ac:dyDescent="0.25"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</row>
    <row r="33" spans="2:13" ht="13.5" x14ac:dyDescent="0.25">
      <c r="B33" s="55"/>
      <c r="C33" s="55"/>
      <c r="D33" s="55"/>
      <c r="E33" s="63" t="s">
        <v>140</v>
      </c>
      <c r="F33" s="54"/>
      <c r="G33" s="54"/>
      <c r="H33" s="54"/>
      <c r="I33" s="64"/>
      <c r="J33" s="55"/>
      <c r="K33" s="63" t="s">
        <v>141</v>
      </c>
      <c r="L33" s="54"/>
      <c r="M33" s="64"/>
    </row>
    <row r="34" spans="2:13" ht="13.5" x14ac:dyDescent="0.25">
      <c r="B34" s="55"/>
      <c r="C34" s="55"/>
      <c r="D34" s="55"/>
      <c r="E34" s="62"/>
      <c r="F34" s="55"/>
      <c r="G34" s="55"/>
      <c r="H34" s="55"/>
      <c r="I34" s="65"/>
      <c r="J34" s="55"/>
      <c r="K34" s="66"/>
      <c r="L34" s="55"/>
      <c r="M34" s="65"/>
    </row>
    <row r="35" spans="2:13" ht="16.5" customHeight="1" x14ac:dyDescent="0.25"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65"/>
    </row>
    <row r="36" spans="2:13" ht="16.5" customHeight="1" x14ac:dyDescent="0.25"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65"/>
    </row>
    <row r="37" spans="2:13" ht="16.5" customHeight="1" x14ac:dyDescent="0.25"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65"/>
    </row>
    <row r="38" spans="2:13" ht="16.5" customHeight="1" x14ac:dyDescent="0.25"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65"/>
    </row>
    <row r="39" spans="2:13" ht="16.5" customHeight="1" x14ac:dyDescent="0.25"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65"/>
    </row>
    <row r="40" spans="2:13" ht="16.5" customHeight="1" x14ac:dyDescent="0.25"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65"/>
    </row>
    <row r="41" spans="2:13" ht="16.5" customHeight="1" x14ac:dyDescent="0.25"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65"/>
    </row>
    <row r="42" spans="2:13" ht="13.5" x14ac:dyDescent="0.25"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</row>
    <row r="43" spans="2:13" ht="13.5" x14ac:dyDescent="0.25"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</row>
    <row r="44" spans="2:13" ht="13.5" x14ac:dyDescent="0.25"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</row>
    <row r="45" spans="2:13" ht="13.5" x14ac:dyDescent="0.25"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</row>
  </sheetData>
  <dataConsolidate/>
  <mergeCells count="4">
    <mergeCell ref="A8:B8"/>
    <mergeCell ref="A16:B16"/>
    <mergeCell ref="B1:C1"/>
    <mergeCell ref="L1:M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5"/>
  <sheetViews>
    <sheetView showGridLines="0" zoomScale="90" zoomScaleNormal="90" workbookViewId="0">
      <selection activeCell="K20" sqref="K20"/>
    </sheetView>
  </sheetViews>
  <sheetFormatPr defaultColWidth="9.140625" defaultRowHeight="12.75" x14ac:dyDescent="0.2"/>
  <cols>
    <col min="1" max="1" width="3.7109375" style="1" customWidth="1"/>
    <col min="2" max="2" width="24.57031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34.7109375" style="1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v>45870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4" t="s">
        <v>0</v>
      </c>
      <c r="C4" s="25">
        <v>0</v>
      </c>
      <c r="D4" s="57"/>
      <c r="E4" s="113" t="s">
        <v>137</v>
      </c>
      <c r="F4" s="113"/>
      <c r="G4" s="113"/>
      <c r="H4" s="113"/>
      <c r="I4" s="113"/>
      <c r="J4" s="29"/>
      <c r="K4" s="107" t="s">
        <v>138</v>
      </c>
      <c r="L4" s="108"/>
      <c r="M4" s="109"/>
    </row>
    <row r="5" spans="2:18" ht="16.5" x14ac:dyDescent="0.3">
      <c r="B5" s="27" t="s">
        <v>1</v>
      </c>
      <c r="C5" s="28">
        <f>SUMIF(I6:I31,"&gt;0",H6:H31)</f>
        <v>1899.99</v>
      </c>
      <c r="D5" s="29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29"/>
      <c r="K5" s="21" t="s">
        <v>18</v>
      </c>
      <c r="L5" s="22" t="s">
        <v>19</v>
      </c>
      <c r="M5" s="23" t="s">
        <v>20</v>
      </c>
    </row>
    <row r="6" spans="2:18" ht="16.5" x14ac:dyDescent="0.3">
      <c r="B6" s="27" t="s">
        <v>2</v>
      </c>
      <c r="C6" s="28">
        <f>C16</f>
        <v>814.85</v>
      </c>
      <c r="D6" s="29"/>
      <c r="E6" s="76">
        <v>11498</v>
      </c>
      <c r="F6" s="77" t="s">
        <v>152</v>
      </c>
      <c r="G6" s="50" t="s">
        <v>36</v>
      </c>
      <c r="H6" s="38">
        <v>0</v>
      </c>
      <c r="I6" s="38">
        <v>0</v>
      </c>
      <c r="J6" s="29"/>
      <c r="K6" s="77" t="s">
        <v>177</v>
      </c>
      <c r="L6" s="91" t="s">
        <v>178</v>
      </c>
      <c r="M6" s="42">
        <v>200</v>
      </c>
      <c r="R6" s="1">
        <f>IF(vend1[[#This Row],[Nº Venda]]&gt;1,1,0)</f>
        <v>1</v>
      </c>
    </row>
    <row r="7" spans="2:18" ht="16.5" x14ac:dyDescent="0.3">
      <c r="B7" s="27" t="s">
        <v>3</v>
      </c>
      <c r="C7" s="28">
        <f>SUM(M6:M11)</f>
        <v>200</v>
      </c>
      <c r="D7" s="29"/>
      <c r="E7" s="76">
        <v>11499</v>
      </c>
      <c r="F7" s="77" t="s">
        <v>153</v>
      </c>
      <c r="G7" s="50" t="s">
        <v>8</v>
      </c>
      <c r="H7" s="38">
        <v>1599.99</v>
      </c>
      <c r="I7" s="38">
        <v>150</v>
      </c>
      <c r="J7" s="29"/>
      <c r="K7" s="77"/>
      <c r="L7" s="91"/>
      <c r="M7" s="42"/>
      <c r="R7" s="1">
        <f>IF(vend1[[#This Row],[Nº Venda]]&gt;1,1,0)</f>
        <v>1</v>
      </c>
    </row>
    <row r="8" spans="2:18" ht="16.5" x14ac:dyDescent="0.3">
      <c r="B8" s="30" t="s">
        <v>21</v>
      </c>
      <c r="C8" s="31">
        <f>SUM(C6:C7)</f>
        <v>1014.85</v>
      </c>
      <c r="D8" s="29"/>
      <c r="E8" s="76">
        <v>11500</v>
      </c>
      <c r="F8" s="77" t="s">
        <v>154</v>
      </c>
      <c r="G8" s="50" t="s">
        <v>10</v>
      </c>
      <c r="H8" s="38">
        <v>50</v>
      </c>
      <c r="I8" s="38">
        <v>50</v>
      </c>
      <c r="J8" s="29"/>
      <c r="K8" s="77"/>
      <c r="L8" s="91"/>
      <c r="M8" s="42"/>
      <c r="R8" s="1">
        <f>IF(vend1[[#This Row],[Nº Venda]]&gt;1,1,0)</f>
        <v>1</v>
      </c>
    </row>
    <row r="9" spans="2:18" ht="16.5" x14ac:dyDescent="0.3">
      <c r="B9" s="26"/>
      <c r="C9" s="26"/>
      <c r="D9" s="29"/>
      <c r="E9" s="76">
        <v>11501</v>
      </c>
      <c r="F9" s="77" t="s">
        <v>155</v>
      </c>
      <c r="G9" s="50" t="s">
        <v>6</v>
      </c>
      <c r="H9" s="38">
        <v>250</v>
      </c>
      <c r="I9" s="38">
        <v>10</v>
      </c>
      <c r="J9" s="29"/>
      <c r="K9" s="77"/>
      <c r="L9" s="91"/>
      <c r="M9" s="42"/>
      <c r="R9" s="1">
        <f>IF(vend1[[#This Row],[Nº Venda]]&gt;1,1,0)</f>
        <v>1</v>
      </c>
    </row>
    <row r="10" spans="2:18" ht="16.5" x14ac:dyDescent="0.3">
      <c r="B10" s="114" t="s">
        <v>5</v>
      </c>
      <c r="C10" s="115"/>
      <c r="D10" s="29"/>
      <c r="E10" s="76"/>
      <c r="F10" s="77"/>
      <c r="G10" s="50"/>
      <c r="H10" s="38"/>
      <c r="I10" s="38"/>
      <c r="J10" s="29"/>
      <c r="K10" s="77"/>
      <c r="L10" s="91"/>
      <c r="M10" s="42"/>
      <c r="R10" s="1">
        <f>IF(vend1[[#This Row],[Nº Venda]]&gt;1,1,0)</f>
        <v>0</v>
      </c>
    </row>
    <row r="11" spans="2:18" ht="16.5" x14ac:dyDescent="0.3">
      <c r="B11" s="27" t="s">
        <v>6</v>
      </c>
      <c r="C11" s="70">
        <f>(SUMIF($G$2:$G$31,B11,$I$2:$I$31))+(SUMIF($G$35:$G$41,B11,$H$35:$H$41))</f>
        <v>160</v>
      </c>
      <c r="D11" s="29"/>
      <c r="E11" s="76"/>
      <c r="F11" s="77"/>
      <c r="G11" s="50"/>
      <c r="H11" s="38"/>
      <c r="I11" s="38"/>
      <c r="J11" s="29"/>
      <c r="K11" s="37"/>
      <c r="L11" s="91"/>
      <c r="M11" s="42"/>
      <c r="O11" s="1">
        <f>IF(C16=0,0,1)</f>
        <v>1</v>
      </c>
      <c r="R11" s="1">
        <f>IF(vend1[[#This Row],[Nº Venda]]&gt;1,1,0)</f>
        <v>0</v>
      </c>
    </row>
    <row r="12" spans="2:18" ht="16.5" x14ac:dyDescent="0.3">
      <c r="B12" s="27" t="s">
        <v>7</v>
      </c>
      <c r="C12" s="70">
        <f t="shared" ref="C12:C15" si="0">(SUMIF($G$2:$G$31,B12,$I$2:$I$31))+(SUMIF($G$35:$G$41,B12,$H$35:$H$41))</f>
        <v>0</v>
      </c>
      <c r="D12" s="29"/>
      <c r="E12" s="76"/>
      <c r="F12" s="77"/>
      <c r="G12" s="50"/>
      <c r="H12" s="38"/>
      <c r="I12" s="38"/>
      <c r="J12" s="29"/>
      <c r="K12" s="32"/>
      <c r="L12" s="32"/>
      <c r="M12" s="32"/>
      <c r="R12" s="1">
        <f>IF(vend1[[#This Row],[Nº Venda]]&gt;1,1,0)</f>
        <v>0</v>
      </c>
    </row>
    <row r="13" spans="2:18" ht="16.5" x14ac:dyDescent="0.3">
      <c r="B13" s="27" t="s">
        <v>8</v>
      </c>
      <c r="C13" s="70">
        <f t="shared" si="0"/>
        <v>150</v>
      </c>
      <c r="D13" s="29"/>
      <c r="E13" s="76"/>
      <c r="F13" s="77"/>
      <c r="G13" s="50"/>
      <c r="H13" s="38"/>
      <c r="I13" s="38"/>
      <c r="J13" s="29"/>
      <c r="K13" s="107" t="s">
        <v>142</v>
      </c>
      <c r="L13" s="108"/>
      <c r="M13" s="109"/>
      <c r="R13" s="1">
        <f>IF(vend1[[#This Row],[Nº Venda]]&gt;1,1,0)</f>
        <v>0</v>
      </c>
    </row>
    <row r="14" spans="2:18" ht="16.5" x14ac:dyDescent="0.3">
      <c r="B14" s="27" t="s">
        <v>9</v>
      </c>
      <c r="C14" s="70">
        <f t="shared" si="0"/>
        <v>0</v>
      </c>
      <c r="D14" s="29"/>
      <c r="E14" s="76"/>
      <c r="F14" s="77"/>
      <c r="G14" s="50"/>
      <c r="H14" s="38"/>
      <c r="I14" s="38"/>
      <c r="J14" s="29"/>
      <c r="K14" s="21" t="s">
        <v>22</v>
      </c>
      <c r="L14" s="22" t="s">
        <v>23</v>
      </c>
      <c r="M14" s="23" t="s">
        <v>24</v>
      </c>
      <c r="R14" s="1">
        <f>IF(vend1[[#This Row],[Nº Venda]]&gt;1,1,0)</f>
        <v>0</v>
      </c>
    </row>
    <row r="15" spans="2:18" ht="16.5" x14ac:dyDescent="0.3">
      <c r="B15" s="27" t="s">
        <v>10</v>
      </c>
      <c r="C15" s="70">
        <f t="shared" si="0"/>
        <v>504.85</v>
      </c>
      <c r="D15" s="29"/>
      <c r="E15" s="76"/>
      <c r="F15" s="77"/>
      <c r="G15" s="50"/>
      <c r="H15" s="38"/>
      <c r="I15" s="38"/>
      <c r="J15" s="29"/>
      <c r="K15" s="76">
        <v>10749</v>
      </c>
      <c r="L15" s="91" t="s">
        <v>129</v>
      </c>
      <c r="M15" s="42" t="s">
        <v>145</v>
      </c>
      <c r="R15" s="1">
        <f>IF(vend1[[#This Row],[Nº Venda]]&gt;1,1,0)</f>
        <v>0</v>
      </c>
    </row>
    <row r="16" spans="2:18" ht="16.5" x14ac:dyDescent="0.3">
      <c r="B16" s="30" t="s">
        <v>11</v>
      </c>
      <c r="C16" s="71">
        <f>SUM(C11:C15)</f>
        <v>814.85</v>
      </c>
      <c r="D16" s="29"/>
      <c r="E16" s="76"/>
      <c r="F16" s="77"/>
      <c r="G16" s="50"/>
      <c r="H16" s="38"/>
      <c r="I16" s="38"/>
      <c r="J16" s="29"/>
      <c r="K16" s="76">
        <v>11393</v>
      </c>
      <c r="L16" s="91" t="s">
        <v>129</v>
      </c>
      <c r="M16" s="42" t="s">
        <v>146</v>
      </c>
      <c r="R16" s="1">
        <f>IF(vend1[[#This Row],[Nº Venda]]&gt;1,1,0)</f>
        <v>0</v>
      </c>
    </row>
    <row r="17" spans="2:18" ht="16.5" x14ac:dyDescent="0.3">
      <c r="B17" s="26"/>
      <c r="C17" s="26"/>
      <c r="D17" s="29"/>
      <c r="E17" s="76"/>
      <c r="F17" s="77"/>
      <c r="G17" s="50"/>
      <c r="H17" s="38"/>
      <c r="I17" s="38"/>
      <c r="J17" s="29"/>
      <c r="K17" s="76">
        <v>11400</v>
      </c>
      <c r="L17" s="91" t="s">
        <v>129</v>
      </c>
      <c r="M17" s="42" t="s">
        <v>145</v>
      </c>
      <c r="R17" s="1">
        <f>IF(vend1[[#This Row],[Nº Venda]]&gt;1,1,0)</f>
        <v>0</v>
      </c>
    </row>
    <row r="18" spans="2:18" ht="16.5" x14ac:dyDescent="0.3">
      <c r="B18" s="114" t="s">
        <v>12</v>
      </c>
      <c r="C18" s="115"/>
      <c r="D18" s="29"/>
      <c r="E18" s="76"/>
      <c r="F18" s="77"/>
      <c r="G18" s="50"/>
      <c r="H18" s="38"/>
      <c r="I18" s="38"/>
      <c r="J18" s="29"/>
      <c r="K18" s="76">
        <v>11410</v>
      </c>
      <c r="L18" s="91" t="s">
        <v>129</v>
      </c>
      <c r="M18" s="42" t="s">
        <v>145</v>
      </c>
      <c r="R18" s="1">
        <f>IF(vend1[[#This Row],[Nº Venda]]&gt;1,1,0)</f>
        <v>0</v>
      </c>
    </row>
    <row r="19" spans="2:18" ht="16.5" x14ac:dyDescent="0.3">
      <c r="B19" s="27">
        <f>COUNT(entr_carn1[OS])</f>
        <v>2</v>
      </c>
      <c r="C19" s="70">
        <f>SUM(entr_carn1[Valor Total])</f>
        <v>859.3</v>
      </c>
      <c r="D19" s="29"/>
      <c r="E19" s="76"/>
      <c r="F19" s="77"/>
      <c r="G19" s="50"/>
      <c r="H19" s="38"/>
      <c r="I19" s="38"/>
      <c r="J19" s="29"/>
      <c r="K19" s="76">
        <v>11437</v>
      </c>
      <c r="L19" s="91" t="s">
        <v>131</v>
      </c>
      <c r="M19" s="42" t="s">
        <v>146</v>
      </c>
      <c r="R19" s="1">
        <f>IF(vend1[[#This Row],[Nº Venda]]&gt;1,1,0)</f>
        <v>0</v>
      </c>
    </row>
    <row r="20" spans="2:18" ht="16.5" x14ac:dyDescent="0.3">
      <c r="B20" s="30" t="s">
        <v>11</v>
      </c>
      <c r="C20" s="71">
        <f>SUM(C19:C19)</f>
        <v>859.3</v>
      </c>
      <c r="D20" s="29"/>
      <c r="E20" s="76"/>
      <c r="F20" s="50"/>
      <c r="G20" s="50"/>
      <c r="H20" s="38"/>
      <c r="I20" s="38"/>
      <c r="J20" s="29"/>
      <c r="K20" s="76">
        <v>11500</v>
      </c>
      <c r="L20" s="91" t="s">
        <v>131</v>
      </c>
      <c r="M20" s="42" t="s">
        <v>145</v>
      </c>
      <c r="R20" s="1">
        <f>IF(vend1[[#This Row],[Nº Venda]]&gt;1,1,0)</f>
        <v>0</v>
      </c>
    </row>
    <row r="21" spans="2:18" ht="16.5" x14ac:dyDescent="0.3">
      <c r="B21" s="26"/>
      <c r="C21" s="26"/>
      <c r="D21" s="29"/>
      <c r="E21" s="76"/>
      <c r="F21" s="77"/>
      <c r="G21" s="50"/>
      <c r="H21" s="38"/>
      <c r="I21" s="38"/>
      <c r="J21" s="29"/>
      <c r="K21" s="76"/>
      <c r="L21" s="91"/>
      <c r="M21" s="42"/>
    </row>
    <row r="22" spans="2:18" ht="16.5" x14ac:dyDescent="0.3">
      <c r="B22" s="30" t="s">
        <v>25</v>
      </c>
      <c r="C22" s="33">
        <f>C5</f>
        <v>1899.99</v>
      </c>
      <c r="D22" s="29"/>
      <c r="E22" s="78"/>
      <c r="F22" s="77"/>
      <c r="G22" s="50"/>
      <c r="H22" s="38"/>
      <c r="I22" s="38"/>
      <c r="J22" s="29"/>
      <c r="K22" s="76"/>
      <c r="L22" s="91"/>
      <c r="M22" s="42"/>
    </row>
    <row r="23" spans="2:18" ht="16.5" x14ac:dyDescent="0.3">
      <c r="B23" s="29"/>
      <c r="C23" s="29"/>
      <c r="D23" s="29"/>
      <c r="E23" s="34"/>
      <c r="F23" s="34"/>
      <c r="G23" s="34"/>
      <c r="H23" s="35"/>
      <c r="I23" s="36"/>
      <c r="J23" s="29"/>
      <c r="K23" s="76"/>
      <c r="L23" s="91"/>
      <c r="M23" s="42"/>
    </row>
    <row r="24" spans="2:18" ht="16.5" x14ac:dyDescent="0.3">
      <c r="B24" s="29"/>
      <c r="C24" s="29"/>
      <c r="D24" s="29"/>
      <c r="E24" s="105" t="s">
        <v>139</v>
      </c>
      <c r="F24" s="106"/>
      <c r="G24" s="106"/>
      <c r="H24" s="106"/>
      <c r="I24" s="106"/>
      <c r="J24" s="29"/>
      <c r="K24" s="76"/>
      <c r="L24" s="91"/>
      <c r="M24" s="42"/>
    </row>
    <row r="25" spans="2:18" ht="16.5" x14ac:dyDescent="0.3">
      <c r="B25" s="29"/>
      <c r="C25" s="29"/>
      <c r="D25" s="29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29"/>
      <c r="K25" s="76"/>
      <c r="L25" s="91"/>
      <c r="M25" s="42"/>
    </row>
    <row r="26" spans="2:18" ht="16.5" x14ac:dyDescent="0.3">
      <c r="B26" s="29"/>
      <c r="C26" s="29"/>
      <c r="D26" s="29"/>
      <c r="E26" s="76">
        <v>11393</v>
      </c>
      <c r="F26" s="77" t="s">
        <v>147</v>
      </c>
      <c r="G26" s="50" t="s">
        <v>10</v>
      </c>
      <c r="H26" s="38"/>
      <c r="I26" s="38">
        <v>250</v>
      </c>
      <c r="J26" s="29"/>
      <c r="K26" s="76"/>
      <c r="L26" s="91"/>
      <c r="M26" s="42"/>
    </row>
    <row r="27" spans="2:18" ht="16.5" x14ac:dyDescent="0.3">
      <c r="B27" s="29"/>
      <c r="C27" s="29"/>
      <c r="D27" s="29"/>
      <c r="E27" s="76">
        <v>11437</v>
      </c>
      <c r="F27" s="77" t="s">
        <v>148</v>
      </c>
      <c r="G27" s="50" t="s">
        <v>6</v>
      </c>
      <c r="H27" s="38"/>
      <c r="I27" s="38">
        <v>150</v>
      </c>
      <c r="J27" s="29"/>
      <c r="K27" s="76"/>
      <c r="L27" s="91"/>
      <c r="M27" s="42"/>
    </row>
    <row r="28" spans="2:18" ht="16.5" x14ac:dyDescent="0.3">
      <c r="B28" s="29"/>
      <c r="C28" s="29"/>
      <c r="D28" s="29"/>
      <c r="E28" s="76"/>
      <c r="F28" s="77"/>
      <c r="G28" s="50"/>
      <c r="H28" s="38"/>
      <c r="I28" s="38"/>
      <c r="J28" s="29"/>
      <c r="K28" s="76"/>
      <c r="L28" s="91"/>
      <c r="M28" s="42"/>
    </row>
    <row r="29" spans="2:18" ht="16.5" x14ac:dyDescent="0.3">
      <c r="B29" s="29"/>
      <c r="C29" s="29"/>
      <c r="D29" s="29"/>
      <c r="E29" s="76"/>
      <c r="F29" s="77"/>
      <c r="G29" s="50"/>
      <c r="H29" s="38"/>
      <c r="I29" s="38"/>
      <c r="J29" s="29"/>
      <c r="K29" s="76"/>
      <c r="L29" s="91"/>
      <c r="M29" s="42"/>
    </row>
    <row r="30" spans="2:18" ht="16.5" x14ac:dyDescent="0.3">
      <c r="B30" s="29"/>
      <c r="C30" s="29"/>
      <c r="D30" s="29"/>
      <c r="E30" s="76"/>
      <c r="F30" s="50"/>
      <c r="G30" s="50"/>
      <c r="H30" s="38"/>
      <c r="I30" s="38"/>
      <c r="J30" s="29"/>
      <c r="K30" s="76"/>
      <c r="L30" s="91"/>
      <c r="M30" s="42"/>
    </row>
    <row r="31" spans="2:18" ht="16.5" x14ac:dyDescent="0.3">
      <c r="B31" s="29"/>
      <c r="C31" s="29"/>
      <c r="D31" s="29"/>
      <c r="E31" s="78"/>
      <c r="F31" s="79"/>
      <c r="G31" s="40"/>
      <c r="H31" s="41"/>
      <c r="I31" s="41"/>
      <c r="J31" s="29"/>
      <c r="K31" s="76"/>
      <c r="L31" s="91"/>
      <c r="M31" s="42"/>
    </row>
    <row r="32" spans="2:18" ht="16.5" x14ac:dyDescent="0.3">
      <c r="B32" s="29"/>
      <c r="C32" s="29"/>
      <c r="D32" s="37"/>
      <c r="E32" s="34"/>
      <c r="F32" s="34"/>
      <c r="G32" s="34"/>
      <c r="H32" s="36"/>
      <c r="I32" s="36"/>
      <c r="J32" s="37"/>
      <c r="K32" s="32"/>
      <c r="L32" s="32"/>
      <c r="M32" s="32"/>
    </row>
    <row r="33" spans="2:18" ht="16.5" x14ac:dyDescent="0.3">
      <c r="B33" s="29"/>
      <c r="C33" s="29"/>
      <c r="D33" s="37"/>
      <c r="E33" s="105" t="s">
        <v>140</v>
      </c>
      <c r="F33" s="106"/>
      <c r="G33" s="106"/>
      <c r="H33" s="106"/>
      <c r="I33" s="106"/>
      <c r="J33" s="37"/>
      <c r="K33" s="107" t="s">
        <v>141</v>
      </c>
      <c r="L33" s="108"/>
      <c r="M33" s="109"/>
    </row>
    <row r="34" spans="2:18" ht="16.5" x14ac:dyDescent="0.3">
      <c r="B34" s="37"/>
      <c r="C34" s="37"/>
      <c r="D34" s="37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7"/>
      <c r="K34" s="22" t="s">
        <v>22</v>
      </c>
      <c r="L34" s="21" t="s">
        <v>28</v>
      </c>
      <c r="M34" s="22" t="s">
        <v>29</v>
      </c>
    </row>
    <row r="35" spans="2:18" ht="16.5" customHeight="1" x14ac:dyDescent="0.25">
      <c r="B35" s="37"/>
      <c r="C35" s="37"/>
      <c r="D35" s="37"/>
      <c r="E35" s="76">
        <v>10151</v>
      </c>
      <c r="F35" s="77" t="s">
        <v>151</v>
      </c>
      <c r="G35" s="50" t="s">
        <v>10</v>
      </c>
      <c r="H35" s="38">
        <v>95</v>
      </c>
      <c r="I35" s="38" t="s">
        <v>74</v>
      </c>
      <c r="J35" s="37"/>
      <c r="K35" s="76">
        <v>11437</v>
      </c>
      <c r="L35" s="76">
        <v>7</v>
      </c>
      <c r="M35" s="91">
        <v>559.29999999999995</v>
      </c>
    </row>
    <row r="36" spans="2:18" ht="16.5" customHeight="1" x14ac:dyDescent="0.25">
      <c r="B36" s="37"/>
      <c r="C36" s="37"/>
      <c r="D36" s="37"/>
      <c r="E36" s="76">
        <v>10832</v>
      </c>
      <c r="F36" s="77" t="s">
        <v>149</v>
      </c>
      <c r="G36" s="50" t="s">
        <v>10</v>
      </c>
      <c r="H36" s="38">
        <v>30</v>
      </c>
      <c r="I36" s="38" t="s">
        <v>63</v>
      </c>
      <c r="J36" s="37"/>
      <c r="K36" s="76">
        <v>11393</v>
      </c>
      <c r="L36" s="76">
        <v>6</v>
      </c>
      <c r="M36" s="91">
        <v>300</v>
      </c>
    </row>
    <row r="37" spans="2:18" ht="16.5" customHeight="1" x14ac:dyDescent="0.25">
      <c r="B37" s="37"/>
      <c r="C37" s="37"/>
      <c r="D37" s="37"/>
      <c r="E37" s="76">
        <v>11245</v>
      </c>
      <c r="F37" s="77" t="s">
        <v>150</v>
      </c>
      <c r="G37" s="50" t="s">
        <v>10</v>
      </c>
      <c r="H37" s="38">
        <v>79.849999999999994</v>
      </c>
      <c r="I37" s="38" t="s">
        <v>32</v>
      </c>
      <c r="J37" s="37"/>
      <c r="K37" s="76"/>
      <c r="L37" s="76"/>
      <c r="M37" s="91"/>
    </row>
    <row r="38" spans="2:18" ht="16.5" customHeight="1" x14ac:dyDescent="0.25">
      <c r="B38" s="37"/>
      <c r="C38" s="37"/>
      <c r="D38" s="37"/>
      <c r="E38" s="76"/>
      <c r="F38" s="77"/>
      <c r="G38" s="50"/>
      <c r="H38" s="38"/>
      <c r="I38" s="38"/>
      <c r="J38" s="37"/>
      <c r="K38" s="76"/>
      <c r="L38" s="76"/>
      <c r="M38" s="91"/>
    </row>
    <row r="39" spans="2:18" ht="16.5" customHeight="1" x14ac:dyDescent="0.25">
      <c r="B39" s="37"/>
      <c r="C39" s="37"/>
      <c r="D39" s="37"/>
      <c r="E39" s="76"/>
      <c r="F39" s="50"/>
      <c r="G39" s="50"/>
      <c r="H39" s="38"/>
      <c r="I39" s="38"/>
      <c r="J39" s="37"/>
      <c r="K39" s="76"/>
      <c r="L39" s="76"/>
      <c r="M39" s="91"/>
    </row>
    <row r="40" spans="2:18" ht="16.5" customHeight="1" x14ac:dyDescent="0.25">
      <c r="B40" s="37"/>
      <c r="C40" s="37"/>
      <c r="D40" s="37"/>
      <c r="E40" s="78"/>
      <c r="F40" s="79"/>
      <c r="G40" s="40"/>
      <c r="H40" s="41"/>
      <c r="I40" s="38"/>
      <c r="J40" s="37"/>
      <c r="K40" s="78"/>
      <c r="L40" s="78"/>
      <c r="M40" s="92"/>
      <c r="Q40" s="1" t="s">
        <v>33</v>
      </c>
      <c r="R40" s="1">
        <f>SUM(R6:R21)</f>
        <v>4</v>
      </c>
    </row>
    <row r="41" spans="2:18" ht="16.5" customHeight="1" x14ac:dyDescent="0.25">
      <c r="B41" s="37"/>
      <c r="C41" s="37"/>
      <c r="D41" s="37"/>
      <c r="E41" s="82"/>
      <c r="F41" s="50"/>
      <c r="G41" s="50"/>
      <c r="H41" s="38"/>
      <c r="I41" s="38"/>
      <c r="J41" s="37"/>
      <c r="K41" s="76"/>
      <c r="L41" s="76"/>
      <c r="M41" s="92"/>
    </row>
    <row r="42" spans="2:18" ht="13.5" x14ac:dyDescent="0.25">
      <c r="B42" s="37"/>
      <c r="C42" s="37"/>
      <c r="D42" s="37"/>
      <c r="E42" s="34"/>
      <c r="F42" s="34"/>
      <c r="G42" s="34"/>
      <c r="H42" s="36"/>
      <c r="I42" s="36"/>
      <c r="J42" s="37"/>
      <c r="K42" s="32"/>
      <c r="L42" s="32"/>
      <c r="M42" s="32"/>
    </row>
    <row r="43" spans="2:18" ht="13.5" x14ac:dyDescent="0.25">
      <c r="B43" s="37"/>
      <c r="C43" s="37"/>
      <c r="D43" s="37"/>
      <c r="E43" s="34"/>
      <c r="F43" s="34"/>
      <c r="G43" s="34"/>
      <c r="H43" s="36"/>
      <c r="I43" s="36"/>
      <c r="J43" s="37"/>
      <c r="K43" s="32"/>
      <c r="L43" s="32"/>
      <c r="M43" s="32"/>
    </row>
    <row r="44" spans="2:18" ht="13.5" x14ac:dyDescent="0.25">
      <c r="B44" s="37"/>
      <c r="C44" s="37"/>
      <c r="D44" s="37"/>
      <c r="E44" s="34"/>
      <c r="F44" s="34"/>
      <c r="G44" s="34"/>
      <c r="H44" s="36"/>
      <c r="I44" s="36"/>
      <c r="J44" s="37"/>
      <c r="K44" s="32"/>
      <c r="L44" s="32"/>
      <c r="M44" s="32"/>
    </row>
    <row r="45" spans="2:18" ht="13.5" x14ac:dyDescent="0.25">
      <c r="B45" s="37"/>
      <c r="C45" s="37"/>
      <c r="D45" s="37"/>
      <c r="E45" s="34"/>
      <c r="F45" s="34"/>
      <c r="G45" s="34"/>
      <c r="H45" s="36"/>
      <c r="I45" s="36"/>
      <c r="J45" s="37"/>
      <c r="K45" s="32"/>
      <c r="L45" s="32"/>
      <c r="M45" s="32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28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R45"/>
  <sheetViews>
    <sheetView showGridLines="0" zoomScale="90" zoomScaleNormal="90" workbookViewId="0">
      <selection activeCell="F16" sqref="F16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41.42578125" style="11" bestFit="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'01'!B1+1</f>
        <v>45871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4" t="s">
        <v>0</v>
      </c>
      <c r="C4" s="25">
        <v>0</v>
      </c>
      <c r="D4" s="57"/>
      <c r="E4" s="113" t="s">
        <v>137</v>
      </c>
      <c r="F4" s="113"/>
      <c r="G4" s="113"/>
      <c r="H4" s="113"/>
      <c r="I4" s="113"/>
      <c r="J4" s="29"/>
      <c r="K4" s="107" t="s">
        <v>138</v>
      </c>
      <c r="L4" s="108"/>
      <c r="M4" s="109"/>
    </row>
    <row r="5" spans="2:18" ht="16.5" x14ac:dyDescent="0.3">
      <c r="B5" s="27" t="s">
        <v>1</v>
      </c>
      <c r="C5" s="28">
        <f>SUMIF(I6:I31,"&gt;0",H6:H31)</f>
        <v>5071</v>
      </c>
      <c r="D5" s="29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29"/>
      <c r="K5" s="21" t="s">
        <v>18</v>
      </c>
      <c r="L5" s="22" t="s">
        <v>19</v>
      </c>
      <c r="M5" s="23" t="s">
        <v>20</v>
      </c>
    </row>
    <row r="6" spans="2:18" ht="16.5" x14ac:dyDescent="0.3">
      <c r="B6" s="27" t="s">
        <v>2</v>
      </c>
      <c r="C6" s="28">
        <f>C16</f>
        <v>3576.62</v>
      </c>
      <c r="D6" s="29"/>
      <c r="E6" s="76">
        <v>11502</v>
      </c>
      <c r="F6" s="77" t="s">
        <v>156</v>
      </c>
      <c r="G6" s="49" t="s">
        <v>8</v>
      </c>
      <c r="H6" s="38">
        <v>299</v>
      </c>
      <c r="I6" s="38">
        <v>299</v>
      </c>
      <c r="J6" s="29"/>
      <c r="K6" s="77" t="s">
        <v>179</v>
      </c>
      <c r="L6" s="91" t="s">
        <v>180</v>
      </c>
      <c r="M6" s="42">
        <v>175</v>
      </c>
      <c r="R6" s="1">
        <f>IF(vend2[[#This Row],[Nº Venda]]&gt;1,1,0)</f>
        <v>1</v>
      </c>
    </row>
    <row r="7" spans="2:18" ht="16.5" x14ac:dyDescent="0.3">
      <c r="B7" s="27" t="s">
        <v>3</v>
      </c>
      <c r="C7" s="28">
        <f>SUM(M6:M11)</f>
        <v>175</v>
      </c>
      <c r="D7" s="29"/>
      <c r="E7" s="76">
        <v>11503</v>
      </c>
      <c r="F7" s="77" t="s">
        <v>157</v>
      </c>
      <c r="G7" s="49" t="s">
        <v>8</v>
      </c>
      <c r="H7" s="38">
        <v>1364</v>
      </c>
      <c r="I7" s="38">
        <v>100</v>
      </c>
      <c r="J7" s="29"/>
      <c r="K7" s="77"/>
      <c r="L7" s="91"/>
      <c r="M7" s="42"/>
      <c r="R7" s="1">
        <f>IF(vend2[[#This Row],[Nº Venda]]&gt;1,1,0)</f>
        <v>1</v>
      </c>
    </row>
    <row r="8" spans="2:18" ht="16.5" x14ac:dyDescent="0.3">
      <c r="B8" s="30" t="s">
        <v>21</v>
      </c>
      <c r="C8" s="31">
        <f>SUM(C6:C7)</f>
        <v>3751.62</v>
      </c>
      <c r="D8" s="29"/>
      <c r="E8" s="76">
        <v>11504</v>
      </c>
      <c r="F8" s="77" t="s">
        <v>158</v>
      </c>
      <c r="G8" s="50" t="s">
        <v>8</v>
      </c>
      <c r="H8" s="38">
        <v>690</v>
      </c>
      <c r="I8" s="38">
        <v>690</v>
      </c>
      <c r="J8" s="29"/>
      <c r="K8" s="77"/>
      <c r="L8" s="91"/>
      <c r="M8" s="42"/>
      <c r="R8" s="1">
        <f>IF(vend2[[#This Row],[Nº Venda]]&gt;1,1,0)</f>
        <v>1</v>
      </c>
    </row>
    <row r="9" spans="2:18" ht="16.5" x14ac:dyDescent="0.3">
      <c r="B9" s="26"/>
      <c r="C9" s="26"/>
      <c r="D9" s="29"/>
      <c r="E9" s="76">
        <v>11505</v>
      </c>
      <c r="F9" s="77" t="s">
        <v>159</v>
      </c>
      <c r="G9" s="50" t="s">
        <v>8</v>
      </c>
      <c r="H9" s="38">
        <v>190</v>
      </c>
      <c r="I9" s="38">
        <v>190</v>
      </c>
      <c r="J9" s="29"/>
      <c r="K9" s="77"/>
      <c r="L9" s="91"/>
      <c r="M9" s="42"/>
      <c r="R9" s="1">
        <f>IF(vend2[[#This Row],[Nº Venda]]&gt;1,1,0)</f>
        <v>1</v>
      </c>
    </row>
    <row r="10" spans="2:18" ht="16.5" x14ac:dyDescent="0.3">
      <c r="B10" s="114" t="s">
        <v>5</v>
      </c>
      <c r="C10" s="115"/>
      <c r="D10" s="29"/>
      <c r="E10" s="76">
        <v>11506</v>
      </c>
      <c r="F10" s="77" t="s">
        <v>163</v>
      </c>
      <c r="G10" s="50" t="s">
        <v>46</v>
      </c>
      <c r="H10" s="38">
        <v>0</v>
      </c>
      <c r="I10" s="38">
        <v>0</v>
      </c>
      <c r="J10" s="29"/>
      <c r="K10" s="77"/>
      <c r="L10" s="91"/>
      <c r="M10" s="42"/>
      <c r="R10" s="1">
        <f>IF(vend2[[#This Row],[Nº Venda]]&gt;1,1,0)</f>
        <v>1</v>
      </c>
    </row>
    <row r="11" spans="2:18" ht="16.5" x14ac:dyDescent="0.3">
      <c r="B11" s="27" t="s">
        <v>6</v>
      </c>
      <c r="C11" s="70">
        <f>(SUMIF($G$2:$G$31,B11,$I$2:$I$31))+(SUMIF($G$35:$G$41,B11,$H$35:$H$41))</f>
        <v>175</v>
      </c>
      <c r="D11" s="29"/>
      <c r="E11" s="76">
        <v>11507</v>
      </c>
      <c r="F11" s="77" t="s">
        <v>160</v>
      </c>
      <c r="G11" s="50" t="s">
        <v>7</v>
      </c>
      <c r="H11" s="38">
        <v>1500</v>
      </c>
      <c r="I11" s="38">
        <v>150</v>
      </c>
      <c r="J11" s="29"/>
      <c r="K11" s="37"/>
      <c r="L11" s="91"/>
      <c r="M11" s="42"/>
      <c r="O11" s="1">
        <f>IF(C16=0,0,1)</f>
        <v>1</v>
      </c>
      <c r="R11" s="1">
        <f>IF(vend2[[#This Row],[Nº Venda]]&gt;1,1,0)</f>
        <v>1</v>
      </c>
    </row>
    <row r="12" spans="2:18" ht="16.5" x14ac:dyDescent="0.3">
      <c r="B12" s="27" t="s">
        <v>7</v>
      </c>
      <c r="C12" s="70">
        <f t="shared" ref="C12:C15" si="0">(SUMIF($G$2:$G$31,B12,$I$2:$I$31))+(SUMIF($G$35:$G$41,B12,$H$35:$H$41))</f>
        <v>288</v>
      </c>
      <c r="D12" s="29"/>
      <c r="E12" s="76">
        <v>11508</v>
      </c>
      <c r="F12" s="77" t="s">
        <v>161</v>
      </c>
      <c r="G12" s="50" t="s">
        <v>46</v>
      </c>
      <c r="H12" s="38">
        <v>35</v>
      </c>
      <c r="I12" s="38">
        <v>0</v>
      </c>
      <c r="J12" s="29"/>
      <c r="K12" s="32"/>
      <c r="L12" s="32"/>
      <c r="M12" s="32"/>
      <c r="R12" s="1">
        <f>IF(vend2[[#This Row],[Nº Venda]]&gt;1,1,0)</f>
        <v>1</v>
      </c>
    </row>
    <row r="13" spans="2:18" ht="16.5" x14ac:dyDescent="0.3">
      <c r="B13" s="27" t="s">
        <v>8</v>
      </c>
      <c r="C13" s="70">
        <f t="shared" si="0"/>
        <v>2788</v>
      </c>
      <c r="D13" s="29"/>
      <c r="E13" s="76">
        <v>11509</v>
      </c>
      <c r="F13" s="77" t="s">
        <v>162</v>
      </c>
      <c r="G13" s="50" t="s">
        <v>46</v>
      </c>
      <c r="H13" s="38">
        <v>70</v>
      </c>
      <c r="I13" s="38">
        <v>0</v>
      </c>
      <c r="J13" s="29"/>
      <c r="K13" s="107" t="s">
        <v>142</v>
      </c>
      <c r="L13" s="108"/>
      <c r="M13" s="109"/>
      <c r="R13" s="1">
        <f>IF(vend2[[#This Row],[Nº Venda]]&gt;1,1,0)</f>
        <v>1</v>
      </c>
    </row>
    <row r="14" spans="2:18" ht="16.5" x14ac:dyDescent="0.3">
      <c r="B14" s="27" t="s">
        <v>9</v>
      </c>
      <c r="C14" s="70">
        <f t="shared" si="0"/>
        <v>0</v>
      </c>
      <c r="D14" s="29"/>
      <c r="E14" s="76">
        <v>11510</v>
      </c>
      <c r="F14" s="77" t="s">
        <v>157</v>
      </c>
      <c r="G14" s="50" t="s">
        <v>8</v>
      </c>
      <c r="H14" s="38">
        <v>340</v>
      </c>
      <c r="I14" s="38">
        <v>100</v>
      </c>
      <c r="J14" s="29"/>
      <c r="K14" s="21" t="s">
        <v>22</v>
      </c>
      <c r="L14" s="22" t="s">
        <v>23</v>
      </c>
      <c r="M14" s="23" t="s">
        <v>24</v>
      </c>
      <c r="R14" s="1">
        <f>IF(vend2[[#This Row],[Nº Venda]]&gt;1,1,0)</f>
        <v>1</v>
      </c>
    </row>
    <row r="15" spans="2:18" ht="16.5" x14ac:dyDescent="0.3">
      <c r="B15" s="27" t="s">
        <v>10</v>
      </c>
      <c r="C15" s="70">
        <f t="shared" si="0"/>
        <v>325.62</v>
      </c>
      <c r="D15" s="29"/>
      <c r="E15" s="76">
        <v>11511</v>
      </c>
      <c r="F15" s="77" t="s">
        <v>167</v>
      </c>
      <c r="G15" s="50" t="s">
        <v>7</v>
      </c>
      <c r="H15" s="38">
        <v>650</v>
      </c>
      <c r="I15" s="38">
        <v>100</v>
      </c>
      <c r="J15" s="29"/>
      <c r="K15" s="76">
        <v>11329</v>
      </c>
      <c r="L15" s="91" t="s">
        <v>131</v>
      </c>
      <c r="M15" s="42" t="s">
        <v>145</v>
      </c>
      <c r="R15" s="1">
        <f>IF(vend2[[#This Row],[Nº Venda]]&gt;1,1,0)</f>
        <v>1</v>
      </c>
    </row>
    <row r="16" spans="2:18" ht="16.5" x14ac:dyDescent="0.3">
      <c r="B16" s="30" t="s">
        <v>11</v>
      </c>
      <c r="C16" s="71">
        <f>SUM(C11:C15)</f>
        <v>3576.62</v>
      </c>
      <c r="D16" s="29"/>
      <c r="E16" s="76">
        <v>11512</v>
      </c>
      <c r="F16" s="77" t="s">
        <v>168</v>
      </c>
      <c r="G16" s="50" t="s">
        <v>7</v>
      </c>
      <c r="H16" s="38">
        <v>38</v>
      </c>
      <c r="I16" s="38">
        <v>38</v>
      </c>
      <c r="J16" s="29"/>
      <c r="K16" s="76">
        <v>11333</v>
      </c>
      <c r="L16" s="91" t="s">
        <v>131</v>
      </c>
      <c r="M16" s="42" t="s">
        <v>145</v>
      </c>
      <c r="R16" s="1">
        <f>IF(vend2[[#This Row],[Nº Venda]]&gt;1,1,0)</f>
        <v>1</v>
      </c>
    </row>
    <row r="17" spans="2:18" ht="16.5" x14ac:dyDescent="0.3">
      <c r="B17" s="26"/>
      <c r="C17" s="26"/>
      <c r="D17" s="29"/>
      <c r="E17" s="76"/>
      <c r="F17" s="77"/>
      <c r="G17" s="50"/>
      <c r="H17" s="38"/>
      <c r="I17" s="38"/>
      <c r="J17" s="29"/>
      <c r="K17" s="76">
        <v>11385</v>
      </c>
      <c r="L17" s="91" t="s">
        <v>131</v>
      </c>
      <c r="M17" s="42" t="s">
        <v>145</v>
      </c>
      <c r="R17" s="1">
        <f>IF(vend2[[#This Row],[Nº Venda]]&gt;1,1,0)</f>
        <v>0</v>
      </c>
    </row>
    <row r="18" spans="2:18" ht="16.5" x14ac:dyDescent="0.3">
      <c r="B18" s="114" t="s">
        <v>12</v>
      </c>
      <c r="C18" s="115"/>
      <c r="D18" s="29"/>
      <c r="E18" s="76"/>
      <c r="F18" s="77"/>
      <c r="G18" s="50"/>
      <c r="H18" s="38"/>
      <c r="I18" s="38"/>
      <c r="J18" s="29"/>
      <c r="K18" s="76">
        <v>11414</v>
      </c>
      <c r="L18" s="91" t="s">
        <v>131</v>
      </c>
      <c r="M18" s="42" t="s">
        <v>145</v>
      </c>
      <c r="R18" s="1">
        <f>IF(vend2[[#This Row],[Nº Venda]]&gt;1,1,0)</f>
        <v>0</v>
      </c>
    </row>
    <row r="19" spans="2:18" ht="16.5" x14ac:dyDescent="0.3">
      <c r="B19" s="27">
        <f>COUNT(entr_carn2[OS])</f>
        <v>0</v>
      </c>
      <c r="C19" s="70">
        <f>SUM(entr_carn2[Valor Total])</f>
        <v>0</v>
      </c>
      <c r="D19" s="29"/>
      <c r="E19" s="76"/>
      <c r="F19" s="77"/>
      <c r="G19" s="50"/>
      <c r="H19" s="38"/>
      <c r="I19" s="38"/>
      <c r="J19" s="29"/>
      <c r="K19" s="76">
        <v>11423</v>
      </c>
      <c r="L19" s="91" t="s">
        <v>131</v>
      </c>
      <c r="M19" s="42" t="s">
        <v>145</v>
      </c>
      <c r="R19" s="1">
        <f>IF(vend2[[#This Row],[Nº Venda]]&gt;1,1,0)</f>
        <v>0</v>
      </c>
    </row>
    <row r="20" spans="2:18" ht="16.5" x14ac:dyDescent="0.3">
      <c r="B20" s="30" t="s">
        <v>11</v>
      </c>
      <c r="C20" s="71">
        <f>SUM(C19:C19)</f>
        <v>0</v>
      </c>
      <c r="D20" s="29"/>
      <c r="E20" s="76"/>
      <c r="F20" s="50"/>
      <c r="G20" s="50"/>
      <c r="H20" s="38"/>
      <c r="I20" s="38"/>
      <c r="J20" s="29"/>
      <c r="K20" s="76">
        <v>11425</v>
      </c>
      <c r="L20" s="91" t="s">
        <v>129</v>
      </c>
      <c r="M20" s="42" t="s">
        <v>145</v>
      </c>
      <c r="R20" s="1">
        <f>IF(vend2[[#This Row],[Nº Venda]]&gt;1,1,0)</f>
        <v>0</v>
      </c>
    </row>
    <row r="21" spans="2:18" ht="16.5" x14ac:dyDescent="0.3">
      <c r="B21" s="26"/>
      <c r="C21" s="26"/>
      <c r="D21" s="29"/>
      <c r="E21" s="76"/>
      <c r="F21" s="77"/>
      <c r="G21" s="50"/>
      <c r="H21" s="38"/>
      <c r="I21" s="38"/>
      <c r="J21" s="29"/>
      <c r="K21" s="76">
        <v>11498</v>
      </c>
      <c r="L21" s="91" t="s">
        <v>129</v>
      </c>
      <c r="M21" s="42" t="s">
        <v>145</v>
      </c>
    </row>
    <row r="22" spans="2:18" ht="16.5" x14ac:dyDescent="0.3">
      <c r="B22" s="30" t="s">
        <v>25</v>
      </c>
      <c r="C22" s="33">
        <f>C5</f>
        <v>5071</v>
      </c>
      <c r="D22" s="29"/>
      <c r="E22" s="78"/>
      <c r="F22" s="77"/>
      <c r="G22" s="50"/>
      <c r="H22" s="38"/>
      <c r="I22" s="38"/>
      <c r="J22" s="29"/>
      <c r="K22" s="76">
        <v>11512</v>
      </c>
      <c r="L22" s="91" t="s">
        <v>131</v>
      </c>
      <c r="M22" s="42" t="s">
        <v>145</v>
      </c>
    </row>
    <row r="23" spans="2:18" ht="16.5" x14ac:dyDescent="0.3">
      <c r="B23" s="29"/>
      <c r="C23" s="29"/>
      <c r="D23" s="29"/>
      <c r="E23" s="34"/>
      <c r="F23" s="34"/>
      <c r="G23" s="34"/>
      <c r="H23" s="35"/>
      <c r="I23" s="36"/>
      <c r="J23" s="29"/>
      <c r="K23" s="76"/>
      <c r="L23" s="91"/>
      <c r="M23" s="42"/>
    </row>
    <row r="24" spans="2:18" ht="16.5" x14ac:dyDescent="0.3">
      <c r="B24" s="29"/>
      <c r="C24" s="29"/>
      <c r="D24" s="29"/>
      <c r="E24" s="105" t="s">
        <v>139</v>
      </c>
      <c r="F24" s="106"/>
      <c r="G24" s="106"/>
      <c r="H24" s="106"/>
      <c r="I24" s="106"/>
      <c r="J24" s="29"/>
      <c r="K24" s="76"/>
      <c r="L24" s="91"/>
      <c r="M24" s="42"/>
    </row>
    <row r="25" spans="2:18" ht="16.5" x14ac:dyDescent="0.3">
      <c r="B25" s="29"/>
      <c r="C25" s="29"/>
      <c r="D25" s="29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29"/>
      <c r="K25" s="76"/>
      <c r="L25" s="91"/>
      <c r="M25" s="42"/>
    </row>
    <row r="26" spans="2:18" ht="16.5" x14ac:dyDescent="0.3">
      <c r="B26" s="29"/>
      <c r="C26" s="29"/>
      <c r="D26" s="29"/>
      <c r="E26" s="76">
        <v>11329</v>
      </c>
      <c r="F26" s="77" t="s">
        <v>156</v>
      </c>
      <c r="G26" s="50" t="s">
        <v>8</v>
      </c>
      <c r="H26" s="38">
        <v>0</v>
      </c>
      <c r="I26" s="38">
        <v>750</v>
      </c>
      <c r="J26" s="29"/>
      <c r="K26" s="76"/>
      <c r="L26" s="91"/>
      <c r="M26" s="42"/>
    </row>
    <row r="27" spans="2:18" ht="16.5" x14ac:dyDescent="0.3">
      <c r="B27" s="29"/>
      <c r="C27" s="29"/>
      <c r="D27" s="29"/>
      <c r="E27" s="76">
        <v>11490</v>
      </c>
      <c r="F27" s="77" t="s">
        <v>164</v>
      </c>
      <c r="G27" s="50" t="s">
        <v>8</v>
      </c>
      <c r="H27" s="38">
        <v>0</v>
      </c>
      <c r="I27" s="38">
        <v>549</v>
      </c>
      <c r="J27" s="29"/>
      <c r="K27" s="76"/>
      <c r="L27" s="91"/>
      <c r="M27" s="42"/>
    </row>
    <row r="28" spans="2:18" ht="16.5" x14ac:dyDescent="0.3">
      <c r="B28" s="29"/>
      <c r="C28" s="29"/>
      <c r="D28" s="29"/>
      <c r="E28" s="76">
        <v>11385</v>
      </c>
      <c r="F28" s="77" t="s">
        <v>165</v>
      </c>
      <c r="G28" s="50" t="s">
        <v>6</v>
      </c>
      <c r="H28" s="38">
        <v>0</v>
      </c>
      <c r="I28" s="38">
        <v>175</v>
      </c>
      <c r="J28" s="29"/>
      <c r="K28" s="76"/>
      <c r="L28" s="91"/>
      <c r="M28" s="42"/>
    </row>
    <row r="29" spans="2:18" ht="16.5" x14ac:dyDescent="0.3">
      <c r="B29" s="29"/>
      <c r="C29" s="29"/>
      <c r="D29" s="29"/>
      <c r="E29" s="76">
        <v>11493</v>
      </c>
      <c r="F29" s="77" t="s">
        <v>166</v>
      </c>
      <c r="G29" s="50" t="s">
        <v>8</v>
      </c>
      <c r="H29" s="38">
        <v>0</v>
      </c>
      <c r="I29" s="38">
        <v>110</v>
      </c>
      <c r="J29" s="29"/>
      <c r="K29" s="76"/>
      <c r="L29" s="91"/>
      <c r="M29" s="42"/>
    </row>
    <row r="30" spans="2:18" ht="16.5" x14ac:dyDescent="0.3">
      <c r="B30" s="29"/>
      <c r="C30" s="29"/>
      <c r="D30" s="29"/>
      <c r="E30" s="76"/>
      <c r="F30" s="50"/>
      <c r="G30" s="50"/>
      <c r="H30" s="38"/>
      <c r="I30" s="38"/>
      <c r="J30" s="29"/>
      <c r="K30" s="76"/>
      <c r="L30" s="91"/>
      <c r="M30" s="42"/>
    </row>
    <row r="31" spans="2:18" ht="16.5" x14ac:dyDescent="0.3">
      <c r="B31" s="29"/>
      <c r="C31" s="29"/>
      <c r="D31" s="29"/>
      <c r="E31" s="78"/>
      <c r="F31" s="79"/>
      <c r="G31" s="40"/>
      <c r="H31" s="41"/>
      <c r="I31" s="41"/>
      <c r="J31" s="29"/>
      <c r="K31" s="76"/>
      <c r="L31" s="91"/>
      <c r="M31" s="42"/>
    </row>
    <row r="32" spans="2:18" ht="16.5" x14ac:dyDescent="0.3">
      <c r="B32" s="29"/>
      <c r="C32" s="29"/>
      <c r="D32" s="37"/>
      <c r="E32" s="34"/>
      <c r="F32" s="34"/>
      <c r="G32" s="34"/>
      <c r="H32" s="36"/>
      <c r="I32" s="36"/>
      <c r="J32" s="37"/>
      <c r="K32" s="32"/>
      <c r="L32" s="32"/>
      <c r="M32" s="32"/>
    </row>
    <row r="33" spans="2:18" ht="16.5" x14ac:dyDescent="0.3">
      <c r="B33" s="29"/>
      <c r="C33" s="29"/>
      <c r="D33" s="37"/>
      <c r="E33" s="105" t="s">
        <v>140</v>
      </c>
      <c r="F33" s="106"/>
      <c r="G33" s="106"/>
      <c r="H33" s="106"/>
      <c r="I33" s="106"/>
      <c r="J33" s="37"/>
      <c r="K33" s="107" t="s">
        <v>141</v>
      </c>
      <c r="L33" s="108"/>
      <c r="M33" s="109"/>
    </row>
    <row r="34" spans="2:18" ht="16.5" x14ac:dyDescent="0.3">
      <c r="B34" s="37"/>
      <c r="C34" s="37"/>
      <c r="D34" s="37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7"/>
      <c r="K34" s="22" t="s">
        <v>22</v>
      </c>
      <c r="L34" s="21" t="s">
        <v>28</v>
      </c>
      <c r="M34" s="22" t="s">
        <v>29</v>
      </c>
    </row>
    <row r="35" spans="2:18" ht="16.5" customHeight="1" x14ac:dyDescent="0.25">
      <c r="B35" s="37"/>
      <c r="C35" s="37"/>
      <c r="D35" s="37"/>
      <c r="E35" s="76">
        <v>9750</v>
      </c>
      <c r="F35" s="77" t="s">
        <v>169</v>
      </c>
      <c r="G35" s="50" t="s">
        <v>10</v>
      </c>
      <c r="H35" s="38">
        <v>189.5</v>
      </c>
      <c r="I35" s="38" t="s">
        <v>98</v>
      </c>
      <c r="J35" s="37"/>
      <c r="K35" s="76"/>
      <c r="L35" s="76"/>
      <c r="M35" s="91"/>
    </row>
    <row r="36" spans="2:18" ht="16.5" customHeight="1" x14ac:dyDescent="0.25">
      <c r="B36" s="37"/>
      <c r="C36" s="37"/>
      <c r="D36" s="37"/>
      <c r="E36" s="76">
        <v>10337</v>
      </c>
      <c r="F36" s="77" t="s">
        <v>170</v>
      </c>
      <c r="G36" s="50" t="s">
        <v>10</v>
      </c>
      <c r="H36" s="38">
        <v>136.12</v>
      </c>
      <c r="I36" s="38" t="s">
        <v>52</v>
      </c>
      <c r="J36" s="37"/>
      <c r="K36" s="76"/>
      <c r="L36" s="76"/>
      <c r="M36" s="91"/>
    </row>
    <row r="37" spans="2:18" ht="16.5" customHeight="1" x14ac:dyDescent="0.25">
      <c r="B37" s="37"/>
      <c r="C37" s="37"/>
      <c r="D37" s="37"/>
      <c r="E37" s="76"/>
      <c r="F37" s="77"/>
      <c r="G37" s="50"/>
      <c r="H37" s="38"/>
      <c r="I37" s="38"/>
      <c r="J37" s="37"/>
      <c r="K37" s="76"/>
      <c r="L37" s="76"/>
      <c r="M37" s="91"/>
    </row>
    <row r="38" spans="2:18" ht="16.5" customHeight="1" x14ac:dyDescent="0.25">
      <c r="B38" s="37"/>
      <c r="C38" s="37"/>
      <c r="D38" s="37"/>
      <c r="E38" s="76"/>
      <c r="F38" s="77"/>
      <c r="G38" s="50"/>
      <c r="H38" s="38"/>
      <c r="I38" s="38"/>
      <c r="J38" s="37"/>
      <c r="K38" s="76"/>
      <c r="L38" s="76"/>
      <c r="M38" s="91"/>
    </row>
    <row r="39" spans="2:18" ht="16.5" customHeight="1" x14ac:dyDescent="0.25">
      <c r="B39" s="37"/>
      <c r="C39" s="37"/>
      <c r="D39" s="37"/>
      <c r="E39" s="76"/>
      <c r="F39" s="50"/>
      <c r="G39" s="50"/>
      <c r="H39" s="38"/>
      <c r="I39" s="38"/>
      <c r="J39" s="37"/>
      <c r="K39" s="76"/>
      <c r="L39" s="76"/>
      <c r="M39" s="91"/>
    </row>
    <row r="40" spans="2:18" ht="16.5" customHeight="1" x14ac:dyDescent="0.25">
      <c r="B40" s="37"/>
      <c r="C40" s="37"/>
      <c r="D40" s="37"/>
      <c r="E40" s="78"/>
      <c r="F40" s="79"/>
      <c r="G40" s="40"/>
      <c r="H40" s="41"/>
      <c r="I40" s="38"/>
      <c r="J40" s="37"/>
      <c r="K40" s="78"/>
      <c r="L40" s="78"/>
      <c r="M40" s="92"/>
      <c r="Q40" s="1" t="s">
        <v>33</v>
      </c>
      <c r="R40" s="1">
        <f>SUM(R6:R21)</f>
        <v>11</v>
      </c>
    </row>
    <row r="41" spans="2:18" ht="16.5" customHeight="1" x14ac:dyDescent="0.25">
      <c r="B41" s="37"/>
      <c r="C41" s="37"/>
      <c r="D41" s="37"/>
      <c r="E41" s="82"/>
      <c r="F41" s="50"/>
      <c r="G41" s="50"/>
      <c r="H41" s="38"/>
      <c r="I41" s="38"/>
      <c r="J41" s="37"/>
      <c r="K41" s="76"/>
      <c r="L41" s="76"/>
      <c r="M41" s="92"/>
    </row>
    <row r="42" spans="2:18" ht="13.5" x14ac:dyDescent="0.25">
      <c r="B42" s="37"/>
      <c r="C42" s="37"/>
      <c r="D42" s="37"/>
      <c r="E42" s="34"/>
      <c r="F42" s="34"/>
      <c r="G42" s="34"/>
      <c r="H42" s="36"/>
      <c r="I42" s="36"/>
      <c r="J42" s="37"/>
      <c r="K42" s="32"/>
      <c r="L42" s="32"/>
      <c r="M42" s="32"/>
    </row>
    <row r="43" spans="2:18" ht="13.5" x14ac:dyDescent="0.25">
      <c r="B43" s="37"/>
      <c r="C43" s="37"/>
      <c r="D43" s="37"/>
      <c r="E43" s="34"/>
      <c r="F43" s="34"/>
      <c r="G43" s="34"/>
      <c r="H43" s="36"/>
      <c r="I43" s="36"/>
      <c r="J43" s="37"/>
      <c r="K43" s="32"/>
      <c r="L43" s="32"/>
      <c r="M43" s="32"/>
    </row>
    <row r="44" spans="2:18" ht="13.5" x14ac:dyDescent="0.25">
      <c r="B44" s="37"/>
      <c r="C44" s="37"/>
      <c r="D44" s="37"/>
      <c r="E44" s="34"/>
      <c r="F44" s="34"/>
      <c r="G44" s="34"/>
      <c r="H44" s="36"/>
      <c r="I44" s="36"/>
      <c r="J44" s="37"/>
      <c r="K44" s="32"/>
      <c r="L44" s="32"/>
      <c r="M44" s="32"/>
    </row>
    <row r="45" spans="2:18" ht="13.5" x14ac:dyDescent="0.25">
      <c r="B45" s="37"/>
      <c r="C45" s="37"/>
      <c r="D45" s="37"/>
      <c r="E45" s="34"/>
      <c r="F45" s="34"/>
      <c r="G45" s="34"/>
      <c r="H45" s="36"/>
      <c r="I45" s="36"/>
      <c r="J45" s="37"/>
      <c r="K45" s="32"/>
      <c r="L45" s="32"/>
      <c r="M45" s="32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7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5"/>
  <sheetViews>
    <sheetView showGridLines="0" view="pageBreakPreview" zoomScale="60" zoomScaleNormal="90" workbookViewId="0">
      <selection activeCell="L1" sqref="L1:M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34.7109375" style="1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'02'!B1+1</f>
        <v>45872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4" t="s">
        <v>0</v>
      </c>
      <c r="C4" s="25">
        <v>0</v>
      </c>
      <c r="D4" s="57"/>
      <c r="E4" s="113" t="s">
        <v>137</v>
      </c>
      <c r="F4" s="113"/>
      <c r="G4" s="113"/>
      <c r="H4" s="113"/>
      <c r="I4" s="113"/>
      <c r="J4" s="29"/>
      <c r="K4" s="107" t="s">
        <v>138</v>
      </c>
      <c r="L4" s="108"/>
      <c r="M4" s="109"/>
    </row>
    <row r="5" spans="2:18" ht="16.5" x14ac:dyDescent="0.3">
      <c r="B5" s="27" t="s">
        <v>1</v>
      </c>
      <c r="C5" s="28">
        <f>SUMIF(I6:I31,"&gt;0",H6:H31)</f>
        <v>0</v>
      </c>
      <c r="D5" s="29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29"/>
      <c r="K5" s="21" t="s">
        <v>18</v>
      </c>
      <c r="L5" s="22" t="s">
        <v>19</v>
      </c>
      <c r="M5" s="23" t="s">
        <v>20</v>
      </c>
    </row>
    <row r="6" spans="2:18" ht="16.5" x14ac:dyDescent="0.3">
      <c r="B6" s="27" t="s">
        <v>2</v>
      </c>
      <c r="C6" s="28">
        <f>C16</f>
        <v>0</v>
      </c>
      <c r="D6" s="29"/>
      <c r="E6" s="76"/>
      <c r="F6" s="77"/>
      <c r="G6" s="49"/>
      <c r="H6" s="38"/>
      <c r="I6" s="38"/>
      <c r="J6" s="29"/>
      <c r="K6" s="77"/>
      <c r="L6" s="91"/>
      <c r="M6" s="42"/>
      <c r="R6" s="1">
        <f>IF(vend3[[#This Row],[Nº Venda]]&gt;1,1,0)</f>
        <v>0</v>
      </c>
    </row>
    <row r="7" spans="2:18" ht="16.5" x14ac:dyDescent="0.3">
      <c r="B7" s="27" t="s">
        <v>3</v>
      </c>
      <c r="C7" s="28">
        <f>SUM(M6:M11)</f>
        <v>0</v>
      </c>
      <c r="D7" s="29"/>
      <c r="E7" s="76"/>
      <c r="F7" s="77"/>
      <c r="G7" s="50"/>
      <c r="H7" s="38"/>
      <c r="I7" s="38"/>
      <c r="J7" s="29"/>
      <c r="K7" s="77"/>
      <c r="L7" s="91"/>
      <c r="M7" s="42"/>
      <c r="R7" s="1">
        <f>IF(vend3[[#This Row],[Nº Venda]]&gt;1,1,0)</f>
        <v>0</v>
      </c>
    </row>
    <row r="8" spans="2:18" ht="16.5" x14ac:dyDescent="0.3">
      <c r="B8" s="30" t="s">
        <v>21</v>
      </c>
      <c r="C8" s="31">
        <f>SUM(C6:C7)</f>
        <v>0</v>
      </c>
      <c r="D8" s="29"/>
      <c r="E8" s="76"/>
      <c r="F8" s="77"/>
      <c r="G8" s="50"/>
      <c r="H8" s="38"/>
      <c r="I8" s="38"/>
      <c r="J8" s="29"/>
      <c r="K8" s="77"/>
      <c r="L8" s="91"/>
      <c r="M8" s="42"/>
      <c r="R8" s="1">
        <f>IF(vend3[[#This Row],[Nº Venda]]&gt;1,1,0)</f>
        <v>0</v>
      </c>
    </row>
    <row r="9" spans="2:18" ht="16.5" x14ac:dyDescent="0.3">
      <c r="B9" s="26"/>
      <c r="C9" s="26"/>
      <c r="D9" s="29"/>
      <c r="E9" s="76"/>
      <c r="F9" s="77"/>
      <c r="G9" s="50"/>
      <c r="H9" s="38"/>
      <c r="I9" s="38"/>
      <c r="J9" s="29"/>
      <c r="K9" s="77"/>
      <c r="L9" s="91"/>
      <c r="M9" s="42"/>
      <c r="R9" s="1">
        <f>IF(vend3[[#This Row],[Nº Venda]]&gt;1,1,0)</f>
        <v>0</v>
      </c>
    </row>
    <row r="10" spans="2:18" ht="16.5" x14ac:dyDescent="0.3">
      <c r="B10" s="114" t="s">
        <v>5</v>
      </c>
      <c r="C10" s="115"/>
      <c r="D10" s="29"/>
      <c r="E10" s="76"/>
      <c r="F10" s="77"/>
      <c r="G10" s="50"/>
      <c r="H10" s="38"/>
      <c r="I10" s="38"/>
      <c r="J10" s="29"/>
      <c r="K10" s="77"/>
      <c r="L10" s="91"/>
      <c r="M10" s="42"/>
      <c r="R10" s="1">
        <f>IF(vend3[[#This Row],[Nº Venda]]&gt;1,1,0)</f>
        <v>0</v>
      </c>
    </row>
    <row r="11" spans="2:18" ht="16.5" x14ac:dyDescent="0.3">
      <c r="B11" s="27" t="s">
        <v>6</v>
      </c>
      <c r="C11" s="70">
        <f>(SUMIF($G$2:$G$31,B11,$I$2:$I$31))+(SUMIF($G$35:$G$41,B11,$H$35:$H$41))</f>
        <v>0</v>
      </c>
      <c r="D11" s="29"/>
      <c r="E11" s="76"/>
      <c r="F11" s="77"/>
      <c r="G11" s="50"/>
      <c r="H11" s="38"/>
      <c r="I11" s="38"/>
      <c r="J11" s="29"/>
      <c r="K11" s="37"/>
      <c r="L11" s="91"/>
      <c r="M11" s="42"/>
      <c r="O11" s="1">
        <f>IF(C16=0,0,1)</f>
        <v>0</v>
      </c>
      <c r="R11" s="1">
        <f>IF(vend3[[#This Row],[Nº Venda]]&gt;1,1,0)</f>
        <v>0</v>
      </c>
    </row>
    <row r="12" spans="2:18" ht="16.5" x14ac:dyDescent="0.3">
      <c r="B12" s="27" t="s">
        <v>7</v>
      </c>
      <c r="C12" s="70">
        <f t="shared" ref="C12:C15" si="0">(SUMIF($G$2:$G$31,B12,$I$2:$I$31))+(SUMIF($G$35:$G$41,B12,$H$35:$H$41))</f>
        <v>0</v>
      </c>
      <c r="D12" s="29"/>
      <c r="E12" s="76"/>
      <c r="F12" s="77"/>
      <c r="G12" s="50"/>
      <c r="H12" s="38"/>
      <c r="I12" s="38"/>
      <c r="J12" s="29"/>
      <c r="K12" s="32"/>
      <c r="L12" s="32"/>
      <c r="M12" s="32"/>
      <c r="R12" s="1">
        <f>IF(vend3[[#This Row],[Nº Venda]]&gt;1,1,0)</f>
        <v>0</v>
      </c>
    </row>
    <row r="13" spans="2:18" ht="16.5" x14ac:dyDescent="0.3">
      <c r="B13" s="27" t="s">
        <v>8</v>
      </c>
      <c r="C13" s="70">
        <f t="shared" si="0"/>
        <v>0</v>
      </c>
      <c r="D13" s="29"/>
      <c r="E13" s="76"/>
      <c r="F13" s="77"/>
      <c r="G13" s="50"/>
      <c r="H13" s="38"/>
      <c r="I13" s="38"/>
      <c r="J13" s="29"/>
      <c r="K13" s="107" t="s">
        <v>142</v>
      </c>
      <c r="L13" s="108"/>
      <c r="M13" s="109"/>
      <c r="R13" s="1">
        <f>IF(vend3[[#This Row],[Nº Venda]]&gt;1,1,0)</f>
        <v>0</v>
      </c>
    </row>
    <row r="14" spans="2:18" ht="16.5" x14ac:dyDescent="0.3">
      <c r="B14" s="27" t="s">
        <v>9</v>
      </c>
      <c r="C14" s="70">
        <f t="shared" si="0"/>
        <v>0</v>
      </c>
      <c r="D14" s="29"/>
      <c r="E14" s="76"/>
      <c r="F14" s="77"/>
      <c r="G14" s="50"/>
      <c r="H14" s="38"/>
      <c r="I14" s="38"/>
      <c r="J14" s="29"/>
      <c r="K14" s="21" t="s">
        <v>22</v>
      </c>
      <c r="L14" s="22" t="s">
        <v>23</v>
      </c>
      <c r="M14" s="23" t="s">
        <v>24</v>
      </c>
      <c r="R14" s="1">
        <f>IF(vend3[[#This Row],[Nº Venda]]&gt;1,1,0)</f>
        <v>0</v>
      </c>
    </row>
    <row r="15" spans="2:18" ht="16.5" x14ac:dyDescent="0.3">
      <c r="B15" s="27" t="s">
        <v>10</v>
      </c>
      <c r="C15" s="70">
        <f t="shared" si="0"/>
        <v>0</v>
      </c>
      <c r="D15" s="29"/>
      <c r="E15" s="76"/>
      <c r="F15" s="77"/>
      <c r="G15" s="50"/>
      <c r="H15" s="38"/>
      <c r="I15" s="38"/>
      <c r="J15" s="29"/>
      <c r="K15" s="76"/>
      <c r="L15" s="91"/>
      <c r="M15" s="42"/>
      <c r="R15" s="1">
        <f>IF(vend3[[#This Row],[Nº Venda]]&gt;1,1,0)</f>
        <v>0</v>
      </c>
    </row>
    <row r="16" spans="2:18" ht="16.5" x14ac:dyDescent="0.3">
      <c r="B16" s="30" t="s">
        <v>11</v>
      </c>
      <c r="C16" s="71">
        <f>SUM(C11:C15)</f>
        <v>0</v>
      </c>
      <c r="D16" s="29"/>
      <c r="E16" s="76"/>
      <c r="F16" s="77"/>
      <c r="G16" s="50"/>
      <c r="H16" s="38"/>
      <c r="I16" s="38"/>
      <c r="J16" s="29"/>
      <c r="K16" s="76"/>
      <c r="L16" s="91"/>
      <c r="M16" s="42"/>
      <c r="R16" s="1">
        <f>IF(vend3[[#This Row],[Nº Venda]]&gt;1,1,0)</f>
        <v>0</v>
      </c>
    </row>
    <row r="17" spans="2:18" ht="16.5" x14ac:dyDescent="0.3">
      <c r="B17" s="26"/>
      <c r="C17" s="26"/>
      <c r="D17" s="29"/>
      <c r="E17" s="76"/>
      <c r="F17" s="77"/>
      <c r="G17" s="50"/>
      <c r="H17" s="38"/>
      <c r="I17" s="38"/>
      <c r="J17" s="29"/>
      <c r="K17" s="76"/>
      <c r="L17" s="91"/>
      <c r="M17" s="42"/>
      <c r="R17" s="1">
        <f>IF(vend3[[#This Row],[Nº Venda]]&gt;1,1,0)</f>
        <v>0</v>
      </c>
    </row>
    <row r="18" spans="2:18" ht="16.5" x14ac:dyDescent="0.3">
      <c r="B18" s="114" t="s">
        <v>12</v>
      </c>
      <c r="C18" s="115"/>
      <c r="D18" s="29"/>
      <c r="E18" s="76"/>
      <c r="F18" s="77"/>
      <c r="G18" s="50"/>
      <c r="H18" s="38"/>
      <c r="I18" s="38"/>
      <c r="J18" s="29"/>
      <c r="K18" s="76"/>
      <c r="L18" s="91"/>
      <c r="M18" s="42"/>
      <c r="R18" s="1">
        <f>IF(vend3[[#This Row],[Nº Venda]]&gt;1,1,0)</f>
        <v>0</v>
      </c>
    </row>
    <row r="19" spans="2:18" ht="16.5" x14ac:dyDescent="0.3">
      <c r="B19" s="27">
        <f>COUNT(entr_carn3[OS])</f>
        <v>0</v>
      </c>
      <c r="C19" s="70">
        <f>SUM(entr_carn3[Valor Total])</f>
        <v>0</v>
      </c>
      <c r="D19" s="29"/>
      <c r="E19" s="76"/>
      <c r="F19" s="77"/>
      <c r="G19" s="50"/>
      <c r="H19" s="38"/>
      <c r="I19" s="38"/>
      <c r="J19" s="29"/>
      <c r="K19" s="76"/>
      <c r="L19" s="91"/>
      <c r="M19" s="42"/>
      <c r="R19" s="1">
        <f>IF(vend3[[#This Row],[Nº Venda]]&gt;1,1,0)</f>
        <v>0</v>
      </c>
    </row>
    <row r="20" spans="2:18" ht="16.5" x14ac:dyDescent="0.3">
      <c r="B20" s="30" t="s">
        <v>11</v>
      </c>
      <c r="C20" s="71">
        <f>SUM(C19:C19)</f>
        <v>0</v>
      </c>
      <c r="D20" s="29"/>
      <c r="E20" s="76"/>
      <c r="F20" s="50"/>
      <c r="G20" s="50"/>
      <c r="H20" s="38"/>
      <c r="I20" s="38"/>
      <c r="J20" s="29"/>
      <c r="K20" s="76"/>
      <c r="L20" s="91"/>
      <c r="M20" s="42"/>
      <c r="R20" s="1">
        <f>IF(vend3[[#This Row],[Nº Venda]]&gt;1,1,0)</f>
        <v>0</v>
      </c>
    </row>
    <row r="21" spans="2:18" ht="16.5" x14ac:dyDescent="0.3">
      <c r="B21" s="26"/>
      <c r="C21" s="26"/>
      <c r="D21" s="29"/>
      <c r="E21" s="76"/>
      <c r="F21" s="77"/>
      <c r="G21" s="50"/>
      <c r="H21" s="38"/>
      <c r="I21" s="38"/>
      <c r="J21" s="29"/>
      <c r="K21" s="76"/>
      <c r="L21" s="91"/>
      <c r="M21" s="42"/>
    </row>
    <row r="22" spans="2:18" ht="16.5" x14ac:dyDescent="0.3">
      <c r="B22" s="30" t="s">
        <v>25</v>
      </c>
      <c r="C22" s="33">
        <f>C5</f>
        <v>0</v>
      </c>
      <c r="D22" s="29"/>
      <c r="E22" s="78"/>
      <c r="F22" s="77"/>
      <c r="G22" s="50"/>
      <c r="H22" s="38"/>
      <c r="I22" s="38"/>
      <c r="J22" s="29"/>
      <c r="K22" s="76"/>
      <c r="L22" s="91"/>
      <c r="M22" s="42"/>
    </row>
    <row r="23" spans="2:18" ht="16.5" x14ac:dyDescent="0.3">
      <c r="B23" s="29"/>
      <c r="C23" s="29"/>
      <c r="D23" s="29"/>
      <c r="E23" s="34"/>
      <c r="F23" s="34"/>
      <c r="G23" s="34"/>
      <c r="H23" s="35"/>
      <c r="I23" s="36"/>
      <c r="J23" s="29"/>
      <c r="K23" s="76"/>
      <c r="L23" s="91"/>
      <c r="M23" s="42"/>
    </row>
    <row r="24" spans="2:18" ht="16.5" x14ac:dyDescent="0.3">
      <c r="B24" s="29"/>
      <c r="C24" s="29"/>
      <c r="D24" s="29"/>
      <c r="E24" s="105" t="s">
        <v>139</v>
      </c>
      <c r="F24" s="106"/>
      <c r="G24" s="106"/>
      <c r="H24" s="106"/>
      <c r="I24" s="106"/>
      <c r="J24" s="29"/>
      <c r="K24" s="76"/>
      <c r="L24" s="91"/>
      <c r="M24" s="42"/>
    </row>
    <row r="25" spans="2:18" ht="16.5" x14ac:dyDescent="0.3">
      <c r="B25" s="29"/>
      <c r="C25" s="29"/>
      <c r="D25" s="29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29"/>
      <c r="K25" s="76"/>
      <c r="L25" s="91"/>
      <c r="M25" s="42"/>
    </row>
    <row r="26" spans="2:18" ht="16.5" x14ac:dyDescent="0.3">
      <c r="B26" s="29"/>
      <c r="C26" s="29"/>
      <c r="D26" s="29"/>
      <c r="E26" s="76"/>
      <c r="F26" s="77"/>
      <c r="G26" s="49"/>
      <c r="H26" s="38"/>
      <c r="I26" s="38"/>
      <c r="J26" s="29"/>
      <c r="K26" s="76"/>
      <c r="L26" s="91"/>
      <c r="M26" s="42"/>
    </row>
    <row r="27" spans="2:18" ht="16.5" x14ac:dyDescent="0.3">
      <c r="B27" s="29"/>
      <c r="C27" s="29"/>
      <c r="D27" s="29"/>
      <c r="E27" s="76"/>
      <c r="F27" s="77"/>
      <c r="G27" s="50"/>
      <c r="H27" s="38"/>
      <c r="I27" s="38"/>
      <c r="J27" s="29"/>
      <c r="K27" s="76"/>
      <c r="L27" s="91"/>
      <c r="M27" s="42"/>
    </row>
    <row r="28" spans="2:18" ht="16.5" x14ac:dyDescent="0.3">
      <c r="B28" s="29"/>
      <c r="C28" s="29"/>
      <c r="D28" s="29"/>
      <c r="E28" s="76"/>
      <c r="F28" s="77"/>
      <c r="G28" s="50"/>
      <c r="H28" s="38"/>
      <c r="I28" s="38"/>
      <c r="J28" s="29"/>
      <c r="K28" s="76"/>
      <c r="L28" s="91"/>
      <c r="M28" s="42"/>
    </row>
    <row r="29" spans="2:18" ht="16.5" x14ac:dyDescent="0.3">
      <c r="B29" s="29"/>
      <c r="C29" s="29"/>
      <c r="D29" s="29"/>
      <c r="E29" s="76"/>
      <c r="F29" s="77"/>
      <c r="G29" s="50"/>
      <c r="H29" s="38"/>
      <c r="I29" s="38"/>
      <c r="J29" s="29"/>
      <c r="K29" s="76"/>
      <c r="L29" s="91"/>
      <c r="M29" s="42"/>
    </row>
    <row r="30" spans="2:18" ht="16.5" x14ac:dyDescent="0.3">
      <c r="B30" s="29"/>
      <c r="C30" s="29"/>
      <c r="D30" s="29"/>
      <c r="E30" s="76"/>
      <c r="F30" s="50"/>
      <c r="G30" s="50"/>
      <c r="H30" s="38"/>
      <c r="I30" s="38"/>
      <c r="J30" s="29"/>
      <c r="K30" s="76"/>
      <c r="L30" s="91"/>
      <c r="M30" s="42"/>
    </row>
    <row r="31" spans="2:18" ht="16.5" x14ac:dyDescent="0.3">
      <c r="B31" s="29"/>
      <c r="C31" s="29"/>
      <c r="D31" s="29"/>
      <c r="E31" s="78"/>
      <c r="F31" s="79"/>
      <c r="G31" s="40"/>
      <c r="H31" s="41"/>
      <c r="I31" s="41"/>
      <c r="J31" s="29"/>
      <c r="K31" s="76"/>
      <c r="L31" s="91"/>
      <c r="M31" s="42"/>
    </row>
    <row r="32" spans="2:18" ht="16.5" x14ac:dyDescent="0.3">
      <c r="B32" s="29"/>
      <c r="C32" s="29"/>
      <c r="D32" s="37"/>
      <c r="E32" s="34"/>
      <c r="F32" s="34"/>
      <c r="G32" s="34"/>
      <c r="H32" s="36"/>
      <c r="I32" s="36"/>
      <c r="J32" s="37"/>
      <c r="K32" s="32"/>
      <c r="L32" s="32"/>
      <c r="M32" s="32"/>
    </row>
    <row r="33" spans="2:18" ht="16.5" x14ac:dyDescent="0.3">
      <c r="B33" s="29"/>
      <c r="C33" s="29"/>
      <c r="D33" s="37"/>
      <c r="E33" s="105" t="s">
        <v>140</v>
      </c>
      <c r="F33" s="106"/>
      <c r="G33" s="106"/>
      <c r="H33" s="106"/>
      <c r="I33" s="106"/>
      <c r="J33" s="37"/>
      <c r="K33" s="107" t="s">
        <v>141</v>
      </c>
      <c r="L33" s="108"/>
      <c r="M33" s="109"/>
    </row>
    <row r="34" spans="2:18" ht="16.5" x14ac:dyDescent="0.3">
      <c r="B34" s="37"/>
      <c r="C34" s="37"/>
      <c r="D34" s="37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7"/>
      <c r="K34" s="22" t="s">
        <v>22</v>
      </c>
      <c r="L34" s="21" t="s">
        <v>28</v>
      </c>
      <c r="M34" s="22" t="s">
        <v>29</v>
      </c>
    </row>
    <row r="35" spans="2:18" ht="16.5" customHeight="1" x14ac:dyDescent="0.25">
      <c r="B35" s="37"/>
      <c r="C35" s="37"/>
      <c r="D35" s="37"/>
      <c r="E35" s="76"/>
      <c r="F35" s="77"/>
      <c r="G35" s="50"/>
      <c r="H35" s="38"/>
      <c r="I35" s="38"/>
      <c r="J35" s="37"/>
      <c r="K35" s="76"/>
      <c r="L35" s="76"/>
      <c r="M35" s="91"/>
    </row>
    <row r="36" spans="2:18" ht="16.5" customHeight="1" x14ac:dyDescent="0.25">
      <c r="B36" s="37"/>
      <c r="C36" s="37"/>
      <c r="D36" s="37"/>
      <c r="E36" s="76"/>
      <c r="F36" s="77"/>
      <c r="G36" s="50"/>
      <c r="H36" s="38"/>
      <c r="I36" s="38"/>
      <c r="J36" s="37"/>
      <c r="K36" s="76"/>
      <c r="L36" s="76"/>
      <c r="M36" s="91"/>
    </row>
    <row r="37" spans="2:18" ht="16.5" customHeight="1" x14ac:dyDescent="0.25">
      <c r="B37" s="37"/>
      <c r="C37" s="37"/>
      <c r="D37" s="37"/>
      <c r="E37" s="76"/>
      <c r="F37" s="77"/>
      <c r="G37" s="50"/>
      <c r="H37" s="38"/>
      <c r="I37" s="38"/>
      <c r="J37" s="37"/>
      <c r="K37" s="76"/>
      <c r="L37" s="76"/>
      <c r="M37" s="91"/>
    </row>
    <row r="38" spans="2:18" ht="16.5" customHeight="1" x14ac:dyDescent="0.25">
      <c r="B38" s="37"/>
      <c r="C38" s="37"/>
      <c r="D38" s="37"/>
      <c r="E38" s="76"/>
      <c r="F38" s="77"/>
      <c r="G38" s="50"/>
      <c r="H38" s="38"/>
      <c r="I38" s="38"/>
      <c r="J38" s="37"/>
      <c r="K38" s="76"/>
      <c r="L38" s="76"/>
      <c r="M38" s="91"/>
    </row>
    <row r="39" spans="2:18" ht="16.5" customHeight="1" x14ac:dyDescent="0.25">
      <c r="B39" s="37"/>
      <c r="C39" s="37"/>
      <c r="D39" s="37"/>
      <c r="E39" s="76"/>
      <c r="F39" s="50"/>
      <c r="G39" s="50"/>
      <c r="H39" s="38"/>
      <c r="I39" s="38"/>
      <c r="J39" s="37"/>
      <c r="K39" s="76"/>
      <c r="L39" s="76"/>
      <c r="M39" s="91"/>
    </row>
    <row r="40" spans="2:18" ht="16.5" customHeight="1" x14ac:dyDescent="0.25">
      <c r="B40" s="37"/>
      <c r="C40" s="37"/>
      <c r="D40" s="37"/>
      <c r="E40" s="78"/>
      <c r="F40" s="79"/>
      <c r="G40" s="40"/>
      <c r="H40" s="41"/>
      <c r="I40" s="38"/>
      <c r="J40" s="37"/>
      <c r="K40" s="78"/>
      <c r="L40" s="78"/>
      <c r="M40" s="92"/>
      <c r="Q40" s="1" t="s">
        <v>33</v>
      </c>
      <c r="R40" s="1">
        <f>SUM(R6:R21)</f>
        <v>0</v>
      </c>
    </row>
    <row r="41" spans="2:18" ht="16.5" customHeight="1" x14ac:dyDescent="0.25">
      <c r="B41" s="37"/>
      <c r="C41" s="37"/>
      <c r="D41" s="37"/>
      <c r="E41" s="82"/>
      <c r="F41" s="50"/>
      <c r="G41" s="50"/>
      <c r="H41" s="38"/>
      <c r="I41" s="38"/>
      <c r="J41" s="37"/>
      <c r="K41" s="76"/>
      <c r="L41" s="76"/>
      <c r="M41" s="92"/>
    </row>
    <row r="42" spans="2:18" ht="13.5" x14ac:dyDescent="0.25">
      <c r="B42" s="37"/>
      <c r="C42" s="37"/>
      <c r="D42" s="37"/>
      <c r="E42" s="34"/>
      <c r="F42" s="34"/>
      <c r="G42" s="34"/>
      <c r="H42" s="36"/>
      <c r="I42" s="36"/>
      <c r="J42" s="37"/>
      <c r="K42" s="32"/>
      <c r="L42" s="32"/>
      <c r="M42" s="32"/>
    </row>
    <row r="43" spans="2:18" ht="13.5" x14ac:dyDescent="0.25">
      <c r="B43" s="37"/>
      <c r="C43" s="37"/>
      <c r="D43" s="37"/>
      <c r="E43" s="34"/>
      <c r="F43" s="34"/>
      <c r="G43" s="34"/>
      <c r="H43" s="36"/>
      <c r="I43" s="36"/>
      <c r="J43" s="37"/>
      <c r="K43" s="32"/>
      <c r="L43" s="32"/>
      <c r="M43" s="32"/>
    </row>
    <row r="44" spans="2:18" ht="13.5" x14ac:dyDescent="0.25">
      <c r="B44" s="37"/>
      <c r="C44" s="37"/>
      <c r="D44" s="37"/>
      <c r="E44" s="34"/>
      <c r="F44" s="34"/>
      <c r="G44" s="34"/>
      <c r="H44" s="36"/>
      <c r="I44" s="36"/>
      <c r="J44" s="37"/>
      <c r="K44" s="32"/>
      <c r="L44" s="32"/>
      <c r="M44" s="32"/>
    </row>
    <row r="45" spans="2:18" ht="13.5" x14ac:dyDescent="0.25">
      <c r="B45" s="37"/>
      <c r="C45" s="37"/>
      <c r="D45" s="37"/>
      <c r="E45" s="34"/>
      <c r="F45" s="34"/>
      <c r="G45" s="34"/>
      <c r="H45" s="36"/>
      <c r="I45" s="36"/>
      <c r="J45" s="37"/>
      <c r="K45" s="32"/>
      <c r="L45" s="32"/>
      <c r="M45" s="32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5"/>
  <sheetViews>
    <sheetView showGridLines="0" view="pageBreakPreview" topLeftCell="A3" zoomScale="87" zoomScaleNormal="90" zoomScaleSheetLayoutView="87" workbookViewId="0">
      <selection activeCell="F12" sqref="F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34.7109375" style="1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'03'!B1+1</f>
        <v>45873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4" t="s">
        <v>0</v>
      </c>
      <c r="C4" s="25">
        <v>0</v>
      </c>
      <c r="D4" s="57"/>
      <c r="E4" s="113" t="s">
        <v>137</v>
      </c>
      <c r="F4" s="113"/>
      <c r="G4" s="113"/>
      <c r="H4" s="113"/>
      <c r="I4" s="113"/>
      <c r="J4" s="29"/>
      <c r="K4" s="107" t="s">
        <v>138</v>
      </c>
      <c r="L4" s="108"/>
      <c r="M4" s="109"/>
    </row>
    <row r="5" spans="2:18" ht="16.5" x14ac:dyDescent="0.3">
      <c r="B5" s="27" t="s">
        <v>1</v>
      </c>
      <c r="C5" s="28">
        <f>SUMIF(I6:I31,"&gt;0",H6:H31)</f>
        <v>2958.9</v>
      </c>
      <c r="D5" s="29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29"/>
      <c r="K5" s="21" t="s">
        <v>18</v>
      </c>
      <c r="L5" s="22" t="s">
        <v>19</v>
      </c>
      <c r="M5" s="23" t="s">
        <v>20</v>
      </c>
    </row>
    <row r="6" spans="2:18" ht="16.5" x14ac:dyDescent="0.3">
      <c r="B6" s="27" t="s">
        <v>2</v>
      </c>
      <c r="C6" s="28">
        <f>C16</f>
        <v>2368.4</v>
      </c>
      <c r="D6" s="29"/>
      <c r="E6" s="76">
        <v>11513</v>
      </c>
      <c r="F6" s="77" t="s">
        <v>171</v>
      </c>
      <c r="G6" s="49" t="s">
        <v>8</v>
      </c>
      <c r="H6" s="38">
        <v>850</v>
      </c>
      <c r="I6" s="38">
        <v>850</v>
      </c>
      <c r="J6" s="29"/>
      <c r="K6" s="77" t="s">
        <v>181</v>
      </c>
      <c r="L6" s="91" t="s">
        <v>178</v>
      </c>
      <c r="M6" s="42">
        <v>209.5</v>
      </c>
      <c r="R6" s="1">
        <f>IF(vend4[[#This Row],[Nº Venda]]&gt;1,1,0)</f>
        <v>1</v>
      </c>
    </row>
    <row r="7" spans="2:18" ht="16.5" x14ac:dyDescent="0.3">
      <c r="B7" s="27" t="s">
        <v>3</v>
      </c>
      <c r="C7" s="28">
        <f>SUM(M6:M11)</f>
        <v>209.5</v>
      </c>
      <c r="D7" s="29"/>
      <c r="E7" s="76">
        <v>11514</v>
      </c>
      <c r="F7" s="77" t="s">
        <v>172</v>
      </c>
      <c r="G7" s="49" t="s">
        <v>8</v>
      </c>
      <c r="H7" s="38">
        <v>849</v>
      </c>
      <c r="I7" s="38">
        <v>849</v>
      </c>
      <c r="J7" s="29"/>
      <c r="K7" s="77"/>
      <c r="L7" s="91"/>
      <c r="M7" s="42"/>
      <c r="R7" s="1">
        <f>IF(vend4[[#This Row],[Nº Venda]]&gt;1,1,0)</f>
        <v>1</v>
      </c>
    </row>
    <row r="8" spans="2:18" ht="16.5" x14ac:dyDescent="0.3">
      <c r="B8" s="30" t="s">
        <v>21</v>
      </c>
      <c r="C8" s="31">
        <f>SUM(C6:C7)</f>
        <v>2577.9</v>
      </c>
      <c r="D8" s="29"/>
      <c r="E8" s="76">
        <v>11515</v>
      </c>
      <c r="F8" s="77" t="s">
        <v>173</v>
      </c>
      <c r="G8" s="49" t="s">
        <v>36</v>
      </c>
      <c r="H8" s="38">
        <v>0</v>
      </c>
      <c r="I8" s="38">
        <v>0</v>
      </c>
      <c r="J8" s="29"/>
      <c r="K8" s="77"/>
      <c r="L8" s="91"/>
      <c r="M8" s="42"/>
      <c r="R8" s="1">
        <f>IF(vend4[[#This Row],[Nº Venda]]&gt;1,1,0)</f>
        <v>1</v>
      </c>
    </row>
    <row r="9" spans="2:18" ht="16.5" x14ac:dyDescent="0.3">
      <c r="B9" s="26"/>
      <c r="C9" s="26"/>
      <c r="D9" s="29"/>
      <c r="E9" s="76">
        <v>11516</v>
      </c>
      <c r="F9" s="77" t="s">
        <v>174</v>
      </c>
      <c r="G9" s="49" t="s">
        <v>7</v>
      </c>
      <c r="H9" s="38">
        <v>119.9</v>
      </c>
      <c r="I9" s="38">
        <v>119.9</v>
      </c>
      <c r="J9" s="29"/>
      <c r="K9" s="77"/>
      <c r="L9" s="91"/>
      <c r="M9" s="42"/>
      <c r="R9" s="1">
        <f>IF(vend4[[#This Row],[Nº Venda]]&gt;1,1,0)</f>
        <v>1</v>
      </c>
    </row>
    <row r="10" spans="2:18" ht="16.5" x14ac:dyDescent="0.3">
      <c r="B10" s="114" t="s">
        <v>5</v>
      </c>
      <c r="C10" s="115"/>
      <c r="D10" s="29"/>
      <c r="E10" s="76">
        <v>11517</v>
      </c>
      <c r="F10" s="77" t="s">
        <v>175</v>
      </c>
      <c r="G10" s="50" t="s">
        <v>7</v>
      </c>
      <c r="H10" s="38">
        <v>140</v>
      </c>
      <c r="I10" s="38">
        <v>140</v>
      </c>
      <c r="J10" s="29"/>
      <c r="K10" s="77"/>
      <c r="L10" s="91"/>
      <c r="M10" s="42"/>
      <c r="R10" s="1">
        <f>IF(vend4[[#This Row],[Nº Venda]]&gt;1,1,0)</f>
        <v>1</v>
      </c>
    </row>
    <row r="11" spans="2:18" ht="16.5" x14ac:dyDescent="0.3">
      <c r="B11" s="27" t="s">
        <v>6</v>
      </c>
      <c r="C11" s="70">
        <f>(SUMIF($G$2:$G$31,B11,$I$2:$I$31))+(SUMIF($G$35:$G$41,B11,$H$35:$H$41))</f>
        <v>209.5</v>
      </c>
      <c r="D11" s="29"/>
      <c r="E11" s="76">
        <v>11518</v>
      </c>
      <c r="F11" s="77" t="s">
        <v>176</v>
      </c>
      <c r="G11" s="50" t="s">
        <v>7</v>
      </c>
      <c r="H11" s="38">
        <v>1000</v>
      </c>
      <c r="I11" s="38">
        <v>200</v>
      </c>
      <c r="J11" s="29"/>
      <c r="K11" s="37"/>
      <c r="L11" s="91"/>
      <c r="M11" s="42"/>
      <c r="O11" s="1">
        <f>IF(C16=0,0,1)</f>
        <v>1</v>
      </c>
      <c r="R11" s="1">
        <f>IF(vend4[[#This Row],[Nº Venda]]&gt;1,1,0)</f>
        <v>1</v>
      </c>
    </row>
    <row r="12" spans="2:18" ht="16.5" x14ac:dyDescent="0.3">
      <c r="B12" s="27" t="s">
        <v>7</v>
      </c>
      <c r="C12" s="70">
        <f t="shared" ref="C12:C15" si="0">(SUMIF($G$2:$G$31,B12,$I$2:$I$31))+(SUMIF($G$35:$G$41,B12,$H$35:$H$41))</f>
        <v>459.9</v>
      </c>
      <c r="D12" s="29"/>
      <c r="E12" s="76"/>
      <c r="F12" s="77"/>
      <c r="G12" s="50"/>
      <c r="H12" s="38"/>
      <c r="I12" s="38"/>
      <c r="J12" s="29"/>
      <c r="K12" s="32"/>
      <c r="L12" s="32"/>
      <c r="M12" s="32"/>
      <c r="R12" s="1">
        <f>IF(vend4[[#This Row],[Nº Venda]]&gt;1,1,0)</f>
        <v>0</v>
      </c>
    </row>
    <row r="13" spans="2:18" ht="16.5" x14ac:dyDescent="0.3">
      <c r="B13" s="27" t="s">
        <v>8</v>
      </c>
      <c r="C13" s="70">
        <f t="shared" si="0"/>
        <v>1699</v>
      </c>
      <c r="D13" s="29"/>
      <c r="E13" s="76"/>
      <c r="F13" s="77"/>
      <c r="G13" s="50"/>
      <c r="H13" s="38"/>
      <c r="I13" s="38"/>
      <c r="J13" s="29"/>
      <c r="K13" s="107" t="s">
        <v>142</v>
      </c>
      <c r="L13" s="108"/>
      <c r="M13" s="109"/>
      <c r="R13" s="1">
        <f>IF(vend4[[#This Row],[Nº Venda]]&gt;1,1,0)</f>
        <v>0</v>
      </c>
    </row>
    <row r="14" spans="2:18" ht="16.5" x14ac:dyDescent="0.3">
      <c r="B14" s="27" t="s">
        <v>9</v>
      </c>
      <c r="C14" s="70">
        <f t="shared" si="0"/>
        <v>0</v>
      </c>
      <c r="D14" s="29"/>
      <c r="E14" s="76"/>
      <c r="F14" s="77"/>
      <c r="G14" s="50"/>
      <c r="H14" s="38"/>
      <c r="I14" s="38"/>
      <c r="J14" s="29"/>
      <c r="K14" s="21" t="s">
        <v>22</v>
      </c>
      <c r="L14" s="22" t="s">
        <v>23</v>
      </c>
      <c r="M14" s="23" t="s">
        <v>24</v>
      </c>
      <c r="R14" s="1">
        <f>IF(vend4[[#This Row],[Nº Venda]]&gt;1,1,0)</f>
        <v>0</v>
      </c>
    </row>
    <row r="15" spans="2:18" ht="16.5" x14ac:dyDescent="0.3">
      <c r="B15" s="27" t="s">
        <v>10</v>
      </c>
      <c r="C15" s="70">
        <f t="shared" si="0"/>
        <v>0</v>
      </c>
      <c r="D15" s="29"/>
      <c r="E15" s="76"/>
      <c r="F15" s="77"/>
      <c r="G15" s="50"/>
      <c r="H15" s="38"/>
      <c r="I15" s="38"/>
      <c r="J15" s="29"/>
      <c r="K15" s="76">
        <v>11323</v>
      </c>
      <c r="L15" s="91" t="s">
        <v>131</v>
      </c>
      <c r="M15" s="42" t="s">
        <v>145</v>
      </c>
      <c r="R15" s="1">
        <f>IF(vend4[[#This Row],[Nº Venda]]&gt;1,1,0)</f>
        <v>0</v>
      </c>
    </row>
    <row r="16" spans="2:18" ht="16.5" x14ac:dyDescent="0.3">
      <c r="B16" s="30" t="s">
        <v>11</v>
      </c>
      <c r="C16" s="71">
        <f>SUM(C11:C15)</f>
        <v>2368.4</v>
      </c>
      <c r="D16" s="29"/>
      <c r="E16" s="76"/>
      <c r="F16" s="77"/>
      <c r="G16" s="50"/>
      <c r="H16" s="38"/>
      <c r="I16" s="38"/>
      <c r="J16" s="29"/>
      <c r="K16" s="76">
        <v>11325</v>
      </c>
      <c r="L16" s="91" t="s">
        <v>131</v>
      </c>
      <c r="M16" s="42" t="s">
        <v>145</v>
      </c>
      <c r="R16" s="1">
        <f>IF(vend4[[#This Row],[Nº Venda]]&gt;1,1,0)</f>
        <v>0</v>
      </c>
    </row>
    <row r="17" spans="2:18" ht="16.5" x14ac:dyDescent="0.3">
      <c r="B17" s="26"/>
      <c r="C17" s="26"/>
      <c r="D17" s="29"/>
      <c r="E17" s="76"/>
      <c r="F17" s="77"/>
      <c r="G17" s="50"/>
      <c r="H17" s="38"/>
      <c r="I17" s="38"/>
      <c r="J17" s="29"/>
      <c r="K17" s="76">
        <v>11467</v>
      </c>
      <c r="L17" s="91" t="s">
        <v>131</v>
      </c>
      <c r="M17" s="42" t="s">
        <v>145</v>
      </c>
      <c r="R17" s="1">
        <f>IF(vend4[[#This Row],[Nº Venda]]&gt;1,1,0)</f>
        <v>0</v>
      </c>
    </row>
    <row r="18" spans="2:18" ht="16.5" x14ac:dyDescent="0.3">
      <c r="B18" s="114" t="s">
        <v>12</v>
      </c>
      <c r="C18" s="115"/>
      <c r="D18" s="29"/>
      <c r="E18" s="76"/>
      <c r="F18" s="77"/>
      <c r="G18" s="50"/>
      <c r="H18" s="38"/>
      <c r="I18" s="38"/>
      <c r="J18" s="29"/>
      <c r="K18" s="76">
        <v>11477</v>
      </c>
      <c r="L18" s="91" t="s">
        <v>129</v>
      </c>
      <c r="M18" s="42" t="s">
        <v>145</v>
      </c>
      <c r="R18" s="1">
        <f>IF(vend4[[#This Row],[Nº Venda]]&gt;1,1,0)</f>
        <v>0</v>
      </c>
    </row>
    <row r="19" spans="2:18" ht="16.5" x14ac:dyDescent="0.3">
      <c r="B19" s="27">
        <f>COUNT(entr_carn4[OS])</f>
        <v>0</v>
      </c>
      <c r="C19" s="70">
        <f>SUM(entr_carn4[Valor Total])</f>
        <v>0</v>
      </c>
      <c r="D19" s="29"/>
      <c r="E19" s="76"/>
      <c r="F19" s="77"/>
      <c r="G19" s="50"/>
      <c r="H19" s="38"/>
      <c r="I19" s="38"/>
      <c r="J19" s="29"/>
      <c r="K19" s="76">
        <v>11493</v>
      </c>
      <c r="L19" s="91" t="s">
        <v>131</v>
      </c>
      <c r="M19" s="42" t="s">
        <v>145</v>
      </c>
      <c r="R19" s="1">
        <f>IF(vend4[[#This Row],[Nº Venda]]&gt;1,1,0)</f>
        <v>0</v>
      </c>
    </row>
    <row r="20" spans="2:18" ht="16.5" x14ac:dyDescent="0.3">
      <c r="B20" s="30" t="s">
        <v>11</v>
      </c>
      <c r="C20" s="71">
        <f>SUM(C19:C19)</f>
        <v>0</v>
      </c>
      <c r="D20" s="29"/>
      <c r="E20" s="76"/>
      <c r="F20" s="50"/>
      <c r="G20" s="50"/>
      <c r="H20" s="38"/>
      <c r="I20" s="38"/>
      <c r="J20" s="29"/>
      <c r="K20" s="76"/>
      <c r="L20" s="91"/>
      <c r="M20" s="42"/>
      <c r="R20" s="1">
        <f>IF(vend4[[#This Row],[Nº Venda]]&gt;1,1,0)</f>
        <v>0</v>
      </c>
    </row>
    <row r="21" spans="2:18" ht="16.5" x14ac:dyDescent="0.3">
      <c r="B21" s="26"/>
      <c r="C21" s="26"/>
      <c r="D21" s="29"/>
      <c r="E21" s="76"/>
      <c r="F21" s="77"/>
      <c r="G21" s="50"/>
      <c r="H21" s="38"/>
      <c r="I21" s="38"/>
      <c r="J21" s="29"/>
      <c r="K21" s="76"/>
      <c r="L21" s="91"/>
      <c r="M21" s="42"/>
    </row>
    <row r="22" spans="2:18" ht="16.5" x14ac:dyDescent="0.3">
      <c r="B22" s="30" t="s">
        <v>25</v>
      </c>
      <c r="C22" s="33">
        <f>C5</f>
        <v>2958.9</v>
      </c>
      <c r="D22" s="29"/>
      <c r="E22" s="78"/>
      <c r="F22" s="77"/>
      <c r="G22" s="50"/>
      <c r="H22" s="38"/>
      <c r="I22" s="38"/>
      <c r="J22" s="29"/>
      <c r="K22" s="76"/>
      <c r="L22" s="91"/>
      <c r="M22" s="42"/>
    </row>
    <row r="23" spans="2:18" ht="16.5" x14ac:dyDescent="0.3">
      <c r="B23" s="29"/>
      <c r="C23" s="29"/>
      <c r="D23" s="29"/>
      <c r="E23" s="34"/>
      <c r="F23" s="34"/>
      <c r="G23" s="34"/>
      <c r="H23" s="35"/>
      <c r="I23" s="36"/>
      <c r="J23" s="29"/>
      <c r="K23" s="76"/>
      <c r="L23" s="91"/>
      <c r="M23" s="42"/>
    </row>
    <row r="24" spans="2:18" ht="16.5" x14ac:dyDescent="0.3">
      <c r="B24" s="29"/>
      <c r="C24" s="29"/>
      <c r="D24" s="29"/>
      <c r="E24" s="105" t="s">
        <v>139</v>
      </c>
      <c r="F24" s="106"/>
      <c r="G24" s="106"/>
      <c r="H24" s="106"/>
      <c r="I24" s="106"/>
      <c r="J24" s="29"/>
      <c r="K24" s="76"/>
      <c r="L24" s="91"/>
      <c r="M24" s="42"/>
    </row>
    <row r="25" spans="2:18" ht="16.5" x14ac:dyDescent="0.3">
      <c r="B25" s="29"/>
      <c r="C25" s="29"/>
      <c r="D25" s="29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29"/>
      <c r="K25" s="76"/>
      <c r="L25" s="91"/>
      <c r="M25" s="42"/>
    </row>
    <row r="26" spans="2:18" ht="16.5" x14ac:dyDescent="0.3">
      <c r="B26" s="29"/>
      <c r="C26" s="29"/>
      <c r="D26" s="29"/>
      <c r="E26" s="76"/>
      <c r="F26" s="77"/>
      <c r="G26" s="49"/>
      <c r="H26" s="38"/>
      <c r="I26" s="38"/>
      <c r="J26" s="29"/>
      <c r="K26" s="76"/>
      <c r="L26" s="91"/>
      <c r="M26" s="42"/>
    </row>
    <row r="27" spans="2:18" ht="16.5" x14ac:dyDescent="0.3">
      <c r="B27" s="29"/>
      <c r="C27" s="29"/>
      <c r="D27" s="29"/>
      <c r="E27" s="76"/>
      <c r="F27" s="77"/>
      <c r="G27" s="49"/>
      <c r="H27" s="38"/>
      <c r="I27" s="38"/>
      <c r="J27" s="29"/>
      <c r="K27" s="76"/>
      <c r="L27" s="91"/>
      <c r="M27" s="42"/>
    </row>
    <row r="28" spans="2:18" ht="16.5" x14ac:dyDescent="0.3">
      <c r="B28" s="29"/>
      <c r="C28" s="29"/>
      <c r="D28" s="29"/>
      <c r="E28" s="76"/>
      <c r="F28" s="77"/>
      <c r="G28" s="49"/>
      <c r="H28" s="38"/>
      <c r="I28" s="38"/>
      <c r="J28" s="29"/>
      <c r="K28" s="76"/>
      <c r="L28" s="91"/>
      <c r="M28" s="42"/>
    </row>
    <row r="29" spans="2:18" ht="16.5" x14ac:dyDescent="0.3">
      <c r="B29" s="29"/>
      <c r="C29" s="29"/>
      <c r="D29" s="29"/>
      <c r="E29" s="76"/>
      <c r="F29" s="77"/>
      <c r="G29" s="50"/>
      <c r="H29" s="38"/>
      <c r="I29" s="38"/>
      <c r="J29" s="29"/>
      <c r="K29" s="76"/>
      <c r="L29" s="91"/>
      <c r="M29" s="42"/>
    </row>
    <row r="30" spans="2:18" ht="16.5" x14ac:dyDescent="0.3">
      <c r="B30" s="29"/>
      <c r="C30" s="29"/>
      <c r="D30" s="29"/>
      <c r="E30" s="76"/>
      <c r="F30" s="50"/>
      <c r="G30" s="50"/>
      <c r="H30" s="38"/>
      <c r="I30" s="38"/>
      <c r="J30" s="29"/>
      <c r="K30" s="76"/>
      <c r="L30" s="91"/>
      <c r="M30" s="42"/>
    </row>
    <row r="31" spans="2:18" ht="16.5" x14ac:dyDescent="0.3">
      <c r="B31" s="29"/>
      <c r="C31" s="29"/>
      <c r="D31" s="29"/>
      <c r="E31" s="78"/>
      <c r="F31" s="79"/>
      <c r="G31" s="40"/>
      <c r="H31" s="41"/>
      <c r="I31" s="41"/>
      <c r="J31" s="29"/>
      <c r="K31" s="76"/>
      <c r="L31" s="91"/>
      <c r="M31" s="42"/>
    </row>
    <row r="32" spans="2:18" ht="16.5" x14ac:dyDescent="0.3">
      <c r="B32" s="29"/>
      <c r="C32" s="29"/>
      <c r="D32" s="37"/>
      <c r="E32" s="34"/>
      <c r="F32" s="34"/>
      <c r="G32" s="34"/>
      <c r="H32" s="36"/>
      <c r="I32" s="36"/>
      <c r="J32" s="37"/>
      <c r="K32" s="32"/>
      <c r="L32" s="32"/>
      <c r="M32" s="32"/>
    </row>
    <row r="33" spans="2:18" ht="16.5" x14ac:dyDescent="0.3">
      <c r="B33" s="29"/>
      <c r="C33" s="29"/>
      <c r="D33" s="37"/>
      <c r="E33" s="105" t="s">
        <v>140</v>
      </c>
      <c r="F33" s="106"/>
      <c r="G33" s="106"/>
      <c r="H33" s="106"/>
      <c r="I33" s="106"/>
      <c r="J33" s="37"/>
      <c r="K33" s="107" t="s">
        <v>141</v>
      </c>
      <c r="L33" s="108"/>
      <c r="M33" s="109"/>
    </row>
    <row r="34" spans="2:18" ht="16.5" x14ac:dyDescent="0.3">
      <c r="B34" s="37"/>
      <c r="C34" s="37"/>
      <c r="D34" s="37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7"/>
      <c r="K34" s="22" t="s">
        <v>22</v>
      </c>
      <c r="L34" s="21" t="s">
        <v>28</v>
      </c>
      <c r="M34" s="22" t="s">
        <v>29</v>
      </c>
    </row>
    <row r="35" spans="2:18" ht="16.5" customHeight="1" x14ac:dyDescent="0.25">
      <c r="B35" s="37"/>
      <c r="C35" s="37"/>
      <c r="D35" s="37"/>
      <c r="E35" s="76">
        <v>10942</v>
      </c>
      <c r="F35" s="77" t="s">
        <v>278</v>
      </c>
      <c r="G35" s="50" t="s">
        <v>6</v>
      </c>
      <c r="H35" s="38">
        <v>60</v>
      </c>
      <c r="I35" s="38" t="s">
        <v>43</v>
      </c>
      <c r="J35" s="37"/>
      <c r="K35" s="76"/>
      <c r="L35" s="76"/>
      <c r="M35" s="91"/>
    </row>
    <row r="36" spans="2:18" ht="16.5" customHeight="1" x14ac:dyDescent="0.25">
      <c r="B36" s="37"/>
      <c r="C36" s="37"/>
      <c r="D36" s="37"/>
      <c r="E36" s="76">
        <v>11007</v>
      </c>
      <c r="F36" s="77" t="s">
        <v>277</v>
      </c>
      <c r="G36" s="50" t="s">
        <v>6</v>
      </c>
      <c r="H36" s="38">
        <v>92</v>
      </c>
      <c r="I36" s="38" t="s">
        <v>45</v>
      </c>
      <c r="J36" s="37"/>
      <c r="K36" s="76"/>
      <c r="L36" s="76"/>
      <c r="M36" s="91"/>
    </row>
    <row r="37" spans="2:18" ht="16.5" customHeight="1" x14ac:dyDescent="0.25">
      <c r="B37" s="37"/>
      <c r="C37" s="37"/>
      <c r="D37" s="37"/>
      <c r="E37" s="76">
        <v>11101</v>
      </c>
      <c r="F37" s="77" t="s">
        <v>277</v>
      </c>
      <c r="G37" s="50" t="s">
        <v>6</v>
      </c>
      <c r="H37" s="38">
        <v>57.5</v>
      </c>
      <c r="I37" s="38" t="s">
        <v>73</v>
      </c>
      <c r="J37" s="37"/>
      <c r="K37" s="76"/>
      <c r="L37" s="76"/>
      <c r="M37" s="91"/>
    </row>
    <row r="38" spans="2:18" ht="16.5" customHeight="1" x14ac:dyDescent="0.25">
      <c r="B38" s="37"/>
      <c r="C38" s="37"/>
      <c r="D38" s="37"/>
      <c r="E38" s="76"/>
      <c r="F38" s="77"/>
      <c r="G38" s="50"/>
      <c r="H38" s="38"/>
      <c r="I38" s="38"/>
      <c r="J38" s="37"/>
      <c r="K38" s="76"/>
      <c r="L38" s="76"/>
      <c r="M38" s="91"/>
    </row>
    <row r="39" spans="2:18" ht="16.5" customHeight="1" x14ac:dyDescent="0.25">
      <c r="B39" s="37"/>
      <c r="C39" s="37"/>
      <c r="D39" s="37"/>
      <c r="E39" s="76"/>
      <c r="F39" s="50"/>
      <c r="G39" s="50"/>
      <c r="H39" s="38"/>
      <c r="I39" s="38"/>
      <c r="J39" s="37"/>
      <c r="K39" s="76"/>
      <c r="L39" s="76"/>
      <c r="M39" s="91"/>
    </row>
    <row r="40" spans="2:18" ht="16.5" customHeight="1" x14ac:dyDescent="0.25">
      <c r="B40" s="37"/>
      <c r="C40" s="37"/>
      <c r="D40" s="37"/>
      <c r="E40" s="78"/>
      <c r="F40" s="79"/>
      <c r="G40" s="40"/>
      <c r="H40" s="41"/>
      <c r="I40" s="38"/>
      <c r="J40" s="37"/>
      <c r="K40" s="78"/>
      <c r="L40" s="78"/>
      <c r="M40" s="92"/>
      <c r="Q40" s="1" t="s">
        <v>33</v>
      </c>
      <c r="R40" s="1">
        <f>SUM(R6:R21)</f>
        <v>6</v>
      </c>
    </row>
    <row r="41" spans="2:18" ht="16.5" customHeight="1" x14ac:dyDescent="0.25">
      <c r="B41" s="37"/>
      <c r="C41" s="37"/>
      <c r="D41" s="37"/>
      <c r="E41" s="82"/>
      <c r="F41" s="50"/>
      <c r="G41" s="50"/>
      <c r="H41" s="38"/>
      <c r="I41" s="38"/>
      <c r="J41" s="37"/>
      <c r="K41" s="76"/>
      <c r="L41" s="76"/>
      <c r="M41" s="92"/>
    </row>
    <row r="42" spans="2:18" ht="13.5" x14ac:dyDescent="0.25">
      <c r="B42" s="37"/>
      <c r="C42" s="37"/>
      <c r="D42" s="37"/>
      <c r="E42" s="34"/>
      <c r="F42" s="34"/>
      <c r="G42" s="34"/>
      <c r="H42" s="36"/>
      <c r="I42" s="36"/>
      <c r="J42" s="37"/>
      <c r="K42" s="32"/>
      <c r="L42" s="32"/>
      <c r="M42" s="32"/>
    </row>
    <row r="43" spans="2:18" ht="13.5" x14ac:dyDescent="0.25">
      <c r="B43" s="37"/>
      <c r="C43" s="37"/>
      <c r="D43" s="37"/>
      <c r="E43" s="34"/>
      <c r="F43" s="34"/>
      <c r="G43" s="34"/>
      <c r="H43" s="36"/>
      <c r="I43" s="36"/>
      <c r="J43" s="37"/>
      <c r="K43" s="32"/>
      <c r="L43" s="32"/>
      <c r="M43" s="32"/>
    </row>
    <row r="44" spans="2:18" ht="13.5" x14ac:dyDescent="0.25">
      <c r="B44" s="37"/>
      <c r="C44" s="37"/>
      <c r="D44" s="37"/>
      <c r="E44" s="34"/>
      <c r="F44" s="34"/>
      <c r="G44" s="34"/>
      <c r="H44" s="36"/>
      <c r="I44" s="36"/>
      <c r="J44" s="37"/>
      <c r="K44" s="32"/>
      <c r="L44" s="32"/>
      <c r="M44" s="32"/>
    </row>
    <row r="45" spans="2:18" ht="13.5" x14ac:dyDescent="0.25">
      <c r="B45" s="37"/>
      <c r="C45" s="37"/>
      <c r="D45" s="37"/>
      <c r="E45" s="34"/>
      <c r="F45" s="34"/>
      <c r="G45" s="34"/>
      <c r="H45" s="36"/>
      <c r="I45" s="36"/>
      <c r="J45" s="37"/>
      <c r="K45" s="32"/>
      <c r="L45" s="32"/>
      <c r="M45" s="32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5"/>
  <sheetViews>
    <sheetView showGridLines="0" view="pageBreakPreview" topLeftCell="B1" zoomScale="82" zoomScaleNormal="90" zoomScaleSheetLayoutView="82" workbookViewId="0">
      <selection activeCell="F14" sqref="F14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40.5703125" style="11" bestFit="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2.140625" style="1" hidden="1" customWidth="1"/>
    <col min="15" max="15" width="9.140625" style="1" hidden="1" customWidth="1"/>
    <col min="16" max="16" width="11.42578125" style="1" hidden="1" customWidth="1"/>
    <col min="17" max="18" width="2.42578125" style="1" hidden="1" customWidth="1"/>
    <col min="19" max="19" width="0" style="1" hidden="1" customWidth="1"/>
    <col min="20" max="16384" width="9.140625" style="1"/>
  </cols>
  <sheetData>
    <row r="1" spans="2:17" ht="28.5" x14ac:dyDescent="0.45">
      <c r="B1" s="103">
        <f>'04'!B1+1</f>
        <v>45874</v>
      </c>
      <c r="C1" s="103"/>
      <c r="L1" s="104" t="s">
        <v>144</v>
      </c>
      <c r="M1" s="104"/>
    </row>
    <row r="2" spans="2:17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7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7" ht="16.5" x14ac:dyDescent="0.3">
      <c r="B4" s="24" t="s">
        <v>0</v>
      </c>
      <c r="C4" s="25">
        <v>0</v>
      </c>
      <c r="D4" s="57"/>
      <c r="E4" s="113" t="s">
        <v>137</v>
      </c>
      <c r="F4" s="113"/>
      <c r="G4" s="113"/>
      <c r="H4" s="113"/>
      <c r="I4" s="113"/>
      <c r="J4" s="29"/>
      <c r="K4" s="107" t="s">
        <v>138</v>
      </c>
      <c r="L4" s="108"/>
      <c r="M4" s="109"/>
    </row>
    <row r="5" spans="2:17" ht="16.5" x14ac:dyDescent="0.3">
      <c r="B5" s="27" t="s">
        <v>1</v>
      </c>
      <c r="C5" s="28">
        <f>SUMIF(I6:I31,"&gt;0",H6:H31)</f>
        <v>7898</v>
      </c>
      <c r="D5" s="29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29"/>
      <c r="K5" s="21" t="s">
        <v>18</v>
      </c>
      <c r="L5" s="22" t="s">
        <v>19</v>
      </c>
      <c r="M5" s="23" t="s">
        <v>20</v>
      </c>
    </row>
    <row r="6" spans="2:17" ht="16.5" x14ac:dyDescent="0.3">
      <c r="B6" s="27" t="s">
        <v>2</v>
      </c>
      <c r="C6" s="28">
        <f>C16</f>
        <v>5796</v>
      </c>
      <c r="D6" s="29"/>
      <c r="E6" s="76">
        <v>11519</v>
      </c>
      <c r="F6" s="77" t="s">
        <v>182</v>
      </c>
      <c r="G6" s="49" t="s">
        <v>10</v>
      </c>
      <c r="H6" s="38">
        <v>399</v>
      </c>
      <c r="I6" s="38">
        <v>160</v>
      </c>
      <c r="J6" s="29"/>
      <c r="K6" s="77"/>
      <c r="L6" s="91"/>
      <c r="M6" s="42"/>
      <c r="Q6" s="1">
        <f>IF(vend5[[#This Row],[Nº Venda]]&gt;1,1,0)</f>
        <v>1</v>
      </c>
    </row>
    <row r="7" spans="2:17" ht="16.5" x14ac:dyDescent="0.3">
      <c r="B7" s="27" t="s">
        <v>3</v>
      </c>
      <c r="C7" s="28">
        <f>SUM(M6:M11)</f>
        <v>0</v>
      </c>
      <c r="D7" s="29"/>
      <c r="E7" s="76">
        <v>11520</v>
      </c>
      <c r="F7" s="77" t="s">
        <v>184</v>
      </c>
      <c r="G7" s="49" t="s">
        <v>6</v>
      </c>
      <c r="H7" s="38">
        <v>290</v>
      </c>
      <c r="I7" s="38">
        <v>100</v>
      </c>
      <c r="J7" s="29"/>
      <c r="K7" s="77"/>
      <c r="L7" s="91"/>
      <c r="M7" s="42"/>
      <c r="Q7" s="1">
        <f>IF(vend5[[#This Row],[Nº Venda]]&gt;1,1,0)</f>
        <v>1</v>
      </c>
    </row>
    <row r="8" spans="2:17" ht="16.5" x14ac:dyDescent="0.3">
      <c r="B8" s="30" t="s">
        <v>21</v>
      </c>
      <c r="C8" s="31">
        <f>SUM(C6:C7)</f>
        <v>5796</v>
      </c>
      <c r="D8" s="29"/>
      <c r="E8" s="76">
        <v>11521</v>
      </c>
      <c r="F8" s="77" t="s">
        <v>185</v>
      </c>
      <c r="G8" s="49" t="s">
        <v>8</v>
      </c>
      <c r="H8" s="38">
        <v>300</v>
      </c>
      <c r="I8" s="38">
        <v>300</v>
      </c>
      <c r="J8" s="29"/>
      <c r="K8" s="77"/>
      <c r="L8" s="91"/>
      <c r="M8" s="42"/>
      <c r="Q8" s="1">
        <f>IF(vend5[[#This Row],[Nº Venda]]&gt;1,1,0)</f>
        <v>1</v>
      </c>
    </row>
    <row r="9" spans="2:17" ht="16.5" x14ac:dyDescent="0.3">
      <c r="B9" s="26"/>
      <c r="C9" s="26"/>
      <c r="D9" s="29"/>
      <c r="E9" s="76">
        <v>11522</v>
      </c>
      <c r="F9" s="77" t="s">
        <v>185</v>
      </c>
      <c r="G9" s="49" t="s">
        <v>36</v>
      </c>
      <c r="H9" s="38">
        <v>0</v>
      </c>
      <c r="I9" s="38">
        <v>0</v>
      </c>
      <c r="J9" s="29"/>
      <c r="K9" s="77"/>
      <c r="L9" s="91"/>
      <c r="M9" s="42"/>
      <c r="Q9" s="1">
        <f>IF(vend5[[#This Row],[Nº Venda]]&gt;1,1,0)</f>
        <v>1</v>
      </c>
    </row>
    <row r="10" spans="2:17" ht="16.5" x14ac:dyDescent="0.3">
      <c r="B10" s="114" t="s">
        <v>5</v>
      </c>
      <c r="C10" s="115"/>
      <c r="D10" s="29"/>
      <c r="E10" s="76">
        <v>11523</v>
      </c>
      <c r="F10" s="77" t="s">
        <v>186</v>
      </c>
      <c r="G10" s="49" t="s">
        <v>8</v>
      </c>
      <c r="H10" s="38">
        <v>950</v>
      </c>
      <c r="I10" s="38">
        <v>950</v>
      </c>
      <c r="J10" s="29"/>
      <c r="K10" s="77"/>
      <c r="L10" s="91"/>
      <c r="M10" s="42"/>
      <c r="Q10" s="1">
        <f>IF(vend5[[#This Row],[Nº Venda]]&gt;1,1,0)</f>
        <v>1</v>
      </c>
    </row>
    <row r="11" spans="2:17" ht="16.5" x14ac:dyDescent="0.3">
      <c r="B11" s="27" t="s">
        <v>6</v>
      </c>
      <c r="C11" s="70">
        <f>(SUMIF($G$2:$G$31,B11,$I$2:$I$31))+(SUMIF($G$35:$G$41,B11,$H$35:$H$41))</f>
        <v>386</v>
      </c>
      <c r="D11" s="29"/>
      <c r="E11" s="76">
        <v>11524</v>
      </c>
      <c r="F11" s="77" t="s">
        <v>186</v>
      </c>
      <c r="G11" s="49" t="s">
        <v>36</v>
      </c>
      <c r="H11" s="38">
        <v>0</v>
      </c>
      <c r="I11" s="38">
        <v>0</v>
      </c>
      <c r="J11" s="29"/>
      <c r="K11" s="37"/>
      <c r="L11" s="91"/>
      <c r="M11" s="42"/>
      <c r="N11" s="1">
        <f>IF(C16=0,0,1)</f>
        <v>1</v>
      </c>
      <c r="Q11" s="1">
        <f>IF(vend5[[#This Row],[Nº Venda]]&gt;1,1,0)</f>
        <v>1</v>
      </c>
    </row>
    <row r="12" spans="2:17" ht="16.5" x14ac:dyDescent="0.3">
      <c r="B12" s="27" t="s">
        <v>7</v>
      </c>
      <c r="C12" s="70">
        <f t="shared" ref="C12:C15" si="0">(SUMIF($G$2:$G$31,B12,$I$2:$I$31))+(SUMIF($G$35:$G$41,B12,$H$35:$H$41))</f>
        <v>0</v>
      </c>
      <c r="D12" s="29"/>
      <c r="E12" s="76">
        <v>11525</v>
      </c>
      <c r="F12" s="77" t="s">
        <v>187</v>
      </c>
      <c r="G12" s="50" t="s">
        <v>8</v>
      </c>
      <c r="H12" s="38">
        <v>2000</v>
      </c>
      <c r="I12" s="38">
        <v>2000</v>
      </c>
      <c r="J12" s="29"/>
      <c r="K12" s="32"/>
      <c r="L12" s="32"/>
      <c r="M12" s="32"/>
      <c r="Q12" s="1">
        <f>IF(vend5[[#This Row],[Nº Venda]]&gt;1,1,0)</f>
        <v>1</v>
      </c>
    </row>
    <row r="13" spans="2:17" ht="16.5" x14ac:dyDescent="0.3">
      <c r="B13" s="27" t="s">
        <v>8</v>
      </c>
      <c r="C13" s="70">
        <f t="shared" si="0"/>
        <v>5050</v>
      </c>
      <c r="D13" s="29"/>
      <c r="E13" s="76">
        <v>11526</v>
      </c>
      <c r="F13" s="77" t="s">
        <v>187</v>
      </c>
      <c r="G13" s="50" t="s">
        <v>8</v>
      </c>
      <c r="H13" s="38">
        <v>600</v>
      </c>
      <c r="I13" s="38">
        <v>600</v>
      </c>
      <c r="J13" s="29"/>
      <c r="K13" s="107" t="s">
        <v>142</v>
      </c>
      <c r="L13" s="108"/>
      <c r="M13" s="109"/>
      <c r="Q13" s="1">
        <f>IF(vend5[[#This Row],[Nº Venda]]&gt;1,1,0)</f>
        <v>1</v>
      </c>
    </row>
    <row r="14" spans="2:17" ht="16.5" x14ac:dyDescent="0.3">
      <c r="B14" s="27" t="s">
        <v>9</v>
      </c>
      <c r="C14" s="70">
        <f t="shared" si="0"/>
        <v>0</v>
      </c>
      <c r="D14" s="29"/>
      <c r="E14" s="76">
        <v>11527</v>
      </c>
      <c r="F14" s="77" t="s">
        <v>188</v>
      </c>
      <c r="G14" s="50" t="s">
        <v>8</v>
      </c>
      <c r="H14" s="38">
        <v>600</v>
      </c>
      <c r="I14" s="38">
        <v>400</v>
      </c>
      <c r="J14" s="29"/>
      <c r="K14" s="21" t="s">
        <v>22</v>
      </c>
      <c r="L14" s="22" t="s">
        <v>23</v>
      </c>
      <c r="M14" s="23" t="s">
        <v>24</v>
      </c>
      <c r="Q14" s="1">
        <f>IF(vend5[[#This Row],[Nº Venda]]&gt;1,1,0)</f>
        <v>1</v>
      </c>
    </row>
    <row r="15" spans="2:17" ht="16.5" x14ac:dyDescent="0.3">
      <c r="B15" s="27" t="s">
        <v>10</v>
      </c>
      <c r="C15" s="70">
        <f t="shared" si="0"/>
        <v>360</v>
      </c>
      <c r="D15" s="29"/>
      <c r="E15" s="76">
        <v>11528</v>
      </c>
      <c r="F15" s="77" t="s">
        <v>188</v>
      </c>
      <c r="G15" s="50" t="s">
        <v>8</v>
      </c>
      <c r="H15" s="38">
        <v>600</v>
      </c>
      <c r="I15" s="38">
        <v>400</v>
      </c>
      <c r="J15" s="29"/>
      <c r="K15" s="76">
        <v>11328</v>
      </c>
      <c r="L15" s="91" t="s">
        <v>131</v>
      </c>
      <c r="M15" s="53" t="s">
        <v>145</v>
      </c>
      <c r="Q15" s="1">
        <f>IF(vend5[[#This Row],[Nº Venda]]&gt;1,1,0)</f>
        <v>1</v>
      </c>
    </row>
    <row r="16" spans="2:17" ht="16.5" x14ac:dyDescent="0.3">
      <c r="B16" s="30" t="s">
        <v>11</v>
      </c>
      <c r="C16" s="71">
        <f>SUM(C11:C15)</f>
        <v>5796</v>
      </c>
      <c r="D16" s="29"/>
      <c r="E16" s="76">
        <v>11529</v>
      </c>
      <c r="F16" s="77" t="s">
        <v>279</v>
      </c>
      <c r="G16" s="50" t="s">
        <v>10</v>
      </c>
      <c r="H16" s="38">
        <v>950</v>
      </c>
      <c r="I16" s="38">
        <v>200</v>
      </c>
      <c r="J16" s="29"/>
      <c r="K16" s="76">
        <v>11345</v>
      </c>
      <c r="L16" s="91" t="s">
        <v>131</v>
      </c>
      <c r="M16" s="53" t="s">
        <v>145</v>
      </c>
      <c r="Q16" s="1">
        <f>IF(vend5[[#This Row],[Nº Venda]]&gt;1,1,0)</f>
        <v>1</v>
      </c>
    </row>
    <row r="17" spans="2:17" ht="16.5" x14ac:dyDescent="0.3">
      <c r="B17" s="26"/>
      <c r="C17" s="26"/>
      <c r="D17" s="29"/>
      <c r="E17" s="76">
        <v>11530</v>
      </c>
      <c r="F17" s="77" t="s">
        <v>226</v>
      </c>
      <c r="G17" s="50" t="s">
        <v>6</v>
      </c>
      <c r="H17" s="38">
        <v>799</v>
      </c>
      <c r="I17" s="38">
        <v>7</v>
      </c>
      <c r="J17" s="29"/>
      <c r="K17" s="76">
        <v>11362</v>
      </c>
      <c r="L17" s="91" t="s">
        <v>131</v>
      </c>
      <c r="M17" s="53" t="s">
        <v>145</v>
      </c>
      <c r="Q17" s="1">
        <f>IF(vend5[[#This Row],[Nº Venda]]&gt;1,1,0)</f>
        <v>1</v>
      </c>
    </row>
    <row r="18" spans="2:17" ht="16.5" x14ac:dyDescent="0.3">
      <c r="B18" s="114" t="s">
        <v>12</v>
      </c>
      <c r="C18" s="115"/>
      <c r="D18" s="29"/>
      <c r="E18" s="76">
        <v>11531</v>
      </c>
      <c r="F18" s="77" t="s">
        <v>197</v>
      </c>
      <c r="G18" s="50" t="s">
        <v>6</v>
      </c>
      <c r="H18" s="38">
        <v>10</v>
      </c>
      <c r="I18" s="38">
        <v>10</v>
      </c>
      <c r="J18" s="29"/>
      <c r="K18" s="76">
        <v>11374</v>
      </c>
      <c r="L18" s="91" t="s">
        <v>131</v>
      </c>
      <c r="M18" s="53" t="s">
        <v>145</v>
      </c>
      <c r="Q18" s="1">
        <f>IF(vend5[[#This Row],[Nº Venda]]&gt;1,1,0)</f>
        <v>1</v>
      </c>
    </row>
    <row r="19" spans="2:17" ht="16.5" x14ac:dyDescent="0.3">
      <c r="B19" s="27">
        <f>COUNT(entr_carn5[OS])</f>
        <v>0</v>
      </c>
      <c r="C19" s="70">
        <f>SUM(entr_carn5[Valor Total])</f>
        <v>0</v>
      </c>
      <c r="D19" s="29"/>
      <c r="E19" s="76"/>
      <c r="F19" s="77"/>
      <c r="G19" s="50"/>
      <c r="H19" s="38"/>
      <c r="I19" s="38"/>
      <c r="J19" s="29"/>
      <c r="K19" s="76">
        <v>11389</v>
      </c>
      <c r="L19" s="91" t="s">
        <v>129</v>
      </c>
      <c r="M19" s="53" t="s">
        <v>145</v>
      </c>
      <c r="Q19" s="1">
        <f>IF(vend5[[#This Row],[Nº Venda]]&gt;1,1,0)</f>
        <v>0</v>
      </c>
    </row>
    <row r="20" spans="2:17" ht="16.5" x14ac:dyDescent="0.3">
      <c r="B20" s="30" t="s">
        <v>11</v>
      </c>
      <c r="C20" s="71">
        <f>SUM(C19:C19)</f>
        <v>0</v>
      </c>
      <c r="D20" s="29"/>
      <c r="E20" s="76"/>
      <c r="F20" s="50"/>
      <c r="G20" s="50"/>
      <c r="H20" s="38"/>
      <c r="I20" s="38"/>
      <c r="J20" s="29"/>
      <c r="K20" s="76">
        <v>11486</v>
      </c>
      <c r="L20" s="91" t="s">
        <v>131</v>
      </c>
      <c r="M20" s="53" t="s">
        <v>145</v>
      </c>
      <c r="Q20" s="1">
        <f>IF(vend5[[#This Row],[Nº Venda]]&gt;1,1,0)</f>
        <v>0</v>
      </c>
    </row>
    <row r="21" spans="2:17" ht="16.5" x14ac:dyDescent="0.3">
      <c r="B21" s="26"/>
      <c r="C21" s="26"/>
      <c r="D21" s="29"/>
      <c r="E21" s="76"/>
      <c r="F21" s="77"/>
      <c r="G21" s="50"/>
      <c r="H21" s="38"/>
      <c r="I21" s="38"/>
      <c r="J21" s="29"/>
      <c r="K21" s="76">
        <v>11516</v>
      </c>
      <c r="L21" s="91" t="s">
        <v>131</v>
      </c>
      <c r="M21" s="53" t="s">
        <v>145</v>
      </c>
    </row>
    <row r="22" spans="2:17" ht="16.5" x14ac:dyDescent="0.3">
      <c r="B22" s="30" t="s">
        <v>25</v>
      </c>
      <c r="C22" s="33">
        <f>C5</f>
        <v>7898</v>
      </c>
      <c r="D22" s="29"/>
      <c r="E22" s="78"/>
      <c r="F22" s="77"/>
      <c r="G22" s="50"/>
      <c r="H22" s="38"/>
      <c r="I22" s="38"/>
      <c r="J22" s="29"/>
      <c r="K22" s="76"/>
      <c r="L22" s="91"/>
      <c r="M22" s="42"/>
    </row>
    <row r="23" spans="2:17" ht="16.5" x14ac:dyDescent="0.3">
      <c r="B23" s="29"/>
      <c r="C23" s="29"/>
      <c r="D23" s="29"/>
      <c r="E23" s="34"/>
      <c r="F23" s="34"/>
      <c r="G23" s="34"/>
      <c r="H23" s="35"/>
      <c r="I23" s="36"/>
      <c r="J23" s="29"/>
      <c r="K23" s="76"/>
      <c r="L23" s="91"/>
      <c r="M23" s="42"/>
    </row>
    <row r="24" spans="2:17" ht="16.5" x14ac:dyDescent="0.3">
      <c r="B24" s="29"/>
      <c r="C24" s="29"/>
      <c r="D24" s="29"/>
      <c r="E24" s="105" t="s">
        <v>139</v>
      </c>
      <c r="F24" s="106"/>
      <c r="G24" s="106"/>
      <c r="H24" s="106"/>
      <c r="I24" s="106"/>
      <c r="J24" s="29"/>
      <c r="K24" s="76"/>
      <c r="L24" s="91"/>
      <c r="M24" s="42"/>
    </row>
    <row r="25" spans="2:17" ht="16.5" x14ac:dyDescent="0.3">
      <c r="B25" s="29"/>
      <c r="C25" s="29"/>
      <c r="D25" s="29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29"/>
      <c r="K25" s="76"/>
      <c r="L25" s="91"/>
      <c r="M25" s="42"/>
    </row>
    <row r="26" spans="2:17" ht="16.5" x14ac:dyDescent="0.3">
      <c r="B26" s="29"/>
      <c r="C26" s="29"/>
      <c r="D26" s="29"/>
      <c r="E26" s="76">
        <v>11435</v>
      </c>
      <c r="F26" s="77" t="s">
        <v>183</v>
      </c>
      <c r="G26" s="49" t="s">
        <v>6</v>
      </c>
      <c r="H26" s="38">
        <v>0</v>
      </c>
      <c r="I26" s="38">
        <v>150</v>
      </c>
      <c r="J26" s="29"/>
      <c r="K26" s="76"/>
      <c r="L26" s="91"/>
      <c r="M26" s="42"/>
    </row>
    <row r="27" spans="2:17" ht="16.5" x14ac:dyDescent="0.3">
      <c r="B27" s="29"/>
      <c r="C27" s="29"/>
      <c r="D27" s="29"/>
      <c r="E27" s="76">
        <v>11330</v>
      </c>
      <c r="F27" s="77" t="s">
        <v>196</v>
      </c>
      <c r="G27" s="49" t="s">
        <v>8</v>
      </c>
      <c r="H27" s="38">
        <v>400</v>
      </c>
      <c r="I27" s="38">
        <v>400</v>
      </c>
      <c r="J27" s="29"/>
      <c r="K27" s="76"/>
      <c r="L27" s="91"/>
      <c r="M27" s="42"/>
    </row>
    <row r="28" spans="2:17" ht="16.5" x14ac:dyDescent="0.3">
      <c r="B28" s="29"/>
      <c r="C28" s="29"/>
      <c r="D28" s="29"/>
      <c r="E28" s="76"/>
      <c r="F28" s="77"/>
      <c r="G28" s="49"/>
      <c r="H28" s="38"/>
      <c r="I28" s="38"/>
      <c r="J28" s="29"/>
      <c r="K28" s="76"/>
      <c r="L28" s="91"/>
      <c r="M28" s="42"/>
    </row>
    <row r="29" spans="2:17" ht="16.5" x14ac:dyDescent="0.3">
      <c r="B29" s="29"/>
      <c r="C29" s="29"/>
      <c r="D29" s="29"/>
      <c r="E29" s="76"/>
      <c r="F29" s="77"/>
      <c r="G29" s="50"/>
      <c r="H29" s="38"/>
      <c r="I29" s="38"/>
      <c r="J29" s="29"/>
      <c r="K29" s="76"/>
      <c r="L29" s="91"/>
      <c r="M29" s="42"/>
    </row>
    <row r="30" spans="2:17" ht="16.5" x14ac:dyDescent="0.3">
      <c r="B30" s="29"/>
      <c r="C30" s="29"/>
      <c r="D30" s="29"/>
      <c r="E30" s="76"/>
      <c r="F30" s="50"/>
      <c r="G30" s="50"/>
      <c r="H30" s="38"/>
      <c r="I30" s="38"/>
      <c r="J30" s="29"/>
      <c r="K30" s="76"/>
      <c r="L30" s="91"/>
      <c r="M30" s="42"/>
    </row>
    <row r="31" spans="2:17" ht="16.5" x14ac:dyDescent="0.3">
      <c r="B31" s="29"/>
      <c r="C31" s="29"/>
      <c r="D31" s="29"/>
      <c r="E31" s="78"/>
      <c r="F31" s="79"/>
      <c r="G31" s="40"/>
      <c r="H31" s="41"/>
      <c r="I31" s="41"/>
      <c r="J31" s="29"/>
      <c r="K31" s="76"/>
      <c r="L31" s="91"/>
      <c r="M31" s="42"/>
    </row>
    <row r="32" spans="2:17" ht="16.5" x14ac:dyDescent="0.3">
      <c r="B32" s="29"/>
      <c r="C32" s="29"/>
      <c r="D32" s="37"/>
      <c r="E32" s="34"/>
      <c r="F32" s="34"/>
      <c r="G32" s="34"/>
      <c r="H32" s="36"/>
      <c r="I32" s="36"/>
      <c r="J32" s="37"/>
      <c r="K32" s="32"/>
      <c r="L32" s="32"/>
      <c r="M32" s="32"/>
    </row>
    <row r="33" spans="2:17" ht="16.5" x14ac:dyDescent="0.3">
      <c r="B33" s="29"/>
      <c r="C33" s="29"/>
      <c r="D33" s="37"/>
      <c r="E33" s="105" t="s">
        <v>140</v>
      </c>
      <c r="F33" s="106"/>
      <c r="G33" s="106"/>
      <c r="H33" s="106"/>
      <c r="I33" s="106"/>
      <c r="J33" s="37"/>
      <c r="K33" s="107" t="s">
        <v>141</v>
      </c>
      <c r="L33" s="108"/>
      <c r="M33" s="109"/>
    </row>
    <row r="34" spans="2:17" ht="16.5" x14ac:dyDescent="0.3">
      <c r="B34" s="37"/>
      <c r="C34" s="37"/>
      <c r="D34" s="37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7"/>
      <c r="K34" s="22" t="s">
        <v>22</v>
      </c>
      <c r="L34" s="21" t="s">
        <v>28</v>
      </c>
      <c r="M34" s="22" t="s">
        <v>29</v>
      </c>
    </row>
    <row r="35" spans="2:17" ht="16.5" customHeight="1" x14ac:dyDescent="0.25">
      <c r="B35" s="37"/>
      <c r="C35" s="37"/>
      <c r="D35" s="37"/>
      <c r="E35" s="76">
        <v>11251</v>
      </c>
      <c r="F35" s="77" t="s">
        <v>280</v>
      </c>
      <c r="G35" s="50" t="s">
        <v>6</v>
      </c>
      <c r="H35" s="38">
        <v>119</v>
      </c>
      <c r="I35" s="38" t="s">
        <v>51</v>
      </c>
      <c r="J35" s="37"/>
      <c r="K35" s="76"/>
      <c r="L35" s="76"/>
      <c r="M35" s="91"/>
    </row>
    <row r="36" spans="2:17" ht="16.5" customHeight="1" x14ac:dyDescent="0.25">
      <c r="B36" s="37"/>
      <c r="C36" s="37"/>
      <c r="D36" s="37"/>
      <c r="E36" s="90"/>
      <c r="F36" s="77"/>
      <c r="G36" s="50"/>
      <c r="H36" s="38"/>
      <c r="I36" s="38"/>
      <c r="J36" s="37"/>
      <c r="K36" s="76"/>
      <c r="L36" s="76"/>
      <c r="M36" s="91"/>
    </row>
    <row r="37" spans="2:17" ht="16.5" customHeight="1" x14ac:dyDescent="0.25">
      <c r="B37" s="37"/>
      <c r="C37" s="37"/>
      <c r="D37" s="37"/>
      <c r="E37" s="76"/>
      <c r="F37" s="77"/>
      <c r="G37" s="50"/>
      <c r="H37" s="38"/>
      <c r="I37" s="38"/>
      <c r="J37" s="37"/>
      <c r="K37" s="76"/>
      <c r="L37" s="76"/>
      <c r="M37" s="91"/>
    </row>
    <row r="38" spans="2:17" ht="16.5" customHeight="1" x14ac:dyDescent="0.25">
      <c r="B38" s="37"/>
      <c r="C38" s="37"/>
      <c r="D38" s="37"/>
      <c r="E38" s="76"/>
      <c r="F38" s="77"/>
      <c r="G38" s="50"/>
      <c r="H38" s="38"/>
      <c r="I38" s="38"/>
      <c r="J38" s="37"/>
      <c r="K38" s="76"/>
      <c r="L38" s="76"/>
      <c r="M38" s="91"/>
    </row>
    <row r="39" spans="2:17" ht="16.5" customHeight="1" x14ac:dyDescent="0.25">
      <c r="B39" s="37"/>
      <c r="C39" s="37"/>
      <c r="D39" s="37"/>
      <c r="E39" s="76"/>
      <c r="F39" s="50"/>
      <c r="G39" s="50"/>
      <c r="H39" s="38"/>
      <c r="I39" s="38"/>
      <c r="J39" s="37"/>
      <c r="K39" s="76"/>
      <c r="L39" s="76"/>
      <c r="M39" s="91"/>
    </row>
    <row r="40" spans="2:17" ht="16.5" customHeight="1" x14ac:dyDescent="0.25">
      <c r="B40" s="37"/>
      <c r="C40" s="37"/>
      <c r="D40" s="37"/>
      <c r="E40" s="78"/>
      <c r="F40" s="79"/>
      <c r="G40" s="40"/>
      <c r="H40" s="41"/>
      <c r="I40" s="38"/>
      <c r="J40" s="37"/>
      <c r="K40" s="78"/>
      <c r="L40" s="78"/>
      <c r="M40" s="92"/>
      <c r="P40" s="1" t="s">
        <v>33</v>
      </c>
      <c r="Q40" s="1">
        <f>SUM(Q6:Q21)</f>
        <v>13</v>
      </c>
    </row>
    <row r="41" spans="2:17" ht="16.5" customHeight="1" x14ac:dyDescent="0.25">
      <c r="B41" s="37"/>
      <c r="C41" s="37"/>
      <c r="D41" s="37"/>
      <c r="E41" s="82"/>
      <c r="F41" s="50"/>
      <c r="G41" s="50"/>
      <c r="H41" s="38"/>
      <c r="I41" s="38"/>
      <c r="J41" s="37"/>
      <c r="K41" s="76"/>
      <c r="L41" s="76"/>
      <c r="M41" s="92"/>
    </row>
    <row r="42" spans="2:17" ht="13.5" x14ac:dyDescent="0.25">
      <c r="B42" s="37"/>
      <c r="C42" s="37"/>
      <c r="D42" s="37"/>
      <c r="E42" s="34"/>
      <c r="F42" s="34"/>
      <c r="G42" s="34"/>
      <c r="H42" s="36"/>
      <c r="I42" s="36"/>
      <c r="J42" s="37"/>
      <c r="K42" s="32"/>
      <c r="L42" s="32"/>
      <c r="M42" s="32"/>
    </row>
    <row r="43" spans="2:17" ht="13.5" x14ac:dyDescent="0.25">
      <c r="B43" s="37"/>
      <c r="C43" s="37"/>
      <c r="D43" s="37"/>
      <c r="E43" s="34"/>
      <c r="F43" s="34"/>
      <c r="G43" s="34"/>
      <c r="H43" s="36"/>
      <c r="I43" s="36"/>
      <c r="J43" s="37"/>
      <c r="K43" s="32"/>
      <c r="L43" s="32"/>
      <c r="M43" s="32"/>
    </row>
    <row r="44" spans="2:17" ht="13.5" x14ac:dyDescent="0.25">
      <c r="B44" s="37"/>
      <c r="C44" s="37"/>
      <c r="D44" s="37"/>
      <c r="E44" s="34"/>
      <c r="F44" s="34"/>
      <c r="G44" s="34"/>
      <c r="H44" s="36"/>
      <c r="I44" s="36"/>
      <c r="J44" s="37"/>
      <c r="K44" s="32"/>
      <c r="L44" s="32"/>
      <c r="M44" s="32"/>
    </row>
    <row r="45" spans="2:17" ht="13.5" x14ac:dyDescent="0.25">
      <c r="B45" s="37"/>
      <c r="C45" s="37"/>
      <c r="D45" s="37"/>
      <c r="E45" s="34"/>
      <c r="F45" s="34"/>
      <c r="G45" s="34"/>
      <c r="H45" s="36"/>
      <c r="I45" s="36"/>
      <c r="J45" s="37"/>
      <c r="K45" s="32"/>
      <c r="L45" s="32"/>
      <c r="M45" s="32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22:M31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6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5"/>
  <sheetViews>
    <sheetView showGridLines="0" view="pageBreakPreview" topLeftCell="B3" zoomScale="87" zoomScaleNormal="90" zoomScaleSheetLayoutView="87" workbookViewId="0">
      <selection activeCell="F42" sqref="F4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34.7109375" style="1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'05'!B1+1</f>
        <v>45875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4" t="s">
        <v>0</v>
      </c>
      <c r="C4" s="25">
        <v>0</v>
      </c>
      <c r="D4" s="57"/>
      <c r="E4" s="113" t="s">
        <v>137</v>
      </c>
      <c r="F4" s="113"/>
      <c r="G4" s="113"/>
      <c r="H4" s="113"/>
      <c r="I4" s="113"/>
      <c r="J4" s="29"/>
      <c r="K4" s="107" t="s">
        <v>138</v>
      </c>
      <c r="L4" s="108"/>
      <c r="M4" s="109"/>
    </row>
    <row r="5" spans="2:18" ht="16.5" x14ac:dyDescent="0.3">
      <c r="B5" s="27" t="s">
        <v>1</v>
      </c>
      <c r="C5" s="28">
        <f>SUMIF(I6:I31,"&gt;0",H6:H31)</f>
        <v>1417</v>
      </c>
      <c r="D5" s="29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29"/>
      <c r="K5" s="21" t="s">
        <v>18</v>
      </c>
      <c r="L5" s="22" t="s">
        <v>19</v>
      </c>
      <c r="M5" s="23" t="s">
        <v>20</v>
      </c>
    </row>
    <row r="6" spans="2:18" ht="16.5" x14ac:dyDescent="0.3">
      <c r="B6" s="27" t="s">
        <v>2</v>
      </c>
      <c r="C6" s="28">
        <f>C16</f>
        <v>5159.28</v>
      </c>
      <c r="D6" s="29"/>
      <c r="E6" s="76">
        <v>11534</v>
      </c>
      <c r="F6" s="50" t="s">
        <v>191</v>
      </c>
      <c r="G6" s="50" t="s">
        <v>10</v>
      </c>
      <c r="H6" s="38">
        <v>699</v>
      </c>
      <c r="I6" s="38">
        <v>15</v>
      </c>
      <c r="J6" s="29"/>
      <c r="K6" s="77"/>
      <c r="L6" s="91"/>
      <c r="M6" s="42"/>
      <c r="R6" s="1">
        <f>IF(vend[[#This Row],[Nº Venda]]&gt;1,1,0)</f>
        <v>1</v>
      </c>
    </row>
    <row r="7" spans="2:18" ht="16.5" x14ac:dyDescent="0.3">
      <c r="B7" s="27" t="s">
        <v>3</v>
      </c>
      <c r="C7" s="28">
        <f>SUM(M6:M11)</f>
        <v>0</v>
      </c>
      <c r="D7" s="29"/>
      <c r="E7" s="76">
        <v>11533</v>
      </c>
      <c r="F7" s="77" t="s">
        <v>189</v>
      </c>
      <c r="G7" s="50" t="s">
        <v>10</v>
      </c>
      <c r="H7" s="38">
        <v>599</v>
      </c>
      <c r="I7" s="38">
        <v>200</v>
      </c>
      <c r="J7" s="29"/>
      <c r="K7" s="77"/>
      <c r="L7" s="91"/>
      <c r="M7" s="42"/>
      <c r="R7" s="1">
        <f>IF(vend[[#This Row],[Nº Venda]]&gt;1,1,0)</f>
        <v>1</v>
      </c>
    </row>
    <row r="8" spans="2:18" ht="16.5" x14ac:dyDescent="0.3">
      <c r="B8" s="30" t="s">
        <v>21</v>
      </c>
      <c r="C8" s="31">
        <f>SUM(C6:C7)</f>
        <v>5159.28</v>
      </c>
      <c r="D8" s="29"/>
      <c r="E8" s="76">
        <v>11532</v>
      </c>
      <c r="F8" s="77" t="s">
        <v>192</v>
      </c>
      <c r="G8" s="50" t="s">
        <v>6</v>
      </c>
      <c r="H8" s="38">
        <v>119</v>
      </c>
      <c r="I8" s="38">
        <v>50</v>
      </c>
      <c r="J8" s="29"/>
      <c r="K8" s="77"/>
      <c r="L8" s="91"/>
      <c r="M8" s="42"/>
      <c r="R8" s="1">
        <f>IF(vend[[#This Row],[Nº Venda]]&gt;1,1,0)</f>
        <v>1</v>
      </c>
    </row>
    <row r="9" spans="2:18" ht="16.5" x14ac:dyDescent="0.3">
      <c r="B9" s="26"/>
      <c r="C9" s="26"/>
      <c r="D9" s="29"/>
      <c r="E9" s="76"/>
      <c r="F9" s="77"/>
      <c r="G9" s="50"/>
      <c r="H9" s="38"/>
      <c r="I9" s="38"/>
      <c r="J9" s="29"/>
      <c r="K9" s="77"/>
      <c r="L9" s="91"/>
      <c r="M9" s="42"/>
      <c r="R9" s="1">
        <f>IF(vend[[#This Row],[Nº Venda]]&gt;1,1,0)</f>
        <v>0</v>
      </c>
    </row>
    <row r="10" spans="2:18" ht="16.5" x14ac:dyDescent="0.3">
      <c r="B10" s="114" t="s">
        <v>5</v>
      </c>
      <c r="C10" s="115"/>
      <c r="D10" s="29"/>
      <c r="E10" s="76"/>
      <c r="F10" s="77"/>
      <c r="G10" s="50"/>
      <c r="H10" s="38"/>
      <c r="I10" s="38"/>
      <c r="J10" s="29"/>
      <c r="K10" s="77"/>
      <c r="L10" s="91"/>
      <c r="M10" s="42"/>
      <c r="R10" s="1">
        <f>IF(vend[[#This Row],[Nº Venda]]&gt;1,1,0)</f>
        <v>0</v>
      </c>
    </row>
    <row r="11" spans="2:18" ht="16.5" x14ac:dyDescent="0.3">
      <c r="B11" s="27" t="s">
        <v>6</v>
      </c>
      <c r="C11" s="72">
        <f>(SUMIF($G$2:$G$31,B11,$I$2:$I$31))+(SUMIF($G$35:$G$41,B11,$H$35:$H$41))</f>
        <v>1850</v>
      </c>
      <c r="D11" s="29"/>
      <c r="E11" s="76"/>
      <c r="F11" s="77"/>
      <c r="G11" s="50"/>
      <c r="H11" s="38"/>
      <c r="I11" s="38"/>
      <c r="J11" s="29"/>
      <c r="K11" s="37"/>
      <c r="L11" s="91"/>
      <c r="M11" s="42"/>
      <c r="O11" s="1">
        <f>IF(C16=0,0,1)</f>
        <v>1</v>
      </c>
      <c r="R11" s="1">
        <f>IF(vend[[#This Row],[Nº Venda]]&gt;1,1,0)</f>
        <v>0</v>
      </c>
    </row>
    <row r="12" spans="2:18" ht="16.5" x14ac:dyDescent="0.3">
      <c r="B12" s="27" t="s">
        <v>7</v>
      </c>
      <c r="C12" s="72">
        <f>(SUMIF($G$2:$G$31,B12,$I$2:$I$31))+(SUMIF($G$35:$G$41,B12,$H$35:$H$41))</f>
        <v>194.28</v>
      </c>
      <c r="D12" s="29"/>
      <c r="E12" s="76"/>
      <c r="F12" s="77"/>
      <c r="G12" s="50"/>
      <c r="H12" s="38"/>
      <c r="I12" s="38"/>
      <c r="J12" s="29"/>
      <c r="K12" s="32"/>
      <c r="L12" s="32"/>
      <c r="M12" s="32"/>
      <c r="R12" s="1">
        <f>IF(vend[[#This Row],[Nº Venda]]&gt;1,1,0)</f>
        <v>0</v>
      </c>
    </row>
    <row r="13" spans="2:18" ht="16.5" x14ac:dyDescent="0.3">
      <c r="B13" s="27" t="s">
        <v>8</v>
      </c>
      <c r="C13" s="72">
        <f>(SUMIF($G$2:$G$31,B13,$I$2:$I$31))+(SUMIF($G$35:$G$41,B13,$H$35:$H$41))</f>
        <v>2900</v>
      </c>
      <c r="D13" s="29"/>
      <c r="E13" s="76"/>
      <c r="F13" s="77"/>
      <c r="G13" s="50"/>
      <c r="H13" s="38"/>
      <c r="I13" s="38"/>
      <c r="J13" s="29"/>
      <c r="K13" s="107" t="s">
        <v>142</v>
      </c>
      <c r="L13" s="108"/>
      <c r="M13" s="109"/>
      <c r="R13" s="1">
        <f>IF(vend[[#This Row],[Nº Venda]]&gt;1,1,0)</f>
        <v>0</v>
      </c>
    </row>
    <row r="14" spans="2:18" ht="16.5" x14ac:dyDescent="0.3">
      <c r="B14" s="27" t="s">
        <v>9</v>
      </c>
      <c r="C14" s="72">
        <f>(SUMIF($G$2:$G$31,B14,$I$2:$I$31))+(SUMIF($G$35:$G$41,B14,$H$35:$H$41))</f>
        <v>0</v>
      </c>
      <c r="D14" s="29"/>
      <c r="E14" s="76"/>
      <c r="F14" s="77"/>
      <c r="G14" s="50"/>
      <c r="H14" s="38"/>
      <c r="I14" s="38"/>
      <c r="J14" s="29"/>
      <c r="K14" s="21" t="s">
        <v>22</v>
      </c>
      <c r="L14" s="22" t="s">
        <v>23</v>
      </c>
      <c r="M14" s="23" t="s">
        <v>24</v>
      </c>
      <c r="R14" s="1">
        <f>IF(vend[[#This Row],[Nº Venda]]&gt;1,1,0)</f>
        <v>0</v>
      </c>
    </row>
    <row r="15" spans="2:18" ht="16.5" x14ac:dyDescent="0.3">
      <c r="B15" s="27" t="s">
        <v>10</v>
      </c>
      <c r="C15" s="72">
        <f>(SUMIF($G$2:$G$31,B15,$I$2:$I$31))+(SUMIF($G$35:$G$41,B15,$H$35:$H$41))</f>
        <v>215</v>
      </c>
      <c r="D15" s="29"/>
      <c r="E15" s="76"/>
      <c r="F15" s="77"/>
      <c r="G15" s="50"/>
      <c r="H15" s="38"/>
      <c r="I15" s="38"/>
      <c r="J15" s="29"/>
      <c r="K15" s="76">
        <v>11327</v>
      </c>
      <c r="L15" s="91" t="s">
        <v>131</v>
      </c>
      <c r="M15" s="42" t="s">
        <v>145</v>
      </c>
      <c r="R15" s="1">
        <f>IF(vend[[#This Row],[Nº Venda]]&gt;1,1,0)</f>
        <v>0</v>
      </c>
    </row>
    <row r="16" spans="2:18" ht="16.5" x14ac:dyDescent="0.3">
      <c r="B16" s="30" t="s">
        <v>11</v>
      </c>
      <c r="C16" s="71">
        <f>SUM(C11:C15)</f>
        <v>5159.28</v>
      </c>
      <c r="D16" s="29"/>
      <c r="E16" s="76"/>
      <c r="F16" s="77"/>
      <c r="G16" s="50"/>
      <c r="H16" s="38"/>
      <c r="I16" s="38"/>
      <c r="J16" s="29"/>
      <c r="K16" s="76">
        <v>11378</v>
      </c>
      <c r="L16" s="91" t="s">
        <v>129</v>
      </c>
      <c r="M16" s="42" t="s">
        <v>145</v>
      </c>
      <c r="R16" s="1">
        <f>IF(vend[[#This Row],[Nº Venda]]&gt;1,1,0)</f>
        <v>0</v>
      </c>
    </row>
    <row r="17" spans="2:18" ht="16.5" x14ac:dyDescent="0.3">
      <c r="B17" s="26"/>
      <c r="C17" s="26"/>
      <c r="D17" s="29"/>
      <c r="E17" s="76"/>
      <c r="F17" s="77"/>
      <c r="G17" s="50"/>
      <c r="H17" s="38"/>
      <c r="I17" s="38"/>
      <c r="J17" s="29"/>
      <c r="K17" s="76">
        <v>11379</v>
      </c>
      <c r="L17" s="91" t="s">
        <v>129</v>
      </c>
      <c r="M17" s="42" t="s">
        <v>145</v>
      </c>
      <c r="R17" s="1">
        <f>IF(vend[[#This Row],[Nº Venda]]&gt;1,1,0)</f>
        <v>0</v>
      </c>
    </row>
    <row r="18" spans="2:18" ht="16.5" x14ac:dyDescent="0.3">
      <c r="B18" s="114" t="s">
        <v>12</v>
      </c>
      <c r="C18" s="115"/>
      <c r="D18" s="29"/>
      <c r="E18" s="76"/>
      <c r="F18" s="77"/>
      <c r="G18" s="50"/>
      <c r="H18" s="38"/>
      <c r="I18" s="38"/>
      <c r="J18" s="29"/>
      <c r="K18" s="76">
        <v>11383</v>
      </c>
      <c r="L18" s="91" t="s">
        <v>129</v>
      </c>
      <c r="M18" s="42" t="s">
        <v>145</v>
      </c>
      <c r="R18" s="1">
        <f>IF(vend[[#This Row],[Nº Venda]]&gt;1,1,0)</f>
        <v>0</v>
      </c>
    </row>
    <row r="19" spans="2:18" ht="16.5" x14ac:dyDescent="0.3">
      <c r="B19" s="27">
        <f>COUNT(entr_carn6[OS])</f>
        <v>0</v>
      </c>
      <c r="C19" s="70">
        <f>SUM(entr_carn6[Valor Total])</f>
        <v>0</v>
      </c>
      <c r="D19" s="29"/>
      <c r="E19" s="76"/>
      <c r="F19" s="77"/>
      <c r="G19" s="50"/>
      <c r="H19" s="38"/>
      <c r="I19" s="38"/>
      <c r="J19" s="29"/>
      <c r="K19" s="76">
        <v>11515</v>
      </c>
      <c r="L19" s="91" t="s">
        <v>129</v>
      </c>
      <c r="M19" s="42" t="s">
        <v>145</v>
      </c>
      <c r="R19" s="1">
        <f>IF(vend[[#This Row],[Nº Venda]]&gt;1,1,0)</f>
        <v>0</v>
      </c>
    </row>
    <row r="20" spans="2:18" ht="16.5" x14ac:dyDescent="0.3">
      <c r="B20" s="30" t="s">
        <v>11</v>
      </c>
      <c r="C20" s="71">
        <f>SUM(C19:C19)</f>
        <v>0</v>
      </c>
      <c r="D20" s="29"/>
      <c r="E20" s="76"/>
      <c r="F20" s="50"/>
      <c r="G20" s="50"/>
      <c r="H20" s="38"/>
      <c r="I20" s="38"/>
      <c r="J20" s="29"/>
      <c r="K20" s="76">
        <v>11522</v>
      </c>
      <c r="L20" s="91" t="s">
        <v>129</v>
      </c>
      <c r="M20" s="42" t="s">
        <v>145</v>
      </c>
      <c r="R20" s="1">
        <f>IF(vend[[#This Row],[Nº Venda]]&gt;1,1,0)</f>
        <v>0</v>
      </c>
    </row>
    <row r="21" spans="2:18" ht="16.5" x14ac:dyDescent="0.3">
      <c r="B21" s="26"/>
      <c r="C21" s="26"/>
      <c r="D21" s="29"/>
      <c r="E21" s="76"/>
      <c r="F21" s="77"/>
      <c r="G21" s="50"/>
      <c r="H21" s="38"/>
      <c r="I21" s="38"/>
      <c r="J21" s="29"/>
      <c r="K21" s="76"/>
      <c r="L21" s="91"/>
      <c r="M21" s="42"/>
    </row>
    <row r="22" spans="2:18" ht="16.5" x14ac:dyDescent="0.3">
      <c r="B22" s="30" t="s">
        <v>25</v>
      </c>
      <c r="C22" s="33">
        <f>C5</f>
        <v>1417</v>
      </c>
      <c r="D22" s="29"/>
      <c r="E22" s="78"/>
      <c r="F22" s="77"/>
      <c r="G22" s="50"/>
      <c r="H22" s="38"/>
      <c r="I22" s="38"/>
      <c r="J22" s="29"/>
      <c r="K22" s="76"/>
      <c r="L22" s="91"/>
      <c r="M22" s="42"/>
    </row>
    <row r="23" spans="2:18" ht="16.5" x14ac:dyDescent="0.3">
      <c r="B23" s="29"/>
      <c r="C23" s="29"/>
      <c r="D23" s="29"/>
      <c r="E23" s="34"/>
      <c r="F23" s="34"/>
      <c r="G23" s="34"/>
      <c r="H23" s="35"/>
      <c r="I23" s="36"/>
      <c r="J23" s="29"/>
      <c r="K23" s="76"/>
      <c r="L23" s="91"/>
      <c r="M23" s="42"/>
    </row>
    <row r="24" spans="2:18" ht="16.5" x14ac:dyDescent="0.3">
      <c r="B24" s="29"/>
      <c r="C24" s="29"/>
      <c r="D24" s="29"/>
      <c r="E24" s="105" t="s">
        <v>139</v>
      </c>
      <c r="F24" s="106"/>
      <c r="G24" s="106"/>
      <c r="H24" s="106"/>
      <c r="I24" s="106"/>
      <c r="J24" s="29"/>
      <c r="K24" s="76"/>
      <c r="L24" s="91"/>
      <c r="M24" s="42"/>
    </row>
    <row r="25" spans="2:18" ht="16.5" x14ac:dyDescent="0.3">
      <c r="B25" s="29"/>
      <c r="C25" s="29"/>
      <c r="D25" s="29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29"/>
      <c r="K25" s="76"/>
      <c r="L25" s="91"/>
      <c r="M25" s="42"/>
    </row>
    <row r="26" spans="2:18" ht="16.5" x14ac:dyDescent="0.3">
      <c r="B26" s="29"/>
      <c r="C26" s="29"/>
      <c r="D26" s="29"/>
      <c r="E26" s="76">
        <v>11383</v>
      </c>
      <c r="F26" s="77" t="s">
        <v>193</v>
      </c>
      <c r="G26" s="50" t="s">
        <v>6</v>
      </c>
      <c r="H26" s="38">
        <v>0</v>
      </c>
      <c r="I26" s="38">
        <v>1000</v>
      </c>
      <c r="J26" s="29"/>
      <c r="K26" s="76"/>
      <c r="L26" s="91"/>
      <c r="M26" s="42"/>
    </row>
    <row r="27" spans="2:18" ht="16.5" x14ac:dyDescent="0.3">
      <c r="B27" s="29"/>
      <c r="C27" s="29"/>
      <c r="D27" s="29"/>
      <c r="E27" s="76">
        <v>11527</v>
      </c>
      <c r="F27" s="77" t="s">
        <v>194</v>
      </c>
      <c r="G27" s="50" t="s">
        <v>8</v>
      </c>
      <c r="H27" s="38"/>
      <c r="I27" s="38">
        <v>200</v>
      </c>
      <c r="J27" s="29"/>
      <c r="K27" s="76"/>
      <c r="L27" s="91"/>
      <c r="M27" s="42"/>
    </row>
    <row r="28" spans="2:18" ht="16.5" x14ac:dyDescent="0.3">
      <c r="B28" s="29"/>
      <c r="C28" s="29"/>
      <c r="D28" s="29"/>
      <c r="E28" s="76">
        <v>11528</v>
      </c>
      <c r="F28" s="77" t="s">
        <v>194</v>
      </c>
      <c r="G28" s="50" t="s">
        <v>8</v>
      </c>
      <c r="H28" s="38"/>
      <c r="I28" s="38">
        <v>200</v>
      </c>
      <c r="J28" s="29"/>
      <c r="K28" s="76"/>
      <c r="L28" s="91"/>
      <c r="M28" s="42"/>
    </row>
    <row r="29" spans="2:18" ht="16.5" x14ac:dyDescent="0.3">
      <c r="B29" s="29"/>
      <c r="C29" s="29"/>
      <c r="D29" s="29"/>
      <c r="E29" s="76">
        <v>11518</v>
      </c>
      <c r="F29" s="77" t="s">
        <v>176</v>
      </c>
      <c r="G29" s="50" t="s">
        <v>6</v>
      </c>
      <c r="H29" s="38"/>
      <c r="I29" s="38">
        <v>800</v>
      </c>
      <c r="J29" s="29"/>
      <c r="K29" s="76"/>
      <c r="L29" s="91"/>
      <c r="M29" s="42"/>
    </row>
    <row r="30" spans="2:18" ht="16.5" x14ac:dyDescent="0.3">
      <c r="B30" s="29"/>
      <c r="C30" s="29"/>
      <c r="D30" s="29"/>
      <c r="E30" s="76">
        <v>11379</v>
      </c>
      <c r="F30" s="50" t="s">
        <v>195</v>
      </c>
      <c r="G30" s="50" t="s">
        <v>8</v>
      </c>
      <c r="H30" s="38"/>
      <c r="I30" s="38">
        <v>1500</v>
      </c>
      <c r="J30" s="29"/>
      <c r="K30" s="76"/>
      <c r="L30" s="91"/>
      <c r="M30" s="42"/>
    </row>
    <row r="31" spans="2:18" ht="16.5" x14ac:dyDescent="0.3">
      <c r="B31" s="29"/>
      <c r="C31" s="29"/>
      <c r="D31" s="29"/>
      <c r="E31" s="78">
        <v>11378</v>
      </c>
      <c r="F31" s="79" t="s">
        <v>195</v>
      </c>
      <c r="G31" s="40" t="s">
        <v>8</v>
      </c>
      <c r="H31" s="41"/>
      <c r="I31" s="41">
        <v>1000</v>
      </c>
      <c r="J31" s="29"/>
      <c r="K31" s="76"/>
      <c r="L31" s="91"/>
      <c r="M31" s="42"/>
    </row>
    <row r="32" spans="2:18" ht="16.5" x14ac:dyDescent="0.3">
      <c r="B32" s="29"/>
      <c r="C32" s="29"/>
      <c r="D32" s="37"/>
      <c r="E32" s="34"/>
      <c r="F32" s="34"/>
      <c r="G32" s="34"/>
      <c r="H32" s="36"/>
      <c r="I32" s="36"/>
      <c r="J32" s="37"/>
      <c r="K32" s="32"/>
      <c r="L32" s="32"/>
      <c r="M32" s="32"/>
    </row>
    <row r="33" spans="2:18" ht="16.5" x14ac:dyDescent="0.3">
      <c r="B33" s="29"/>
      <c r="C33" s="29"/>
      <c r="D33" s="37"/>
      <c r="E33" s="105" t="s">
        <v>140</v>
      </c>
      <c r="F33" s="106"/>
      <c r="G33" s="106"/>
      <c r="H33" s="106"/>
      <c r="I33" s="106"/>
      <c r="J33" s="37"/>
      <c r="K33" s="107" t="s">
        <v>141</v>
      </c>
      <c r="L33" s="108"/>
      <c r="M33" s="109"/>
    </row>
    <row r="34" spans="2:18" ht="16.5" x14ac:dyDescent="0.3">
      <c r="B34" s="37"/>
      <c r="C34" s="37"/>
      <c r="D34" s="37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7"/>
      <c r="K34" s="22" t="s">
        <v>22</v>
      </c>
      <c r="L34" s="21" t="s">
        <v>28</v>
      </c>
      <c r="M34" s="22" t="s">
        <v>29</v>
      </c>
    </row>
    <row r="35" spans="2:18" ht="16.5" customHeight="1" x14ac:dyDescent="0.25">
      <c r="B35" s="37"/>
      <c r="C35" s="37"/>
      <c r="D35" s="37"/>
      <c r="E35" s="76">
        <v>11407</v>
      </c>
      <c r="F35" s="77" t="s">
        <v>190</v>
      </c>
      <c r="G35" s="50" t="s">
        <v>7</v>
      </c>
      <c r="H35" s="38">
        <v>194.28</v>
      </c>
      <c r="I35" s="38" t="s">
        <v>32</v>
      </c>
      <c r="J35" s="37"/>
      <c r="K35" s="76"/>
      <c r="L35" s="76"/>
      <c r="M35" s="91"/>
    </row>
    <row r="36" spans="2:18" ht="16.5" customHeight="1" x14ac:dyDescent="0.25">
      <c r="B36" s="37"/>
      <c r="C36" s="37"/>
      <c r="D36" s="37"/>
      <c r="E36" s="83"/>
      <c r="F36" s="77"/>
      <c r="G36" s="50"/>
      <c r="H36" s="38"/>
      <c r="I36" s="38"/>
      <c r="J36" s="37"/>
      <c r="K36" s="76"/>
      <c r="L36" s="76"/>
      <c r="M36" s="91"/>
    </row>
    <row r="37" spans="2:18" ht="16.5" customHeight="1" x14ac:dyDescent="0.25">
      <c r="B37" s="37"/>
      <c r="C37" s="37"/>
      <c r="D37" s="37"/>
      <c r="E37" s="76"/>
      <c r="F37" s="77"/>
      <c r="G37" s="50"/>
      <c r="H37" s="38"/>
      <c r="I37" s="38"/>
      <c r="J37" s="37"/>
      <c r="K37" s="76"/>
      <c r="L37" s="76"/>
      <c r="M37" s="91"/>
    </row>
    <row r="38" spans="2:18" ht="16.5" customHeight="1" x14ac:dyDescent="0.25">
      <c r="B38" s="37"/>
      <c r="C38" s="37"/>
      <c r="D38" s="37"/>
      <c r="E38" s="76"/>
      <c r="F38" s="77"/>
      <c r="G38" s="50"/>
      <c r="H38" s="38"/>
      <c r="I38" s="38"/>
      <c r="J38" s="37"/>
      <c r="K38" s="76"/>
      <c r="L38" s="76"/>
      <c r="M38" s="91"/>
    </row>
    <row r="39" spans="2:18" ht="16.5" customHeight="1" x14ac:dyDescent="0.25">
      <c r="B39" s="37"/>
      <c r="C39" s="37"/>
      <c r="D39" s="37"/>
      <c r="E39" s="76"/>
      <c r="F39" s="50"/>
      <c r="G39" s="50"/>
      <c r="H39" s="38"/>
      <c r="I39" s="38"/>
      <c r="J39" s="37"/>
      <c r="K39" s="76"/>
      <c r="L39" s="76"/>
      <c r="M39" s="91"/>
    </row>
    <row r="40" spans="2:18" ht="16.5" customHeight="1" x14ac:dyDescent="0.25">
      <c r="B40" s="37"/>
      <c r="C40" s="37"/>
      <c r="D40" s="37"/>
      <c r="E40" s="78"/>
      <c r="F40" s="79"/>
      <c r="G40" s="40"/>
      <c r="H40" s="41"/>
      <c r="I40" s="38"/>
      <c r="J40" s="37"/>
      <c r="K40" s="78"/>
      <c r="L40" s="78"/>
      <c r="M40" s="92"/>
      <c r="Q40" s="1" t="s">
        <v>33</v>
      </c>
      <c r="R40" s="1">
        <f>SUM(R6:R21)</f>
        <v>3</v>
      </c>
    </row>
    <row r="41" spans="2:18" ht="16.5" customHeight="1" x14ac:dyDescent="0.25">
      <c r="B41" s="37"/>
      <c r="C41" s="37"/>
      <c r="D41" s="37"/>
      <c r="E41" s="84"/>
      <c r="F41" s="50"/>
      <c r="G41" s="50"/>
      <c r="H41" s="38"/>
      <c r="I41" s="38"/>
      <c r="J41" s="37"/>
      <c r="K41" s="76"/>
      <c r="L41" s="76"/>
      <c r="M41" s="92"/>
    </row>
    <row r="42" spans="2:18" ht="13.5" x14ac:dyDescent="0.25">
      <c r="B42" s="37"/>
      <c r="C42" s="37"/>
      <c r="D42" s="37"/>
      <c r="E42" s="34"/>
      <c r="F42" s="51"/>
      <c r="G42" s="51"/>
      <c r="H42" s="52"/>
      <c r="I42" s="52"/>
      <c r="J42" s="37"/>
      <c r="K42" s="32"/>
      <c r="L42" s="32"/>
      <c r="M42" s="32"/>
    </row>
    <row r="43" spans="2:18" ht="13.5" x14ac:dyDescent="0.25">
      <c r="B43" s="37"/>
      <c r="C43" s="37"/>
      <c r="D43" s="37"/>
      <c r="E43" s="34"/>
      <c r="F43" s="34"/>
      <c r="G43" s="34"/>
      <c r="H43" s="36"/>
      <c r="I43" s="36"/>
      <c r="J43" s="37"/>
      <c r="K43" s="32"/>
      <c r="L43" s="32"/>
      <c r="M43" s="32"/>
    </row>
    <row r="44" spans="2:18" ht="13.5" x14ac:dyDescent="0.25">
      <c r="B44" s="37"/>
      <c r="C44" s="37"/>
      <c r="D44" s="37"/>
      <c r="E44" s="34"/>
      <c r="F44" s="34"/>
      <c r="G44" s="34"/>
      <c r="H44" s="36"/>
      <c r="I44" s="36"/>
      <c r="J44" s="37"/>
      <c r="K44" s="32"/>
      <c r="L44" s="32"/>
      <c r="M44" s="32"/>
    </row>
    <row r="45" spans="2:18" ht="13.5" x14ac:dyDescent="0.25">
      <c r="B45" s="37"/>
      <c r="C45" s="37"/>
      <c r="D45" s="37"/>
      <c r="E45" s="34"/>
      <c r="F45" s="34"/>
      <c r="G45" s="34"/>
      <c r="H45" s="36"/>
      <c r="I45" s="36"/>
      <c r="J45" s="37"/>
      <c r="K45" s="32"/>
      <c r="L45" s="32"/>
      <c r="M45" s="32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K15:K31 E26:E31 E35:E41 K35:K41 E6:E22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5"/>
  <sheetViews>
    <sheetView showGridLines="0" view="pageBreakPreview" topLeftCell="C3" zoomScale="89" zoomScaleNormal="77" zoomScaleSheetLayoutView="89" workbookViewId="0">
      <selection activeCell="M21" sqref="M21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49.5703125" style="11" bestFit="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7.7109375" style="3" bestFit="1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28.5" x14ac:dyDescent="0.45">
      <c r="B1" s="103">
        <f>'06'!B1+1</f>
        <v>45876</v>
      </c>
      <c r="C1" s="103"/>
      <c r="L1" s="104" t="s">
        <v>144</v>
      </c>
      <c r="M1" s="104"/>
    </row>
    <row r="2" spans="2:21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6.5" x14ac:dyDescent="0.3">
      <c r="B4" s="24" t="s">
        <v>0</v>
      </c>
      <c r="C4" s="25">
        <v>0</v>
      </c>
      <c r="D4" s="57"/>
      <c r="E4" s="113" t="s">
        <v>137</v>
      </c>
      <c r="F4" s="113"/>
      <c r="G4" s="113"/>
      <c r="H4" s="113"/>
      <c r="I4" s="113"/>
      <c r="J4" s="29"/>
      <c r="K4" s="107" t="s">
        <v>138</v>
      </c>
      <c r="L4" s="108"/>
      <c r="M4" s="109"/>
      <c r="U4" s="1">
        <v>0</v>
      </c>
    </row>
    <row r="5" spans="2:21" ht="16.5" x14ac:dyDescent="0.3">
      <c r="B5" s="27" t="s">
        <v>1</v>
      </c>
      <c r="C5" s="28">
        <f>SUMIF(I6:I31,"&gt;0",H6:H31)</f>
        <v>11007</v>
      </c>
      <c r="D5" s="29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29"/>
      <c r="K5" s="21" t="s">
        <v>18</v>
      </c>
      <c r="L5" s="22" t="s">
        <v>19</v>
      </c>
      <c r="M5" s="23" t="s">
        <v>20</v>
      </c>
    </row>
    <row r="6" spans="2:21" ht="16.5" x14ac:dyDescent="0.3">
      <c r="B6" s="27" t="s">
        <v>2</v>
      </c>
      <c r="C6" s="28">
        <f>C16</f>
        <v>13537.78</v>
      </c>
      <c r="D6" s="29"/>
      <c r="E6" s="76">
        <v>11535</v>
      </c>
      <c r="F6" s="47" t="s">
        <v>206</v>
      </c>
      <c r="G6" s="47" t="s">
        <v>8</v>
      </c>
      <c r="H6" s="48">
        <v>3799</v>
      </c>
      <c r="I6" s="48">
        <v>1499</v>
      </c>
      <c r="J6" s="29"/>
      <c r="K6" s="77" t="s">
        <v>207</v>
      </c>
      <c r="L6" s="91" t="s">
        <v>178</v>
      </c>
      <c r="M6" s="42">
        <v>2260</v>
      </c>
      <c r="R6" s="1">
        <f>IF(vend7[[#This Row],[Nº Venda]]&gt;1,1,0)</f>
        <v>1</v>
      </c>
    </row>
    <row r="7" spans="2:21" ht="16.5" x14ac:dyDescent="0.3">
      <c r="B7" s="27" t="s">
        <v>3</v>
      </c>
      <c r="C7" s="28">
        <f>SUM(M6:M11)</f>
        <v>2260</v>
      </c>
      <c r="D7" s="29"/>
      <c r="E7" s="76">
        <v>11535</v>
      </c>
      <c r="F7" s="77" t="s">
        <v>206</v>
      </c>
      <c r="G7" s="50" t="s">
        <v>8</v>
      </c>
      <c r="H7" s="38">
        <v>0</v>
      </c>
      <c r="I7" s="38">
        <v>2300</v>
      </c>
      <c r="J7" s="29"/>
      <c r="K7" s="77"/>
      <c r="L7" s="91"/>
      <c r="M7" s="42"/>
      <c r="R7" s="1">
        <f>IF(vend7[[#This Row],[Nº Venda]]&gt;1,1,0)</f>
        <v>1</v>
      </c>
    </row>
    <row r="8" spans="2:21" ht="16.5" x14ac:dyDescent="0.3">
      <c r="B8" s="30" t="s">
        <v>21</v>
      </c>
      <c r="C8" s="31">
        <f>SUM(C6:C7)</f>
        <v>15797.78</v>
      </c>
      <c r="D8" s="29"/>
      <c r="E8" s="76">
        <v>11536</v>
      </c>
      <c r="F8" s="77" t="s">
        <v>208</v>
      </c>
      <c r="G8" s="50" t="s">
        <v>8</v>
      </c>
      <c r="H8" s="38">
        <v>1299</v>
      </c>
      <c r="I8" s="38">
        <v>1299</v>
      </c>
      <c r="J8" s="29"/>
      <c r="K8" s="77"/>
      <c r="L8" s="91"/>
      <c r="M8" s="42"/>
      <c r="R8" s="1">
        <f>IF(vend7[[#This Row],[Nº Venda]]&gt;1,1,0)</f>
        <v>1</v>
      </c>
    </row>
    <row r="9" spans="2:21" ht="16.5" x14ac:dyDescent="0.3">
      <c r="B9" s="26"/>
      <c r="C9" s="26"/>
      <c r="D9" s="29"/>
      <c r="E9" s="76">
        <v>11537</v>
      </c>
      <c r="F9" s="77" t="s">
        <v>199</v>
      </c>
      <c r="G9" s="50" t="s">
        <v>10</v>
      </c>
      <c r="H9" s="38">
        <v>39</v>
      </c>
      <c r="I9" s="38">
        <v>39</v>
      </c>
      <c r="J9" s="29"/>
      <c r="K9" s="77"/>
      <c r="L9" s="91"/>
      <c r="M9" s="42"/>
      <c r="R9" s="1">
        <f>IF(vend7[[#This Row],[Nº Venda]]&gt;1,1,0)</f>
        <v>1</v>
      </c>
    </row>
    <row r="10" spans="2:21" ht="16.5" x14ac:dyDescent="0.3">
      <c r="B10" s="114" t="s">
        <v>5</v>
      </c>
      <c r="C10" s="115"/>
      <c r="D10" s="29"/>
      <c r="E10" s="76">
        <v>11538</v>
      </c>
      <c r="F10" s="77" t="s">
        <v>200</v>
      </c>
      <c r="G10" s="50" t="s">
        <v>8</v>
      </c>
      <c r="H10" s="38">
        <v>490</v>
      </c>
      <c r="I10" s="38">
        <v>490</v>
      </c>
      <c r="J10" s="29"/>
      <c r="K10" s="77"/>
      <c r="L10" s="91"/>
      <c r="M10" s="42"/>
      <c r="R10" s="1">
        <f>IF(vend7[[#This Row],[Nº Venda]]&gt;1,1,0)</f>
        <v>1</v>
      </c>
    </row>
    <row r="11" spans="2:21" ht="16.5" x14ac:dyDescent="0.3">
      <c r="B11" s="27" t="s">
        <v>6</v>
      </c>
      <c r="C11" s="70">
        <f>(SUMIF($G$2:$G$31,B11,$I$2:$I$31))+(SUMIF($G$35:$G$41,B11,$H$35:$H$41))</f>
        <v>119</v>
      </c>
      <c r="D11" s="29"/>
      <c r="E11" s="76">
        <v>11539</v>
      </c>
      <c r="F11" s="77" t="s">
        <v>201</v>
      </c>
      <c r="G11" s="50" t="s">
        <v>8</v>
      </c>
      <c r="H11" s="38">
        <v>1190</v>
      </c>
      <c r="I11" s="38">
        <v>1190</v>
      </c>
      <c r="J11" s="29"/>
      <c r="K11" s="37"/>
      <c r="L11" s="91"/>
      <c r="M11" s="42"/>
      <c r="O11" s="1">
        <f>IF(C16=0,0,1)</f>
        <v>1</v>
      </c>
      <c r="R11" s="1">
        <f>IF(vend7[[#This Row],[Nº Venda]]&gt;1,1,0)</f>
        <v>1</v>
      </c>
    </row>
    <row r="12" spans="2:21" ht="16.5" x14ac:dyDescent="0.3">
      <c r="B12" s="27" t="s">
        <v>7</v>
      </c>
      <c r="C12" s="70">
        <f t="shared" ref="C12:C15" si="0">(SUMIF($G$2:$G$31,B12,$I$2:$I$31))+(SUMIF($G$35:$G$41,B12,$H$35:$H$41))</f>
        <v>200</v>
      </c>
      <c r="D12" s="29"/>
      <c r="E12" s="76">
        <v>11540</v>
      </c>
      <c r="F12" s="77" t="s">
        <v>201</v>
      </c>
      <c r="G12" s="50" t="s">
        <v>8</v>
      </c>
      <c r="H12" s="38">
        <v>990</v>
      </c>
      <c r="I12" s="38">
        <v>990</v>
      </c>
      <c r="J12" s="29"/>
      <c r="K12" s="32"/>
      <c r="L12" s="32"/>
      <c r="M12" s="32"/>
      <c r="R12" s="1">
        <f>IF(vend7[[#This Row],[Nº Venda]]&gt;1,1,0)</f>
        <v>1</v>
      </c>
    </row>
    <row r="13" spans="2:21" ht="16.5" x14ac:dyDescent="0.3">
      <c r="B13" s="27" t="s">
        <v>8</v>
      </c>
      <c r="C13" s="70">
        <f t="shared" si="0"/>
        <v>12417</v>
      </c>
      <c r="D13" s="29"/>
      <c r="E13" s="76">
        <v>11541</v>
      </c>
      <c r="F13" s="77" t="s">
        <v>202</v>
      </c>
      <c r="G13" s="50" t="s">
        <v>8</v>
      </c>
      <c r="H13" s="38">
        <v>2100</v>
      </c>
      <c r="I13" s="38">
        <v>2100</v>
      </c>
      <c r="J13" s="29"/>
      <c r="K13" s="107" t="s">
        <v>142</v>
      </c>
      <c r="L13" s="108"/>
      <c r="M13" s="109"/>
      <c r="R13" s="1">
        <f>IF(vend7[[#This Row],[Nº Venda]]&gt;1,1,0)</f>
        <v>1</v>
      </c>
    </row>
    <row r="14" spans="2:21" ht="16.5" x14ac:dyDescent="0.3">
      <c r="B14" s="27" t="s">
        <v>9</v>
      </c>
      <c r="C14" s="70">
        <f t="shared" si="0"/>
        <v>0</v>
      </c>
      <c r="D14" s="29"/>
      <c r="E14" s="76">
        <v>11542</v>
      </c>
      <c r="F14" s="49" t="s">
        <v>208</v>
      </c>
      <c r="G14" s="49" t="s">
        <v>8</v>
      </c>
      <c r="H14" s="38">
        <v>1100</v>
      </c>
      <c r="I14" s="38">
        <v>1100</v>
      </c>
      <c r="J14" s="29"/>
      <c r="K14" s="21" t="s">
        <v>22</v>
      </c>
      <c r="L14" s="22" t="s">
        <v>23</v>
      </c>
      <c r="M14" s="23" t="s">
        <v>24</v>
      </c>
      <c r="R14" s="1">
        <f>IF(vend7[[#This Row],[Nº Venda]]&gt;1,1,0)</f>
        <v>1</v>
      </c>
    </row>
    <row r="15" spans="2:21" ht="16.5" x14ac:dyDescent="0.3">
      <c r="B15" s="27" t="s">
        <v>10</v>
      </c>
      <c r="C15" s="70">
        <f t="shared" si="0"/>
        <v>801.78</v>
      </c>
      <c r="D15" s="29"/>
      <c r="E15" s="76"/>
      <c r="F15" s="77"/>
      <c r="G15" s="50"/>
      <c r="H15" s="38"/>
      <c r="I15" s="38"/>
      <c r="J15" s="29"/>
      <c r="K15" s="76">
        <v>11208</v>
      </c>
      <c r="L15" s="91" t="s">
        <v>129</v>
      </c>
      <c r="M15" s="53" t="s">
        <v>146</v>
      </c>
      <c r="R15" s="1">
        <f>IF(vend7[[#This Row],[Nº Venda]]&gt;1,1,0)</f>
        <v>0</v>
      </c>
    </row>
    <row r="16" spans="2:21" ht="16.5" x14ac:dyDescent="0.3">
      <c r="B16" s="30" t="s">
        <v>11</v>
      </c>
      <c r="C16" s="71">
        <f>SUM(C11:C15)</f>
        <v>13537.78</v>
      </c>
      <c r="D16" s="29"/>
      <c r="E16" s="76"/>
      <c r="F16" s="77"/>
      <c r="G16" s="50"/>
      <c r="H16" s="38"/>
      <c r="I16" s="38"/>
      <c r="J16" s="29"/>
      <c r="K16" s="76">
        <v>11260</v>
      </c>
      <c r="L16" s="91" t="s">
        <v>131</v>
      </c>
      <c r="M16" s="42" t="s">
        <v>145</v>
      </c>
      <c r="R16" s="1">
        <f>IF(vend7[[#This Row],[Nº Venda]]&gt;1,1,0)</f>
        <v>0</v>
      </c>
    </row>
    <row r="17" spans="2:18" ht="16.5" x14ac:dyDescent="0.3">
      <c r="B17" s="26"/>
      <c r="C17" s="26"/>
      <c r="D17" s="29"/>
      <c r="E17" s="76"/>
      <c r="F17" s="77"/>
      <c r="G17" s="50"/>
      <c r="H17" s="38"/>
      <c r="I17" s="38"/>
      <c r="J17" s="29"/>
      <c r="K17" s="76">
        <v>11436</v>
      </c>
      <c r="L17" s="91" t="s">
        <v>131</v>
      </c>
      <c r="M17" s="42" t="s">
        <v>146</v>
      </c>
      <c r="R17" s="1">
        <f>IF(vend7[[#This Row],[Nº Venda]]&gt;1,1,0)</f>
        <v>0</v>
      </c>
    </row>
    <row r="18" spans="2:18" ht="16.5" x14ac:dyDescent="0.3">
      <c r="B18" s="114" t="s">
        <v>12</v>
      </c>
      <c r="C18" s="115"/>
      <c r="D18" s="29"/>
      <c r="E18" s="76"/>
      <c r="F18" s="77"/>
      <c r="G18" s="50"/>
      <c r="H18" s="38"/>
      <c r="I18" s="38"/>
      <c r="J18" s="29"/>
      <c r="K18" s="76">
        <v>11480</v>
      </c>
      <c r="L18" s="91" t="s">
        <v>129</v>
      </c>
      <c r="M18" s="42" t="s">
        <v>145</v>
      </c>
      <c r="R18" s="1">
        <f>IF(vend7[[#This Row],[Nº Venda]]&gt;1,1,0)</f>
        <v>0</v>
      </c>
    </row>
    <row r="19" spans="2:18" ht="16.5" x14ac:dyDescent="0.3">
      <c r="B19" s="27">
        <f>COUNT(entr_carn7[OS])</f>
        <v>2</v>
      </c>
      <c r="C19" s="70">
        <f>SUM(entr_carn7[Valor Total])</f>
        <v>2755.4</v>
      </c>
      <c r="D19" s="29"/>
      <c r="E19" s="76"/>
      <c r="F19" s="77"/>
      <c r="G19" s="50"/>
      <c r="H19" s="38"/>
      <c r="I19" s="38"/>
      <c r="J19" s="29"/>
      <c r="K19" s="76">
        <v>11498</v>
      </c>
      <c r="L19" s="91" t="s">
        <v>129</v>
      </c>
      <c r="M19" s="42" t="s">
        <v>145</v>
      </c>
      <c r="R19" s="1">
        <f>IF(vend7[[#This Row],[Nº Venda]]&gt;1,1,0)</f>
        <v>0</v>
      </c>
    </row>
    <row r="20" spans="2:18" ht="16.5" x14ac:dyDescent="0.3">
      <c r="B20" s="30" t="s">
        <v>11</v>
      </c>
      <c r="C20" s="71">
        <f>SUM(C19:C19)</f>
        <v>2755.4</v>
      </c>
      <c r="D20" s="29"/>
      <c r="E20" s="76"/>
      <c r="F20" s="50"/>
      <c r="G20" s="50"/>
      <c r="H20" s="38"/>
      <c r="I20" s="38"/>
      <c r="J20" s="29"/>
      <c r="K20" s="76"/>
      <c r="L20" s="91"/>
      <c r="M20" s="42"/>
      <c r="R20" s="1">
        <f>IF(vend7[[#This Row],[Nº Venda]]&gt;1,1,0)</f>
        <v>0</v>
      </c>
    </row>
    <row r="21" spans="2:18" ht="16.5" x14ac:dyDescent="0.3">
      <c r="B21" s="26"/>
      <c r="C21" s="26"/>
      <c r="D21" s="29"/>
      <c r="E21" s="76"/>
      <c r="F21" s="77"/>
      <c r="G21" s="50"/>
      <c r="H21" s="38"/>
      <c r="I21" s="38"/>
      <c r="J21" s="29"/>
      <c r="K21" s="76"/>
      <c r="L21" s="91"/>
      <c r="M21" s="42"/>
    </row>
    <row r="22" spans="2:18" ht="16.5" x14ac:dyDescent="0.3">
      <c r="B22" s="30" t="s">
        <v>25</v>
      </c>
      <c r="C22" s="33">
        <f>C5</f>
        <v>11007</v>
      </c>
      <c r="D22" s="29"/>
      <c r="E22" s="78"/>
      <c r="F22" s="77"/>
      <c r="G22" s="50"/>
      <c r="H22" s="38"/>
      <c r="I22" s="38"/>
      <c r="J22" s="29"/>
      <c r="K22" s="76"/>
      <c r="L22" s="91"/>
      <c r="M22" s="42"/>
    </row>
    <row r="23" spans="2:18" ht="16.5" x14ac:dyDescent="0.3">
      <c r="B23" s="29"/>
      <c r="C23" s="29"/>
      <c r="D23" s="29"/>
      <c r="E23" s="34"/>
      <c r="F23" s="34"/>
      <c r="G23" s="34"/>
      <c r="H23" s="35"/>
      <c r="I23" s="36"/>
      <c r="J23" s="29"/>
      <c r="K23" s="76"/>
      <c r="L23" s="91"/>
      <c r="M23" s="42"/>
    </row>
    <row r="24" spans="2:18" ht="16.5" x14ac:dyDescent="0.3">
      <c r="B24" s="29"/>
      <c r="C24" s="29"/>
      <c r="D24" s="29"/>
      <c r="E24" s="105" t="s">
        <v>139</v>
      </c>
      <c r="F24" s="106"/>
      <c r="G24" s="106"/>
      <c r="H24" s="106"/>
      <c r="I24" s="106"/>
      <c r="J24" s="29"/>
      <c r="K24" s="76"/>
      <c r="L24" s="91"/>
      <c r="M24" s="42"/>
    </row>
    <row r="25" spans="2:18" ht="16.5" x14ac:dyDescent="0.3">
      <c r="B25" s="29"/>
      <c r="C25" s="29"/>
      <c r="D25" s="29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29"/>
      <c r="K25" s="76"/>
      <c r="L25" s="91"/>
      <c r="M25" s="42"/>
    </row>
    <row r="26" spans="2:18" ht="16.5" x14ac:dyDescent="0.3">
      <c r="B26" s="29"/>
      <c r="C26" s="29"/>
      <c r="D26" s="29"/>
      <c r="E26" s="76">
        <v>11436</v>
      </c>
      <c r="F26" s="81" t="s">
        <v>209</v>
      </c>
      <c r="G26" s="80" t="s">
        <v>7</v>
      </c>
      <c r="H26" s="48"/>
      <c r="I26" s="48">
        <v>200</v>
      </c>
      <c r="J26" s="29"/>
      <c r="K26" s="76"/>
      <c r="L26" s="91"/>
      <c r="M26" s="42"/>
    </row>
    <row r="27" spans="2:18" ht="16.5" x14ac:dyDescent="0.3">
      <c r="B27" s="29"/>
      <c r="C27" s="29"/>
      <c r="D27" s="29"/>
      <c r="E27" s="76">
        <v>11499</v>
      </c>
      <c r="F27" s="77" t="s">
        <v>153</v>
      </c>
      <c r="G27" s="49" t="s">
        <v>8</v>
      </c>
      <c r="H27" s="38"/>
      <c r="I27" s="38">
        <v>1449</v>
      </c>
      <c r="J27" s="29"/>
      <c r="K27" s="76"/>
      <c r="L27" s="91"/>
      <c r="M27" s="42"/>
    </row>
    <row r="28" spans="2:18" ht="16.5" x14ac:dyDescent="0.3">
      <c r="B28" s="29"/>
      <c r="C28" s="29"/>
      <c r="D28" s="29"/>
      <c r="E28" s="76"/>
      <c r="F28" s="77"/>
      <c r="G28" s="50"/>
      <c r="H28" s="38"/>
      <c r="I28" s="38"/>
      <c r="J28" s="29"/>
      <c r="K28" s="76"/>
      <c r="L28" s="91"/>
      <c r="M28" s="42"/>
    </row>
    <row r="29" spans="2:18" ht="16.5" x14ac:dyDescent="0.3">
      <c r="B29" s="29"/>
      <c r="C29" s="29"/>
      <c r="D29" s="29"/>
      <c r="E29" s="76"/>
      <c r="F29" s="77"/>
      <c r="G29" s="50"/>
      <c r="H29" s="38"/>
      <c r="I29" s="38"/>
      <c r="J29" s="29"/>
      <c r="K29" s="76"/>
      <c r="L29" s="91"/>
      <c r="M29" s="42"/>
    </row>
    <row r="30" spans="2:18" ht="16.5" x14ac:dyDescent="0.3">
      <c r="B30" s="29"/>
      <c r="C30" s="29"/>
      <c r="D30" s="29"/>
      <c r="E30" s="76"/>
      <c r="F30" s="50"/>
      <c r="G30" s="50"/>
      <c r="H30" s="38"/>
      <c r="I30" s="38"/>
      <c r="J30" s="29"/>
      <c r="K30" s="76"/>
      <c r="L30" s="91"/>
      <c r="M30" s="42"/>
    </row>
    <row r="31" spans="2:18" ht="16.5" x14ac:dyDescent="0.3">
      <c r="B31" s="29"/>
      <c r="C31" s="29"/>
      <c r="D31" s="29"/>
      <c r="E31" s="78"/>
      <c r="F31" s="79"/>
      <c r="G31" s="40"/>
      <c r="H31" s="41"/>
      <c r="I31" s="41"/>
      <c r="J31" s="29"/>
      <c r="K31" s="76"/>
      <c r="L31" s="91"/>
      <c r="M31" s="42"/>
    </row>
    <row r="32" spans="2:18" ht="16.5" x14ac:dyDescent="0.3">
      <c r="B32" s="29"/>
      <c r="C32" s="29"/>
      <c r="D32" s="37"/>
      <c r="E32" s="34"/>
      <c r="F32" s="34"/>
      <c r="G32" s="34"/>
      <c r="H32" s="36"/>
      <c r="I32" s="36"/>
      <c r="J32" s="37"/>
      <c r="K32" s="32"/>
      <c r="L32" s="32"/>
      <c r="M32" s="32"/>
    </row>
    <row r="33" spans="2:18" ht="16.5" x14ac:dyDescent="0.3">
      <c r="B33" s="29"/>
      <c r="C33" s="29"/>
      <c r="D33" s="37"/>
      <c r="E33" s="105" t="s">
        <v>140</v>
      </c>
      <c r="F33" s="106"/>
      <c r="G33" s="106"/>
      <c r="H33" s="106"/>
      <c r="I33" s="106"/>
      <c r="J33" s="37"/>
      <c r="K33" s="107" t="s">
        <v>141</v>
      </c>
      <c r="L33" s="108"/>
      <c r="M33" s="109"/>
    </row>
    <row r="34" spans="2:18" ht="16.5" x14ac:dyDescent="0.3">
      <c r="B34" s="37"/>
      <c r="C34" s="37"/>
      <c r="D34" s="37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7"/>
      <c r="K34" s="22" t="s">
        <v>22</v>
      </c>
      <c r="L34" s="21" t="s">
        <v>28</v>
      </c>
      <c r="M34" s="22" t="s">
        <v>29</v>
      </c>
    </row>
    <row r="35" spans="2:18" ht="16.5" customHeight="1" x14ac:dyDescent="0.25">
      <c r="B35" s="37"/>
      <c r="C35" s="37"/>
      <c r="D35" s="37"/>
      <c r="E35" s="84">
        <v>10071</v>
      </c>
      <c r="F35" s="77" t="s">
        <v>203</v>
      </c>
      <c r="G35" s="50" t="s">
        <v>10</v>
      </c>
      <c r="H35" s="38">
        <v>130</v>
      </c>
      <c r="I35" s="38" t="s">
        <v>55</v>
      </c>
      <c r="J35" s="37"/>
      <c r="K35" s="76">
        <v>11208</v>
      </c>
      <c r="L35" s="76">
        <v>8</v>
      </c>
      <c r="M35" s="91">
        <v>1856</v>
      </c>
    </row>
    <row r="36" spans="2:18" ht="16.5" customHeight="1" x14ac:dyDescent="0.25">
      <c r="B36" s="37"/>
      <c r="C36" s="37"/>
      <c r="D36" s="37"/>
      <c r="E36" s="78">
        <v>10071</v>
      </c>
      <c r="F36" s="77" t="s">
        <v>203</v>
      </c>
      <c r="G36" s="50" t="s">
        <v>10</v>
      </c>
      <c r="H36" s="38">
        <v>130</v>
      </c>
      <c r="I36" s="38" t="s">
        <v>77</v>
      </c>
      <c r="J36" s="37"/>
      <c r="K36" s="76">
        <v>11436</v>
      </c>
      <c r="L36" s="76">
        <v>6</v>
      </c>
      <c r="M36" s="91">
        <v>899.4</v>
      </c>
    </row>
    <row r="37" spans="2:18" ht="16.5" customHeight="1" x14ac:dyDescent="0.25">
      <c r="B37" s="37"/>
      <c r="C37" s="37"/>
      <c r="D37" s="37"/>
      <c r="E37" s="76">
        <v>10495</v>
      </c>
      <c r="F37" s="50" t="s">
        <v>205</v>
      </c>
      <c r="G37" s="50" t="s">
        <v>10</v>
      </c>
      <c r="H37" s="38">
        <v>124.12</v>
      </c>
      <c r="I37" s="38" t="s">
        <v>52</v>
      </c>
      <c r="J37" s="37"/>
      <c r="K37" s="76"/>
      <c r="L37" s="76"/>
      <c r="M37" s="91"/>
    </row>
    <row r="38" spans="2:18" ht="16.5" customHeight="1" x14ac:dyDescent="0.25">
      <c r="B38" s="37"/>
      <c r="C38" s="37"/>
      <c r="D38" s="37"/>
      <c r="E38" s="76">
        <v>10732</v>
      </c>
      <c r="F38" s="77" t="s">
        <v>204</v>
      </c>
      <c r="G38" s="50" t="s">
        <v>10</v>
      </c>
      <c r="H38" s="38">
        <v>146.66</v>
      </c>
      <c r="I38" s="38" t="s">
        <v>76</v>
      </c>
      <c r="J38" s="37"/>
      <c r="K38" s="76"/>
      <c r="L38" s="76"/>
      <c r="M38" s="91"/>
    </row>
    <row r="39" spans="2:18" ht="16.5" customHeight="1" x14ac:dyDescent="0.25">
      <c r="B39" s="37"/>
      <c r="C39" s="37"/>
      <c r="D39" s="37"/>
      <c r="E39" s="76">
        <v>11208</v>
      </c>
      <c r="F39" s="77" t="s">
        <v>237</v>
      </c>
      <c r="G39" s="50" t="s">
        <v>10</v>
      </c>
      <c r="H39" s="38">
        <v>232</v>
      </c>
      <c r="I39" s="38" t="s">
        <v>78</v>
      </c>
      <c r="J39" s="37"/>
      <c r="K39" s="76"/>
      <c r="L39" s="76"/>
      <c r="M39" s="91"/>
    </row>
    <row r="40" spans="2:18" ht="16.5" customHeight="1" x14ac:dyDescent="0.25">
      <c r="B40" s="37"/>
      <c r="C40" s="37"/>
      <c r="D40" s="37"/>
      <c r="E40" s="78">
        <v>11346</v>
      </c>
      <c r="F40" s="79" t="s">
        <v>198</v>
      </c>
      <c r="G40" s="40" t="s">
        <v>6</v>
      </c>
      <c r="H40" s="41">
        <v>119</v>
      </c>
      <c r="I40" s="38" t="s">
        <v>80</v>
      </c>
      <c r="J40" s="37"/>
      <c r="K40" s="78"/>
      <c r="L40" s="78"/>
      <c r="M40" s="92"/>
      <c r="Q40" s="1" t="s">
        <v>33</v>
      </c>
      <c r="R40" s="1">
        <f>SUM(R6:R21)</f>
        <v>9</v>
      </c>
    </row>
    <row r="41" spans="2:18" ht="16.5" customHeight="1" x14ac:dyDescent="0.25">
      <c r="B41" s="37"/>
      <c r="C41" s="37"/>
      <c r="D41" s="37"/>
      <c r="E41" s="82"/>
      <c r="F41" s="50"/>
      <c r="G41" s="50"/>
      <c r="H41" s="38"/>
      <c r="I41" s="38"/>
      <c r="J41" s="37"/>
      <c r="K41" s="76"/>
      <c r="L41" s="76"/>
      <c r="M41" s="92"/>
    </row>
    <row r="42" spans="2:18" ht="13.5" x14ac:dyDescent="0.25">
      <c r="B42" s="37"/>
      <c r="C42" s="37"/>
      <c r="D42" s="37"/>
      <c r="E42" s="34"/>
      <c r="F42" s="34"/>
      <c r="G42" s="34"/>
      <c r="H42" s="36"/>
      <c r="I42" s="36"/>
      <c r="J42" s="37"/>
      <c r="K42" s="32"/>
      <c r="L42" s="32"/>
      <c r="M42" s="32"/>
    </row>
    <row r="43" spans="2:18" ht="13.5" x14ac:dyDescent="0.25">
      <c r="B43" s="37"/>
      <c r="C43" s="37"/>
      <c r="D43" s="37"/>
      <c r="E43" s="34"/>
      <c r="F43" s="34"/>
      <c r="G43" s="34"/>
      <c r="H43" s="36"/>
      <c r="I43" s="36"/>
      <c r="J43" s="37"/>
      <c r="K43" s="32"/>
      <c r="L43" s="32"/>
      <c r="M43" s="32"/>
    </row>
    <row r="44" spans="2:18" ht="13.5" x14ac:dyDescent="0.25">
      <c r="B44" s="37"/>
      <c r="C44" s="37"/>
      <c r="D44" s="37"/>
      <c r="E44" s="34"/>
      <c r="F44" s="34"/>
      <c r="G44" s="34"/>
      <c r="H44" s="36"/>
      <c r="I44" s="36"/>
      <c r="J44" s="37"/>
      <c r="K44" s="32"/>
      <c r="L44" s="32"/>
      <c r="M44" s="32"/>
    </row>
    <row r="45" spans="2:18" ht="13.5" x14ac:dyDescent="0.25">
      <c r="B45" s="37"/>
      <c r="C45" s="37"/>
      <c r="D45" s="37"/>
      <c r="E45" s="34"/>
      <c r="F45" s="34"/>
      <c r="G45" s="34"/>
      <c r="H45" s="36"/>
      <c r="I45" s="36"/>
      <c r="J45" s="37"/>
      <c r="K45" s="32"/>
      <c r="L45" s="32"/>
      <c r="M45" s="32"/>
    </row>
  </sheetData>
  <mergeCells count="11">
    <mergeCell ref="B1:C1"/>
    <mergeCell ref="L1:M1"/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5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5"/>
  <sheetViews>
    <sheetView showGridLines="0" view="pageBreakPreview" zoomScaleNormal="90" zoomScaleSheetLayoutView="100" workbookViewId="0">
      <selection activeCell="E10" sqref="E10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40.42578125" style="11" bestFit="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'07'!B1+1</f>
        <v>45877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4" t="s">
        <v>0</v>
      </c>
      <c r="C4" s="25">
        <v>0</v>
      </c>
      <c r="D4" s="57"/>
      <c r="E4" s="113" t="s">
        <v>137</v>
      </c>
      <c r="F4" s="113"/>
      <c r="G4" s="113"/>
      <c r="H4" s="113"/>
      <c r="I4" s="113"/>
      <c r="J4" s="29"/>
      <c r="K4" s="107" t="s">
        <v>138</v>
      </c>
      <c r="L4" s="108"/>
      <c r="M4" s="109"/>
    </row>
    <row r="5" spans="2:18" ht="16.5" x14ac:dyDescent="0.3">
      <c r="B5" s="27" t="s">
        <v>1</v>
      </c>
      <c r="C5" s="28">
        <f>SUMIF(I6:I31,"&gt;0",H6:H31)</f>
        <v>3128.9</v>
      </c>
      <c r="D5" s="29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29"/>
      <c r="K5" s="21" t="s">
        <v>18</v>
      </c>
      <c r="L5" s="22" t="s">
        <v>19</v>
      </c>
      <c r="M5" s="23" t="s">
        <v>20</v>
      </c>
    </row>
    <row r="6" spans="2:18" ht="16.5" x14ac:dyDescent="0.3">
      <c r="B6" s="27" t="s">
        <v>2</v>
      </c>
      <c r="C6" s="28">
        <f>C16</f>
        <v>1615.4</v>
      </c>
      <c r="D6" s="29"/>
      <c r="E6" s="76">
        <v>11543</v>
      </c>
      <c r="F6" s="38" t="s">
        <v>210</v>
      </c>
      <c r="G6" s="38" t="s">
        <v>7</v>
      </c>
      <c r="H6" s="38">
        <v>950</v>
      </c>
      <c r="I6" s="38">
        <v>50</v>
      </c>
      <c r="J6" s="29"/>
      <c r="K6" s="77" t="s">
        <v>215</v>
      </c>
      <c r="L6" s="91" t="s">
        <v>6</v>
      </c>
      <c r="M6" s="42">
        <v>19.850000000000001</v>
      </c>
      <c r="R6" s="1">
        <f>IF(vend8[[#This Row],[Nº Venda]]&gt;1,1,0)</f>
        <v>1</v>
      </c>
    </row>
    <row r="7" spans="2:18" ht="16.5" x14ac:dyDescent="0.3">
      <c r="B7" s="27" t="s">
        <v>3</v>
      </c>
      <c r="C7" s="28">
        <f>SUM(M6:M11)</f>
        <v>77.83</v>
      </c>
      <c r="D7" s="29"/>
      <c r="E7" s="76">
        <v>11544</v>
      </c>
      <c r="F7" s="38" t="s">
        <v>202</v>
      </c>
      <c r="G7" s="38" t="s">
        <v>7</v>
      </c>
      <c r="H7" s="38">
        <v>24.9</v>
      </c>
      <c r="I7" s="38">
        <v>24.9</v>
      </c>
      <c r="J7" s="29"/>
      <c r="K7" s="77" t="s">
        <v>216</v>
      </c>
      <c r="L7" s="91" t="s">
        <v>6</v>
      </c>
      <c r="M7" s="42">
        <v>57.98</v>
      </c>
      <c r="R7" s="1">
        <f>IF(vend8[[#This Row],[Nº Venda]]&gt;1,1,0)</f>
        <v>1</v>
      </c>
    </row>
    <row r="8" spans="2:18" ht="16.5" x14ac:dyDescent="0.3">
      <c r="B8" s="30" t="s">
        <v>21</v>
      </c>
      <c r="C8" s="31">
        <f>SUM(C6:C7)</f>
        <v>1693.23</v>
      </c>
      <c r="D8" s="29"/>
      <c r="E8" s="76">
        <v>11545</v>
      </c>
      <c r="F8" s="38" t="s">
        <v>211</v>
      </c>
      <c r="G8" s="38" t="s">
        <v>7</v>
      </c>
      <c r="H8" s="38">
        <v>250</v>
      </c>
      <c r="I8" s="38">
        <v>250</v>
      </c>
      <c r="J8" s="29"/>
      <c r="K8" s="77"/>
      <c r="L8" s="91"/>
      <c r="M8" s="42"/>
      <c r="R8" s="1">
        <f>IF(vend8[[#This Row],[Nº Venda]]&gt;1,1,0)</f>
        <v>1</v>
      </c>
    </row>
    <row r="9" spans="2:18" ht="16.5" x14ac:dyDescent="0.3">
      <c r="B9" s="26"/>
      <c r="C9" s="26"/>
      <c r="D9" s="29"/>
      <c r="E9" s="76">
        <v>11546</v>
      </c>
      <c r="F9" s="38" t="s">
        <v>212</v>
      </c>
      <c r="G9" s="38" t="s">
        <v>8</v>
      </c>
      <c r="H9" s="38">
        <v>1000</v>
      </c>
      <c r="I9" s="38">
        <v>1000</v>
      </c>
      <c r="J9" s="29"/>
      <c r="K9" s="77"/>
      <c r="L9" s="91"/>
      <c r="M9" s="42"/>
      <c r="R9" s="1">
        <f>IF(vend8[[#This Row],[Nº Venda]]&gt;1,1,0)</f>
        <v>1</v>
      </c>
    </row>
    <row r="10" spans="2:18" ht="16.5" x14ac:dyDescent="0.3">
      <c r="B10" s="114" t="s">
        <v>5</v>
      </c>
      <c r="C10" s="115"/>
      <c r="D10" s="29"/>
      <c r="E10" s="76">
        <v>11547</v>
      </c>
      <c r="F10" s="77" t="s">
        <v>213</v>
      </c>
      <c r="G10" s="50" t="s">
        <v>10</v>
      </c>
      <c r="H10" s="38">
        <v>820</v>
      </c>
      <c r="I10" s="38">
        <v>20</v>
      </c>
      <c r="J10" s="29"/>
      <c r="K10" s="77"/>
      <c r="L10" s="91"/>
      <c r="M10" s="42"/>
      <c r="R10" s="1">
        <f>IF(vend8[[#This Row],[Nº Venda]]&gt;1,1,0)</f>
        <v>1</v>
      </c>
    </row>
    <row r="11" spans="2:18" ht="16.5" x14ac:dyDescent="0.3">
      <c r="B11" s="27" t="s">
        <v>6</v>
      </c>
      <c r="C11" s="72">
        <f>(SUMIF($G$2:$G$31,B11,$I$2:$I$31))+(SUMIF($G$35:$G$41,B11,$H$35:$H$41))</f>
        <v>0</v>
      </c>
      <c r="D11" s="29"/>
      <c r="E11" s="76">
        <v>11548</v>
      </c>
      <c r="F11" s="77" t="s">
        <v>196</v>
      </c>
      <c r="G11" s="50" t="s">
        <v>36</v>
      </c>
      <c r="H11" s="38">
        <v>0</v>
      </c>
      <c r="I11" s="38">
        <v>0</v>
      </c>
      <c r="J11" s="29"/>
      <c r="K11" s="37"/>
      <c r="L11" s="91"/>
      <c r="M11" s="42"/>
      <c r="O11" s="1">
        <f>IF(C16=0,0,1)</f>
        <v>1</v>
      </c>
      <c r="R11" s="1">
        <f>IF(vend8[[#This Row],[Nº Venda]]&gt;1,1,0)</f>
        <v>1</v>
      </c>
    </row>
    <row r="12" spans="2:18" ht="16.5" x14ac:dyDescent="0.3">
      <c r="B12" s="27" t="s">
        <v>7</v>
      </c>
      <c r="C12" s="72">
        <f>(SUMIF($G$2:$G$31,B12,$I$2:$I$31))+(SUMIF($G$35:$G$41,B12,$H$35:$H$41))</f>
        <v>451.4</v>
      </c>
      <c r="D12" s="29"/>
      <c r="E12" s="76">
        <v>11549</v>
      </c>
      <c r="F12" s="77" t="s">
        <v>214</v>
      </c>
      <c r="G12" s="50" t="s">
        <v>10</v>
      </c>
      <c r="H12" s="38">
        <v>54</v>
      </c>
      <c r="I12" s="38">
        <v>15</v>
      </c>
      <c r="J12" s="29"/>
      <c r="K12" s="32"/>
      <c r="L12" s="32"/>
      <c r="M12" s="32"/>
      <c r="R12" s="1">
        <f>IF(vend8[[#This Row],[Nº Venda]]&gt;1,1,0)</f>
        <v>1</v>
      </c>
    </row>
    <row r="13" spans="2:18" ht="16.5" x14ac:dyDescent="0.3">
      <c r="B13" s="27" t="s">
        <v>8</v>
      </c>
      <c r="C13" s="72">
        <f>(SUMIF($G$2:$G$31,B13,$I$2:$I$31))+(SUMIF($G$35:$G$41,B13,$H$35:$H$41))</f>
        <v>1030</v>
      </c>
      <c r="D13" s="29"/>
      <c r="E13" s="76">
        <v>11549</v>
      </c>
      <c r="F13" s="50" t="s">
        <v>214</v>
      </c>
      <c r="G13" s="50" t="s">
        <v>7</v>
      </c>
      <c r="H13" s="38">
        <v>0</v>
      </c>
      <c r="I13" s="38">
        <v>39</v>
      </c>
      <c r="J13" s="29"/>
      <c r="K13" s="107" t="s">
        <v>142</v>
      </c>
      <c r="L13" s="108"/>
      <c r="M13" s="109"/>
      <c r="R13" s="1">
        <f>IF(vend8[[#This Row],[Nº Venda]]&gt;1,1,0)</f>
        <v>1</v>
      </c>
    </row>
    <row r="14" spans="2:18" ht="16.5" x14ac:dyDescent="0.3">
      <c r="B14" s="27" t="s">
        <v>9</v>
      </c>
      <c r="C14" s="72">
        <f>(SUMIF($G$2:$G$31,B14,$I$2:$I$31))+(SUMIF($G$35:$G$41,B14,$H$35:$H$41))</f>
        <v>0</v>
      </c>
      <c r="D14" s="29"/>
      <c r="E14" s="76"/>
      <c r="F14" s="77"/>
      <c r="G14" s="50"/>
      <c r="H14" s="38"/>
      <c r="I14" s="38"/>
      <c r="J14" s="29"/>
      <c r="K14" s="21" t="s">
        <v>22</v>
      </c>
      <c r="L14" s="22" t="s">
        <v>23</v>
      </c>
      <c r="M14" s="23" t="s">
        <v>24</v>
      </c>
      <c r="R14" s="1">
        <f>IF(vend8[[#This Row],[Nº Venda]]&gt;1,1,0)</f>
        <v>0</v>
      </c>
    </row>
    <row r="15" spans="2:18" ht="16.5" x14ac:dyDescent="0.3">
      <c r="B15" s="27" t="s">
        <v>10</v>
      </c>
      <c r="C15" s="72">
        <f>(SUMIF($G$2:$G$31,B15,$I$2:$I$31))+(SUMIF($G$35:$G$41,B15,$H$35:$H$41))</f>
        <v>134</v>
      </c>
      <c r="D15" s="29"/>
      <c r="E15" s="76"/>
      <c r="F15" s="77"/>
      <c r="G15" s="50"/>
      <c r="H15" s="38"/>
      <c r="I15" s="38"/>
      <c r="J15" s="29"/>
      <c r="K15" s="76">
        <v>11174</v>
      </c>
      <c r="L15" s="91" t="s">
        <v>131</v>
      </c>
      <c r="M15" s="42" t="s">
        <v>145</v>
      </c>
      <c r="R15" s="1">
        <f>IF(vend8[[#This Row],[Nº Venda]]&gt;1,1,0)</f>
        <v>0</v>
      </c>
    </row>
    <row r="16" spans="2:18" ht="16.5" x14ac:dyDescent="0.3">
      <c r="B16" s="30" t="s">
        <v>11</v>
      </c>
      <c r="C16" s="71">
        <f>SUM(C11:C15)</f>
        <v>1615.4</v>
      </c>
      <c r="D16" s="29"/>
      <c r="E16" s="76"/>
      <c r="F16" s="77"/>
      <c r="G16" s="50"/>
      <c r="H16" s="38"/>
      <c r="I16" s="38"/>
      <c r="J16" s="29"/>
      <c r="K16" s="76">
        <v>11455</v>
      </c>
      <c r="L16" s="91" t="s">
        <v>129</v>
      </c>
      <c r="M16" s="42" t="s">
        <v>145</v>
      </c>
      <c r="R16" s="1">
        <f>IF(vend8[[#This Row],[Nº Venda]]&gt;1,1,0)</f>
        <v>0</v>
      </c>
    </row>
    <row r="17" spans="2:18" ht="16.5" x14ac:dyDescent="0.3">
      <c r="B17" s="26"/>
      <c r="C17" s="26"/>
      <c r="D17" s="29"/>
      <c r="E17" s="76"/>
      <c r="F17" s="77"/>
      <c r="G17" s="50"/>
      <c r="H17" s="38"/>
      <c r="I17" s="38"/>
      <c r="J17" s="29"/>
      <c r="K17" s="76">
        <v>11458</v>
      </c>
      <c r="L17" s="91" t="s">
        <v>129</v>
      </c>
      <c r="M17" s="42" t="s">
        <v>145</v>
      </c>
      <c r="R17" s="1">
        <f>IF(vend8[[#This Row],[Nº Venda]]&gt;1,1,0)</f>
        <v>0</v>
      </c>
    </row>
    <row r="18" spans="2:18" ht="16.5" x14ac:dyDescent="0.3">
      <c r="B18" s="114" t="s">
        <v>12</v>
      </c>
      <c r="C18" s="115"/>
      <c r="D18" s="29"/>
      <c r="E18" s="76"/>
      <c r="F18" s="77"/>
      <c r="G18" s="50"/>
      <c r="H18" s="38"/>
      <c r="I18" s="38"/>
      <c r="J18" s="29"/>
      <c r="K18" s="76">
        <v>11466</v>
      </c>
      <c r="L18" s="91" t="s">
        <v>129</v>
      </c>
      <c r="M18" s="42" t="s">
        <v>145</v>
      </c>
      <c r="R18" s="1">
        <f>IF(vend8[[#This Row],[Nº Venda]]&gt;1,1,0)</f>
        <v>0</v>
      </c>
    </row>
    <row r="19" spans="2:18" ht="16.5" x14ac:dyDescent="0.3">
      <c r="B19" s="27">
        <f>COUNT(entr_carn8[OS])</f>
        <v>0</v>
      </c>
      <c r="C19" s="70">
        <f>SUM(entr_carn8[Valor Total])</f>
        <v>0</v>
      </c>
      <c r="D19" s="29"/>
      <c r="E19" s="76"/>
      <c r="F19" s="77"/>
      <c r="G19" s="50"/>
      <c r="H19" s="38"/>
      <c r="I19" s="38"/>
      <c r="J19" s="29"/>
      <c r="K19" s="76">
        <v>11484</v>
      </c>
      <c r="L19" s="91" t="s">
        <v>131</v>
      </c>
      <c r="M19" s="42" t="s">
        <v>145</v>
      </c>
      <c r="R19" s="1">
        <f>IF(vend8[[#This Row],[Nº Venda]]&gt;1,1,0)</f>
        <v>0</v>
      </c>
    </row>
    <row r="20" spans="2:18" ht="16.5" x14ac:dyDescent="0.3">
      <c r="B20" s="30" t="s">
        <v>11</v>
      </c>
      <c r="C20" s="71">
        <f>SUM(C19:C19)</f>
        <v>0</v>
      </c>
      <c r="D20" s="29"/>
      <c r="E20" s="76"/>
      <c r="F20" s="50"/>
      <c r="G20" s="50"/>
      <c r="H20" s="38"/>
      <c r="I20" s="38"/>
      <c r="J20" s="29"/>
      <c r="K20" s="76">
        <v>11490</v>
      </c>
      <c r="L20" s="91" t="s">
        <v>131</v>
      </c>
      <c r="M20" s="42" t="s">
        <v>145</v>
      </c>
      <c r="R20" s="1">
        <f>IF(vend8[[#This Row],[Nº Venda]]&gt;1,1,0)</f>
        <v>0</v>
      </c>
    </row>
    <row r="21" spans="2:18" ht="16.5" x14ac:dyDescent="0.3">
      <c r="B21" s="26"/>
      <c r="C21" s="26"/>
      <c r="D21" s="29"/>
      <c r="E21" s="76"/>
      <c r="F21" s="77"/>
      <c r="G21" s="50"/>
      <c r="H21" s="38"/>
      <c r="I21" s="38"/>
      <c r="J21" s="29"/>
      <c r="K21" s="76">
        <v>11513</v>
      </c>
      <c r="L21" s="91" t="s">
        <v>129</v>
      </c>
      <c r="M21" s="42" t="s">
        <v>145</v>
      </c>
    </row>
    <row r="22" spans="2:18" ht="16.5" x14ac:dyDescent="0.3">
      <c r="B22" s="30" t="s">
        <v>25</v>
      </c>
      <c r="C22" s="33">
        <f>C5</f>
        <v>3128.9</v>
      </c>
      <c r="D22" s="29"/>
      <c r="E22" s="78"/>
      <c r="F22" s="77"/>
      <c r="G22" s="50"/>
      <c r="H22" s="38"/>
      <c r="I22" s="38"/>
      <c r="J22" s="29"/>
      <c r="K22" s="76">
        <v>11549</v>
      </c>
      <c r="L22" s="91" t="s">
        <v>131</v>
      </c>
      <c r="M22" s="42" t="s">
        <v>145</v>
      </c>
    </row>
    <row r="23" spans="2:18" ht="16.5" x14ac:dyDescent="0.3">
      <c r="B23" s="29"/>
      <c r="C23" s="29"/>
      <c r="D23" s="29"/>
      <c r="E23" s="34"/>
      <c r="F23" s="34"/>
      <c r="G23" s="34"/>
      <c r="H23" s="35"/>
      <c r="I23" s="36"/>
      <c r="J23" s="29"/>
      <c r="K23" s="76"/>
      <c r="L23" s="91"/>
      <c r="M23" s="42"/>
    </row>
    <row r="24" spans="2:18" ht="16.5" x14ac:dyDescent="0.3">
      <c r="B24" s="29"/>
      <c r="C24" s="29"/>
      <c r="D24" s="29"/>
      <c r="E24" s="105" t="s">
        <v>139</v>
      </c>
      <c r="F24" s="106"/>
      <c r="G24" s="106"/>
      <c r="H24" s="106"/>
      <c r="I24" s="106"/>
      <c r="J24" s="29"/>
      <c r="K24" s="76"/>
      <c r="L24" s="91"/>
      <c r="M24" s="42"/>
    </row>
    <row r="25" spans="2:18" ht="16.5" x14ac:dyDescent="0.3">
      <c r="B25" s="29"/>
      <c r="C25" s="29"/>
      <c r="D25" s="29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29"/>
      <c r="K25" s="76"/>
      <c r="L25" s="91"/>
      <c r="M25" s="42"/>
    </row>
    <row r="26" spans="2:18" ht="16.5" x14ac:dyDescent="0.3">
      <c r="B26" s="29"/>
      <c r="C26" s="29"/>
      <c r="D26" s="29"/>
      <c r="E26" s="76">
        <v>11174</v>
      </c>
      <c r="F26" s="81" t="s">
        <v>327</v>
      </c>
      <c r="G26" s="47" t="s">
        <v>8</v>
      </c>
      <c r="H26" s="48">
        <v>30</v>
      </c>
      <c r="I26" s="48">
        <v>30</v>
      </c>
      <c r="J26" s="29"/>
      <c r="K26" s="76"/>
      <c r="L26" s="91"/>
      <c r="M26" s="42"/>
    </row>
    <row r="27" spans="2:18" ht="16.5" x14ac:dyDescent="0.3">
      <c r="B27" s="29"/>
      <c r="C27" s="29"/>
      <c r="D27" s="29"/>
      <c r="E27" s="76">
        <v>11484</v>
      </c>
      <c r="F27" s="50" t="s">
        <v>214</v>
      </c>
      <c r="G27" s="50" t="s">
        <v>10</v>
      </c>
      <c r="H27" s="38">
        <v>0</v>
      </c>
      <c r="I27" s="38">
        <v>99</v>
      </c>
      <c r="J27" s="29"/>
      <c r="K27" s="76"/>
      <c r="L27" s="91"/>
      <c r="M27" s="42"/>
    </row>
    <row r="28" spans="2:18" ht="16.5" x14ac:dyDescent="0.3">
      <c r="B28" s="29"/>
      <c r="C28" s="29"/>
      <c r="D28" s="29"/>
      <c r="E28" s="76"/>
      <c r="F28" s="77"/>
      <c r="G28" s="49"/>
      <c r="H28" s="38"/>
      <c r="I28" s="38"/>
      <c r="J28" s="29"/>
      <c r="K28" s="76"/>
      <c r="L28" s="91"/>
      <c r="M28" s="42"/>
    </row>
    <row r="29" spans="2:18" ht="16.5" x14ac:dyDescent="0.3">
      <c r="B29" s="29"/>
      <c r="C29" s="29"/>
      <c r="D29" s="29"/>
      <c r="E29" s="76"/>
      <c r="F29" s="77"/>
      <c r="G29" s="49"/>
      <c r="H29" s="38"/>
      <c r="I29" s="38"/>
      <c r="J29" s="29"/>
      <c r="K29" s="76"/>
      <c r="L29" s="91"/>
      <c r="M29" s="42"/>
    </row>
    <row r="30" spans="2:18" ht="16.5" x14ac:dyDescent="0.3">
      <c r="B30" s="29"/>
      <c r="C30" s="29"/>
      <c r="D30" s="29"/>
      <c r="E30" s="76"/>
      <c r="F30" s="77"/>
      <c r="G30" s="50"/>
      <c r="H30" s="38"/>
      <c r="I30" s="38"/>
      <c r="J30" s="29"/>
      <c r="K30" s="76"/>
      <c r="L30" s="91"/>
      <c r="M30" s="42"/>
    </row>
    <row r="31" spans="2:18" ht="16.5" x14ac:dyDescent="0.3">
      <c r="B31" s="29"/>
      <c r="C31" s="29"/>
      <c r="D31" s="29"/>
      <c r="E31" s="78"/>
      <c r="F31" s="79"/>
      <c r="G31" s="40"/>
      <c r="H31" s="41"/>
      <c r="I31" s="41"/>
      <c r="J31" s="29"/>
      <c r="K31" s="76"/>
      <c r="L31" s="91"/>
      <c r="M31" s="42"/>
    </row>
    <row r="32" spans="2:18" ht="16.5" x14ac:dyDescent="0.3">
      <c r="B32" s="29"/>
      <c r="C32" s="29"/>
      <c r="D32" s="37"/>
      <c r="E32" s="34"/>
      <c r="F32" s="34"/>
      <c r="G32" s="34"/>
      <c r="H32" s="36"/>
      <c r="I32" s="36"/>
      <c r="J32" s="37"/>
      <c r="K32" s="32"/>
      <c r="L32" s="32"/>
      <c r="M32" s="32"/>
    </row>
    <row r="33" spans="2:18" ht="16.5" x14ac:dyDescent="0.3">
      <c r="B33" s="29"/>
      <c r="C33" s="29"/>
      <c r="D33" s="37"/>
      <c r="E33" s="105" t="s">
        <v>140</v>
      </c>
      <c r="F33" s="106"/>
      <c r="G33" s="106"/>
      <c r="H33" s="106"/>
      <c r="I33" s="106"/>
      <c r="J33" s="37"/>
      <c r="K33" s="107" t="s">
        <v>141</v>
      </c>
      <c r="L33" s="108"/>
      <c r="M33" s="109"/>
    </row>
    <row r="34" spans="2:18" ht="16.5" x14ac:dyDescent="0.3">
      <c r="B34" s="37"/>
      <c r="C34" s="37"/>
      <c r="D34" s="37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7"/>
      <c r="K34" s="22" t="s">
        <v>22</v>
      </c>
      <c r="L34" s="21" t="s">
        <v>28</v>
      </c>
      <c r="M34" s="22" t="s">
        <v>29</v>
      </c>
    </row>
    <row r="35" spans="2:18" ht="16.5" customHeight="1" x14ac:dyDescent="0.25">
      <c r="B35" s="37"/>
      <c r="C35" s="37"/>
      <c r="D35" s="37"/>
      <c r="E35" s="76">
        <v>11151</v>
      </c>
      <c r="F35" s="77" t="s">
        <v>217</v>
      </c>
      <c r="G35" s="50" t="s">
        <v>7</v>
      </c>
      <c r="H35" s="38">
        <v>87.5</v>
      </c>
      <c r="I35" s="38" t="s">
        <v>79</v>
      </c>
      <c r="J35" s="37"/>
      <c r="K35" s="76"/>
      <c r="L35" s="76"/>
      <c r="M35" s="91"/>
    </row>
    <row r="36" spans="2:18" ht="16.5" customHeight="1" x14ac:dyDescent="0.25">
      <c r="B36" s="37"/>
      <c r="C36" s="37"/>
      <c r="D36" s="37"/>
      <c r="E36" s="83"/>
      <c r="F36" s="77"/>
      <c r="G36" s="50"/>
      <c r="H36" s="38"/>
      <c r="I36" s="38"/>
      <c r="J36" s="37"/>
      <c r="K36" s="76"/>
      <c r="L36" s="76"/>
      <c r="M36" s="91"/>
    </row>
    <row r="37" spans="2:18" ht="16.5" customHeight="1" x14ac:dyDescent="0.25">
      <c r="B37" s="37"/>
      <c r="C37" s="37"/>
      <c r="D37" s="37"/>
      <c r="E37" s="76"/>
      <c r="F37" s="77"/>
      <c r="G37" s="50"/>
      <c r="H37" s="38"/>
      <c r="I37" s="38"/>
      <c r="J37" s="37"/>
      <c r="K37" s="76"/>
      <c r="L37" s="76"/>
      <c r="M37" s="91"/>
    </row>
    <row r="38" spans="2:18" ht="16.5" customHeight="1" x14ac:dyDescent="0.25">
      <c r="B38" s="37"/>
      <c r="C38" s="37"/>
      <c r="D38" s="37"/>
      <c r="E38" s="76"/>
      <c r="F38" s="77"/>
      <c r="G38" s="50"/>
      <c r="H38" s="38"/>
      <c r="I38" s="38"/>
      <c r="J38" s="37"/>
      <c r="K38" s="76"/>
      <c r="L38" s="76"/>
      <c r="M38" s="91"/>
    </row>
    <row r="39" spans="2:18" ht="16.5" customHeight="1" x14ac:dyDescent="0.25">
      <c r="B39" s="37"/>
      <c r="C39" s="37"/>
      <c r="D39" s="37"/>
      <c r="E39" s="76"/>
      <c r="F39" s="50"/>
      <c r="G39" s="50"/>
      <c r="H39" s="38"/>
      <c r="I39" s="38"/>
      <c r="J39" s="37"/>
      <c r="K39" s="76"/>
      <c r="L39" s="76"/>
      <c r="M39" s="91"/>
    </row>
    <row r="40" spans="2:18" ht="16.5" customHeight="1" x14ac:dyDescent="0.25">
      <c r="B40" s="37"/>
      <c r="C40" s="37"/>
      <c r="D40" s="37"/>
      <c r="E40" s="78"/>
      <c r="F40" s="79"/>
      <c r="G40" s="40"/>
      <c r="H40" s="41"/>
      <c r="I40" s="38"/>
      <c r="J40" s="37"/>
      <c r="K40" s="78"/>
      <c r="L40" s="78"/>
      <c r="M40" s="92"/>
      <c r="Q40" s="1" t="s">
        <v>33</v>
      </c>
      <c r="R40" s="1">
        <f>SUM(R6:R21)</f>
        <v>8</v>
      </c>
    </row>
    <row r="41" spans="2:18" ht="16.5" customHeight="1" x14ac:dyDescent="0.25">
      <c r="B41" s="37"/>
      <c r="C41" s="37"/>
      <c r="D41" s="37"/>
      <c r="E41" s="84"/>
      <c r="F41" s="50"/>
      <c r="G41" s="50"/>
      <c r="H41" s="38"/>
      <c r="I41" s="38"/>
      <c r="J41" s="37"/>
      <c r="K41" s="76"/>
      <c r="L41" s="76"/>
      <c r="M41" s="92"/>
    </row>
    <row r="42" spans="2:18" ht="13.5" x14ac:dyDescent="0.25">
      <c r="B42" s="37"/>
      <c r="C42" s="37"/>
      <c r="D42" s="37"/>
      <c r="E42" s="34"/>
      <c r="F42" s="34"/>
      <c r="G42" s="34"/>
      <c r="H42" s="36"/>
      <c r="I42" s="36"/>
      <c r="J42" s="37"/>
      <c r="K42" s="32"/>
      <c r="L42" s="32"/>
      <c r="M42" s="32"/>
    </row>
    <row r="43" spans="2:18" ht="13.5" x14ac:dyDescent="0.25">
      <c r="B43" s="37"/>
      <c r="C43" s="37"/>
      <c r="D43" s="37"/>
      <c r="E43" s="34"/>
      <c r="F43" s="34"/>
      <c r="G43" s="34"/>
      <c r="H43" s="36"/>
      <c r="I43" s="36"/>
      <c r="J43" s="37"/>
      <c r="K43" s="32"/>
      <c r="L43" s="32"/>
      <c r="M43" s="32"/>
    </row>
    <row r="44" spans="2:18" ht="13.5" x14ac:dyDescent="0.25">
      <c r="B44" s="37"/>
      <c r="C44" s="37"/>
      <c r="D44" s="37"/>
      <c r="E44" s="34"/>
      <c r="F44" s="34"/>
      <c r="G44" s="34"/>
      <c r="H44" s="36"/>
      <c r="I44" s="36"/>
      <c r="J44" s="37"/>
      <c r="K44" s="32"/>
      <c r="L44" s="32"/>
      <c r="M44" s="32"/>
    </row>
    <row r="45" spans="2:18" ht="13.5" x14ac:dyDescent="0.25">
      <c r="B45" s="37"/>
      <c r="C45" s="37"/>
      <c r="D45" s="37"/>
      <c r="J45" s="37"/>
      <c r="K45" s="32"/>
      <c r="L45" s="32"/>
      <c r="M45" s="32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7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5"/>
  <sheetViews>
    <sheetView showGridLines="0" view="pageBreakPreview" topLeftCell="A2" zoomScale="95" zoomScaleNormal="90" zoomScaleSheetLayoutView="95" workbookViewId="0">
      <selection activeCell="E14" sqref="E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7109375" style="11" customWidth="1"/>
    <col min="6" max="6" width="37" style="11" bestFit="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" style="3" bestFit="1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8.5" x14ac:dyDescent="0.45">
      <c r="B1" s="103">
        <f>'08'!B1+1</f>
        <v>45878</v>
      </c>
      <c r="C1" s="103"/>
      <c r="L1" s="104" t="s">
        <v>144</v>
      </c>
      <c r="M1" s="104"/>
    </row>
    <row r="2" spans="2:22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6.5" x14ac:dyDescent="0.3">
      <c r="B4" s="24" t="s">
        <v>0</v>
      </c>
      <c r="C4" s="25">
        <v>0</v>
      </c>
      <c r="D4" s="57"/>
      <c r="E4" s="113" t="s">
        <v>137</v>
      </c>
      <c r="F4" s="113"/>
      <c r="G4" s="113"/>
      <c r="H4" s="113"/>
      <c r="I4" s="113"/>
      <c r="J4" s="29"/>
      <c r="K4" s="107" t="s">
        <v>138</v>
      </c>
      <c r="L4" s="108"/>
      <c r="M4" s="109"/>
    </row>
    <row r="5" spans="2:22" ht="16.5" x14ac:dyDescent="0.3">
      <c r="B5" s="27" t="s">
        <v>1</v>
      </c>
      <c r="C5" s="28">
        <f>SUMIF(I6:I34,"&gt;0",H6:H34)</f>
        <v>5258.99</v>
      </c>
      <c r="D5" s="29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29"/>
      <c r="K5" s="21" t="s">
        <v>18</v>
      </c>
      <c r="L5" s="22" t="s">
        <v>19</v>
      </c>
      <c r="M5" s="23" t="s">
        <v>20</v>
      </c>
    </row>
    <row r="6" spans="2:22" ht="16.5" x14ac:dyDescent="0.3">
      <c r="B6" s="27" t="s">
        <v>2</v>
      </c>
      <c r="C6" s="28">
        <f>C16</f>
        <v>6655.83</v>
      </c>
      <c r="D6" s="29"/>
      <c r="E6" s="76">
        <v>11550</v>
      </c>
      <c r="F6" s="77" t="s">
        <v>224</v>
      </c>
      <c r="G6" s="50" t="s">
        <v>8</v>
      </c>
      <c r="H6" s="38">
        <v>180</v>
      </c>
      <c r="I6" s="38">
        <v>180</v>
      </c>
      <c r="J6" s="29"/>
      <c r="K6" s="77"/>
      <c r="L6" s="91"/>
      <c r="M6" s="42"/>
      <c r="R6" s="1">
        <f>IF(vend9[[#This Row],[Nº Venda]]&gt;1,1,0)</f>
        <v>1</v>
      </c>
    </row>
    <row r="7" spans="2:22" ht="16.5" x14ac:dyDescent="0.3">
      <c r="B7" s="27" t="s">
        <v>3</v>
      </c>
      <c r="C7" s="28">
        <f>SUM(M6:M11)</f>
        <v>0</v>
      </c>
      <c r="D7" s="29"/>
      <c r="E7" s="76">
        <v>11551</v>
      </c>
      <c r="F7" s="77" t="s">
        <v>218</v>
      </c>
      <c r="G7" s="49" t="s">
        <v>36</v>
      </c>
      <c r="H7" s="38"/>
      <c r="I7" s="38"/>
      <c r="J7" s="29"/>
      <c r="K7" s="77"/>
      <c r="L7" s="91"/>
      <c r="M7" s="42"/>
      <c r="R7" s="1">
        <f>IF(vend9[[#This Row],[Nº Venda]]&gt;1,1,0)</f>
        <v>1</v>
      </c>
    </row>
    <row r="8" spans="2:22" ht="16.5" x14ac:dyDescent="0.3">
      <c r="B8" s="30" t="s">
        <v>21</v>
      </c>
      <c r="C8" s="31">
        <f>SUM(C6:C7)</f>
        <v>6655.83</v>
      </c>
      <c r="D8" s="29"/>
      <c r="E8" s="76">
        <v>11552</v>
      </c>
      <c r="F8" s="77" t="s">
        <v>219</v>
      </c>
      <c r="G8" s="49" t="s">
        <v>8</v>
      </c>
      <c r="H8" s="38">
        <v>450</v>
      </c>
      <c r="I8" s="38">
        <v>400</v>
      </c>
      <c r="J8" s="29"/>
      <c r="K8" s="77"/>
      <c r="L8" s="91"/>
      <c r="M8" s="42"/>
      <c r="R8" s="1">
        <f>IF(vend9[[#This Row],[Nº Venda]]&gt;1,1,0)</f>
        <v>1</v>
      </c>
    </row>
    <row r="9" spans="2:22" ht="16.5" x14ac:dyDescent="0.3">
      <c r="B9" s="26"/>
      <c r="C9" s="26"/>
      <c r="D9" s="29"/>
      <c r="E9" s="76">
        <v>11553</v>
      </c>
      <c r="F9" s="77" t="s">
        <v>220</v>
      </c>
      <c r="G9" s="50" t="s">
        <v>8</v>
      </c>
      <c r="H9" s="38">
        <v>199</v>
      </c>
      <c r="I9" s="38">
        <v>100</v>
      </c>
      <c r="J9" s="29"/>
      <c r="K9" s="77"/>
      <c r="L9" s="91"/>
      <c r="M9" s="42"/>
      <c r="R9" s="1">
        <f>IF(vend9[[#This Row],[Nº Venda]]&gt;1,1,0)</f>
        <v>1</v>
      </c>
    </row>
    <row r="10" spans="2:22" ht="16.5" x14ac:dyDescent="0.3">
      <c r="B10" s="114" t="s">
        <v>5</v>
      </c>
      <c r="C10" s="115"/>
      <c r="D10" s="29"/>
      <c r="E10" s="76">
        <v>11553</v>
      </c>
      <c r="F10" s="37" t="s">
        <v>220</v>
      </c>
      <c r="G10" s="50" t="s">
        <v>7</v>
      </c>
      <c r="H10" s="38"/>
      <c r="I10" s="38">
        <v>99</v>
      </c>
      <c r="J10" s="29"/>
      <c r="K10" s="77"/>
      <c r="L10" s="91"/>
      <c r="M10" s="42"/>
      <c r="R10" s="1">
        <f>IF(vend9[[#This Row],[Nº Venda]]&gt;1,1,0)</f>
        <v>1</v>
      </c>
    </row>
    <row r="11" spans="2:22" ht="16.5" x14ac:dyDescent="0.3">
      <c r="B11" s="27" t="s">
        <v>6</v>
      </c>
      <c r="C11" s="70">
        <f>(SUMIF($G$2:$G$34,B11,$I$2:$I$34))+(SUMIF($G$38:$G$41,B11,$H$38:$H$41))</f>
        <v>924.84</v>
      </c>
      <c r="D11" s="29"/>
      <c r="E11" s="76">
        <v>11554</v>
      </c>
      <c r="F11" s="93" t="s">
        <v>231</v>
      </c>
      <c r="G11" s="50" t="s">
        <v>46</v>
      </c>
      <c r="H11" s="38">
        <v>800</v>
      </c>
      <c r="I11" s="38"/>
      <c r="J11" s="29"/>
      <c r="K11" s="37"/>
      <c r="L11" s="91"/>
      <c r="M11" s="42"/>
      <c r="O11" s="1">
        <f>IF(C16=0,0,1)</f>
        <v>1</v>
      </c>
      <c r="R11" s="1">
        <f>IF(vend9[[#This Row],[Nº Venda]]&gt;1,1,0)</f>
        <v>1</v>
      </c>
    </row>
    <row r="12" spans="2:22" ht="16.5" x14ac:dyDescent="0.3">
      <c r="B12" s="27" t="s">
        <v>7</v>
      </c>
      <c r="C12" s="70">
        <f>(SUMIF($G$2:$G$34,B12,$I$2:$I$34))+(SUMIF($G$38:$G$41,B12,$H$38:$H$41))</f>
        <v>234</v>
      </c>
      <c r="D12" s="29"/>
      <c r="E12" s="76">
        <v>11555</v>
      </c>
      <c r="F12" s="77" t="s">
        <v>221</v>
      </c>
      <c r="G12" s="50" t="s">
        <v>10</v>
      </c>
      <c r="H12" s="38">
        <v>1590</v>
      </c>
      <c r="I12" s="38">
        <v>250</v>
      </c>
      <c r="J12" s="29"/>
      <c r="K12" s="32"/>
      <c r="L12" s="32"/>
      <c r="M12" s="32"/>
      <c r="R12" s="1">
        <f>IF(vend9[[#This Row],[Nº Venda]]&gt;1,1,0)</f>
        <v>1</v>
      </c>
      <c r="V12" s="1">
        <v>0</v>
      </c>
    </row>
    <row r="13" spans="2:22" ht="16.5" x14ac:dyDescent="0.3">
      <c r="B13" s="27" t="s">
        <v>8</v>
      </c>
      <c r="C13" s="70">
        <f>(SUMIF($G$2:$G$34,B13,$I$2:$I$34))+(SUMIF($G$38:$G$41,B13,$H$38:$H$41))</f>
        <v>5127</v>
      </c>
      <c r="D13" s="29"/>
      <c r="E13" s="76">
        <v>11556</v>
      </c>
      <c r="F13" s="77" t="s">
        <v>231</v>
      </c>
      <c r="G13" s="50" t="s">
        <v>8</v>
      </c>
      <c r="H13" s="38">
        <v>800</v>
      </c>
      <c r="I13" s="38">
        <v>100</v>
      </c>
      <c r="J13" s="29"/>
      <c r="K13" s="107" t="s">
        <v>142</v>
      </c>
      <c r="L13" s="108"/>
      <c r="M13" s="109"/>
      <c r="R13" s="1">
        <f>IF(vend9[[#This Row],[Nº Venda]]&gt;1,1,0)</f>
        <v>1</v>
      </c>
    </row>
    <row r="14" spans="2:22" ht="16.5" x14ac:dyDescent="0.3">
      <c r="B14" s="27" t="s">
        <v>9</v>
      </c>
      <c r="C14" s="70">
        <f>(SUMIF($G$2:$G$34,B14,$I$2:$I$34))+(SUMIF($G$38:$G$41,B14,$H$38:$H$41))</f>
        <v>0</v>
      </c>
      <c r="D14" s="29"/>
      <c r="E14" s="76">
        <v>11557</v>
      </c>
      <c r="F14" s="77" t="s">
        <v>231</v>
      </c>
      <c r="G14" s="50" t="s">
        <v>7</v>
      </c>
      <c r="H14" s="38">
        <v>1200</v>
      </c>
      <c r="I14" s="38">
        <v>100</v>
      </c>
      <c r="J14" s="29"/>
      <c r="K14" s="21" t="s">
        <v>22</v>
      </c>
      <c r="L14" s="22" t="s">
        <v>23</v>
      </c>
      <c r="M14" s="23" t="s">
        <v>24</v>
      </c>
      <c r="R14" s="1">
        <f>IF(vend9[[#This Row],[Nº Venda]]&gt;1,1,0)</f>
        <v>1</v>
      </c>
    </row>
    <row r="15" spans="2:22" ht="16.5" x14ac:dyDescent="0.3">
      <c r="B15" s="27" t="s">
        <v>10</v>
      </c>
      <c r="C15" s="70">
        <f>(SUMIF($G$2:$G$34,B15,$I$2:$I$34))+(SUMIF($G$38:$G$41,B15,$H$38:$H$41))</f>
        <v>369.99</v>
      </c>
      <c r="D15" s="29"/>
      <c r="E15" s="76">
        <v>11558</v>
      </c>
      <c r="F15" s="77" t="s">
        <v>222</v>
      </c>
      <c r="G15" s="50" t="s">
        <v>6</v>
      </c>
      <c r="H15" s="38">
        <v>39.99</v>
      </c>
      <c r="I15" s="38">
        <v>39.99</v>
      </c>
      <c r="J15" s="29"/>
      <c r="K15" s="76">
        <v>11235</v>
      </c>
      <c r="L15" s="91" t="s">
        <v>131</v>
      </c>
      <c r="M15" s="42" t="s">
        <v>145</v>
      </c>
      <c r="R15" s="1">
        <f>IF(vend9[[#This Row],[Nº Venda]]&gt;1,1,0)</f>
        <v>1</v>
      </c>
    </row>
    <row r="16" spans="2:22" ht="16.5" x14ac:dyDescent="0.3">
      <c r="B16" s="30" t="s">
        <v>11</v>
      </c>
      <c r="C16" s="71">
        <f>SUM(C11:C15)</f>
        <v>6655.83</v>
      </c>
      <c r="D16" s="29"/>
      <c r="E16" s="76">
        <v>11559</v>
      </c>
      <c r="F16" s="77" t="s">
        <v>223</v>
      </c>
      <c r="G16" s="50" t="s">
        <v>8</v>
      </c>
      <c r="H16" s="38">
        <v>280</v>
      </c>
      <c r="I16" s="38">
        <v>280</v>
      </c>
      <c r="J16" s="29"/>
      <c r="K16" s="76">
        <v>11236</v>
      </c>
      <c r="L16" s="91" t="s">
        <v>131</v>
      </c>
      <c r="M16" s="42" t="s">
        <v>145</v>
      </c>
      <c r="R16" s="1">
        <f>IF(vend9[[#This Row],[Nº Venda]]&gt;1,1,0)</f>
        <v>1</v>
      </c>
    </row>
    <row r="17" spans="2:18" ht="16.5" x14ac:dyDescent="0.3">
      <c r="B17" s="26"/>
      <c r="C17" s="26"/>
      <c r="D17" s="29"/>
      <c r="E17" s="76">
        <v>11560</v>
      </c>
      <c r="F17" s="77" t="s">
        <v>223</v>
      </c>
      <c r="G17" s="50" t="s">
        <v>8</v>
      </c>
      <c r="H17" s="38">
        <v>200</v>
      </c>
      <c r="I17" s="38">
        <v>200</v>
      </c>
      <c r="J17" s="29"/>
      <c r="K17" s="76">
        <v>11238</v>
      </c>
      <c r="L17" s="91" t="s">
        <v>131</v>
      </c>
      <c r="M17" s="42" t="s">
        <v>145</v>
      </c>
      <c r="R17" s="1">
        <f>IF(vend9[[#This Row],[Nº Venda]]&gt;1,1,0)</f>
        <v>1</v>
      </c>
    </row>
    <row r="18" spans="2:18" ht="16.5" x14ac:dyDescent="0.3">
      <c r="B18" s="114" t="s">
        <v>12</v>
      </c>
      <c r="C18" s="115"/>
      <c r="D18" s="29"/>
      <c r="E18" s="76">
        <v>11561</v>
      </c>
      <c r="F18" s="77" t="s">
        <v>223</v>
      </c>
      <c r="G18" s="50" t="s">
        <v>8</v>
      </c>
      <c r="H18" s="38">
        <v>215</v>
      </c>
      <c r="I18" s="38">
        <v>215</v>
      </c>
      <c r="J18" s="29"/>
      <c r="K18" s="76">
        <v>11387</v>
      </c>
      <c r="L18" s="91" t="s">
        <v>129</v>
      </c>
      <c r="M18" s="42" t="s">
        <v>145</v>
      </c>
      <c r="R18" s="1">
        <f>IF(vend9[[#This Row],[Nº Venda]]&gt;1,1,0)</f>
        <v>1</v>
      </c>
    </row>
    <row r="19" spans="2:18" ht="16.5" x14ac:dyDescent="0.3">
      <c r="B19" s="27">
        <f>COUNT(entr_carn9[OS])</f>
        <v>0</v>
      </c>
      <c r="C19" s="70">
        <f>SUM(entr_carn9[Valor Total])</f>
        <v>0</v>
      </c>
      <c r="D19" s="29"/>
      <c r="E19" s="76"/>
      <c r="F19" s="77"/>
      <c r="G19" s="50"/>
      <c r="H19" s="38"/>
      <c r="I19" s="38"/>
      <c r="J19" s="29"/>
      <c r="K19" s="76">
        <v>11415</v>
      </c>
      <c r="L19" s="91" t="s">
        <v>129</v>
      </c>
      <c r="M19" s="42" t="s">
        <v>145</v>
      </c>
      <c r="R19" s="1">
        <f>IF(vend9[[#This Row],[Nº Venda]]&gt;1,1,0)</f>
        <v>0</v>
      </c>
    </row>
    <row r="20" spans="2:18" ht="16.5" x14ac:dyDescent="0.3">
      <c r="B20" s="30" t="s">
        <v>11</v>
      </c>
      <c r="C20" s="71">
        <f>SUM(C19:C19)</f>
        <v>0</v>
      </c>
      <c r="D20" s="29"/>
      <c r="E20" s="76"/>
      <c r="F20" s="77"/>
      <c r="G20" s="50"/>
      <c r="H20" s="38"/>
      <c r="I20" s="38"/>
      <c r="J20" s="29"/>
      <c r="K20" s="76">
        <v>11416</v>
      </c>
      <c r="L20" s="91" t="s">
        <v>129</v>
      </c>
      <c r="M20" s="42" t="s">
        <v>145</v>
      </c>
      <c r="R20" s="1">
        <f>IF(vend9[[#This Row],[Nº Venda]]&gt;1,1,0)</f>
        <v>0</v>
      </c>
    </row>
    <row r="21" spans="2:18" ht="16.5" x14ac:dyDescent="0.3">
      <c r="B21" s="26"/>
      <c r="C21" s="26"/>
      <c r="D21" s="29"/>
      <c r="E21" s="76"/>
      <c r="F21" s="77"/>
      <c r="G21" s="50"/>
      <c r="H21" s="38"/>
      <c r="I21" s="38"/>
      <c r="J21" s="29"/>
      <c r="K21" s="76">
        <v>11426</v>
      </c>
      <c r="L21" s="91" t="s">
        <v>129</v>
      </c>
      <c r="M21" s="42" t="s">
        <v>145</v>
      </c>
    </row>
    <row r="22" spans="2:18" ht="16.5" x14ac:dyDescent="0.3">
      <c r="B22" s="30" t="s">
        <v>25</v>
      </c>
      <c r="C22" s="33">
        <f>C5</f>
        <v>5258.99</v>
      </c>
      <c r="D22" s="29"/>
      <c r="E22" s="78"/>
      <c r="F22" s="77"/>
      <c r="G22" s="50"/>
      <c r="H22" s="38"/>
      <c r="I22" s="38"/>
      <c r="J22" s="29"/>
      <c r="K22" s="76">
        <v>11444</v>
      </c>
      <c r="L22" s="91" t="s">
        <v>131</v>
      </c>
      <c r="M22" s="42" t="s">
        <v>145</v>
      </c>
    </row>
    <row r="23" spans="2:18" ht="16.5" x14ac:dyDescent="0.3">
      <c r="B23" s="29"/>
      <c r="C23" s="29"/>
      <c r="D23" s="29"/>
      <c r="E23" s="34"/>
      <c r="F23" s="34"/>
      <c r="G23" s="34"/>
      <c r="H23" s="35"/>
      <c r="I23" s="36"/>
      <c r="J23" s="29"/>
      <c r="K23" s="76">
        <v>11471</v>
      </c>
      <c r="L23" s="91" t="s">
        <v>129</v>
      </c>
      <c r="M23" s="42" t="s">
        <v>145</v>
      </c>
    </row>
    <row r="24" spans="2:18" ht="16.5" x14ac:dyDescent="0.3">
      <c r="B24" s="29"/>
      <c r="C24" s="29"/>
      <c r="D24" s="29"/>
      <c r="E24" s="105" t="s">
        <v>139</v>
      </c>
      <c r="F24" s="106"/>
      <c r="G24" s="106"/>
      <c r="H24" s="106"/>
      <c r="I24" s="106"/>
      <c r="J24" s="29"/>
      <c r="K24" s="76">
        <v>11501</v>
      </c>
      <c r="L24" s="91" t="s">
        <v>131</v>
      </c>
      <c r="M24" s="42" t="s">
        <v>145</v>
      </c>
    </row>
    <row r="25" spans="2:18" ht="16.5" x14ac:dyDescent="0.3">
      <c r="B25" s="29"/>
      <c r="C25" s="29"/>
      <c r="D25" s="29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29"/>
      <c r="K25" s="76">
        <v>11508</v>
      </c>
      <c r="L25" s="91" t="s">
        <v>131</v>
      </c>
      <c r="M25" s="42" t="s">
        <v>145</v>
      </c>
    </row>
    <row r="26" spans="2:18" ht="16.5" x14ac:dyDescent="0.3">
      <c r="B26" s="29"/>
      <c r="C26" s="29"/>
      <c r="D26" s="29"/>
      <c r="E26" s="76">
        <v>11508</v>
      </c>
      <c r="F26" s="77" t="s">
        <v>161</v>
      </c>
      <c r="G26" s="49" t="s">
        <v>7</v>
      </c>
      <c r="H26" s="38">
        <v>35</v>
      </c>
      <c r="I26" s="38">
        <v>35</v>
      </c>
      <c r="J26" s="29"/>
      <c r="K26" s="76">
        <v>11509</v>
      </c>
      <c r="L26" s="91" t="s">
        <v>131</v>
      </c>
      <c r="M26" s="42" t="s">
        <v>145</v>
      </c>
    </row>
    <row r="27" spans="2:18" ht="16.5" x14ac:dyDescent="0.3">
      <c r="B27" s="29"/>
      <c r="C27" s="29"/>
      <c r="D27" s="29"/>
      <c r="E27" s="76">
        <v>11509</v>
      </c>
      <c r="F27" s="77" t="s">
        <v>162</v>
      </c>
      <c r="G27" s="50" t="s">
        <v>8</v>
      </c>
      <c r="H27" s="38">
        <v>70</v>
      </c>
      <c r="I27" s="38">
        <v>70</v>
      </c>
      <c r="J27" s="29"/>
      <c r="K27" s="76">
        <v>11538</v>
      </c>
      <c r="L27" s="91" t="s">
        <v>129</v>
      </c>
      <c r="M27" s="42" t="s">
        <v>145</v>
      </c>
    </row>
    <row r="28" spans="2:18" ht="16.5" x14ac:dyDescent="0.3">
      <c r="B28" s="29"/>
      <c r="C28" s="29"/>
      <c r="D28" s="29"/>
      <c r="E28" s="76">
        <v>11235</v>
      </c>
      <c r="F28" s="77" t="s">
        <v>225</v>
      </c>
      <c r="G28" s="50" t="s">
        <v>8</v>
      </c>
      <c r="H28" s="38"/>
      <c r="I28" s="38">
        <v>1590</v>
      </c>
      <c r="J28" s="29"/>
      <c r="K28" s="76">
        <v>11550</v>
      </c>
      <c r="L28" s="91" t="s">
        <v>129</v>
      </c>
      <c r="M28" s="42" t="s">
        <v>145</v>
      </c>
    </row>
    <row r="29" spans="2:18" ht="16.5" x14ac:dyDescent="0.3">
      <c r="B29" s="29"/>
      <c r="C29" s="29"/>
      <c r="D29" s="29"/>
      <c r="E29" s="76">
        <v>11238</v>
      </c>
      <c r="F29" s="77" t="s">
        <v>225</v>
      </c>
      <c r="G29" s="50" t="s">
        <v>8</v>
      </c>
      <c r="H29" s="38"/>
      <c r="I29" s="38">
        <v>300</v>
      </c>
      <c r="J29" s="29"/>
      <c r="K29" s="76">
        <v>11553</v>
      </c>
      <c r="L29" s="91" t="s">
        <v>131</v>
      </c>
      <c r="M29" s="42" t="s">
        <v>145</v>
      </c>
    </row>
    <row r="30" spans="2:18" ht="16.5" x14ac:dyDescent="0.3">
      <c r="B30" s="29"/>
      <c r="C30" s="29"/>
      <c r="D30" s="29"/>
      <c r="E30" s="76">
        <v>11530</v>
      </c>
      <c r="F30" s="50" t="s">
        <v>226</v>
      </c>
      <c r="G30" s="50" t="s">
        <v>8</v>
      </c>
      <c r="H30" s="38"/>
      <c r="I30" s="38">
        <v>792</v>
      </c>
      <c r="J30" s="29"/>
      <c r="K30" s="76">
        <v>11558</v>
      </c>
      <c r="L30" s="91" t="s">
        <v>131</v>
      </c>
      <c r="M30" s="42" t="s">
        <v>145</v>
      </c>
    </row>
    <row r="31" spans="2:18" ht="16.5" x14ac:dyDescent="0.3">
      <c r="B31" s="29"/>
      <c r="C31" s="29"/>
      <c r="D31" s="29"/>
      <c r="E31" s="76">
        <v>11387</v>
      </c>
      <c r="F31" s="50" t="s">
        <v>227</v>
      </c>
      <c r="G31" s="50" t="s">
        <v>6</v>
      </c>
      <c r="H31" s="38"/>
      <c r="I31" s="38">
        <v>490</v>
      </c>
      <c r="J31" s="29"/>
      <c r="K31" s="76"/>
      <c r="L31" s="91"/>
      <c r="M31" s="42"/>
    </row>
    <row r="32" spans="2:18" ht="16.5" x14ac:dyDescent="0.3">
      <c r="B32" s="29"/>
      <c r="C32" s="29"/>
      <c r="D32" s="37"/>
      <c r="E32" s="76">
        <v>11543</v>
      </c>
      <c r="F32" s="50" t="s">
        <v>210</v>
      </c>
      <c r="G32" s="50" t="s">
        <v>8</v>
      </c>
      <c r="H32" s="38"/>
      <c r="I32" s="38">
        <v>900</v>
      </c>
      <c r="J32" s="37"/>
      <c r="K32" s="32"/>
      <c r="L32" s="32"/>
      <c r="M32" s="32"/>
    </row>
    <row r="33" spans="2:18" ht="16.5" x14ac:dyDescent="0.3">
      <c r="B33" s="29"/>
      <c r="C33" s="29"/>
      <c r="D33" s="37"/>
      <c r="E33" s="76">
        <v>11501</v>
      </c>
      <c r="F33" s="50" t="s">
        <v>155</v>
      </c>
      <c r="G33" s="50" t="s">
        <v>6</v>
      </c>
      <c r="H33" s="38"/>
      <c r="I33" s="38">
        <v>17</v>
      </c>
      <c r="J33" s="37"/>
      <c r="K33" s="107" t="s">
        <v>141</v>
      </c>
      <c r="L33" s="108"/>
      <c r="M33" s="109"/>
    </row>
    <row r="34" spans="2:18" ht="16.5" x14ac:dyDescent="0.3">
      <c r="B34" s="37"/>
      <c r="C34" s="37"/>
      <c r="D34" s="37"/>
      <c r="E34" s="76">
        <v>11444</v>
      </c>
      <c r="F34" s="50" t="s">
        <v>228</v>
      </c>
      <c r="G34" s="50" t="s">
        <v>6</v>
      </c>
      <c r="H34" s="38"/>
      <c r="I34" s="38">
        <v>250</v>
      </c>
      <c r="J34" s="37"/>
      <c r="K34" s="22" t="s">
        <v>22</v>
      </c>
      <c r="L34" s="21" t="s">
        <v>28</v>
      </c>
      <c r="M34" s="22" t="s">
        <v>29</v>
      </c>
    </row>
    <row r="35" spans="2:18" ht="16.5" customHeight="1" x14ac:dyDescent="0.25">
      <c r="B35" s="37"/>
      <c r="C35" s="37"/>
      <c r="D35" s="37"/>
      <c r="E35" s="34"/>
      <c r="F35" s="34"/>
      <c r="G35" s="34"/>
      <c r="H35" s="36"/>
      <c r="I35" s="36"/>
      <c r="J35" s="37"/>
      <c r="K35" s="76"/>
      <c r="L35" s="76"/>
      <c r="M35" s="91"/>
    </row>
    <row r="36" spans="2:18" ht="16.5" customHeight="1" x14ac:dyDescent="0.25">
      <c r="B36" s="37"/>
      <c r="C36" s="37"/>
      <c r="D36" s="37"/>
      <c r="E36" s="105" t="s">
        <v>140</v>
      </c>
      <c r="F36" s="106"/>
      <c r="G36" s="106"/>
      <c r="H36" s="106"/>
      <c r="I36" s="106"/>
      <c r="J36" s="37"/>
      <c r="K36" s="76"/>
      <c r="L36" s="76"/>
      <c r="M36" s="91"/>
    </row>
    <row r="37" spans="2:18" ht="16.5" customHeight="1" x14ac:dyDescent="0.3">
      <c r="B37" s="37"/>
      <c r="C37" s="37"/>
      <c r="D37" s="37"/>
      <c r="E37" s="16" t="s">
        <v>22</v>
      </c>
      <c r="F37" s="15" t="s">
        <v>15</v>
      </c>
      <c r="G37" s="16" t="s">
        <v>16</v>
      </c>
      <c r="H37" s="17" t="s">
        <v>26</v>
      </c>
      <c r="I37" s="17" t="s">
        <v>27</v>
      </c>
      <c r="J37" s="37"/>
      <c r="K37" s="76"/>
      <c r="L37" s="76"/>
      <c r="M37" s="91"/>
    </row>
    <row r="38" spans="2:18" ht="16.5" customHeight="1" x14ac:dyDescent="0.25">
      <c r="B38" s="37"/>
      <c r="C38" s="37"/>
      <c r="D38" s="37"/>
      <c r="E38" s="76">
        <v>11004</v>
      </c>
      <c r="F38" s="77" t="s">
        <v>229</v>
      </c>
      <c r="G38" s="50" t="s">
        <v>10</v>
      </c>
      <c r="H38" s="38">
        <v>119.99</v>
      </c>
      <c r="I38" s="38" t="s">
        <v>69</v>
      </c>
      <c r="J38" s="37"/>
      <c r="K38" s="76"/>
      <c r="L38" s="76"/>
      <c r="M38" s="91"/>
    </row>
    <row r="39" spans="2:18" ht="16.5" customHeight="1" x14ac:dyDescent="0.25">
      <c r="B39" s="37"/>
      <c r="C39" s="37"/>
      <c r="D39" s="37"/>
      <c r="E39" s="83">
        <v>10468</v>
      </c>
      <c r="F39" s="77" t="s">
        <v>230</v>
      </c>
      <c r="G39" s="50" t="s">
        <v>6</v>
      </c>
      <c r="H39" s="38">
        <v>127.85</v>
      </c>
      <c r="I39" s="38" t="s">
        <v>56</v>
      </c>
      <c r="J39" s="37"/>
      <c r="K39" s="76"/>
      <c r="L39" s="76"/>
      <c r="M39" s="91"/>
    </row>
    <row r="40" spans="2:18" ht="16.5" customHeight="1" x14ac:dyDescent="0.25">
      <c r="B40" s="37"/>
      <c r="C40" s="37"/>
      <c r="D40" s="37"/>
      <c r="E40" s="76"/>
      <c r="F40" s="77"/>
      <c r="G40" s="50"/>
      <c r="H40" s="38"/>
      <c r="I40" s="38"/>
      <c r="J40" s="37"/>
      <c r="K40" s="78"/>
      <c r="L40" s="78"/>
      <c r="M40" s="92"/>
      <c r="Q40" s="1" t="s">
        <v>33</v>
      </c>
      <c r="R40" s="1">
        <f>SUM(R6:R21)</f>
        <v>13</v>
      </c>
    </row>
    <row r="41" spans="2:18" ht="16.5" customHeight="1" x14ac:dyDescent="0.25">
      <c r="B41" s="37"/>
      <c r="C41" s="37"/>
      <c r="D41" s="37"/>
      <c r="E41" s="76"/>
      <c r="F41" s="77"/>
      <c r="G41" s="50"/>
      <c r="H41" s="38"/>
      <c r="I41" s="38"/>
      <c r="J41" s="37"/>
      <c r="K41" s="76"/>
      <c r="L41" s="76"/>
      <c r="M41" s="92"/>
    </row>
    <row r="42" spans="2:18" ht="13.5" x14ac:dyDescent="0.25">
      <c r="B42" s="37"/>
      <c r="C42" s="37"/>
      <c r="D42" s="37"/>
      <c r="E42" s="34"/>
      <c r="F42" s="34"/>
      <c r="G42" s="34"/>
      <c r="H42" s="36"/>
      <c r="I42" s="36"/>
      <c r="J42" s="37"/>
      <c r="K42" s="32"/>
      <c r="L42" s="32"/>
      <c r="M42" s="32"/>
    </row>
    <row r="43" spans="2:18" ht="13.5" x14ac:dyDescent="0.25">
      <c r="E43" s="34"/>
      <c r="F43" s="34"/>
      <c r="G43" s="34"/>
      <c r="H43" s="36"/>
      <c r="I43" s="36"/>
    </row>
    <row r="44" spans="2:18" ht="13.5" x14ac:dyDescent="0.25">
      <c r="E44" s="34"/>
      <c r="F44" s="34"/>
      <c r="G44" s="34"/>
      <c r="H44" s="36"/>
      <c r="I44" s="36"/>
    </row>
    <row r="45" spans="2:18" ht="13.5" x14ac:dyDescent="0.25">
      <c r="E45" s="34"/>
      <c r="F45" s="34"/>
      <c r="G45" s="34"/>
      <c r="H45" s="36"/>
      <c r="I45" s="36"/>
    </row>
  </sheetData>
  <mergeCells count="11">
    <mergeCell ref="B1:C1"/>
    <mergeCell ref="L1:M1"/>
    <mergeCell ref="E24:I24"/>
    <mergeCell ref="E36:I36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G38:G41 G26:G34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I38:I41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E38:E41 K35:K41 K15:K31 E26:E34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5"/>
  <sheetViews>
    <sheetView showGridLines="0" view="pageBreakPreview" zoomScale="60" zoomScaleNormal="90" workbookViewId="0">
      <selection activeCell="L1" sqref="L1:M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34.7109375" style="1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'09'!B1+1</f>
        <v>45879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4" t="s">
        <v>0</v>
      </c>
      <c r="C4" s="25">
        <v>0</v>
      </c>
      <c r="D4" s="57"/>
      <c r="E4" s="113" t="s">
        <v>137</v>
      </c>
      <c r="F4" s="113"/>
      <c r="G4" s="113"/>
      <c r="H4" s="113"/>
      <c r="I4" s="113"/>
      <c r="J4" s="29"/>
      <c r="K4" s="107" t="s">
        <v>138</v>
      </c>
      <c r="L4" s="108"/>
      <c r="M4" s="109"/>
    </row>
    <row r="5" spans="2:18" ht="16.5" x14ac:dyDescent="0.3">
      <c r="B5" s="27" t="s">
        <v>1</v>
      </c>
      <c r="C5" s="28">
        <f>SUMIF(I6:I32,"&gt;0",H6:H32)</f>
        <v>0</v>
      </c>
      <c r="D5" s="29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29"/>
      <c r="K5" s="21" t="s">
        <v>18</v>
      </c>
      <c r="L5" s="22" t="s">
        <v>19</v>
      </c>
      <c r="M5" s="23" t="s">
        <v>20</v>
      </c>
    </row>
    <row r="6" spans="2:18" ht="16.5" x14ac:dyDescent="0.3">
      <c r="B6" s="27" t="s">
        <v>2</v>
      </c>
      <c r="C6" s="28">
        <f>C16</f>
        <v>0</v>
      </c>
      <c r="D6" s="29"/>
      <c r="E6" s="76"/>
      <c r="F6" s="77"/>
      <c r="G6" s="49"/>
      <c r="H6" s="38"/>
      <c r="I6" s="38"/>
      <c r="J6" s="29"/>
      <c r="K6" s="77"/>
      <c r="L6" s="91"/>
      <c r="M6" s="42"/>
      <c r="R6" s="1">
        <f>IF(vend10[[#This Row],[Nº Venda]]&gt;1,1,0)</f>
        <v>0</v>
      </c>
    </row>
    <row r="7" spans="2:18" ht="16.5" x14ac:dyDescent="0.3">
      <c r="B7" s="27" t="s">
        <v>3</v>
      </c>
      <c r="C7" s="28">
        <f>SUM(M6:M11)</f>
        <v>0</v>
      </c>
      <c r="D7" s="29"/>
      <c r="E7" s="76"/>
      <c r="F7" s="77"/>
      <c r="G7" s="49"/>
      <c r="H7" s="38"/>
      <c r="I7" s="38"/>
      <c r="J7" s="29"/>
      <c r="K7" s="77"/>
      <c r="L7" s="91"/>
      <c r="M7" s="42"/>
      <c r="R7" s="1">
        <f>IF(vend10[[#This Row],[Nº Venda]]&gt;1,1,0)</f>
        <v>0</v>
      </c>
    </row>
    <row r="8" spans="2:18" ht="16.5" x14ac:dyDescent="0.3">
      <c r="B8" s="30" t="s">
        <v>21</v>
      </c>
      <c r="C8" s="31">
        <f>SUM(C6:C7)</f>
        <v>0</v>
      </c>
      <c r="D8" s="29"/>
      <c r="E8" s="76"/>
      <c r="F8" s="77"/>
      <c r="G8" s="50"/>
      <c r="H8" s="38"/>
      <c r="I8" s="38"/>
      <c r="J8" s="29"/>
      <c r="K8" s="77"/>
      <c r="L8" s="91"/>
      <c r="M8" s="42"/>
      <c r="R8" s="1">
        <f>IF(vend10[[#This Row],[Nº Venda]]&gt;1,1,0)</f>
        <v>0</v>
      </c>
    </row>
    <row r="9" spans="2:18" ht="16.5" x14ac:dyDescent="0.3">
      <c r="B9" s="26"/>
      <c r="C9" s="26"/>
      <c r="D9" s="29"/>
      <c r="E9" s="76"/>
      <c r="F9" s="77"/>
      <c r="G9" s="50"/>
      <c r="H9" s="38"/>
      <c r="I9" s="38"/>
      <c r="J9" s="29"/>
      <c r="K9" s="77"/>
      <c r="L9" s="91"/>
      <c r="M9" s="42"/>
      <c r="R9" s="1">
        <f>IF(vend10[[#This Row],[Nº Venda]]&gt;1,1,0)</f>
        <v>0</v>
      </c>
    </row>
    <row r="10" spans="2:18" ht="16.5" x14ac:dyDescent="0.3">
      <c r="B10" s="114" t="s">
        <v>5</v>
      </c>
      <c r="C10" s="115"/>
      <c r="D10" s="29"/>
      <c r="E10" s="76"/>
      <c r="F10" s="77"/>
      <c r="G10" s="50"/>
      <c r="H10" s="38"/>
      <c r="I10" s="38"/>
      <c r="J10" s="29"/>
      <c r="K10" s="77"/>
      <c r="L10" s="91"/>
      <c r="M10" s="42"/>
      <c r="R10" s="1">
        <f>IF(vend10[[#This Row],[Nº Venda]]&gt;1,1,0)</f>
        <v>0</v>
      </c>
    </row>
    <row r="11" spans="2:18" ht="16.5" x14ac:dyDescent="0.3">
      <c r="B11" s="27" t="s">
        <v>6</v>
      </c>
      <c r="C11" s="70">
        <f>(SUMIF($G$2:$G$32,B11,$I$2:$I$32))+(SUMIF($G$36:$G$42,B11,$H$36:$H$42))</f>
        <v>0</v>
      </c>
      <c r="D11" s="29"/>
      <c r="E11" s="76"/>
      <c r="F11" s="77"/>
      <c r="G11" s="50"/>
      <c r="H11" s="38"/>
      <c r="I11" s="38"/>
      <c r="J11" s="29"/>
      <c r="K11" s="37"/>
      <c r="L11" s="91"/>
      <c r="M11" s="42"/>
      <c r="O11" s="1">
        <f>IF(C16=0,0,1)</f>
        <v>0</v>
      </c>
      <c r="R11" s="1">
        <f>IF(vend10[[#This Row],[Nº Venda]]&gt;1,1,0)</f>
        <v>0</v>
      </c>
    </row>
    <row r="12" spans="2:18" ht="16.5" x14ac:dyDescent="0.3">
      <c r="B12" s="27" t="s">
        <v>7</v>
      </c>
      <c r="C12" s="70">
        <f>(SUMIF($G$2:$G$32,B12,$I$2:$I$32))+(SUMIF($G$36:$G$42,B12,$H$36:$H$42))</f>
        <v>0</v>
      </c>
      <c r="D12" s="29"/>
      <c r="E12" s="76"/>
      <c r="F12" s="77"/>
      <c r="G12" s="50"/>
      <c r="H12" s="38"/>
      <c r="I12" s="38"/>
      <c r="J12" s="29"/>
      <c r="K12" s="32"/>
      <c r="L12" s="32"/>
      <c r="M12" s="32"/>
      <c r="R12" s="1">
        <f>IF(vend10[[#This Row],[Nº Venda]]&gt;1,1,0)</f>
        <v>0</v>
      </c>
    </row>
    <row r="13" spans="2:18" ht="16.5" x14ac:dyDescent="0.3">
      <c r="B13" s="27" t="s">
        <v>8</v>
      </c>
      <c r="C13" s="70">
        <f>(SUMIF($G$2:$G$32,B13,$I$2:$I$32))+(SUMIF($G$36:$G$42,B13,$H$36:$H$42))</f>
        <v>0</v>
      </c>
      <c r="D13" s="29"/>
      <c r="E13" s="76"/>
      <c r="F13" s="77"/>
      <c r="G13" s="50"/>
      <c r="H13" s="38"/>
      <c r="I13" s="38"/>
      <c r="J13" s="29"/>
      <c r="K13" s="107" t="s">
        <v>142</v>
      </c>
      <c r="L13" s="108"/>
      <c r="M13" s="109"/>
      <c r="R13" s="1">
        <f>IF(vend10[[#This Row],[Nº Venda]]&gt;1,1,0)</f>
        <v>0</v>
      </c>
    </row>
    <row r="14" spans="2:18" ht="16.5" x14ac:dyDescent="0.3">
      <c r="B14" s="27" t="s">
        <v>9</v>
      </c>
      <c r="C14" s="70">
        <f>(SUMIF($G$2:$G$32,B14,$I$2:$I$32))+(SUMIF($G$36:$G$42,B14,$H$36:$H$42))</f>
        <v>0</v>
      </c>
      <c r="D14" s="29"/>
      <c r="E14" s="76"/>
      <c r="F14" s="77"/>
      <c r="G14" s="50"/>
      <c r="H14" s="38"/>
      <c r="I14" s="38"/>
      <c r="J14" s="29"/>
      <c r="K14" s="21" t="s">
        <v>22</v>
      </c>
      <c r="L14" s="22" t="s">
        <v>23</v>
      </c>
      <c r="M14" s="23" t="s">
        <v>24</v>
      </c>
      <c r="R14" s="1">
        <f>IF(vend10[[#This Row],[Nº Venda]]&gt;1,1,0)</f>
        <v>0</v>
      </c>
    </row>
    <row r="15" spans="2:18" ht="16.5" x14ac:dyDescent="0.3">
      <c r="B15" s="27" t="s">
        <v>10</v>
      </c>
      <c r="C15" s="70">
        <f>(SUMIF($G$2:$G$32,B15,$I$2:$I$32))+(SUMIF($G$36:$G$42,B15,$H$36:$H$42))</f>
        <v>0</v>
      </c>
      <c r="D15" s="29"/>
      <c r="E15" s="76"/>
      <c r="F15" s="77"/>
      <c r="G15" s="50"/>
      <c r="H15" s="38"/>
      <c r="I15" s="38"/>
      <c r="J15" s="29"/>
      <c r="K15" s="76"/>
      <c r="L15" s="91"/>
      <c r="M15" s="42"/>
      <c r="R15" s="1">
        <f>IF(vend10[[#This Row],[Nº Venda]]&gt;1,1,0)</f>
        <v>0</v>
      </c>
    </row>
    <row r="16" spans="2:18" ht="16.5" x14ac:dyDescent="0.3">
      <c r="B16" s="30" t="s">
        <v>11</v>
      </c>
      <c r="C16" s="71">
        <f>SUM(C11:C15)</f>
        <v>0</v>
      </c>
      <c r="D16" s="29"/>
      <c r="E16" s="76"/>
      <c r="F16" s="77"/>
      <c r="G16" s="50"/>
      <c r="H16" s="38"/>
      <c r="I16" s="38"/>
      <c r="J16" s="29"/>
      <c r="K16" s="76"/>
      <c r="L16" s="91"/>
      <c r="M16" s="42"/>
      <c r="R16" s="1">
        <f>IF(vend10[[#This Row],[Nº Venda]]&gt;1,1,0)</f>
        <v>0</v>
      </c>
    </row>
    <row r="17" spans="2:18" ht="16.5" x14ac:dyDescent="0.3">
      <c r="B17" s="26"/>
      <c r="C17" s="26"/>
      <c r="D17" s="29"/>
      <c r="E17" s="76"/>
      <c r="F17" s="77"/>
      <c r="G17" s="50"/>
      <c r="H17" s="38"/>
      <c r="I17" s="38"/>
      <c r="J17" s="29"/>
      <c r="K17" s="76"/>
      <c r="L17" s="91"/>
      <c r="M17" s="42"/>
      <c r="R17" s="1">
        <f>IF(vend10[[#This Row],[Nº Venda]]&gt;1,1,0)</f>
        <v>0</v>
      </c>
    </row>
    <row r="18" spans="2:18" ht="16.5" x14ac:dyDescent="0.3">
      <c r="B18" s="114" t="s">
        <v>12</v>
      </c>
      <c r="C18" s="115"/>
      <c r="D18" s="29"/>
      <c r="E18" s="76"/>
      <c r="F18" s="77"/>
      <c r="G18" s="50"/>
      <c r="H18" s="38"/>
      <c r="I18" s="38"/>
      <c r="J18" s="29"/>
      <c r="K18" s="76"/>
      <c r="L18" s="91"/>
      <c r="M18" s="42"/>
      <c r="R18" s="1">
        <f>IF(vend10[[#This Row],[Nº Venda]]&gt;1,1,0)</f>
        <v>0</v>
      </c>
    </row>
    <row r="19" spans="2:18" ht="16.5" x14ac:dyDescent="0.3">
      <c r="B19" s="27">
        <f>COUNT(entr_carn10[OS])</f>
        <v>0</v>
      </c>
      <c r="C19" s="70">
        <f>SUM(entr_carn10[Valor Total])</f>
        <v>0</v>
      </c>
      <c r="D19" s="29"/>
      <c r="E19" s="76"/>
      <c r="F19" s="77"/>
      <c r="G19" s="50"/>
      <c r="H19" s="38"/>
      <c r="I19" s="38"/>
      <c r="J19" s="29"/>
      <c r="K19" s="76"/>
      <c r="L19" s="91"/>
      <c r="M19" s="42"/>
      <c r="R19" s="1">
        <f>IF(vend10[[#This Row],[Nº Venda]]&gt;1,1,0)</f>
        <v>0</v>
      </c>
    </row>
    <row r="20" spans="2:18" ht="16.5" x14ac:dyDescent="0.3">
      <c r="B20" s="30" t="s">
        <v>11</v>
      </c>
      <c r="C20" s="71">
        <f>SUM(C19:C19)</f>
        <v>0</v>
      </c>
      <c r="D20" s="29"/>
      <c r="E20" s="76"/>
      <c r="F20" s="50"/>
      <c r="G20" s="50"/>
      <c r="H20" s="38"/>
      <c r="I20" s="38"/>
      <c r="J20" s="29"/>
      <c r="K20" s="76"/>
      <c r="L20" s="91"/>
      <c r="M20" s="42"/>
      <c r="R20" s="1">
        <f>IF(vend10[[#This Row],[Nº Venda]]&gt;1,1,0)</f>
        <v>0</v>
      </c>
    </row>
    <row r="21" spans="2:18" ht="16.5" x14ac:dyDescent="0.3">
      <c r="B21" s="26"/>
      <c r="C21" s="26"/>
      <c r="D21" s="29"/>
      <c r="E21" s="76"/>
      <c r="F21" s="77"/>
      <c r="G21" s="50"/>
      <c r="H21" s="38"/>
      <c r="I21" s="38"/>
      <c r="J21" s="29"/>
      <c r="K21" s="76"/>
      <c r="L21" s="91"/>
      <c r="M21" s="42"/>
    </row>
    <row r="22" spans="2:18" ht="16.5" x14ac:dyDescent="0.3">
      <c r="B22" s="30" t="s">
        <v>25</v>
      </c>
      <c r="C22" s="33">
        <f>C5</f>
        <v>0</v>
      </c>
      <c r="D22" s="29"/>
      <c r="E22" s="78"/>
      <c r="F22" s="77"/>
      <c r="G22" s="50"/>
      <c r="H22" s="38"/>
      <c r="I22" s="38"/>
      <c r="J22" s="29"/>
      <c r="K22" s="76"/>
      <c r="L22" s="91"/>
      <c r="M22" s="42"/>
    </row>
    <row r="23" spans="2:18" ht="16.5" x14ac:dyDescent="0.3">
      <c r="B23" s="29"/>
      <c r="C23" s="29"/>
      <c r="D23" s="29"/>
      <c r="E23" s="34"/>
      <c r="F23" s="34"/>
      <c r="G23" s="34"/>
      <c r="H23" s="35"/>
      <c r="I23" s="36"/>
      <c r="J23" s="29"/>
      <c r="K23" s="76"/>
      <c r="L23" s="91"/>
      <c r="M23" s="42"/>
    </row>
    <row r="24" spans="2:18" ht="16.5" x14ac:dyDescent="0.3">
      <c r="B24" s="29"/>
      <c r="C24" s="29"/>
      <c r="D24" s="29"/>
      <c r="E24" s="105" t="s">
        <v>139</v>
      </c>
      <c r="F24" s="106"/>
      <c r="G24" s="106"/>
      <c r="H24" s="106"/>
      <c r="I24" s="106"/>
      <c r="J24" s="29"/>
      <c r="K24" s="76"/>
      <c r="L24" s="91"/>
      <c r="M24" s="42"/>
    </row>
    <row r="25" spans="2:18" ht="16.5" x14ac:dyDescent="0.3">
      <c r="B25" s="29"/>
      <c r="C25" s="29"/>
      <c r="D25" s="29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29"/>
      <c r="K25" s="76"/>
      <c r="L25" s="91"/>
      <c r="M25" s="42"/>
    </row>
    <row r="26" spans="2:18" ht="16.5" x14ac:dyDescent="0.3">
      <c r="B26" s="29"/>
      <c r="C26" s="29"/>
      <c r="D26" s="29"/>
      <c r="E26" s="76"/>
      <c r="F26" s="77"/>
      <c r="G26" s="49"/>
      <c r="H26" s="38"/>
      <c r="I26" s="38"/>
      <c r="J26" s="29"/>
      <c r="K26" s="76"/>
      <c r="L26" s="91"/>
      <c r="M26" s="42"/>
    </row>
    <row r="27" spans="2:18" ht="16.5" x14ac:dyDescent="0.3">
      <c r="B27" s="29"/>
      <c r="C27" s="29"/>
      <c r="D27" s="29"/>
      <c r="E27" s="76"/>
      <c r="F27" s="77"/>
      <c r="G27" s="49"/>
      <c r="H27" s="38"/>
      <c r="I27" s="38"/>
      <c r="J27" s="29"/>
      <c r="K27" s="76"/>
      <c r="L27" s="91"/>
      <c r="M27" s="42"/>
    </row>
    <row r="28" spans="2:18" ht="16.5" x14ac:dyDescent="0.3">
      <c r="B28" s="29"/>
      <c r="C28" s="29"/>
      <c r="D28" s="29"/>
      <c r="E28" s="76"/>
      <c r="F28" s="77"/>
      <c r="G28" s="49"/>
      <c r="H28" s="38"/>
      <c r="I28" s="38"/>
      <c r="J28" s="29"/>
      <c r="K28" s="76"/>
      <c r="L28" s="91"/>
      <c r="M28" s="42"/>
    </row>
    <row r="29" spans="2:18" ht="16.5" x14ac:dyDescent="0.3">
      <c r="B29" s="29"/>
      <c r="C29" s="29"/>
      <c r="D29" s="29"/>
      <c r="E29" s="76"/>
      <c r="F29" s="77"/>
      <c r="G29" s="50"/>
      <c r="H29" s="38"/>
      <c r="I29" s="38"/>
      <c r="J29" s="29"/>
      <c r="K29" s="76"/>
      <c r="L29" s="91"/>
      <c r="M29" s="42"/>
    </row>
    <row r="30" spans="2:18" ht="16.5" x14ac:dyDescent="0.3">
      <c r="B30" s="29"/>
      <c r="C30" s="29"/>
      <c r="D30" s="29"/>
      <c r="E30" s="76"/>
      <c r="F30" s="50"/>
      <c r="G30" s="50"/>
      <c r="H30" s="38"/>
      <c r="I30" s="38"/>
      <c r="J30" s="29"/>
      <c r="K30" s="76"/>
      <c r="L30" s="91"/>
      <c r="M30" s="42"/>
    </row>
    <row r="31" spans="2:18" ht="16.5" x14ac:dyDescent="0.3">
      <c r="B31" s="29"/>
      <c r="C31" s="29"/>
      <c r="D31" s="29"/>
      <c r="E31" s="78"/>
      <c r="F31" s="79"/>
      <c r="G31" s="40"/>
      <c r="H31" s="41"/>
      <c r="I31" s="41"/>
      <c r="J31" s="29"/>
      <c r="K31" s="76"/>
      <c r="L31" s="91"/>
      <c r="M31" s="42"/>
    </row>
    <row r="32" spans="2:18" ht="17.25" x14ac:dyDescent="0.3">
      <c r="B32" s="29"/>
      <c r="C32" s="29"/>
      <c r="D32" s="37"/>
      <c r="E32" s="61"/>
      <c r="F32" s="60"/>
      <c r="G32" s="19"/>
      <c r="H32" s="20"/>
      <c r="I32" s="20"/>
      <c r="J32" s="37"/>
      <c r="K32" s="32"/>
      <c r="L32" s="32"/>
      <c r="M32" s="32"/>
    </row>
    <row r="33" spans="2:18" ht="16.5" x14ac:dyDescent="0.3">
      <c r="B33" s="29"/>
      <c r="C33" s="29"/>
      <c r="D33" s="37"/>
      <c r="E33" s="43"/>
      <c r="F33" s="44"/>
      <c r="G33" s="44"/>
      <c r="H33" s="45"/>
      <c r="I33" s="58"/>
      <c r="J33" s="37"/>
      <c r="K33" s="107" t="s">
        <v>141</v>
      </c>
      <c r="L33" s="108"/>
      <c r="M33" s="109"/>
    </row>
    <row r="34" spans="2:18" ht="16.5" x14ac:dyDescent="0.3">
      <c r="B34" s="37"/>
      <c r="C34" s="37"/>
      <c r="D34" s="37"/>
      <c r="E34" s="106" t="s">
        <v>143</v>
      </c>
      <c r="F34" s="106"/>
      <c r="G34" s="106"/>
      <c r="H34" s="106"/>
      <c r="I34" s="106"/>
      <c r="J34" s="37"/>
      <c r="K34" s="22" t="s">
        <v>22</v>
      </c>
      <c r="L34" s="21" t="s">
        <v>28</v>
      </c>
      <c r="M34" s="22" t="s">
        <v>29</v>
      </c>
    </row>
    <row r="35" spans="2:18" ht="16.5" customHeight="1" x14ac:dyDescent="0.25">
      <c r="B35" s="37"/>
      <c r="C35" s="37"/>
      <c r="D35" s="37"/>
      <c r="E35" s="85" t="s">
        <v>22</v>
      </c>
      <c r="F35" s="86" t="s">
        <v>15</v>
      </c>
      <c r="G35" s="87" t="s">
        <v>16</v>
      </c>
      <c r="H35" s="88" t="s">
        <v>26</v>
      </c>
      <c r="I35" s="89" t="s">
        <v>27</v>
      </c>
      <c r="J35" s="37"/>
      <c r="K35" s="76"/>
      <c r="L35" s="76"/>
      <c r="M35" s="91"/>
    </row>
    <row r="36" spans="2:18" ht="16.5" customHeight="1" x14ac:dyDescent="0.25">
      <c r="B36" s="37"/>
      <c r="C36" s="37"/>
      <c r="D36" s="37"/>
      <c r="E36" s="76"/>
      <c r="F36" s="77"/>
      <c r="G36" s="50"/>
      <c r="H36" s="38"/>
      <c r="I36" s="38"/>
      <c r="J36" s="37"/>
      <c r="K36" s="76"/>
      <c r="L36" s="76"/>
      <c r="M36" s="91"/>
    </row>
    <row r="37" spans="2:18" ht="16.5" customHeight="1" x14ac:dyDescent="0.25">
      <c r="B37" s="37"/>
      <c r="C37" s="37"/>
      <c r="D37" s="37"/>
      <c r="E37" s="83"/>
      <c r="F37" s="77"/>
      <c r="G37" s="50"/>
      <c r="H37" s="38"/>
      <c r="I37" s="38"/>
      <c r="J37" s="37"/>
      <c r="K37" s="76"/>
      <c r="L37" s="76"/>
      <c r="M37" s="91"/>
    </row>
    <row r="38" spans="2:18" ht="16.5" customHeight="1" x14ac:dyDescent="0.25">
      <c r="B38" s="37"/>
      <c r="C38" s="37"/>
      <c r="D38" s="37"/>
      <c r="E38" s="76"/>
      <c r="F38" s="77"/>
      <c r="G38" s="50"/>
      <c r="H38" s="38"/>
      <c r="I38" s="38"/>
      <c r="J38" s="37"/>
      <c r="K38" s="76"/>
      <c r="L38" s="76"/>
      <c r="M38" s="91"/>
    </row>
    <row r="39" spans="2:18" ht="16.5" customHeight="1" x14ac:dyDescent="0.25">
      <c r="B39" s="37"/>
      <c r="C39" s="37"/>
      <c r="D39" s="37"/>
      <c r="E39" s="76"/>
      <c r="F39" s="77"/>
      <c r="G39" s="50"/>
      <c r="H39" s="38"/>
      <c r="I39" s="38"/>
      <c r="J39" s="37"/>
      <c r="K39" s="76"/>
      <c r="L39" s="76"/>
      <c r="M39" s="91"/>
    </row>
    <row r="40" spans="2:18" ht="16.5" customHeight="1" x14ac:dyDescent="0.25">
      <c r="B40" s="37"/>
      <c r="C40" s="37"/>
      <c r="D40" s="37"/>
      <c r="E40" s="76"/>
      <c r="F40" s="50"/>
      <c r="G40" s="50"/>
      <c r="H40" s="38"/>
      <c r="I40" s="38"/>
      <c r="J40" s="37"/>
      <c r="K40" s="78"/>
      <c r="L40" s="78"/>
      <c r="M40" s="92"/>
      <c r="Q40" s="1" t="s">
        <v>33</v>
      </c>
      <c r="R40" s="1">
        <f>SUM(R6:R21)</f>
        <v>0</v>
      </c>
    </row>
    <row r="41" spans="2:18" ht="16.5" customHeight="1" x14ac:dyDescent="0.25">
      <c r="B41" s="37"/>
      <c r="C41" s="37"/>
      <c r="D41" s="37"/>
      <c r="E41" s="78"/>
      <c r="F41" s="79"/>
      <c r="G41" s="40"/>
      <c r="H41" s="41"/>
      <c r="I41" s="38"/>
      <c r="J41" s="37"/>
      <c r="K41" s="76"/>
      <c r="L41" s="76"/>
      <c r="M41" s="92"/>
    </row>
    <row r="42" spans="2:18" ht="17.25" x14ac:dyDescent="0.3">
      <c r="B42" s="37"/>
      <c r="C42" s="37"/>
      <c r="D42" s="37"/>
      <c r="E42" s="46"/>
      <c r="F42" s="19"/>
      <c r="G42" s="19"/>
      <c r="H42" s="20"/>
      <c r="I42" s="20"/>
      <c r="J42" s="37"/>
      <c r="K42" s="32"/>
      <c r="L42" s="32"/>
      <c r="M42" s="32"/>
    </row>
    <row r="43" spans="2:18" ht="13.5" x14ac:dyDescent="0.25">
      <c r="B43" s="37"/>
      <c r="C43" s="37"/>
      <c r="D43" s="37"/>
      <c r="E43" s="34"/>
      <c r="F43" s="34"/>
      <c r="G43" s="34"/>
      <c r="H43" s="36"/>
      <c r="I43" s="36"/>
      <c r="J43" s="37"/>
      <c r="K43" s="32"/>
      <c r="L43" s="32"/>
      <c r="M43" s="32"/>
    </row>
    <row r="44" spans="2:18" ht="13.5" x14ac:dyDescent="0.25">
      <c r="B44" s="37"/>
      <c r="C44" s="37"/>
      <c r="D44" s="37"/>
      <c r="E44" s="34"/>
      <c r="F44" s="34"/>
      <c r="G44" s="34"/>
      <c r="H44" s="36"/>
      <c r="I44" s="36"/>
      <c r="J44" s="37"/>
      <c r="K44" s="32"/>
      <c r="L44" s="32"/>
      <c r="M44" s="32"/>
    </row>
    <row r="45" spans="2:18" ht="13.5" x14ac:dyDescent="0.25">
      <c r="B45" s="37"/>
      <c r="C45" s="37"/>
      <c r="D45" s="37"/>
      <c r="E45" s="34"/>
      <c r="F45" s="34"/>
      <c r="G45" s="34"/>
      <c r="H45" s="36"/>
      <c r="I45" s="36"/>
      <c r="J45" s="37"/>
      <c r="K45" s="32"/>
      <c r="L45" s="32"/>
      <c r="M45" s="32"/>
    </row>
  </sheetData>
  <mergeCells count="11">
    <mergeCell ref="B1:C1"/>
    <mergeCell ref="L1:M1"/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E32 E42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5"/>
  <sheetViews>
    <sheetView showGridLines="0" view="pageBreakPreview" zoomScale="98" zoomScaleNormal="90" zoomScaleSheetLayoutView="98" workbookViewId="0">
      <selection activeCell="F11" sqref="F11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34.7109375" style="1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'10'!B1+1</f>
        <v>45880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4" t="s">
        <v>0</v>
      </c>
      <c r="C4" s="25">
        <v>0</v>
      </c>
      <c r="D4" s="57"/>
      <c r="E4" s="113" t="s">
        <v>137</v>
      </c>
      <c r="F4" s="113"/>
      <c r="G4" s="113"/>
      <c r="H4" s="113"/>
      <c r="I4" s="113"/>
      <c r="J4" s="29"/>
      <c r="K4" s="107" t="s">
        <v>138</v>
      </c>
      <c r="L4" s="108"/>
      <c r="M4" s="109"/>
    </row>
    <row r="5" spans="2:18" ht="16.5" x14ac:dyDescent="0.3">
      <c r="B5" s="27" t="s">
        <v>1</v>
      </c>
      <c r="C5" s="28">
        <f>SUMIF(I6:I31,"&gt;0",H6:H31)</f>
        <v>1796</v>
      </c>
      <c r="D5" s="29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29"/>
      <c r="K5" s="21" t="s">
        <v>18</v>
      </c>
      <c r="L5" s="22" t="s">
        <v>19</v>
      </c>
      <c r="M5" s="23" t="s">
        <v>20</v>
      </c>
    </row>
    <row r="6" spans="2:18" ht="16.5" x14ac:dyDescent="0.3">
      <c r="B6" s="27" t="s">
        <v>2</v>
      </c>
      <c r="C6" s="28">
        <f>C16</f>
        <v>2856</v>
      </c>
      <c r="D6" s="29"/>
      <c r="E6" s="76">
        <v>11563</v>
      </c>
      <c r="F6" s="77" t="s">
        <v>232</v>
      </c>
      <c r="G6" s="50" t="s">
        <v>36</v>
      </c>
      <c r="H6" s="38"/>
      <c r="I6" s="38"/>
      <c r="J6" s="29"/>
      <c r="K6" s="77" t="s">
        <v>243</v>
      </c>
      <c r="L6" s="91" t="s">
        <v>10</v>
      </c>
      <c r="M6" s="42">
        <v>90</v>
      </c>
      <c r="R6" s="1">
        <f>IF(vend11[[#This Row],[Nº Venda]]&gt;1,1,0)</f>
        <v>1</v>
      </c>
    </row>
    <row r="7" spans="2:18" ht="16.5" x14ac:dyDescent="0.3">
      <c r="B7" s="27" t="s">
        <v>3</v>
      </c>
      <c r="C7" s="28">
        <f>SUM(M6:M11)</f>
        <v>164</v>
      </c>
      <c r="D7" s="29"/>
      <c r="E7" s="76">
        <v>11564</v>
      </c>
      <c r="F7" s="77" t="s">
        <v>232</v>
      </c>
      <c r="G7" s="50" t="s">
        <v>6</v>
      </c>
      <c r="H7" s="38">
        <v>6</v>
      </c>
      <c r="I7" s="38">
        <v>6</v>
      </c>
      <c r="J7" s="29"/>
      <c r="K7" s="77" t="s">
        <v>243</v>
      </c>
      <c r="L7" s="91" t="s">
        <v>10</v>
      </c>
      <c r="M7" s="42">
        <v>74</v>
      </c>
      <c r="R7" s="1">
        <f>IF(vend11[[#This Row],[Nº Venda]]&gt;1,1,0)</f>
        <v>1</v>
      </c>
    </row>
    <row r="8" spans="2:18" ht="16.5" x14ac:dyDescent="0.3">
      <c r="B8" s="30" t="s">
        <v>21</v>
      </c>
      <c r="C8" s="31">
        <f>SUM(C6:C7)</f>
        <v>3020</v>
      </c>
      <c r="D8" s="29"/>
      <c r="E8" s="76">
        <v>11565</v>
      </c>
      <c r="F8" s="77" t="s">
        <v>234</v>
      </c>
      <c r="G8" s="50" t="s">
        <v>36</v>
      </c>
      <c r="H8" s="38"/>
      <c r="I8" s="38"/>
      <c r="J8" s="29"/>
      <c r="K8" s="77"/>
      <c r="L8" s="91"/>
      <c r="M8" s="42"/>
      <c r="R8" s="1">
        <f>IF(vend11[[#This Row],[Nº Venda]]&gt;1,1,0)</f>
        <v>1</v>
      </c>
    </row>
    <row r="9" spans="2:18" ht="16.5" x14ac:dyDescent="0.3">
      <c r="B9" s="26"/>
      <c r="C9" s="26"/>
      <c r="D9" s="29"/>
      <c r="E9" s="76">
        <v>11566</v>
      </c>
      <c r="F9" s="77" t="s">
        <v>238</v>
      </c>
      <c r="G9" s="50" t="s">
        <v>8</v>
      </c>
      <c r="H9" s="38">
        <v>430</v>
      </c>
      <c r="I9" s="38">
        <v>430</v>
      </c>
      <c r="J9" s="29"/>
      <c r="K9" s="77"/>
      <c r="L9" s="91"/>
      <c r="M9" s="42"/>
      <c r="R9" s="1">
        <f>IF(vend11[[#This Row],[Nº Venda]]&gt;1,1,0)</f>
        <v>1</v>
      </c>
    </row>
    <row r="10" spans="2:18" ht="16.5" x14ac:dyDescent="0.3">
      <c r="B10" s="114" t="s">
        <v>5</v>
      </c>
      <c r="C10" s="115"/>
      <c r="D10" s="29"/>
      <c r="E10" s="76">
        <v>11567</v>
      </c>
      <c r="F10" s="77" t="s">
        <v>238</v>
      </c>
      <c r="G10" s="50" t="s">
        <v>8</v>
      </c>
      <c r="H10" s="38">
        <v>430</v>
      </c>
      <c r="I10" s="38">
        <v>430</v>
      </c>
      <c r="J10" s="29"/>
      <c r="K10" s="77"/>
      <c r="L10" s="91"/>
      <c r="M10" s="42"/>
      <c r="R10" s="1">
        <f>IF(vend11[[#This Row],[Nº Venda]]&gt;1,1,0)</f>
        <v>1</v>
      </c>
    </row>
    <row r="11" spans="2:18" ht="16.5" x14ac:dyDescent="0.3">
      <c r="B11" s="27" t="s">
        <v>6</v>
      </c>
      <c r="C11" s="70">
        <f>(SUMIF($G$2:$G$31,B11,$I$2:$I$31))+(SUMIF($G$35:$G$41,B11,$H$35:$H$41))</f>
        <v>6</v>
      </c>
      <c r="D11" s="29"/>
      <c r="E11" s="76">
        <v>11568</v>
      </c>
      <c r="F11" s="77" t="s">
        <v>238</v>
      </c>
      <c r="G11" s="50" t="s">
        <v>46</v>
      </c>
      <c r="H11" s="38">
        <v>80</v>
      </c>
      <c r="I11" s="38">
        <v>80</v>
      </c>
      <c r="J11" s="29"/>
      <c r="K11" s="37"/>
      <c r="L11" s="91"/>
      <c r="M11" s="42"/>
      <c r="O11" s="1">
        <f>IF(C16=0,0,1)</f>
        <v>1</v>
      </c>
      <c r="R11" s="1">
        <f>IF(vend11[[#This Row],[Nº Venda]]&gt;1,1,0)</f>
        <v>1</v>
      </c>
    </row>
    <row r="12" spans="2:18" ht="16.5" x14ac:dyDescent="0.3">
      <c r="B12" s="27" t="s">
        <v>7</v>
      </c>
      <c r="C12" s="70">
        <f t="shared" ref="C12:C15" si="0">(SUMIF($G$2:$G$31,B12,$I$2:$I$31))+(SUMIF($G$35:$G$41,B12,$H$35:$H$41))</f>
        <v>550</v>
      </c>
      <c r="D12" s="29"/>
      <c r="E12" s="76">
        <v>11569</v>
      </c>
      <c r="F12" s="77" t="s">
        <v>239</v>
      </c>
      <c r="G12" s="50" t="s">
        <v>36</v>
      </c>
      <c r="H12" s="38"/>
      <c r="I12" s="38"/>
      <c r="J12" s="29"/>
      <c r="K12" s="32"/>
      <c r="L12" s="32"/>
      <c r="M12" s="32"/>
      <c r="R12" s="1">
        <f>IF(vend11[[#This Row],[Nº Venda]]&gt;1,1,0)</f>
        <v>1</v>
      </c>
    </row>
    <row r="13" spans="2:18" ht="16.5" x14ac:dyDescent="0.3">
      <c r="B13" s="27" t="s">
        <v>8</v>
      </c>
      <c r="C13" s="70">
        <f t="shared" si="0"/>
        <v>1950</v>
      </c>
      <c r="D13" s="29"/>
      <c r="E13" s="76">
        <v>11570</v>
      </c>
      <c r="F13" s="77" t="s">
        <v>240</v>
      </c>
      <c r="G13" s="50" t="s">
        <v>7</v>
      </c>
      <c r="H13" s="38">
        <v>110</v>
      </c>
      <c r="I13" s="38">
        <v>110</v>
      </c>
      <c r="J13" s="29"/>
      <c r="K13" s="107" t="s">
        <v>142</v>
      </c>
      <c r="L13" s="108"/>
      <c r="M13" s="109"/>
      <c r="R13" s="1">
        <f>IF(vend11[[#This Row],[Nº Venda]]&gt;1,1,0)</f>
        <v>1</v>
      </c>
    </row>
    <row r="14" spans="2:18" ht="16.5" x14ac:dyDescent="0.3">
      <c r="B14" s="27" t="s">
        <v>9</v>
      </c>
      <c r="C14" s="70">
        <f t="shared" si="0"/>
        <v>0</v>
      </c>
      <c r="D14" s="29"/>
      <c r="E14" s="76">
        <v>11571</v>
      </c>
      <c r="F14" s="77" t="s">
        <v>241</v>
      </c>
      <c r="G14" s="50" t="s">
        <v>7</v>
      </c>
      <c r="H14" s="38">
        <v>390</v>
      </c>
      <c r="I14" s="38">
        <v>150</v>
      </c>
      <c r="J14" s="29"/>
      <c r="K14" s="21" t="s">
        <v>22</v>
      </c>
      <c r="L14" s="22" t="s">
        <v>23</v>
      </c>
      <c r="M14" s="23" t="s">
        <v>24</v>
      </c>
      <c r="R14" s="1">
        <f>IF(vend11[[#This Row],[Nº Venda]]&gt;1,1,0)</f>
        <v>1</v>
      </c>
    </row>
    <row r="15" spans="2:18" ht="16.5" x14ac:dyDescent="0.3">
      <c r="B15" s="27" t="s">
        <v>10</v>
      </c>
      <c r="C15" s="70">
        <f t="shared" si="0"/>
        <v>350</v>
      </c>
      <c r="D15" s="29"/>
      <c r="E15" s="76">
        <v>11572</v>
      </c>
      <c r="F15" s="77" t="s">
        <v>242</v>
      </c>
      <c r="G15" s="50" t="s">
        <v>8</v>
      </c>
      <c r="H15" s="38">
        <v>350</v>
      </c>
      <c r="I15" s="38">
        <v>350</v>
      </c>
      <c r="J15" s="29"/>
      <c r="K15" s="76">
        <v>11268</v>
      </c>
      <c r="L15" s="91" t="s">
        <v>129</v>
      </c>
      <c r="M15" s="42" t="s">
        <v>145</v>
      </c>
      <c r="R15" s="1">
        <f>IF(vend11[[#This Row],[Nº Venda]]&gt;1,1,0)</f>
        <v>1</v>
      </c>
    </row>
    <row r="16" spans="2:18" ht="16.5" x14ac:dyDescent="0.3">
      <c r="B16" s="30" t="s">
        <v>11</v>
      </c>
      <c r="C16" s="71">
        <f>SUM(C11:C15)</f>
        <v>2856</v>
      </c>
      <c r="D16" s="29"/>
      <c r="E16" s="76"/>
      <c r="F16" s="77"/>
      <c r="G16" s="50"/>
      <c r="H16" s="38"/>
      <c r="I16" s="38"/>
      <c r="J16" s="29"/>
      <c r="K16" s="76">
        <v>11376</v>
      </c>
      <c r="L16" s="91" t="s">
        <v>129</v>
      </c>
      <c r="M16" s="42" t="s">
        <v>145</v>
      </c>
      <c r="R16" s="1">
        <f>IF(vend11[[#This Row],[Nº Venda]]&gt;1,1,0)</f>
        <v>0</v>
      </c>
    </row>
    <row r="17" spans="2:18" ht="16.5" x14ac:dyDescent="0.3">
      <c r="B17" s="26"/>
      <c r="C17" s="26"/>
      <c r="D17" s="29"/>
      <c r="E17" s="76"/>
      <c r="F17" s="77"/>
      <c r="G17" s="50"/>
      <c r="H17" s="38"/>
      <c r="I17" s="38"/>
      <c r="J17" s="29"/>
      <c r="K17" s="76">
        <v>11384</v>
      </c>
      <c r="L17" s="91" t="s">
        <v>129</v>
      </c>
      <c r="M17" s="42" t="s">
        <v>145</v>
      </c>
      <c r="R17" s="1">
        <f>IF(vend11[[#This Row],[Nº Venda]]&gt;1,1,0)</f>
        <v>0</v>
      </c>
    </row>
    <row r="18" spans="2:18" ht="16.5" x14ac:dyDescent="0.3">
      <c r="B18" s="114" t="s">
        <v>12</v>
      </c>
      <c r="C18" s="115"/>
      <c r="D18" s="29"/>
      <c r="E18" s="76"/>
      <c r="F18" s="77"/>
      <c r="G18" s="50"/>
      <c r="H18" s="38"/>
      <c r="I18" s="38"/>
      <c r="J18" s="29"/>
      <c r="K18" s="76">
        <v>11449</v>
      </c>
      <c r="L18" s="91" t="s">
        <v>131</v>
      </c>
      <c r="M18" s="42" t="s">
        <v>145</v>
      </c>
      <c r="R18" s="1">
        <f>IF(vend11[[#This Row],[Nº Venda]]&gt;1,1,0)</f>
        <v>0</v>
      </c>
    </row>
    <row r="19" spans="2:18" ht="16.5" x14ac:dyDescent="0.3">
      <c r="B19" s="27">
        <f>COUNT(entr_carn11[OS])</f>
        <v>0</v>
      </c>
      <c r="C19" s="70">
        <f>SUM(entr_carn11[Valor Total])</f>
        <v>0</v>
      </c>
      <c r="D19" s="29"/>
      <c r="E19" s="76"/>
      <c r="F19" s="77"/>
      <c r="G19" s="50"/>
      <c r="H19" s="38"/>
      <c r="I19" s="38"/>
      <c r="J19" s="29"/>
      <c r="K19" s="76">
        <v>11456</v>
      </c>
      <c r="L19" s="91" t="s">
        <v>131</v>
      </c>
      <c r="M19" s="42" t="s">
        <v>145</v>
      </c>
      <c r="R19" s="1">
        <f>IF(vend11[[#This Row],[Nº Venda]]&gt;1,1,0)</f>
        <v>0</v>
      </c>
    </row>
    <row r="20" spans="2:18" ht="16.5" x14ac:dyDescent="0.3">
      <c r="B20" s="30" t="s">
        <v>11</v>
      </c>
      <c r="C20" s="71">
        <f>SUM(C19:C19)</f>
        <v>0</v>
      </c>
      <c r="D20" s="29"/>
      <c r="E20" s="76"/>
      <c r="F20" s="50"/>
      <c r="G20" s="50"/>
      <c r="H20" s="38"/>
      <c r="I20" s="38"/>
      <c r="J20" s="29"/>
      <c r="K20" s="76">
        <v>11460</v>
      </c>
      <c r="L20" s="91" t="s">
        <v>129</v>
      </c>
      <c r="M20" s="42" t="s">
        <v>145</v>
      </c>
      <c r="R20" s="1">
        <f>IF(vend11[[#This Row],[Nº Venda]]&gt;1,1,0)</f>
        <v>0</v>
      </c>
    </row>
    <row r="21" spans="2:18" ht="16.5" x14ac:dyDescent="0.3">
      <c r="B21" s="26"/>
      <c r="C21" s="26"/>
      <c r="D21" s="29"/>
      <c r="E21" s="76"/>
      <c r="F21" s="77"/>
      <c r="G21" s="50"/>
      <c r="H21" s="38"/>
      <c r="I21" s="38"/>
      <c r="J21" s="29"/>
      <c r="K21" s="76">
        <v>11474</v>
      </c>
      <c r="L21" s="91" t="s">
        <v>129</v>
      </c>
      <c r="M21" s="42" t="s">
        <v>145</v>
      </c>
    </row>
    <row r="22" spans="2:18" ht="16.5" x14ac:dyDescent="0.3">
      <c r="B22" s="30" t="s">
        <v>25</v>
      </c>
      <c r="C22" s="33">
        <f>C5</f>
        <v>1796</v>
      </c>
      <c r="D22" s="29"/>
      <c r="E22" s="78"/>
      <c r="F22" s="77"/>
      <c r="G22" s="50"/>
      <c r="H22" s="38"/>
      <c r="I22" s="38"/>
      <c r="J22" s="29"/>
      <c r="K22" s="76">
        <v>11506</v>
      </c>
      <c r="L22" s="91" t="s">
        <v>131</v>
      </c>
      <c r="M22" s="42" t="s">
        <v>145</v>
      </c>
    </row>
    <row r="23" spans="2:18" ht="16.5" x14ac:dyDescent="0.3">
      <c r="B23" s="29"/>
      <c r="C23" s="29"/>
      <c r="D23" s="29"/>
      <c r="E23" s="34"/>
      <c r="F23" s="34"/>
      <c r="G23" s="34"/>
      <c r="H23" s="35"/>
      <c r="I23" s="36"/>
      <c r="J23" s="29"/>
      <c r="K23" s="76">
        <v>11560</v>
      </c>
      <c r="L23" s="91" t="s">
        <v>131</v>
      </c>
      <c r="M23" s="42" t="s">
        <v>145</v>
      </c>
    </row>
    <row r="24" spans="2:18" ht="16.5" x14ac:dyDescent="0.3">
      <c r="B24" s="29"/>
      <c r="C24" s="29"/>
      <c r="D24" s="29"/>
      <c r="E24" s="105" t="s">
        <v>139</v>
      </c>
      <c r="F24" s="106"/>
      <c r="G24" s="106"/>
      <c r="H24" s="106"/>
      <c r="I24" s="106"/>
      <c r="J24" s="29"/>
      <c r="K24" s="76">
        <v>11564</v>
      </c>
      <c r="L24" s="91" t="s">
        <v>129</v>
      </c>
      <c r="M24" s="42" t="s">
        <v>145</v>
      </c>
    </row>
    <row r="25" spans="2:18" ht="16.5" x14ac:dyDescent="0.3">
      <c r="B25" s="29"/>
      <c r="C25" s="29"/>
      <c r="D25" s="29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29"/>
      <c r="K25" s="76"/>
      <c r="L25" s="91"/>
      <c r="M25" s="42"/>
    </row>
    <row r="26" spans="2:18" ht="16.5" x14ac:dyDescent="0.3">
      <c r="B26" s="29"/>
      <c r="C26" s="29"/>
      <c r="D26" s="29"/>
      <c r="E26" s="76">
        <v>11253</v>
      </c>
      <c r="F26" s="77" t="s">
        <v>233</v>
      </c>
      <c r="G26" s="49" t="s">
        <v>8</v>
      </c>
      <c r="H26" s="38"/>
      <c r="I26" s="38">
        <v>350</v>
      </c>
      <c r="J26" s="29"/>
      <c r="K26" s="76"/>
      <c r="L26" s="91"/>
      <c r="M26" s="42"/>
    </row>
    <row r="27" spans="2:18" ht="16.5" x14ac:dyDescent="0.3">
      <c r="B27" s="29"/>
      <c r="C27" s="29"/>
      <c r="D27" s="29"/>
      <c r="E27" s="76">
        <v>11349</v>
      </c>
      <c r="F27" s="77" t="s">
        <v>244</v>
      </c>
      <c r="G27" s="50" t="s">
        <v>8</v>
      </c>
      <c r="H27" s="38"/>
      <c r="I27" s="38">
        <v>390</v>
      </c>
      <c r="J27" s="29"/>
      <c r="K27" s="76"/>
      <c r="L27" s="91"/>
      <c r="M27" s="42"/>
    </row>
    <row r="28" spans="2:18" ht="16.5" x14ac:dyDescent="0.3">
      <c r="B28" s="29"/>
      <c r="C28" s="29"/>
      <c r="D28" s="29"/>
      <c r="E28" s="76"/>
      <c r="F28" s="77"/>
      <c r="G28" s="50"/>
      <c r="H28" s="38"/>
      <c r="I28" s="38"/>
      <c r="J28" s="29"/>
      <c r="K28" s="76"/>
      <c r="L28" s="91"/>
      <c r="M28" s="42"/>
    </row>
    <row r="29" spans="2:18" ht="16.5" x14ac:dyDescent="0.3">
      <c r="B29" s="29"/>
      <c r="C29" s="29"/>
      <c r="D29" s="29"/>
      <c r="E29" s="76"/>
      <c r="F29" s="77"/>
      <c r="G29" s="50"/>
      <c r="H29" s="38"/>
      <c r="I29" s="38"/>
      <c r="J29" s="29"/>
      <c r="K29" s="76"/>
      <c r="L29" s="91"/>
      <c r="M29" s="42"/>
    </row>
    <row r="30" spans="2:18" ht="16.5" x14ac:dyDescent="0.3">
      <c r="B30" s="29"/>
      <c r="C30" s="29"/>
      <c r="D30" s="29"/>
      <c r="E30" s="76"/>
      <c r="F30" s="50"/>
      <c r="G30" s="50"/>
      <c r="H30" s="38"/>
      <c r="I30" s="38"/>
      <c r="J30" s="29"/>
      <c r="K30" s="76"/>
      <c r="L30" s="91"/>
      <c r="M30" s="42"/>
    </row>
    <row r="31" spans="2:18" ht="16.5" x14ac:dyDescent="0.3">
      <c r="B31" s="29"/>
      <c r="C31" s="29"/>
      <c r="D31" s="29"/>
      <c r="E31" s="78"/>
      <c r="F31" s="79"/>
      <c r="G31" s="40"/>
      <c r="H31" s="41"/>
      <c r="I31" s="41"/>
      <c r="J31" s="29"/>
      <c r="K31" s="76"/>
      <c r="L31" s="91"/>
      <c r="M31" s="42"/>
    </row>
    <row r="32" spans="2:18" ht="16.5" x14ac:dyDescent="0.3">
      <c r="B32" s="29"/>
      <c r="C32" s="29"/>
      <c r="D32" s="37"/>
      <c r="E32" s="34"/>
      <c r="F32" s="34"/>
      <c r="G32" s="34"/>
      <c r="H32" s="36"/>
      <c r="I32" s="36"/>
      <c r="J32" s="37"/>
      <c r="K32" s="32"/>
      <c r="L32" s="32"/>
      <c r="M32" s="32"/>
    </row>
    <row r="33" spans="2:18" ht="16.5" x14ac:dyDescent="0.3">
      <c r="B33" s="29"/>
      <c r="C33" s="29"/>
      <c r="D33" s="37"/>
      <c r="E33" s="105" t="s">
        <v>140</v>
      </c>
      <c r="F33" s="106"/>
      <c r="G33" s="106"/>
      <c r="H33" s="106"/>
      <c r="I33" s="106"/>
      <c r="J33" s="37"/>
      <c r="K33" s="107" t="s">
        <v>141</v>
      </c>
      <c r="L33" s="108"/>
      <c r="M33" s="109"/>
    </row>
    <row r="34" spans="2:18" ht="16.5" x14ac:dyDescent="0.3">
      <c r="B34" s="37"/>
      <c r="C34" s="37"/>
      <c r="D34" s="37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7"/>
      <c r="K34" s="22" t="s">
        <v>22</v>
      </c>
      <c r="L34" s="21" t="s">
        <v>28</v>
      </c>
      <c r="M34" s="22" t="s">
        <v>29</v>
      </c>
    </row>
    <row r="35" spans="2:18" ht="16.5" customHeight="1" x14ac:dyDescent="0.25">
      <c r="B35" s="37"/>
      <c r="C35" s="37"/>
      <c r="D35" s="37"/>
      <c r="E35" s="76">
        <v>10192</v>
      </c>
      <c r="F35" s="77" t="s">
        <v>170</v>
      </c>
      <c r="G35" s="50" t="s">
        <v>10</v>
      </c>
      <c r="H35" s="38">
        <v>150</v>
      </c>
      <c r="I35" s="38" t="s">
        <v>76</v>
      </c>
      <c r="J35" s="37"/>
      <c r="K35" s="76"/>
      <c r="L35" s="76"/>
      <c r="M35" s="91"/>
    </row>
    <row r="36" spans="2:18" ht="16.5" customHeight="1" x14ac:dyDescent="0.25">
      <c r="B36" s="37"/>
      <c r="C36" s="37"/>
      <c r="D36" s="37"/>
      <c r="E36" s="83">
        <v>10058</v>
      </c>
      <c r="F36" s="77" t="s">
        <v>235</v>
      </c>
      <c r="G36" s="50" t="s">
        <v>7</v>
      </c>
      <c r="H36" s="38">
        <v>290</v>
      </c>
      <c r="I36" s="38" t="s">
        <v>96</v>
      </c>
      <c r="J36" s="37"/>
      <c r="K36" s="76"/>
      <c r="L36" s="76"/>
      <c r="M36" s="91"/>
    </row>
    <row r="37" spans="2:18" ht="16.5" customHeight="1" x14ac:dyDescent="0.25">
      <c r="B37" s="37"/>
      <c r="C37" s="37"/>
      <c r="D37" s="37"/>
      <c r="E37" s="76">
        <v>10041</v>
      </c>
      <c r="F37" s="77" t="s">
        <v>236</v>
      </c>
      <c r="G37" s="50" t="s">
        <v>10</v>
      </c>
      <c r="H37" s="38">
        <v>200</v>
      </c>
      <c r="I37" s="38" t="s">
        <v>47</v>
      </c>
      <c r="J37" s="37"/>
      <c r="K37" s="76"/>
      <c r="L37" s="76"/>
      <c r="M37" s="91"/>
    </row>
    <row r="38" spans="2:18" ht="16.5" customHeight="1" x14ac:dyDescent="0.25">
      <c r="B38" s="37"/>
      <c r="C38" s="37"/>
      <c r="D38" s="37"/>
      <c r="E38" s="76"/>
      <c r="F38" s="77"/>
      <c r="G38" s="50"/>
      <c r="H38" s="38"/>
      <c r="I38" s="38"/>
      <c r="J38" s="37"/>
      <c r="K38" s="76"/>
      <c r="L38" s="76"/>
      <c r="M38" s="91"/>
    </row>
    <row r="39" spans="2:18" ht="16.5" customHeight="1" x14ac:dyDescent="0.25">
      <c r="B39" s="37"/>
      <c r="C39" s="37"/>
      <c r="D39" s="37"/>
      <c r="E39" s="76"/>
      <c r="F39" s="50"/>
      <c r="G39" s="50"/>
      <c r="H39" s="38"/>
      <c r="I39" s="38"/>
      <c r="J39" s="37"/>
      <c r="K39" s="76"/>
      <c r="L39" s="76"/>
      <c r="M39" s="91"/>
    </row>
    <row r="40" spans="2:18" ht="16.5" customHeight="1" x14ac:dyDescent="0.25">
      <c r="B40" s="37"/>
      <c r="C40" s="37"/>
      <c r="D40" s="37"/>
      <c r="E40" s="78"/>
      <c r="F40" s="79"/>
      <c r="G40" s="40"/>
      <c r="H40" s="41"/>
      <c r="I40" s="38"/>
      <c r="J40" s="37"/>
      <c r="K40" s="78"/>
      <c r="L40" s="78"/>
      <c r="M40" s="92"/>
      <c r="Q40" s="1" t="s">
        <v>33</v>
      </c>
      <c r="R40" s="1">
        <f>SUM(R6:R21)</f>
        <v>10</v>
      </c>
    </row>
    <row r="41" spans="2:18" ht="16.5" customHeight="1" x14ac:dyDescent="0.25">
      <c r="B41" s="37"/>
      <c r="C41" s="37"/>
      <c r="D41" s="37"/>
      <c r="E41" s="82"/>
      <c r="F41" s="50"/>
      <c r="G41" s="50"/>
      <c r="H41" s="38"/>
      <c r="I41" s="38"/>
      <c r="J41" s="37"/>
      <c r="K41" s="76"/>
      <c r="L41" s="76"/>
      <c r="M41" s="92"/>
    </row>
    <row r="42" spans="2:18" ht="13.5" x14ac:dyDescent="0.25">
      <c r="B42" s="37"/>
      <c r="C42" s="37"/>
      <c r="D42" s="37"/>
      <c r="E42" s="34"/>
      <c r="F42" s="34"/>
      <c r="G42" s="34"/>
      <c r="H42" s="36"/>
      <c r="I42" s="36"/>
      <c r="J42" s="37"/>
      <c r="K42" s="32"/>
      <c r="L42" s="32"/>
      <c r="M42" s="32"/>
    </row>
    <row r="43" spans="2:18" ht="13.5" x14ac:dyDescent="0.25">
      <c r="B43" s="37"/>
      <c r="C43" s="37"/>
      <c r="D43" s="37"/>
      <c r="E43" s="34"/>
      <c r="F43" s="34"/>
      <c r="G43" s="34"/>
      <c r="H43" s="36"/>
      <c r="I43" s="36"/>
      <c r="J43" s="37"/>
      <c r="K43" s="32"/>
      <c r="L43" s="32"/>
      <c r="M43" s="32"/>
    </row>
    <row r="44" spans="2:18" ht="13.5" x14ac:dyDescent="0.25">
      <c r="B44" s="37"/>
      <c r="C44" s="37"/>
      <c r="D44" s="37"/>
      <c r="E44" s="34"/>
      <c r="F44" s="34"/>
      <c r="G44" s="34"/>
      <c r="H44" s="36"/>
      <c r="I44" s="36"/>
      <c r="J44" s="37"/>
      <c r="K44" s="32"/>
      <c r="L44" s="32"/>
      <c r="M44" s="32"/>
    </row>
    <row r="45" spans="2:18" ht="13.5" x14ac:dyDescent="0.25">
      <c r="B45" s="37"/>
      <c r="C45" s="37"/>
      <c r="D45" s="37"/>
      <c r="E45" s="34"/>
      <c r="F45" s="34"/>
      <c r="G45" s="34"/>
      <c r="H45" s="36"/>
      <c r="I45" s="36"/>
      <c r="J45" s="37"/>
      <c r="K45" s="32"/>
      <c r="L45" s="32"/>
      <c r="M45" s="32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8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5"/>
  <sheetViews>
    <sheetView showGridLines="0" view="pageBreakPreview" topLeftCell="C2" zoomScale="91" zoomScaleNormal="90" zoomScaleSheetLayoutView="91" workbookViewId="0">
      <selection activeCell="F13" sqref="F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34.7109375" style="1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'11'!B1+1</f>
        <v>45881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4" t="s">
        <v>0</v>
      </c>
      <c r="C4" s="25">
        <v>0</v>
      </c>
      <c r="D4" s="57"/>
      <c r="E4" s="113" t="s">
        <v>137</v>
      </c>
      <c r="F4" s="113"/>
      <c r="G4" s="113"/>
      <c r="H4" s="113"/>
      <c r="I4" s="113"/>
      <c r="J4" s="29"/>
      <c r="K4" s="107" t="s">
        <v>138</v>
      </c>
      <c r="L4" s="108"/>
      <c r="M4" s="109"/>
    </row>
    <row r="5" spans="2:18" ht="16.5" x14ac:dyDescent="0.3">
      <c r="B5" s="27" t="s">
        <v>1</v>
      </c>
      <c r="C5" s="28">
        <f>SUMIF(I6:I31,"&gt;0",H6:H31)</f>
        <v>2867</v>
      </c>
      <c r="D5" s="29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29"/>
      <c r="K5" s="21" t="s">
        <v>18</v>
      </c>
      <c r="L5" s="22" t="s">
        <v>19</v>
      </c>
      <c r="M5" s="23" t="s">
        <v>20</v>
      </c>
    </row>
    <row r="6" spans="2:18" ht="16.5" x14ac:dyDescent="0.3">
      <c r="B6" s="27" t="s">
        <v>2</v>
      </c>
      <c r="C6" s="28">
        <f>C16</f>
        <v>4060.07</v>
      </c>
      <c r="D6" s="29"/>
      <c r="E6" s="76">
        <v>11573</v>
      </c>
      <c r="F6" s="47" t="s">
        <v>240</v>
      </c>
      <c r="G6" s="47" t="s">
        <v>8</v>
      </c>
      <c r="H6" s="48">
        <v>150</v>
      </c>
      <c r="I6" s="48">
        <v>150</v>
      </c>
      <c r="J6" s="29"/>
      <c r="K6" s="77" t="s">
        <v>263</v>
      </c>
      <c r="L6" s="91" t="s">
        <v>7</v>
      </c>
      <c r="M6" s="42">
        <v>16</v>
      </c>
      <c r="R6" s="1">
        <f>IF(vend12[[#This Row],[Nº Venda]]&gt;1,1,0)</f>
        <v>1</v>
      </c>
    </row>
    <row r="7" spans="2:18" ht="16.5" x14ac:dyDescent="0.3">
      <c r="B7" s="27" t="s">
        <v>3</v>
      </c>
      <c r="C7" s="28">
        <f>SUM(M6:M11)</f>
        <v>16</v>
      </c>
      <c r="D7" s="29"/>
      <c r="E7" s="76">
        <v>11574</v>
      </c>
      <c r="F7" s="49" t="s">
        <v>245</v>
      </c>
      <c r="G7" s="49" t="s">
        <v>46</v>
      </c>
      <c r="H7" s="38">
        <v>0</v>
      </c>
      <c r="I7" s="38">
        <v>0</v>
      </c>
      <c r="J7" s="29"/>
      <c r="K7" s="77"/>
      <c r="L7" s="91"/>
      <c r="M7" s="42"/>
      <c r="R7" s="1">
        <f>IF(vend12[[#This Row],[Nº Venda]]&gt;1,1,0)</f>
        <v>1</v>
      </c>
    </row>
    <row r="8" spans="2:18" ht="16.5" x14ac:dyDescent="0.3">
      <c r="B8" s="30" t="s">
        <v>21</v>
      </c>
      <c r="C8" s="31">
        <f>SUM(C6:C7)</f>
        <v>4076.07</v>
      </c>
      <c r="D8" s="29"/>
      <c r="E8" s="76">
        <v>11575</v>
      </c>
      <c r="F8" s="49" t="s">
        <v>246</v>
      </c>
      <c r="G8" s="49" t="s">
        <v>10</v>
      </c>
      <c r="H8" s="38">
        <v>149</v>
      </c>
      <c r="I8" s="38">
        <v>149</v>
      </c>
      <c r="J8" s="29"/>
      <c r="K8" s="77"/>
      <c r="L8" s="91"/>
      <c r="M8" s="42"/>
      <c r="R8" s="1">
        <f>IF(vend12[[#This Row],[Nº Venda]]&gt;1,1,0)</f>
        <v>1</v>
      </c>
    </row>
    <row r="9" spans="2:18" ht="16.5" x14ac:dyDescent="0.3">
      <c r="B9" s="26"/>
      <c r="C9" s="26"/>
      <c r="D9" s="29"/>
      <c r="E9" s="76">
        <v>11576</v>
      </c>
      <c r="F9" s="77" t="s">
        <v>247</v>
      </c>
      <c r="G9" s="50" t="s">
        <v>7</v>
      </c>
      <c r="H9" s="38">
        <v>90</v>
      </c>
      <c r="I9" s="38">
        <v>90</v>
      </c>
      <c r="J9" s="29"/>
      <c r="K9" s="77"/>
      <c r="L9" s="91"/>
      <c r="M9" s="42"/>
      <c r="R9" s="1">
        <f>IF(vend12[[#This Row],[Nº Venda]]&gt;1,1,0)</f>
        <v>1</v>
      </c>
    </row>
    <row r="10" spans="2:18" ht="16.5" x14ac:dyDescent="0.3">
      <c r="B10" s="114" t="s">
        <v>5</v>
      </c>
      <c r="C10" s="115"/>
      <c r="D10" s="29"/>
      <c r="E10" s="76">
        <v>11577</v>
      </c>
      <c r="F10" s="77" t="s">
        <v>248</v>
      </c>
      <c r="G10" s="50" t="s">
        <v>46</v>
      </c>
      <c r="H10" s="38">
        <v>350</v>
      </c>
      <c r="I10" s="38">
        <v>350</v>
      </c>
      <c r="J10" s="29"/>
      <c r="K10" s="77"/>
      <c r="L10" s="91"/>
      <c r="M10" s="42"/>
      <c r="R10" s="1">
        <f>IF(vend12[[#This Row],[Nº Venda]]&gt;1,1,0)</f>
        <v>1</v>
      </c>
    </row>
    <row r="11" spans="2:18" ht="16.5" x14ac:dyDescent="0.3">
      <c r="B11" s="27" t="s">
        <v>6</v>
      </c>
      <c r="C11" s="70">
        <f>(SUMIF($G$2:$G$31,B11,$I$2:$I$31))+(SUMIF($G$35:$G$41,B11,$H$35:$H$41))</f>
        <v>288.05</v>
      </c>
      <c r="D11" s="29"/>
      <c r="E11" s="76">
        <v>11578</v>
      </c>
      <c r="F11" s="77" t="s">
        <v>249</v>
      </c>
      <c r="G11" s="50" t="s">
        <v>36</v>
      </c>
      <c r="H11" s="38">
        <v>0</v>
      </c>
      <c r="I11" s="38">
        <v>0</v>
      </c>
      <c r="J11" s="29"/>
      <c r="K11" s="37"/>
      <c r="L11" s="91"/>
      <c r="M11" s="42"/>
      <c r="O11" s="1">
        <f>IF(C16=0,0,1)</f>
        <v>1</v>
      </c>
      <c r="R11" s="1">
        <f>IF(vend12[[#This Row],[Nº Venda]]&gt;1,1,0)</f>
        <v>1</v>
      </c>
    </row>
    <row r="12" spans="2:18" ht="16.5" x14ac:dyDescent="0.3">
      <c r="B12" s="27" t="s">
        <v>7</v>
      </c>
      <c r="C12" s="70">
        <f t="shared" ref="C12:C15" si="0">(SUMIF($G$2:$G$31,B12,$I$2:$I$31))+(SUMIF($G$35:$G$41,B12,$H$35:$H$41))</f>
        <v>519</v>
      </c>
      <c r="D12" s="29"/>
      <c r="E12" s="76">
        <v>11579</v>
      </c>
      <c r="F12" s="77" t="s">
        <v>250</v>
      </c>
      <c r="G12" s="50" t="s">
        <v>7</v>
      </c>
      <c r="H12" s="38">
        <v>429</v>
      </c>
      <c r="I12" s="38">
        <v>429</v>
      </c>
      <c r="J12" s="29"/>
      <c r="K12" s="32"/>
      <c r="L12" s="32"/>
      <c r="M12" s="32"/>
      <c r="R12" s="1">
        <f>IF(vend12[[#This Row],[Nº Venda]]&gt;1,1,0)</f>
        <v>1</v>
      </c>
    </row>
    <row r="13" spans="2:18" ht="16.5" x14ac:dyDescent="0.3">
      <c r="B13" s="27" t="s">
        <v>8</v>
      </c>
      <c r="C13" s="70">
        <f t="shared" si="0"/>
        <v>2239</v>
      </c>
      <c r="D13" s="29"/>
      <c r="E13" s="76">
        <v>11580</v>
      </c>
      <c r="F13" s="50" t="s">
        <v>251</v>
      </c>
      <c r="G13" s="50" t="s">
        <v>8</v>
      </c>
      <c r="H13" s="38">
        <v>1699</v>
      </c>
      <c r="I13" s="38">
        <v>1699</v>
      </c>
      <c r="J13" s="29"/>
      <c r="K13" s="107" t="s">
        <v>142</v>
      </c>
      <c r="L13" s="108"/>
      <c r="M13" s="109"/>
      <c r="R13" s="1">
        <f>IF(vend12[[#This Row],[Nº Venda]]&gt;1,1,0)</f>
        <v>1</v>
      </c>
    </row>
    <row r="14" spans="2:18" ht="16.5" x14ac:dyDescent="0.3">
      <c r="B14" s="27" t="s">
        <v>9</v>
      </c>
      <c r="C14" s="70">
        <f t="shared" si="0"/>
        <v>0</v>
      </c>
      <c r="D14" s="29"/>
      <c r="E14" s="76">
        <v>11581</v>
      </c>
      <c r="F14" s="77" t="s">
        <v>252</v>
      </c>
      <c r="G14" s="50" t="s">
        <v>46</v>
      </c>
      <c r="H14" s="38">
        <v>0</v>
      </c>
      <c r="I14" s="38">
        <v>0</v>
      </c>
      <c r="J14" s="29"/>
      <c r="K14" s="21" t="s">
        <v>22</v>
      </c>
      <c r="L14" s="22" t="s">
        <v>23</v>
      </c>
      <c r="M14" s="23" t="s">
        <v>24</v>
      </c>
      <c r="R14" s="1">
        <f>IF(vend12[[#This Row],[Nº Venda]]&gt;1,1,0)</f>
        <v>1</v>
      </c>
    </row>
    <row r="15" spans="2:18" ht="16.5" x14ac:dyDescent="0.3">
      <c r="B15" s="27" t="s">
        <v>10</v>
      </c>
      <c r="C15" s="70">
        <f t="shared" si="0"/>
        <v>1014.02</v>
      </c>
      <c r="D15" s="29"/>
      <c r="E15" s="76">
        <v>11582</v>
      </c>
      <c r="F15" s="77" t="s">
        <v>248</v>
      </c>
      <c r="G15" s="50" t="s">
        <v>36</v>
      </c>
      <c r="H15" s="38">
        <v>0</v>
      </c>
      <c r="I15" s="38">
        <v>0</v>
      </c>
      <c r="J15" s="29"/>
      <c r="K15" s="76">
        <v>10086</v>
      </c>
      <c r="L15" s="91" t="s">
        <v>125</v>
      </c>
      <c r="M15" s="42" t="s">
        <v>145</v>
      </c>
      <c r="R15" s="1">
        <f>IF(vend12[[#This Row],[Nº Venda]]&gt;1,1,0)</f>
        <v>1</v>
      </c>
    </row>
    <row r="16" spans="2:18" ht="16.5" x14ac:dyDescent="0.3">
      <c r="B16" s="30" t="s">
        <v>11</v>
      </c>
      <c r="C16" s="71">
        <f>SUM(C11:C15)</f>
        <v>4060.07</v>
      </c>
      <c r="D16" s="29"/>
      <c r="E16" s="76"/>
      <c r="F16" s="77"/>
      <c r="G16" s="50"/>
      <c r="H16" s="38"/>
      <c r="I16" s="38"/>
      <c r="J16" s="29"/>
      <c r="K16" s="76">
        <v>11478</v>
      </c>
      <c r="L16" s="91" t="s">
        <v>131</v>
      </c>
      <c r="M16" s="42" t="s">
        <v>145</v>
      </c>
      <c r="R16" s="1">
        <f>IF(vend12[[#This Row],[Nº Venda]]&gt;1,1,0)</f>
        <v>0</v>
      </c>
    </row>
    <row r="17" spans="2:18" ht="16.5" x14ac:dyDescent="0.3">
      <c r="B17" s="26"/>
      <c r="C17" s="26"/>
      <c r="D17" s="29"/>
      <c r="E17" s="76"/>
      <c r="F17" s="77"/>
      <c r="G17" s="50"/>
      <c r="H17" s="38"/>
      <c r="I17" s="38"/>
      <c r="J17" s="29"/>
      <c r="K17" s="76">
        <v>11485</v>
      </c>
      <c r="L17" s="91" t="s">
        <v>131</v>
      </c>
      <c r="M17" s="42" t="s">
        <v>145</v>
      </c>
      <c r="R17" s="1">
        <f>IF(vend12[[#This Row],[Nº Venda]]&gt;1,1,0)</f>
        <v>0</v>
      </c>
    </row>
    <row r="18" spans="2:18" ht="16.5" x14ac:dyDescent="0.3">
      <c r="B18" s="114" t="s">
        <v>12</v>
      </c>
      <c r="C18" s="115"/>
      <c r="D18" s="29"/>
      <c r="E18" s="76"/>
      <c r="F18" s="77"/>
      <c r="G18" s="50"/>
      <c r="H18" s="38"/>
      <c r="I18" s="38"/>
      <c r="J18" s="29"/>
      <c r="K18" s="76">
        <v>11495</v>
      </c>
      <c r="L18" s="91" t="s">
        <v>131</v>
      </c>
      <c r="M18" s="42" t="s">
        <v>145</v>
      </c>
      <c r="R18" s="1">
        <f>IF(vend12[[#This Row],[Nº Venda]]&gt;1,1,0)</f>
        <v>0</v>
      </c>
    </row>
    <row r="19" spans="2:18" ht="16.5" x14ac:dyDescent="0.3">
      <c r="B19" s="27">
        <f>COUNT(entr_carn12[OS])</f>
        <v>0</v>
      </c>
      <c r="C19" s="70">
        <f>SUM(entr_carn12[Valor Total])</f>
        <v>0</v>
      </c>
      <c r="D19" s="29"/>
      <c r="E19" s="76"/>
      <c r="F19" s="77"/>
      <c r="G19" s="50"/>
      <c r="H19" s="38"/>
      <c r="I19" s="38"/>
      <c r="J19" s="29"/>
      <c r="K19" s="76">
        <v>11504</v>
      </c>
      <c r="L19" s="91" t="s">
        <v>131</v>
      </c>
      <c r="M19" s="42" t="s">
        <v>145</v>
      </c>
      <c r="R19" s="1">
        <f>IF(vend12[[#This Row],[Nº Venda]]&gt;1,1,0)</f>
        <v>0</v>
      </c>
    </row>
    <row r="20" spans="2:18" ht="16.5" x14ac:dyDescent="0.3">
      <c r="B20" s="30" t="s">
        <v>11</v>
      </c>
      <c r="C20" s="71">
        <f>SUM(C19:C19)</f>
        <v>0</v>
      </c>
      <c r="D20" s="29"/>
      <c r="E20" s="76"/>
      <c r="F20" s="50"/>
      <c r="G20" s="50"/>
      <c r="H20" s="38"/>
      <c r="I20" s="38"/>
      <c r="J20" s="29"/>
      <c r="K20" s="76">
        <v>11505</v>
      </c>
      <c r="L20" s="91" t="s">
        <v>131</v>
      </c>
      <c r="M20" s="42" t="s">
        <v>145</v>
      </c>
      <c r="R20" s="1">
        <f>IF(vend12[[#This Row],[Nº Venda]]&gt;1,1,0)</f>
        <v>0</v>
      </c>
    </row>
    <row r="21" spans="2:18" ht="16.5" x14ac:dyDescent="0.3">
      <c r="B21" s="26"/>
      <c r="C21" s="26"/>
      <c r="D21" s="29"/>
      <c r="E21" s="76"/>
      <c r="F21" s="77"/>
      <c r="G21" s="50"/>
      <c r="H21" s="38"/>
      <c r="I21" s="38"/>
      <c r="J21" s="29"/>
      <c r="K21" s="76">
        <v>11517</v>
      </c>
      <c r="L21" s="91" t="s">
        <v>131</v>
      </c>
      <c r="M21" s="42" t="s">
        <v>145</v>
      </c>
    </row>
    <row r="22" spans="2:18" ht="16.5" x14ac:dyDescent="0.3">
      <c r="B22" s="30" t="s">
        <v>25</v>
      </c>
      <c r="C22" s="33">
        <f>C5</f>
        <v>2867</v>
      </c>
      <c r="D22" s="29"/>
      <c r="E22" s="78"/>
      <c r="F22" s="77"/>
      <c r="G22" s="50"/>
      <c r="H22" s="38"/>
      <c r="I22" s="38"/>
      <c r="J22" s="29"/>
      <c r="K22" s="76">
        <v>11524</v>
      </c>
      <c r="L22" s="91" t="s">
        <v>131</v>
      </c>
      <c r="M22" s="42" t="s">
        <v>145</v>
      </c>
    </row>
    <row r="23" spans="2:18" ht="16.5" x14ac:dyDescent="0.3">
      <c r="B23" s="29"/>
      <c r="C23" s="29"/>
      <c r="D23" s="29"/>
      <c r="E23" s="34"/>
      <c r="F23" s="34"/>
      <c r="G23" s="34"/>
      <c r="H23" s="35"/>
      <c r="I23" s="36"/>
      <c r="J23" s="29"/>
      <c r="K23" s="76">
        <v>11532</v>
      </c>
      <c r="L23" s="91" t="s">
        <v>131</v>
      </c>
      <c r="M23" s="42" t="s">
        <v>145</v>
      </c>
    </row>
    <row r="24" spans="2:18" ht="16.5" x14ac:dyDescent="0.3">
      <c r="B24" s="29"/>
      <c r="C24" s="29"/>
      <c r="D24" s="29"/>
      <c r="E24" s="105" t="s">
        <v>139</v>
      </c>
      <c r="F24" s="106"/>
      <c r="G24" s="106"/>
      <c r="H24" s="106"/>
      <c r="I24" s="106"/>
      <c r="J24" s="29"/>
      <c r="K24" s="76">
        <v>11569</v>
      </c>
      <c r="L24" s="91" t="s">
        <v>129</v>
      </c>
      <c r="M24" s="42" t="s">
        <v>145</v>
      </c>
    </row>
    <row r="25" spans="2:18" ht="16.5" x14ac:dyDescent="0.3">
      <c r="B25" s="29"/>
      <c r="C25" s="29"/>
      <c r="D25" s="29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29"/>
      <c r="K25" s="76"/>
      <c r="L25" s="91"/>
      <c r="M25" s="42"/>
    </row>
    <row r="26" spans="2:18" ht="16.5" x14ac:dyDescent="0.3">
      <c r="B26" s="29"/>
      <c r="C26" s="29"/>
      <c r="D26" s="29"/>
      <c r="E26" s="76">
        <v>10086</v>
      </c>
      <c r="F26" s="49" t="s">
        <v>253</v>
      </c>
      <c r="G26" s="49" t="s">
        <v>8</v>
      </c>
      <c r="H26" s="38"/>
      <c r="I26" s="38">
        <v>390</v>
      </c>
      <c r="J26" s="29"/>
      <c r="K26" s="76"/>
      <c r="L26" s="91"/>
      <c r="M26" s="42"/>
    </row>
    <row r="27" spans="2:18" ht="16.5" x14ac:dyDescent="0.3">
      <c r="B27" s="29"/>
      <c r="C27" s="29"/>
      <c r="D27" s="29"/>
      <c r="E27" s="76">
        <v>11532</v>
      </c>
      <c r="F27" s="77" t="s">
        <v>254</v>
      </c>
      <c r="G27" s="50" t="s">
        <v>6</v>
      </c>
      <c r="H27" s="38"/>
      <c r="I27" s="38">
        <v>69</v>
      </c>
      <c r="J27" s="29"/>
      <c r="K27" s="76"/>
      <c r="L27" s="91"/>
      <c r="M27" s="42"/>
    </row>
    <row r="28" spans="2:18" ht="16.5" x14ac:dyDescent="0.3">
      <c r="B28" s="29"/>
      <c r="C28" s="29"/>
      <c r="D28" s="29"/>
      <c r="E28" s="76">
        <v>11534</v>
      </c>
      <c r="F28" s="77" t="s">
        <v>256</v>
      </c>
      <c r="G28" s="50" t="s">
        <v>10</v>
      </c>
      <c r="H28" s="38"/>
      <c r="I28" s="38">
        <v>50</v>
      </c>
      <c r="J28" s="29"/>
      <c r="K28" s="76"/>
      <c r="L28" s="91"/>
      <c r="M28" s="42"/>
    </row>
    <row r="29" spans="2:18" ht="16.5" x14ac:dyDescent="0.3">
      <c r="B29" s="29"/>
      <c r="C29" s="29"/>
      <c r="D29" s="29"/>
      <c r="E29" s="76"/>
      <c r="F29" s="77"/>
      <c r="G29" s="50"/>
      <c r="H29" s="38"/>
      <c r="I29" s="38"/>
      <c r="J29" s="29"/>
      <c r="K29" s="76"/>
      <c r="L29" s="91"/>
      <c r="M29" s="42"/>
    </row>
    <row r="30" spans="2:18" ht="16.5" x14ac:dyDescent="0.3">
      <c r="B30" s="29"/>
      <c r="C30" s="29"/>
      <c r="D30" s="29"/>
      <c r="E30" s="76"/>
      <c r="F30" s="50"/>
      <c r="G30" s="50"/>
      <c r="H30" s="38"/>
      <c r="I30" s="38"/>
      <c r="J30" s="29"/>
      <c r="K30" s="76"/>
      <c r="L30" s="91"/>
      <c r="M30" s="42"/>
    </row>
    <row r="31" spans="2:18" ht="16.5" x14ac:dyDescent="0.3">
      <c r="B31" s="29"/>
      <c r="C31" s="29"/>
      <c r="D31" s="29"/>
      <c r="E31" s="78"/>
      <c r="F31" s="79"/>
      <c r="G31" s="40"/>
      <c r="H31" s="41"/>
      <c r="I31" s="41"/>
      <c r="J31" s="29"/>
      <c r="K31" s="76"/>
      <c r="L31" s="91"/>
      <c r="M31" s="42"/>
    </row>
    <row r="32" spans="2:18" ht="16.5" x14ac:dyDescent="0.3">
      <c r="B32" s="29"/>
      <c r="C32" s="29"/>
      <c r="D32" s="37"/>
      <c r="E32" s="34"/>
      <c r="F32" s="34"/>
      <c r="G32" s="34"/>
      <c r="H32" s="36"/>
      <c r="I32" s="36"/>
      <c r="J32" s="37"/>
      <c r="K32" s="32"/>
      <c r="L32" s="32"/>
      <c r="M32" s="32"/>
    </row>
    <row r="33" spans="2:18" ht="16.5" x14ac:dyDescent="0.3">
      <c r="B33" s="29"/>
      <c r="C33" s="29"/>
      <c r="D33" s="37"/>
      <c r="E33" s="105" t="s">
        <v>140</v>
      </c>
      <c r="F33" s="106"/>
      <c r="G33" s="106"/>
      <c r="H33" s="106"/>
      <c r="I33" s="106"/>
      <c r="J33" s="37"/>
      <c r="K33" s="107" t="s">
        <v>141</v>
      </c>
      <c r="L33" s="108"/>
      <c r="M33" s="109"/>
    </row>
    <row r="34" spans="2:18" ht="16.5" x14ac:dyDescent="0.3">
      <c r="B34" s="37"/>
      <c r="C34" s="37"/>
      <c r="D34" s="37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7"/>
      <c r="K34" s="22" t="s">
        <v>22</v>
      </c>
      <c r="L34" s="21" t="s">
        <v>28</v>
      </c>
      <c r="M34" s="22" t="s">
        <v>29</v>
      </c>
    </row>
    <row r="35" spans="2:18" ht="16.5" customHeight="1" x14ac:dyDescent="0.25">
      <c r="B35" s="37"/>
      <c r="C35" s="37"/>
      <c r="D35" s="37"/>
      <c r="E35" s="76">
        <v>10210</v>
      </c>
      <c r="F35" s="77" t="s">
        <v>255</v>
      </c>
      <c r="G35" s="50" t="s">
        <v>10</v>
      </c>
      <c r="H35" s="38">
        <v>161</v>
      </c>
      <c r="I35" s="38" t="s">
        <v>96</v>
      </c>
      <c r="J35" s="37"/>
      <c r="K35" s="76"/>
      <c r="L35" s="76"/>
      <c r="M35" s="91"/>
    </row>
    <row r="36" spans="2:18" ht="16.5" customHeight="1" x14ac:dyDescent="0.25">
      <c r="B36" s="37"/>
      <c r="C36" s="37"/>
      <c r="D36" s="37"/>
      <c r="E36" s="83">
        <v>11254</v>
      </c>
      <c r="F36" s="77" t="s">
        <v>257</v>
      </c>
      <c r="G36" s="50" t="s">
        <v>10</v>
      </c>
      <c r="H36" s="38">
        <v>252</v>
      </c>
      <c r="I36" s="38" t="s">
        <v>31</v>
      </c>
      <c r="J36" s="37"/>
      <c r="K36" s="76"/>
      <c r="L36" s="76"/>
      <c r="M36" s="91"/>
    </row>
    <row r="37" spans="2:18" ht="16.5" customHeight="1" x14ac:dyDescent="0.25">
      <c r="B37" s="37"/>
      <c r="C37" s="37"/>
      <c r="D37" s="37"/>
      <c r="E37" s="76">
        <v>10442</v>
      </c>
      <c r="F37" s="77" t="s">
        <v>258</v>
      </c>
      <c r="G37" s="50" t="s">
        <v>10</v>
      </c>
      <c r="H37" s="38">
        <v>125.5</v>
      </c>
      <c r="I37" s="38" t="s">
        <v>94</v>
      </c>
      <c r="J37" s="37"/>
      <c r="K37" s="76"/>
      <c r="L37" s="76"/>
      <c r="M37" s="91"/>
    </row>
    <row r="38" spans="2:18" ht="16.5" customHeight="1" x14ac:dyDescent="0.25">
      <c r="B38" s="37"/>
      <c r="C38" s="37"/>
      <c r="D38" s="37"/>
      <c r="E38" s="76">
        <v>10956</v>
      </c>
      <c r="F38" s="77" t="s">
        <v>259</v>
      </c>
      <c r="G38" s="50" t="s">
        <v>10</v>
      </c>
      <c r="H38" s="38">
        <v>149.38</v>
      </c>
      <c r="I38" s="38" t="s">
        <v>43</v>
      </c>
      <c r="J38" s="37"/>
      <c r="K38" s="76"/>
      <c r="L38" s="76"/>
      <c r="M38" s="91"/>
    </row>
    <row r="39" spans="2:18" ht="16.5" customHeight="1" x14ac:dyDescent="0.25">
      <c r="B39" s="37"/>
      <c r="C39" s="37"/>
      <c r="D39" s="37"/>
      <c r="E39" s="76">
        <v>10966</v>
      </c>
      <c r="F39" s="50" t="s">
        <v>260</v>
      </c>
      <c r="G39" s="50" t="s">
        <v>10</v>
      </c>
      <c r="H39" s="38">
        <v>127.14</v>
      </c>
      <c r="I39" s="38" t="s">
        <v>45</v>
      </c>
      <c r="J39" s="37"/>
      <c r="K39" s="76"/>
      <c r="L39" s="76"/>
      <c r="M39" s="91"/>
    </row>
    <row r="40" spans="2:18" ht="16.5" customHeight="1" x14ac:dyDescent="0.25">
      <c r="B40" s="37"/>
      <c r="C40" s="37"/>
      <c r="D40" s="37"/>
      <c r="E40" s="78">
        <v>10811</v>
      </c>
      <c r="F40" s="79" t="s">
        <v>261</v>
      </c>
      <c r="G40" s="40" t="s">
        <v>6</v>
      </c>
      <c r="H40" s="41">
        <v>134.05000000000001</v>
      </c>
      <c r="I40" s="38" t="s">
        <v>55</v>
      </c>
      <c r="J40" s="37"/>
      <c r="K40" s="78"/>
      <c r="L40" s="78"/>
      <c r="M40" s="92"/>
      <c r="Q40" s="1" t="s">
        <v>33</v>
      </c>
      <c r="R40" s="1">
        <f>SUM(R6:R21)</f>
        <v>10</v>
      </c>
    </row>
    <row r="41" spans="2:18" ht="16.5" customHeight="1" x14ac:dyDescent="0.25">
      <c r="B41" s="37"/>
      <c r="C41" s="37"/>
      <c r="D41" s="37"/>
      <c r="E41" s="82">
        <v>11119</v>
      </c>
      <c r="F41" s="50" t="s">
        <v>262</v>
      </c>
      <c r="G41" s="50" t="s">
        <v>6</v>
      </c>
      <c r="H41" s="38">
        <v>85</v>
      </c>
      <c r="I41" s="38" t="s">
        <v>51</v>
      </c>
      <c r="J41" s="37"/>
      <c r="K41" s="76"/>
      <c r="L41" s="76"/>
      <c r="M41" s="92"/>
    </row>
    <row r="42" spans="2:18" ht="13.5" x14ac:dyDescent="0.25">
      <c r="B42" s="37"/>
      <c r="C42" s="37"/>
      <c r="D42" s="37"/>
      <c r="E42" s="34"/>
      <c r="F42" s="34"/>
      <c r="G42" s="34"/>
      <c r="H42" s="36"/>
      <c r="I42" s="36"/>
      <c r="J42" s="37"/>
      <c r="K42" s="32"/>
      <c r="L42" s="32"/>
      <c r="M42" s="32"/>
    </row>
    <row r="43" spans="2:18" ht="13.5" x14ac:dyDescent="0.25">
      <c r="B43" s="37"/>
      <c r="C43" s="37"/>
      <c r="D43" s="37"/>
      <c r="E43" s="34"/>
      <c r="F43" s="34"/>
      <c r="G43" s="34"/>
      <c r="H43" s="36"/>
      <c r="I43" s="36"/>
      <c r="J43" s="37"/>
      <c r="K43" s="32"/>
      <c r="L43" s="32"/>
      <c r="M43" s="32"/>
    </row>
    <row r="44" spans="2:18" ht="13.5" x14ac:dyDescent="0.25">
      <c r="B44" s="37"/>
      <c r="C44" s="37"/>
      <c r="D44" s="37"/>
      <c r="E44" s="34"/>
      <c r="F44" s="34"/>
      <c r="G44" s="34"/>
      <c r="H44" s="36"/>
      <c r="I44" s="36"/>
      <c r="J44" s="37"/>
      <c r="K44" s="32"/>
      <c r="L44" s="32"/>
      <c r="M44" s="32"/>
    </row>
    <row r="45" spans="2:18" ht="13.5" x14ac:dyDescent="0.25">
      <c r="B45" s="37"/>
      <c r="C45" s="37"/>
      <c r="D45" s="37"/>
      <c r="E45" s="34"/>
      <c r="F45" s="34"/>
      <c r="G45" s="34"/>
      <c r="H45" s="36"/>
      <c r="I45" s="36"/>
      <c r="J45" s="37"/>
      <c r="K45" s="32"/>
      <c r="L45" s="32"/>
      <c r="M45" s="32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8"/>
  <sheetViews>
    <sheetView showGridLines="0" view="pageBreakPreview" topLeftCell="A6" zoomScaleNormal="90" zoomScaleSheetLayoutView="100" workbookViewId="0">
      <selection activeCell="I7" sqref="I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34.7109375" style="1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'12'!B1+1</f>
        <v>45882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4" t="s">
        <v>0</v>
      </c>
      <c r="C4" s="25">
        <v>0</v>
      </c>
      <c r="D4" s="57"/>
      <c r="E4" s="113" t="s">
        <v>137</v>
      </c>
      <c r="F4" s="113"/>
      <c r="G4" s="113"/>
      <c r="H4" s="113"/>
      <c r="I4" s="113"/>
      <c r="J4" s="29"/>
      <c r="K4" s="107" t="s">
        <v>138</v>
      </c>
      <c r="L4" s="108"/>
      <c r="M4" s="109"/>
    </row>
    <row r="5" spans="2:18" ht="16.5" x14ac:dyDescent="0.3">
      <c r="B5" s="27" t="s">
        <v>1</v>
      </c>
      <c r="C5" s="28">
        <f>SUMIF(I6:I34,"&gt;0",H6:H34)</f>
        <v>1033.99</v>
      </c>
      <c r="D5" s="29"/>
      <c r="E5" s="15" t="s">
        <v>14</v>
      </c>
      <c r="F5" s="15" t="s">
        <v>265</v>
      </c>
      <c r="G5" s="16" t="s">
        <v>16</v>
      </c>
      <c r="H5" s="17" t="s">
        <v>17</v>
      </c>
      <c r="I5" s="18" t="s">
        <v>2</v>
      </c>
      <c r="J5" s="29"/>
      <c r="K5" s="21" t="s">
        <v>18</v>
      </c>
      <c r="L5" s="22" t="s">
        <v>19</v>
      </c>
      <c r="M5" s="23" t="s">
        <v>20</v>
      </c>
    </row>
    <row r="6" spans="2:18" ht="16.5" x14ac:dyDescent="0.3">
      <c r="B6" s="27" t="s">
        <v>2</v>
      </c>
      <c r="C6" s="28">
        <f>C16</f>
        <v>435</v>
      </c>
      <c r="D6" s="29"/>
      <c r="E6" s="76">
        <v>11583</v>
      </c>
      <c r="F6" s="77" t="s">
        <v>264</v>
      </c>
      <c r="G6" s="50" t="s">
        <v>8</v>
      </c>
      <c r="H6" s="38">
        <v>110</v>
      </c>
      <c r="I6" s="38">
        <v>110</v>
      </c>
      <c r="J6" s="29"/>
      <c r="K6" s="77"/>
      <c r="L6" s="91"/>
      <c r="M6" s="42"/>
      <c r="R6" s="1">
        <f>IF(vend13[[#This Row],[Nº Venda]]&gt;1,1,0)</f>
        <v>1</v>
      </c>
    </row>
    <row r="7" spans="2:18" ht="16.5" x14ac:dyDescent="0.3">
      <c r="B7" s="27" t="s">
        <v>3</v>
      </c>
      <c r="C7" s="28">
        <f>SUM(M6:M11)</f>
        <v>0</v>
      </c>
      <c r="D7" s="29"/>
      <c r="E7" s="76">
        <v>11584</v>
      </c>
      <c r="F7" s="77" t="s">
        <v>266</v>
      </c>
      <c r="G7" s="50" t="s">
        <v>46</v>
      </c>
      <c r="H7" s="38">
        <v>700</v>
      </c>
      <c r="I7" s="38">
        <v>0</v>
      </c>
      <c r="J7" s="29"/>
      <c r="K7" s="77"/>
      <c r="L7" s="91"/>
      <c r="M7" s="42"/>
      <c r="R7" s="1">
        <f>IF(vend13[[#This Row],[Nº Venda]]&gt;1,1,0)</f>
        <v>1</v>
      </c>
    </row>
    <row r="8" spans="2:18" ht="16.5" x14ac:dyDescent="0.3">
      <c r="B8" s="30" t="s">
        <v>21</v>
      </c>
      <c r="C8" s="31">
        <f>SUM(C6:C7)</f>
        <v>435</v>
      </c>
      <c r="D8" s="29"/>
      <c r="E8" s="76">
        <v>11585</v>
      </c>
      <c r="F8" s="77" t="s">
        <v>264</v>
      </c>
      <c r="G8" s="50" t="s">
        <v>8</v>
      </c>
      <c r="H8" s="38">
        <v>110</v>
      </c>
      <c r="I8" s="38">
        <v>110</v>
      </c>
      <c r="J8" s="29"/>
      <c r="K8" s="77"/>
      <c r="L8" s="91"/>
      <c r="M8" s="42"/>
      <c r="R8" s="1">
        <f>IF(vend13[[#This Row],[Nº Venda]]&gt;1,1,0)</f>
        <v>1</v>
      </c>
    </row>
    <row r="9" spans="2:18" ht="16.5" x14ac:dyDescent="0.3">
      <c r="B9" s="26"/>
      <c r="C9" s="26"/>
      <c r="D9" s="29"/>
      <c r="E9" s="76">
        <v>11586</v>
      </c>
      <c r="F9" s="77" t="s">
        <v>264</v>
      </c>
      <c r="G9" s="50" t="s">
        <v>8</v>
      </c>
      <c r="H9" s="38">
        <v>110</v>
      </c>
      <c r="I9" s="38">
        <v>110</v>
      </c>
      <c r="J9" s="29"/>
      <c r="K9" s="77"/>
      <c r="L9" s="91"/>
      <c r="M9" s="42"/>
      <c r="R9" s="1">
        <f>IF(vend13[[#This Row],[Nº Venda]]&gt;1,1,0)</f>
        <v>1</v>
      </c>
    </row>
    <row r="10" spans="2:18" ht="16.5" x14ac:dyDescent="0.3">
      <c r="B10" s="114" t="s">
        <v>5</v>
      </c>
      <c r="C10" s="115"/>
      <c r="D10" s="29"/>
      <c r="E10" s="76">
        <v>11587</v>
      </c>
      <c r="F10" s="77" t="s">
        <v>267</v>
      </c>
      <c r="G10" s="50" t="s">
        <v>6</v>
      </c>
      <c r="H10" s="38">
        <v>40</v>
      </c>
      <c r="I10" s="38">
        <v>20</v>
      </c>
      <c r="J10" s="29"/>
      <c r="K10" s="77"/>
      <c r="L10" s="91"/>
      <c r="M10" s="42"/>
      <c r="R10" s="1">
        <f>IF(vend13[[#This Row],[Nº Venda]]&gt;1,1,0)</f>
        <v>1</v>
      </c>
    </row>
    <row r="11" spans="2:18" ht="16.5" x14ac:dyDescent="0.3">
      <c r="B11" s="27" t="s">
        <v>6</v>
      </c>
      <c r="C11" s="70">
        <f>(SUMIF($G$2:$G$34,B11,$I$2:$I$34))+(SUMIF($G$38:$G$44,B11,$H$38:$H$44))</f>
        <v>20</v>
      </c>
      <c r="D11" s="29"/>
      <c r="E11" s="76">
        <v>11588</v>
      </c>
      <c r="F11" s="77" t="s">
        <v>268</v>
      </c>
      <c r="G11" s="50" t="s">
        <v>36</v>
      </c>
      <c r="H11" s="38">
        <v>0</v>
      </c>
      <c r="I11" s="38">
        <v>0</v>
      </c>
      <c r="J11" s="29"/>
      <c r="K11" s="37"/>
      <c r="L11" s="91"/>
      <c r="M11" s="42"/>
      <c r="O11" s="1">
        <f>IF(C16=0,0,1)</f>
        <v>1</v>
      </c>
      <c r="R11" s="1">
        <f>IF(vend13[[#This Row],[Nº Venda]]&gt;1,1,0)</f>
        <v>1</v>
      </c>
    </row>
    <row r="12" spans="2:18" ht="16.5" x14ac:dyDescent="0.3">
      <c r="B12" s="27" t="s">
        <v>7</v>
      </c>
      <c r="C12" s="70">
        <f>(SUMIF($G$2:$G$34,B12,$I$2:$I$34))+(SUMIF($G$38:$G$44,B12,$H$38:$H$44))</f>
        <v>85</v>
      </c>
      <c r="D12" s="29"/>
      <c r="E12" s="76">
        <v>11589</v>
      </c>
      <c r="F12" s="77" t="s">
        <v>269</v>
      </c>
      <c r="G12" s="50" t="s">
        <v>7</v>
      </c>
      <c r="H12" s="38">
        <v>299</v>
      </c>
      <c r="I12" s="38">
        <v>20</v>
      </c>
      <c r="J12" s="29"/>
      <c r="K12" s="32"/>
      <c r="L12" s="32"/>
      <c r="M12" s="32"/>
      <c r="R12" s="1">
        <f>IF(vend13[[#This Row],[Nº Venda]]&gt;1,1,0)</f>
        <v>1</v>
      </c>
    </row>
    <row r="13" spans="2:18" ht="16.5" x14ac:dyDescent="0.3">
      <c r="B13" s="27" t="s">
        <v>8</v>
      </c>
      <c r="C13" s="70">
        <f>(SUMIF($G$2:$G$34,B13,$I$2:$I$34))+(SUMIF($G$38:$G$44,B13,$H$38:$H$44))</f>
        <v>330</v>
      </c>
      <c r="D13" s="29"/>
      <c r="E13" s="76">
        <v>11590</v>
      </c>
      <c r="F13" s="77" t="s">
        <v>270</v>
      </c>
      <c r="G13" s="50" t="s">
        <v>7</v>
      </c>
      <c r="H13" s="38">
        <v>349.99</v>
      </c>
      <c r="I13" s="38">
        <v>50</v>
      </c>
      <c r="J13" s="29"/>
      <c r="K13" s="107" t="s">
        <v>142</v>
      </c>
      <c r="L13" s="108"/>
      <c r="M13" s="109"/>
      <c r="R13" s="1">
        <f>IF(vend13[[#This Row],[Nº Venda]]&gt;1,1,0)</f>
        <v>1</v>
      </c>
    </row>
    <row r="14" spans="2:18" ht="16.5" x14ac:dyDescent="0.3">
      <c r="B14" s="27" t="s">
        <v>9</v>
      </c>
      <c r="C14" s="70">
        <f>(SUMIF($G$2:$G$34,B14,$I$2:$I$34))+(SUMIF($G$38:$G$44,B14,$H$38:$H$44))</f>
        <v>0</v>
      </c>
      <c r="D14" s="29"/>
      <c r="E14" s="76">
        <v>11591</v>
      </c>
      <c r="F14" s="77" t="s">
        <v>271</v>
      </c>
      <c r="G14" s="50" t="s">
        <v>7</v>
      </c>
      <c r="H14" s="38">
        <v>15</v>
      </c>
      <c r="I14" s="38">
        <v>15</v>
      </c>
      <c r="J14" s="29"/>
      <c r="K14" s="21" t="s">
        <v>22</v>
      </c>
      <c r="L14" s="22" t="s">
        <v>23</v>
      </c>
      <c r="M14" s="23" t="s">
        <v>24</v>
      </c>
      <c r="R14" s="1">
        <f>IF(vend13[[#This Row],[Nº Venda]]&gt;1,1,0)</f>
        <v>1</v>
      </c>
    </row>
    <row r="15" spans="2:18" ht="16.5" x14ac:dyDescent="0.3">
      <c r="B15" s="27" t="s">
        <v>10</v>
      </c>
      <c r="C15" s="70">
        <f>(SUMIF($G$2:$G$34,B15,$I$2:$I$34))+(SUMIF($G$38:$G$44,B15,$H$38:$H$44))</f>
        <v>0</v>
      </c>
      <c r="D15" s="29"/>
      <c r="E15" s="76"/>
      <c r="F15" s="77"/>
      <c r="G15" s="50"/>
      <c r="H15" s="38"/>
      <c r="I15" s="38"/>
      <c r="J15" s="29"/>
      <c r="K15" s="76">
        <v>11491</v>
      </c>
      <c r="L15" s="91" t="s">
        <v>129</v>
      </c>
      <c r="M15" s="42" t="s">
        <v>145</v>
      </c>
      <c r="R15" s="1">
        <f>IF(vend13[[#This Row],[Nº Venda]]&gt;1,1,0)</f>
        <v>0</v>
      </c>
    </row>
    <row r="16" spans="2:18" ht="16.5" x14ac:dyDescent="0.3">
      <c r="B16" s="30" t="s">
        <v>11</v>
      </c>
      <c r="C16" s="71">
        <f>SUM(C11:C15)</f>
        <v>435</v>
      </c>
      <c r="D16" s="29"/>
      <c r="E16" s="76"/>
      <c r="F16" s="77"/>
      <c r="G16" s="50"/>
      <c r="H16" s="38"/>
      <c r="I16" s="38"/>
      <c r="J16" s="29"/>
      <c r="K16" s="76">
        <v>11563</v>
      </c>
      <c r="L16" s="91" t="s">
        <v>129</v>
      </c>
      <c r="M16" s="42" t="s">
        <v>145</v>
      </c>
      <c r="R16" s="1">
        <f>IF(vend13[[#This Row],[Nº Venda]]&gt;1,1,0)</f>
        <v>0</v>
      </c>
    </row>
    <row r="17" spans="2:18" ht="16.5" x14ac:dyDescent="0.3">
      <c r="B17" s="26"/>
      <c r="C17" s="26"/>
      <c r="D17" s="29"/>
      <c r="E17" s="76"/>
      <c r="F17" s="77"/>
      <c r="G17" s="50"/>
      <c r="H17" s="38"/>
      <c r="I17" s="38"/>
      <c r="J17" s="29"/>
      <c r="K17" s="76">
        <v>11573</v>
      </c>
      <c r="L17" s="91" t="s">
        <v>129</v>
      </c>
      <c r="M17" s="42" t="s">
        <v>145</v>
      </c>
      <c r="R17" s="1">
        <f>IF(vend13[[#This Row],[Nº Venda]]&gt;1,1,0)</f>
        <v>0</v>
      </c>
    </row>
    <row r="18" spans="2:18" ht="16.5" x14ac:dyDescent="0.3">
      <c r="B18" s="114" t="s">
        <v>12</v>
      </c>
      <c r="C18" s="115"/>
      <c r="D18" s="29"/>
      <c r="E18" s="76"/>
      <c r="F18" s="77"/>
      <c r="G18" s="50"/>
      <c r="H18" s="38"/>
      <c r="I18" s="38"/>
      <c r="J18" s="29"/>
      <c r="K18" s="76"/>
      <c r="L18" s="91"/>
      <c r="M18" s="42"/>
      <c r="R18" s="1">
        <f>IF(vend13[[#This Row],[Nº Venda]]&gt;1,1,0)</f>
        <v>0</v>
      </c>
    </row>
    <row r="19" spans="2:18" ht="16.5" x14ac:dyDescent="0.3">
      <c r="B19" s="27">
        <f>COUNT(entr_carn13[OS])</f>
        <v>0</v>
      </c>
      <c r="C19" s="70">
        <f>SUM(entr_carn13[Valor Total])</f>
        <v>0</v>
      </c>
      <c r="D19" s="29"/>
      <c r="E19" s="76"/>
      <c r="F19" s="77"/>
      <c r="G19" s="50"/>
      <c r="H19" s="38"/>
      <c r="I19" s="38"/>
      <c r="J19" s="29"/>
      <c r="K19" s="76"/>
      <c r="L19" s="91"/>
      <c r="M19" s="42"/>
      <c r="R19" s="1">
        <f>IF(vend13[[#This Row],[Nº Venda]]&gt;1,1,0)</f>
        <v>0</v>
      </c>
    </row>
    <row r="20" spans="2:18" ht="16.5" x14ac:dyDescent="0.3">
      <c r="B20" s="30" t="s">
        <v>11</v>
      </c>
      <c r="C20" s="71">
        <f>SUM(C19:C19)</f>
        <v>0</v>
      </c>
      <c r="D20" s="29"/>
      <c r="E20" s="76"/>
      <c r="F20" s="50"/>
      <c r="G20" s="50"/>
      <c r="H20" s="38"/>
      <c r="I20" s="38"/>
      <c r="J20" s="29"/>
      <c r="K20" s="76"/>
      <c r="L20" s="91"/>
      <c r="M20" s="42"/>
      <c r="R20" s="1">
        <f>IF(vend13[[#This Row],[Nº Venda]]&gt;1,1,0)</f>
        <v>0</v>
      </c>
    </row>
    <row r="21" spans="2:18" ht="16.5" x14ac:dyDescent="0.3">
      <c r="B21" s="26"/>
      <c r="C21" s="26"/>
      <c r="D21" s="29"/>
      <c r="E21" s="76"/>
      <c r="F21" s="77"/>
      <c r="G21" s="50"/>
      <c r="H21" s="38"/>
      <c r="I21" s="38"/>
      <c r="J21" s="29"/>
      <c r="K21" s="76"/>
      <c r="L21" s="91"/>
      <c r="M21" s="42"/>
    </row>
    <row r="22" spans="2:18" ht="16.5" x14ac:dyDescent="0.3">
      <c r="B22" s="30" t="s">
        <v>25</v>
      </c>
      <c r="C22" s="33">
        <f>C5</f>
        <v>1033.99</v>
      </c>
      <c r="D22" s="29"/>
      <c r="E22" s="78"/>
      <c r="F22" s="77"/>
      <c r="G22" s="50"/>
      <c r="H22" s="38"/>
      <c r="I22" s="38"/>
      <c r="J22" s="29"/>
      <c r="K22" s="76"/>
      <c r="L22" s="91"/>
      <c r="M22" s="42"/>
    </row>
    <row r="23" spans="2:18" ht="16.5" x14ac:dyDescent="0.3">
      <c r="B23" s="29"/>
      <c r="C23" s="29"/>
      <c r="D23" s="29"/>
      <c r="E23" s="34"/>
      <c r="F23" s="34"/>
      <c r="G23" s="34"/>
      <c r="H23" s="35"/>
      <c r="I23" s="36"/>
      <c r="J23" s="29"/>
      <c r="K23" s="76"/>
      <c r="L23" s="91"/>
      <c r="M23" s="42"/>
    </row>
    <row r="24" spans="2:18" ht="16.5" x14ac:dyDescent="0.3">
      <c r="B24" s="29"/>
      <c r="C24" s="29"/>
      <c r="D24" s="29"/>
      <c r="E24" s="105" t="s">
        <v>139</v>
      </c>
      <c r="F24" s="106"/>
      <c r="G24" s="106"/>
      <c r="H24" s="106"/>
      <c r="I24" s="106"/>
      <c r="J24" s="29"/>
      <c r="K24" s="76"/>
      <c r="L24" s="91"/>
      <c r="M24" s="42"/>
    </row>
    <row r="25" spans="2:18" ht="16.5" x14ac:dyDescent="0.3">
      <c r="B25" s="29"/>
      <c r="C25" s="29"/>
      <c r="D25" s="29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29"/>
      <c r="K25" s="76"/>
      <c r="L25" s="91"/>
      <c r="M25" s="42"/>
    </row>
    <row r="26" spans="2:18" ht="16.5" x14ac:dyDescent="0.3">
      <c r="B26" s="29"/>
      <c r="C26" s="29"/>
      <c r="D26" s="29"/>
      <c r="E26" s="76"/>
      <c r="F26" s="77"/>
      <c r="G26" s="50"/>
      <c r="H26" s="38"/>
      <c r="I26" s="38"/>
      <c r="J26" s="29"/>
      <c r="K26" s="76"/>
      <c r="L26" s="91"/>
      <c r="M26" s="42"/>
    </row>
    <row r="27" spans="2:18" ht="16.5" x14ac:dyDescent="0.3">
      <c r="B27" s="29"/>
      <c r="C27" s="29"/>
      <c r="D27" s="29"/>
      <c r="E27" s="76"/>
      <c r="F27" s="77"/>
      <c r="G27" s="50"/>
      <c r="H27" s="38"/>
      <c r="I27" s="38"/>
      <c r="J27" s="29"/>
      <c r="K27" s="76"/>
      <c r="L27" s="91"/>
      <c r="M27" s="42"/>
    </row>
    <row r="28" spans="2:18" ht="16.5" x14ac:dyDescent="0.3">
      <c r="B28" s="29"/>
      <c r="C28" s="29"/>
      <c r="D28" s="29"/>
      <c r="E28" s="76"/>
      <c r="F28" s="77"/>
      <c r="G28" s="50"/>
      <c r="H28" s="38"/>
      <c r="I28" s="38"/>
      <c r="J28" s="29"/>
      <c r="K28" s="76"/>
      <c r="L28" s="91"/>
      <c r="M28" s="42"/>
    </row>
    <row r="29" spans="2:18" ht="16.5" x14ac:dyDescent="0.3">
      <c r="B29" s="29"/>
      <c r="C29" s="29"/>
      <c r="D29" s="29"/>
      <c r="E29" s="76"/>
      <c r="F29" s="77"/>
      <c r="G29" s="50"/>
      <c r="H29" s="38"/>
      <c r="I29" s="38"/>
      <c r="J29" s="29"/>
      <c r="K29" s="76"/>
      <c r="L29" s="91"/>
      <c r="M29" s="42"/>
    </row>
    <row r="30" spans="2:18" ht="16.5" x14ac:dyDescent="0.3">
      <c r="B30" s="29"/>
      <c r="C30" s="29"/>
      <c r="D30" s="29"/>
      <c r="E30" s="76"/>
      <c r="F30" s="77"/>
      <c r="G30" s="50"/>
      <c r="H30" s="38"/>
      <c r="I30" s="38"/>
      <c r="J30" s="29"/>
      <c r="K30" s="76"/>
      <c r="L30" s="91"/>
      <c r="M30" s="42"/>
    </row>
    <row r="31" spans="2:18" ht="16.5" x14ac:dyDescent="0.3">
      <c r="B31" s="29"/>
      <c r="C31" s="29"/>
      <c r="D31" s="29"/>
      <c r="E31" s="76"/>
      <c r="F31" s="77"/>
      <c r="G31" s="50"/>
      <c r="H31" s="38"/>
      <c r="I31" s="38"/>
      <c r="J31" s="29"/>
      <c r="K31" s="76"/>
      <c r="L31" s="91"/>
      <c r="M31" s="42"/>
    </row>
    <row r="32" spans="2:18" ht="16.5" x14ac:dyDescent="0.3">
      <c r="B32" s="29"/>
      <c r="C32" s="29"/>
      <c r="D32" s="37"/>
      <c r="E32" s="76"/>
      <c r="F32" s="77"/>
      <c r="G32" s="50"/>
      <c r="H32" s="38"/>
      <c r="I32" s="38"/>
      <c r="J32" s="37"/>
      <c r="K32" s="32"/>
      <c r="L32" s="32"/>
      <c r="M32" s="32"/>
    </row>
    <row r="33" spans="2:18" ht="16.5" x14ac:dyDescent="0.3">
      <c r="B33" s="29"/>
      <c r="C33" s="29"/>
      <c r="D33" s="37"/>
      <c r="E33" s="76"/>
      <c r="F33" s="50"/>
      <c r="G33" s="50"/>
      <c r="H33" s="38"/>
      <c r="I33" s="38"/>
      <c r="J33" s="37"/>
      <c r="K33" s="107" t="s">
        <v>141</v>
      </c>
      <c r="L33" s="108"/>
      <c r="M33" s="109"/>
    </row>
    <row r="34" spans="2:18" ht="16.5" x14ac:dyDescent="0.3">
      <c r="B34" s="37"/>
      <c r="C34" s="37"/>
      <c r="D34" s="37"/>
      <c r="E34" s="78"/>
      <c r="F34" s="79"/>
      <c r="G34" s="40"/>
      <c r="H34" s="41"/>
      <c r="I34" s="41"/>
      <c r="J34" s="37"/>
      <c r="K34" s="22" t="s">
        <v>22</v>
      </c>
      <c r="L34" s="21" t="s">
        <v>28</v>
      </c>
      <c r="M34" s="22" t="s">
        <v>29</v>
      </c>
    </row>
    <row r="35" spans="2:18" ht="16.5" customHeight="1" x14ac:dyDescent="0.25">
      <c r="B35" s="37"/>
      <c r="C35" s="37"/>
      <c r="D35" s="37"/>
      <c r="E35" s="34"/>
      <c r="F35" s="34"/>
      <c r="G35" s="34"/>
      <c r="H35" s="36"/>
      <c r="I35" s="36"/>
      <c r="J35" s="37"/>
      <c r="K35" s="76"/>
      <c r="L35" s="76"/>
      <c r="M35" s="91"/>
    </row>
    <row r="36" spans="2:18" ht="16.5" customHeight="1" x14ac:dyDescent="0.25">
      <c r="B36" s="37"/>
      <c r="C36" s="37"/>
      <c r="D36" s="37"/>
      <c r="E36" s="105" t="s">
        <v>140</v>
      </c>
      <c r="F36" s="106"/>
      <c r="G36" s="106"/>
      <c r="H36" s="106"/>
      <c r="I36" s="106"/>
      <c r="J36" s="37"/>
      <c r="K36" s="76"/>
      <c r="L36" s="76"/>
      <c r="M36" s="91"/>
    </row>
    <row r="37" spans="2:18" ht="16.5" customHeight="1" x14ac:dyDescent="0.3">
      <c r="B37" s="37"/>
      <c r="C37" s="37"/>
      <c r="D37" s="37"/>
      <c r="E37" s="16" t="s">
        <v>22</v>
      </c>
      <c r="F37" s="15" t="s">
        <v>15</v>
      </c>
      <c r="G37" s="16" t="s">
        <v>16</v>
      </c>
      <c r="H37" s="17" t="s">
        <v>26</v>
      </c>
      <c r="I37" s="17" t="s">
        <v>27</v>
      </c>
      <c r="J37" s="37"/>
      <c r="K37" s="76"/>
      <c r="L37" s="76"/>
      <c r="M37" s="91"/>
    </row>
    <row r="38" spans="2:18" ht="16.5" customHeight="1" x14ac:dyDescent="0.25">
      <c r="B38" s="37"/>
      <c r="C38" s="37"/>
      <c r="D38" s="37"/>
      <c r="E38" s="76"/>
      <c r="F38" s="77"/>
      <c r="G38" s="50"/>
      <c r="H38" s="38"/>
      <c r="I38" s="38"/>
      <c r="J38" s="37"/>
      <c r="K38" s="76"/>
      <c r="L38" s="76"/>
      <c r="M38" s="91"/>
    </row>
    <row r="39" spans="2:18" ht="16.5" customHeight="1" x14ac:dyDescent="0.25">
      <c r="B39" s="37"/>
      <c r="C39" s="37"/>
      <c r="D39" s="37"/>
      <c r="E39" s="83"/>
      <c r="F39" s="77"/>
      <c r="G39" s="50"/>
      <c r="H39" s="38"/>
      <c r="I39" s="38"/>
      <c r="J39" s="37"/>
      <c r="K39" s="76"/>
      <c r="L39" s="76"/>
      <c r="M39" s="91"/>
    </row>
    <row r="40" spans="2:18" ht="16.5" customHeight="1" x14ac:dyDescent="0.25">
      <c r="B40" s="37"/>
      <c r="C40" s="37"/>
      <c r="D40" s="37"/>
      <c r="E40" s="76"/>
      <c r="F40" s="77"/>
      <c r="G40" s="50"/>
      <c r="H40" s="38"/>
      <c r="I40" s="38"/>
      <c r="J40" s="37"/>
      <c r="K40" s="78"/>
      <c r="L40" s="78"/>
      <c r="M40" s="92"/>
      <c r="Q40" s="1" t="s">
        <v>33</v>
      </c>
      <c r="R40" s="1">
        <f>SUM(R6:R21)</f>
        <v>9</v>
      </c>
    </row>
    <row r="41" spans="2:18" ht="16.5" customHeight="1" x14ac:dyDescent="0.25">
      <c r="B41" s="37"/>
      <c r="C41" s="37"/>
      <c r="D41" s="37"/>
      <c r="E41" s="76"/>
      <c r="F41" s="77"/>
      <c r="G41" s="50"/>
      <c r="H41" s="38"/>
      <c r="I41" s="38"/>
      <c r="J41" s="37"/>
      <c r="K41" s="76"/>
      <c r="L41" s="76"/>
      <c r="M41" s="92"/>
    </row>
    <row r="42" spans="2:18" ht="13.5" x14ac:dyDescent="0.25">
      <c r="B42" s="37"/>
      <c r="C42" s="37"/>
      <c r="D42" s="37"/>
      <c r="E42" s="76"/>
      <c r="F42" s="50"/>
      <c r="G42" s="50"/>
      <c r="H42" s="38"/>
      <c r="I42" s="38"/>
      <c r="J42" s="37"/>
      <c r="K42" s="32"/>
      <c r="L42" s="32"/>
      <c r="M42" s="32"/>
    </row>
    <row r="43" spans="2:18" ht="13.5" x14ac:dyDescent="0.25">
      <c r="B43" s="37"/>
      <c r="C43" s="37"/>
      <c r="D43" s="37"/>
      <c r="E43" s="78"/>
      <c r="F43" s="79"/>
      <c r="G43" s="40"/>
      <c r="H43" s="41"/>
      <c r="I43" s="38"/>
      <c r="J43" s="37"/>
      <c r="K43" s="32"/>
      <c r="L43" s="32"/>
      <c r="M43" s="32"/>
    </row>
    <row r="44" spans="2:18" ht="13.5" x14ac:dyDescent="0.25">
      <c r="B44" s="37"/>
      <c r="C44" s="37"/>
      <c r="D44" s="37"/>
      <c r="E44" s="82"/>
      <c r="F44" s="50"/>
      <c r="G44" s="50"/>
      <c r="H44" s="38"/>
      <c r="I44" s="38"/>
      <c r="J44" s="37"/>
      <c r="K44" s="32"/>
      <c r="L44" s="32"/>
      <c r="M44" s="32"/>
    </row>
    <row r="45" spans="2:18" ht="13.5" x14ac:dyDescent="0.25">
      <c r="B45" s="37"/>
      <c r="C45" s="37"/>
      <c r="D45" s="37"/>
      <c r="E45" s="34"/>
      <c r="F45" s="34"/>
      <c r="G45" s="34"/>
      <c r="H45" s="36"/>
      <c r="I45" s="36"/>
      <c r="J45" s="37"/>
      <c r="K45" s="32"/>
      <c r="L45" s="32"/>
      <c r="M45" s="32"/>
    </row>
    <row r="46" spans="2:18" ht="13.5" x14ac:dyDescent="0.25">
      <c r="E46" s="34"/>
      <c r="F46" s="34"/>
      <c r="G46" s="34"/>
      <c r="H46" s="36"/>
      <c r="I46" s="36"/>
    </row>
    <row r="47" spans="2:18" ht="13.5" x14ac:dyDescent="0.25">
      <c r="E47" s="34"/>
      <c r="F47" s="34"/>
      <c r="G47" s="34"/>
      <c r="H47" s="36"/>
      <c r="I47" s="36"/>
    </row>
    <row r="48" spans="2:18" ht="13.5" x14ac:dyDescent="0.25">
      <c r="E48" s="34"/>
      <c r="F48" s="34"/>
      <c r="G48" s="34"/>
      <c r="H48" s="36"/>
      <c r="I48" s="36"/>
    </row>
  </sheetData>
  <mergeCells count="11">
    <mergeCell ref="B1:C1"/>
    <mergeCell ref="L1:M1"/>
    <mergeCell ref="E24:I24"/>
    <mergeCell ref="E36:I36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G38:G44 G26:G34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I38:I44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E38:E44 K35:K41 K15:K31 E26:E34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5"/>
  <sheetViews>
    <sheetView showGridLines="0" view="pageBreakPreview" topLeftCell="A15" zoomScale="89" zoomScaleNormal="90" zoomScaleSheetLayoutView="89" workbookViewId="0">
      <selection activeCell="K17" sqref="K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34.7109375" style="1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'13'!B1+1</f>
        <v>45883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4" t="s">
        <v>0</v>
      </c>
      <c r="C4" s="25">
        <v>0</v>
      </c>
      <c r="D4" s="57"/>
      <c r="E4" s="113" t="s">
        <v>137</v>
      </c>
      <c r="F4" s="113"/>
      <c r="G4" s="113"/>
      <c r="H4" s="113"/>
      <c r="I4" s="113"/>
      <c r="J4" s="29"/>
      <c r="K4" s="107" t="s">
        <v>138</v>
      </c>
      <c r="L4" s="108"/>
      <c r="M4" s="109"/>
    </row>
    <row r="5" spans="2:18" ht="16.5" x14ac:dyDescent="0.3">
      <c r="B5" s="27" t="s">
        <v>1</v>
      </c>
      <c r="C5" s="28">
        <f>SUMIF(I6:I31,"&gt;0",H6:H31)</f>
        <v>4248.9799999999996</v>
      </c>
      <c r="D5" s="29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29"/>
      <c r="K5" s="21" t="s">
        <v>18</v>
      </c>
      <c r="L5" s="22" t="s">
        <v>19</v>
      </c>
      <c r="M5" s="23" t="s">
        <v>20</v>
      </c>
    </row>
    <row r="6" spans="2:18" ht="16.5" x14ac:dyDescent="0.3">
      <c r="B6" s="27" t="s">
        <v>2</v>
      </c>
      <c r="C6" s="28">
        <f>C16</f>
        <v>4772.9799999999996</v>
      </c>
      <c r="D6" s="29"/>
      <c r="E6" s="76">
        <v>11592</v>
      </c>
      <c r="F6" s="77" t="s">
        <v>272</v>
      </c>
      <c r="G6" s="49" t="s">
        <v>8</v>
      </c>
      <c r="H6" s="38">
        <v>990</v>
      </c>
      <c r="I6" s="38">
        <v>990</v>
      </c>
      <c r="J6" s="29"/>
      <c r="K6" s="77"/>
      <c r="L6" s="91"/>
      <c r="M6" s="42"/>
      <c r="R6" s="1">
        <f>IF(vend14[[#This Row],[Nº Venda]]&gt;1,1,0)</f>
        <v>1</v>
      </c>
    </row>
    <row r="7" spans="2:18" ht="16.5" x14ac:dyDescent="0.3">
      <c r="B7" s="27" t="s">
        <v>3</v>
      </c>
      <c r="C7" s="28">
        <f>SUM(M6:M11)</f>
        <v>0</v>
      </c>
      <c r="D7" s="29"/>
      <c r="E7" s="76">
        <v>11593</v>
      </c>
      <c r="F7" s="77" t="s">
        <v>273</v>
      </c>
      <c r="G7" s="49" t="s">
        <v>8</v>
      </c>
      <c r="H7" s="38">
        <v>1490</v>
      </c>
      <c r="I7" s="38">
        <v>1490</v>
      </c>
      <c r="J7" s="29"/>
      <c r="K7" s="77"/>
      <c r="L7" s="91"/>
      <c r="M7" s="42"/>
      <c r="R7" s="1">
        <f>IF(vend14[[#This Row],[Nº Venda]]&gt;1,1,0)</f>
        <v>1</v>
      </c>
    </row>
    <row r="8" spans="2:18" ht="16.5" x14ac:dyDescent="0.3">
      <c r="B8" s="30" t="s">
        <v>21</v>
      </c>
      <c r="C8" s="31">
        <f>SUM(C6:C7)</f>
        <v>4772.9799999999996</v>
      </c>
      <c r="D8" s="29"/>
      <c r="E8" s="76">
        <v>11594</v>
      </c>
      <c r="F8" s="77" t="s">
        <v>296</v>
      </c>
      <c r="G8" s="50" t="s">
        <v>8</v>
      </c>
      <c r="H8" s="38">
        <v>299</v>
      </c>
      <c r="I8" s="38">
        <v>299</v>
      </c>
      <c r="J8" s="29"/>
      <c r="K8" s="77"/>
      <c r="L8" s="91"/>
      <c r="M8" s="42"/>
      <c r="R8" s="1">
        <f>IF(vend14[[#This Row],[Nº Venda]]&gt;1,1,0)</f>
        <v>1</v>
      </c>
    </row>
    <row r="9" spans="2:18" ht="16.5" x14ac:dyDescent="0.3">
      <c r="B9" s="26"/>
      <c r="C9" s="26"/>
      <c r="D9" s="29"/>
      <c r="E9" s="76">
        <v>11595</v>
      </c>
      <c r="F9" s="77" t="s">
        <v>276</v>
      </c>
      <c r="G9" s="50" t="s">
        <v>8</v>
      </c>
      <c r="H9" s="38">
        <v>1390</v>
      </c>
      <c r="I9" s="38">
        <v>1390</v>
      </c>
      <c r="J9" s="29"/>
      <c r="K9" s="77"/>
      <c r="L9" s="91"/>
      <c r="M9" s="42"/>
      <c r="R9" s="1">
        <f>IF(vend14[[#This Row],[Nº Venda]]&gt;1,1,0)</f>
        <v>1</v>
      </c>
    </row>
    <row r="10" spans="2:18" ht="16.5" x14ac:dyDescent="0.3">
      <c r="B10" s="114" t="s">
        <v>5</v>
      </c>
      <c r="C10" s="115"/>
      <c r="D10" s="29"/>
      <c r="E10" s="76">
        <v>11596</v>
      </c>
      <c r="F10" s="77" t="s">
        <v>295</v>
      </c>
      <c r="G10" s="50" t="s">
        <v>46</v>
      </c>
      <c r="H10" s="38">
        <v>0</v>
      </c>
      <c r="I10" s="38">
        <v>0</v>
      </c>
      <c r="J10" s="29"/>
      <c r="K10" s="77"/>
      <c r="L10" s="91"/>
      <c r="M10" s="42"/>
      <c r="R10" s="1">
        <f>IF(vend14[[#This Row],[Nº Venda]]&gt;1,1,0)</f>
        <v>1</v>
      </c>
    </row>
    <row r="11" spans="2:18" ht="16.5" x14ac:dyDescent="0.3">
      <c r="B11" s="27" t="s">
        <v>6</v>
      </c>
      <c r="C11" s="70">
        <f>(SUMIF($G$2:$G$31,B11,$I$2:$I$31))+(SUMIF($G$35:$G$41,B11,$H$35:$H$41))</f>
        <v>200</v>
      </c>
      <c r="D11" s="29"/>
      <c r="E11" s="76">
        <v>11597</v>
      </c>
      <c r="F11" s="77" t="s">
        <v>293</v>
      </c>
      <c r="G11" s="50" t="s">
        <v>8</v>
      </c>
      <c r="H11" s="38">
        <v>79.98</v>
      </c>
      <c r="I11" s="38">
        <v>79.98</v>
      </c>
      <c r="J11" s="29"/>
      <c r="K11" s="37"/>
      <c r="L11" s="91"/>
      <c r="M11" s="42"/>
      <c r="O11" s="1">
        <f>IF(C16=0,0,1)</f>
        <v>1</v>
      </c>
      <c r="R11" s="1">
        <f>IF(vend14[[#This Row],[Nº Venda]]&gt;1,1,0)</f>
        <v>1</v>
      </c>
    </row>
    <row r="12" spans="2:18" ht="16.5" x14ac:dyDescent="0.3">
      <c r="B12" s="27" t="s">
        <v>7</v>
      </c>
      <c r="C12" s="70">
        <f t="shared" ref="C12:C15" si="0">(SUMIF($G$2:$G$31,B12,$I$2:$I$31))+(SUMIF($G$35:$G$41,B12,$H$35:$H$41))</f>
        <v>324</v>
      </c>
      <c r="D12" s="29"/>
      <c r="E12" s="76"/>
      <c r="F12" s="77"/>
      <c r="G12" s="50"/>
      <c r="H12" s="38"/>
      <c r="I12" s="38"/>
      <c r="J12" s="29"/>
      <c r="K12" s="32"/>
      <c r="L12" s="32"/>
      <c r="M12" s="32"/>
      <c r="R12" s="1">
        <f>IF(vend14[[#This Row],[Nº Venda]]&gt;1,1,0)</f>
        <v>0</v>
      </c>
    </row>
    <row r="13" spans="2:18" ht="16.5" x14ac:dyDescent="0.3">
      <c r="B13" s="27" t="s">
        <v>8</v>
      </c>
      <c r="C13" s="70">
        <f t="shared" si="0"/>
        <v>4248.9799999999996</v>
      </c>
      <c r="D13" s="29"/>
      <c r="E13" s="76"/>
      <c r="F13" s="77"/>
      <c r="G13" s="50"/>
      <c r="H13" s="38"/>
      <c r="I13" s="38"/>
      <c r="J13" s="29"/>
      <c r="K13" s="107" t="s">
        <v>142</v>
      </c>
      <c r="L13" s="108"/>
      <c r="M13" s="109"/>
      <c r="R13" s="1">
        <f>IF(vend14[[#This Row],[Nº Venda]]&gt;1,1,0)</f>
        <v>0</v>
      </c>
    </row>
    <row r="14" spans="2:18" ht="16.5" x14ac:dyDescent="0.3">
      <c r="B14" s="27" t="s">
        <v>9</v>
      </c>
      <c r="C14" s="70">
        <f t="shared" si="0"/>
        <v>0</v>
      </c>
      <c r="D14" s="29"/>
      <c r="E14" s="76"/>
      <c r="F14" s="77"/>
      <c r="G14" s="50"/>
      <c r="H14" s="38"/>
      <c r="I14" s="38"/>
      <c r="J14" s="29"/>
      <c r="K14" s="21" t="s">
        <v>22</v>
      </c>
      <c r="L14" s="22" t="s">
        <v>23</v>
      </c>
      <c r="M14" s="23" t="s">
        <v>24</v>
      </c>
      <c r="R14" s="1">
        <f>IF(vend14[[#This Row],[Nº Venda]]&gt;1,1,0)</f>
        <v>0</v>
      </c>
    </row>
    <row r="15" spans="2:18" ht="16.5" x14ac:dyDescent="0.3">
      <c r="B15" s="27" t="s">
        <v>10</v>
      </c>
      <c r="C15" s="70">
        <f t="shared" si="0"/>
        <v>0</v>
      </c>
      <c r="D15" s="29"/>
      <c r="E15" s="76"/>
      <c r="F15" s="77"/>
      <c r="G15" s="50"/>
      <c r="H15" s="38"/>
      <c r="I15" s="38"/>
      <c r="J15" s="29"/>
      <c r="K15" s="76">
        <v>11294</v>
      </c>
      <c r="L15" s="91" t="s">
        <v>131</v>
      </c>
      <c r="M15" s="42" t="s">
        <v>145</v>
      </c>
      <c r="R15" s="1">
        <f>IF(vend14[[#This Row],[Nº Venda]]&gt;1,1,0)</f>
        <v>0</v>
      </c>
    </row>
    <row r="16" spans="2:18" ht="16.5" x14ac:dyDescent="0.3">
      <c r="B16" s="30" t="s">
        <v>11</v>
      </c>
      <c r="C16" s="71">
        <f>SUM(C11:C15)</f>
        <v>4772.9799999999996</v>
      </c>
      <c r="D16" s="29"/>
      <c r="E16" s="76"/>
      <c r="F16" s="77"/>
      <c r="G16" s="50"/>
      <c r="H16" s="38"/>
      <c r="I16" s="38"/>
      <c r="J16" s="29"/>
      <c r="K16" s="76">
        <v>11446</v>
      </c>
      <c r="L16" s="91" t="s">
        <v>129</v>
      </c>
      <c r="M16" s="42" t="s">
        <v>145</v>
      </c>
      <c r="R16" s="1">
        <f>IF(vend14[[#This Row],[Nº Venda]]&gt;1,1,0)</f>
        <v>0</v>
      </c>
    </row>
    <row r="17" spans="2:18" ht="16.5" x14ac:dyDescent="0.3">
      <c r="B17" s="26"/>
      <c r="C17" s="26"/>
      <c r="D17" s="29"/>
      <c r="E17" s="76"/>
      <c r="F17" s="77"/>
      <c r="G17" s="50"/>
      <c r="H17" s="38"/>
      <c r="I17" s="38"/>
      <c r="J17" s="29"/>
      <c r="K17" s="76">
        <v>11457</v>
      </c>
      <c r="L17" s="91" t="s">
        <v>131</v>
      </c>
      <c r="M17" s="42" t="s">
        <v>145</v>
      </c>
      <c r="R17" s="1">
        <f>IF(vend14[[#This Row],[Nº Venda]]&gt;1,1,0)</f>
        <v>0</v>
      </c>
    </row>
    <row r="18" spans="2:18" ht="16.5" x14ac:dyDescent="0.3">
      <c r="B18" s="114" t="s">
        <v>12</v>
      </c>
      <c r="C18" s="115"/>
      <c r="D18" s="29"/>
      <c r="E18" s="76"/>
      <c r="F18" s="77"/>
      <c r="G18" s="50"/>
      <c r="H18" s="38"/>
      <c r="I18" s="38"/>
      <c r="J18" s="29"/>
      <c r="K18" s="76">
        <v>11464</v>
      </c>
      <c r="L18" s="91" t="s">
        <v>129</v>
      </c>
      <c r="M18" s="42" t="s">
        <v>145</v>
      </c>
      <c r="R18" s="1">
        <f>IF(vend14[[#This Row],[Nº Venda]]&gt;1,1,0)</f>
        <v>0</v>
      </c>
    </row>
    <row r="19" spans="2:18" ht="16.5" x14ac:dyDescent="0.3">
      <c r="B19" s="27">
        <f>COUNT(entr_carn14[OS])</f>
        <v>0</v>
      </c>
      <c r="C19" s="70">
        <f>SUM(entr_carn14[Valor Total])</f>
        <v>0</v>
      </c>
      <c r="D19" s="29"/>
      <c r="E19" s="76"/>
      <c r="F19" s="77"/>
      <c r="G19" s="50"/>
      <c r="H19" s="38"/>
      <c r="I19" s="38"/>
      <c r="J19" s="29"/>
      <c r="K19" s="76">
        <v>11561</v>
      </c>
      <c r="L19" s="91" t="s">
        <v>131</v>
      </c>
      <c r="M19" s="42" t="s">
        <v>145</v>
      </c>
      <c r="R19" s="1">
        <f>IF(vend14[[#This Row],[Nº Venda]]&gt;1,1,0)</f>
        <v>0</v>
      </c>
    </row>
    <row r="20" spans="2:18" ht="16.5" x14ac:dyDescent="0.3">
      <c r="B20" s="30" t="s">
        <v>11</v>
      </c>
      <c r="C20" s="71">
        <f>SUM(C19:C19)</f>
        <v>0</v>
      </c>
      <c r="D20" s="29"/>
      <c r="E20" s="76"/>
      <c r="F20" s="50"/>
      <c r="G20" s="50"/>
      <c r="H20" s="38"/>
      <c r="I20" s="38"/>
      <c r="J20" s="29"/>
      <c r="K20" s="76">
        <v>11578</v>
      </c>
      <c r="L20" s="91" t="s">
        <v>129</v>
      </c>
      <c r="M20" s="42" t="s">
        <v>145</v>
      </c>
      <c r="R20" s="1">
        <f>IF(vend14[[#This Row],[Nº Venda]]&gt;1,1,0)</f>
        <v>0</v>
      </c>
    </row>
    <row r="21" spans="2:18" ht="16.5" x14ac:dyDescent="0.3">
      <c r="B21" s="26"/>
      <c r="C21" s="26"/>
      <c r="D21" s="29"/>
      <c r="E21" s="76"/>
      <c r="F21" s="77"/>
      <c r="G21" s="50"/>
      <c r="H21" s="38"/>
      <c r="I21" s="38"/>
      <c r="J21" s="29"/>
      <c r="K21" s="76"/>
      <c r="L21" s="91"/>
      <c r="M21" s="42"/>
    </row>
    <row r="22" spans="2:18" ht="16.5" x14ac:dyDescent="0.3">
      <c r="B22" s="30" t="s">
        <v>25</v>
      </c>
      <c r="C22" s="33">
        <f>C5</f>
        <v>4248.9799999999996</v>
      </c>
      <c r="D22" s="29"/>
      <c r="E22" s="78"/>
      <c r="F22" s="77"/>
      <c r="G22" s="50"/>
      <c r="H22" s="38"/>
      <c r="I22" s="38"/>
      <c r="J22" s="29"/>
      <c r="K22" s="76"/>
      <c r="L22" s="91"/>
      <c r="M22" s="42"/>
    </row>
    <row r="23" spans="2:18" ht="16.5" x14ac:dyDescent="0.3">
      <c r="B23" s="29"/>
      <c r="C23" s="29"/>
      <c r="D23" s="29"/>
      <c r="E23" s="34"/>
      <c r="F23" s="34"/>
      <c r="G23" s="34"/>
      <c r="H23" s="35"/>
      <c r="I23" s="36"/>
      <c r="J23" s="29"/>
      <c r="K23" s="76"/>
      <c r="L23" s="91"/>
      <c r="M23" s="42"/>
    </row>
    <row r="24" spans="2:18" ht="16.5" x14ac:dyDescent="0.3">
      <c r="B24" s="29"/>
      <c r="C24" s="29"/>
      <c r="D24" s="29"/>
      <c r="E24" s="105" t="s">
        <v>139</v>
      </c>
      <c r="F24" s="106"/>
      <c r="G24" s="106"/>
      <c r="H24" s="106"/>
      <c r="I24" s="106"/>
      <c r="J24" s="29"/>
      <c r="K24" s="76"/>
      <c r="L24" s="91"/>
      <c r="M24" s="42"/>
    </row>
    <row r="25" spans="2:18" ht="16.5" x14ac:dyDescent="0.3">
      <c r="B25" s="29"/>
      <c r="C25" s="29"/>
      <c r="D25" s="29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29"/>
      <c r="K25" s="76"/>
      <c r="L25" s="91"/>
      <c r="M25" s="42"/>
    </row>
    <row r="26" spans="2:18" ht="16.5" x14ac:dyDescent="0.3">
      <c r="B26" s="29"/>
      <c r="C26" s="29"/>
      <c r="D26" s="29"/>
      <c r="E26" s="76">
        <v>11457</v>
      </c>
      <c r="F26" s="77" t="s">
        <v>274</v>
      </c>
      <c r="G26" s="50" t="s">
        <v>7</v>
      </c>
      <c r="H26" s="38"/>
      <c r="I26" s="38">
        <v>324</v>
      </c>
      <c r="J26" s="29"/>
      <c r="K26" s="76"/>
      <c r="L26" s="91"/>
      <c r="M26" s="42"/>
    </row>
    <row r="27" spans="2:18" ht="16.5" x14ac:dyDescent="0.3">
      <c r="B27" s="29"/>
      <c r="C27" s="29"/>
      <c r="D27" s="29"/>
      <c r="E27" s="76"/>
      <c r="F27" s="77"/>
      <c r="G27" s="50"/>
      <c r="H27" s="38"/>
      <c r="I27" s="38"/>
      <c r="J27" s="29"/>
      <c r="K27" s="76"/>
      <c r="L27" s="91"/>
      <c r="M27" s="42"/>
    </row>
    <row r="28" spans="2:18" ht="16.5" x14ac:dyDescent="0.3">
      <c r="B28" s="29"/>
      <c r="C28" s="29"/>
      <c r="D28" s="29"/>
      <c r="E28" s="76"/>
      <c r="F28" s="77"/>
      <c r="G28" s="50"/>
      <c r="H28" s="38"/>
      <c r="I28" s="38"/>
      <c r="J28" s="29"/>
      <c r="K28" s="76"/>
      <c r="L28" s="91"/>
      <c r="M28" s="42"/>
    </row>
    <row r="29" spans="2:18" ht="16.5" x14ac:dyDescent="0.3">
      <c r="B29" s="29"/>
      <c r="C29" s="29"/>
      <c r="D29" s="29"/>
      <c r="E29" s="76"/>
      <c r="F29" s="77"/>
      <c r="G29" s="50"/>
      <c r="H29" s="38"/>
      <c r="I29" s="38"/>
      <c r="J29" s="29"/>
      <c r="K29" s="76"/>
      <c r="L29" s="91"/>
      <c r="M29" s="42"/>
    </row>
    <row r="30" spans="2:18" ht="16.5" x14ac:dyDescent="0.3">
      <c r="B30" s="29"/>
      <c r="C30" s="29"/>
      <c r="D30" s="29"/>
      <c r="E30" s="76"/>
      <c r="F30" s="50"/>
      <c r="G30" s="50"/>
      <c r="H30" s="38"/>
      <c r="I30" s="38"/>
      <c r="J30" s="29"/>
      <c r="K30" s="76"/>
      <c r="L30" s="91"/>
      <c r="M30" s="42"/>
    </row>
    <row r="31" spans="2:18" ht="16.5" x14ac:dyDescent="0.3">
      <c r="B31" s="29"/>
      <c r="C31" s="29"/>
      <c r="D31" s="29"/>
      <c r="E31" s="78"/>
      <c r="F31" s="79"/>
      <c r="G31" s="40"/>
      <c r="H31" s="41"/>
      <c r="I31" s="41"/>
      <c r="J31" s="29"/>
      <c r="K31" s="76"/>
      <c r="L31" s="91"/>
      <c r="M31" s="42"/>
    </row>
    <row r="32" spans="2:18" ht="16.5" x14ac:dyDescent="0.3">
      <c r="B32" s="29"/>
      <c r="C32" s="29"/>
      <c r="D32" s="37"/>
      <c r="E32" s="34"/>
      <c r="F32" s="34"/>
      <c r="G32" s="34"/>
      <c r="H32" s="36"/>
      <c r="I32" s="36"/>
      <c r="J32" s="37"/>
      <c r="K32" s="32"/>
      <c r="L32" s="32"/>
      <c r="M32" s="32"/>
    </row>
    <row r="33" spans="2:18" ht="16.5" x14ac:dyDescent="0.3">
      <c r="B33" s="29"/>
      <c r="C33" s="29"/>
      <c r="D33" s="37"/>
      <c r="E33" s="105" t="s">
        <v>140</v>
      </c>
      <c r="F33" s="106"/>
      <c r="G33" s="106"/>
      <c r="H33" s="106"/>
      <c r="I33" s="106"/>
      <c r="J33" s="37"/>
      <c r="K33" s="107" t="s">
        <v>141</v>
      </c>
      <c r="L33" s="108"/>
      <c r="M33" s="109"/>
    </row>
    <row r="34" spans="2:18" ht="16.5" x14ac:dyDescent="0.3">
      <c r="B34" s="37"/>
      <c r="C34" s="37"/>
      <c r="D34" s="37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7"/>
      <c r="K34" s="22" t="s">
        <v>22</v>
      </c>
      <c r="L34" s="21" t="s">
        <v>28</v>
      </c>
      <c r="M34" s="22" t="s">
        <v>29</v>
      </c>
    </row>
    <row r="35" spans="2:18" ht="16.5" customHeight="1" x14ac:dyDescent="0.25">
      <c r="B35" s="37"/>
      <c r="C35" s="37"/>
      <c r="D35" s="37"/>
      <c r="E35" s="76">
        <v>10417</v>
      </c>
      <c r="F35" s="77" t="s">
        <v>275</v>
      </c>
      <c r="G35" s="50" t="s">
        <v>6</v>
      </c>
      <c r="H35" s="38">
        <v>100</v>
      </c>
      <c r="I35" s="38" t="s">
        <v>38</v>
      </c>
      <c r="J35" s="37"/>
      <c r="K35" s="76"/>
      <c r="L35" s="76"/>
      <c r="M35" s="91"/>
    </row>
    <row r="36" spans="2:18" ht="16.5" customHeight="1" x14ac:dyDescent="0.25">
      <c r="B36" s="37"/>
      <c r="C36" s="37"/>
      <c r="D36" s="37"/>
      <c r="E36" s="83">
        <v>10417</v>
      </c>
      <c r="F36" s="77" t="s">
        <v>275</v>
      </c>
      <c r="G36" s="50" t="s">
        <v>6</v>
      </c>
      <c r="H36" s="38">
        <v>100</v>
      </c>
      <c r="I36" s="38" t="s">
        <v>50</v>
      </c>
      <c r="J36" s="37"/>
      <c r="K36" s="76"/>
      <c r="L36" s="76"/>
      <c r="M36" s="91"/>
    </row>
    <row r="37" spans="2:18" ht="16.5" customHeight="1" x14ac:dyDescent="0.25">
      <c r="B37" s="37"/>
      <c r="C37" s="37"/>
      <c r="D37" s="37"/>
      <c r="E37" s="76"/>
      <c r="F37" s="77"/>
      <c r="G37" s="50"/>
      <c r="H37" s="38"/>
      <c r="I37" s="38"/>
      <c r="J37" s="37"/>
      <c r="K37" s="76"/>
      <c r="L37" s="76"/>
      <c r="M37" s="91"/>
    </row>
    <row r="38" spans="2:18" ht="16.5" customHeight="1" x14ac:dyDescent="0.25">
      <c r="B38" s="37"/>
      <c r="C38" s="37"/>
      <c r="D38" s="37"/>
      <c r="E38" s="76"/>
      <c r="F38" s="77"/>
      <c r="G38" s="50"/>
      <c r="H38" s="38"/>
      <c r="I38" s="38"/>
      <c r="J38" s="37"/>
      <c r="K38" s="76"/>
      <c r="L38" s="76"/>
      <c r="M38" s="91"/>
    </row>
    <row r="39" spans="2:18" ht="16.5" customHeight="1" x14ac:dyDescent="0.25">
      <c r="B39" s="37"/>
      <c r="C39" s="37"/>
      <c r="D39" s="37"/>
      <c r="E39" s="76"/>
      <c r="F39" s="50"/>
      <c r="G39" s="50"/>
      <c r="H39" s="38"/>
      <c r="I39" s="38"/>
      <c r="J39" s="37"/>
      <c r="K39" s="76"/>
      <c r="L39" s="76"/>
      <c r="M39" s="91"/>
    </row>
    <row r="40" spans="2:18" ht="16.5" customHeight="1" x14ac:dyDescent="0.25">
      <c r="B40" s="37"/>
      <c r="C40" s="37"/>
      <c r="D40" s="37"/>
      <c r="E40" s="78"/>
      <c r="F40" s="79"/>
      <c r="G40" s="40"/>
      <c r="H40" s="41"/>
      <c r="I40" s="38"/>
      <c r="J40" s="37"/>
      <c r="K40" s="78"/>
      <c r="L40" s="78"/>
      <c r="M40" s="92"/>
      <c r="Q40" s="1" t="s">
        <v>33</v>
      </c>
      <c r="R40" s="1">
        <f>SUM(R6:R21)</f>
        <v>6</v>
      </c>
    </row>
    <row r="41" spans="2:18" ht="16.5" customHeight="1" x14ac:dyDescent="0.25">
      <c r="B41" s="37"/>
      <c r="C41" s="37"/>
      <c r="D41" s="37"/>
      <c r="E41" s="82"/>
      <c r="F41" s="50"/>
      <c r="G41" s="50"/>
      <c r="H41" s="38"/>
      <c r="I41" s="38"/>
      <c r="J41" s="37"/>
      <c r="K41" s="76"/>
      <c r="L41" s="76"/>
      <c r="M41" s="92"/>
    </row>
    <row r="42" spans="2:18" ht="13.5" x14ac:dyDescent="0.25">
      <c r="B42" s="37"/>
      <c r="C42" s="37"/>
      <c r="D42" s="37"/>
      <c r="E42" s="34"/>
      <c r="F42" s="34"/>
      <c r="G42" s="34"/>
      <c r="H42" s="36"/>
      <c r="I42" s="36"/>
      <c r="J42" s="37"/>
      <c r="K42" s="32"/>
      <c r="L42" s="32"/>
      <c r="M42" s="32"/>
    </row>
    <row r="43" spans="2:18" ht="13.5" x14ac:dyDescent="0.25">
      <c r="B43" s="37"/>
      <c r="C43" s="37"/>
      <c r="D43" s="37"/>
      <c r="E43" s="34"/>
      <c r="F43" s="34"/>
      <c r="G43" s="34"/>
      <c r="H43" s="36"/>
      <c r="I43" s="36"/>
      <c r="J43" s="37"/>
      <c r="K43" s="32"/>
      <c r="L43" s="32"/>
      <c r="M43" s="32"/>
    </row>
    <row r="44" spans="2:18" ht="13.5" x14ac:dyDescent="0.25">
      <c r="B44" s="37"/>
      <c r="C44" s="37"/>
      <c r="D44" s="37"/>
      <c r="E44" s="34"/>
      <c r="F44" s="34"/>
      <c r="G44" s="34"/>
      <c r="H44" s="36"/>
      <c r="I44" s="36"/>
      <c r="J44" s="37"/>
      <c r="K44" s="32"/>
      <c r="L44" s="32"/>
      <c r="M44" s="32"/>
    </row>
    <row r="45" spans="2:18" ht="13.5" x14ac:dyDescent="0.25">
      <c r="B45" s="37"/>
      <c r="C45" s="37"/>
      <c r="D45" s="37"/>
      <c r="E45" s="34"/>
      <c r="F45" s="34"/>
      <c r="G45" s="34"/>
      <c r="H45" s="36"/>
      <c r="I45" s="36"/>
      <c r="J45" s="37"/>
      <c r="K45" s="32"/>
      <c r="L45" s="32"/>
      <c r="M45" s="32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50"/>
  <sheetViews>
    <sheetView showGridLines="0" view="pageBreakPreview" topLeftCell="E1" zoomScale="98" zoomScaleNormal="90" zoomScaleSheetLayoutView="98" workbookViewId="0">
      <selection activeCell="F22" sqref="F22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36.42578125" style="11" bestFit="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'14'!B1+1</f>
        <v>45884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4" t="s">
        <v>0</v>
      </c>
      <c r="C4" s="25">
        <v>0</v>
      </c>
      <c r="D4" s="57"/>
      <c r="E4" s="113" t="s">
        <v>137</v>
      </c>
      <c r="F4" s="113"/>
      <c r="G4" s="113"/>
      <c r="H4" s="113"/>
      <c r="I4" s="113"/>
      <c r="J4" s="29"/>
      <c r="K4" s="107" t="s">
        <v>138</v>
      </c>
      <c r="L4" s="108"/>
      <c r="M4" s="109"/>
    </row>
    <row r="5" spans="2:18" ht="16.5" x14ac:dyDescent="0.3">
      <c r="B5" s="27" t="s">
        <v>1</v>
      </c>
      <c r="C5" s="28">
        <f>SUMIF(I6:I36,"&gt;0",H6:H36)</f>
        <v>10209.969999999999</v>
      </c>
      <c r="D5" s="29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29"/>
      <c r="K5" s="21" t="s">
        <v>18</v>
      </c>
      <c r="L5" s="22" t="s">
        <v>19</v>
      </c>
      <c r="M5" s="23" t="s">
        <v>20</v>
      </c>
    </row>
    <row r="6" spans="2:18" ht="16.5" x14ac:dyDescent="0.3">
      <c r="B6" s="27" t="s">
        <v>2</v>
      </c>
      <c r="C6" s="28">
        <f>C16</f>
        <v>7343.9599999999991</v>
      </c>
      <c r="D6" s="29"/>
      <c r="E6" s="76">
        <v>11598</v>
      </c>
      <c r="F6" s="77" t="s">
        <v>290</v>
      </c>
      <c r="G6" s="50" t="s">
        <v>6</v>
      </c>
      <c r="H6" s="38">
        <v>2300</v>
      </c>
      <c r="I6" s="38">
        <v>250</v>
      </c>
      <c r="J6" s="29"/>
      <c r="K6" s="77" t="s">
        <v>177</v>
      </c>
      <c r="L6" s="91" t="s">
        <v>6</v>
      </c>
      <c r="M6" s="42">
        <v>2500</v>
      </c>
      <c r="R6" s="1">
        <f>IF(vend15[[#This Row],[Nº Venda]]&gt;1,1,0)</f>
        <v>1</v>
      </c>
    </row>
    <row r="7" spans="2:18" ht="16.5" x14ac:dyDescent="0.3">
      <c r="B7" s="27" t="s">
        <v>3</v>
      </c>
      <c r="C7" s="28">
        <f>SUM(M6:M11)</f>
        <v>2500</v>
      </c>
      <c r="D7" s="29"/>
      <c r="E7" s="76">
        <v>11599</v>
      </c>
      <c r="F7" s="77" t="s">
        <v>290</v>
      </c>
      <c r="G7" s="50" t="s">
        <v>6</v>
      </c>
      <c r="H7" s="38">
        <v>390</v>
      </c>
      <c r="I7" s="38">
        <v>250</v>
      </c>
      <c r="J7" s="29"/>
      <c r="K7" s="77"/>
      <c r="L7" s="91"/>
      <c r="M7" s="42"/>
      <c r="R7" s="1">
        <f>IF(vend15[[#This Row],[Nº Venda]]&gt;1,1,0)</f>
        <v>1</v>
      </c>
    </row>
    <row r="8" spans="2:18" ht="16.5" x14ac:dyDescent="0.3">
      <c r="B8" s="30" t="s">
        <v>21</v>
      </c>
      <c r="C8" s="31">
        <f>SUM(C6:C7)</f>
        <v>9843.9599999999991</v>
      </c>
      <c r="D8" s="29"/>
      <c r="E8" s="76">
        <v>11600</v>
      </c>
      <c r="F8" s="77" t="s">
        <v>290</v>
      </c>
      <c r="G8" s="50" t="s">
        <v>36</v>
      </c>
      <c r="H8" s="38">
        <v>0</v>
      </c>
      <c r="I8" s="38">
        <v>0</v>
      </c>
      <c r="J8" s="29"/>
      <c r="K8" s="77"/>
      <c r="L8" s="91"/>
      <c r="M8" s="42"/>
      <c r="R8" s="1">
        <f>IF(vend15[[#This Row],[Nº Venda]]&gt;1,1,0)</f>
        <v>1</v>
      </c>
    </row>
    <row r="9" spans="2:18" ht="16.5" x14ac:dyDescent="0.3">
      <c r="B9" s="26"/>
      <c r="C9" s="26"/>
      <c r="D9" s="29"/>
      <c r="E9" s="76">
        <v>11601</v>
      </c>
      <c r="F9" s="77" t="s">
        <v>281</v>
      </c>
      <c r="G9" s="49" t="s">
        <v>8</v>
      </c>
      <c r="H9" s="38">
        <v>89.98</v>
      </c>
      <c r="I9" s="38">
        <v>89.98</v>
      </c>
      <c r="J9" s="29"/>
      <c r="K9" s="77"/>
      <c r="L9" s="91"/>
      <c r="M9" s="42"/>
      <c r="R9" s="1">
        <f>IF(vend15[[#This Row],[Nº Venda]]&gt;1,1,0)</f>
        <v>1</v>
      </c>
    </row>
    <row r="10" spans="2:18" ht="16.5" x14ac:dyDescent="0.3">
      <c r="B10" s="114" t="s">
        <v>5</v>
      </c>
      <c r="C10" s="115"/>
      <c r="D10" s="29"/>
      <c r="E10" s="76">
        <v>11602</v>
      </c>
      <c r="F10" s="77" t="s">
        <v>282</v>
      </c>
      <c r="G10" s="49" t="s">
        <v>10</v>
      </c>
      <c r="H10" s="38">
        <v>49.99</v>
      </c>
      <c r="I10" s="38">
        <v>49.99</v>
      </c>
      <c r="J10" s="29"/>
      <c r="K10" s="77"/>
      <c r="L10" s="91"/>
      <c r="M10" s="42"/>
      <c r="R10" s="1">
        <f>IF(vend15[[#This Row],[Nº Venda]]&gt;1,1,0)</f>
        <v>1</v>
      </c>
    </row>
    <row r="11" spans="2:18" ht="16.5" x14ac:dyDescent="0.3">
      <c r="B11" s="27" t="s">
        <v>6</v>
      </c>
      <c r="C11" s="70">
        <f>(SUMIF($G$2:$G$36,B11,$I$2:$I$36))+(SUMIF($G$40:$G$46,B11,$H$40:$H$46))</f>
        <v>880</v>
      </c>
      <c r="D11" s="29"/>
      <c r="E11" s="76">
        <v>11603</v>
      </c>
      <c r="F11" s="77" t="s">
        <v>283</v>
      </c>
      <c r="G11" s="50" t="s">
        <v>7</v>
      </c>
      <c r="H11" s="38">
        <v>20</v>
      </c>
      <c r="I11" s="38">
        <v>20</v>
      </c>
      <c r="J11" s="29"/>
      <c r="K11" s="37"/>
      <c r="L11" s="91"/>
      <c r="M11" s="42"/>
      <c r="O11" s="1">
        <f>IF(C16=0,0,1)</f>
        <v>1</v>
      </c>
      <c r="R11" s="1">
        <f>IF(vend15[[#This Row],[Nº Venda]]&gt;1,1,0)</f>
        <v>1</v>
      </c>
    </row>
    <row r="12" spans="2:18" ht="16.5" x14ac:dyDescent="0.3">
      <c r="B12" s="27" t="s">
        <v>7</v>
      </c>
      <c r="C12" s="70">
        <f>(SUMIF($G$2:$G$36,B12,$I$2:$I$36))+(SUMIF($G$40:$G$46,B12,$H$40:$H$46))</f>
        <v>839</v>
      </c>
      <c r="D12" s="29"/>
      <c r="E12" s="76">
        <v>11604</v>
      </c>
      <c r="F12" s="77" t="s">
        <v>284</v>
      </c>
      <c r="G12" s="50" t="s">
        <v>36</v>
      </c>
      <c r="H12" s="38"/>
      <c r="I12" s="38"/>
      <c r="J12" s="29"/>
      <c r="K12" s="32"/>
      <c r="L12" s="32"/>
      <c r="M12" s="32"/>
      <c r="R12" s="1">
        <f>IF(vend15[[#This Row],[Nº Venda]]&gt;1,1,0)</f>
        <v>1</v>
      </c>
    </row>
    <row r="13" spans="2:18" ht="16.5" x14ac:dyDescent="0.3">
      <c r="B13" s="27" t="s">
        <v>8</v>
      </c>
      <c r="C13" s="70">
        <f>(SUMIF($G$2:$G$36,B13,$I$2:$I$36))+(SUMIF($G$40:$G$46,B13,$H$40:$H$46))</f>
        <v>5529.98</v>
      </c>
      <c r="D13" s="29"/>
      <c r="E13" s="76">
        <v>11605</v>
      </c>
      <c r="F13" s="77" t="s">
        <v>285</v>
      </c>
      <c r="G13" s="50" t="s">
        <v>7</v>
      </c>
      <c r="H13" s="38">
        <v>1100</v>
      </c>
      <c r="I13" s="38">
        <v>240</v>
      </c>
      <c r="J13" s="29"/>
      <c r="K13" s="107" t="s">
        <v>142</v>
      </c>
      <c r="L13" s="108"/>
      <c r="M13" s="109"/>
      <c r="R13" s="1">
        <f>IF(vend15[[#This Row],[Nº Venda]]&gt;1,1,0)</f>
        <v>1</v>
      </c>
    </row>
    <row r="14" spans="2:18" ht="16.5" x14ac:dyDescent="0.3">
      <c r="B14" s="27" t="s">
        <v>9</v>
      </c>
      <c r="C14" s="70">
        <f>(SUMIF($G$2:$G$36,B14,$I$2:$I$36))+(SUMIF($G$40:$G$46,B14,$H$40:$H$46))</f>
        <v>0</v>
      </c>
      <c r="D14" s="29"/>
      <c r="E14" s="76">
        <v>11605</v>
      </c>
      <c r="F14" s="77" t="s">
        <v>285</v>
      </c>
      <c r="G14" s="50" t="s">
        <v>8</v>
      </c>
      <c r="H14" s="38"/>
      <c r="I14" s="38">
        <v>100</v>
      </c>
      <c r="J14" s="29"/>
      <c r="K14" s="21" t="s">
        <v>22</v>
      </c>
      <c r="L14" s="22" t="s">
        <v>23</v>
      </c>
      <c r="M14" s="23" t="s">
        <v>24</v>
      </c>
      <c r="R14" s="1">
        <f>IF(vend15[[#This Row],[Nº Venda]]&gt;1,1,0)</f>
        <v>1</v>
      </c>
    </row>
    <row r="15" spans="2:18" ht="16.5" x14ac:dyDescent="0.3">
      <c r="B15" s="27" t="s">
        <v>10</v>
      </c>
      <c r="C15" s="70">
        <f>(SUMIF($G$2:$G$36,B15,$I$2:$I$36))+(SUMIF($G$40:$G$46,B15,$H$40:$H$46))</f>
        <v>94.98</v>
      </c>
      <c r="D15" s="29"/>
      <c r="E15" s="76">
        <v>11606</v>
      </c>
      <c r="F15" s="77" t="s">
        <v>286</v>
      </c>
      <c r="G15" s="50" t="s">
        <v>6</v>
      </c>
      <c r="H15" s="38">
        <v>490</v>
      </c>
      <c r="I15" s="38">
        <v>250</v>
      </c>
      <c r="J15" s="29"/>
      <c r="K15" s="76">
        <v>11428</v>
      </c>
      <c r="L15" s="91" t="s">
        <v>131</v>
      </c>
      <c r="M15" s="42" t="s">
        <v>145</v>
      </c>
      <c r="R15" s="1">
        <f>IF(vend15[[#This Row],[Nº Venda]]&gt;1,1,0)</f>
        <v>1</v>
      </c>
    </row>
    <row r="16" spans="2:18" ht="16.5" x14ac:dyDescent="0.3">
      <c r="B16" s="30" t="s">
        <v>11</v>
      </c>
      <c r="C16" s="71">
        <f>SUM(C11:C15)</f>
        <v>7343.9599999999991</v>
      </c>
      <c r="D16" s="29"/>
      <c r="E16" s="76">
        <v>11607</v>
      </c>
      <c r="F16" s="77" t="s">
        <v>289</v>
      </c>
      <c r="G16" s="50" t="s">
        <v>8</v>
      </c>
      <c r="H16" s="38">
        <v>1250</v>
      </c>
      <c r="I16" s="38">
        <v>950</v>
      </c>
      <c r="J16" s="29"/>
      <c r="K16" s="76">
        <v>11459</v>
      </c>
      <c r="L16" s="91" t="s">
        <v>131</v>
      </c>
      <c r="M16" s="42" t="s">
        <v>145</v>
      </c>
      <c r="R16" s="1">
        <f>IF(vend15[[#This Row],[Nº Venda]]&gt;1,1,0)</f>
        <v>1</v>
      </c>
    </row>
    <row r="17" spans="2:18" ht="16.5" x14ac:dyDescent="0.3">
      <c r="B17" s="26"/>
      <c r="C17" s="26"/>
      <c r="D17" s="29"/>
      <c r="E17" s="76">
        <v>11607</v>
      </c>
      <c r="F17" s="77" t="s">
        <v>289</v>
      </c>
      <c r="G17" s="50" t="s">
        <v>7</v>
      </c>
      <c r="H17" s="38"/>
      <c r="I17" s="38">
        <v>300</v>
      </c>
      <c r="J17" s="29"/>
      <c r="K17" s="76">
        <v>11462</v>
      </c>
      <c r="L17" s="91" t="s">
        <v>131</v>
      </c>
      <c r="M17" s="42" t="s">
        <v>145</v>
      </c>
      <c r="R17" s="1">
        <f>IF(vend15[[#This Row],[Nº Venda]]&gt;1,1,0)</f>
        <v>1</v>
      </c>
    </row>
    <row r="18" spans="2:18" ht="16.5" x14ac:dyDescent="0.3">
      <c r="B18" s="114" t="s">
        <v>12</v>
      </c>
      <c r="C18" s="115"/>
      <c r="D18" s="29"/>
      <c r="E18" s="76">
        <v>11608</v>
      </c>
      <c r="F18" s="50" t="s">
        <v>293</v>
      </c>
      <c r="G18" s="50" t="s">
        <v>6</v>
      </c>
      <c r="H18" s="38">
        <v>130</v>
      </c>
      <c r="I18" s="38">
        <v>130</v>
      </c>
      <c r="J18" s="29"/>
      <c r="K18" s="76">
        <v>11471</v>
      </c>
      <c r="L18" s="91" t="s">
        <v>129</v>
      </c>
      <c r="M18" s="42" t="s">
        <v>145</v>
      </c>
      <c r="R18" s="1">
        <f>IF(vend15[[#This Row],[Nº Venda]]&gt;1,1,0)</f>
        <v>1</v>
      </c>
    </row>
    <row r="19" spans="2:18" ht="16.5" x14ac:dyDescent="0.3">
      <c r="B19" s="27">
        <f>COUNT(entr_carn15[OS])</f>
        <v>0</v>
      </c>
      <c r="C19" s="70">
        <f>SUM(entr_carn15[Valor Total])</f>
        <v>0</v>
      </c>
      <c r="D19" s="29"/>
      <c r="E19" s="76">
        <v>11609</v>
      </c>
      <c r="F19" s="77" t="s">
        <v>294</v>
      </c>
      <c r="G19" s="50" t="s">
        <v>46</v>
      </c>
      <c r="H19" s="38">
        <v>0</v>
      </c>
      <c r="I19" s="38">
        <v>0</v>
      </c>
      <c r="J19" s="29"/>
      <c r="K19" s="76">
        <v>11514</v>
      </c>
      <c r="L19" s="91" t="s">
        <v>129</v>
      </c>
      <c r="M19" s="42" t="s">
        <v>145</v>
      </c>
      <c r="R19" s="1">
        <f>IF(vend15[[#This Row],[Nº Venda]]&gt;1,1,0)</f>
        <v>1</v>
      </c>
    </row>
    <row r="20" spans="2:18" ht="16.5" x14ac:dyDescent="0.3">
      <c r="B20" s="30" t="s">
        <v>11</v>
      </c>
      <c r="C20" s="71">
        <f>SUM(C19:C19)</f>
        <v>0</v>
      </c>
      <c r="D20" s="29"/>
      <c r="E20" s="76">
        <v>11610</v>
      </c>
      <c r="F20" s="77" t="s">
        <v>292</v>
      </c>
      <c r="G20" s="50" t="s">
        <v>8</v>
      </c>
      <c r="H20" s="38">
        <v>2440</v>
      </c>
      <c r="I20" s="38">
        <v>2440</v>
      </c>
      <c r="J20" s="29"/>
      <c r="K20" s="76">
        <v>11545</v>
      </c>
      <c r="L20" s="91" t="s">
        <v>129</v>
      </c>
      <c r="M20" s="42" t="s">
        <v>145</v>
      </c>
      <c r="R20" s="1">
        <f>IF(vend15[[#This Row],[Nº Venda]]&gt;1,1,0)</f>
        <v>1</v>
      </c>
    </row>
    <row r="21" spans="2:18" ht="16.5" x14ac:dyDescent="0.3">
      <c r="B21" s="26"/>
      <c r="C21" s="26"/>
      <c r="D21" s="29"/>
      <c r="E21" s="76">
        <v>11611</v>
      </c>
      <c r="F21" s="77" t="s">
        <v>292</v>
      </c>
      <c r="G21" s="50" t="s">
        <v>8</v>
      </c>
      <c r="H21" s="38">
        <v>260</v>
      </c>
      <c r="I21" s="38">
        <v>260</v>
      </c>
      <c r="J21" s="29"/>
      <c r="K21" s="76">
        <v>11567</v>
      </c>
      <c r="L21" s="91" t="s">
        <v>129</v>
      </c>
      <c r="M21" s="42" t="s">
        <v>145</v>
      </c>
    </row>
    <row r="22" spans="2:18" ht="16.5" x14ac:dyDescent="0.3">
      <c r="B22" s="30" t="s">
        <v>25</v>
      </c>
      <c r="C22" s="33">
        <f>C5</f>
        <v>10209.969999999999</v>
      </c>
      <c r="D22" s="29"/>
      <c r="E22" s="78">
        <v>11612</v>
      </c>
      <c r="F22" s="77" t="s">
        <v>291</v>
      </c>
      <c r="G22" s="50" t="s">
        <v>8</v>
      </c>
      <c r="H22" s="38">
        <v>1690</v>
      </c>
      <c r="I22" s="38">
        <v>1690</v>
      </c>
      <c r="J22" s="29"/>
      <c r="K22" s="76"/>
      <c r="L22" s="91"/>
      <c r="M22" s="42"/>
    </row>
    <row r="23" spans="2:18" ht="16.5" x14ac:dyDescent="0.3">
      <c r="B23" s="29"/>
      <c r="C23" s="29"/>
      <c r="D23" s="29"/>
      <c r="E23" s="34"/>
      <c r="F23" s="34"/>
      <c r="G23" s="34"/>
      <c r="H23" s="35"/>
      <c r="I23" s="36"/>
      <c r="J23" s="29"/>
      <c r="K23" s="76"/>
      <c r="L23" s="91"/>
      <c r="M23" s="42"/>
    </row>
    <row r="24" spans="2:18" ht="16.5" x14ac:dyDescent="0.3">
      <c r="B24" s="29"/>
      <c r="C24" s="29"/>
      <c r="D24" s="29"/>
      <c r="E24" s="105" t="s">
        <v>139</v>
      </c>
      <c r="F24" s="106"/>
      <c r="G24" s="106"/>
      <c r="H24" s="106"/>
      <c r="I24" s="106"/>
      <c r="J24" s="29"/>
      <c r="K24" s="76"/>
      <c r="L24" s="91"/>
      <c r="M24" s="42"/>
    </row>
    <row r="25" spans="2:18" ht="16.5" x14ac:dyDescent="0.3">
      <c r="B25" s="29"/>
      <c r="C25" s="29"/>
      <c r="D25" s="29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29"/>
      <c r="K25" s="76"/>
      <c r="L25" s="91"/>
      <c r="M25" s="42"/>
    </row>
    <row r="26" spans="2:18" ht="16.5" x14ac:dyDescent="0.3">
      <c r="B26" s="29"/>
      <c r="C26" s="29"/>
      <c r="D26" s="29"/>
      <c r="E26" s="76">
        <v>11589</v>
      </c>
      <c r="F26" s="77" t="s">
        <v>288</v>
      </c>
      <c r="G26" s="49" t="s">
        <v>7</v>
      </c>
      <c r="H26" s="38"/>
      <c r="I26" s="38">
        <v>15</v>
      </c>
      <c r="J26" s="29"/>
      <c r="K26" s="76"/>
      <c r="L26" s="91"/>
      <c r="M26" s="42"/>
    </row>
    <row r="27" spans="2:18" ht="16.5" x14ac:dyDescent="0.3">
      <c r="B27" s="29"/>
      <c r="C27" s="29"/>
      <c r="D27" s="29"/>
      <c r="E27" s="76">
        <v>11589</v>
      </c>
      <c r="F27" s="77" t="s">
        <v>288</v>
      </c>
      <c r="G27" s="49" t="s">
        <v>7</v>
      </c>
      <c r="H27" s="38"/>
      <c r="I27" s="38">
        <v>50</v>
      </c>
      <c r="J27" s="29"/>
      <c r="K27" s="76"/>
      <c r="L27" s="91"/>
      <c r="M27" s="42"/>
    </row>
    <row r="28" spans="2:18" ht="16.5" x14ac:dyDescent="0.3">
      <c r="B28" s="29"/>
      <c r="C28" s="29"/>
      <c r="D28" s="29"/>
      <c r="E28" s="76">
        <v>11589</v>
      </c>
      <c r="F28" s="77" t="s">
        <v>288</v>
      </c>
      <c r="G28" s="49" t="s">
        <v>7</v>
      </c>
      <c r="H28" s="38"/>
      <c r="I28" s="38">
        <v>30</v>
      </c>
      <c r="J28" s="29"/>
      <c r="K28" s="76"/>
      <c r="L28" s="91"/>
      <c r="M28" s="42"/>
    </row>
    <row r="29" spans="2:18" ht="16.5" x14ac:dyDescent="0.3">
      <c r="B29" s="29"/>
      <c r="C29" s="29"/>
      <c r="D29" s="29"/>
      <c r="E29" s="76">
        <v>11589</v>
      </c>
      <c r="F29" s="77" t="s">
        <v>288</v>
      </c>
      <c r="G29" s="49" t="s">
        <v>7</v>
      </c>
      <c r="H29" s="38"/>
      <c r="I29" s="38">
        <v>25</v>
      </c>
      <c r="J29" s="29"/>
      <c r="K29" s="76"/>
      <c r="L29" s="91"/>
      <c r="M29" s="42"/>
    </row>
    <row r="30" spans="2:18" ht="16.5" x14ac:dyDescent="0.3">
      <c r="B30" s="29"/>
      <c r="C30" s="29"/>
      <c r="D30" s="29"/>
      <c r="E30" s="76">
        <v>11589</v>
      </c>
      <c r="F30" s="77" t="s">
        <v>288</v>
      </c>
      <c r="G30" s="49" t="s">
        <v>7</v>
      </c>
      <c r="H30" s="38"/>
      <c r="I30" s="38">
        <v>30</v>
      </c>
      <c r="J30" s="29"/>
      <c r="K30" s="76"/>
      <c r="L30" s="91"/>
      <c r="M30" s="42"/>
    </row>
    <row r="31" spans="2:18" ht="16.5" x14ac:dyDescent="0.3">
      <c r="B31" s="29"/>
      <c r="C31" s="29"/>
      <c r="D31" s="29"/>
      <c r="E31" s="76">
        <v>11589</v>
      </c>
      <c r="F31" s="77" t="s">
        <v>288</v>
      </c>
      <c r="G31" s="49" t="s">
        <v>7</v>
      </c>
      <c r="H31" s="38"/>
      <c r="I31" s="38">
        <v>10</v>
      </c>
      <c r="J31" s="29"/>
      <c r="K31" s="76"/>
      <c r="L31" s="91"/>
      <c r="M31" s="42"/>
    </row>
    <row r="32" spans="2:18" ht="16.5" x14ac:dyDescent="0.3">
      <c r="B32" s="29"/>
      <c r="C32" s="29"/>
      <c r="D32" s="37"/>
      <c r="E32" s="76">
        <v>11589</v>
      </c>
      <c r="F32" s="77" t="s">
        <v>288</v>
      </c>
      <c r="G32" s="49" t="s">
        <v>7</v>
      </c>
      <c r="H32" s="38"/>
      <c r="I32" s="38">
        <v>45</v>
      </c>
      <c r="J32" s="37"/>
      <c r="K32" s="32"/>
      <c r="L32" s="32"/>
      <c r="M32" s="32"/>
    </row>
    <row r="33" spans="2:18" ht="16.5" x14ac:dyDescent="0.3">
      <c r="B33" s="29"/>
      <c r="C33" s="29"/>
      <c r="D33" s="37"/>
      <c r="E33" s="76">
        <v>11589</v>
      </c>
      <c r="F33" s="77" t="s">
        <v>288</v>
      </c>
      <c r="G33" s="49" t="s">
        <v>7</v>
      </c>
      <c r="H33" s="38"/>
      <c r="I33" s="38">
        <v>40</v>
      </c>
      <c r="J33" s="37"/>
      <c r="K33" s="107" t="s">
        <v>141</v>
      </c>
      <c r="L33" s="108"/>
      <c r="M33" s="109"/>
    </row>
    <row r="34" spans="2:18" ht="16.5" x14ac:dyDescent="0.3">
      <c r="B34" s="37"/>
      <c r="C34" s="37"/>
      <c r="D34" s="37"/>
      <c r="E34" s="76">
        <v>11589</v>
      </c>
      <c r="F34" s="77" t="s">
        <v>288</v>
      </c>
      <c r="G34" s="49" t="s">
        <v>7</v>
      </c>
      <c r="H34" s="38"/>
      <c r="I34" s="38">
        <v>20</v>
      </c>
      <c r="J34" s="37"/>
      <c r="K34" s="22" t="s">
        <v>22</v>
      </c>
      <c r="L34" s="21" t="s">
        <v>28</v>
      </c>
      <c r="M34" s="22" t="s">
        <v>29</v>
      </c>
    </row>
    <row r="35" spans="2:18" ht="16.5" customHeight="1" x14ac:dyDescent="0.25">
      <c r="B35" s="37"/>
      <c r="C35" s="37"/>
      <c r="D35" s="37"/>
      <c r="E35" s="76">
        <v>11589</v>
      </c>
      <c r="F35" s="77" t="s">
        <v>288</v>
      </c>
      <c r="G35" s="49" t="s">
        <v>7</v>
      </c>
      <c r="H35" s="38"/>
      <c r="I35" s="38">
        <v>14</v>
      </c>
      <c r="J35" s="37"/>
      <c r="K35" s="76"/>
      <c r="L35" s="76"/>
      <c r="M35" s="91"/>
    </row>
    <row r="36" spans="2:18" ht="16.5" customHeight="1" x14ac:dyDescent="0.25">
      <c r="B36" s="37"/>
      <c r="C36" s="37"/>
      <c r="D36" s="37"/>
      <c r="E36" s="78"/>
      <c r="F36" s="79"/>
      <c r="G36" s="40"/>
      <c r="H36" s="41"/>
      <c r="I36" s="41"/>
      <c r="J36" s="37"/>
      <c r="K36" s="76"/>
      <c r="L36" s="76"/>
      <c r="M36" s="91"/>
    </row>
    <row r="37" spans="2:18" ht="16.5" customHeight="1" x14ac:dyDescent="0.25">
      <c r="B37" s="37"/>
      <c r="C37" s="37"/>
      <c r="D37" s="37"/>
      <c r="E37" s="34"/>
      <c r="F37" s="34"/>
      <c r="G37" s="34"/>
      <c r="H37" s="36"/>
      <c r="I37" s="36"/>
      <c r="J37" s="37"/>
      <c r="K37" s="76"/>
      <c r="L37" s="76"/>
      <c r="M37" s="91"/>
    </row>
    <row r="38" spans="2:18" ht="16.5" customHeight="1" x14ac:dyDescent="0.25">
      <c r="B38" s="37"/>
      <c r="C38" s="37"/>
      <c r="D38" s="37"/>
      <c r="E38" s="105" t="s">
        <v>140</v>
      </c>
      <c r="F38" s="106"/>
      <c r="G38" s="106"/>
      <c r="H38" s="106"/>
      <c r="I38" s="106"/>
      <c r="J38" s="37"/>
      <c r="K38" s="76"/>
      <c r="L38" s="76"/>
      <c r="M38" s="91"/>
    </row>
    <row r="39" spans="2:18" ht="16.5" customHeight="1" x14ac:dyDescent="0.3">
      <c r="B39" s="37"/>
      <c r="C39" s="37"/>
      <c r="D39" s="37"/>
      <c r="E39" s="16" t="s">
        <v>22</v>
      </c>
      <c r="F39" s="15" t="s">
        <v>15</v>
      </c>
      <c r="G39" s="16" t="s">
        <v>16</v>
      </c>
      <c r="H39" s="17" t="s">
        <v>26</v>
      </c>
      <c r="I39" s="17" t="s">
        <v>27</v>
      </c>
      <c r="J39" s="37"/>
      <c r="K39" s="76"/>
      <c r="L39" s="76"/>
      <c r="M39" s="91"/>
    </row>
    <row r="40" spans="2:18" ht="16.5" customHeight="1" x14ac:dyDescent="0.25">
      <c r="B40" s="37"/>
      <c r="C40" s="37"/>
      <c r="D40" s="37"/>
      <c r="E40" s="76">
        <v>11396</v>
      </c>
      <c r="F40" s="77" t="s">
        <v>287</v>
      </c>
      <c r="G40" s="50" t="s">
        <v>10</v>
      </c>
      <c r="H40" s="38">
        <v>44.99</v>
      </c>
      <c r="I40" s="38" t="s">
        <v>48</v>
      </c>
      <c r="J40" s="37"/>
      <c r="K40" s="78"/>
      <c r="L40" s="78"/>
      <c r="M40" s="92"/>
      <c r="Q40" s="1" t="s">
        <v>33</v>
      </c>
      <c r="R40" s="1">
        <f>SUM(R6:R21)</f>
        <v>15</v>
      </c>
    </row>
    <row r="41" spans="2:18" ht="16.5" customHeight="1" x14ac:dyDescent="0.25">
      <c r="B41" s="37"/>
      <c r="C41" s="37"/>
      <c r="D41" s="37"/>
      <c r="E41" s="83"/>
      <c r="F41" s="77"/>
      <c r="G41" s="50"/>
      <c r="H41" s="38"/>
      <c r="I41" s="38"/>
      <c r="J41" s="37"/>
      <c r="K41" s="76"/>
      <c r="L41" s="76"/>
      <c r="M41" s="92"/>
    </row>
    <row r="42" spans="2:18" ht="13.5" x14ac:dyDescent="0.25">
      <c r="B42" s="37"/>
      <c r="C42" s="37"/>
      <c r="D42" s="37"/>
      <c r="E42" s="76"/>
      <c r="F42" s="77"/>
      <c r="G42" s="50"/>
      <c r="H42" s="38"/>
      <c r="I42" s="38"/>
      <c r="J42" s="37"/>
      <c r="K42" s="32"/>
      <c r="L42" s="32"/>
      <c r="M42" s="32"/>
    </row>
    <row r="43" spans="2:18" ht="13.5" x14ac:dyDescent="0.25">
      <c r="B43" s="37"/>
      <c r="C43" s="37"/>
      <c r="D43" s="37"/>
      <c r="E43" s="76"/>
      <c r="F43" s="77"/>
      <c r="G43" s="50"/>
      <c r="H43" s="38"/>
      <c r="I43" s="38"/>
      <c r="J43" s="37"/>
      <c r="K43" s="32"/>
      <c r="L43" s="32"/>
      <c r="M43" s="32"/>
    </row>
    <row r="44" spans="2:18" ht="13.5" x14ac:dyDescent="0.25">
      <c r="B44" s="37"/>
      <c r="C44" s="37"/>
      <c r="D44" s="37"/>
      <c r="E44" s="76"/>
      <c r="F44" s="50"/>
      <c r="G44" s="50"/>
      <c r="H44" s="38"/>
      <c r="I44" s="38"/>
      <c r="J44" s="37"/>
      <c r="K44" s="32"/>
      <c r="L44" s="32"/>
      <c r="M44" s="32"/>
    </row>
    <row r="45" spans="2:18" ht="13.5" x14ac:dyDescent="0.25">
      <c r="B45" s="37"/>
      <c r="C45" s="37"/>
      <c r="D45" s="37"/>
      <c r="E45" s="78"/>
      <c r="F45" s="79"/>
      <c r="G45" s="40"/>
      <c r="H45" s="41"/>
      <c r="I45" s="38"/>
      <c r="J45" s="37"/>
      <c r="K45" s="32"/>
      <c r="L45" s="32"/>
      <c r="M45" s="32"/>
    </row>
    <row r="46" spans="2:18" ht="13.5" x14ac:dyDescent="0.25">
      <c r="E46" s="82"/>
      <c r="F46" s="50"/>
      <c r="G46" s="50"/>
      <c r="H46" s="38"/>
      <c r="I46" s="38"/>
    </row>
    <row r="47" spans="2:18" ht="13.5" x14ac:dyDescent="0.25">
      <c r="E47" s="34"/>
      <c r="F47" s="34"/>
      <c r="G47" s="34"/>
      <c r="H47" s="36"/>
      <c r="I47" s="36"/>
    </row>
    <row r="48" spans="2:18" ht="13.5" x14ac:dyDescent="0.25">
      <c r="E48" s="34"/>
      <c r="F48" s="34"/>
      <c r="G48" s="34"/>
      <c r="H48" s="36"/>
      <c r="I48" s="36"/>
    </row>
    <row r="49" spans="5:9" ht="13.5" x14ac:dyDescent="0.25">
      <c r="E49" s="34"/>
      <c r="F49" s="34"/>
      <c r="G49" s="34"/>
      <c r="H49" s="36"/>
      <c r="I49" s="36"/>
    </row>
    <row r="50" spans="5:9" ht="13.5" x14ac:dyDescent="0.25">
      <c r="E50" s="34"/>
      <c r="F50" s="34"/>
      <c r="G50" s="34"/>
      <c r="H50" s="36"/>
      <c r="I50" s="36"/>
    </row>
  </sheetData>
  <mergeCells count="11">
    <mergeCell ref="B1:C1"/>
    <mergeCell ref="L1:M1"/>
    <mergeCell ref="E24:I24"/>
    <mergeCell ref="E38:I38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8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G40:G46 G26:G36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I40:I46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E40:E46 K35:K41 K15:K31 E26:E36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5"/>
  <sheetViews>
    <sheetView showGridLines="0" view="pageBreakPreview" topLeftCell="A3" zoomScale="89" zoomScaleNormal="90" zoomScaleSheetLayoutView="89" workbookViewId="0">
      <selection activeCell="F10" sqref="F10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34.7109375" style="1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'15'!B1+1</f>
        <v>45885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4" t="s">
        <v>0</v>
      </c>
      <c r="C4" s="25">
        <v>0</v>
      </c>
      <c r="D4" s="57"/>
      <c r="E4" s="113" t="s">
        <v>137</v>
      </c>
      <c r="F4" s="113"/>
      <c r="G4" s="113"/>
      <c r="H4" s="113"/>
      <c r="I4" s="113"/>
      <c r="J4" s="29"/>
      <c r="K4" s="107" t="s">
        <v>138</v>
      </c>
      <c r="L4" s="108"/>
      <c r="M4" s="109"/>
    </row>
    <row r="5" spans="2:18" ht="16.5" x14ac:dyDescent="0.3">
      <c r="B5" s="27" t="s">
        <v>1</v>
      </c>
      <c r="C5" s="28">
        <f>SUMIF(I6:I31,"&gt;0",H6:H31)</f>
        <v>2063.9700000000003</v>
      </c>
      <c r="D5" s="29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29"/>
      <c r="K5" s="21" t="s">
        <v>18</v>
      </c>
      <c r="L5" s="22" t="s">
        <v>19</v>
      </c>
      <c r="M5" s="23" t="s">
        <v>20</v>
      </c>
    </row>
    <row r="6" spans="2:18" ht="16.5" x14ac:dyDescent="0.3">
      <c r="B6" s="27" t="s">
        <v>2</v>
      </c>
      <c r="C6" s="28">
        <f>C16</f>
        <v>2336.9899999999998</v>
      </c>
      <c r="D6" s="29"/>
      <c r="E6" s="76">
        <v>11613</v>
      </c>
      <c r="F6" s="77" t="s">
        <v>297</v>
      </c>
      <c r="G6" s="49" t="s">
        <v>7</v>
      </c>
      <c r="H6" s="38">
        <v>430</v>
      </c>
      <c r="I6" s="38">
        <v>200</v>
      </c>
      <c r="J6" s="29"/>
      <c r="K6" s="77" t="s">
        <v>207</v>
      </c>
      <c r="L6" s="91" t="s">
        <v>6</v>
      </c>
      <c r="M6" s="42">
        <v>620</v>
      </c>
      <c r="R6" s="1">
        <f>IF(vend16[[#This Row],[Nº Venda]]&gt;1,1,0)</f>
        <v>1</v>
      </c>
    </row>
    <row r="7" spans="2:18" ht="16.5" x14ac:dyDescent="0.3">
      <c r="B7" s="27" t="s">
        <v>3</v>
      </c>
      <c r="C7" s="28">
        <f>SUM(M6:M11)</f>
        <v>620</v>
      </c>
      <c r="D7" s="29"/>
      <c r="E7" s="76">
        <v>11613</v>
      </c>
      <c r="F7" s="77" t="s">
        <v>297</v>
      </c>
      <c r="G7" s="49" t="s">
        <v>8</v>
      </c>
      <c r="H7" s="38"/>
      <c r="I7" s="38">
        <v>230</v>
      </c>
      <c r="J7" s="29"/>
      <c r="K7" s="77"/>
      <c r="L7" s="91"/>
      <c r="M7" s="42"/>
      <c r="R7" s="1">
        <f>IF(vend16[[#This Row],[Nº Venda]]&gt;1,1,0)</f>
        <v>1</v>
      </c>
    </row>
    <row r="8" spans="2:18" ht="16.5" x14ac:dyDescent="0.3">
      <c r="B8" s="30" t="s">
        <v>21</v>
      </c>
      <c r="C8" s="31">
        <f>SUM(C6:C7)</f>
        <v>2956.99</v>
      </c>
      <c r="D8" s="29"/>
      <c r="E8" s="76">
        <v>11614</v>
      </c>
      <c r="F8" s="77" t="s">
        <v>298</v>
      </c>
      <c r="G8" s="50" t="s">
        <v>46</v>
      </c>
      <c r="H8" s="38">
        <v>390</v>
      </c>
      <c r="I8" s="38">
        <v>0</v>
      </c>
      <c r="J8" s="29"/>
      <c r="K8" s="77"/>
      <c r="L8" s="91"/>
      <c r="M8" s="42"/>
      <c r="R8" s="1">
        <f>IF(vend16[[#This Row],[Nº Venda]]&gt;1,1,0)</f>
        <v>1</v>
      </c>
    </row>
    <row r="9" spans="2:18" ht="16.5" x14ac:dyDescent="0.3">
      <c r="B9" s="26"/>
      <c r="C9" s="26"/>
      <c r="D9" s="29"/>
      <c r="E9" s="76">
        <v>11615</v>
      </c>
      <c r="F9" s="77" t="s">
        <v>299</v>
      </c>
      <c r="G9" s="50" t="s">
        <v>46</v>
      </c>
      <c r="H9" s="38">
        <v>760</v>
      </c>
      <c r="I9" s="38">
        <v>0</v>
      </c>
      <c r="J9" s="29"/>
      <c r="K9" s="77"/>
      <c r="L9" s="91"/>
      <c r="M9" s="42"/>
      <c r="R9" s="1">
        <f>IF(vend16[[#This Row],[Nº Venda]]&gt;1,1,0)</f>
        <v>1</v>
      </c>
    </row>
    <row r="10" spans="2:18" ht="16.5" x14ac:dyDescent="0.3">
      <c r="B10" s="114" t="s">
        <v>5</v>
      </c>
      <c r="C10" s="115"/>
      <c r="D10" s="29"/>
      <c r="E10" s="76">
        <v>11616</v>
      </c>
      <c r="F10" s="77" t="s">
        <v>300</v>
      </c>
      <c r="G10" s="50" t="s">
        <v>8</v>
      </c>
      <c r="H10" s="38">
        <v>650</v>
      </c>
      <c r="I10" s="38">
        <v>650</v>
      </c>
      <c r="J10" s="29"/>
      <c r="K10" s="77"/>
      <c r="L10" s="91"/>
      <c r="M10" s="42"/>
      <c r="R10" s="1">
        <f>IF(vend16[[#This Row],[Nº Venda]]&gt;1,1,0)</f>
        <v>1</v>
      </c>
    </row>
    <row r="11" spans="2:18" ht="16.5" x14ac:dyDescent="0.3">
      <c r="B11" s="27" t="s">
        <v>6</v>
      </c>
      <c r="C11" s="70">
        <f>(SUMIF($G$2:$G$31,B11,$I$2:$I$31))+(SUMIF($G$35:$G$41,B11,$H$35:$H$41))</f>
        <v>310</v>
      </c>
      <c r="D11" s="29"/>
      <c r="E11" s="76">
        <v>11617</v>
      </c>
      <c r="F11" s="77" t="s">
        <v>301</v>
      </c>
      <c r="G11" s="50" t="s">
        <v>8</v>
      </c>
      <c r="H11" s="38">
        <v>799.98</v>
      </c>
      <c r="I11" s="38">
        <v>79</v>
      </c>
      <c r="J11" s="29"/>
      <c r="K11" s="37"/>
      <c r="L11" s="91"/>
      <c r="M11" s="42"/>
      <c r="O11" s="1">
        <f>IF(C16=0,0,1)</f>
        <v>1</v>
      </c>
      <c r="R11" s="1">
        <f>IF(vend16[[#This Row],[Nº Venda]]&gt;1,1,0)</f>
        <v>1</v>
      </c>
    </row>
    <row r="12" spans="2:18" ht="16.5" x14ac:dyDescent="0.3">
      <c r="B12" s="27" t="s">
        <v>7</v>
      </c>
      <c r="C12" s="70">
        <f t="shared" ref="C12:C15" si="0">(SUMIF($G$2:$G$31,B12,$I$2:$I$31))+(SUMIF($G$35:$G$41,B12,$H$35:$H$41))</f>
        <v>235</v>
      </c>
      <c r="D12" s="29"/>
      <c r="E12" s="76">
        <v>11618</v>
      </c>
      <c r="F12" s="77" t="s">
        <v>302</v>
      </c>
      <c r="G12" s="50" t="s">
        <v>7</v>
      </c>
      <c r="H12" s="38">
        <v>35</v>
      </c>
      <c r="I12" s="38">
        <v>35</v>
      </c>
      <c r="J12" s="29"/>
      <c r="K12" s="32"/>
      <c r="L12" s="32"/>
      <c r="M12" s="32"/>
      <c r="R12" s="1">
        <f>IF(vend16[[#This Row],[Nº Venda]]&gt;1,1,0)</f>
        <v>1</v>
      </c>
    </row>
    <row r="13" spans="2:18" ht="16.5" x14ac:dyDescent="0.3">
      <c r="B13" s="27" t="s">
        <v>8</v>
      </c>
      <c r="C13" s="70">
        <f t="shared" si="0"/>
        <v>1791.99</v>
      </c>
      <c r="D13" s="29"/>
      <c r="E13" s="76">
        <v>11619</v>
      </c>
      <c r="F13" s="77" t="s">
        <v>303</v>
      </c>
      <c r="G13" s="50" t="s">
        <v>8</v>
      </c>
      <c r="H13" s="38">
        <v>89</v>
      </c>
      <c r="I13" s="38">
        <v>89</v>
      </c>
      <c r="J13" s="29"/>
      <c r="K13" s="107" t="s">
        <v>142</v>
      </c>
      <c r="L13" s="108"/>
      <c r="M13" s="109"/>
      <c r="R13" s="1">
        <f>IF(vend16[[#This Row],[Nº Venda]]&gt;1,1,0)</f>
        <v>1</v>
      </c>
    </row>
    <row r="14" spans="2:18" ht="16.5" x14ac:dyDescent="0.3">
      <c r="B14" s="27" t="s">
        <v>9</v>
      </c>
      <c r="C14" s="70">
        <f t="shared" si="0"/>
        <v>0</v>
      </c>
      <c r="D14" s="29"/>
      <c r="E14" s="76">
        <v>11620</v>
      </c>
      <c r="F14" s="77" t="s">
        <v>291</v>
      </c>
      <c r="G14" s="50" t="s">
        <v>8</v>
      </c>
      <c r="H14" s="38">
        <v>39.99</v>
      </c>
      <c r="I14" s="38">
        <v>39.99</v>
      </c>
      <c r="J14" s="29"/>
      <c r="K14" s="21" t="s">
        <v>22</v>
      </c>
      <c r="L14" s="22" t="s">
        <v>23</v>
      </c>
      <c r="M14" s="23" t="s">
        <v>24</v>
      </c>
      <c r="R14" s="1">
        <f>IF(vend16[[#This Row],[Nº Venda]]&gt;1,1,0)</f>
        <v>1</v>
      </c>
    </row>
    <row r="15" spans="2:18" ht="16.5" x14ac:dyDescent="0.3">
      <c r="B15" s="27" t="s">
        <v>10</v>
      </c>
      <c r="C15" s="70">
        <f t="shared" si="0"/>
        <v>0</v>
      </c>
      <c r="D15" s="29"/>
      <c r="E15" s="76">
        <v>11621</v>
      </c>
      <c r="F15" s="77" t="s">
        <v>301</v>
      </c>
      <c r="G15" s="50" t="s">
        <v>46</v>
      </c>
      <c r="H15" s="38">
        <v>0</v>
      </c>
      <c r="I15" s="38">
        <v>0</v>
      </c>
      <c r="J15" s="29"/>
      <c r="K15" s="76">
        <v>11348</v>
      </c>
      <c r="L15" s="91" t="s">
        <v>131</v>
      </c>
      <c r="M15" s="42" t="s">
        <v>145</v>
      </c>
      <c r="R15" s="1">
        <f>IF(vend16[[#This Row],[Nº Venda]]&gt;1,1,0)</f>
        <v>1</v>
      </c>
    </row>
    <row r="16" spans="2:18" ht="16.5" x14ac:dyDescent="0.3">
      <c r="B16" s="30" t="s">
        <v>11</v>
      </c>
      <c r="C16" s="71">
        <f>SUM(C11:C15)</f>
        <v>2336.9899999999998</v>
      </c>
      <c r="D16" s="29"/>
      <c r="E16" s="76">
        <v>11622</v>
      </c>
      <c r="F16" s="77" t="s">
        <v>304</v>
      </c>
      <c r="G16" s="50" t="s">
        <v>46</v>
      </c>
      <c r="H16" s="38">
        <v>0</v>
      </c>
      <c r="I16" s="38">
        <v>0</v>
      </c>
      <c r="J16" s="29"/>
      <c r="K16" s="76">
        <v>11434</v>
      </c>
      <c r="L16" s="91" t="s">
        <v>131</v>
      </c>
      <c r="M16" s="42" t="s">
        <v>146</v>
      </c>
      <c r="R16" s="1">
        <f>IF(vend16[[#This Row],[Nº Venda]]&gt;1,1,0)</f>
        <v>1</v>
      </c>
    </row>
    <row r="17" spans="2:18" ht="16.5" x14ac:dyDescent="0.3">
      <c r="B17" s="26"/>
      <c r="C17" s="26"/>
      <c r="D17" s="29"/>
      <c r="E17" s="76">
        <v>11623</v>
      </c>
      <c r="F17" s="77" t="s">
        <v>304</v>
      </c>
      <c r="G17" s="50" t="s">
        <v>6</v>
      </c>
      <c r="H17" s="38">
        <v>20</v>
      </c>
      <c r="I17" s="38">
        <v>20</v>
      </c>
      <c r="J17" s="29"/>
      <c r="K17" s="76">
        <v>11445</v>
      </c>
      <c r="L17" s="91" t="s">
        <v>129</v>
      </c>
      <c r="M17" s="42" t="s">
        <v>145</v>
      </c>
      <c r="R17" s="1">
        <f>IF(vend16[[#This Row],[Nº Venda]]&gt;1,1,0)</f>
        <v>1</v>
      </c>
    </row>
    <row r="18" spans="2:18" ht="16.5" x14ac:dyDescent="0.3">
      <c r="B18" s="114" t="s">
        <v>12</v>
      </c>
      <c r="C18" s="115"/>
      <c r="D18" s="29"/>
      <c r="E18" s="76"/>
      <c r="F18" s="77"/>
      <c r="G18" s="50"/>
      <c r="H18" s="38"/>
      <c r="I18" s="38"/>
      <c r="J18" s="29"/>
      <c r="K18" s="76">
        <v>11496</v>
      </c>
      <c r="L18" s="91" t="s">
        <v>131</v>
      </c>
      <c r="M18" s="42" t="s">
        <v>145</v>
      </c>
      <c r="R18" s="1">
        <f>IF(vend16[[#This Row],[Nº Venda]]&gt;1,1,0)</f>
        <v>0</v>
      </c>
    </row>
    <row r="19" spans="2:18" ht="16.5" x14ac:dyDescent="0.3">
      <c r="B19" s="27">
        <f>COUNT(entr_carn16[OS])</f>
        <v>2</v>
      </c>
      <c r="C19" s="70">
        <f>SUM(entr_carn16[Valor Total])</f>
        <v>1640</v>
      </c>
      <c r="D19" s="29"/>
      <c r="E19" s="76"/>
      <c r="F19" s="77"/>
      <c r="G19" s="50"/>
      <c r="H19" s="38"/>
      <c r="I19" s="38"/>
      <c r="J19" s="29"/>
      <c r="K19" s="76">
        <v>11511</v>
      </c>
      <c r="L19" s="91" t="s">
        <v>131</v>
      </c>
      <c r="M19" s="42" t="s">
        <v>146</v>
      </c>
      <c r="R19" s="1">
        <f>IF(vend16[[#This Row],[Nº Venda]]&gt;1,1,0)</f>
        <v>0</v>
      </c>
    </row>
    <row r="20" spans="2:18" ht="16.5" x14ac:dyDescent="0.3">
      <c r="B20" s="30" t="s">
        <v>11</v>
      </c>
      <c r="C20" s="71">
        <f>SUM(C19:C19)</f>
        <v>1640</v>
      </c>
      <c r="D20" s="29"/>
      <c r="E20" s="76"/>
      <c r="F20" s="50"/>
      <c r="G20" s="50"/>
      <c r="H20" s="38"/>
      <c r="I20" s="38"/>
      <c r="J20" s="29"/>
      <c r="K20" s="76">
        <v>11537</v>
      </c>
      <c r="L20" s="91" t="s">
        <v>131</v>
      </c>
      <c r="M20" s="42" t="s">
        <v>145</v>
      </c>
      <c r="R20" s="1">
        <f>IF(vend16[[#This Row],[Nº Venda]]&gt;1,1,0)</f>
        <v>0</v>
      </c>
    </row>
    <row r="21" spans="2:18" ht="16.5" x14ac:dyDescent="0.3">
      <c r="B21" s="26"/>
      <c r="C21" s="26"/>
      <c r="D21" s="29"/>
      <c r="E21" s="76"/>
      <c r="F21" s="77"/>
      <c r="G21" s="50"/>
      <c r="H21" s="38"/>
      <c r="I21" s="38"/>
      <c r="J21" s="29"/>
      <c r="K21" s="76">
        <v>11552</v>
      </c>
      <c r="L21" s="91" t="s">
        <v>129</v>
      </c>
      <c r="M21" s="42" t="s">
        <v>145</v>
      </c>
    </row>
    <row r="22" spans="2:18" ht="16.5" x14ac:dyDescent="0.3">
      <c r="B22" s="30" t="s">
        <v>25</v>
      </c>
      <c r="C22" s="33">
        <f>C5</f>
        <v>2063.9700000000003</v>
      </c>
      <c r="D22" s="29"/>
      <c r="E22" s="78"/>
      <c r="F22" s="77"/>
      <c r="G22" s="50"/>
      <c r="H22" s="38"/>
      <c r="I22" s="38"/>
      <c r="J22" s="29"/>
      <c r="K22" s="76">
        <v>11559</v>
      </c>
      <c r="L22" s="91" t="s">
        <v>131</v>
      </c>
      <c r="M22" s="42" t="s">
        <v>145</v>
      </c>
    </row>
    <row r="23" spans="2:18" ht="16.5" x14ac:dyDescent="0.3">
      <c r="B23" s="29"/>
      <c r="C23" s="29"/>
      <c r="D23" s="29"/>
      <c r="E23" s="34"/>
      <c r="F23" s="34"/>
      <c r="G23" s="34"/>
      <c r="H23" s="35"/>
      <c r="I23" s="36"/>
      <c r="J23" s="29"/>
      <c r="K23" s="76">
        <v>11600</v>
      </c>
      <c r="L23" s="91" t="s">
        <v>131</v>
      </c>
      <c r="M23" s="42" t="s">
        <v>145</v>
      </c>
    </row>
    <row r="24" spans="2:18" ht="16.5" x14ac:dyDescent="0.3">
      <c r="B24" s="29"/>
      <c r="C24" s="29"/>
      <c r="D24" s="29"/>
      <c r="E24" s="105" t="s">
        <v>139</v>
      </c>
      <c r="F24" s="106"/>
      <c r="G24" s="106"/>
      <c r="H24" s="106"/>
      <c r="I24" s="106"/>
      <c r="J24" s="29"/>
      <c r="K24" s="76"/>
      <c r="L24" s="91"/>
      <c r="M24" s="42"/>
    </row>
    <row r="25" spans="2:18" ht="16.5" x14ac:dyDescent="0.3">
      <c r="B25" s="29"/>
      <c r="C25" s="29"/>
      <c r="D25" s="29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29"/>
      <c r="K25" s="76"/>
      <c r="L25" s="91"/>
      <c r="M25" s="42"/>
    </row>
    <row r="26" spans="2:18" ht="16.5" x14ac:dyDescent="0.3">
      <c r="B26" s="29"/>
      <c r="C26" s="29"/>
      <c r="D26" s="29"/>
      <c r="E26" s="76">
        <v>11552</v>
      </c>
      <c r="F26" s="77" t="s">
        <v>305</v>
      </c>
      <c r="G26" s="49" t="s">
        <v>8</v>
      </c>
      <c r="H26" s="38"/>
      <c r="I26" s="38">
        <v>50</v>
      </c>
      <c r="J26" s="29"/>
      <c r="K26" s="76"/>
      <c r="L26" s="91"/>
      <c r="M26" s="42"/>
    </row>
    <row r="27" spans="2:18" ht="16.5" x14ac:dyDescent="0.3">
      <c r="B27" s="29"/>
      <c r="C27" s="29"/>
      <c r="D27" s="29"/>
      <c r="E27" s="76">
        <v>11434</v>
      </c>
      <c r="F27" s="77" t="s">
        <v>306</v>
      </c>
      <c r="G27" s="50" t="s">
        <v>6</v>
      </c>
      <c r="H27" s="38"/>
      <c r="I27" s="38">
        <v>290</v>
      </c>
      <c r="J27" s="29"/>
      <c r="K27" s="76"/>
      <c r="L27" s="91"/>
      <c r="M27" s="42"/>
    </row>
    <row r="28" spans="2:18" ht="16.5" x14ac:dyDescent="0.3">
      <c r="B28" s="29"/>
      <c r="C28" s="29"/>
      <c r="D28" s="29"/>
      <c r="E28" s="76">
        <v>11510</v>
      </c>
      <c r="F28" s="77" t="s">
        <v>307</v>
      </c>
      <c r="G28" s="50" t="s">
        <v>8</v>
      </c>
      <c r="H28" s="38"/>
      <c r="I28" s="38">
        <v>240</v>
      </c>
      <c r="J28" s="29"/>
      <c r="K28" s="76"/>
      <c r="L28" s="91"/>
      <c r="M28" s="42"/>
    </row>
    <row r="29" spans="2:18" ht="16.5" x14ac:dyDescent="0.3">
      <c r="B29" s="29"/>
      <c r="C29" s="29"/>
      <c r="D29" s="29"/>
      <c r="E29" s="76">
        <v>11503</v>
      </c>
      <c r="F29" s="77" t="s">
        <v>307</v>
      </c>
      <c r="G29" s="50" t="s">
        <v>8</v>
      </c>
      <c r="H29" s="38"/>
      <c r="I29" s="38">
        <v>414</v>
      </c>
      <c r="J29" s="29"/>
      <c r="K29" s="76"/>
      <c r="L29" s="91"/>
      <c r="M29" s="42"/>
    </row>
    <row r="30" spans="2:18" ht="16.5" x14ac:dyDescent="0.3">
      <c r="B30" s="29"/>
      <c r="C30" s="29"/>
      <c r="D30" s="29"/>
      <c r="E30" s="76"/>
      <c r="F30" s="50"/>
      <c r="G30" s="50"/>
      <c r="H30" s="38"/>
      <c r="I30" s="38"/>
      <c r="J30" s="29"/>
      <c r="K30" s="76"/>
      <c r="L30" s="91"/>
      <c r="M30" s="42"/>
    </row>
    <row r="31" spans="2:18" ht="16.5" x14ac:dyDescent="0.3">
      <c r="B31" s="29"/>
      <c r="C31" s="29"/>
      <c r="D31" s="29"/>
      <c r="E31" s="78"/>
      <c r="F31" s="79"/>
      <c r="G31" s="40"/>
      <c r="H31" s="41"/>
      <c r="I31" s="41"/>
      <c r="J31" s="29"/>
      <c r="K31" s="76"/>
      <c r="L31" s="91"/>
      <c r="M31" s="42"/>
    </row>
    <row r="32" spans="2:18" ht="16.5" x14ac:dyDescent="0.3">
      <c r="B32" s="29"/>
      <c r="C32" s="29"/>
      <c r="D32" s="37"/>
      <c r="E32" s="34"/>
      <c r="F32" s="34"/>
      <c r="G32" s="34"/>
      <c r="H32" s="36"/>
      <c r="I32" s="36"/>
      <c r="J32" s="37"/>
      <c r="K32" s="32"/>
      <c r="L32" s="32"/>
      <c r="M32" s="32"/>
    </row>
    <row r="33" spans="2:18" ht="16.5" x14ac:dyDescent="0.3">
      <c r="B33" s="29"/>
      <c r="C33" s="29"/>
      <c r="D33" s="37"/>
      <c r="E33" s="105" t="s">
        <v>140</v>
      </c>
      <c r="F33" s="106"/>
      <c r="G33" s="106"/>
      <c r="H33" s="106"/>
      <c r="I33" s="106"/>
      <c r="J33" s="37"/>
      <c r="K33" s="107" t="s">
        <v>141</v>
      </c>
      <c r="L33" s="108"/>
      <c r="M33" s="109"/>
    </row>
    <row r="34" spans="2:18" ht="16.5" x14ac:dyDescent="0.3">
      <c r="B34" s="37"/>
      <c r="C34" s="37"/>
      <c r="D34" s="37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7"/>
      <c r="K34" s="22" t="s">
        <v>22</v>
      </c>
      <c r="L34" s="21" t="s">
        <v>28</v>
      </c>
      <c r="M34" s="22" t="s">
        <v>29</v>
      </c>
    </row>
    <row r="35" spans="2:18" ht="16.5" customHeight="1" x14ac:dyDescent="0.25">
      <c r="B35" s="37"/>
      <c r="C35" s="37"/>
      <c r="D35" s="37"/>
      <c r="E35" s="76"/>
      <c r="F35" s="77"/>
      <c r="G35" s="50"/>
      <c r="H35" s="38"/>
      <c r="I35" s="38"/>
      <c r="J35" s="37"/>
      <c r="K35" s="76">
        <v>11434</v>
      </c>
      <c r="L35" s="76">
        <v>9</v>
      </c>
      <c r="M35" s="91">
        <v>1090</v>
      </c>
    </row>
    <row r="36" spans="2:18" ht="16.5" customHeight="1" x14ac:dyDescent="0.25">
      <c r="B36" s="37"/>
      <c r="C36" s="37"/>
      <c r="D36" s="37"/>
      <c r="E36" s="83"/>
      <c r="F36" s="77"/>
      <c r="G36" s="50"/>
      <c r="H36" s="38"/>
      <c r="I36" s="38"/>
      <c r="J36" s="37"/>
      <c r="K36" s="76">
        <v>11511</v>
      </c>
      <c r="L36" s="76">
        <v>6</v>
      </c>
      <c r="M36" s="91">
        <v>550</v>
      </c>
    </row>
    <row r="37" spans="2:18" ht="16.5" customHeight="1" x14ac:dyDescent="0.25">
      <c r="B37" s="37"/>
      <c r="C37" s="37"/>
      <c r="D37" s="37"/>
      <c r="E37" s="76"/>
      <c r="F37" s="77"/>
      <c r="G37" s="50"/>
      <c r="H37" s="38"/>
      <c r="I37" s="38"/>
      <c r="J37" s="37"/>
      <c r="K37" s="76"/>
      <c r="L37" s="76"/>
      <c r="M37" s="91"/>
    </row>
    <row r="38" spans="2:18" ht="16.5" customHeight="1" x14ac:dyDescent="0.25">
      <c r="B38" s="37"/>
      <c r="C38" s="37"/>
      <c r="D38" s="37"/>
      <c r="E38" s="76"/>
      <c r="F38" s="77"/>
      <c r="G38" s="50"/>
      <c r="H38" s="38"/>
      <c r="I38" s="38"/>
      <c r="J38" s="37"/>
      <c r="K38" s="76"/>
      <c r="L38" s="76"/>
      <c r="M38" s="91"/>
    </row>
    <row r="39" spans="2:18" ht="16.5" customHeight="1" x14ac:dyDescent="0.25">
      <c r="B39" s="37"/>
      <c r="C39" s="37"/>
      <c r="D39" s="37"/>
      <c r="E39" s="76"/>
      <c r="F39" s="50"/>
      <c r="G39" s="50"/>
      <c r="H39" s="38"/>
      <c r="I39" s="38"/>
      <c r="J39" s="37"/>
      <c r="K39" s="76"/>
      <c r="L39" s="76"/>
      <c r="M39" s="91"/>
    </row>
    <row r="40" spans="2:18" ht="16.5" customHeight="1" x14ac:dyDescent="0.25">
      <c r="B40" s="37"/>
      <c r="C40" s="37"/>
      <c r="D40" s="37"/>
      <c r="E40" s="78"/>
      <c r="F40" s="79"/>
      <c r="G40" s="40"/>
      <c r="H40" s="41"/>
      <c r="I40" s="38"/>
      <c r="J40" s="37"/>
      <c r="K40" s="78"/>
      <c r="L40" s="78"/>
      <c r="M40" s="92"/>
      <c r="Q40" s="1" t="s">
        <v>33</v>
      </c>
      <c r="R40" s="1">
        <f>SUM(R6:R21)</f>
        <v>12</v>
      </c>
    </row>
    <row r="41" spans="2:18" ht="16.5" customHeight="1" x14ac:dyDescent="0.25">
      <c r="B41" s="37"/>
      <c r="C41" s="37"/>
      <c r="D41" s="37"/>
      <c r="E41" s="82"/>
      <c r="F41" s="50"/>
      <c r="G41" s="50"/>
      <c r="H41" s="38"/>
      <c r="I41" s="38"/>
      <c r="J41" s="37"/>
      <c r="K41" s="76"/>
      <c r="L41" s="76"/>
      <c r="M41" s="92"/>
    </row>
    <row r="42" spans="2:18" ht="13.5" x14ac:dyDescent="0.25">
      <c r="B42" s="37"/>
      <c r="C42" s="37"/>
      <c r="D42" s="37"/>
      <c r="E42" s="34"/>
      <c r="F42" s="34"/>
      <c r="G42" s="34"/>
      <c r="H42" s="36"/>
      <c r="I42" s="36"/>
      <c r="J42" s="37"/>
      <c r="K42" s="32"/>
      <c r="L42" s="32"/>
      <c r="M42" s="32"/>
    </row>
    <row r="43" spans="2:18" ht="13.5" x14ac:dyDescent="0.25">
      <c r="B43" s="37"/>
      <c r="C43" s="37"/>
      <c r="D43" s="37"/>
      <c r="E43" s="34"/>
      <c r="F43" s="34"/>
      <c r="G43" s="34"/>
      <c r="H43" s="36"/>
      <c r="I43" s="36"/>
      <c r="J43" s="37"/>
      <c r="K43" s="32"/>
      <c r="L43" s="32"/>
      <c r="M43" s="32"/>
    </row>
    <row r="44" spans="2:18" ht="13.5" x14ac:dyDescent="0.25">
      <c r="B44" s="37"/>
      <c r="C44" s="37"/>
      <c r="D44" s="37"/>
      <c r="E44" s="34"/>
      <c r="F44" s="34"/>
      <c r="G44" s="34"/>
      <c r="H44" s="36"/>
      <c r="I44" s="36"/>
      <c r="J44" s="37"/>
      <c r="K44" s="32"/>
      <c r="L44" s="32"/>
      <c r="M44" s="32"/>
    </row>
    <row r="45" spans="2:18" ht="13.5" x14ac:dyDescent="0.25">
      <c r="B45" s="37"/>
      <c r="C45" s="37"/>
      <c r="D45" s="37"/>
      <c r="E45" s="34"/>
      <c r="F45" s="34"/>
      <c r="G45" s="34"/>
      <c r="H45" s="36"/>
      <c r="I45" s="36"/>
      <c r="J45" s="37"/>
      <c r="K45" s="32"/>
      <c r="L45" s="32"/>
      <c r="M45" s="32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5"/>
  <sheetViews>
    <sheetView showGridLines="0" view="pageBreakPreview" topLeftCell="A9" zoomScale="60" zoomScaleNormal="90" workbookViewId="0">
      <selection activeCell="L1" sqref="L1:M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34.7109375" style="1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'16'!B1+1</f>
        <v>45886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4" t="s">
        <v>0</v>
      </c>
      <c r="C4" s="25">
        <v>0</v>
      </c>
      <c r="D4" s="57"/>
      <c r="E4" s="113" t="s">
        <v>137</v>
      </c>
      <c r="F4" s="113"/>
      <c r="G4" s="113"/>
      <c r="H4" s="113"/>
      <c r="I4" s="113"/>
      <c r="J4" s="29"/>
      <c r="K4" s="107" t="s">
        <v>138</v>
      </c>
      <c r="L4" s="108"/>
      <c r="M4" s="109"/>
    </row>
    <row r="5" spans="2:18" ht="16.5" x14ac:dyDescent="0.3">
      <c r="B5" s="27" t="s">
        <v>1</v>
      </c>
      <c r="C5" s="28">
        <f>SUMIF(I6:I31,"&gt;0",H6:H31)</f>
        <v>0</v>
      </c>
      <c r="D5" s="29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29"/>
      <c r="K5" s="21" t="s">
        <v>18</v>
      </c>
      <c r="L5" s="22" t="s">
        <v>19</v>
      </c>
      <c r="M5" s="23" t="s">
        <v>20</v>
      </c>
    </row>
    <row r="6" spans="2:18" ht="16.5" x14ac:dyDescent="0.3">
      <c r="B6" s="27" t="s">
        <v>2</v>
      </c>
      <c r="C6" s="28">
        <f>C16</f>
        <v>0</v>
      </c>
      <c r="D6" s="29"/>
      <c r="E6" s="76"/>
      <c r="F6" s="77"/>
      <c r="G6" s="50"/>
      <c r="H6" s="38"/>
      <c r="I6" s="38"/>
      <c r="J6" s="29"/>
      <c r="K6" s="77"/>
      <c r="L6" s="91"/>
      <c r="M6" s="42"/>
      <c r="R6" s="1">
        <f>IF(vend17[[#This Row],[Nº Venda]]&gt;1,1,0)</f>
        <v>0</v>
      </c>
    </row>
    <row r="7" spans="2:18" ht="16.5" x14ac:dyDescent="0.3">
      <c r="B7" s="27" t="s">
        <v>3</v>
      </c>
      <c r="C7" s="28">
        <f>SUM(M6:M11)</f>
        <v>0</v>
      </c>
      <c r="D7" s="29"/>
      <c r="E7" s="76"/>
      <c r="F7" s="77"/>
      <c r="G7" s="50"/>
      <c r="H7" s="38"/>
      <c r="I7" s="38"/>
      <c r="J7" s="29"/>
      <c r="K7" s="77"/>
      <c r="L7" s="91"/>
      <c r="M7" s="42"/>
      <c r="R7" s="1">
        <f>IF(vend17[[#This Row],[Nº Venda]]&gt;1,1,0)</f>
        <v>0</v>
      </c>
    </row>
    <row r="8" spans="2:18" ht="16.5" x14ac:dyDescent="0.3">
      <c r="B8" s="30" t="s">
        <v>21</v>
      </c>
      <c r="C8" s="31">
        <f>SUM(C6:C7)</f>
        <v>0</v>
      </c>
      <c r="D8" s="29"/>
      <c r="E8" s="76"/>
      <c r="F8" s="77"/>
      <c r="G8" s="50"/>
      <c r="H8" s="38"/>
      <c r="I8" s="38"/>
      <c r="J8" s="29"/>
      <c r="K8" s="77"/>
      <c r="L8" s="91"/>
      <c r="M8" s="42"/>
      <c r="R8" s="1">
        <f>IF(vend17[[#This Row],[Nº Venda]]&gt;1,1,0)</f>
        <v>0</v>
      </c>
    </row>
    <row r="9" spans="2:18" ht="16.5" x14ac:dyDescent="0.3">
      <c r="B9" s="26"/>
      <c r="C9" s="26"/>
      <c r="D9" s="29"/>
      <c r="E9" s="76"/>
      <c r="F9" s="77"/>
      <c r="G9" s="50"/>
      <c r="H9" s="38"/>
      <c r="I9" s="38"/>
      <c r="J9" s="29"/>
      <c r="K9" s="77"/>
      <c r="L9" s="91"/>
      <c r="M9" s="42"/>
      <c r="R9" s="1">
        <f>IF(vend17[[#This Row],[Nº Venda]]&gt;1,1,0)</f>
        <v>0</v>
      </c>
    </row>
    <row r="10" spans="2:18" ht="16.5" x14ac:dyDescent="0.3">
      <c r="B10" s="114" t="s">
        <v>5</v>
      </c>
      <c r="C10" s="115"/>
      <c r="D10" s="29"/>
      <c r="E10" s="76"/>
      <c r="F10" s="77"/>
      <c r="G10" s="50"/>
      <c r="H10" s="38"/>
      <c r="I10" s="38"/>
      <c r="J10" s="29"/>
      <c r="K10" s="77"/>
      <c r="L10" s="91"/>
      <c r="M10" s="42"/>
      <c r="R10" s="1">
        <f>IF(vend17[[#This Row],[Nº Venda]]&gt;1,1,0)</f>
        <v>0</v>
      </c>
    </row>
    <row r="11" spans="2:18" ht="16.5" x14ac:dyDescent="0.3">
      <c r="B11" s="27" t="s">
        <v>6</v>
      </c>
      <c r="C11" s="70">
        <f>(SUMIF($G$2:$G$31,B11,$I$2:$I$31))+(SUMIF($G$35:$G$41,B11,$H$35:$H$41))</f>
        <v>0</v>
      </c>
      <c r="D11" s="29"/>
      <c r="E11" s="76"/>
      <c r="F11" s="77"/>
      <c r="G11" s="50"/>
      <c r="H11" s="38"/>
      <c r="I11" s="38"/>
      <c r="J11" s="29"/>
      <c r="K11" s="37"/>
      <c r="L11" s="91"/>
      <c r="M11" s="42"/>
      <c r="O11" s="1">
        <f>IF(C16=0,0,1)</f>
        <v>0</v>
      </c>
      <c r="R11" s="1">
        <f>IF(vend17[[#This Row],[Nº Venda]]&gt;1,1,0)</f>
        <v>0</v>
      </c>
    </row>
    <row r="12" spans="2:18" ht="16.5" x14ac:dyDescent="0.3">
      <c r="B12" s="27" t="s">
        <v>7</v>
      </c>
      <c r="C12" s="70">
        <f t="shared" ref="C12:C15" si="0">(SUMIF($G$2:$G$31,B12,$I$2:$I$31))+(SUMIF($G$35:$G$41,B12,$H$35:$H$41))</f>
        <v>0</v>
      </c>
      <c r="D12" s="29"/>
      <c r="E12" s="76"/>
      <c r="F12" s="77"/>
      <c r="G12" s="50"/>
      <c r="H12" s="38"/>
      <c r="I12" s="38"/>
      <c r="J12" s="29"/>
      <c r="K12" s="32"/>
      <c r="L12" s="32"/>
      <c r="M12" s="32"/>
      <c r="R12" s="1">
        <f>IF(vend17[[#This Row],[Nº Venda]]&gt;1,1,0)</f>
        <v>0</v>
      </c>
    </row>
    <row r="13" spans="2:18" ht="16.5" x14ac:dyDescent="0.3">
      <c r="B13" s="27" t="s">
        <v>8</v>
      </c>
      <c r="C13" s="70">
        <f t="shared" si="0"/>
        <v>0</v>
      </c>
      <c r="D13" s="29"/>
      <c r="E13" s="76"/>
      <c r="F13" s="77"/>
      <c r="G13" s="50"/>
      <c r="H13" s="38"/>
      <c r="I13" s="38"/>
      <c r="J13" s="29"/>
      <c r="K13" s="107" t="s">
        <v>142</v>
      </c>
      <c r="L13" s="108"/>
      <c r="M13" s="109"/>
      <c r="R13" s="1">
        <f>IF(vend17[[#This Row],[Nº Venda]]&gt;1,1,0)</f>
        <v>0</v>
      </c>
    </row>
    <row r="14" spans="2:18" ht="16.5" x14ac:dyDescent="0.3">
      <c r="B14" s="27" t="s">
        <v>9</v>
      </c>
      <c r="C14" s="70">
        <f t="shared" si="0"/>
        <v>0</v>
      </c>
      <c r="D14" s="29"/>
      <c r="E14" s="76"/>
      <c r="F14" s="77"/>
      <c r="G14" s="50"/>
      <c r="H14" s="38"/>
      <c r="I14" s="38"/>
      <c r="J14" s="29"/>
      <c r="K14" s="21" t="s">
        <v>22</v>
      </c>
      <c r="L14" s="22" t="s">
        <v>23</v>
      </c>
      <c r="M14" s="23" t="s">
        <v>24</v>
      </c>
      <c r="R14" s="1">
        <f>IF(vend17[[#This Row],[Nº Venda]]&gt;1,1,0)</f>
        <v>0</v>
      </c>
    </row>
    <row r="15" spans="2:18" ht="16.5" x14ac:dyDescent="0.3">
      <c r="B15" s="27" t="s">
        <v>10</v>
      </c>
      <c r="C15" s="70">
        <f t="shared" si="0"/>
        <v>0</v>
      </c>
      <c r="D15" s="29"/>
      <c r="E15" s="76"/>
      <c r="F15" s="77"/>
      <c r="G15" s="50"/>
      <c r="H15" s="38"/>
      <c r="I15" s="38"/>
      <c r="J15" s="29"/>
      <c r="K15" s="76"/>
      <c r="L15" s="91"/>
      <c r="M15" s="42"/>
      <c r="R15" s="1">
        <f>IF(vend17[[#This Row],[Nº Venda]]&gt;1,1,0)</f>
        <v>0</v>
      </c>
    </row>
    <row r="16" spans="2:18" ht="16.5" x14ac:dyDescent="0.3">
      <c r="B16" s="30" t="s">
        <v>11</v>
      </c>
      <c r="C16" s="71">
        <f>SUM(C11:C15)</f>
        <v>0</v>
      </c>
      <c r="D16" s="29"/>
      <c r="E16" s="76"/>
      <c r="F16" s="77"/>
      <c r="G16" s="50"/>
      <c r="H16" s="38"/>
      <c r="I16" s="38"/>
      <c r="J16" s="29"/>
      <c r="K16" s="76"/>
      <c r="L16" s="91"/>
      <c r="M16" s="42"/>
      <c r="R16" s="1">
        <f>IF(vend17[[#This Row],[Nº Venda]]&gt;1,1,0)</f>
        <v>0</v>
      </c>
    </row>
    <row r="17" spans="2:18" ht="16.5" x14ac:dyDescent="0.3">
      <c r="B17" s="26"/>
      <c r="C17" s="26"/>
      <c r="D17" s="29"/>
      <c r="E17" s="76"/>
      <c r="F17" s="77"/>
      <c r="G17" s="50"/>
      <c r="H17" s="38"/>
      <c r="I17" s="38"/>
      <c r="J17" s="29"/>
      <c r="K17" s="76"/>
      <c r="L17" s="91"/>
      <c r="M17" s="42"/>
      <c r="R17" s="1">
        <f>IF(vend17[[#This Row],[Nº Venda]]&gt;1,1,0)</f>
        <v>0</v>
      </c>
    </row>
    <row r="18" spans="2:18" ht="16.5" x14ac:dyDescent="0.3">
      <c r="B18" s="114" t="s">
        <v>12</v>
      </c>
      <c r="C18" s="115"/>
      <c r="D18" s="29"/>
      <c r="E18" s="76"/>
      <c r="F18" s="77"/>
      <c r="G18" s="50"/>
      <c r="H18" s="38"/>
      <c r="I18" s="38"/>
      <c r="J18" s="29"/>
      <c r="K18" s="76"/>
      <c r="L18" s="91"/>
      <c r="M18" s="42"/>
      <c r="R18" s="1">
        <f>IF(vend17[[#This Row],[Nº Venda]]&gt;1,1,0)</f>
        <v>0</v>
      </c>
    </row>
    <row r="19" spans="2:18" ht="16.5" x14ac:dyDescent="0.3">
      <c r="B19" s="27">
        <f>COUNT(entr_carn17[OS])</f>
        <v>0</v>
      </c>
      <c r="C19" s="70">
        <f>SUM(entr_carn17[Valor Total])</f>
        <v>0</v>
      </c>
      <c r="D19" s="29"/>
      <c r="E19" s="76"/>
      <c r="F19" s="77"/>
      <c r="G19" s="50"/>
      <c r="H19" s="38"/>
      <c r="I19" s="38"/>
      <c r="J19" s="29"/>
      <c r="K19" s="76"/>
      <c r="L19" s="91"/>
      <c r="M19" s="42"/>
      <c r="R19" s="1">
        <f>IF(vend17[[#This Row],[Nº Venda]]&gt;1,1,0)</f>
        <v>0</v>
      </c>
    </row>
    <row r="20" spans="2:18" ht="16.5" x14ac:dyDescent="0.3">
      <c r="B20" s="30" t="s">
        <v>11</v>
      </c>
      <c r="C20" s="71">
        <f>SUM(C19:C19)</f>
        <v>0</v>
      </c>
      <c r="D20" s="29"/>
      <c r="E20" s="76"/>
      <c r="F20" s="50"/>
      <c r="G20" s="50"/>
      <c r="H20" s="38"/>
      <c r="I20" s="38"/>
      <c r="J20" s="29"/>
      <c r="K20" s="76"/>
      <c r="L20" s="91"/>
      <c r="M20" s="42"/>
      <c r="R20" s="1">
        <f>IF(vend17[[#This Row],[Nº Venda]]&gt;1,1,0)</f>
        <v>0</v>
      </c>
    </row>
    <row r="21" spans="2:18" ht="16.5" x14ac:dyDescent="0.3">
      <c r="B21" s="26"/>
      <c r="C21" s="26"/>
      <c r="D21" s="29"/>
      <c r="E21" s="76"/>
      <c r="F21" s="77"/>
      <c r="G21" s="50"/>
      <c r="H21" s="38"/>
      <c r="I21" s="38"/>
      <c r="J21" s="29"/>
      <c r="K21" s="76"/>
      <c r="L21" s="91"/>
      <c r="M21" s="42"/>
    </row>
    <row r="22" spans="2:18" ht="16.5" x14ac:dyDescent="0.3">
      <c r="B22" s="30" t="s">
        <v>25</v>
      </c>
      <c r="C22" s="33">
        <f>C5</f>
        <v>0</v>
      </c>
      <c r="D22" s="29"/>
      <c r="E22" s="78"/>
      <c r="F22" s="77"/>
      <c r="G22" s="50"/>
      <c r="H22" s="38"/>
      <c r="I22" s="38"/>
      <c r="J22" s="29"/>
      <c r="K22" s="76"/>
      <c r="L22" s="91"/>
      <c r="M22" s="42"/>
    </row>
    <row r="23" spans="2:18" ht="16.5" x14ac:dyDescent="0.3">
      <c r="B23" s="29"/>
      <c r="C23" s="29"/>
      <c r="D23" s="29"/>
      <c r="E23" s="34"/>
      <c r="F23" s="34"/>
      <c r="G23" s="34"/>
      <c r="H23" s="35"/>
      <c r="I23" s="36"/>
      <c r="J23" s="29"/>
      <c r="K23" s="76"/>
      <c r="L23" s="91"/>
      <c r="M23" s="42"/>
    </row>
    <row r="24" spans="2:18" ht="16.5" x14ac:dyDescent="0.3">
      <c r="B24" s="29"/>
      <c r="C24" s="29"/>
      <c r="D24" s="29"/>
      <c r="E24" s="105" t="s">
        <v>139</v>
      </c>
      <c r="F24" s="106"/>
      <c r="G24" s="106"/>
      <c r="H24" s="106"/>
      <c r="I24" s="106"/>
      <c r="J24" s="29"/>
      <c r="K24" s="76"/>
      <c r="L24" s="91"/>
      <c r="M24" s="42"/>
    </row>
    <row r="25" spans="2:18" ht="16.5" x14ac:dyDescent="0.3">
      <c r="B25" s="29"/>
      <c r="C25" s="29"/>
      <c r="D25" s="29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29"/>
      <c r="K25" s="76"/>
      <c r="L25" s="91"/>
      <c r="M25" s="42"/>
    </row>
    <row r="26" spans="2:18" ht="16.5" x14ac:dyDescent="0.3">
      <c r="B26" s="29"/>
      <c r="C26" s="29"/>
      <c r="D26" s="29"/>
      <c r="E26" s="76"/>
      <c r="F26" s="77"/>
      <c r="G26" s="50"/>
      <c r="H26" s="38"/>
      <c r="I26" s="38"/>
      <c r="J26" s="29"/>
      <c r="K26" s="76"/>
      <c r="L26" s="91"/>
      <c r="M26" s="42"/>
    </row>
    <row r="27" spans="2:18" ht="16.5" x14ac:dyDescent="0.3">
      <c r="B27" s="29"/>
      <c r="C27" s="29"/>
      <c r="D27" s="29"/>
      <c r="E27" s="76"/>
      <c r="F27" s="77"/>
      <c r="G27" s="50"/>
      <c r="H27" s="38"/>
      <c r="I27" s="38"/>
      <c r="J27" s="29"/>
      <c r="K27" s="76"/>
      <c r="L27" s="91"/>
      <c r="M27" s="42"/>
    </row>
    <row r="28" spans="2:18" ht="16.5" x14ac:dyDescent="0.3">
      <c r="B28" s="29"/>
      <c r="C28" s="29"/>
      <c r="D28" s="29"/>
      <c r="E28" s="76"/>
      <c r="F28" s="77"/>
      <c r="G28" s="50"/>
      <c r="H28" s="38"/>
      <c r="I28" s="38"/>
      <c r="J28" s="29"/>
      <c r="K28" s="76"/>
      <c r="L28" s="91"/>
      <c r="M28" s="42"/>
    </row>
    <row r="29" spans="2:18" ht="16.5" x14ac:dyDescent="0.3">
      <c r="B29" s="29"/>
      <c r="C29" s="29"/>
      <c r="D29" s="29"/>
      <c r="E29" s="76"/>
      <c r="F29" s="77"/>
      <c r="G29" s="50"/>
      <c r="H29" s="38"/>
      <c r="I29" s="38"/>
      <c r="J29" s="29"/>
      <c r="K29" s="76"/>
      <c r="L29" s="91"/>
      <c r="M29" s="42"/>
    </row>
    <row r="30" spans="2:18" ht="16.5" x14ac:dyDescent="0.3">
      <c r="B30" s="29"/>
      <c r="C30" s="29"/>
      <c r="D30" s="29"/>
      <c r="E30" s="76"/>
      <c r="F30" s="50"/>
      <c r="G30" s="50"/>
      <c r="H30" s="38"/>
      <c r="I30" s="38"/>
      <c r="J30" s="29"/>
      <c r="K30" s="76"/>
      <c r="L30" s="91"/>
      <c r="M30" s="42"/>
    </row>
    <row r="31" spans="2:18" ht="16.5" x14ac:dyDescent="0.3">
      <c r="B31" s="29"/>
      <c r="C31" s="29"/>
      <c r="D31" s="29"/>
      <c r="E31" s="78"/>
      <c r="F31" s="79"/>
      <c r="G31" s="40"/>
      <c r="H31" s="41"/>
      <c r="I31" s="41"/>
      <c r="J31" s="29"/>
      <c r="K31" s="76"/>
      <c r="L31" s="91"/>
      <c r="M31" s="42"/>
    </row>
    <row r="32" spans="2:18" ht="16.5" x14ac:dyDescent="0.3">
      <c r="B32" s="29"/>
      <c r="C32" s="29"/>
      <c r="D32" s="37"/>
      <c r="E32" s="34"/>
      <c r="F32" s="34"/>
      <c r="G32" s="34"/>
      <c r="H32" s="36"/>
      <c r="I32" s="36"/>
      <c r="J32" s="37"/>
      <c r="K32" s="32"/>
      <c r="L32" s="32"/>
      <c r="M32" s="32"/>
    </row>
    <row r="33" spans="2:18" ht="16.5" x14ac:dyDescent="0.3">
      <c r="B33" s="29"/>
      <c r="C33" s="29"/>
      <c r="D33" s="37"/>
      <c r="E33" s="105" t="s">
        <v>140</v>
      </c>
      <c r="F33" s="106"/>
      <c r="G33" s="106"/>
      <c r="H33" s="106"/>
      <c r="I33" s="106"/>
      <c r="J33" s="37"/>
      <c r="K33" s="107" t="s">
        <v>141</v>
      </c>
      <c r="L33" s="108"/>
      <c r="M33" s="109"/>
    </row>
    <row r="34" spans="2:18" ht="16.5" x14ac:dyDescent="0.3">
      <c r="B34" s="37"/>
      <c r="C34" s="37"/>
      <c r="D34" s="37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7"/>
      <c r="K34" s="22" t="s">
        <v>22</v>
      </c>
      <c r="L34" s="21" t="s">
        <v>28</v>
      </c>
      <c r="M34" s="22" t="s">
        <v>29</v>
      </c>
    </row>
    <row r="35" spans="2:18" ht="16.5" customHeight="1" x14ac:dyDescent="0.25">
      <c r="B35" s="37"/>
      <c r="C35" s="37"/>
      <c r="D35" s="37"/>
      <c r="E35" s="76"/>
      <c r="F35" s="77"/>
      <c r="G35" s="50"/>
      <c r="H35" s="38"/>
      <c r="I35" s="38"/>
      <c r="J35" s="37"/>
      <c r="K35" s="76"/>
      <c r="L35" s="76"/>
      <c r="M35" s="91"/>
    </row>
    <row r="36" spans="2:18" ht="16.5" customHeight="1" x14ac:dyDescent="0.25">
      <c r="B36" s="37"/>
      <c r="C36" s="37"/>
      <c r="D36" s="37"/>
      <c r="E36" s="83"/>
      <c r="F36" s="77"/>
      <c r="G36" s="50"/>
      <c r="H36" s="38"/>
      <c r="I36" s="38"/>
      <c r="J36" s="37"/>
      <c r="K36" s="76"/>
      <c r="L36" s="76"/>
      <c r="M36" s="91"/>
    </row>
    <row r="37" spans="2:18" ht="16.5" customHeight="1" x14ac:dyDescent="0.25">
      <c r="B37" s="37"/>
      <c r="C37" s="37"/>
      <c r="D37" s="37"/>
      <c r="E37" s="76"/>
      <c r="F37" s="77"/>
      <c r="G37" s="50"/>
      <c r="H37" s="38"/>
      <c r="I37" s="38"/>
      <c r="J37" s="37"/>
      <c r="K37" s="76"/>
      <c r="L37" s="76"/>
      <c r="M37" s="91"/>
    </row>
    <row r="38" spans="2:18" ht="16.5" customHeight="1" x14ac:dyDescent="0.25">
      <c r="B38" s="37"/>
      <c r="C38" s="37"/>
      <c r="D38" s="37"/>
      <c r="E38" s="76"/>
      <c r="F38" s="77"/>
      <c r="G38" s="50"/>
      <c r="H38" s="38"/>
      <c r="I38" s="38"/>
      <c r="J38" s="37"/>
      <c r="K38" s="76"/>
      <c r="L38" s="76"/>
      <c r="M38" s="91"/>
    </row>
    <row r="39" spans="2:18" ht="16.5" customHeight="1" x14ac:dyDescent="0.25">
      <c r="B39" s="37"/>
      <c r="C39" s="37"/>
      <c r="D39" s="37"/>
      <c r="E39" s="76"/>
      <c r="F39" s="50"/>
      <c r="G39" s="50"/>
      <c r="H39" s="38"/>
      <c r="I39" s="38"/>
      <c r="J39" s="37"/>
      <c r="K39" s="76"/>
      <c r="L39" s="76"/>
      <c r="M39" s="91"/>
    </row>
    <row r="40" spans="2:18" ht="16.5" customHeight="1" x14ac:dyDescent="0.25">
      <c r="B40" s="37"/>
      <c r="C40" s="37"/>
      <c r="D40" s="37"/>
      <c r="E40" s="78"/>
      <c r="F40" s="79"/>
      <c r="G40" s="40"/>
      <c r="H40" s="41"/>
      <c r="I40" s="38"/>
      <c r="J40" s="37"/>
      <c r="K40" s="78"/>
      <c r="L40" s="78"/>
      <c r="M40" s="92"/>
      <c r="Q40" s="1" t="s">
        <v>33</v>
      </c>
      <c r="R40" s="1">
        <f>SUM(R6:R21)</f>
        <v>0</v>
      </c>
    </row>
    <row r="41" spans="2:18" ht="16.5" customHeight="1" x14ac:dyDescent="0.25">
      <c r="B41" s="37"/>
      <c r="C41" s="37"/>
      <c r="D41" s="37"/>
      <c r="E41" s="82"/>
      <c r="F41" s="50"/>
      <c r="G41" s="50"/>
      <c r="H41" s="38"/>
      <c r="I41" s="38"/>
      <c r="J41" s="37"/>
      <c r="K41" s="76"/>
      <c r="L41" s="76"/>
      <c r="M41" s="92"/>
    </row>
    <row r="42" spans="2:18" ht="13.5" x14ac:dyDescent="0.25">
      <c r="B42" s="37"/>
      <c r="C42" s="37"/>
      <c r="D42" s="37"/>
      <c r="E42" s="34"/>
      <c r="F42" s="34"/>
      <c r="G42" s="34"/>
      <c r="H42" s="36"/>
      <c r="I42" s="36"/>
      <c r="J42" s="37"/>
      <c r="K42" s="32"/>
      <c r="L42" s="32"/>
      <c r="M42" s="32"/>
    </row>
    <row r="43" spans="2:18" ht="13.5" x14ac:dyDescent="0.25">
      <c r="B43" s="37"/>
      <c r="C43" s="37"/>
      <c r="D43" s="37"/>
      <c r="E43" s="34"/>
      <c r="F43" s="34"/>
      <c r="G43" s="34"/>
      <c r="H43" s="36"/>
      <c r="I43" s="36"/>
      <c r="J43" s="37"/>
      <c r="K43" s="32"/>
      <c r="L43" s="32"/>
      <c r="M43" s="32"/>
    </row>
    <row r="44" spans="2:18" ht="13.5" x14ac:dyDescent="0.25">
      <c r="B44" s="37"/>
      <c r="C44" s="37"/>
      <c r="D44" s="37"/>
      <c r="E44" s="34"/>
      <c r="F44" s="34"/>
      <c r="G44" s="34"/>
      <c r="H44" s="36"/>
      <c r="I44" s="36"/>
      <c r="J44" s="37"/>
      <c r="K44" s="32"/>
      <c r="L44" s="32"/>
      <c r="M44" s="32"/>
    </row>
    <row r="45" spans="2:18" ht="13.5" x14ac:dyDescent="0.25">
      <c r="B45" s="37"/>
      <c r="C45" s="37"/>
      <c r="D45" s="37"/>
      <c r="E45" s="34"/>
      <c r="F45" s="34"/>
      <c r="G45" s="34"/>
      <c r="H45" s="36"/>
      <c r="I45" s="36"/>
      <c r="J45" s="37"/>
      <c r="K45" s="32"/>
      <c r="L45" s="32"/>
      <c r="M45" s="32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5"/>
  <sheetViews>
    <sheetView showGridLines="0" view="pageBreakPreview" topLeftCell="A9" zoomScale="87" zoomScaleNormal="90" zoomScaleSheetLayoutView="87" workbookViewId="0">
      <selection activeCell="F19" sqref="F19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47" style="11" bestFit="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1.140625" style="3" bestFit="1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16">
        <f>'17'!B1+1</f>
        <v>45887</v>
      </c>
      <c r="C1" s="116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4" t="s">
        <v>0</v>
      </c>
      <c r="C4" s="25">
        <v>0</v>
      </c>
      <c r="D4" s="57"/>
      <c r="E4" s="113" t="s">
        <v>137</v>
      </c>
      <c r="F4" s="113"/>
      <c r="G4" s="113"/>
      <c r="H4" s="113"/>
      <c r="I4" s="113"/>
      <c r="J4" s="29"/>
      <c r="K4" s="107" t="s">
        <v>138</v>
      </c>
      <c r="L4" s="108"/>
      <c r="M4" s="109"/>
    </row>
    <row r="5" spans="2:18" ht="16.5" x14ac:dyDescent="0.3">
      <c r="B5" s="27" t="s">
        <v>1</v>
      </c>
      <c r="C5" s="28">
        <f>SUMIF(I6:I31,"&gt;0",H6:H31)</f>
        <v>2207.8000000000002</v>
      </c>
      <c r="D5" s="29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29"/>
      <c r="K5" s="21" t="s">
        <v>18</v>
      </c>
      <c r="L5" s="22" t="s">
        <v>19</v>
      </c>
      <c r="M5" s="23" t="s">
        <v>20</v>
      </c>
    </row>
    <row r="6" spans="2:18" ht="16.5" x14ac:dyDescent="0.3">
      <c r="B6" s="27" t="s">
        <v>2</v>
      </c>
      <c r="C6" s="28">
        <f>C16</f>
        <v>2498.0500000000002</v>
      </c>
      <c r="D6" s="29"/>
      <c r="E6" s="76">
        <v>11624</v>
      </c>
      <c r="F6" s="77" t="s">
        <v>308</v>
      </c>
      <c r="G6" s="50" t="s">
        <v>7</v>
      </c>
      <c r="H6" s="38">
        <v>49</v>
      </c>
      <c r="I6" s="38">
        <v>49</v>
      </c>
      <c r="J6" s="29"/>
      <c r="K6" s="77"/>
      <c r="L6" s="39"/>
      <c r="M6" s="42"/>
      <c r="R6" s="1">
        <f>IF(vend18[[#This Row],[Nº Venda]]&gt;1,1,0)</f>
        <v>1</v>
      </c>
    </row>
    <row r="7" spans="2:18" ht="16.5" x14ac:dyDescent="0.3">
      <c r="B7" s="27" t="s">
        <v>3</v>
      </c>
      <c r="C7" s="28">
        <f>SUM(M6:M11)</f>
        <v>0</v>
      </c>
      <c r="D7" s="29"/>
      <c r="E7" s="76">
        <v>11625</v>
      </c>
      <c r="F7" s="77" t="s">
        <v>309</v>
      </c>
      <c r="G7" s="50" t="s">
        <v>36</v>
      </c>
      <c r="H7" s="38">
        <v>0</v>
      </c>
      <c r="I7" s="38">
        <v>0</v>
      </c>
      <c r="J7" s="29"/>
      <c r="K7" s="77"/>
      <c r="L7" s="91"/>
      <c r="M7" s="42"/>
      <c r="R7" s="1">
        <f>IF(vend18[[#This Row],[Nº Venda]]&gt;1,1,0)</f>
        <v>1</v>
      </c>
    </row>
    <row r="8" spans="2:18" ht="16.5" x14ac:dyDescent="0.3">
      <c r="B8" s="30" t="s">
        <v>21</v>
      </c>
      <c r="C8" s="31">
        <f>SUM(C6:C7)</f>
        <v>2498.0500000000002</v>
      </c>
      <c r="D8" s="29"/>
      <c r="E8" s="76">
        <v>11626</v>
      </c>
      <c r="F8" s="77" t="s">
        <v>310</v>
      </c>
      <c r="G8" s="50" t="s">
        <v>46</v>
      </c>
      <c r="H8" s="38">
        <v>40</v>
      </c>
      <c r="I8" s="38"/>
      <c r="J8" s="29"/>
      <c r="K8" s="77"/>
      <c r="L8" s="91"/>
      <c r="M8" s="42"/>
      <c r="R8" s="1">
        <f>IF(vend18[[#This Row],[Nº Venda]]&gt;1,1,0)</f>
        <v>1</v>
      </c>
    </row>
    <row r="9" spans="2:18" ht="16.5" x14ac:dyDescent="0.3">
      <c r="B9" s="26"/>
      <c r="C9" s="26"/>
      <c r="D9" s="29"/>
      <c r="E9" s="76">
        <v>11627</v>
      </c>
      <c r="F9" s="77" t="s">
        <v>311</v>
      </c>
      <c r="G9" s="50" t="s">
        <v>6</v>
      </c>
      <c r="H9" s="38">
        <v>350</v>
      </c>
      <c r="I9" s="38">
        <v>10</v>
      </c>
      <c r="J9" s="29"/>
      <c r="K9" s="77"/>
      <c r="L9" s="91"/>
      <c r="M9" s="42"/>
      <c r="R9" s="1">
        <f>IF(vend18[[#This Row],[Nº Venda]]&gt;1,1,0)</f>
        <v>1</v>
      </c>
    </row>
    <row r="10" spans="2:18" ht="16.5" x14ac:dyDescent="0.3">
      <c r="B10" s="114" t="s">
        <v>5</v>
      </c>
      <c r="C10" s="115"/>
      <c r="D10" s="29"/>
      <c r="E10" s="76">
        <v>11628</v>
      </c>
      <c r="F10" s="77" t="s">
        <v>312</v>
      </c>
      <c r="G10" s="50" t="s">
        <v>6</v>
      </c>
      <c r="H10" s="38">
        <v>110</v>
      </c>
      <c r="I10" s="38">
        <v>10</v>
      </c>
      <c r="J10" s="29"/>
      <c r="K10" s="77"/>
      <c r="L10" s="91"/>
      <c r="M10" s="42"/>
      <c r="R10" s="1">
        <f>IF(vend18[[#This Row],[Nº Venda]]&gt;1,1,0)</f>
        <v>1</v>
      </c>
    </row>
    <row r="11" spans="2:18" ht="16.5" x14ac:dyDescent="0.3">
      <c r="B11" s="27" t="s">
        <v>6</v>
      </c>
      <c r="C11" s="70">
        <f>(SUMIF($G$2:$G$31,B11,$I$2:$I$31))+(SUMIF($G$35:$G$41,B11,$H$35:$H$41))</f>
        <v>20</v>
      </c>
      <c r="D11" s="29"/>
      <c r="E11" s="76">
        <v>11629</v>
      </c>
      <c r="F11" s="77" t="s">
        <v>232</v>
      </c>
      <c r="G11" s="50" t="s">
        <v>36</v>
      </c>
      <c r="H11" s="38">
        <v>0</v>
      </c>
      <c r="I11" s="38">
        <v>0</v>
      </c>
      <c r="J11" s="29"/>
      <c r="K11" s="37"/>
      <c r="L11" s="91"/>
      <c r="M11" s="42"/>
      <c r="O11" s="1">
        <f>IF(C16=0,0,1)</f>
        <v>1</v>
      </c>
      <c r="R11" s="1">
        <f>IF(vend18[[#This Row],[Nº Venda]]&gt;1,1,0)</f>
        <v>1</v>
      </c>
    </row>
    <row r="12" spans="2:18" ht="16.5" x14ac:dyDescent="0.3">
      <c r="B12" s="27" t="s">
        <v>7</v>
      </c>
      <c r="C12" s="70">
        <f t="shared" ref="C12:C15" si="0">(SUMIF($G$2:$G$31,B12,$I$2:$I$31))+(SUMIF($G$35:$G$41,B12,$H$35:$H$41))</f>
        <v>548.79999999999995</v>
      </c>
      <c r="D12" s="29"/>
      <c r="E12" s="76">
        <v>11630</v>
      </c>
      <c r="F12" s="77" t="s">
        <v>317</v>
      </c>
      <c r="G12" s="50" t="s">
        <v>7</v>
      </c>
      <c r="H12" s="38">
        <v>249.9</v>
      </c>
      <c r="I12" s="38">
        <v>249.9</v>
      </c>
      <c r="J12" s="29"/>
      <c r="K12" s="32"/>
      <c r="L12" s="32"/>
      <c r="M12" s="32"/>
      <c r="R12" s="1">
        <f>IF(vend18[[#This Row],[Nº Venda]]&gt;1,1,0)</f>
        <v>1</v>
      </c>
    </row>
    <row r="13" spans="2:18" ht="16.5" x14ac:dyDescent="0.3">
      <c r="B13" s="27" t="s">
        <v>8</v>
      </c>
      <c r="C13" s="70">
        <f t="shared" si="0"/>
        <v>1449</v>
      </c>
      <c r="D13" s="29"/>
      <c r="E13" s="76">
        <v>11631</v>
      </c>
      <c r="F13" s="77" t="s">
        <v>318</v>
      </c>
      <c r="G13" s="50" t="s">
        <v>7</v>
      </c>
      <c r="H13" s="38">
        <v>249.9</v>
      </c>
      <c r="I13" s="38">
        <v>249.9</v>
      </c>
      <c r="J13" s="29"/>
      <c r="K13" s="107" t="s">
        <v>142</v>
      </c>
      <c r="L13" s="108"/>
      <c r="M13" s="109"/>
      <c r="R13" s="1">
        <f>IF(vend18[[#This Row],[Nº Venda]]&gt;1,1,0)</f>
        <v>1</v>
      </c>
    </row>
    <row r="14" spans="2:18" ht="16.5" x14ac:dyDescent="0.3">
      <c r="B14" s="27" t="s">
        <v>9</v>
      </c>
      <c r="C14" s="70">
        <f t="shared" si="0"/>
        <v>0</v>
      </c>
      <c r="D14" s="29"/>
      <c r="E14" s="76">
        <v>11632</v>
      </c>
      <c r="F14" s="77" t="s">
        <v>319</v>
      </c>
      <c r="G14" s="50" t="s">
        <v>8</v>
      </c>
      <c r="H14" s="38">
        <v>550</v>
      </c>
      <c r="I14" s="38">
        <v>550</v>
      </c>
      <c r="J14" s="29"/>
      <c r="K14" s="21" t="s">
        <v>22</v>
      </c>
      <c r="L14" s="22" t="s">
        <v>23</v>
      </c>
      <c r="M14" s="23" t="s">
        <v>24</v>
      </c>
      <c r="R14" s="1">
        <f>IF(vend18[[#This Row],[Nº Venda]]&gt;1,1,0)</f>
        <v>1</v>
      </c>
    </row>
    <row r="15" spans="2:18" ht="16.5" x14ac:dyDescent="0.3">
      <c r="B15" s="27" t="s">
        <v>10</v>
      </c>
      <c r="C15" s="70">
        <f t="shared" si="0"/>
        <v>480.25</v>
      </c>
      <c r="D15" s="29"/>
      <c r="E15" s="76">
        <v>11633</v>
      </c>
      <c r="F15" s="77" t="s">
        <v>320</v>
      </c>
      <c r="G15" s="50" t="s">
        <v>8</v>
      </c>
      <c r="H15" s="38">
        <v>550</v>
      </c>
      <c r="I15" s="38">
        <v>550</v>
      </c>
      <c r="J15" s="29"/>
      <c r="K15" s="76">
        <v>11397</v>
      </c>
      <c r="L15" s="91" t="s">
        <v>129</v>
      </c>
      <c r="M15" s="42" t="s">
        <v>145</v>
      </c>
      <c r="R15" s="1">
        <f>IF(vend18[[#This Row],[Nº Venda]]&gt;1,1,0)</f>
        <v>1</v>
      </c>
    </row>
    <row r="16" spans="2:18" ht="16.5" x14ac:dyDescent="0.3">
      <c r="B16" s="30" t="s">
        <v>11</v>
      </c>
      <c r="C16" s="71">
        <f>SUM(C11:C15)</f>
        <v>2498.0500000000002</v>
      </c>
      <c r="D16" s="29"/>
      <c r="E16" s="76">
        <v>11634</v>
      </c>
      <c r="F16" s="77" t="s">
        <v>319</v>
      </c>
      <c r="G16" s="50" t="s">
        <v>8</v>
      </c>
      <c r="H16" s="38">
        <v>99</v>
      </c>
      <c r="I16" s="38">
        <v>99</v>
      </c>
      <c r="J16" s="29"/>
      <c r="K16" s="76">
        <v>11454</v>
      </c>
      <c r="L16" s="91" t="s">
        <v>131</v>
      </c>
      <c r="M16" s="42" t="s">
        <v>145</v>
      </c>
      <c r="R16" s="1">
        <f>IF(vend18[[#This Row],[Nº Venda]]&gt;1,1,0)</f>
        <v>1</v>
      </c>
    </row>
    <row r="17" spans="2:18" ht="16.5" x14ac:dyDescent="0.3">
      <c r="B17" s="26"/>
      <c r="C17" s="26"/>
      <c r="D17" s="29"/>
      <c r="E17" s="76"/>
      <c r="F17" s="77"/>
      <c r="G17" s="50"/>
      <c r="H17" s="38"/>
      <c r="I17" s="38"/>
      <c r="J17" s="29"/>
      <c r="K17" s="76">
        <v>11618</v>
      </c>
      <c r="L17" s="91" t="s">
        <v>131</v>
      </c>
      <c r="M17" s="42" t="s">
        <v>145</v>
      </c>
      <c r="R17" s="1">
        <f>IF(vend18[[#This Row],[Nº Venda]]&gt;1,1,0)</f>
        <v>0</v>
      </c>
    </row>
    <row r="18" spans="2:18" ht="16.5" x14ac:dyDescent="0.3">
      <c r="B18" s="114" t="s">
        <v>12</v>
      </c>
      <c r="C18" s="115"/>
      <c r="D18" s="29"/>
      <c r="E18" s="76"/>
      <c r="F18" s="77"/>
      <c r="G18" s="50"/>
      <c r="H18" s="38"/>
      <c r="I18" s="38"/>
      <c r="J18" s="29"/>
      <c r="K18" s="76">
        <v>11628</v>
      </c>
      <c r="L18" s="91" t="s">
        <v>129</v>
      </c>
      <c r="M18" s="42" t="s">
        <v>145</v>
      </c>
      <c r="R18" s="1">
        <f>IF(vend18[[#This Row],[Nº Venda]]&gt;1,1,0)</f>
        <v>0</v>
      </c>
    </row>
    <row r="19" spans="2:18" ht="16.5" x14ac:dyDescent="0.3">
      <c r="B19" s="27">
        <f>COUNT(entr_carn18[OS])</f>
        <v>0</v>
      </c>
      <c r="C19" s="70">
        <f>SUM(entr_carn18[Valor Total])</f>
        <v>0</v>
      </c>
      <c r="D19" s="29"/>
      <c r="E19" s="76"/>
      <c r="F19" s="77"/>
      <c r="G19" s="50"/>
      <c r="H19" s="38"/>
      <c r="I19" s="38"/>
      <c r="J19" s="29"/>
      <c r="K19" s="76"/>
      <c r="L19" s="91"/>
      <c r="M19" s="42"/>
      <c r="R19" s="1">
        <f>IF(vend18[[#This Row],[Nº Venda]]&gt;1,1,0)</f>
        <v>0</v>
      </c>
    </row>
    <row r="20" spans="2:18" ht="16.5" x14ac:dyDescent="0.3">
      <c r="B20" s="30" t="s">
        <v>11</v>
      </c>
      <c r="C20" s="71">
        <f>SUM(C19:C19)</f>
        <v>0</v>
      </c>
      <c r="D20" s="29"/>
      <c r="E20" s="76"/>
      <c r="F20" s="50"/>
      <c r="G20" s="50"/>
      <c r="H20" s="38"/>
      <c r="I20" s="38"/>
      <c r="J20" s="29"/>
      <c r="K20" s="76"/>
      <c r="L20" s="91"/>
      <c r="M20" s="42"/>
      <c r="R20" s="1">
        <f>IF(vend18[[#This Row],[Nº Venda]]&gt;1,1,0)</f>
        <v>0</v>
      </c>
    </row>
    <row r="21" spans="2:18" ht="16.5" x14ac:dyDescent="0.3">
      <c r="B21" s="26"/>
      <c r="C21" s="26"/>
      <c r="D21" s="29"/>
      <c r="E21" s="76"/>
      <c r="F21" s="77"/>
      <c r="G21" s="50"/>
      <c r="H21" s="38"/>
      <c r="I21" s="38"/>
      <c r="J21" s="29"/>
      <c r="K21" s="76"/>
      <c r="L21" s="91"/>
      <c r="M21" s="42"/>
    </row>
    <row r="22" spans="2:18" ht="16.5" x14ac:dyDescent="0.3">
      <c r="B22" s="30" t="s">
        <v>25</v>
      </c>
      <c r="C22" s="33">
        <f>C5</f>
        <v>2207.8000000000002</v>
      </c>
      <c r="D22" s="29"/>
      <c r="E22" s="78"/>
      <c r="F22" s="77"/>
      <c r="G22" s="50"/>
      <c r="H22" s="38"/>
      <c r="I22" s="38"/>
      <c r="J22" s="29"/>
      <c r="K22" s="76"/>
      <c r="L22" s="91"/>
      <c r="M22" s="42"/>
    </row>
    <row r="23" spans="2:18" ht="16.5" x14ac:dyDescent="0.3">
      <c r="B23" s="29"/>
      <c r="C23" s="29"/>
      <c r="D23" s="29"/>
      <c r="E23" s="34"/>
      <c r="F23" s="59"/>
      <c r="G23" s="40"/>
      <c r="H23" s="41"/>
      <c r="I23" s="41"/>
      <c r="J23" s="29"/>
      <c r="K23" s="76"/>
      <c r="L23" s="91"/>
      <c r="M23" s="42"/>
    </row>
    <row r="24" spans="2:18" ht="16.5" x14ac:dyDescent="0.3">
      <c r="B24" s="29"/>
      <c r="C24" s="29"/>
      <c r="D24" s="29"/>
      <c r="E24" s="105" t="s">
        <v>139</v>
      </c>
      <c r="F24" s="106"/>
      <c r="G24" s="106"/>
      <c r="H24" s="106"/>
      <c r="I24" s="106"/>
      <c r="J24" s="29"/>
      <c r="K24" s="76"/>
      <c r="L24" s="91"/>
      <c r="M24" s="42"/>
    </row>
    <row r="25" spans="2:18" ht="16.5" x14ac:dyDescent="0.3">
      <c r="B25" s="29"/>
      <c r="C25" s="29"/>
      <c r="D25" s="29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29"/>
      <c r="K25" s="76"/>
      <c r="L25" s="91"/>
      <c r="M25" s="42"/>
    </row>
    <row r="26" spans="2:18" ht="16.5" x14ac:dyDescent="0.3">
      <c r="B26" s="29"/>
      <c r="C26" s="29"/>
      <c r="D26" s="29"/>
      <c r="E26" s="76">
        <v>11534</v>
      </c>
      <c r="F26" s="77" t="s">
        <v>314</v>
      </c>
      <c r="G26" s="50" t="s">
        <v>10</v>
      </c>
      <c r="H26" s="38"/>
      <c r="I26" s="38">
        <v>34</v>
      </c>
      <c r="J26" s="29"/>
      <c r="K26" s="76"/>
      <c r="L26" s="91"/>
      <c r="M26" s="42"/>
    </row>
    <row r="27" spans="2:18" ht="16.5" x14ac:dyDescent="0.3">
      <c r="B27" s="29"/>
      <c r="C27" s="29"/>
      <c r="D27" s="29"/>
      <c r="E27" s="76">
        <v>11397</v>
      </c>
      <c r="F27" s="77" t="s">
        <v>316</v>
      </c>
      <c r="G27" s="50" t="s">
        <v>8</v>
      </c>
      <c r="H27" s="38"/>
      <c r="I27" s="38">
        <v>250</v>
      </c>
      <c r="J27" s="29"/>
      <c r="K27" s="76"/>
      <c r="L27" s="91"/>
      <c r="M27" s="42"/>
    </row>
    <row r="28" spans="2:18" ht="16.5" x14ac:dyDescent="0.3">
      <c r="B28" s="29"/>
      <c r="C28" s="29"/>
      <c r="D28" s="29"/>
      <c r="E28" s="76"/>
      <c r="F28" s="77"/>
      <c r="G28" s="50"/>
      <c r="H28" s="38"/>
      <c r="I28" s="38"/>
      <c r="J28" s="29"/>
      <c r="K28" s="76"/>
      <c r="L28" s="91"/>
      <c r="M28" s="42"/>
    </row>
    <row r="29" spans="2:18" ht="16.5" x14ac:dyDescent="0.3">
      <c r="B29" s="29"/>
      <c r="C29" s="29"/>
      <c r="D29" s="29"/>
      <c r="E29" s="76"/>
      <c r="F29" s="77"/>
      <c r="G29" s="50"/>
      <c r="H29" s="38"/>
      <c r="I29" s="38"/>
      <c r="J29" s="29"/>
      <c r="K29" s="76"/>
      <c r="L29" s="91"/>
      <c r="M29" s="42"/>
    </row>
    <row r="30" spans="2:18" ht="16.5" x14ac:dyDescent="0.3">
      <c r="B30" s="29"/>
      <c r="C30" s="29"/>
      <c r="D30" s="29"/>
      <c r="E30" s="76"/>
      <c r="F30" s="50"/>
      <c r="G30" s="50"/>
      <c r="H30" s="38"/>
      <c r="I30" s="38"/>
      <c r="J30" s="29"/>
      <c r="K30" s="76"/>
      <c r="L30" s="91"/>
      <c r="M30" s="42"/>
    </row>
    <row r="31" spans="2:18" ht="16.5" x14ac:dyDescent="0.3">
      <c r="B31" s="29"/>
      <c r="C31" s="29"/>
      <c r="D31" s="29"/>
      <c r="E31" s="78"/>
      <c r="F31" s="79"/>
      <c r="G31" s="40"/>
      <c r="H31" s="41"/>
      <c r="I31" s="41"/>
      <c r="J31" s="29"/>
      <c r="K31" s="76"/>
      <c r="L31" s="91"/>
      <c r="M31" s="42"/>
    </row>
    <row r="32" spans="2:18" ht="16.5" x14ac:dyDescent="0.3">
      <c r="B32" s="29"/>
      <c r="C32" s="29"/>
      <c r="D32" s="37"/>
      <c r="E32" s="34"/>
      <c r="F32" s="34"/>
      <c r="G32" s="34"/>
      <c r="H32" s="36"/>
      <c r="I32" s="36"/>
      <c r="J32" s="37"/>
      <c r="K32" s="32"/>
      <c r="L32" s="32"/>
      <c r="M32" s="32"/>
    </row>
    <row r="33" spans="2:18" ht="16.5" x14ac:dyDescent="0.3">
      <c r="B33" s="29"/>
      <c r="C33" s="29"/>
      <c r="D33" s="37"/>
      <c r="E33" s="105" t="s">
        <v>140</v>
      </c>
      <c r="F33" s="106"/>
      <c r="G33" s="106"/>
      <c r="H33" s="106"/>
      <c r="I33" s="106"/>
      <c r="J33" s="37"/>
      <c r="K33" s="107" t="s">
        <v>141</v>
      </c>
      <c r="L33" s="108"/>
      <c r="M33" s="109"/>
    </row>
    <row r="34" spans="2:18" ht="16.5" x14ac:dyDescent="0.3">
      <c r="B34" s="37"/>
      <c r="C34" s="37"/>
      <c r="D34" s="37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7"/>
      <c r="K34" s="22" t="s">
        <v>22</v>
      </c>
      <c r="L34" s="21" t="s">
        <v>28</v>
      </c>
      <c r="M34" s="22" t="s">
        <v>29</v>
      </c>
    </row>
    <row r="35" spans="2:18" ht="16.5" customHeight="1" x14ac:dyDescent="0.25">
      <c r="B35" s="37"/>
      <c r="C35" s="37"/>
      <c r="D35" s="37"/>
      <c r="E35" s="76">
        <v>11043</v>
      </c>
      <c r="F35" s="77" t="s">
        <v>313</v>
      </c>
      <c r="G35" s="50" t="s">
        <v>10</v>
      </c>
      <c r="H35" s="38">
        <v>96.25</v>
      </c>
      <c r="I35" s="38" t="s">
        <v>82</v>
      </c>
      <c r="J35" s="37"/>
      <c r="K35" s="76"/>
      <c r="L35" s="76"/>
      <c r="M35" s="91"/>
    </row>
    <row r="36" spans="2:18" ht="16.5" customHeight="1" x14ac:dyDescent="0.25">
      <c r="B36" s="37"/>
      <c r="C36" s="37"/>
      <c r="D36" s="37"/>
      <c r="E36" s="83">
        <v>11050</v>
      </c>
      <c r="F36" s="77" t="s">
        <v>315</v>
      </c>
      <c r="G36" s="50" t="s">
        <v>10</v>
      </c>
      <c r="H36" s="38">
        <v>350</v>
      </c>
      <c r="I36" s="38" t="s">
        <v>69</v>
      </c>
      <c r="J36" s="37"/>
      <c r="K36" s="76"/>
      <c r="L36" s="76"/>
      <c r="M36" s="91"/>
    </row>
    <row r="37" spans="2:18" ht="16.5" customHeight="1" x14ac:dyDescent="0.25">
      <c r="B37" s="37"/>
      <c r="C37" s="37"/>
      <c r="D37" s="37"/>
      <c r="E37" s="76"/>
      <c r="F37" s="77"/>
      <c r="G37" s="50"/>
      <c r="H37" s="38"/>
      <c r="I37" s="38"/>
      <c r="J37" s="37"/>
      <c r="K37" s="76"/>
      <c r="L37" s="76"/>
      <c r="M37" s="91"/>
    </row>
    <row r="38" spans="2:18" ht="16.5" customHeight="1" x14ac:dyDescent="0.25">
      <c r="B38" s="37"/>
      <c r="C38" s="37"/>
      <c r="D38" s="37"/>
      <c r="E38" s="76"/>
      <c r="F38" s="77"/>
      <c r="G38" s="50"/>
      <c r="H38" s="38"/>
      <c r="I38" s="38"/>
      <c r="J38" s="37"/>
      <c r="K38" s="76"/>
      <c r="L38" s="76"/>
      <c r="M38" s="91"/>
    </row>
    <row r="39" spans="2:18" ht="16.5" customHeight="1" x14ac:dyDescent="0.25">
      <c r="B39" s="37"/>
      <c r="C39" s="37"/>
      <c r="D39" s="37"/>
      <c r="E39" s="76"/>
      <c r="F39" s="50"/>
      <c r="G39" s="50"/>
      <c r="H39" s="38"/>
      <c r="I39" s="38"/>
      <c r="J39" s="37"/>
      <c r="K39" s="76"/>
      <c r="L39" s="76"/>
      <c r="M39" s="91"/>
    </row>
    <row r="40" spans="2:18" ht="16.5" customHeight="1" x14ac:dyDescent="0.25">
      <c r="B40" s="37"/>
      <c r="C40" s="37"/>
      <c r="D40" s="37"/>
      <c r="E40" s="78"/>
      <c r="F40" s="79"/>
      <c r="G40" s="40"/>
      <c r="H40" s="41"/>
      <c r="I40" s="38"/>
      <c r="J40" s="37"/>
      <c r="K40" s="78"/>
      <c r="L40" s="78"/>
      <c r="M40" s="92"/>
      <c r="Q40" s="1" t="s">
        <v>33</v>
      </c>
      <c r="R40" s="1">
        <f>SUM(R6:R21)</f>
        <v>11</v>
      </c>
    </row>
    <row r="41" spans="2:18" ht="16.5" customHeight="1" x14ac:dyDescent="0.25">
      <c r="B41" s="37"/>
      <c r="C41" s="37"/>
      <c r="D41" s="37"/>
      <c r="E41" s="82"/>
      <c r="F41" s="50"/>
      <c r="G41" s="50"/>
      <c r="H41" s="38"/>
      <c r="I41" s="38"/>
      <c r="J41" s="37"/>
      <c r="K41" s="76"/>
      <c r="L41" s="76"/>
      <c r="M41" s="92"/>
    </row>
    <row r="42" spans="2:18" ht="13.5" x14ac:dyDescent="0.25">
      <c r="B42" s="37"/>
      <c r="C42" s="37"/>
      <c r="D42" s="37"/>
      <c r="E42" s="34"/>
      <c r="F42" s="34"/>
      <c r="G42" s="34"/>
      <c r="H42" s="36"/>
      <c r="I42" s="36"/>
      <c r="J42" s="37"/>
      <c r="K42" s="32"/>
      <c r="L42" s="32"/>
      <c r="M42" s="32"/>
    </row>
    <row r="43" spans="2:18" ht="13.5" x14ac:dyDescent="0.25">
      <c r="B43" s="37"/>
      <c r="C43" s="37"/>
      <c r="D43" s="37"/>
      <c r="E43" s="34"/>
      <c r="F43" s="34"/>
      <c r="G43" s="34"/>
      <c r="H43" s="36"/>
      <c r="I43" s="36"/>
      <c r="J43" s="37"/>
      <c r="K43" s="32"/>
      <c r="L43" s="32"/>
      <c r="M43" s="32"/>
    </row>
    <row r="44" spans="2:18" ht="13.5" x14ac:dyDescent="0.25">
      <c r="B44" s="37"/>
      <c r="C44" s="37"/>
      <c r="D44" s="37"/>
      <c r="E44" s="34"/>
      <c r="F44" s="34"/>
      <c r="G44" s="34"/>
      <c r="H44" s="36"/>
      <c r="I44" s="36"/>
      <c r="J44" s="37"/>
      <c r="K44" s="32"/>
      <c r="L44" s="32"/>
      <c r="M44" s="32"/>
    </row>
    <row r="45" spans="2:18" ht="13.5" x14ac:dyDescent="0.25">
      <c r="B45" s="37"/>
      <c r="C45" s="37"/>
      <c r="D45" s="37"/>
      <c r="E45" s="34"/>
      <c r="F45" s="34"/>
      <c r="G45" s="34"/>
      <c r="H45" s="36"/>
      <c r="I45" s="36"/>
      <c r="J45" s="37"/>
      <c r="K45" s="32"/>
      <c r="L45" s="32"/>
      <c r="M45" s="32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5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 K17:K31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5"/>
  <sheetViews>
    <sheetView showGridLines="0" view="pageBreakPreview" topLeftCell="A11" zoomScale="95" zoomScaleNormal="90" zoomScaleSheetLayoutView="95" workbookViewId="0">
      <selection activeCell="E29" sqref="E29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34.7109375" style="1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'18'!B1+1</f>
        <v>45888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4" t="s">
        <v>0</v>
      </c>
      <c r="C4" s="25">
        <v>0</v>
      </c>
      <c r="D4" s="57"/>
      <c r="E4" s="113" t="s">
        <v>137</v>
      </c>
      <c r="F4" s="113"/>
      <c r="G4" s="113"/>
      <c r="H4" s="113"/>
      <c r="I4" s="113"/>
      <c r="J4" s="29"/>
      <c r="K4" s="107" t="s">
        <v>138</v>
      </c>
      <c r="L4" s="108"/>
      <c r="M4" s="109"/>
    </row>
    <row r="5" spans="2:18" ht="16.5" x14ac:dyDescent="0.3">
      <c r="B5" s="27" t="s">
        <v>1</v>
      </c>
      <c r="C5" s="28">
        <f>SUMIF(I6:I31,"&gt;0",H6:H31)</f>
        <v>214</v>
      </c>
      <c r="D5" s="29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29"/>
      <c r="K5" s="21" t="s">
        <v>18</v>
      </c>
      <c r="L5" s="22" t="s">
        <v>19</v>
      </c>
      <c r="M5" s="23" t="s">
        <v>20</v>
      </c>
    </row>
    <row r="6" spans="2:18" ht="16.5" x14ac:dyDescent="0.3">
      <c r="B6" s="27" t="s">
        <v>2</v>
      </c>
      <c r="C6" s="28">
        <f>C16</f>
        <v>243.9</v>
      </c>
      <c r="D6" s="29"/>
      <c r="E6" s="76">
        <v>11635</v>
      </c>
      <c r="F6" s="77" t="s">
        <v>321</v>
      </c>
      <c r="G6" s="50" t="s">
        <v>46</v>
      </c>
      <c r="H6" s="38">
        <v>550</v>
      </c>
      <c r="I6" s="38">
        <v>0</v>
      </c>
      <c r="J6" s="29"/>
      <c r="K6" s="77" t="s">
        <v>324</v>
      </c>
      <c r="L6" s="91" t="s">
        <v>10</v>
      </c>
      <c r="M6" s="42">
        <v>2.0299999999999998</v>
      </c>
      <c r="R6" s="1">
        <f>IF(vend19[[#This Row],[Nº Venda]]&gt;1,1,0)</f>
        <v>1</v>
      </c>
    </row>
    <row r="7" spans="2:18" ht="16.5" x14ac:dyDescent="0.3">
      <c r="B7" s="27" t="s">
        <v>3</v>
      </c>
      <c r="C7" s="28">
        <f>SUM(M6:M11)</f>
        <v>28.03</v>
      </c>
      <c r="D7" s="29"/>
      <c r="E7" s="76">
        <v>11636</v>
      </c>
      <c r="F7" s="77" t="s">
        <v>322</v>
      </c>
      <c r="G7" s="50" t="s">
        <v>7</v>
      </c>
      <c r="H7" s="38">
        <v>110</v>
      </c>
      <c r="I7" s="38">
        <v>110</v>
      </c>
      <c r="J7" s="29"/>
      <c r="K7" s="77" t="s">
        <v>263</v>
      </c>
      <c r="L7" s="91" t="s">
        <v>6</v>
      </c>
      <c r="M7" s="42">
        <v>16</v>
      </c>
      <c r="R7" s="1">
        <f>IF(vend19[[#This Row],[Nº Venda]]&gt;1,1,0)</f>
        <v>1</v>
      </c>
    </row>
    <row r="8" spans="2:18" ht="16.5" x14ac:dyDescent="0.3">
      <c r="B8" s="30" t="s">
        <v>21</v>
      </c>
      <c r="C8" s="31">
        <f>SUM(C6:C7)</f>
        <v>271.93</v>
      </c>
      <c r="D8" s="29"/>
      <c r="E8" s="76">
        <v>11637</v>
      </c>
      <c r="F8" s="77" t="s">
        <v>322</v>
      </c>
      <c r="G8" s="50" t="s">
        <v>7</v>
      </c>
      <c r="H8" s="38">
        <v>39</v>
      </c>
      <c r="I8" s="38">
        <v>39</v>
      </c>
      <c r="J8" s="29"/>
      <c r="K8" s="77" t="s">
        <v>325</v>
      </c>
      <c r="L8" s="91" t="s">
        <v>6</v>
      </c>
      <c r="M8" s="42">
        <v>10</v>
      </c>
      <c r="R8" s="1">
        <f>IF(vend19[[#This Row],[Nº Venda]]&gt;1,1,0)</f>
        <v>1</v>
      </c>
    </row>
    <row r="9" spans="2:18" ht="16.5" x14ac:dyDescent="0.3">
      <c r="B9" s="26"/>
      <c r="C9" s="26"/>
      <c r="D9" s="29"/>
      <c r="E9" s="76"/>
      <c r="F9" s="77"/>
      <c r="G9" s="50"/>
      <c r="H9" s="38"/>
      <c r="I9" s="38"/>
      <c r="J9" s="29"/>
      <c r="K9" s="77"/>
      <c r="L9" s="91"/>
      <c r="M9" s="42"/>
      <c r="R9" s="1">
        <f>IF(vend19[[#This Row],[Nº Venda]]&gt;1,1,0)</f>
        <v>0</v>
      </c>
    </row>
    <row r="10" spans="2:18" ht="16.5" x14ac:dyDescent="0.3">
      <c r="B10" s="114" t="s">
        <v>5</v>
      </c>
      <c r="C10" s="115"/>
      <c r="D10" s="29"/>
      <c r="E10" s="76"/>
      <c r="F10" s="77"/>
      <c r="G10" s="50"/>
      <c r="H10" s="38"/>
      <c r="I10" s="38"/>
      <c r="J10" s="29"/>
      <c r="K10" s="77"/>
      <c r="L10" s="91"/>
      <c r="M10" s="42"/>
      <c r="R10" s="1">
        <f>IF(vend19[[#This Row],[Nº Venda]]&gt;1,1,0)</f>
        <v>0</v>
      </c>
    </row>
    <row r="11" spans="2:18" ht="16.5" x14ac:dyDescent="0.3">
      <c r="B11" s="27" t="s">
        <v>6</v>
      </c>
      <c r="C11" s="70">
        <f>(SUMIF($G$2:$G$31,B11,$I$2:$I$31))+(SUMIF($G$35:$G$41,B11,$H$35:$H$41))</f>
        <v>0</v>
      </c>
      <c r="D11" s="29"/>
      <c r="E11" s="76"/>
      <c r="F11" s="77"/>
      <c r="G11" s="50"/>
      <c r="H11" s="38"/>
      <c r="I11" s="38"/>
      <c r="J11" s="29"/>
      <c r="K11" s="37"/>
      <c r="L11" s="91"/>
      <c r="M11" s="42"/>
      <c r="O11" s="1">
        <f>IF(C16=0,0,1)</f>
        <v>1</v>
      </c>
      <c r="R11" s="1">
        <f>IF(vend19[[#This Row],[Nº Venda]]&gt;1,1,0)</f>
        <v>0</v>
      </c>
    </row>
    <row r="12" spans="2:18" ht="16.5" x14ac:dyDescent="0.3">
      <c r="B12" s="27" t="s">
        <v>7</v>
      </c>
      <c r="C12" s="70">
        <f t="shared" ref="C12:C15" si="0">(SUMIF($G$2:$G$31,B12,$I$2:$I$31))+(SUMIF($G$35:$G$41,B12,$H$35:$H$41))</f>
        <v>214</v>
      </c>
      <c r="D12" s="29"/>
      <c r="E12" s="76"/>
      <c r="F12" s="77"/>
      <c r="G12" s="50"/>
      <c r="H12" s="38"/>
      <c r="I12" s="38"/>
      <c r="J12" s="29"/>
      <c r="K12" s="32"/>
      <c r="L12" s="32"/>
      <c r="M12" s="32"/>
      <c r="R12" s="1">
        <f>IF(vend19[[#This Row],[Nº Venda]]&gt;1,1,0)</f>
        <v>0</v>
      </c>
    </row>
    <row r="13" spans="2:18" ht="16.5" x14ac:dyDescent="0.3">
      <c r="B13" s="27" t="s">
        <v>8</v>
      </c>
      <c r="C13" s="70">
        <f t="shared" si="0"/>
        <v>0</v>
      </c>
      <c r="D13" s="29"/>
      <c r="E13" s="76"/>
      <c r="F13" s="77"/>
      <c r="G13" s="50"/>
      <c r="H13" s="38"/>
      <c r="I13" s="38"/>
      <c r="J13" s="29"/>
      <c r="K13" s="107" t="s">
        <v>142</v>
      </c>
      <c r="L13" s="108"/>
      <c r="M13" s="109"/>
      <c r="R13" s="1">
        <f>IF(vend19[[#This Row],[Nº Venda]]&gt;1,1,0)</f>
        <v>0</v>
      </c>
    </row>
    <row r="14" spans="2:18" ht="16.5" x14ac:dyDescent="0.3">
      <c r="B14" s="27" t="s">
        <v>9</v>
      </c>
      <c r="C14" s="70">
        <f t="shared" si="0"/>
        <v>0</v>
      </c>
      <c r="D14" s="29"/>
      <c r="E14" s="76"/>
      <c r="F14" s="77"/>
      <c r="G14" s="50"/>
      <c r="H14" s="38"/>
      <c r="I14" s="38"/>
      <c r="J14" s="29"/>
      <c r="K14" s="21" t="s">
        <v>22</v>
      </c>
      <c r="L14" s="22" t="s">
        <v>23</v>
      </c>
      <c r="M14" s="23" t="s">
        <v>24</v>
      </c>
      <c r="R14" s="1">
        <f>IF(vend19[[#This Row],[Nº Venda]]&gt;1,1,0)</f>
        <v>0</v>
      </c>
    </row>
    <row r="15" spans="2:18" ht="16.5" x14ac:dyDescent="0.3">
      <c r="B15" s="27" t="s">
        <v>10</v>
      </c>
      <c r="C15" s="70">
        <f t="shared" si="0"/>
        <v>29.9</v>
      </c>
      <c r="D15" s="29"/>
      <c r="E15" s="76"/>
      <c r="F15" s="77"/>
      <c r="G15" s="50"/>
      <c r="H15" s="38"/>
      <c r="I15" s="38"/>
      <c r="J15" s="29"/>
      <c r="K15" s="76">
        <v>11626</v>
      </c>
      <c r="L15" s="91" t="s">
        <v>129</v>
      </c>
      <c r="M15" s="42" t="s">
        <v>145</v>
      </c>
      <c r="R15" s="1">
        <f>IF(vend19[[#This Row],[Nº Venda]]&gt;1,1,0)</f>
        <v>0</v>
      </c>
    </row>
    <row r="16" spans="2:18" ht="16.5" x14ac:dyDescent="0.3">
      <c r="B16" s="30" t="s">
        <v>11</v>
      </c>
      <c r="C16" s="71">
        <f>SUM(C11:C15)</f>
        <v>243.9</v>
      </c>
      <c r="D16" s="29"/>
      <c r="E16" s="76"/>
      <c r="F16" s="77"/>
      <c r="G16" s="50"/>
      <c r="H16" s="38"/>
      <c r="I16" s="38"/>
      <c r="J16" s="29"/>
      <c r="K16" s="76">
        <v>11629</v>
      </c>
      <c r="L16" s="91" t="s">
        <v>129</v>
      </c>
      <c r="M16" s="42" t="s">
        <v>145</v>
      </c>
      <c r="R16" s="1">
        <f>IF(vend19[[#This Row],[Nº Venda]]&gt;1,1,0)</f>
        <v>0</v>
      </c>
    </row>
    <row r="17" spans="2:22" ht="16.5" x14ac:dyDescent="0.3">
      <c r="B17" s="26"/>
      <c r="C17" s="26"/>
      <c r="D17" s="29"/>
      <c r="E17" s="76"/>
      <c r="F17" s="77"/>
      <c r="G17" s="50"/>
      <c r="H17" s="38"/>
      <c r="I17" s="38"/>
      <c r="J17" s="29"/>
      <c r="K17" s="76">
        <v>11502</v>
      </c>
      <c r="L17" s="91" t="s">
        <v>131</v>
      </c>
      <c r="M17" s="42" t="s">
        <v>145</v>
      </c>
      <c r="R17" s="1">
        <f>IF(vend19[[#This Row],[Nº Venda]]&gt;1,1,0)</f>
        <v>0</v>
      </c>
    </row>
    <row r="18" spans="2:22" ht="16.5" x14ac:dyDescent="0.3">
      <c r="B18" s="114" t="s">
        <v>12</v>
      </c>
      <c r="C18" s="115"/>
      <c r="D18" s="29"/>
      <c r="E18" s="76"/>
      <c r="F18" s="77"/>
      <c r="G18" s="50"/>
      <c r="H18" s="38"/>
      <c r="I18" s="38"/>
      <c r="J18" s="29"/>
      <c r="K18" s="76"/>
      <c r="L18" s="91"/>
      <c r="M18" s="42"/>
      <c r="R18" s="1">
        <f>IF(vend19[[#This Row],[Nº Venda]]&gt;1,1,0)</f>
        <v>0</v>
      </c>
    </row>
    <row r="19" spans="2:22" ht="16.5" x14ac:dyDescent="0.3">
      <c r="B19" s="27">
        <f>COUNT(entr_carn19[OS])</f>
        <v>0</v>
      </c>
      <c r="C19" s="70">
        <f>SUM(entr_carn19[Valor Total])</f>
        <v>0</v>
      </c>
      <c r="D19" s="29"/>
      <c r="E19" s="76"/>
      <c r="F19" s="77"/>
      <c r="G19" s="50"/>
      <c r="H19" s="38"/>
      <c r="I19" s="38"/>
      <c r="J19" s="29"/>
      <c r="K19" s="76"/>
      <c r="L19" s="91"/>
      <c r="M19" s="42"/>
      <c r="R19" s="1">
        <f>IF(vend19[[#This Row],[Nº Venda]]&gt;1,1,0)</f>
        <v>0</v>
      </c>
    </row>
    <row r="20" spans="2:22" ht="16.5" x14ac:dyDescent="0.3">
      <c r="B20" s="30" t="s">
        <v>11</v>
      </c>
      <c r="C20" s="71">
        <f>SUM(C19:C19)</f>
        <v>0</v>
      </c>
      <c r="D20" s="29"/>
      <c r="E20" s="76"/>
      <c r="F20" s="50"/>
      <c r="G20" s="50"/>
      <c r="H20" s="38"/>
      <c r="I20" s="38"/>
      <c r="J20" s="29"/>
      <c r="K20" s="76"/>
      <c r="L20" s="91"/>
      <c r="M20" s="42"/>
      <c r="R20" s="1">
        <f>IF(vend19[[#This Row],[Nº Venda]]&gt;1,1,0)</f>
        <v>0</v>
      </c>
      <c r="V20" s="1" t="s">
        <v>54</v>
      </c>
    </row>
    <row r="21" spans="2:22" ht="16.5" x14ac:dyDescent="0.3">
      <c r="B21" s="26"/>
      <c r="C21" s="26"/>
      <c r="D21" s="29"/>
      <c r="E21" s="76"/>
      <c r="F21" s="77"/>
      <c r="G21" s="50"/>
      <c r="H21" s="38"/>
      <c r="I21" s="38"/>
      <c r="J21" s="29"/>
      <c r="K21" s="76"/>
      <c r="L21" s="91"/>
      <c r="M21" s="42"/>
    </row>
    <row r="22" spans="2:22" ht="16.5" x14ac:dyDescent="0.3">
      <c r="B22" s="30" t="s">
        <v>25</v>
      </c>
      <c r="C22" s="33">
        <f>C5</f>
        <v>214</v>
      </c>
      <c r="D22" s="29"/>
      <c r="E22" s="78"/>
      <c r="F22" s="77"/>
      <c r="G22" s="50"/>
      <c r="H22" s="38"/>
      <c r="I22" s="38"/>
      <c r="J22" s="29"/>
      <c r="K22" s="76"/>
      <c r="L22" s="91"/>
      <c r="M22" s="42"/>
    </row>
    <row r="23" spans="2:22" ht="16.5" x14ac:dyDescent="0.3">
      <c r="B23" s="29"/>
      <c r="C23" s="29"/>
      <c r="D23" s="29"/>
      <c r="E23" s="34"/>
      <c r="F23" s="34"/>
      <c r="G23" s="34"/>
      <c r="H23" s="35"/>
      <c r="I23" s="36"/>
      <c r="J23" s="29"/>
      <c r="K23" s="76"/>
      <c r="L23" s="91"/>
      <c r="M23" s="42"/>
    </row>
    <row r="24" spans="2:22" ht="16.5" x14ac:dyDescent="0.3">
      <c r="B24" s="29"/>
      <c r="C24" s="29"/>
      <c r="D24" s="29"/>
      <c r="E24" s="105" t="s">
        <v>139</v>
      </c>
      <c r="F24" s="106"/>
      <c r="G24" s="106"/>
      <c r="H24" s="106"/>
      <c r="I24" s="106"/>
      <c r="J24" s="29"/>
      <c r="K24" s="76"/>
      <c r="L24" s="91"/>
      <c r="M24" s="42"/>
    </row>
    <row r="25" spans="2:22" ht="16.5" x14ac:dyDescent="0.3">
      <c r="B25" s="29"/>
      <c r="C25" s="29"/>
      <c r="D25" s="29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29"/>
      <c r="K25" s="76"/>
      <c r="L25" s="91"/>
      <c r="M25" s="42"/>
    </row>
    <row r="26" spans="2:22" ht="16.5" x14ac:dyDescent="0.3">
      <c r="B26" s="29"/>
      <c r="C26" s="29"/>
      <c r="D26" s="29"/>
      <c r="E26" s="76">
        <v>11626</v>
      </c>
      <c r="F26" s="50" t="s">
        <v>323</v>
      </c>
      <c r="G26" s="50" t="s">
        <v>7</v>
      </c>
      <c r="H26" s="38">
        <v>40</v>
      </c>
      <c r="I26" s="38">
        <v>40</v>
      </c>
      <c r="J26" s="29"/>
      <c r="K26" s="76"/>
      <c r="L26" s="91"/>
      <c r="M26" s="42"/>
    </row>
    <row r="27" spans="2:22" ht="16.5" x14ac:dyDescent="0.3">
      <c r="B27" s="29"/>
      <c r="C27" s="29"/>
      <c r="D27" s="29"/>
      <c r="E27" s="76">
        <v>11629</v>
      </c>
      <c r="F27" s="77" t="s">
        <v>232</v>
      </c>
      <c r="G27" s="50" t="s">
        <v>7</v>
      </c>
      <c r="H27" s="38">
        <v>25</v>
      </c>
      <c r="I27" s="38">
        <v>25</v>
      </c>
      <c r="J27" s="29"/>
      <c r="K27" s="76"/>
      <c r="L27" s="91"/>
      <c r="M27" s="42"/>
    </row>
    <row r="28" spans="2:22" ht="16.5" x14ac:dyDescent="0.3">
      <c r="B28" s="29"/>
      <c r="C28" s="29"/>
      <c r="D28" s="29"/>
      <c r="E28" s="76">
        <v>11406</v>
      </c>
      <c r="F28" s="77" t="s">
        <v>326</v>
      </c>
      <c r="G28" s="50" t="s">
        <v>10</v>
      </c>
      <c r="H28" s="38"/>
      <c r="I28" s="38">
        <v>29.9</v>
      </c>
      <c r="J28" s="29"/>
      <c r="K28" s="76"/>
      <c r="L28" s="91"/>
      <c r="M28" s="42"/>
    </row>
    <row r="29" spans="2:22" ht="16.5" x14ac:dyDescent="0.3">
      <c r="B29" s="29"/>
      <c r="C29" s="29"/>
      <c r="D29" s="29"/>
      <c r="E29" s="76"/>
      <c r="F29" s="77"/>
      <c r="G29" s="50"/>
      <c r="H29" s="50"/>
      <c r="I29" s="38"/>
      <c r="J29" s="29"/>
      <c r="K29" s="76"/>
      <c r="L29" s="91"/>
      <c r="M29" s="42"/>
    </row>
    <row r="30" spans="2:22" ht="16.5" x14ac:dyDescent="0.3">
      <c r="B30" s="29"/>
      <c r="C30" s="29"/>
      <c r="D30" s="29"/>
      <c r="E30" s="76"/>
      <c r="F30" s="77"/>
      <c r="G30" s="50"/>
      <c r="H30" s="38"/>
      <c r="I30" s="38"/>
      <c r="J30" s="29"/>
      <c r="K30" s="76"/>
      <c r="L30" s="91"/>
      <c r="M30" s="42"/>
    </row>
    <row r="31" spans="2:22" ht="16.5" x14ac:dyDescent="0.3">
      <c r="B31" s="29"/>
      <c r="C31" s="29"/>
      <c r="D31" s="29"/>
      <c r="E31" s="78"/>
      <c r="F31" s="79"/>
      <c r="G31" s="40"/>
      <c r="H31" s="41"/>
      <c r="I31" s="41"/>
      <c r="J31" s="29"/>
      <c r="K31" s="76"/>
      <c r="L31" s="91"/>
      <c r="M31" s="42"/>
    </row>
    <row r="32" spans="2:22" ht="16.5" x14ac:dyDescent="0.3">
      <c r="B32" s="29"/>
      <c r="C32" s="29"/>
      <c r="D32" s="37"/>
      <c r="E32" s="34"/>
      <c r="F32" s="34"/>
      <c r="G32" s="34"/>
      <c r="H32" s="36"/>
      <c r="I32" s="36"/>
      <c r="J32" s="37"/>
      <c r="K32" s="32"/>
      <c r="L32" s="32"/>
      <c r="M32" s="32"/>
    </row>
    <row r="33" spans="2:18" ht="16.5" x14ac:dyDescent="0.3">
      <c r="B33" s="29"/>
      <c r="C33" s="29"/>
      <c r="D33" s="37"/>
      <c r="E33" s="105" t="s">
        <v>140</v>
      </c>
      <c r="F33" s="106"/>
      <c r="G33" s="106"/>
      <c r="H33" s="106"/>
      <c r="I33" s="106"/>
      <c r="J33" s="37"/>
      <c r="K33" s="107" t="s">
        <v>141</v>
      </c>
      <c r="L33" s="108"/>
      <c r="M33" s="109"/>
    </row>
    <row r="34" spans="2:18" ht="16.5" x14ac:dyDescent="0.3">
      <c r="B34" s="37"/>
      <c r="C34" s="37"/>
      <c r="D34" s="37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7"/>
      <c r="K34" s="22" t="s">
        <v>22</v>
      </c>
      <c r="L34" s="21" t="s">
        <v>28</v>
      </c>
      <c r="M34" s="22" t="s">
        <v>29</v>
      </c>
    </row>
    <row r="35" spans="2:18" ht="16.5" customHeight="1" x14ac:dyDescent="0.25">
      <c r="B35" s="37"/>
      <c r="C35" s="37"/>
      <c r="D35" s="37"/>
      <c r="E35" s="76"/>
      <c r="F35" s="77"/>
      <c r="G35" s="50"/>
      <c r="H35" s="38"/>
      <c r="I35" s="38"/>
      <c r="J35" s="37"/>
      <c r="K35" s="76"/>
      <c r="L35" s="76"/>
      <c r="M35" s="91"/>
    </row>
    <row r="36" spans="2:18" ht="16.5" customHeight="1" x14ac:dyDescent="0.25">
      <c r="B36" s="37"/>
      <c r="C36" s="37"/>
      <c r="D36" s="37"/>
      <c r="E36" s="83"/>
      <c r="F36" s="77"/>
      <c r="G36" s="50"/>
      <c r="H36" s="38"/>
      <c r="I36" s="38"/>
      <c r="J36" s="37"/>
      <c r="K36" s="76"/>
      <c r="L36" s="76"/>
      <c r="M36" s="91"/>
    </row>
    <row r="37" spans="2:18" ht="16.5" customHeight="1" x14ac:dyDescent="0.25">
      <c r="B37" s="37"/>
      <c r="C37" s="37"/>
      <c r="D37" s="37"/>
      <c r="E37" s="76"/>
      <c r="F37" s="77"/>
      <c r="G37" s="50"/>
      <c r="H37" s="38"/>
      <c r="I37" s="38"/>
      <c r="J37" s="37"/>
      <c r="K37" s="76"/>
      <c r="L37" s="76"/>
      <c r="M37" s="91"/>
    </row>
    <row r="38" spans="2:18" ht="16.5" customHeight="1" x14ac:dyDescent="0.25">
      <c r="B38" s="37"/>
      <c r="C38" s="37"/>
      <c r="D38" s="37"/>
      <c r="E38" s="76"/>
      <c r="F38" s="77"/>
      <c r="G38" s="50"/>
      <c r="H38" s="38"/>
      <c r="I38" s="38"/>
      <c r="J38" s="37"/>
      <c r="K38" s="76"/>
      <c r="L38" s="76"/>
      <c r="M38" s="91"/>
    </row>
    <row r="39" spans="2:18" ht="16.5" customHeight="1" x14ac:dyDescent="0.25">
      <c r="B39" s="37"/>
      <c r="C39" s="37"/>
      <c r="D39" s="37"/>
      <c r="E39" s="76"/>
      <c r="F39" s="50"/>
      <c r="G39" s="50"/>
      <c r="H39" s="38"/>
      <c r="I39" s="38"/>
      <c r="J39" s="37"/>
      <c r="K39" s="76"/>
      <c r="L39" s="76"/>
      <c r="M39" s="91"/>
    </row>
    <row r="40" spans="2:18" ht="16.5" customHeight="1" x14ac:dyDescent="0.25">
      <c r="B40" s="37"/>
      <c r="C40" s="37"/>
      <c r="D40" s="37"/>
      <c r="E40" s="78"/>
      <c r="F40" s="79"/>
      <c r="G40" s="40"/>
      <c r="H40" s="41"/>
      <c r="I40" s="38"/>
      <c r="J40" s="37"/>
      <c r="K40" s="78"/>
      <c r="L40" s="78"/>
      <c r="M40" s="92"/>
      <c r="Q40" s="1" t="s">
        <v>33</v>
      </c>
      <c r="R40" s="1">
        <f>SUM(R6:R21)</f>
        <v>3</v>
      </c>
    </row>
    <row r="41" spans="2:18" ht="16.5" customHeight="1" x14ac:dyDescent="0.25">
      <c r="B41" s="37"/>
      <c r="C41" s="37"/>
      <c r="D41" s="37"/>
      <c r="E41" s="82"/>
      <c r="F41" s="50"/>
      <c r="G41" s="50"/>
      <c r="H41" s="38"/>
      <c r="I41" s="38"/>
      <c r="J41" s="37"/>
      <c r="K41" s="76"/>
      <c r="L41" s="76"/>
      <c r="M41" s="92"/>
    </row>
    <row r="42" spans="2:18" ht="13.5" x14ac:dyDescent="0.25">
      <c r="B42" s="37"/>
      <c r="C42" s="37"/>
      <c r="D42" s="37"/>
      <c r="E42" s="34"/>
      <c r="F42" s="34"/>
      <c r="G42" s="34"/>
      <c r="H42" s="36"/>
      <c r="I42" s="36"/>
      <c r="J42" s="37"/>
      <c r="K42" s="32"/>
      <c r="L42" s="32"/>
      <c r="M42" s="32"/>
    </row>
    <row r="43" spans="2:18" ht="13.5" x14ac:dyDescent="0.25">
      <c r="B43" s="37"/>
      <c r="C43" s="37"/>
      <c r="D43" s="37"/>
      <c r="E43" s="34"/>
      <c r="F43" s="34"/>
      <c r="G43" s="34"/>
      <c r="H43" s="36"/>
      <c r="I43" s="36"/>
      <c r="J43" s="37"/>
      <c r="K43" s="32"/>
      <c r="L43" s="32"/>
      <c r="M43" s="32"/>
    </row>
    <row r="44" spans="2:18" ht="13.5" x14ac:dyDescent="0.25">
      <c r="B44" s="37"/>
      <c r="C44" s="37"/>
      <c r="D44" s="37"/>
      <c r="E44" s="34"/>
      <c r="F44" s="34"/>
      <c r="G44" s="34"/>
      <c r="H44" s="36"/>
      <c r="I44" s="36"/>
      <c r="J44" s="37"/>
      <c r="K44" s="32"/>
      <c r="L44" s="32"/>
      <c r="M44" s="32"/>
    </row>
    <row r="45" spans="2:18" ht="13.5" x14ac:dyDescent="0.25">
      <c r="B45" s="37"/>
      <c r="C45" s="37"/>
      <c r="D45" s="37"/>
      <c r="E45" s="34"/>
      <c r="F45" s="34"/>
      <c r="G45" s="34"/>
      <c r="H45" s="36"/>
      <c r="I45" s="36"/>
      <c r="J45" s="37"/>
      <c r="K45" s="32"/>
      <c r="L45" s="32"/>
      <c r="M45" s="32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8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5"/>
  <sheetViews>
    <sheetView showGridLines="0" view="pageBreakPreview" topLeftCell="A4" zoomScale="106" zoomScaleNormal="80" zoomScaleSheetLayoutView="106" workbookViewId="0">
      <selection activeCell="K22" sqref="K22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42.28515625" style="11" bestFit="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16">
        <f>'19'!B1+1</f>
        <v>45889</v>
      </c>
      <c r="C1" s="116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4" t="s">
        <v>0</v>
      </c>
      <c r="C4" s="25">
        <v>0</v>
      </c>
      <c r="D4" s="57"/>
      <c r="E4" s="113" t="s">
        <v>137</v>
      </c>
      <c r="F4" s="113"/>
      <c r="G4" s="113"/>
      <c r="H4" s="113"/>
      <c r="I4" s="113"/>
      <c r="J4" s="29"/>
      <c r="K4" s="107" t="s">
        <v>138</v>
      </c>
      <c r="L4" s="108"/>
      <c r="M4" s="109"/>
    </row>
    <row r="5" spans="2:18" ht="16.5" x14ac:dyDescent="0.3">
      <c r="B5" s="27" t="s">
        <v>1</v>
      </c>
      <c r="C5" s="28">
        <f>SUMIF(I6:I31,"&gt;0",H6:H31)</f>
        <v>6527</v>
      </c>
      <c r="D5" s="29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29"/>
      <c r="K5" s="21" t="s">
        <v>18</v>
      </c>
      <c r="L5" s="22" t="s">
        <v>19</v>
      </c>
      <c r="M5" s="23" t="s">
        <v>20</v>
      </c>
    </row>
    <row r="6" spans="2:18" ht="16.5" x14ac:dyDescent="0.3">
      <c r="B6" s="27" t="s">
        <v>2</v>
      </c>
      <c r="C6" s="28">
        <f>C16</f>
        <v>6227</v>
      </c>
      <c r="D6" s="29"/>
      <c r="E6" s="76">
        <v>11638</v>
      </c>
      <c r="F6" s="77" t="s">
        <v>336</v>
      </c>
      <c r="G6" s="50" t="s">
        <v>8</v>
      </c>
      <c r="H6" s="38">
        <v>1390</v>
      </c>
      <c r="I6" s="38">
        <v>1390</v>
      </c>
      <c r="J6" s="29"/>
      <c r="K6" s="77"/>
      <c r="L6" s="91"/>
      <c r="M6" s="42"/>
      <c r="R6" s="1">
        <f>IF(vend20[[#This Row],[Nº Venda]]&gt;1,1,0)</f>
        <v>1</v>
      </c>
    </row>
    <row r="7" spans="2:18" ht="16.5" x14ac:dyDescent="0.3">
      <c r="B7" s="27" t="s">
        <v>3</v>
      </c>
      <c r="C7" s="28">
        <f>SUM(M6:M11)</f>
        <v>0</v>
      </c>
      <c r="D7" s="29"/>
      <c r="E7" s="76">
        <v>11639</v>
      </c>
      <c r="F7" s="77" t="s">
        <v>336</v>
      </c>
      <c r="G7" s="50" t="s">
        <v>46</v>
      </c>
      <c r="H7" s="38">
        <v>0</v>
      </c>
      <c r="I7" s="38">
        <v>0</v>
      </c>
      <c r="J7" s="29"/>
      <c r="K7" s="77"/>
      <c r="L7" s="91"/>
      <c r="M7" s="42"/>
      <c r="R7" s="1">
        <f>IF(vend20[[#This Row],[Nº Venda]]&gt;1,1,0)</f>
        <v>1</v>
      </c>
    </row>
    <row r="8" spans="2:18" ht="16.5" x14ac:dyDescent="0.3">
      <c r="B8" s="30" t="s">
        <v>21</v>
      </c>
      <c r="C8" s="31">
        <f>SUM(C6:C7)</f>
        <v>6227</v>
      </c>
      <c r="D8" s="29"/>
      <c r="E8" s="76">
        <v>11641</v>
      </c>
      <c r="F8" s="77" t="s">
        <v>337</v>
      </c>
      <c r="G8" s="50" t="s">
        <v>8</v>
      </c>
      <c r="H8" s="38">
        <v>3350</v>
      </c>
      <c r="I8" s="38">
        <v>3350</v>
      </c>
      <c r="J8" s="29"/>
      <c r="K8" s="77"/>
      <c r="L8" s="91"/>
      <c r="M8" s="42"/>
      <c r="R8" s="1">
        <f>IF(vend20[[#This Row],[Nº Venda]]&gt;1,1,0)</f>
        <v>1</v>
      </c>
    </row>
    <row r="9" spans="2:18" ht="16.5" x14ac:dyDescent="0.3">
      <c r="B9" s="26"/>
      <c r="C9" s="26"/>
      <c r="D9" s="29"/>
      <c r="E9" s="76">
        <v>11642</v>
      </c>
      <c r="F9" s="77" t="s">
        <v>338</v>
      </c>
      <c r="G9" s="50" t="s">
        <v>8</v>
      </c>
      <c r="H9" s="38">
        <v>69</v>
      </c>
      <c r="I9" s="38">
        <v>69</v>
      </c>
      <c r="J9" s="29"/>
      <c r="K9" s="77"/>
      <c r="L9" s="91"/>
      <c r="M9" s="42"/>
      <c r="R9" s="1">
        <f>IF(vend20[[#This Row],[Nº Venda]]&gt;1,1,0)</f>
        <v>1</v>
      </c>
    </row>
    <row r="10" spans="2:18" ht="16.5" x14ac:dyDescent="0.3">
      <c r="B10" s="114" t="s">
        <v>5</v>
      </c>
      <c r="C10" s="115"/>
      <c r="D10" s="29"/>
      <c r="E10" s="76">
        <v>11643</v>
      </c>
      <c r="F10" s="77" t="s">
        <v>328</v>
      </c>
      <c r="G10" s="50" t="s">
        <v>46</v>
      </c>
      <c r="H10" s="38">
        <v>50</v>
      </c>
      <c r="I10" s="38">
        <v>0</v>
      </c>
      <c r="J10" s="29"/>
      <c r="K10" s="77"/>
      <c r="L10" s="91"/>
      <c r="M10" s="42"/>
      <c r="R10" s="1">
        <f>IF(vend20[[#This Row],[Nº Venda]]&gt;1,1,0)</f>
        <v>1</v>
      </c>
    </row>
    <row r="11" spans="2:18" ht="16.5" x14ac:dyDescent="0.3">
      <c r="B11" s="27" t="s">
        <v>6</v>
      </c>
      <c r="C11" s="70">
        <f>(SUMIF($G$2:$G$31,B11,$I$2:$I$31))+(SUMIF($G$35:$G$41,B11,$H$35:$H$41))</f>
        <v>0</v>
      </c>
      <c r="D11" s="29"/>
      <c r="E11" s="76">
        <v>11644</v>
      </c>
      <c r="F11" s="77" t="s">
        <v>328</v>
      </c>
      <c r="G11" s="50" t="s">
        <v>46</v>
      </c>
      <c r="H11" s="38">
        <v>450</v>
      </c>
      <c r="I11" s="38">
        <v>0</v>
      </c>
      <c r="J11" s="29"/>
      <c r="K11" s="37"/>
      <c r="L11" s="91"/>
      <c r="M11" s="42"/>
      <c r="O11" s="1">
        <f>IF(C16=0,0,1)</f>
        <v>1</v>
      </c>
      <c r="R11" s="1">
        <f>IF(vend20[[#This Row],[Nº Venda]]&gt;1,1,0)</f>
        <v>1</v>
      </c>
    </row>
    <row r="12" spans="2:18" ht="16.5" x14ac:dyDescent="0.3">
      <c r="B12" s="27" t="s">
        <v>7</v>
      </c>
      <c r="C12" s="70">
        <f t="shared" ref="C12:C15" si="0">(SUMIF($G$2:$G$31,B12,$I$2:$I$31))+(SUMIF($G$35:$G$41,B12,$H$35:$H$41))</f>
        <v>819</v>
      </c>
      <c r="D12" s="29"/>
      <c r="E12" s="76">
        <v>11645</v>
      </c>
      <c r="F12" s="77" t="s">
        <v>329</v>
      </c>
      <c r="G12" s="50" t="s">
        <v>46</v>
      </c>
      <c r="H12" s="38">
        <v>299</v>
      </c>
      <c r="I12" s="38">
        <v>0</v>
      </c>
      <c r="J12" s="29"/>
      <c r="K12" s="32"/>
      <c r="L12" s="32"/>
      <c r="M12" s="32"/>
      <c r="R12" s="1">
        <f>IF(vend20[[#This Row],[Nº Venda]]&gt;1,1,0)</f>
        <v>1</v>
      </c>
    </row>
    <row r="13" spans="2:18" ht="16.5" x14ac:dyDescent="0.3">
      <c r="B13" s="27" t="s">
        <v>8</v>
      </c>
      <c r="C13" s="70">
        <f t="shared" si="0"/>
        <v>4809</v>
      </c>
      <c r="D13" s="29"/>
      <c r="E13" s="76">
        <v>11646</v>
      </c>
      <c r="F13" s="77" t="s">
        <v>330</v>
      </c>
      <c r="G13" s="50" t="s">
        <v>7</v>
      </c>
      <c r="H13" s="38">
        <v>110</v>
      </c>
      <c r="I13" s="38">
        <v>110</v>
      </c>
      <c r="J13" s="29"/>
      <c r="K13" s="107" t="s">
        <v>142</v>
      </c>
      <c r="L13" s="108"/>
      <c r="M13" s="109"/>
      <c r="R13" s="1">
        <f>IF(vend20[[#This Row],[Nº Venda]]&gt;1,1,0)</f>
        <v>1</v>
      </c>
    </row>
    <row r="14" spans="2:18" ht="16.5" x14ac:dyDescent="0.3">
      <c r="B14" s="27" t="s">
        <v>9</v>
      </c>
      <c r="C14" s="70">
        <f t="shared" si="0"/>
        <v>0</v>
      </c>
      <c r="D14" s="29"/>
      <c r="E14" s="76">
        <v>11647</v>
      </c>
      <c r="F14" s="77" t="s">
        <v>331</v>
      </c>
      <c r="G14" s="50" t="s">
        <v>7</v>
      </c>
      <c r="H14" s="38">
        <v>590</v>
      </c>
      <c r="I14" s="38">
        <v>590</v>
      </c>
      <c r="J14" s="29"/>
      <c r="K14" s="21" t="s">
        <v>22</v>
      </c>
      <c r="L14" s="22" t="s">
        <v>23</v>
      </c>
      <c r="M14" s="23" t="s">
        <v>24</v>
      </c>
      <c r="R14" s="1">
        <f>IF(vend20[[#This Row],[Nº Venda]]&gt;1,1,0)</f>
        <v>1</v>
      </c>
    </row>
    <row r="15" spans="2:18" ht="16.5" x14ac:dyDescent="0.3">
      <c r="B15" s="27" t="s">
        <v>10</v>
      </c>
      <c r="C15" s="70">
        <f t="shared" si="0"/>
        <v>599</v>
      </c>
      <c r="D15" s="29"/>
      <c r="E15" s="76">
        <v>11648</v>
      </c>
      <c r="F15" s="77" t="s">
        <v>332</v>
      </c>
      <c r="G15" s="50" t="s">
        <v>7</v>
      </c>
      <c r="H15" s="38">
        <v>69</v>
      </c>
      <c r="I15" s="38">
        <v>69</v>
      </c>
      <c r="J15" s="29"/>
      <c r="K15" s="76">
        <v>11646</v>
      </c>
      <c r="L15" s="91" t="s">
        <v>129</v>
      </c>
      <c r="M15" s="42" t="s">
        <v>145</v>
      </c>
      <c r="R15" s="1">
        <f>IF(vend20[[#This Row],[Nº Venda]]&gt;1,1,0)</f>
        <v>1</v>
      </c>
    </row>
    <row r="16" spans="2:18" ht="16.5" x14ac:dyDescent="0.3">
      <c r="B16" s="30" t="s">
        <v>11</v>
      </c>
      <c r="C16" s="71">
        <f>SUM(C11:C15)</f>
        <v>6227</v>
      </c>
      <c r="D16" s="29"/>
      <c r="E16" s="76">
        <v>11649</v>
      </c>
      <c r="F16" s="77" t="s">
        <v>335</v>
      </c>
      <c r="G16" s="50" t="s">
        <v>10</v>
      </c>
      <c r="H16" s="38">
        <v>649</v>
      </c>
      <c r="I16" s="38">
        <v>80</v>
      </c>
      <c r="J16" s="29"/>
      <c r="K16" s="76">
        <v>11405</v>
      </c>
      <c r="L16" s="91" t="s">
        <v>131</v>
      </c>
      <c r="M16" s="42" t="s">
        <v>145</v>
      </c>
      <c r="R16" s="1">
        <f>IF(vend20[[#This Row],[Nº Venda]]&gt;1,1,0)</f>
        <v>1</v>
      </c>
    </row>
    <row r="17" spans="2:18" ht="16.5" x14ac:dyDescent="0.3">
      <c r="B17" s="26"/>
      <c r="C17" s="26"/>
      <c r="D17" s="29"/>
      <c r="E17" s="76">
        <v>11650</v>
      </c>
      <c r="F17" s="77" t="s">
        <v>335</v>
      </c>
      <c r="G17" s="50" t="s">
        <v>10</v>
      </c>
      <c r="H17" s="38">
        <v>300</v>
      </c>
      <c r="I17" s="38">
        <v>20</v>
      </c>
      <c r="J17" s="29"/>
      <c r="K17" s="76">
        <v>11482</v>
      </c>
      <c r="L17" s="91" t="s">
        <v>131</v>
      </c>
      <c r="M17" s="42" t="s">
        <v>145</v>
      </c>
      <c r="R17" s="1">
        <f>IF(vend20[[#This Row],[Nº Venda]]&gt;1,1,0)</f>
        <v>1</v>
      </c>
    </row>
    <row r="18" spans="2:18" ht="16.5" x14ac:dyDescent="0.3">
      <c r="B18" s="114" t="s">
        <v>12</v>
      </c>
      <c r="C18" s="115"/>
      <c r="D18" s="29"/>
      <c r="E18" s="76"/>
      <c r="F18" s="77"/>
      <c r="G18" s="50"/>
      <c r="H18" s="38"/>
      <c r="I18" s="38"/>
      <c r="J18" s="29"/>
      <c r="K18" s="76">
        <v>11441</v>
      </c>
      <c r="L18" s="91" t="s">
        <v>131</v>
      </c>
      <c r="M18" s="42" t="s">
        <v>145</v>
      </c>
      <c r="R18" s="1">
        <f>IF(vend20[[#This Row],[Nº Venda]]&gt;1,1,0)</f>
        <v>0</v>
      </c>
    </row>
    <row r="19" spans="2:18" ht="16.5" x14ac:dyDescent="0.3">
      <c r="B19" s="27">
        <f>COUNT(entr_carn20[OS])</f>
        <v>1</v>
      </c>
      <c r="C19" s="70">
        <f>SUM(entr_carn20[Valor Total])</f>
        <v>299.94</v>
      </c>
      <c r="D19" s="29"/>
      <c r="E19" s="76"/>
      <c r="F19" s="77"/>
      <c r="G19" s="50"/>
      <c r="H19" s="38"/>
      <c r="I19" s="38"/>
      <c r="J19" s="29"/>
      <c r="K19" s="76">
        <v>11590</v>
      </c>
      <c r="L19" s="91" t="s">
        <v>131</v>
      </c>
      <c r="M19" s="42" t="s">
        <v>145</v>
      </c>
      <c r="R19" s="1">
        <f>IF(vend20[[#This Row],[Nº Venda]]&gt;1,1,0)</f>
        <v>0</v>
      </c>
    </row>
    <row r="20" spans="2:18" ht="16.5" x14ac:dyDescent="0.3">
      <c r="B20" s="30" t="s">
        <v>11</v>
      </c>
      <c r="C20" s="71">
        <f>SUM(C19:C19)</f>
        <v>299.94</v>
      </c>
      <c r="D20" s="29"/>
      <c r="E20" s="76"/>
      <c r="F20" s="50"/>
      <c r="G20" s="50"/>
      <c r="H20" s="38"/>
      <c r="I20" s="38"/>
      <c r="J20" s="29"/>
      <c r="K20" s="76">
        <v>11648</v>
      </c>
      <c r="L20" s="91" t="s">
        <v>131</v>
      </c>
      <c r="M20" s="42" t="s">
        <v>145</v>
      </c>
      <c r="R20" s="1">
        <f>IF(vend20[[#This Row],[Nº Venda]]&gt;1,1,0)</f>
        <v>0</v>
      </c>
    </row>
    <row r="21" spans="2:18" ht="16.5" x14ac:dyDescent="0.3">
      <c r="B21" s="26"/>
      <c r="C21" s="26"/>
      <c r="D21" s="29"/>
      <c r="E21" s="76"/>
      <c r="F21" s="77"/>
      <c r="G21" s="50"/>
      <c r="H21" s="38"/>
      <c r="I21" s="38"/>
      <c r="J21" s="29"/>
      <c r="K21" s="76">
        <v>11566</v>
      </c>
      <c r="L21" s="91" t="s">
        <v>129</v>
      </c>
      <c r="M21" s="42" t="s">
        <v>145</v>
      </c>
    </row>
    <row r="22" spans="2:18" ht="16.5" x14ac:dyDescent="0.3">
      <c r="B22" s="30" t="s">
        <v>25</v>
      </c>
      <c r="C22" s="33">
        <f>C5</f>
        <v>6527</v>
      </c>
      <c r="D22" s="29"/>
      <c r="E22" s="78"/>
      <c r="F22" s="77"/>
      <c r="G22" s="50"/>
      <c r="H22" s="38"/>
      <c r="I22" s="38"/>
      <c r="J22" s="29"/>
      <c r="K22" s="76">
        <v>11499</v>
      </c>
      <c r="L22" s="91" t="s">
        <v>131</v>
      </c>
      <c r="M22" s="42" t="s">
        <v>145</v>
      </c>
    </row>
    <row r="23" spans="2:18" ht="16.5" x14ac:dyDescent="0.3">
      <c r="B23" s="29"/>
      <c r="C23" s="29"/>
      <c r="D23" s="29"/>
      <c r="E23" s="34"/>
      <c r="F23" s="34"/>
      <c r="G23" s="34"/>
      <c r="H23" s="35"/>
      <c r="I23" s="36"/>
      <c r="J23" s="29"/>
      <c r="K23" s="76">
        <v>11468</v>
      </c>
      <c r="L23" s="91" t="s">
        <v>131</v>
      </c>
      <c r="M23" s="42" t="s">
        <v>145</v>
      </c>
    </row>
    <row r="24" spans="2:18" ht="16.5" x14ac:dyDescent="0.3">
      <c r="B24" s="29"/>
      <c r="C24" s="29"/>
      <c r="D24" s="29"/>
      <c r="E24" s="105" t="s">
        <v>139</v>
      </c>
      <c r="F24" s="106"/>
      <c r="G24" s="106"/>
      <c r="H24" s="106"/>
      <c r="I24" s="106"/>
      <c r="J24" s="29"/>
      <c r="K24" s="76"/>
      <c r="L24" s="91"/>
      <c r="M24" s="42"/>
    </row>
    <row r="25" spans="2:18" ht="16.5" x14ac:dyDescent="0.3">
      <c r="B25" s="29"/>
      <c r="C25" s="29"/>
      <c r="D25" s="29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29"/>
      <c r="K25" s="76"/>
      <c r="L25" s="91"/>
      <c r="M25" s="42"/>
    </row>
    <row r="26" spans="2:18" ht="16.5" x14ac:dyDescent="0.3">
      <c r="B26" s="29"/>
      <c r="C26" s="29"/>
      <c r="D26" s="29"/>
      <c r="E26" s="76">
        <v>11590</v>
      </c>
      <c r="F26" s="77" t="s">
        <v>333</v>
      </c>
      <c r="G26" s="50" t="s">
        <v>7</v>
      </c>
      <c r="H26" s="38"/>
      <c r="I26" s="38">
        <v>50</v>
      </c>
      <c r="J26" s="29"/>
      <c r="K26" s="76"/>
      <c r="L26" s="91"/>
      <c r="M26" s="42"/>
    </row>
    <row r="27" spans="2:18" ht="16.5" x14ac:dyDescent="0.3">
      <c r="B27" s="29"/>
      <c r="C27" s="29"/>
      <c r="D27" s="29"/>
      <c r="E27" s="76">
        <v>11482</v>
      </c>
      <c r="F27" s="77" t="s">
        <v>334</v>
      </c>
      <c r="G27" s="50" t="s">
        <v>10</v>
      </c>
      <c r="H27" s="38"/>
      <c r="I27" s="38">
        <v>499</v>
      </c>
      <c r="J27" s="29"/>
      <c r="K27" s="76"/>
      <c r="L27" s="91"/>
      <c r="M27" s="42"/>
    </row>
    <row r="28" spans="2:18" ht="16.5" x14ac:dyDescent="0.3">
      <c r="B28" s="29"/>
      <c r="C28" s="29"/>
      <c r="D28" s="29"/>
      <c r="E28" s="76"/>
      <c r="F28" s="77"/>
      <c r="G28" s="50"/>
      <c r="H28" s="38"/>
      <c r="I28" s="38"/>
      <c r="J28" s="29"/>
      <c r="K28" s="76"/>
      <c r="L28" s="91"/>
      <c r="M28" s="42"/>
    </row>
    <row r="29" spans="2:18" ht="16.5" x14ac:dyDescent="0.3">
      <c r="B29" s="29"/>
      <c r="C29" s="29"/>
      <c r="D29" s="29"/>
      <c r="E29" s="76"/>
      <c r="F29" s="77"/>
      <c r="G29" s="50"/>
      <c r="H29" s="38"/>
      <c r="I29" s="38"/>
      <c r="J29" s="29"/>
      <c r="K29" s="76"/>
      <c r="L29" s="91"/>
      <c r="M29" s="42"/>
    </row>
    <row r="30" spans="2:18" ht="16.5" x14ac:dyDescent="0.3">
      <c r="B30" s="29"/>
      <c r="C30" s="29"/>
      <c r="D30" s="29"/>
      <c r="E30" s="76"/>
      <c r="F30" s="50"/>
      <c r="G30" s="50"/>
      <c r="H30" s="38"/>
      <c r="I30" s="38"/>
      <c r="J30" s="29"/>
      <c r="K30" s="76"/>
      <c r="L30" s="91"/>
      <c r="M30" s="42"/>
    </row>
    <row r="31" spans="2:18" ht="16.5" x14ac:dyDescent="0.3">
      <c r="B31" s="29"/>
      <c r="C31" s="29"/>
      <c r="D31" s="29"/>
      <c r="E31" s="78"/>
      <c r="F31" s="79"/>
      <c r="G31" s="40"/>
      <c r="H31" s="41"/>
      <c r="I31" s="41"/>
      <c r="J31" s="29"/>
      <c r="K31" s="76"/>
      <c r="L31" s="91"/>
      <c r="M31" s="42"/>
    </row>
    <row r="32" spans="2:18" ht="16.5" x14ac:dyDescent="0.3">
      <c r="B32" s="29"/>
      <c r="C32" s="29"/>
      <c r="D32" s="37"/>
      <c r="E32" s="34"/>
      <c r="F32" s="34"/>
      <c r="G32" s="34"/>
      <c r="H32" s="36"/>
      <c r="I32" s="36"/>
      <c r="J32" s="37"/>
      <c r="K32" s="32"/>
      <c r="L32" s="32"/>
      <c r="M32" s="32"/>
    </row>
    <row r="33" spans="2:18" ht="16.5" x14ac:dyDescent="0.3">
      <c r="B33" s="29"/>
      <c r="C33" s="29"/>
      <c r="D33" s="37"/>
      <c r="E33" s="105" t="s">
        <v>140</v>
      </c>
      <c r="F33" s="106"/>
      <c r="G33" s="106"/>
      <c r="H33" s="106"/>
      <c r="I33" s="106"/>
      <c r="J33" s="37"/>
      <c r="K33" s="107" t="s">
        <v>141</v>
      </c>
      <c r="L33" s="108"/>
      <c r="M33" s="109"/>
    </row>
    <row r="34" spans="2:18" ht="16.5" x14ac:dyDescent="0.3">
      <c r="B34" s="37"/>
      <c r="C34" s="37"/>
      <c r="D34" s="37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7"/>
      <c r="K34" s="22" t="s">
        <v>22</v>
      </c>
      <c r="L34" s="21" t="s">
        <v>28</v>
      </c>
      <c r="M34" s="22" t="s">
        <v>29</v>
      </c>
    </row>
    <row r="35" spans="2:18" ht="16.5" customHeight="1" x14ac:dyDescent="0.25">
      <c r="B35" s="37"/>
      <c r="C35" s="37"/>
      <c r="D35" s="37"/>
      <c r="E35" s="76"/>
      <c r="F35" s="77"/>
      <c r="G35" s="50"/>
      <c r="H35" s="38"/>
      <c r="I35" s="38"/>
      <c r="J35" s="37"/>
      <c r="K35" s="76">
        <v>11590</v>
      </c>
      <c r="L35" s="76">
        <v>6</v>
      </c>
      <c r="M35" s="91">
        <v>299.94</v>
      </c>
    </row>
    <row r="36" spans="2:18" ht="16.5" customHeight="1" x14ac:dyDescent="0.25">
      <c r="B36" s="37"/>
      <c r="C36" s="37"/>
      <c r="D36" s="37"/>
      <c r="E36" s="83"/>
      <c r="F36" s="77"/>
      <c r="G36" s="50"/>
      <c r="H36" s="38"/>
      <c r="I36" s="38"/>
      <c r="J36" s="37"/>
      <c r="K36" s="76"/>
      <c r="L36" s="76"/>
      <c r="M36" s="91"/>
    </row>
    <row r="37" spans="2:18" ht="16.5" customHeight="1" x14ac:dyDescent="0.25">
      <c r="B37" s="37"/>
      <c r="C37" s="37"/>
      <c r="D37" s="37"/>
      <c r="E37" s="76"/>
      <c r="F37" s="77"/>
      <c r="G37" s="50"/>
      <c r="H37" s="38"/>
      <c r="I37" s="38"/>
      <c r="J37" s="37"/>
      <c r="K37" s="76"/>
      <c r="L37" s="76"/>
      <c r="M37" s="91"/>
    </row>
    <row r="38" spans="2:18" ht="16.5" customHeight="1" x14ac:dyDescent="0.25">
      <c r="B38" s="37"/>
      <c r="C38" s="37"/>
      <c r="D38" s="37"/>
      <c r="E38" s="76"/>
      <c r="F38" s="77"/>
      <c r="G38" s="50"/>
      <c r="H38" s="38"/>
      <c r="I38" s="38"/>
      <c r="J38" s="37"/>
      <c r="K38" s="76"/>
      <c r="L38" s="76"/>
      <c r="M38" s="91"/>
    </row>
    <row r="39" spans="2:18" ht="16.5" customHeight="1" x14ac:dyDescent="0.25">
      <c r="B39" s="37"/>
      <c r="C39" s="37"/>
      <c r="D39" s="37"/>
      <c r="E39" s="76"/>
      <c r="F39" s="50"/>
      <c r="G39" s="50"/>
      <c r="H39" s="38"/>
      <c r="I39" s="38"/>
      <c r="J39" s="37"/>
      <c r="K39" s="76"/>
      <c r="L39" s="76"/>
      <c r="M39" s="91"/>
    </row>
    <row r="40" spans="2:18" ht="16.5" customHeight="1" x14ac:dyDescent="0.25">
      <c r="B40" s="37"/>
      <c r="C40" s="37"/>
      <c r="D40" s="37"/>
      <c r="E40" s="78"/>
      <c r="F40" s="79"/>
      <c r="G40" s="40"/>
      <c r="H40" s="41"/>
      <c r="I40" s="38"/>
      <c r="J40" s="37"/>
      <c r="K40" s="78"/>
      <c r="L40" s="78"/>
      <c r="M40" s="92"/>
      <c r="Q40" s="1" t="s">
        <v>33</v>
      </c>
      <c r="R40" s="1">
        <f>SUM(R6:R21)</f>
        <v>12</v>
      </c>
    </row>
    <row r="41" spans="2:18" ht="16.5" customHeight="1" x14ac:dyDescent="0.25">
      <c r="B41" s="37"/>
      <c r="C41" s="37"/>
      <c r="D41" s="37"/>
      <c r="E41" s="82"/>
      <c r="F41" s="50"/>
      <c r="G41" s="50"/>
      <c r="H41" s="38"/>
      <c r="I41" s="38"/>
      <c r="J41" s="37"/>
      <c r="K41" s="76"/>
      <c r="L41" s="76"/>
      <c r="M41" s="92"/>
    </row>
    <row r="42" spans="2:18" ht="13.5" x14ac:dyDescent="0.25">
      <c r="B42" s="37"/>
      <c r="C42" s="37"/>
      <c r="D42" s="37"/>
      <c r="E42" s="34"/>
      <c r="F42" s="34"/>
      <c r="G42" s="34"/>
      <c r="H42" s="36"/>
      <c r="I42" s="36"/>
      <c r="J42" s="37"/>
      <c r="K42" s="32"/>
      <c r="L42" s="32"/>
      <c r="M42" s="32"/>
    </row>
    <row r="43" spans="2:18" ht="13.5" x14ac:dyDescent="0.25">
      <c r="B43" s="37"/>
      <c r="C43" s="37"/>
      <c r="D43" s="37"/>
      <c r="E43" s="34"/>
      <c r="F43" s="34"/>
      <c r="G43" s="34"/>
      <c r="H43" s="36"/>
      <c r="I43" s="36"/>
      <c r="J43" s="37"/>
      <c r="K43" s="32"/>
      <c r="L43" s="32"/>
      <c r="M43" s="32"/>
    </row>
    <row r="44" spans="2:18" ht="13.5" x14ac:dyDescent="0.25">
      <c r="B44" s="37"/>
      <c r="C44" s="37"/>
      <c r="D44" s="37"/>
      <c r="E44" s="34"/>
      <c r="F44" s="34"/>
      <c r="G44" s="34"/>
      <c r="H44" s="36"/>
      <c r="I44" s="36"/>
      <c r="J44" s="37"/>
      <c r="K44" s="32"/>
      <c r="L44" s="32"/>
      <c r="M44" s="32"/>
    </row>
    <row r="45" spans="2:18" ht="13.5" x14ac:dyDescent="0.25">
      <c r="B45" s="37"/>
      <c r="C45" s="37"/>
      <c r="D45" s="37"/>
      <c r="E45" s="34"/>
      <c r="F45" s="34"/>
      <c r="G45" s="34"/>
      <c r="H45" s="36"/>
      <c r="I45" s="36"/>
      <c r="J45" s="37"/>
      <c r="K45" s="32"/>
      <c r="L45" s="32"/>
      <c r="M45" s="32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6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5"/>
  <sheetViews>
    <sheetView showGridLines="0" view="pageBreakPreview" topLeftCell="C11" zoomScale="98" zoomScaleNormal="90" zoomScaleSheetLayoutView="98" workbookViewId="0">
      <selection activeCell="K29" sqref="K2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34.7109375" style="1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 t="s">
        <v>392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4" t="s">
        <v>0</v>
      </c>
      <c r="C4" s="25">
        <v>0</v>
      </c>
      <c r="D4" s="57"/>
      <c r="E4" s="113" t="s">
        <v>137</v>
      </c>
      <c r="F4" s="113"/>
      <c r="G4" s="113"/>
      <c r="H4" s="113"/>
      <c r="I4" s="113"/>
      <c r="J4" s="29"/>
      <c r="K4" s="107" t="s">
        <v>138</v>
      </c>
      <c r="L4" s="108"/>
      <c r="M4" s="109"/>
    </row>
    <row r="5" spans="2:18" ht="16.5" x14ac:dyDescent="0.3">
      <c r="B5" s="27" t="s">
        <v>1</v>
      </c>
      <c r="C5" s="28">
        <f>SUMIF(I6:I31,"&gt;0",H6:H31)</f>
        <v>809.9</v>
      </c>
      <c r="D5" s="29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29"/>
      <c r="K5" s="21" t="s">
        <v>18</v>
      </c>
      <c r="L5" s="22" t="s">
        <v>19</v>
      </c>
      <c r="M5" s="23" t="s">
        <v>20</v>
      </c>
    </row>
    <row r="6" spans="2:18" ht="16.5" x14ac:dyDescent="0.3">
      <c r="B6" s="27" t="s">
        <v>2</v>
      </c>
      <c r="C6" s="28">
        <f>C16</f>
        <v>2339</v>
      </c>
      <c r="D6" s="29"/>
      <c r="E6" s="76">
        <v>11651</v>
      </c>
      <c r="F6" s="77" t="s">
        <v>339</v>
      </c>
      <c r="G6" s="50" t="s">
        <v>36</v>
      </c>
      <c r="H6" s="38">
        <v>0</v>
      </c>
      <c r="I6" s="38">
        <v>0</v>
      </c>
      <c r="J6" s="29"/>
      <c r="K6" s="77"/>
      <c r="L6" s="91"/>
      <c r="M6" s="42"/>
      <c r="R6" s="1">
        <f>IF(vend21[[#This Row],[Nº Venda]]&gt;1,1,0)</f>
        <v>1</v>
      </c>
    </row>
    <row r="7" spans="2:18" ht="16.5" x14ac:dyDescent="0.3">
      <c r="B7" s="27" t="s">
        <v>3</v>
      </c>
      <c r="C7" s="28">
        <f>SUM(M6:M11)</f>
        <v>0</v>
      </c>
      <c r="D7" s="29"/>
      <c r="E7" s="76">
        <v>11652</v>
      </c>
      <c r="F7" s="77" t="s">
        <v>340</v>
      </c>
      <c r="G7" s="50" t="s">
        <v>36</v>
      </c>
      <c r="H7" s="38">
        <v>0</v>
      </c>
      <c r="I7" s="38">
        <v>0</v>
      </c>
      <c r="J7" s="29"/>
      <c r="K7" s="77"/>
      <c r="L7" s="91"/>
      <c r="M7" s="42"/>
      <c r="R7" s="1">
        <f>IF(vend21[[#This Row],[Nº Venda]]&gt;1,1,0)</f>
        <v>1</v>
      </c>
    </row>
    <row r="8" spans="2:18" ht="16.5" x14ac:dyDescent="0.3">
      <c r="B8" s="30" t="s">
        <v>21</v>
      </c>
      <c r="C8" s="31">
        <f>SUM(C6:C7)</f>
        <v>2339</v>
      </c>
      <c r="D8" s="29"/>
      <c r="E8" s="76">
        <v>11653</v>
      </c>
      <c r="F8" s="77" t="s">
        <v>341</v>
      </c>
      <c r="G8" s="50" t="s">
        <v>8</v>
      </c>
      <c r="H8" s="38">
        <v>310</v>
      </c>
      <c r="I8" s="38">
        <v>310</v>
      </c>
      <c r="J8" s="29"/>
      <c r="K8" s="77"/>
      <c r="L8" s="91"/>
      <c r="M8" s="42"/>
      <c r="R8" s="1">
        <f>IF(vend21[[#This Row],[Nº Venda]]&gt;1,1,0)</f>
        <v>1</v>
      </c>
    </row>
    <row r="9" spans="2:18" ht="16.5" x14ac:dyDescent="0.3">
      <c r="B9" s="26"/>
      <c r="C9" s="26"/>
      <c r="D9" s="29"/>
      <c r="E9" s="76">
        <v>11654</v>
      </c>
      <c r="F9" s="77" t="s">
        <v>172</v>
      </c>
      <c r="G9" s="50" t="s">
        <v>36</v>
      </c>
      <c r="H9" s="38">
        <v>0</v>
      </c>
      <c r="I9" s="38">
        <v>0</v>
      </c>
      <c r="J9" s="29"/>
      <c r="K9" s="77"/>
      <c r="L9" s="91"/>
      <c r="M9" s="42"/>
      <c r="R9" s="1">
        <f>IF(vend21[[#This Row],[Nº Venda]]&gt;1,1,0)</f>
        <v>1</v>
      </c>
    </row>
    <row r="10" spans="2:18" ht="16.5" x14ac:dyDescent="0.3">
      <c r="B10" s="114" t="s">
        <v>5</v>
      </c>
      <c r="C10" s="115"/>
      <c r="D10" s="29"/>
      <c r="E10" s="76">
        <v>11655</v>
      </c>
      <c r="F10" s="77" t="s">
        <v>342</v>
      </c>
      <c r="G10" s="50" t="s">
        <v>10</v>
      </c>
      <c r="H10" s="38">
        <v>399.9</v>
      </c>
      <c r="I10" s="38">
        <v>25</v>
      </c>
      <c r="J10" s="29"/>
      <c r="K10" s="77"/>
      <c r="L10" s="91"/>
      <c r="M10" s="42"/>
      <c r="R10" s="1">
        <f>IF(vend21[[#This Row],[Nº Venda]]&gt;1,1,0)</f>
        <v>1</v>
      </c>
    </row>
    <row r="11" spans="2:18" ht="16.5" x14ac:dyDescent="0.3">
      <c r="B11" s="27" t="s">
        <v>6</v>
      </c>
      <c r="C11" s="70">
        <f>(SUMIF($G$2:$G$31,B11,$I$2:$I$31))+(SUMIF($G$35:$G$41,B11,$H$35:$H$41))</f>
        <v>0</v>
      </c>
      <c r="D11" s="29"/>
      <c r="E11" s="76">
        <v>11656</v>
      </c>
      <c r="F11" s="77" t="s">
        <v>343</v>
      </c>
      <c r="G11" s="50" t="s">
        <v>46</v>
      </c>
      <c r="H11" s="38">
        <v>0</v>
      </c>
      <c r="I11" s="38">
        <v>0</v>
      </c>
      <c r="J11" s="29"/>
      <c r="K11" s="37"/>
      <c r="L11" s="91"/>
      <c r="M11" s="42"/>
      <c r="O11" s="1">
        <f>IF(C16=0,0,1)</f>
        <v>1</v>
      </c>
      <c r="R11" s="1">
        <f>IF(vend21[[#This Row],[Nº Venda]]&gt;1,1,0)</f>
        <v>1</v>
      </c>
    </row>
    <row r="12" spans="2:18" ht="16.5" x14ac:dyDescent="0.3">
      <c r="B12" s="27" t="s">
        <v>7</v>
      </c>
      <c r="C12" s="70">
        <f t="shared" ref="C12:C15" si="0">(SUMIF($G$2:$G$31,B12,$I$2:$I$31))+(SUMIF($G$35:$G$41,B12,$H$35:$H$41))</f>
        <v>0</v>
      </c>
      <c r="D12" s="29"/>
      <c r="E12" s="76">
        <v>11657</v>
      </c>
      <c r="F12" s="77" t="s">
        <v>344</v>
      </c>
      <c r="G12" s="50" t="s">
        <v>8</v>
      </c>
      <c r="H12" s="38">
        <v>100</v>
      </c>
      <c r="I12" s="38">
        <v>100</v>
      </c>
      <c r="J12" s="29"/>
      <c r="K12" s="32"/>
      <c r="L12" s="32"/>
      <c r="M12" s="32"/>
      <c r="R12" s="1">
        <f>IF(vend21[[#This Row],[Nº Venda]]&gt;1,1,0)</f>
        <v>1</v>
      </c>
    </row>
    <row r="13" spans="2:18" ht="16.5" x14ac:dyDescent="0.3">
      <c r="B13" s="27" t="s">
        <v>8</v>
      </c>
      <c r="C13" s="70">
        <f t="shared" si="0"/>
        <v>1949</v>
      </c>
      <c r="D13" s="29"/>
      <c r="E13" s="76">
        <v>11658</v>
      </c>
      <c r="F13" s="77" t="s">
        <v>345</v>
      </c>
      <c r="G13" s="50" t="s">
        <v>46</v>
      </c>
      <c r="H13" s="38">
        <v>0</v>
      </c>
      <c r="I13" s="38">
        <v>0</v>
      </c>
      <c r="J13" s="29"/>
      <c r="K13" s="107" t="s">
        <v>142</v>
      </c>
      <c r="L13" s="108"/>
      <c r="M13" s="109"/>
      <c r="R13" s="1">
        <f>IF(vend21[[#This Row],[Nº Venda]]&gt;1,1,0)</f>
        <v>1</v>
      </c>
    </row>
    <row r="14" spans="2:18" ht="16.5" x14ac:dyDescent="0.3">
      <c r="B14" s="27" t="s">
        <v>9</v>
      </c>
      <c r="C14" s="70">
        <f t="shared" si="0"/>
        <v>0</v>
      </c>
      <c r="D14" s="29"/>
      <c r="E14" s="76">
        <v>11659</v>
      </c>
      <c r="F14" s="77" t="s">
        <v>346</v>
      </c>
      <c r="G14" s="50" t="s">
        <v>46</v>
      </c>
      <c r="H14" s="38">
        <v>0</v>
      </c>
      <c r="I14" s="38">
        <v>0</v>
      </c>
      <c r="J14" s="29"/>
      <c r="K14" s="21" t="s">
        <v>22</v>
      </c>
      <c r="L14" s="22" t="s">
        <v>23</v>
      </c>
      <c r="M14" s="23" t="s">
        <v>24</v>
      </c>
      <c r="R14" s="1">
        <f>IF(vend21[[#This Row],[Nº Venda]]&gt;1,1,0)</f>
        <v>1</v>
      </c>
    </row>
    <row r="15" spans="2:18" ht="16.5" x14ac:dyDescent="0.3">
      <c r="B15" s="27" t="s">
        <v>10</v>
      </c>
      <c r="C15" s="70">
        <f t="shared" si="0"/>
        <v>390</v>
      </c>
      <c r="D15" s="29"/>
      <c r="E15" s="76"/>
      <c r="F15" s="77"/>
      <c r="G15" s="50"/>
      <c r="H15" s="38"/>
      <c r="I15" s="38"/>
      <c r="J15" s="29"/>
      <c r="K15" s="76">
        <v>11418</v>
      </c>
      <c r="L15" s="91" t="s">
        <v>129</v>
      </c>
      <c r="M15" s="42" t="s">
        <v>145</v>
      </c>
      <c r="R15" s="1">
        <f>IF(vend21[[#This Row],[Nº Venda]]&gt;1,1,0)</f>
        <v>0</v>
      </c>
    </row>
    <row r="16" spans="2:18" ht="16.5" x14ac:dyDescent="0.3">
      <c r="B16" s="30" t="s">
        <v>11</v>
      </c>
      <c r="C16" s="71">
        <f>SUM(C11:C15)</f>
        <v>2339</v>
      </c>
      <c r="D16" s="29"/>
      <c r="E16" s="76"/>
      <c r="F16" s="77"/>
      <c r="G16" s="50"/>
      <c r="H16" s="38"/>
      <c r="I16" s="38"/>
      <c r="J16" s="29"/>
      <c r="K16" s="76">
        <v>11419</v>
      </c>
      <c r="L16" s="91" t="s">
        <v>129</v>
      </c>
      <c r="M16" s="42" t="s">
        <v>145</v>
      </c>
      <c r="R16" s="1">
        <f>IF(vend21[[#This Row],[Nº Venda]]&gt;1,1,0)</f>
        <v>0</v>
      </c>
    </row>
    <row r="17" spans="2:18" ht="16.5" x14ac:dyDescent="0.3">
      <c r="B17" s="26"/>
      <c r="C17" s="26"/>
      <c r="D17" s="29"/>
      <c r="E17" s="76"/>
      <c r="F17" s="77"/>
      <c r="G17" s="50"/>
      <c r="H17" s="38"/>
      <c r="I17" s="38"/>
      <c r="J17" s="29"/>
      <c r="K17" s="76">
        <v>11443</v>
      </c>
      <c r="L17" s="91" t="s">
        <v>131</v>
      </c>
      <c r="M17" s="42" t="s">
        <v>146</v>
      </c>
      <c r="R17" s="1">
        <f>IF(vend21[[#This Row],[Nº Venda]]&gt;1,1,0)</f>
        <v>0</v>
      </c>
    </row>
    <row r="18" spans="2:18" ht="16.5" x14ac:dyDescent="0.3">
      <c r="B18" s="114" t="s">
        <v>12</v>
      </c>
      <c r="C18" s="115"/>
      <c r="D18" s="29"/>
      <c r="E18" s="76"/>
      <c r="F18" s="77"/>
      <c r="G18" s="50"/>
      <c r="H18" s="38"/>
      <c r="I18" s="38"/>
      <c r="J18" s="29"/>
      <c r="K18" s="76">
        <v>11476</v>
      </c>
      <c r="L18" s="91" t="s">
        <v>131</v>
      </c>
      <c r="M18" s="42" t="s">
        <v>145</v>
      </c>
      <c r="R18" s="1">
        <f>IF(vend21[[#This Row],[Nº Venda]]&gt;1,1,0)</f>
        <v>0</v>
      </c>
    </row>
    <row r="19" spans="2:18" ht="16.5" x14ac:dyDescent="0.3">
      <c r="B19" s="27">
        <f>COUNT(entr_carn21[OS])</f>
        <v>1</v>
      </c>
      <c r="C19" s="70">
        <f>SUM(entr_carn21[Valor Total])</f>
        <v>0</v>
      </c>
      <c r="D19" s="29"/>
      <c r="E19" s="76"/>
      <c r="F19" s="77"/>
      <c r="G19" s="50"/>
      <c r="H19" s="38"/>
      <c r="I19" s="38"/>
      <c r="J19" s="29"/>
      <c r="K19" s="76">
        <v>11487</v>
      </c>
      <c r="L19" s="91" t="s">
        <v>131</v>
      </c>
      <c r="M19" s="42" t="s">
        <v>145</v>
      </c>
      <c r="R19" s="1">
        <f>IF(vend21[[#This Row],[Nº Venda]]&gt;1,1,0)</f>
        <v>0</v>
      </c>
    </row>
    <row r="20" spans="2:18" ht="16.5" x14ac:dyDescent="0.3">
      <c r="B20" s="30" t="s">
        <v>11</v>
      </c>
      <c r="C20" s="71">
        <f>SUM(C19:C19)</f>
        <v>0</v>
      </c>
      <c r="D20" s="29"/>
      <c r="E20" s="76"/>
      <c r="F20" s="50"/>
      <c r="G20" s="50"/>
      <c r="H20" s="38"/>
      <c r="I20" s="38"/>
      <c r="J20" s="29"/>
      <c r="K20" s="76">
        <v>11489</v>
      </c>
      <c r="L20" s="91" t="s">
        <v>131</v>
      </c>
      <c r="M20" s="42" t="s">
        <v>145</v>
      </c>
      <c r="R20" s="1">
        <f>IF(vend21[[#This Row],[Nº Venda]]&gt;1,1,0)</f>
        <v>0</v>
      </c>
    </row>
    <row r="21" spans="2:18" ht="16.5" x14ac:dyDescent="0.3">
      <c r="B21" s="26"/>
      <c r="C21" s="26"/>
      <c r="D21" s="29"/>
      <c r="E21" s="76"/>
      <c r="F21" s="77"/>
      <c r="G21" s="50"/>
      <c r="H21" s="38"/>
      <c r="I21" s="38"/>
      <c r="J21" s="29"/>
      <c r="K21" s="76">
        <v>11523</v>
      </c>
      <c r="L21" s="91" t="s">
        <v>131</v>
      </c>
      <c r="M21" s="42" t="s">
        <v>145</v>
      </c>
    </row>
    <row r="22" spans="2:18" ht="16.5" x14ac:dyDescent="0.3">
      <c r="B22" s="30" t="s">
        <v>25</v>
      </c>
      <c r="C22" s="33">
        <f>C5</f>
        <v>809.9</v>
      </c>
      <c r="D22" s="29"/>
      <c r="E22" s="78"/>
      <c r="F22" s="77"/>
      <c r="G22" s="50"/>
      <c r="H22" s="38"/>
      <c r="I22" s="38"/>
      <c r="J22" s="29"/>
      <c r="K22" s="76">
        <v>11530</v>
      </c>
      <c r="L22" s="91" t="s">
        <v>131</v>
      </c>
      <c r="M22" s="42" t="s">
        <v>145</v>
      </c>
    </row>
    <row r="23" spans="2:18" ht="16.5" x14ac:dyDescent="0.3">
      <c r="B23" s="29"/>
      <c r="C23" s="29"/>
      <c r="D23" s="29"/>
      <c r="E23" s="34"/>
      <c r="F23" s="34"/>
      <c r="G23" s="34"/>
      <c r="H23" s="35"/>
      <c r="I23" s="36"/>
      <c r="J23" s="29"/>
      <c r="K23" s="76">
        <v>11533</v>
      </c>
      <c r="L23" s="91" t="s">
        <v>131</v>
      </c>
      <c r="M23" s="42" t="s">
        <v>145</v>
      </c>
    </row>
    <row r="24" spans="2:18" ht="16.5" x14ac:dyDescent="0.3">
      <c r="B24" s="29"/>
      <c r="C24" s="29"/>
      <c r="D24" s="29"/>
      <c r="E24" s="105" t="s">
        <v>139</v>
      </c>
      <c r="F24" s="106"/>
      <c r="G24" s="106"/>
      <c r="H24" s="106"/>
      <c r="I24" s="106"/>
      <c r="J24" s="29"/>
      <c r="K24" s="76">
        <v>11542</v>
      </c>
      <c r="L24" s="91" t="s">
        <v>131</v>
      </c>
      <c r="M24" s="42" t="s">
        <v>145</v>
      </c>
    </row>
    <row r="25" spans="2:18" ht="16.5" x14ac:dyDescent="0.3">
      <c r="B25" s="29"/>
      <c r="C25" s="29"/>
      <c r="D25" s="29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29"/>
      <c r="K25" s="76">
        <v>11565</v>
      </c>
      <c r="L25" s="91" t="s">
        <v>129</v>
      </c>
      <c r="M25" s="42" t="s">
        <v>145</v>
      </c>
    </row>
    <row r="26" spans="2:18" ht="16.5" x14ac:dyDescent="0.3">
      <c r="B26" s="29"/>
      <c r="C26" s="29"/>
      <c r="D26" s="29"/>
      <c r="E26" s="76">
        <v>11443</v>
      </c>
      <c r="F26" s="77" t="s">
        <v>387</v>
      </c>
      <c r="G26" s="50" t="s">
        <v>10</v>
      </c>
      <c r="H26" s="38">
        <v>0</v>
      </c>
      <c r="I26" s="38">
        <v>220</v>
      </c>
      <c r="J26" s="29"/>
      <c r="K26" s="76">
        <v>11585</v>
      </c>
      <c r="L26" s="91" t="s">
        <v>131</v>
      </c>
      <c r="M26" s="42" t="s">
        <v>145</v>
      </c>
    </row>
    <row r="27" spans="2:18" ht="16.5" x14ac:dyDescent="0.3">
      <c r="B27" s="29"/>
      <c r="C27" s="29"/>
      <c r="D27" s="29"/>
      <c r="E27" s="76">
        <v>11533</v>
      </c>
      <c r="F27" s="77" t="s">
        <v>388</v>
      </c>
      <c r="G27" s="50" t="s">
        <v>8</v>
      </c>
      <c r="H27" s="38">
        <v>0</v>
      </c>
      <c r="I27" s="38">
        <v>399</v>
      </c>
      <c r="J27" s="29"/>
      <c r="K27" s="76">
        <v>11586</v>
      </c>
      <c r="L27" s="91" t="s">
        <v>131</v>
      </c>
      <c r="M27" s="42" t="s">
        <v>145</v>
      </c>
    </row>
    <row r="28" spans="2:18" ht="16.5" x14ac:dyDescent="0.3">
      <c r="B28" s="29"/>
      <c r="C28" s="29"/>
      <c r="D28" s="29"/>
      <c r="E28" s="76">
        <v>11488</v>
      </c>
      <c r="F28" s="77" t="s">
        <v>347</v>
      </c>
      <c r="G28" s="50" t="s">
        <v>8</v>
      </c>
      <c r="H28" s="38">
        <v>0</v>
      </c>
      <c r="I28" s="38">
        <v>190</v>
      </c>
      <c r="J28" s="29"/>
      <c r="K28" s="76">
        <v>11592</v>
      </c>
      <c r="L28" s="91" t="s">
        <v>131</v>
      </c>
      <c r="M28" s="42" t="s">
        <v>145</v>
      </c>
    </row>
    <row r="29" spans="2:18" ht="16.5" x14ac:dyDescent="0.3">
      <c r="B29" s="29"/>
      <c r="C29" s="29"/>
      <c r="D29" s="29"/>
      <c r="E29" s="76">
        <v>11487</v>
      </c>
      <c r="F29" s="77" t="s">
        <v>347</v>
      </c>
      <c r="G29" s="50" t="s">
        <v>8</v>
      </c>
      <c r="H29" s="38">
        <v>0</v>
      </c>
      <c r="I29" s="38">
        <v>950</v>
      </c>
      <c r="J29" s="29"/>
      <c r="K29" s="76">
        <v>11622</v>
      </c>
      <c r="L29" s="91" t="s">
        <v>131</v>
      </c>
      <c r="M29" s="42" t="s">
        <v>145</v>
      </c>
    </row>
    <row r="30" spans="2:18" ht="16.5" x14ac:dyDescent="0.3">
      <c r="B30" s="29"/>
      <c r="C30" s="29"/>
      <c r="D30" s="29"/>
      <c r="E30" s="76"/>
      <c r="F30" s="50"/>
      <c r="G30" s="50"/>
      <c r="H30" s="38"/>
      <c r="I30" s="38"/>
      <c r="J30" s="29"/>
      <c r="K30" s="76">
        <v>11624</v>
      </c>
      <c r="L30" s="91" t="s">
        <v>129</v>
      </c>
      <c r="M30" s="42" t="s">
        <v>145</v>
      </c>
    </row>
    <row r="31" spans="2:18" ht="16.5" x14ac:dyDescent="0.3">
      <c r="B31" s="29"/>
      <c r="C31" s="29"/>
      <c r="D31" s="29"/>
      <c r="E31" s="78"/>
      <c r="F31" s="79"/>
      <c r="G31" s="40"/>
      <c r="H31" s="41"/>
      <c r="I31" s="41"/>
      <c r="J31" s="29"/>
      <c r="K31" s="76">
        <v>11625</v>
      </c>
      <c r="L31" s="91" t="s">
        <v>129</v>
      </c>
      <c r="M31" s="42" t="s">
        <v>145</v>
      </c>
    </row>
    <row r="32" spans="2:18" ht="16.5" x14ac:dyDescent="0.3">
      <c r="B32" s="29"/>
      <c r="C32" s="29"/>
      <c r="D32" s="37"/>
      <c r="E32" s="34"/>
      <c r="F32" s="34"/>
      <c r="G32" s="34"/>
      <c r="H32" s="36"/>
      <c r="I32" s="36"/>
      <c r="J32" s="37"/>
      <c r="K32" s="32"/>
      <c r="L32" s="32"/>
      <c r="M32" s="32"/>
    </row>
    <row r="33" spans="2:18" ht="16.5" x14ac:dyDescent="0.3">
      <c r="B33" s="29"/>
      <c r="C33" s="29"/>
      <c r="D33" s="37"/>
      <c r="E33" s="105" t="s">
        <v>140</v>
      </c>
      <c r="F33" s="106"/>
      <c r="G33" s="106"/>
      <c r="H33" s="106"/>
      <c r="I33" s="106"/>
      <c r="J33" s="37"/>
      <c r="K33" s="107" t="s">
        <v>141</v>
      </c>
      <c r="L33" s="108"/>
      <c r="M33" s="109"/>
    </row>
    <row r="34" spans="2:18" ht="16.5" x14ac:dyDescent="0.3">
      <c r="B34" s="37"/>
      <c r="C34" s="37"/>
      <c r="D34" s="37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7"/>
      <c r="K34" s="22" t="s">
        <v>22</v>
      </c>
      <c r="L34" s="21" t="s">
        <v>28</v>
      </c>
      <c r="M34" s="22" t="s">
        <v>29</v>
      </c>
    </row>
    <row r="35" spans="2:18" ht="16.5" customHeight="1" x14ac:dyDescent="0.25">
      <c r="B35" s="37"/>
      <c r="C35" s="37"/>
      <c r="D35" s="37"/>
      <c r="E35" s="76">
        <v>11443</v>
      </c>
      <c r="F35" s="77" t="s">
        <v>387</v>
      </c>
      <c r="G35" s="50" t="s">
        <v>10</v>
      </c>
      <c r="H35" s="38">
        <v>145</v>
      </c>
      <c r="I35" s="38" t="s">
        <v>80</v>
      </c>
      <c r="J35" s="37"/>
      <c r="K35" s="76">
        <v>11443</v>
      </c>
      <c r="L35" s="76">
        <v>9</v>
      </c>
      <c r="M35" s="95" t="s">
        <v>391</v>
      </c>
    </row>
    <row r="36" spans="2:18" ht="16.5" customHeight="1" x14ac:dyDescent="0.25">
      <c r="B36" s="37"/>
      <c r="C36" s="37"/>
      <c r="D36" s="37"/>
      <c r="E36" s="83">
        <v>11059</v>
      </c>
      <c r="F36" s="77" t="s">
        <v>389</v>
      </c>
      <c r="G36" s="50" t="s">
        <v>10</v>
      </c>
      <c r="H36" s="38" t="s">
        <v>390</v>
      </c>
      <c r="I36" s="38" t="s">
        <v>55</v>
      </c>
      <c r="J36" s="37"/>
      <c r="K36" s="76"/>
      <c r="L36" s="76"/>
      <c r="M36" s="91"/>
    </row>
    <row r="37" spans="2:18" ht="16.5" customHeight="1" x14ac:dyDescent="0.25">
      <c r="B37" s="37"/>
      <c r="C37" s="37"/>
      <c r="D37" s="37"/>
      <c r="E37" s="76"/>
      <c r="F37" s="50"/>
      <c r="G37" s="50"/>
      <c r="H37" s="38"/>
      <c r="I37" s="38"/>
      <c r="J37" s="37"/>
      <c r="K37" s="76"/>
      <c r="L37" s="76"/>
      <c r="M37" s="91"/>
    </row>
    <row r="38" spans="2:18" ht="16.5" customHeight="1" x14ac:dyDescent="0.25">
      <c r="B38" s="37"/>
      <c r="C38" s="37"/>
      <c r="D38" s="37"/>
      <c r="E38" s="76"/>
      <c r="F38" s="77"/>
      <c r="G38" s="50"/>
      <c r="H38" s="38"/>
      <c r="I38" s="38"/>
      <c r="J38" s="37"/>
      <c r="K38" s="76"/>
      <c r="L38" s="76"/>
      <c r="M38" s="91"/>
    </row>
    <row r="39" spans="2:18" ht="16.5" customHeight="1" x14ac:dyDescent="0.25">
      <c r="B39" s="37"/>
      <c r="C39" s="37"/>
      <c r="D39" s="37"/>
      <c r="E39" s="76"/>
      <c r="F39" s="50"/>
      <c r="G39" s="50"/>
      <c r="H39" s="38"/>
      <c r="I39" s="38"/>
      <c r="J39" s="37"/>
      <c r="K39" s="76"/>
      <c r="L39" s="76"/>
      <c r="M39" s="91"/>
    </row>
    <row r="40" spans="2:18" ht="16.5" customHeight="1" x14ac:dyDescent="0.25">
      <c r="B40" s="37"/>
      <c r="C40" s="37"/>
      <c r="D40" s="37"/>
      <c r="E40" s="78"/>
      <c r="F40" s="79"/>
      <c r="G40" s="40"/>
      <c r="H40" s="41"/>
      <c r="I40" s="38"/>
      <c r="J40" s="37"/>
      <c r="K40" s="78"/>
      <c r="L40" s="78"/>
      <c r="M40" s="92"/>
      <c r="Q40" s="1" t="s">
        <v>33</v>
      </c>
      <c r="R40" s="1">
        <f>SUM(R6:R21)</f>
        <v>9</v>
      </c>
    </row>
    <row r="41" spans="2:18" ht="16.5" customHeight="1" x14ac:dyDescent="0.25">
      <c r="B41" s="37"/>
      <c r="C41" s="37"/>
      <c r="D41" s="37"/>
      <c r="E41" s="82"/>
      <c r="F41" s="50"/>
      <c r="G41" s="50"/>
      <c r="H41" s="38"/>
      <c r="I41" s="38"/>
      <c r="J41" s="37"/>
      <c r="K41" s="76"/>
      <c r="L41" s="76"/>
      <c r="M41" s="92"/>
    </row>
    <row r="42" spans="2:18" ht="13.5" x14ac:dyDescent="0.25">
      <c r="B42" s="37"/>
      <c r="C42" s="37"/>
      <c r="D42" s="37"/>
      <c r="E42" s="34"/>
      <c r="F42" s="34"/>
      <c r="G42" s="34"/>
      <c r="H42" s="36"/>
      <c r="I42" s="36"/>
      <c r="J42" s="37"/>
      <c r="K42" s="32"/>
      <c r="L42" s="32"/>
      <c r="M42" s="32"/>
    </row>
    <row r="43" spans="2:18" ht="13.5" x14ac:dyDescent="0.25">
      <c r="B43" s="37"/>
      <c r="C43" s="37"/>
      <c r="D43" s="37"/>
      <c r="E43" s="34"/>
      <c r="F43" s="34"/>
      <c r="G43" s="34"/>
      <c r="H43" s="36"/>
      <c r="I43" s="36"/>
      <c r="J43" s="37"/>
      <c r="K43" s="32"/>
      <c r="L43" s="32"/>
      <c r="M43" s="32"/>
    </row>
    <row r="44" spans="2:18" ht="13.5" x14ac:dyDescent="0.25">
      <c r="B44" s="37"/>
      <c r="C44" s="37"/>
      <c r="D44" s="37"/>
      <c r="E44" s="34"/>
      <c r="F44" s="34"/>
      <c r="G44" s="34"/>
      <c r="H44" s="36"/>
      <c r="I44" s="36"/>
      <c r="J44" s="37"/>
      <c r="K44" s="32"/>
      <c r="L44" s="32"/>
      <c r="M44" s="32"/>
    </row>
    <row r="45" spans="2:18" ht="13.5" x14ac:dyDescent="0.25">
      <c r="B45" s="37"/>
      <c r="C45" s="37"/>
      <c r="D45" s="37"/>
      <c r="E45" s="34"/>
      <c r="F45" s="34"/>
      <c r="G45" s="34"/>
      <c r="H45" s="36"/>
      <c r="I45" s="36"/>
      <c r="J45" s="37"/>
      <c r="K45" s="32"/>
      <c r="L45" s="32"/>
      <c r="M45" s="32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6"/>
  <sheetViews>
    <sheetView showGridLines="0" view="pageBreakPreview" zoomScale="90" zoomScaleNormal="90" zoomScaleSheetLayoutView="90" workbookViewId="0">
      <selection activeCell="K31" sqref="K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34.7109375" style="1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'21'!B1+1</f>
        <v>45891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4" t="s">
        <v>0</v>
      </c>
      <c r="C4" s="25">
        <v>0</v>
      </c>
      <c r="D4" s="57"/>
      <c r="E4" s="113" t="s">
        <v>137</v>
      </c>
      <c r="F4" s="113"/>
      <c r="G4" s="113"/>
      <c r="H4" s="113"/>
      <c r="I4" s="113"/>
      <c r="J4" s="29"/>
      <c r="K4" s="107" t="s">
        <v>138</v>
      </c>
      <c r="L4" s="108"/>
      <c r="M4" s="109"/>
    </row>
    <row r="5" spans="2:18" ht="16.5" x14ac:dyDescent="0.3">
      <c r="B5" s="27" t="s">
        <v>1</v>
      </c>
      <c r="C5" s="28">
        <f>SUMIF(I6:I31,"&gt;0",H6:H31)</f>
        <v>4058</v>
      </c>
      <c r="D5" s="29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29"/>
      <c r="K5" s="21" t="s">
        <v>18</v>
      </c>
      <c r="L5" s="22" t="s">
        <v>19</v>
      </c>
      <c r="M5" s="23" t="s">
        <v>20</v>
      </c>
    </row>
    <row r="6" spans="2:18" ht="16.5" x14ac:dyDescent="0.3">
      <c r="B6" s="27" t="s">
        <v>2</v>
      </c>
      <c r="C6" s="28">
        <f>C16</f>
        <v>4114</v>
      </c>
      <c r="D6" s="29"/>
      <c r="E6" s="76">
        <v>11660</v>
      </c>
      <c r="F6" s="77" t="s">
        <v>348</v>
      </c>
      <c r="G6" s="50" t="s">
        <v>7</v>
      </c>
      <c r="H6" s="38">
        <v>140</v>
      </c>
      <c r="I6" s="38">
        <v>140</v>
      </c>
      <c r="J6" s="29"/>
      <c r="K6" s="77" t="s">
        <v>394</v>
      </c>
      <c r="L6" s="91" t="s">
        <v>178</v>
      </c>
      <c r="M6" s="42">
        <v>12</v>
      </c>
      <c r="R6" s="1">
        <f>IF(vend22[[#This Row],[Nº Venda]]&gt;1,1,0)</f>
        <v>1</v>
      </c>
    </row>
    <row r="7" spans="2:18" ht="16.5" x14ac:dyDescent="0.3">
      <c r="B7" s="27" t="s">
        <v>3</v>
      </c>
      <c r="C7" s="28">
        <f>SUM(M6:M11)</f>
        <v>46.97</v>
      </c>
      <c r="D7" s="29"/>
      <c r="E7" s="76">
        <v>11661</v>
      </c>
      <c r="F7" s="77" t="s">
        <v>348</v>
      </c>
      <c r="G7" s="50" t="s">
        <v>8</v>
      </c>
      <c r="H7" s="38">
        <v>189</v>
      </c>
      <c r="I7" s="38">
        <v>189</v>
      </c>
      <c r="J7" s="29"/>
      <c r="K7" s="77" t="s">
        <v>357</v>
      </c>
      <c r="L7" s="91" t="s">
        <v>7</v>
      </c>
      <c r="M7" s="42">
        <v>34.97</v>
      </c>
      <c r="R7" s="1">
        <f>IF(vend22[[#This Row],[Nº Venda]]&gt;1,1,0)</f>
        <v>1</v>
      </c>
    </row>
    <row r="8" spans="2:18" ht="16.5" x14ac:dyDescent="0.3">
      <c r="B8" s="30" t="s">
        <v>21</v>
      </c>
      <c r="C8" s="31">
        <f>SUM(C6:C7)</f>
        <v>4160.97</v>
      </c>
      <c r="D8" s="29"/>
      <c r="E8" s="76">
        <v>11662</v>
      </c>
      <c r="F8" s="77" t="s">
        <v>349</v>
      </c>
      <c r="G8" s="50" t="s">
        <v>46</v>
      </c>
      <c r="H8" s="38">
        <v>799</v>
      </c>
      <c r="I8" s="38">
        <v>0</v>
      </c>
      <c r="J8" s="29"/>
      <c r="K8" s="77"/>
      <c r="L8" s="91"/>
      <c r="M8" s="42"/>
      <c r="R8" s="1">
        <f>IF(vend22[[#This Row],[Nº Venda]]&gt;1,1,0)</f>
        <v>1</v>
      </c>
    </row>
    <row r="9" spans="2:18" ht="16.5" x14ac:dyDescent="0.3">
      <c r="B9" s="26"/>
      <c r="C9" s="26"/>
      <c r="D9" s="29"/>
      <c r="E9" s="76">
        <v>11663</v>
      </c>
      <c r="F9" s="77" t="s">
        <v>350</v>
      </c>
      <c r="G9" s="50" t="s">
        <v>8</v>
      </c>
      <c r="H9" s="38">
        <v>1010</v>
      </c>
      <c r="I9" s="38">
        <v>400</v>
      </c>
      <c r="J9" s="29"/>
      <c r="K9" s="77"/>
      <c r="L9" s="91"/>
      <c r="M9" s="42"/>
      <c r="R9" s="1">
        <f>IF(vend22[[#This Row],[Nº Venda]]&gt;1,1,0)</f>
        <v>1</v>
      </c>
    </row>
    <row r="10" spans="2:18" ht="16.5" x14ac:dyDescent="0.3">
      <c r="B10" s="114" t="s">
        <v>5</v>
      </c>
      <c r="C10" s="115"/>
      <c r="D10" s="29"/>
      <c r="E10" s="76">
        <v>11664</v>
      </c>
      <c r="F10" s="77" t="s">
        <v>350</v>
      </c>
      <c r="G10" s="50" t="s">
        <v>8</v>
      </c>
      <c r="H10" s="38">
        <v>740</v>
      </c>
      <c r="I10" s="38">
        <v>220</v>
      </c>
      <c r="J10" s="29"/>
      <c r="K10" s="77"/>
      <c r="L10" s="91"/>
      <c r="M10" s="42"/>
      <c r="R10" s="1">
        <f>IF(vend22[[#This Row],[Nº Venda]]&gt;1,1,0)</f>
        <v>1</v>
      </c>
    </row>
    <row r="11" spans="2:18" ht="16.5" x14ac:dyDescent="0.3">
      <c r="B11" s="27" t="s">
        <v>6</v>
      </c>
      <c r="C11" s="70">
        <f>(SUMIF($G$2:$G$31,B11,$I$2:$I$31))+(SUMIF($G$35:$G$41,B11,$H$35:$H$41))</f>
        <v>86</v>
      </c>
      <c r="D11" s="29"/>
      <c r="E11" s="76">
        <v>11665</v>
      </c>
      <c r="F11" s="77" t="s">
        <v>351</v>
      </c>
      <c r="G11" s="50" t="s">
        <v>8</v>
      </c>
      <c r="H11" s="38">
        <v>1250</v>
      </c>
      <c r="I11" s="38">
        <v>1250</v>
      </c>
      <c r="J11" s="29"/>
      <c r="K11" s="37"/>
      <c r="L11" s="91"/>
      <c r="M11" s="42"/>
      <c r="O11" s="1">
        <f>IF(C16=0,0,1)</f>
        <v>1</v>
      </c>
      <c r="R11" s="1">
        <f>IF(vend22[[#This Row],[Nº Venda]]&gt;1,1,0)</f>
        <v>1</v>
      </c>
    </row>
    <row r="12" spans="2:18" ht="16.5" x14ac:dyDescent="0.3">
      <c r="B12" s="27" t="s">
        <v>7</v>
      </c>
      <c r="C12" s="70">
        <f>(SUMIF($G$2:$G$31,B12,$I$2:$I$31))+(SUMIF($G$35:$G$41,B12,$H$35:$H$41))</f>
        <v>140</v>
      </c>
      <c r="D12" s="29"/>
      <c r="E12" s="76">
        <v>11666</v>
      </c>
      <c r="F12" s="77" t="s">
        <v>352</v>
      </c>
      <c r="G12" s="50" t="s">
        <v>8</v>
      </c>
      <c r="H12" s="38">
        <v>230</v>
      </c>
      <c r="I12" s="38">
        <v>230</v>
      </c>
      <c r="J12" s="29"/>
      <c r="K12" s="32"/>
      <c r="L12" s="32"/>
      <c r="M12" s="32"/>
      <c r="R12" s="1">
        <f>IF(vend22[[#This Row],[Nº Venda]]&gt;1,1,0)</f>
        <v>1</v>
      </c>
    </row>
    <row r="13" spans="2:18" ht="16.5" x14ac:dyDescent="0.3">
      <c r="B13" s="27" t="s">
        <v>8</v>
      </c>
      <c r="C13" s="70">
        <f>(SUMIF($G$2:$G$31,B13,$I$2:$I$31))+(SUMIF($G$35:$G$41,B13,$H$35:$H$41))</f>
        <v>3538</v>
      </c>
      <c r="D13" s="29"/>
      <c r="E13" s="76">
        <v>11667</v>
      </c>
      <c r="F13" s="77" t="s">
        <v>351</v>
      </c>
      <c r="G13" s="50" t="s">
        <v>46</v>
      </c>
      <c r="H13" s="38">
        <v>0</v>
      </c>
      <c r="I13" s="38">
        <v>0</v>
      </c>
      <c r="J13" s="29"/>
      <c r="K13" s="107" t="s">
        <v>142</v>
      </c>
      <c r="L13" s="108"/>
      <c r="M13" s="109"/>
      <c r="R13" s="1">
        <f>IF(vend22[[#This Row],[Nº Venda]]&gt;1,1,0)</f>
        <v>1</v>
      </c>
    </row>
    <row r="14" spans="2:18" ht="16.5" x14ac:dyDescent="0.3">
      <c r="B14" s="27" t="s">
        <v>9</v>
      </c>
      <c r="C14" s="70">
        <f>(SUMIF($G$2:$G$31,B14,$I$2:$I$31))+(SUMIF($G$35:$G$41,B14,$H$35:$H$41))</f>
        <v>0</v>
      </c>
      <c r="D14" s="29"/>
      <c r="E14" s="76">
        <v>11668</v>
      </c>
      <c r="F14" s="77" t="s">
        <v>353</v>
      </c>
      <c r="G14" s="50" t="s">
        <v>46</v>
      </c>
      <c r="H14" s="38">
        <v>145</v>
      </c>
      <c r="I14" s="38">
        <v>0</v>
      </c>
      <c r="J14" s="29"/>
      <c r="K14" s="21" t="s">
        <v>22</v>
      </c>
      <c r="L14" s="22" t="s">
        <v>23</v>
      </c>
      <c r="M14" s="23" t="s">
        <v>24</v>
      </c>
      <c r="R14" s="1">
        <f>IF(vend22[[#This Row],[Nº Venda]]&gt;1,1,0)</f>
        <v>1</v>
      </c>
    </row>
    <row r="15" spans="2:18" ht="16.5" x14ac:dyDescent="0.3">
      <c r="B15" s="27" t="s">
        <v>10</v>
      </c>
      <c r="C15" s="70">
        <f>(SUMIF($G$2:$G$31,B15,$I$2:$I$31))+(SUMIF($G$35:$G$41,B15,$H$35:$H$41))</f>
        <v>350</v>
      </c>
      <c r="D15" s="29"/>
      <c r="E15" s="76">
        <v>11669</v>
      </c>
      <c r="F15" s="77" t="s">
        <v>348</v>
      </c>
      <c r="G15" s="50" t="s">
        <v>46</v>
      </c>
      <c r="H15" s="38">
        <v>120</v>
      </c>
      <c r="I15" s="38">
        <v>0</v>
      </c>
      <c r="J15" s="29"/>
      <c r="K15" s="76">
        <v>11479</v>
      </c>
      <c r="L15" s="91" t="s">
        <v>131</v>
      </c>
      <c r="M15" s="42" t="s">
        <v>146</v>
      </c>
      <c r="R15" s="1">
        <f>IF(vend22[[#This Row],[Nº Venda]]&gt;1,1,0)</f>
        <v>1</v>
      </c>
    </row>
    <row r="16" spans="2:18" ht="16.5" x14ac:dyDescent="0.3">
      <c r="B16" s="30" t="s">
        <v>11</v>
      </c>
      <c r="C16" s="71">
        <f>SUM(C11:C15)</f>
        <v>4114</v>
      </c>
      <c r="D16" s="29"/>
      <c r="E16" s="76">
        <v>11670</v>
      </c>
      <c r="F16" s="77" t="s">
        <v>354</v>
      </c>
      <c r="G16" s="50" t="s">
        <v>8</v>
      </c>
      <c r="H16" s="38">
        <v>499</v>
      </c>
      <c r="I16" s="38">
        <v>499</v>
      </c>
      <c r="J16" s="29"/>
      <c r="K16" s="76">
        <v>11519</v>
      </c>
      <c r="L16" s="91" t="s">
        <v>129</v>
      </c>
      <c r="M16" s="42" t="s">
        <v>146</v>
      </c>
      <c r="R16" s="1">
        <f>IF(vend22[[#This Row],[Nº Venda]]&gt;1,1,0)</f>
        <v>1</v>
      </c>
    </row>
    <row r="17" spans="2:18" ht="16.5" x14ac:dyDescent="0.3">
      <c r="B17" s="26"/>
      <c r="C17" s="26"/>
      <c r="D17" s="29"/>
      <c r="E17" s="76"/>
      <c r="F17" s="77"/>
      <c r="G17" s="50"/>
      <c r="H17" s="38"/>
      <c r="I17" s="38"/>
      <c r="J17" s="29"/>
      <c r="K17" s="76">
        <v>11521</v>
      </c>
      <c r="L17" s="91" t="s">
        <v>129</v>
      </c>
      <c r="M17" s="42" t="s">
        <v>145</v>
      </c>
      <c r="R17" s="1">
        <f>IF(vend22[[#This Row],[Nº Venda]]&gt;1,1,0)</f>
        <v>0</v>
      </c>
    </row>
    <row r="18" spans="2:18" ht="16.5" x14ac:dyDescent="0.3">
      <c r="B18" s="114" t="s">
        <v>12</v>
      </c>
      <c r="C18" s="115"/>
      <c r="D18" s="29"/>
      <c r="E18" s="76"/>
      <c r="F18" s="77"/>
      <c r="G18" s="50"/>
      <c r="H18" s="38"/>
      <c r="I18" s="38"/>
      <c r="J18" s="29"/>
      <c r="K18" s="76">
        <v>11529</v>
      </c>
      <c r="L18" s="91" t="s">
        <v>131</v>
      </c>
      <c r="M18" s="42" t="s">
        <v>145</v>
      </c>
      <c r="R18" s="1">
        <f>IF(vend22[[#This Row],[Nº Venda]]&gt;1,1,0)</f>
        <v>0</v>
      </c>
    </row>
    <row r="19" spans="2:18" ht="16.5" x14ac:dyDescent="0.3">
      <c r="B19" s="27">
        <f>COUNT(entr_carn22[OS])</f>
        <v>2</v>
      </c>
      <c r="C19" s="70">
        <f>SUM(entr_carn22[Valor Total])</f>
        <v>2339</v>
      </c>
      <c r="D19" s="29"/>
      <c r="E19" s="76"/>
      <c r="F19" s="77"/>
      <c r="G19" s="50"/>
      <c r="H19" s="38"/>
      <c r="I19" s="38"/>
      <c r="J19" s="29"/>
      <c r="K19" s="76">
        <v>11546</v>
      </c>
      <c r="L19" s="91" t="s">
        <v>129</v>
      </c>
      <c r="M19" s="42" t="s">
        <v>145</v>
      </c>
      <c r="R19" s="1">
        <f>IF(vend22[[#This Row],[Nº Venda]]&gt;1,1,0)</f>
        <v>0</v>
      </c>
    </row>
    <row r="20" spans="2:18" ht="16.5" x14ac:dyDescent="0.3">
      <c r="B20" s="30" t="s">
        <v>11</v>
      </c>
      <c r="C20" s="71">
        <f>SUM(C19:C19)</f>
        <v>2339</v>
      </c>
      <c r="D20" s="29"/>
      <c r="E20" s="76"/>
      <c r="F20" s="50"/>
      <c r="G20" s="50"/>
      <c r="H20" s="38"/>
      <c r="I20" s="38"/>
      <c r="J20" s="29"/>
      <c r="K20" s="76">
        <v>11577</v>
      </c>
      <c r="L20" s="91" t="s">
        <v>131</v>
      </c>
      <c r="M20" s="42" t="s">
        <v>145</v>
      </c>
      <c r="R20" s="1">
        <f>IF(vend22[[#This Row],[Nº Venda]]&gt;1,1,0)</f>
        <v>0</v>
      </c>
    </row>
    <row r="21" spans="2:18" ht="16.5" x14ac:dyDescent="0.3">
      <c r="B21" s="26"/>
      <c r="C21" s="26"/>
      <c r="D21" s="29"/>
      <c r="E21" s="76"/>
      <c r="F21" s="77"/>
      <c r="G21" s="50"/>
      <c r="H21" s="38"/>
      <c r="I21" s="38"/>
      <c r="J21" s="29"/>
      <c r="K21" s="76">
        <v>11579</v>
      </c>
      <c r="L21" s="91" t="s">
        <v>131</v>
      </c>
      <c r="M21" s="42" t="s">
        <v>145</v>
      </c>
    </row>
    <row r="22" spans="2:18" ht="16.5" x14ac:dyDescent="0.3">
      <c r="B22" s="30" t="s">
        <v>25</v>
      </c>
      <c r="C22" s="33">
        <f>C5</f>
        <v>4058</v>
      </c>
      <c r="D22" s="29"/>
      <c r="E22" s="78"/>
      <c r="F22" s="77"/>
      <c r="G22" s="50"/>
      <c r="H22" s="38"/>
      <c r="I22" s="38"/>
      <c r="J22" s="29"/>
      <c r="K22" s="76">
        <v>11581</v>
      </c>
      <c r="L22" s="91" t="s">
        <v>131</v>
      </c>
      <c r="M22" s="42" t="s">
        <v>145</v>
      </c>
    </row>
    <row r="23" spans="2:18" ht="16.5" x14ac:dyDescent="0.3">
      <c r="B23" s="29"/>
      <c r="C23" s="29"/>
      <c r="D23" s="29"/>
      <c r="E23" s="34"/>
      <c r="F23" s="34"/>
      <c r="G23" s="34"/>
      <c r="H23" s="35"/>
      <c r="I23" s="36"/>
      <c r="J23" s="29"/>
      <c r="K23" s="76">
        <v>11582</v>
      </c>
      <c r="L23" s="91" t="s">
        <v>131</v>
      </c>
      <c r="M23" s="42" t="s">
        <v>145</v>
      </c>
    </row>
    <row r="24" spans="2:18" ht="16.5" x14ac:dyDescent="0.3">
      <c r="B24" s="29"/>
      <c r="C24" s="29"/>
      <c r="D24" s="29"/>
      <c r="E24" s="105" t="s">
        <v>139</v>
      </c>
      <c r="F24" s="106"/>
      <c r="G24" s="106"/>
      <c r="H24" s="106"/>
      <c r="I24" s="106"/>
      <c r="J24" s="29"/>
      <c r="K24" s="76">
        <v>11604</v>
      </c>
      <c r="L24" s="91" t="s">
        <v>129</v>
      </c>
      <c r="M24" s="42" t="s">
        <v>145</v>
      </c>
    </row>
    <row r="25" spans="2:18" ht="16.5" x14ac:dyDescent="0.3">
      <c r="B25" s="29"/>
      <c r="C25" s="29"/>
      <c r="D25" s="29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29"/>
      <c r="K25" s="76">
        <v>11614</v>
      </c>
      <c r="L25" s="91" t="s">
        <v>129</v>
      </c>
      <c r="M25" s="42" t="s">
        <v>145</v>
      </c>
    </row>
    <row r="26" spans="2:18" ht="16.5" x14ac:dyDescent="0.3">
      <c r="B26" s="29"/>
      <c r="C26" s="29"/>
      <c r="D26" s="29"/>
      <c r="E26" s="76">
        <v>11479</v>
      </c>
      <c r="F26" s="77" t="s">
        <v>393</v>
      </c>
      <c r="G26" s="50" t="s">
        <v>10</v>
      </c>
      <c r="H26" s="38">
        <v>0</v>
      </c>
      <c r="I26" s="38">
        <v>350</v>
      </c>
      <c r="J26" s="29"/>
      <c r="K26" s="76">
        <v>11652</v>
      </c>
      <c r="L26" s="91" t="s">
        <v>129</v>
      </c>
      <c r="M26" s="42" t="s">
        <v>145</v>
      </c>
    </row>
    <row r="27" spans="2:18" ht="16.5" x14ac:dyDescent="0.3">
      <c r="B27" s="29"/>
      <c r="C27" s="29"/>
      <c r="D27" s="29"/>
      <c r="E27" s="76">
        <v>11529</v>
      </c>
      <c r="F27" s="77" t="s">
        <v>355</v>
      </c>
      <c r="G27" s="50" t="s">
        <v>8</v>
      </c>
      <c r="H27" s="38">
        <v>0</v>
      </c>
      <c r="I27" s="38">
        <v>750</v>
      </c>
      <c r="J27" s="29"/>
      <c r="K27" s="76">
        <v>11653</v>
      </c>
      <c r="L27" s="91" t="s">
        <v>131</v>
      </c>
      <c r="M27" s="42" t="s">
        <v>145</v>
      </c>
    </row>
    <row r="28" spans="2:18" ht="16.5" x14ac:dyDescent="0.3">
      <c r="B28" s="29"/>
      <c r="C28" s="29"/>
      <c r="D28" s="29"/>
      <c r="E28" s="76"/>
      <c r="F28" s="77"/>
      <c r="G28" s="50"/>
      <c r="H28" s="38"/>
      <c r="I28" s="38"/>
      <c r="J28" s="29"/>
      <c r="K28" s="76">
        <v>11656</v>
      </c>
      <c r="L28" s="91" t="s">
        <v>131</v>
      </c>
      <c r="M28" s="42" t="s">
        <v>145</v>
      </c>
    </row>
    <row r="29" spans="2:18" ht="16.5" x14ac:dyDescent="0.3">
      <c r="B29" s="29"/>
      <c r="C29" s="29"/>
      <c r="D29" s="29"/>
      <c r="E29" s="76"/>
      <c r="F29" s="77"/>
      <c r="G29" s="50"/>
      <c r="H29" s="38"/>
      <c r="I29" s="38"/>
      <c r="J29" s="29"/>
      <c r="K29" s="76">
        <v>11660</v>
      </c>
      <c r="L29" s="91" t="s">
        <v>131</v>
      </c>
      <c r="M29" s="42" t="s">
        <v>145</v>
      </c>
    </row>
    <row r="30" spans="2:18" ht="16.5" x14ac:dyDescent="0.3">
      <c r="B30" s="29"/>
      <c r="C30" s="29"/>
      <c r="D30" s="29"/>
      <c r="E30" s="76"/>
      <c r="F30" s="50"/>
      <c r="G30" s="50"/>
      <c r="H30" s="38"/>
      <c r="I30" s="38"/>
      <c r="J30" s="29"/>
      <c r="K30" s="76">
        <v>11661</v>
      </c>
      <c r="L30" s="91" t="s">
        <v>131</v>
      </c>
      <c r="M30" s="42" t="s">
        <v>145</v>
      </c>
    </row>
    <row r="31" spans="2:18" ht="16.5" x14ac:dyDescent="0.3">
      <c r="B31" s="29"/>
      <c r="C31" s="29"/>
      <c r="D31" s="29"/>
      <c r="E31" s="78"/>
      <c r="F31" s="79"/>
      <c r="G31" s="40"/>
      <c r="H31" s="41"/>
      <c r="I31" s="41"/>
      <c r="J31" s="29"/>
      <c r="K31" s="78">
        <v>11667</v>
      </c>
      <c r="L31" s="92" t="s">
        <v>131</v>
      </c>
      <c r="M31" s="94" t="s">
        <v>145</v>
      </c>
    </row>
    <row r="32" spans="2:18" ht="16.5" x14ac:dyDescent="0.3">
      <c r="B32" s="29"/>
      <c r="C32" s="29"/>
      <c r="D32" s="29"/>
      <c r="E32" s="97"/>
      <c r="F32" s="37"/>
      <c r="G32" s="34"/>
      <c r="H32" s="36"/>
      <c r="I32" s="36"/>
      <c r="J32" s="29"/>
      <c r="K32" s="97"/>
      <c r="L32" s="96"/>
      <c r="M32" s="96"/>
    </row>
    <row r="33" spans="2:18" ht="16.5" x14ac:dyDescent="0.3">
      <c r="B33" s="29"/>
      <c r="C33" s="29"/>
      <c r="D33" s="37"/>
      <c r="E33" s="105" t="s">
        <v>140</v>
      </c>
      <c r="F33" s="106"/>
      <c r="G33" s="106"/>
      <c r="H33" s="106"/>
      <c r="I33" s="106"/>
      <c r="J33" s="37"/>
      <c r="K33" s="117" t="s">
        <v>141</v>
      </c>
      <c r="L33" s="118"/>
      <c r="M33" s="119"/>
    </row>
    <row r="34" spans="2:18" ht="16.5" x14ac:dyDescent="0.3">
      <c r="B34" s="29"/>
      <c r="C34" s="29"/>
      <c r="D34" s="37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7"/>
      <c r="K34" s="22" t="s">
        <v>22</v>
      </c>
      <c r="L34" s="21" t="s">
        <v>28</v>
      </c>
      <c r="M34" s="22" t="s">
        <v>29</v>
      </c>
    </row>
    <row r="35" spans="2:18" ht="13.5" x14ac:dyDescent="0.25">
      <c r="B35" s="37"/>
      <c r="C35" s="37"/>
      <c r="D35" s="37"/>
      <c r="E35" s="76">
        <v>11040</v>
      </c>
      <c r="F35" s="77" t="s">
        <v>356</v>
      </c>
      <c r="G35" s="50" t="s">
        <v>6</v>
      </c>
      <c r="H35" s="38">
        <v>86</v>
      </c>
      <c r="I35" s="38" t="s">
        <v>79</v>
      </c>
      <c r="J35" s="37"/>
      <c r="K35" s="76">
        <v>11479</v>
      </c>
      <c r="L35" s="76">
        <v>8</v>
      </c>
      <c r="M35" s="91">
        <v>2100</v>
      </c>
    </row>
    <row r="36" spans="2:18" ht="16.5" customHeight="1" x14ac:dyDescent="0.25">
      <c r="B36" s="37"/>
      <c r="C36" s="37"/>
      <c r="D36" s="37"/>
      <c r="E36" s="83"/>
      <c r="F36" s="77"/>
      <c r="G36" s="50"/>
      <c r="H36" s="38"/>
      <c r="I36" s="38"/>
      <c r="J36" s="37"/>
      <c r="K36" s="76">
        <v>11519</v>
      </c>
      <c r="L36" s="76">
        <v>4</v>
      </c>
      <c r="M36" s="91">
        <v>239</v>
      </c>
    </row>
    <row r="37" spans="2:18" ht="16.5" customHeight="1" x14ac:dyDescent="0.25">
      <c r="B37" s="37"/>
      <c r="C37" s="37"/>
      <c r="D37" s="37"/>
      <c r="E37" s="76"/>
      <c r="F37" s="77"/>
      <c r="G37" s="50"/>
      <c r="H37" s="38"/>
      <c r="I37" s="38"/>
      <c r="J37" s="37"/>
      <c r="K37" s="76"/>
      <c r="L37" s="76"/>
      <c r="M37" s="91"/>
    </row>
    <row r="38" spans="2:18" ht="16.5" customHeight="1" x14ac:dyDescent="0.25">
      <c r="B38" s="37"/>
      <c r="C38" s="37"/>
      <c r="D38" s="37"/>
      <c r="E38" s="76"/>
      <c r="F38" s="77"/>
      <c r="G38" s="50"/>
      <c r="H38" s="38"/>
      <c r="I38" s="38"/>
      <c r="J38" s="37"/>
      <c r="K38" s="76"/>
      <c r="L38" s="76"/>
      <c r="M38" s="91"/>
    </row>
    <row r="39" spans="2:18" ht="16.5" customHeight="1" x14ac:dyDescent="0.25">
      <c r="B39" s="37"/>
      <c r="C39" s="37"/>
      <c r="D39" s="37"/>
      <c r="E39" s="76"/>
      <c r="F39" s="50"/>
      <c r="G39" s="50"/>
      <c r="H39" s="38"/>
      <c r="I39" s="38"/>
      <c r="J39" s="37"/>
      <c r="K39" s="76"/>
      <c r="L39" s="76"/>
      <c r="M39" s="91"/>
    </row>
    <row r="40" spans="2:18" ht="16.5" customHeight="1" x14ac:dyDescent="0.25">
      <c r="B40" s="37"/>
      <c r="C40" s="37"/>
      <c r="D40" s="37"/>
      <c r="E40" s="78"/>
      <c r="F40" s="79"/>
      <c r="G40" s="40"/>
      <c r="H40" s="41"/>
      <c r="I40" s="38"/>
      <c r="J40" s="37"/>
      <c r="K40" s="78"/>
      <c r="L40" s="78"/>
      <c r="M40" s="92"/>
    </row>
    <row r="41" spans="2:18" ht="16.5" customHeight="1" x14ac:dyDescent="0.25">
      <c r="B41" s="37"/>
      <c r="C41" s="37"/>
      <c r="D41" s="37"/>
      <c r="E41" s="82"/>
      <c r="F41" s="50"/>
      <c r="G41" s="50"/>
      <c r="H41" s="38"/>
      <c r="I41" s="38"/>
      <c r="J41" s="37"/>
      <c r="K41" s="76"/>
      <c r="L41" s="76"/>
      <c r="M41" s="92"/>
      <c r="Q41" s="1" t="s">
        <v>33</v>
      </c>
      <c r="R41" s="1">
        <f>SUM(R6:R21)</f>
        <v>11</v>
      </c>
    </row>
    <row r="42" spans="2:18" ht="16.5" customHeight="1" x14ac:dyDescent="0.25">
      <c r="B42" s="37"/>
      <c r="C42" s="37"/>
      <c r="D42" s="37"/>
      <c r="E42" s="34"/>
      <c r="F42" s="34"/>
      <c r="G42" s="34"/>
      <c r="H42" s="36"/>
      <c r="I42" s="36"/>
      <c r="J42" s="37"/>
      <c r="K42" s="32"/>
      <c r="L42" s="32"/>
      <c r="M42" s="32"/>
    </row>
    <row r="43" spans="2:18" ht="13.5" x14ac:dyDescent="0.25">
      <c r="B43" s="37"/>
      <c r="C43" s="37"/>
      <c r="D43" s="37"/>
      <c r="E43" s="34"/>
      <c r="F43" s="34"/>
      <c r="G43" s="34"/>
      <c r="H43" s="36"/>
      <c r="I43" s="36"/>
      <c r="J43" s="37"/>
      <c r="K43" s="32"/>
      <c r="L43" s="32"/>
      <c r="M43" s="32"/>
    </row>
    <row r="44" spans="2:18" ht="13.5" x14ac:dyDescent="0.25">
      <c r="B44" s="37"/>
      <c r="C44" s="37"/>
      <c r="D44" s="37"/>
      <c r="E44" s="34"/>
      <c r="F44" s="34"/>
      <c r="G44" s="34"/>
      <c r="H44" s="36"/>
      <c r="I44" s="36"/>
      <c r="J44" s="37"/>
      <c r="K44" s="32"/>
      <c r="L44" s="32"/>
      <c r="M44" s="32"/>
    </row>
    <row r="45" spans="2:18" ht="13.5" x14ac:dyDescent="0.25">
      <c r="B45" s="37"/>
      <c r="C45" s="37"/>
      <c r="D45" s="37"/>
      <c r="E45" s="34"/>
      <c r="F45" s="34"/>
      <c r="G45" s="34"/>
      <c r="H45" s="36"/>
      <c r="I45" s="36"/>
      <c r="J45" s="37"/>
      <c r="K45" s="32"/>
      <c r="L45" s="32"/>
      <c r="M45" s="32"/>
    </row>
    <row r="46" spans="2:18" ht="13.5" x14ac:dyDescent="0.25">
      <c r="B46" s="37"/>
      <c r="C46" s="37"/>
      <c r="D46" s="37"/>
      <c r="J46" s="37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2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G26:G32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L15:L32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E26:E32 E35:E41 K35:K41 K15:K32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2"/>
  <sheetViews>
    <sheetView showGridLines="0" view="pageBreakPreview" topLeftCell="A4" zoomScale="87" zoomScaleNormal="90" zoomScaleSheetLayoutView="87" workbookViewId="0">
      <selection activeCell="E27" sqref="E2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34.7109375" style="1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'22'!B1+1</f>
        <v>45892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4" t="s">
        <v>0</v>
      </c>
      <c r="C4" s="25">
        <v>0</v>
      </c>
      <c r="D4" s="57"/>
      <c r="E4" s="113" t="s">
        <v>137</v>
      </c>
      <c r="F4" s="113"/>
      <c r="G4" s="113"/>
      <c r="H4" s="113"/>
      <c r="I4" s="113"/>
      <c r="J4" s="29"/>
      <c r="K4" s="107" t="s">
        <v>138</v>
      </c>
      <c r="L4" s="108"/>
      <c r="M4" s="109"/>
    </row>
    <row r="5" spans="2:18" ht="16.5" x14ac:dyDescent="0.3">
      <c r="B5" s="27" t="s">
        <v>1</v>
      </c>
      <c r="C5" s="28">
        <f>SUMIF(I6:I31,"&gt;0",H6:H31)</f>
        <v>5187</v>
      </c>
      <c r="D5" s="29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29"/>
      <c r="K5" s="21" t="s">
        <v>18</v>
      </c>
      <c r="L5" s="22" t="s">
        <v>19</v>
      </c>
      <c r="M5" s="23" t="s">
        <v>20</v>
      </c>
    </row>
    <row r="6" spans="2:18" ht="16.5" x14ac:dyDescent="0.3">
      <c r="B6" s="27" t="s">
        <v>2</v>
      </c>
      <c r="C6" s="28">
        <f>C16</f>
        <v>6302</v>
      </c>
      <c r="D6" s="29"/>
      <c r="E6" s="76">
        <v>11640</v>
      </c>
      <c r="F6" s="77" t="s">
        <v>364</v>
      </c>
      <c r="G6" s="50" t="s">
        <v>46</v>
      </c>
      <c r="H6" s="38">
        <v>20</v>
      </c>
      <c r="I6" s="38">
        <v>0</v>
      </c>
      <c r="J6" s="29"/>
      <c r="K6" s="77"/>
      <c r="L6" s="91"/>
      <c r="M6" s="42"/>
      <c r="R6" s="1">
        <f>IF(vend23[[#This Row],[Nº Venda]]&gt;1,1,0)</f>
        <v>1</v>
      </c>
    </row>
    <row r="7" spans="2:18" ht="16.5" x14ac:dyDescent="0.3">
      <c r="B7" s="27" t="s">
        <v>3</v>
      </c>
      <c r="C7" s="28">
        <f>SUM(M6:M11)</f>
        <v>0</v>
      </c>
      <c r="D7" s="29"/>
      <c r="E7" s="76">
        <v>11671</v>
      </c>
      <c r="F7" s="77" t="s">
        <v>365</v>
      </c>
      <c r="G7" s="50" t="s">
        <v>10</v>
      </c>
      <c r="H7" s="38">
        <v>650</v>
      </c>
      <c r="I7" s="38">
        <v>75</v>
      </c>
      <c r="J7" s="29"/>
      <c r="K7" s="77"/>
      <c r="L7" s="91"/>
      <c r="M7" s="42"/>
      <c r="R7" s="1">
        <f>IF(vend23[[#This Row],[Nº Venda]]&gt;1,1,0)</f>
        <v>1</v>
      </c>
    </row>
    <row r="8" spans="2:18" ht="16.5" x14ac:dyDescent="0.3">
      <c r="B8" s="30" t="s">
        <v>21</v>
      </c>
      <c r="C8" s="31">
        <f>SUM(C6:C7)</f>
        <v>6302</v>
      </c>
      <c r="D8" s="29"/>
      <c r="E8" s="76">
        <v>11672</v>
      </c>
      <c r="F8" s="77" t="s">
        <v>365</v>
      </c>
      <c r="G8" s="50" t="s">
        <v>10</v>
      </c>
      <c r="H8" s="38">
        <v>650</v>
      </c>
      <c r="I8" s="38">
        <v>75</v>
      </c>
      <c r="J8" s="29"/>
      <c r="K8" s="77"/>
      <c r="L8" s="91"/>
      <c r="M8" s="42"/>
      <c r="R8" s="1">
        <f>IF(vend23[[#This Row],[Nº Venda]]&gt;1,1,0)</f>
        <v>1</v>
      </c>
    </row>
    <row r="9" spans="2:18" ht="16.5" x14ac:dyDescent="0.3">
      <c r="B9" s="26"/>
      <c r="C9" s="26"/>
      <c r="D9" s="29"/>
      <c r="E9" s="76">
        <v>11673</v>
      </c>
      <c r="F9" s="77" t="s">
        <v>360</v>
      </c>
      <c r="G9" s="50" t="s">
        <v>8</v>
      </c>
      <c r="H9" s="38">
        <v>399</v>
      </c>
      <c r="I9" s="38">
        <v>399</v>
      </c>
      <c r="J9" s="29"/>
      <c r="K9" s="77"/>
      <c r="L9" s="91"/>
      <c r="M9" s="42"/>
      <c r="R9" s="1">
        <f>IF(vend23[[#This Row],[Nº Venda]]&gt;1,1,0)</f>
        <v>1</v>
      </c>
    </row>
    <row r="10" spans="2:18" ht="16.5" x14ac:dyDescent="0.3">
      <c r="B10" s="114" t="s">
        <v>5</v>
      </c>
      <c r="C10" s="115"/>
      <c r="D10" s="29"/>
      <c r="E10" s="76">
        <v>11674</v>
      </c>
      <c r="F10" s="77" t="s">
        <v>360</v>
      </c>
      <c r="G10" s="50" t="s">
        <v>8</v>
      </c>
      <c r="H10" s="38">
        <v>400</v>
      </c>
      <c r="I10" s="38">
        <v>400</v>
      </c>
      <c r="J10" s="29"/>
      <c r="K10" s="77"/>
      <c r="L10" s="91"/>
      <c r="M10" s="42"/>
      <c r="R10" s="1">
        <f>IF(vend23[[#This Row],[Nº Venda]]&gt;1,1,0)</f>
        <v>1</v>
      </c>
    </row>
    <row r="11" spans="2:18" ht="16.5" x14ac:dyDescent="0.3">
      <c r="B11" s="27" t="s">
        <v>6</v>
      </c>
      <c r="C11" s="72">
        <f>(SUMIF($G$2:$G$31,B11,$I$2:$I$31))+(SUMIF($G$35:$G$41,B11,$H$35:$H$41))</f>
        <v>0</v>
      </c>
      <c r="D11" s="29"/>
      <c r="E11" s="76">
        <v>11675</v>
      </c>
      <c r="F11" s="77" t="s">
        <v>363</v>
      </c>
      <c r="G11" s="50" t="s">
        <v>8</v>
      </c>
      <c r="H11" s="38">
        <v>390</v>
      </c>
      <c r="I11" s="38">
        <v>390</v>
      </c>
      <c r="J11" s="29"/>
      <c r="K11" s="37"/>
      <c r="L11" s="91"/>
      <c r="M11" s="42"/>
      <c r="O11" s="1">
        <f>IF(C16=0,0,1)</f>
        <v>1</v>
      </c>
      <c r="R11" s="1">
        <f>IF(vend23[[#This Row],[Nº Venda]]&gt;1,1,0)</f>
        <v>1</v>
      </c>
    </row>
    <row r="12" spans="2:18" ht="16.5" x14ac:dyDescent="0.3">
      <c r="B12" s="27" t="s">
        <v>7</v>
      </c>
      <c r="C12" s="72">
        <f>(SUMIF($G$2:$G$31,B12,$I$2:$I$31))+(SUMIF($G$35:$G$41,B12,$H$35:$H$41))</f>
        <v>0</v>
      </c>
      <c r="D12" s="29"/>
      <c r="E12" s="76">
        <v>11676</v>
      </c>
      <c r="F12" s="77" t="s">
        <v>361</v>
      </c>
      <c r="G12" s="50" t="s">
        <v>8</v>
      </c>
      <c r="H12" s="38">
        <v>799</v>
      </c>
      <c r="I12" s="38">
        <v>799</v>
      </c>
      <c r="J12" s="29"/>
      <c r="K12" s="32"/>
      <c r="L12" s="32"/>
      <c r="M12" s="32"/>
      <c r="R12" s="1">
        <f>IF(vend23[[#This Row],[Nº Venda]]&gt;1,1,0)</f>
        <v>1</v>
      </c>
    </row>
    <row r="13" spans="2:18" ht="16.5" x14ac:dyDescent="0.3">
      <c r="B13" s="27" t="s">
        <v>8</v>
      </c>
      <c r="C13" s="72">
        <f>(SUMIF($G$2:$G$31,B13,$I$2:$I$31))+(SUMIF($G$35:$G$41,B13,$H$35:$H$41))</f>
        <v>6152</v>
      </c>
      <c r="D13" s="29"/>
      <c r="E13" s="76">
        <v>11677</v>
      </c>
      <c r="F13" s="77" t="s">
        <v>358</v>
      </c>
      <c r="G13" s="50" t="s">
        <v>8</v>
      </c>
      <c r="H13" s="38">
        <v>550</v>
      </c>
      <c r="I13" s="38">
        <v>550</v>
      </c>
      <c r="J13" s="29"/>
      <c r="K13" s="107" t="s">
        <v>142</v>
      </c>
      <c r="L13" s="108"/>
      <c r="M13" s="109"/>
      <c r="R13" s="1">
        <f>IF(vend23[[#This Row],[Nº Venda]]&gt;1,1,0)</f>
        <v>1</v>
      </c>
    </row>
    <row r="14" spans="2:18" ht="16.5" x14ac:dyDescent="0.3">
      <c r="B14" s="27" t="s">
        <v>9</v>
      </c>
      <c r="C14" s="72">
        <f>(SUMIF($G$2:$G$31,B14,$I$2:$I$31))+(SUMIF($G$35:$G$41,B14,$H$35:$H$41))</f>
        <v>0</v>
      </c>
      <c r="D14" s="29"/>
      <c r="E14" s="76">
        <v>11678</v>
      </c>
      <c r="F14" s="77" t="s">
        <v>358</v>
      </c>
      <c r="G14" s="50" t="s">
        <v>8</v>
      </c>
      <c r="H14" s="38">
        <v>550</v>
      </c>
      <c r="I14" s="38">
        <v>550</v>
      </c>
      <c r="J14" s="29"/>
      <c r="K14" s="21" t="s">
        <v>22</v>
      </c>
      <c r="L14" s="22" t="s">
        <v>23</v>
      </c>
      <c r="M14" s="23" t="s">
        <v>24</v>
      </c>
      <c r="R14" s="1">
        <f>IF(vend23[[#This Row],[Nº Venda]]&gt;1,1,0)</f>
        <v>1</v>
      </c>
    </row>
    <row r="15" spans="2:18" ht="16.5" x14ac:dyDescent="0.3">
      <c r="B15" s="27" t="s">
        <v>10</v>
      </c>
      <c r="C15" s="72">
        <f>(SUMIF($G$2:$G$31,B15,$I$2:$I$31))+(SUMIF($G$35:$G$41,B15,$H$35:$H$41))</f>
        <v>150</v>
      </c>
      <c r="D15" s="29"/>
      <c r="E15" s="76"/>
      <c r="F15" s="77"/>
      <c r="G15" s="50"/>
      <c r="H15" s="38"/>
      <c r="I15" s="38"/>
      <c r="J15" s="29"/>
      <c r="K15" s="76">
        <v>11451</v>
      </c>
      <c r="L15" s="91" t="s">
        <v>129</v>
      </c>
      <c r="M15" s="42" t="s">
        <v>145</v>
      </c>
      <c r="R15" s="1">
        <f>IF(vend23[[#This Row],[Nº Venda]]&gt;1,1,0)</f>
        <v>0</v>
      </c>
    </row>
    <row r="16" spans="2:18" ht="16.5" x14ac:dyDescent="0.3">
      <c r="B16" s="30" t="s">
        <v>11</v>
      </c>
      <c r="C16" s="71">
        <f>SUM(C11:C15)</f>
        <v>6302</v>
      </c>
      <c r="D16" s="29"/>
      <c r="E16" s="76"/>
      <c r="F16" s="77"/>
      <c r="G16" s="50"/>
      <c r="H16" s="38"/>
      <c r="I16" s="38"/>
      <c r="J16" s="29"/>
      <c r="K16" s="76">
        <v>11557</v>
      </c>
      <c r="L16" s="91" t="s">
        <v>129</v>
      </c>
      <c r="M16" s="42" t="s">
        <v>145</v>
      </c>
      <c r="R16" s="1">
        <f>IF(vend23[[#This Row],[Nº Venda]]&gt;1,1,0)</f>
        <v>0</v>
      </c>
    </row>
    <row r="17" spans="2:18" ht="16.5" x14ac:dyDescent="0.3">
      <c r="B17" s="26"/>
      <c r="C17" s="26"/>
      <c r="D17" s="29"/>
      <c r="E17" s="76"/>
      <c r="F17" s="77"/>
      <c r="G17" s="50"/>
      <c r="H17" s="38"/>
      <c r="I17" s="38"/>
      <c r="J17" s="29"/>
      <c r="K17" s="76">
        <v>11572</v>
      </c>
      <c r="L17" s="91" t="s">
        <v>129</v>
      </c>
      <c r="M17" s="42" t="s">
        <v>145</v>
      </c>
      <c r="R17" s="1">
        <f>IF(vend23[[#This Row],[Nº Venda]]&gt;1,1,0)</f>
        <v>0</v>
      </c>
    </row>
    <row r="18" spans="2:18" ht="16.5" x14ac:dyDescent="0.3">
      <c r="B18" s="114" t="s">
        <v>12</v>
      </c>
      <c r="C18" s="115"/>
      <c r="D18" s="29"/>
      <c r="E18" s="76"/>
      <c r="F18" s="77"/>
      <c r="G18" s="50"/>
      <c r="H18" s="38"/>
      <c r="I18" s="38"/>
      <c r="J18" s="29"/>
      <c r="K18" s="76">
        <v>11580</v>
      </c>
      <c r="L18" s="91" t="s">
        <v>131</v>
      </c>
      <c r="M18" s="42" t="s">
        <v>145</v>
      </c>
      <c r="R18" s="1">
        <f>IF(vend23[[#This Row],[Nº Venda]]&gt;1,1,0)</f>
        <v>0</v>
      </c>
    </row>
    <row r="19" spans="2:18" ht="16.5" x14ac:dyDescent="0.3">
      <c r="B19" s="27">
        <f>COUNT(entr_carn23[OS])</f>
        <v>0</v>
      </c>
      <c r="C19" s="70">
        <f>SUM(entr_carn23[Valor Total])</f>
        <v>0</v>
      </c>
      <c r="D19" s="29"/>
      <c r="E19" s="76"/>
      <c r="F19" s="77"/>
      <c r="G19" s="50"/>
      <c r="H19" s="38"/>
      <c r="I19" s="38"/>
      <c r="J19" s="29"/>
      <c r="K19" s="76">
        <v>11668</v>
      </c>
      <c r="L19" s="91" t="s">
        <v>131</v>
      </c>
      <c r="M19" s="42" t="s">
        <v>145</v>
      </c>
      <c r="R19" s="1">
        <f>IF(vend23[[#This Row],[Nº Venda]]&gt;1,1,0)</f>
        <v>0</v>
      </c>
    </row>
    <row r="20" spans="2:18" ht="16.5" x14ac:dyDescent="0.3">
      <c r="B20" s="30" t="s">
        <v>11</v>
      </c>
      <c r="C20" s="71">
        <f>SUM(C19:C19)</f>
        <v>0</v>
      </c>
      <c r="D20" s="29"/>
      <c r="E20" s="76"/>
      <c r="F20" s="50"/>
      <c r="G20" s="50"/>
      <c r="H20" s="38"/>
      <c r="I20" s="38"/>
      <c r="J20" s="29"/>
      <c r="K20" s="76">
        <v>11669</v>
      </c>
      <c r="L20" s="91" t="s">
        <v>131</v>
      </c>
      <c r="M20" s="42" t="s">
        <v>145</v>
      </c>
      <c r="R20" s="1">
        <f>IF(vend23[[#This Row],[Nº Venda]]&gt;1,1,0)</f>
        <v>0</v>
      </c>
    </row>
    <row r="21" spans="2:18" ht="16.5" x14ac:dyDescent="0.3">
      <c r="B21" s="26"/>
      <c r="C21" s="26"/>
      <c r="D21" s="29"/>
      <c r="E21" s="76"/>
      <c r="F21" s="77"/>
      <c r="G21" s="50"/>
      <c r="H21" s="38"/>
      <c r="I21" s="38"/>
      <c r="J21" s="29"/>
      <c r="K21" s="76"/>
      <c r="L21" s="91"/>
      <c r="M21" s="42"/>
    </row>
    <row r="22" spans="2:18" ht="16.5" x14ac:dyDescent="0.3">
      <c r="B22" s="30" t="s">
        <v>25</v>
      </c>
      <c r="C22" s="33">
        <f>C5</f>
        <v>5187</v>
      </c>
      <c r="D22" s="29"/>
      <c r="E22" s="78"/>
      <c r="F22" s="77"/>
      <c r="G22" s="50"/>
      <c r="H22" s="38"/>
      <c r="I22" s="38"/>
      <c r="J22" s="29"/>
      <c r="K22" s="76"/>
      <c r="L22" s="91"/>
      <c r="M22" s="42"/>
    </row>
    <row r="23" spans="2:18" ht="16.5" x14ac:dyDescent="0.3">
      <c r="B23" s="29"/>
      <c r="C23" s="29"/>
      <c r="D23" s="29"/>
      <c r="E23" s="34"/>
      <c r="F23" s="34"/>
      <c r="G23" s="34"/>
      <c r="H23" s="35"/>
      <c r="I23" s="36"/>
      <c r="J23" s="29"/>
      <c r="K23" s="76"/>
      <c r="L23" s="91"/>
      <c r="M23" s="42"/>
    </row>
    <row r="24" spans="2:18" ht="16.5" x14ac:dyDescent="0.3">
      <c r="B24" s="29"/>
      <c r="C24" s="29"/>
      <c r="D24" s="29"/>
      <c r="E24" s="105" t="s">
        <v>139</v>
      </c>
      <c r="F24" s="106"/>
      <c r="G24" s="106"/>
      <c r="H24" s="106"/>
      <c r="I24" s="106"/>
      <c r="J24" s="29"/>
      <c r="K24" s="76"/>
      <c r="L24" s="91"/>
      <c r="M24" s="42"/>
    </row>
    <row r="25" spans="2:18" ht="16.5" x14ac:dyDescent="0.3">
      <c r="B25" s="29"/>
      <c r="C25" s="29"/>
      <c r="D25" s="29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29"/>
      <c r="K25" s="76"/>
      <c r="L25" s="91"/>
      <c r="M25" s="42"/>
    </row>
    <row r="26" spans="2:18" ht="16.5" x14ac:dyDescent="0.3">
      <c r="B26" s="29"/>
      <c r="C26" s="29"/>
      <c r="D26" s="29"/>
      <c r="E26" s="76">
        <v>11662</v>
      </c>
      <c r="F26" s="77" t="s">
        <v>359</v>
      </c>
      <c r="G26" s="50" t="s">
        <v>8</v>
      </c>
      <c r="H26" s="38">
        <v>799</v>
      </c>
      <c r="I26" s="38">
        <v>799</v>
      </c>
      <c r="J26" s="29"/>
      <c r="K26" s="76"/>
      <c r="L26" s="91"/>
      <c r="M26" s="42"/>
    </row>
    <row r="27" spans="2:18" ht="16.5" x14ac:dyDescent="0.3">
      <c r="B27" s="29"/>
      <c r="C27" s="29"/>
      <c r="D27" s="29"/>
      <c r="E27" s="76">
        <v>11557</v>
      </c>
      <c r="F27" s="77" t="s">
        <v>231</v>
      </c>
      <c r="G27" s="50" t="s">
        <v>8</v>
      </c>
      <c r="H27" s="38"/>
      <c r="I27" s="38">
        <v>1100</v>
      </c>
      <c r="J27" s="29"/>
      <c r="K27" s="76"/>
      <c r="L27" s="91"/>
      <c r="M27" s="42"/>
    </row>
    <row r="28" spans="2:18" ht="16.5" x14ac:dyDescent="0.3">
      <c r="B28" s="29"/>
      <c r="C28" s="29"/>
      <c r="D28" s="29"/>
      <c r="E28" s="76">
        <v>11668</v>
      </c>
      <c r="F28" s="77" t="s">
        <v>362</v>
      </c>
      <c r="G28" s="50" t="s">
        <v>8</v>
      </c>
      <c r="H28" s="38"/>
      <c r="I28" s="38">
        <v>145</v>
      </c>
      <c r="J28" s="29"/>
      <c r="K28" s="76"/>
      <c r="L28" s="91"/>
      <c r="M28" s="42"/>
    </row>
    <row r="29" spans="2:18" ht="16.5" x14ac:dyDescent="0.3">
      <c r="B29" s="29"/>
      <c r="C29" s="29"/>
      <c r="D29" s="29"/>
      <c r="E29" s="76">
        <v>11554</v>
      </c>
      <c r="F29" s="77" t="s">
        <v>231</v>
      </c>
      <c r="G29" s="50" t="s">
        <v>8</v>
      </c>
      <c r="H29" s="38"/>
      <c r="I29" s="38">
        <v>800</v>
      </c>
      <c r="J29" s="29"/>
      <c r="K29" s="76"/>
      <c r="L29" s="91"/>
      <c r="M29" s="42"/>
    </row>
    <row r="30" spans="2:18" ht="16.5" x14ac:dyDescent="0.3">
      <c r="B30" s="29"/>
      <c r="C30" s="29"/>
      <c r="D30" s="29"/>
      <c r="E30" s="76">
        <v>11556</v>
      </c>
      <c r="F30" s="50" t="s">
        <v>231</v>
      </c>
      <c r="G30" s="50" t="s">
        <v>8</v>
      </c>
      <c r="H30" s="38"/>
      <c r="I30" s="38">
        <v>100</v>
      </c>
      <c r="J30" s="29"/>
      <c r="K30" s="76"/>
      <c r="L30" s="91"/>
      <c r="M30" s="42"/>
    </row>
    <row r="31" spans="2:18" ht="16.5" x14ac:dyDescent="0.3">
      <c r="B31" s="29"/>
      <c r="C31" s="29"/>
      <c r="D31" s="29"/>
      <c r="E31" s="78">
        <v>11669</v>
      </c>
      <c r="F31" s="79" t="s">
        <v>362</v>
      </c>
      <c r="G31" s="40" t="s">
        <v>8</v>
      </c>
      <c r="H31" s="41"/>
      <c r="I31" s="41">
        <v>120</v>
      </c>
      <c r="J31" s="29"/>
      <c r="K31" s="76"/>
      <c r="L31" s="91"/>
      <c r="M31" s="42"/>
    </row>
    <row r="32" spans="2:18" ht="16.5" x14ac:dyDescent="0.3">
      <c r="B32" s="29"/>
      <c r="C32" s="29"/>
      <c r="D32" s="37"/>
      <c r="E32" s="90">
        <v>11627</v>
      </c>
      <c r="F32" s="40" t="s">
        <v>311</v>
      </c>
      <c r="G32" s="40" t="s">
        <v>8</v>
      </c>
      <c r="H32" s="41"/>
      <c r="I32" s="41">
        <v>340</v>
      </c>
      <c r="J32" s="37"/>
      <c r="K32" s="32"/>
      <c r="L32" s="32"/>
      <c r="M32" s="32"/>
    </row>
    <row r="33" spans="2:18" ht="16.5" x14ac:dyDescent="0.3">
      <c r="B33" s="29"/>
      <c r="C33" s="29"/>
      <c r="D33" s="37"/>
      <c r="E33" s="105" t="s">
        <v>140</v>
      </c>
      <c r="F33" s="106"/>
      <c r="G33" s="106"/>
      <c r="H33" s="106"/>
      <c r="I33" s="106"/>
      <c r="J33" s="37"/>
      <c r="K33" s="107" t="s">
        <v>141</v>
      </c>
      <c r="L33" s="108"/>
      <c r="M33" s="109"/>
    </row>
    <row r="34" spans="2:18" ht="16.5" x14ac:dyDescent="0.3">
      <c r="B34" s="37"/>
      <c r="C34" s="37"/>
      <c r="D34" s="37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7"/>
      <c r="K34" s="22" t="s">
        <v>22</v>
      </c>
      <c r="L34" s="21" t="s">
        <v>28</v>
      </c>
      <c r="M34" s="22" t="s">
        <v>29</v>
      </c>
    </row>
    <row r="35" spans="2:18" ht="16.5" customHeight="1" x14ac:dyDescent="0.25">
      <c r="B35" s="37"/>
      <c r="C35" s="37"/>
      <c r="D35" s="37"/>
      <c r="E35" s="76"/>
      <c r="F35" s="77"/>
      <c r="G35" s="50"/>
      <c r="H35" s="38"/>
      <c r="I35" s="38"/>
      <c r="J35" s="37"/>
      <c r="K35" s="76"/>
      <c r="L35" s="76"/>
      <c r="M35" s="91"/>
    </row>
    <row r="36" spans="2:18" ht="16.5" customHeight="1" x14ac:dyDescent="0.25">
      <c r="B36" s="37"/>
      <c r="C36" s="37"/>
      <c r="D36" s="37"/>
      <c r="E36" s="83"/>
      <c r="F36" s="77"/>
      <c r="G36" s="50"/>
      <c r="H36" s="38"/>
      <c r="I36" s="38"/>
      <c r="J36" s="37"/>
      <c r="K36" s="76"/>
      <c r="L36" s="76"/>
      <c r="M36" s="91"/>
    </row>
    <row r="37" spans="2:18" ht="16.5" customHeight="1" x14ac:dyDescent="0.25">
      <c r="B37" s="37"/>
      <c r="C37" s="37"/>
      <c r="D37" s="37"/>
      <c r="E37" s="76"/>
      <c r="F37" s="77"/>
      <c r="G37" s="50"/>
      <c r="H37" s="38"/>
      <c r="I37" s="38"/>
      <c r="J37" s="37"/>
      <c r="K37" s="76"/>
      <c r="L37" s="76"/>
      <c r="M37" s="91"/>
    </row>
    <row r="38" spans="2:18" ht="16.5" customHeight="1" x14ac:dyDescent="0.25">
      <c r="B38" s="37"/>
      <c r="C38" s="37"/>
      <c r="D38" s="37"/>
      <c r="E38" s="76"/>
      <c r="F38" s="77"/>
      <c r="G38" s="50"/>
      <c r="H38" s="38"/>
      <c r="I38" s="38"/>
      <c r="J38" s="37"/>
      <c r="K38" s="76"/>
      <c r="L38" s="76"/>
      <c r="M38" s="91"/>
    </row>
    <row r="39" spans="2:18" ht="16.5" customHeight="1" x14ac:dyDescent="0.25">
      <c r="B39" s="37"/>
      <c r="C39" s="37"/>
      <c r="D39" s="37"/>
      <c r="E39" s="76"/>
      <c r="F39" s="50"/>
      <c r="G39" s="50"/>
      <c r="H39" s="38"/>
      <c r="I39" s="38"/>
      <c r="J39" s="37"/>
      <c r="K39" s="76"/>
      <c r="L39" s="76"/>
      <c r="M39" s="91"/>
    </row>
    <row r="40" spans="2:18" ht="16.5" customHeight="1" x14ac:dyDescent="0.25">
      <c r="B40" s="37"/>
      <c r="C40" s="37"/>
      <c r="D40" s="37"/>
      <c r="E40" s="78"/>
      <c r="F40" s="79"/>
      <c r="G40" s="40"/>
      <c r="H40" s="41"/>
      <c r="I40" s="38"/>
      <c r="J40" s="37"/>
      <c r="K40" s="78"/>
      <c r="L40" s="78"/>
      <c r="M40" s="92"/>
      <c r="Q40" s="1" t="s">
        <v>33</v>
      </c>
      <c r="R40" s="1">
        <f>SUM(R6:R21)</f>
        <v>9</v>
      </c>
    </row>
    <row r="41" spans="2:18" ht="16.5" customHeight="1" x14ac:dyDescent="0.25">
      <c r="B41" s="37"/>
      <c r="C41" s="37"/>
      <c r="D41" s="37"/>
      <c r="E41" s="84"/>
      <c r="F41" s="50"/>
      <c r="G41" s="50"/>
      <c r="H41" s="38"/>
      <c r="I41" s="38"/>
      <c r="J41" s="37"/>
      <c r="K41" s="76"/>
      <c r="L41" s="76"/>
      <c r="M41" s="92"/>
    </row>
    <row r="42" spans="2:18" ht="13.5" x14ac:dyDescent="0.25">
      <c r="B42" s="37"/>
      <c r="C42" s="37"/>
      <c r="D42" s="37"/>
      <c r="E42" s="34"/>
      <c r="F42" s="34"/>
      <c r="G42" s="34"/>
      <c r="H42" s="36"/>
      <c r="I42" s="36"/>
      <c r="J42" s="37"/>
      <c r="K42" s="32"/>
      <c r="L42" s="32"/>
      <c r="M42" s="32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G26:G32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E26:E32 E35:E41 K35:K41 K15:K31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5"/>
  <sheetViews>
    <sheetView showGridLines="0" view="pageBreakPreview" zoomScale="77" zoomScaleNormal="90" zoomScaleSheetLayoutView="77" workbookViewId="0">
      <selection activeCell="L1" sqref="L1:M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34.7109375" style="1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'23'!B1+1</f>
        <v>45893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4" t="s">
        <v>0</v>
      </c>
      <c r="C4" s="25">
        <v>0</v>
      </c>
      <c r="D4" s="57"/>
      <c r="E4" s="113" t="s">
        <v>137</v>
      </c>
      <c r="F4" s="113"/>
      <c r="G4" s="113"/>
      <c r="H4" s="113"/>
      <c r="I4" s="113"/>
      <c r="J4" s="29"/>
      <c r="K4" s="107" t="s">
        <v>138</v>
      </c>
      <c r="L4" s="108"/>
      <c r="M4" s="109"/>
    </row>
    <row r="5" spans="2:18" ht="16.5" x14ac:dyDescent="0.3">
      <c r="B5" s="27" t="s">
        <v>1</v>
      </c>
      <c r="C5" s="28">
        <f>SUMIF(I6:I31,"&gt;0",H6:H31)</f>
        <v>0</v>
      </c>
      <c r="D5" s="29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29"/>
      <c r="K5" s="21" t="s">
        <v>18</v>
      </c>
      <c r="L5" s="22" t="s">
        <v>19</v>
      </c>
      <c r="M5" s="23" t="s">
        <v>20</v>
      </c>
    </row>
    <row r="6" spans="2:18" ht="16.5" x14ac:dyDescent="0.3">
      <c r="B6" s="27" t="s">
        <v>2</v>
      </c>
      <c r="C6" s="28">
        <f>C16</f>
        <v>0</v>
      </c>
      <c r="D6" s="29"/>
      <c r="E6" s="76"/>
      <c r="F6" s="77"/>
      <c r="G6" s="50"/>
      <c r="H6" s="38"/>
      <c r="I6" s="38"/>
      <c r="J6" s="29"/>
      <c r="K6" s="77"/>
      <c r="L6" s="91"/>
      <c r="M6" s="42"/>
      <c r="R6" s="1">
        <f>IF(vend24[[#This Row],[Nº Venda]]&gt;1,1,0)</f>
        <v>0</v>
      </c>
    </row>
    <row r="7" spans="2:18" ht="16.5" x14ac:dyDescent="0.3">
      <c r="B7" s="27" t="s">
        <v>3</v>
      </c>
      <c r="C7" s="28">
        <f>SUM(M6:M11)</f>
        <v>0</v>
      </c>
      <c r="D7" s="29"/>
      <c r="E7" s="76"/>
      <c r="F7" s="77"/>
      <c r="G7" s="50"/>
      <c r="H7" s="38"/>
      <c r="I7" s="38"/>
      <c r="J7" s="29"/>
      <c r="K7" s="77"/>
      <c r="L7" s="91"/>
      <c r="M7" s="42"/>
      <c r="R7" s="1">
        <f>IF(vend24[[#This Row],[Nº Venda]]&gt;1,1,0)</f>
        <v>0</v>
      </c>
    </row>
    <row r="8" spans="2:18" ht="16.5" x14ac:dyDescent="0.3">
      <c r="B8" s="30" t="s">
        <v>21</v>
      </c>
      <c r="C8" s="31">
        <f>SUM(C6:C7)</f>
        <v>0</v>
      </c>
      <c r="D8" s="29"/>
      <c r="E8" s="76"/>
      <c r="F8" s="77"/>
      <c r="G8" s="50"/>
      <c r="H8" s="38"/>
      <c r="I8" s="38"/>
      <c r="J8" s="29"/>
      <c r="K8" s="77"/>
      <c r="L8" s="91"/>
      <c r="M8" s="42"/>
      <c r="R8" s="1">
        <f>IF(vend24[[#This Row],[Nº Venda]]&gt;1,1,0)</f>
        <v>0</v>
      </c>
    </row>
    <row r="9" spans="2:18" ht="16.5" x14ac:dyDescent="0.3">
      <c r="B9" s="26"/>
      <c r="C9" s="26"/>
      <c r="D9" s="29"/>
      <c r="E9" s="76"/>
      <c r="F9" s="77"/>
      <c r="G9" s="50"/>
      <c r="H9" s="38"/>
      <c r="I9" s="38"/>
      <c r="J9" s="29"/>
      <c r="K9" s="77"/>
      <c r="L9" s="91"/>
      <c r="M9" s="42"/>
      <c r="R9" s="1">
        <f>IF(vend24[[#This Row],[Nº Venda]]&gt;1,1,0)</f>
        <v>0</v>
      </c>
    </row>
    <row r="10" spans="2:18" ht="16.5" x14ac:dyDescent="0.3">
      <c r="B10" s="114" t="s">
        <v>5</v>
      </c>
      <c r="C10" s="115"/>
      <c r="D10" s="29"/>
      <c r="E10" s="76"/>
      <c r="F10" s="77"/>
      <c r="G10" s="50"/>
      <c r="H10" s="38"/>
      <c r="I10" s="38"/>
      <c r="J10" s="29"/>
      <c r="K10" s="77"/>
      <c r="L10" s="91"/>
      <c r="M10" s="42"/>
      <c r="R10" s="1">
        <f>IF(vend24[[#This Row],[Nº Venda]]&gt;1,1,0)</f>
        <v>0</v>
      </c>
    </row>
    <row r="11" spans="2:18" ht="16.5" x14ac:dyDescent="0.3">
      <c r="B11" s="27" t="s">
        <v>6</v>
      </c>
      <c r="C11" s="70">
        <f>(SUMIF($G$2:$G$31,B11,$I$2:$I$31))+(SUMIF($G$35:$G$41,B11,$H$35:$H$41))</f>
        <v>0</v>
      </c>
      <c r="D11" s="29"/>
      <c r="E11" s="76"/>
      <c r="F11" s="77"/>
      <c r="G11" s="50"/>
      <c r="H11" s="38"/>
      <c r="I11" s="38"/>
      <c r="J11" s="29"/>
      <c r="K11" s="37"/>
      <c r="L11" s="91"/>
      <c r="M11" s="42"/>
      <c r="O11" s="1">
        <f>IF(C16=0,0,1)</f>
        <v>0</v>
      </c>
      <c r="R11" s="1">
        <f>IF(vend24[[#This Row],[Nº Venda]]&gt;1,1,0)</f>
        <v>0</v>
      </c>
    </row>
    <row r="12" spans="2:18" ht="16.5" x14ac:dyDescent="0.3">
      <c r="B12" s="27" t="s">
        <v>7</v>
      </c>
      <c r="C12" s="70">
        <f t="shared" ref="C12:C15" si="0">(SUMIF($G$2:$G$31,B12,$I$2:$I$31))+(SUMIF($G$35:$G$41,B12,$H$35:$H$41))</f>
        <v>0</v>
      </c>
      <c r="D12" s="29"/>
      <c r="E12" s="76"/>
      <c r="F12" s="77"/>
      <c r="G12" s="50"/>
      <c r="H12" s="38"/>
      <c r="I12" s="38"/>
      <c r="J12" s="29"/>
      <c r="K12" s="32"/>
      <c r="L12" s="32"/>
      <c r="M12" s="32"/>
      <c r="R12" s="1">
        <f>IF(vend24[[#This Row],[Nº Venda]]&gt;1,1,0)</f>
        <v>0</v>
      </c>
    </row>
    <row r="13" spans="2:18" ht="16.5" x14ac:dyDescent="0.3">
      <c r="B13" s="27" t="s">
        <v>8</v>
      </c>
      <c r="C13" s="70">
        <f t="shared" si="0"/>
        <v>0</v>
      </c>
      <c r="D13" s="29"/>
      <c r="E13" s="76"/>
      <c r="F13" s="77"/>
      <c r="G13" s="50"/>
      <c r="H13" s="38"/>
      <c r="I13" s="38"/>
      <c r="J13" s="29"/>
      <c r="K13" s="107" t="s">
        <v>142</v>
      </c>
      <c r="L13" s="108"/>
      <c r="M13" s="109"/>
      <c r="R13" s="1">
        <f>IF(vend24[[#This Row],[Nº Venda]]&gt;1,1,0)</f>
        <v>0</v>
      </c>
    </row>
    <row r="14" spans="2:18" ht="16.5" x14ac:dyDescent="0.3">
      <c r="B14" s="27" t="s">
        <v>9</v>
      </c>
      <c r="C14" s="70">
        <f t="shared" si="0"/>
        <v>0</v>
      </c>
      <c r="D14" s="29"/>
      <c r="E14" s="76"/>
      <c r="F14" s="77"/>
      <c r="G14" s="50"/>
      <c r="H14" s="38"/>
      <c r="I14" s="38"/>
      <c r="J14" s="29"/>
      <c r="K14" s="21" t="s">
        <v>22</v>
      </c>
      <c r="L14" s="22" t="s">
        <v>23</v>
      </c>
      <c r="M14" s="23" t="s">
        <v>24</v>
      </c>
      <c r="R14" s="1">
        <f>IF(vend24[[#This Row],[Nº Venda]]&gt;1,1,0)</f>
        <v>0</v>
      </c>
    </row>
    <row r="15" spans="2:18" ht="16.5" x14ac:dyDescent="0.3">
      <c r="B15" s="27" t="s">
        <v>10</v>
      </c>
      <c r="C15" s="70">
        <f t="shared" si="0"/>
        <v>0</v>
      </c>
      <c r="D15" s="29"/>
      <c r="E15" s="76"/>
      <c r="F15" s="77"/>
      <c r="G15" s="50"/>
      <c r="H15" s="38"/>
      <c r="I15" s="38"/>
      <c r="J15" s="29"/>
      <c r="K15" s="76"/>
      <c r="L15" s="91"/>
      <c r="M15" s="42"/>
      <c r="R15" s="1">
        <f>IF(vend24[[#This Row],[Nº Venda]]&gt;1,1,0)</f>
        <v>0</v>
      </c>
    </row>
    <row r="16" spans="2:18" ht="16.5" x14ac:dyDescent="0.3">
      <c r="B16" s="30" t="s">
        <v>11</v>
      </c>
      <c r="C16" s="71">
        <f>SUM(C11:C15)</f>
        <v>0</v>
      </c>
      <c r="D16" s="29"/>
      <c r="E16" s="76"/>
      <c r="F16" s="77"/>
      <c r="G16" s="50"/>
      <c r="H16" s="38"/>
      <c r="I16" s="38"/>
      <c r="J16" s="29"/>
      <c r="K16" s="76"/>
      <c r="L16" s="91"/>
      <c r="M16" s="42"/>
      <c r="R16" s="1">
        <f>IF(vend24[[#This Row],[Nº Venda]]&gt;1,1,0)</f>
        <v>0</v>
      </c>
    </row>
    <row r="17" spans="2:18" ht="16.5" x14ac:dyDescent="0.3">
      <c r="B17" s="26"/>
      <c r="C17" s="26"/>
      <c r="D17" s="29"/>
      <c r="E17" s="76"/>
      <c r="F17" s="77"/>
      <c r="G17" s="50"/>
      <c r="H17" s="38"/>
      <c r="I17" s="38"/>
      <c r="J17" s="29"/>
      <c r="K17" s="76"/>
      <c r="L17" s="91"/>
      <c r="M17" s="42"/>
      <c r="R17" s="1">
        <f>IF(vend24[[#This Row],[Nº Venda]]&gt;1,1,0)</f>
        <v>0</v>
      </c>
    </row>
    <row r="18" spans="2:18" ht="16.5" x14ac:dyDescent="0.3">
      <c r="B18" s="114" t="s">
        <v>12</v>
      </c>
      <c r="C18" s="115"/>
      <c r="D18" s="29"/>
      <c r="E18" s="76"/>
      <c r="F18" s="77"/>
      <c r="G18" s="50"/>
      <c r="H18" s="38"/>
      <c r="I18" s="38"/>
      <c r="J18" s="29"/>
      <c r="K18" s="76"/>
      <c r="L18" s="91"/>
      <c r="M18" s="42"/>
      <c r="R18" s="1">
        <f>IF(vend24[[#This Row],[Nº Venda]]&gt;1,1,0)</f>
        <v>0</v>
      </c>
    </row>
    <row r="19" spans="2:18" ht="16.5" x14ac:dyDescent="0.3">
      <c r="B19" s="27">
        <f>COUNT(entr_carn24[OS])</f>
        <v>0</v>
      </c>
      <c r="C19" s="70">
        <f>SUM(entr_carn24[Valor Total])</f>
        <v>0</v>
      </c>
      <c r="D19" s="29"/>
      <c r="E19" s="76"/>
      <c r="F19" s="77"/>
      <c r="G19" s="50"/>
      <c r="H19" s="38"/>
      <c r="I19" s="38"/>
      <c r="J19" s="29"/>
      <c r="K19" s="76"/>
      <c r="L19" s="91"/>
      <c r="M19" s="42"/>
      <c r="R19" s="1">
        <f>IF(vend24[[#This Row],[Nº Venda]]&gt;1,1,0)</f>
        <v>0</v>
      </c>
    </row>
    <row r="20" spans="2:18" ht="16.5" x14ac:dyDescent="0.3">
      <c r="B20" s="30" t="s">
        <v>11</v>
      </c>
      <c r="C20" s="71">
        <f>SUM(C19:C19)</f>
        <v>0</v>
      </c>
      <c r="D20" s="29"/>
      <c r="E20" s="76"/>
      <c r="F20" s="50"/>
      <c r="G20" s="50"/>
      <c r="H20" s="38"/>
      <c r="I20" s="38"/>
      <c r="J20" s="29"/>
      <c r="K20" s="76"/>
      <c r="L20" s="91"/>
      <c r="M20" s="42"/>
      <c r="R20" s="1">
        <f>IF(vend24[[#This Row],[Nº Venda]]&gt;1,1,0)</f>
        <v>0</v>
      </c>
    </row>
    <row r="21" spans="2:18" ht="16.5" x14ac:dyDescent="0.3">
      <c r="B21" s="26"/>
      <c r="C21" s="26"/>
      <c r="D21" s="29"/>
      <c r="E21" s="76"/>
      <c r="F21" s="77"/>
      <c r="G21" s="50"/>
      <c r="H21" s="38"/>
      <c r="I21" s="38"/>
      <c r="J21" s="29"/>
      <c r="K21" s="76"/>
      <c r="L21" s="91"/>
      <c r="M21" s="42"/>
    </row>
    <row r="22" spans="2:18" ht="16.5" x14ac:dyDescent="0.3">
      <c r="B22" s="30" t="s">
        <v>25</v>
      </c>
      <c r="C22" s="33">
        <f>C5</f>
        <v>0</v>
      </c>
      <c r="D22" s="29"/>
      <c r="E22" s="78"/>
      <c r="F22" s="77"/>
      <c r="G22" s="50"/>
      <c r="H22" s="38"/>
      <c r="I22" s="38"/>
      <c r="J22" s="29"/>
      <c r="K22" s="76"/>
      <c r="L22" s="91"/>
      <c r="M22" s="42"/>
    </row>
    <row r="23" spans="2:18" ht="16.5" x14ac:dyDescent="0.3">
      <c r="B23" s="29"/>
      <c r="C23" s="29"/>
      <c r="D23" s="29"/>
      <c r="E23" s="34"/>
      <c r="F23" s="34"/>
      <c r="G23" s="34"/>
      <c r="H23" s="35"/>
      <c r="I23" s="36"/>
      <c r="J23" s="29"/>
      <c r="K23" s="76"/>
      <c r="L23" s="91"/>
      <c r="M23" s="42"/>
    </row>
    <row r="24" spans="2:18" ht="16.5" x14ac:dyDescent="0.3">
      <c r="B24" s="29"/>
      <c r="C24" s="29"/>
      <c r="D24" s="29"/>
      <c r="E24" s="105" t="s">
        <v>139</v>
      </c>
      <c r="F24" s="106"/>
      <c r="G24" s="106"/>
      <c r="H24" s="106"/>
      <c r="I24" s="106"/>
      <c r="J24" s="29"/>
      <c r="K24" s="76"/>
      <c r="L24" s="91"/>
      <c r="M24" s="42"/>
    </row>
    <row r="25" spans="2:18" ht="16.5" x14ac:dyDescent="0.3">
      <c r="B25" s="29"/>
      <c r="C25" s="29"/>
      <c r="D25" s="29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29"/>
      <c r="K25" s="76"/>
      <c r="L25" s="91"/>
      <c r="M25" s="42"/>
    </row>
    <row r="26" spans="2:18" ht="16.5" x14ac:dyDescent="0.3">
      <c r="B26" s="29"/>
      <c r="C26" s="29"/>
      <c r="D26" s="29"/>
      <c r="E26" s="76"/>
      <c r="F26" s="77"/>
      <c r="G26" s="50"/>
      <c r="H26" s="38"/>
      <c r="I26" s="38"/>
      <c r="J26" s="29"/>
      <c r="K26" s="76"/>
      <c r="L26" s="91"/>
      <c r="M26" s="42"/>
    </row>
    <row r="27" spans="2:18" ht="16.5" x14ac:dyDescent="0.3">
      <c r="B27" s="29"/>
      <c r="C27" s="29"/>
      <c r="D27" s="29"/>
      <c r="E27" s="76"/>
      <c r="F27" s="77"/>
      <c r="G27" s="50"/>
      <c r="H27" s="38"/>
      <c r="I27" s="38"/>
      <c r="J27" s="29"/>
      <c r="K27" s="76"/>
      <c r="L27" s="91"/>
      <c r="M27" s="42"/>
    </row>
    <row r="28" spans="2:18" ht="16.5" x14ac:dyDescent="0.3">
      <c r="B28" s="29"/>
      <c r="C28" s="29"/>
      <c r="D28" s="29"/>
      <c r="E28" s="76"/>
      <c r="F28" s="77"/>
      <c r="G28" s="50"/>
      <c r="H28" s="38"/>
      <c r="I28" s="38"/>
      <c r="J28" s="29"/>
      <c r="K28" s="76"/>
      <c r="L28" s="91"/>
      <c r="M28" s="42"/>
    </row>
    <row r="29" spans="2:18" ht="16.5" x14ac:dyDescent="0.3">
      <c r="B29" s="29"/>
      <c r="C29" s="29"/>
      <c r="D29" s="29"/>
      <c r="E29" s="76"/>
      <c r="F29" s="77"/>
      <c r="G29" s="50"/>
      <c r="H29" s="38"/>
      <c r="I29" s="38"/>
      <c r="J29" s="29"/>
      <c r="K29" s="76"/>
      <c r="L29" s="91"/>
      <c r="M29" s="42"/>
    </row>
    <row r="30" spans="2:18" ht="16.5" x14ac:dyDescent="0.3">
      <c r="B30" s="29"/>
      <c r="C30" s="29"/>
      <c r="D30" s="29"/>
      <c r="E30" s="76"/>
      <c r="F30" s="50"/>
      <c r="G30" s="50"/>
      <c r="H30" s="38"/>
      <c r="I30" s="38"/>
      <c r="J30" s="29"/>
      <c r="K30" s="76"/>
      <c r="L30" s="91"/>
      <c r="M30" s="42"/>
    </row>
    <row r="31" spans="2:18" ht="16.5" x14ac:dyDescent="0.3">
      <c r="B31" s="29"/>
      <c r="C31" s="29"/>
      <c r="D31" s="29"/>
      <c r="E31" s="78"/>
      <c r="F31" s="79"/>
      <c r="G31" s="40"/>
      <c r="H31" s="41"/>
      <c r="I31" s="41"/>
      <c r="J31" s="29"/>
      <c r="K31" s="76"/>
      <c r="L31" s="91"/>
      <c r="M31" s="42"/>
    </row>
    <row r="32" spans="2:18" ht="16.5" x14ac:dyDescent="0.3">
      <c r="B32" s="29"/>
      <c r="C32" s="29"/>
      <c r="D32" s="37"/>
      <c r="E32" s="34"/>
      <c r="F32" s="34"/>
      <c r="G32" s="34"/>
      <c r="H32" s="36"/>
      <c r="I32" s="36"/>
      <c r="J32" s="37"/>
      <c r="K32" s="32"/>
      <c r="L32" s="32"/>
      <c r="M32" s="32"/>
    </row>
    <row r="33" spans="2:18" ht="16.5" x14ac:dyDescent="0.3">
      <c r="B33" s="29"/>
      <c r="C33" s="29"/>
      <c r="D33" s="37"/>
      <c r="E33" s="105" t="s">
        <v>140</v>
      </c>
      <c r="F33" s="106"/>
      <c r="G33" s="106"/>
      <c r="H33" s="106"/>
      <c r="I33" s="106"/>
      <c r="J33" s="37"/>
      <c r="K33" s="107" t="s">
        <v>141</v>
      </c>
      <c r="L33" s="108"/>
      <c r="M33" s="109"/>
    </row>
    <row r="34" spans="2:18" ht="16.5" x14ac:dyDescent="0.3">
      <c r="B34" s="37"/>
      <c r="C34" s="37"/>
      <c r="D34" s="37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7"/>
      <c r="K34" s="22" t="s">
        <v>22</v>
      </c>
      <c r="L34" s="21" t="s">
        <v>28</v>
      </c>
      <c r="M34" s="22" t="s">
        <v>29</v>
      </c>
    </row>
    <row r="35" spans="2:18" ht="16.5" customHeight="1" x14ac:dyDescent="0.25">
      <c r="B35" s="37"/>
      <c r="C35" s="37"/>
      <c r="D35" s="37"/>
      <c r="E35" s="76"/>
      <c r="F35" s="77"/>
      <c r="G35" s="50"/>
      <c r="H35" s="38"/>
      <c r="I35" s="38"/>
      <c r="J35" s="37"/>
      <c r="K35" s="76"/>
      <c r="L35" s="76"/>
      <c r="M35" s="91"/>
    </row>
    <row r="36" spans="2:18" ht="16.5" customHeight="1" x14ac:dyDescent="0.25">
      <c r="B36" s="37"/>
      <c r="C36" s="37"/>
      <c r="D36" s="37"/>
      <c r="E36" s="83"/>
      <c r="F36" s="77"/>
      <c r="G36" s="50"/>
      <c r="H36" s="38"/>
      <c r="I36" s="38"/>
      <c r="J36" s="37"/>
      <c r="K36" s="76"/>
      <c r="L36" s="76"/>
      <c r="M36" s="91"/>
    </row>
    <row r="37" spans="2:18" ht="16.5" customHeight="1" x14ac:dyDescent="0.25">
      <c r="B37" s="37"/>
      <c r="C37" s="37"/>
      <c r="D37" s="37"/>
      <c r="E37" s="76"/>
      <c r="F37" s="77"/>
      <c r="G37" s="50"/>
      <c r="H37" s="38"/>
      <c r="I37" s="38"/>
      <c r="J37" s="37"/>
      <c r="K37" s="76"/>
      <c r="L37" s="76"/>
      <c r="M37" s="91"/>
    </row>
    <row r="38" spans="2:18" ht="16.5" customHeight="1" x14ac:dyDescent="0.25">
      <c r="B38" s="37"/>
      <c r="C38" s="37"/>
      <c r="D38" s="37"/>
      <c r="E38" s="76"/>
      <c r="F38" s="77"/>
      <c r="G38" s="50"/>
      <c r="H38" s="38"/>
      <c r="I38" s="38"/>
      <c r="J38" s="37"/>
      <c r="K38" s="76"/>
      <c r="L38" s="76"/>
      <c r="M38" s="91"/>
    </row>
    <row r="39" spans="2:18" ht="16.5" customHeight="1" x14ac:dyDescent="0.25">
      <c r="B39" s="37"/>
      <c r="C39" s="37"/>
      <c r="D39" s="37"/>
      <c r="E39" s="76"/>
      <c r="F39" s="50"/>
      <c r="G39" s="50"/>
      <c r="H39" s="38"/>
      <c r="I39" s="38"/>
      <c r="J39" s="37"/>
      <c r="K39" s="76"/>
      <c r="L39" s="76"/>
      <c r="M39" s="91"/>
    </row>
    <row r="40" spans="2:18" ht="16.5" customHeight="1" x14ac:dyDescent="0.25">
      <c r="B40" s="37"/>
      <c r="C40" s="37"/>
      <c r="D40" s="37"/>
      <c r="E40" s="78"/>
      <c r="F40" s="79"/>
      <c r="G40" s="40"/>
      <c r="H40" s="41"/>
      <c r="I40" s="38"/>
      <c r="J40" s="37"/>
      <c r="K40" s="78"/>
      <c r="L40" s="78"/>
      <c r="M40" s="92"/>
      <c r="Q40" s="1" t="s">
        <v>33</v>
      </c>
      <c r="R40" s="1">
        <f>SUM(R6:R21)</f>
        <v>0</v>
      </c>
    </row>
    <row r="41" spans="2:18" ht="16.5" customHeight="1" x14ac:dyDescent="0.25">
      <c r="B41" s="37"/>
      <c r="C41" s="37"/>
      <c r="D41" s="37"/>
      <c r="E41" s="82"/>
      <c r="F41" s="50"/>
      <c r="G41" s="50"/>
      <c r="H41" s="38"/>
      <c r="I41" s="38"/>
      <c r="J41" s="37"/>
      <c r="K41" s="76"/>
      <c r="L41" s="76"/>
      <c r="M41" s="92"/>
    </row>
    <row r="42" spans="2:18" ht="13.5" x14ac:dyDescent="0.25">
      <c r="B42" s="37"/>
      <c r="C42" s="37"/>
      <c r="D42" s="37"/>
      <c r="E42" s="34"/>
      <c r="F42" s="34"/>
      <c r="G42" s="34"/>
      <c r="H42" s="36"/>
      <c r="I42" s="36"/>
      <c r="J42" s="37"/>
      <c r="K42" s="32"/>
      <c r="L42" s="32"/>
      <c r="M42" s="32"/>
    </row>
    <row r="43" spans="2:18" ht="13.5" x14ac:dyDescent="0.25">
      <c r="B43" s="37"/>
      <c r="C43" s="37"/>
      <c r="D43" s="37"/>
      <c r="E43" s="34"/>
      <c r="F43" s="34"/>
      <c r="G43" s="34"/>
      <c r="H43" s="36"/>
      <c r="I43" s="36"/>
      <c r="J43" s="37"/>
      <c r="K43" s="32"/>
      <c r="L43" s="32"/>
      <c r="M43" s="32"/>
    </row>
    <row r="44" spans="2:18" ht="13.5" x14ac:dyDescent="0.25">
      <c r="B44" s="37"/>
      <c r="C44" s="37"/>
      <c r="D44" s="37"/>
      <c r="E44" s="34"/>
      <c r="F44" s="34"/>
      <c r="G44" s="34"/>
      <c r="H44" s="36"/>
      <c r="I44" s="36"/>
      <c r="J44" s="37"/>
      <c r="K44" s="32"/>
      <c r="L44" s="32"/>
      <c r="M44" s="32"/>
    </row>
    <row r="45" spans="2:18" ht="13.5" x14ac:dyDescent="0.25">
      <c r="B45" s="37"/>
      <c r="C45" s="37"/>
      <c r="D45" s="37"/>
      <c r="E45" s="34"/>
      <c r="F45" s="34"/>
      <c r="G45" s="34"/>
      <c r="H45" s="36"/>
      <c r="I45" s="36"/>
      <c r="J45" s="37"/>
      <c r="K45" s="32"/>
      <c r="L45" s="32"/>
      <c r="M45" s="32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5"/>
  <sheetViews>
    <sheetView showGridLines="0" view="pageBreakPreview" topLeftCell="B11" zoomScale="87" zoomScaleNormal="90" zoomScaleSheetLayoutView="87" workbookViewId="0">
      <selection activeCell="K35" sqref="K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34.7109375" style="1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'24'!B1+1</f>
        <v>45894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4" t="s">
        <v>0</v>
      </c>
      <c r="C4" s="25">
        <v>0</v>
      </c>
      <c r="D4" s="57"/>
      <c r="E4" s="113" t="s">
        <v>137</v>
      </c>
      <c r="F4" s="113"/>
      <c r="G4" s="113"/>
      <c r="H4" s="113"/>
      <c r="I4" s="113"/>
      <c r="J4" s="29"/>
      <c r="K4" s="107" t="s">
        <v>138</v>
      </c>
      <c r="L4" s="108"/>
      <c r="M4" s="109"/>
    </row>
    <row r="5" spans="2:18" ht="16.5" x14ac:dyDescent="0.3">
      <c r="B5" s="27" t="s">
        <v>1</v>
      </c>
      <c r="C5" s="28">
        <f>SUMIF(I6:I31,"&gt;0",H6:H31)</f>
        <v>3657</v>
      </c>
      <c r="D5" s="29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29"/>
      <c r="K5" s="21" t="s">
        <v>18</v>
      </c>
      <c r="L5" s="22" t="s">
        <v>19</v>
      </c>
      <c r="M5" s="23" t="s">
        <v>20</v>
      </c>
    </row>
    <row r="6" spans="2:18" ht="16.5" x14ac:dyDescent="0.3">
      <c r="B6" s="27" t="s">
        <v>2</v>
      </c>
      <c r="C6" s="28">
        <f ca="1">C16</f>
        <v>4227</v>
      </c>
      <c r="D6" s="29"/>
      <c r="E6" s="76">
        <v>11679</v>
      </c>
      <c r="F6" s="77" t="s">
        <v>370</v>
      </c>
      <c r="G6" s="50" t="s">
        <v>46</v>
      </c>
      <c r="H6" s="38">
        <v>45</v>
      </c>
      <c r="I6" s="38">
        <v>0</v>
      </c>
      <c r="J6" s="29"/>
      <c r="K6" s="77" t="s">
        <v>373</v>
      </c>
      <c r="L6" s="91" t="s">
        <v>10</v>
      </c>
      <c r="M6" s="42">
        <v>3.67</v>
      </c>
      <c r="R6" s="1">
        <f>IF(vend25[[#This Row],[Nº Venda]]&gt;1,1,0)</f>
        <v>1</v>
      </c>
    </row>
    <row r="7" spans="2:18" ht="16.5" x14ac:dyDescent="0.3">
      <c r="B7" s="27" t="s">
        <v>3</v>
      </c>
      <c r="C7" s="28">
        <f>SUM(M6:M11)</f>
        <v>696.14</v>
      </c>
      <c r="D7" s="29"/>
      <c r="E7" s="76">
        <v>11680</v>
      </c>
      <c r="F7" s="77" t="s">
        <v>369</v>
      </c>
      <c r="G7" s="50" t="s">
        <v>7</v>
      </c>
      <c r="H7" s="38">
        <v>49</v>
      </c>
      <c r="I7" s="38">
        <v>49</v>
      </c>
      <c r="J7" s="29"/>
      <c r="K7" s="77" t="s">
        <v>374</v>
      </c>
      <c r="L7" s="91" t="s">
        <v>6</v>
      </c>
      <c r="M7" s="42">
        <v>22.47</v>
      </c>
      <c r="R7" s="1">
        <f>IF(vend25[[#This Row],[Nº Venda]]&gt;1,1,0)</f>
        <v>1</v>
      </c>
    </row>
    <row r="8" spans="2:18" ht="16.5" x14ac:dyDescent="0.3">
      <c r="B8" s="30" t="s">
        <v>21</v>
      </c>
      <c r="C8" s="31">
        <f ca="1">SUM(C6:C7)</f>
        <v>4923.1400000000003</v>
      </c>
      <c r="D8" s="29"/>
      <c r="E8" s="76">
        <v>11681</v>
      </c>
      <c r="F8" s="77" t="s">
        <v>371</v>
      </c>
      <c r="G8" s="50" t="s">
        <v>7</v>
      </c>
      <c r="H8" s="38">
        <v>550</v>
      </c>
      <c r="I8" s="38">
        <v>550</v>
      </c>
      <c r="J8" s="29"/>
      <c r="K8" s="77" t="s">
        <v>181</v>
      </c>
      <c r="L8" s="91" t="s">
        <v>6</v>
      </c>
      <c r="M8" s="42">
        <v>670</v>
      </c>
      <c r="R8" s="1">
        <f>IF(vend25[[#This Row],[Nº Venda]]&gt;1,1,0)</f>
        <v>1</v>
      </c>
    </row>
    <row r="9" spans="2:18" ht="16.5" x14ac:dyDescent="0.3">
      <c r="B9" s="26"/>
      <c r="C9" s="26"/>
      <c r="D9" s="29"/>
      <c r="E9" s="76">
        <v>11682</v>
      </c>
      <c r="F9" s="77" t="s">
        <v>378</v>
      </c>
      <c r="G9" s="50" t="s">
        <v>7</v>
      </c>
      <c r="H9" s="38">
        <v>768</v>
      </c>
      <c r="I9" s="38">
        <v>768</v>
      </c>
      <c r="J9" s="29"/>
      <c r="K9" s="77"/>
      <c r="L9" s="91"/>
      <c r="M9" s="42"/>
      <c r="R9" s="1">
        <f>IF(vend25[[#This Row],[Nº Venda]]&gt;1,1,0)</f>
        <v>1</v>
      </c>
    </row>
    <row r="10" spans="2:18" ht="16.5" x14ac:dyDescent="0.3">
      <c r="B10" s="114" t="s">
        <v>5</v>
      </c>
      <c r="C10" s="115"/>
      <c r="D10" s="29"/>
      <c r="E10" s="76">
        <v>11683</v>
      </c>
      <c r="F10" s="77" t="s">
        <v>368</v>
      </c>
      <c r="G10" s="50" t="s">
        <v>10</v>
      </c>
      <c r="H10" s="38">
        <v>90</v>
      </c>
      <c r="I10" s="38">
        <v>90</v>
      </c>
      <c r="J10" s="29"/>
      <c r="K10" s="77"/>
      <c r="L10" s="91"/>
      <c r="M10" s="42"/>
      <c r="R10" s="1">
        <f>IF(vend25[[#This Row],[Nº Venda]]&gt;1,1,0)</f>
        <v>1</v>
      </c>
    </row>
    <row r="11" spans="2:18" ht="16.5" x14ac:dyDescent="0.3">
      <c r="B11" s="27" t="s">
        <v>6</v>
      </c>
      <c r="C11" s="70">
        <f ca="1">(SUMIF($G$2:$G$31,B11,$I$2:$I$31))+(SUMIF($G$35:$G$41,B11,$H$36:$H$41))</f>
        <v>670</v>
      </c>
      <c r="D11" s="29"/>
      <c r="E11" s="76">
        <v>11684</v>
      </c>
      <c r="F11" s="77" t="s">
        <v>372</v>
      </c>
      <c r="G11" s="50" t="s">
        <v>6</v>
      </c>
      <c r="H11" s="38">
        <v>500</v>
      </c>
      <c r="I11" s="38">
        <v>200</v>
      </c>
      <c r="J11" s="29"/>
      <c r="K11" s="37"/>
      <c r="L11" s="91"/>
      <c r="M11" s="42"/>
      <c r="O11" s="1">
        <f ca="1">IF(C16=0,0,1)</f>
        <v>1</v>
      </c>
      <c r="R11" s="1">
        <f>IF(vend25[[#This Row],[Nº Venda]]&gt;1,1,0)</f>
        <v>1</v>
      </c>
    </row>
    <row r="12" spans="2:18" ht="16.5" x14ac:dyDescent="0.3">
      <c r="B12" s="27" t="s">
        <v>7</v>
      </c>
      <c r="C12" s="70">
        <f ca="1">(SUMIF($G$2:$G$31,B12,$I$2:$I$31))+(SUMIF($G$35:$G$41,B12,$H$36:$H$41))</f>
        <v>1367</v>
      </c>
      <c r="D12" s="29"/>
      <c r="E12" s="76">
        <v>11685</v>
      </c>
      <c r="F12" s="77" t="s">
        <v>367</v>
      </c>
      <c r="G12" s="50" t="s">
        <v>10</v>
      </c>
      <c r="H12" s="38">
        <v>1500</v>
      </c>
      <c r="I12" s="38">
        <v>1500</v>
      </c>
      <c r="J12" s="29"/>
      <c r="K12" s="32"/>
      <c r="L12" s="32"/>
      <c r="M12" s="32"/>
      <c r="R12" s="1">
        <f>IF(vend25[[#This Row],[Nº Venda]]&gt;1,1,0)</f>
        <v>1</v>
      </c>
    </row>
    <row r="13" spans="2:18" ht="16.5" x14ac:dyDescent="0.3">
      <c r="B13" s="27" t="s">
        <v>8</v>
      </c>
      <c r="C13" s="70">
        <f ca="1">(SUMIF($G$2:$G$31,B13,$I$2:$I$31))+(SUMIF($G$35:$G$41,B13,$H$36:$H$41))</f>
        <v>350</v>
      </c>
      <c r="D13" s="29"/>
      <c r="E13" s="76">
        <v>11686</v>
      </c>
      <c r="F13" s="77" t="s">
        <v>367</v>
      </c>
      <c r="G13" s="50" t="s">
        <v>46</v>
      </c>
      <c r="H13" s="38">
        <v>0</v>
      </c>
      <c r="I13" s="38">
        <v>0</v>
      </c>
      <c r="J13" s="29"/>
      <c r="K13" s="107" t="s">
        <v>142</v>
      </c>
      <c r="L13" s="108"/>
      <c r="M13" s="109"/>
      <c r="R13" s="1">
        <f>IF(vend25[[#This Row],[Nº Venda]]&gt;1,1,0)</f>
        <v>1</v>
      </c>
    </row>
    <row r="14" spans="2:18" ht="16.5" x14ac:dyDescent="0.3">
      <c r="B14" s="27" t="s">
        <v>9</v>
      </c>
      <c r="C14" s="70">
        <f ca="1">(SUMIF($G$2:$G$31,B14,$I$2:$I$31))+(SUMIF($G$35:$G$41,B14,$H$36:$H$41))</f>
        <v>0</v>
      </c>
      <c r="D14" s="29"/>
      <c r="E14" s="76">
        <v>11687</v>
      </c>
      <c r="F14" s="77" t="s">
        <v>366</v>
      </c>
      <c r="G14" s="50" t="s">
        <v>6</v>
      </c>
      <c r="H14" s="38">
        <v>50</v>
      </c>
      <c r="I14" s="38">
        <v>50</v>
      </c>
      <c r="J14" s="29"/>
      <c r="K14" s="21" t="s">
        <v>22</v>
      </c>
      <c r="L14" s="22" t="s">
        <v>23</v>
      </c>
      <c r="M14" s="23" t="s">
        <v>24</v>
      </c>
      <c r="R14" s="1">
        <f>IF(vend25[[#This Row],[Nº Venda]]&gt;1,1,0)</f>
        <v>1</v>
      </c>
    </row>
    <row r="15" spans="2:18" ht="16.5" x14ac:dyDescent="0.3">
      <c r="B15" s="27" t="s">
        <v>10</v>
      </c>
      <c r="C15" s="70">
        <f ca="1">(SUMIF($G$2:$G$31,B15,$I$2:$I$31))+(SUMIF($G$35:$G$41,B15,$H$36:$H$41))</f>
        <v>1840</v>
      </c>
      <c r="D15" s="29"/>
      <c r="E15" s="76">
        <v>11688</v>
      </c>
      <c r="F15" s="77" t="s">
        <v>377</v>
      </c>
      <c r="G15" s="50" t="s">
        <v>10</v>
      </c>
      <c r="H15" s="38">
        <v>150</v>
      </c>
      <c r="I15" s="38">
        <v>150</v>
      </c>
      <c r="J15" s="29"/>
      <c r="K15" s="76">
        <v>11095</v>
      </c>
      <c r="L15" s="91" t="s">
        <v>129</v>
      </c>
      <c r="M15" s="42" t="s">
        <v>146</v>
      </c>
      <c r="R15" s="1">
        <f>IF(vend25[[#This Row],[Nº Venda]]&gt;1,1,0)</f>
        <v>1</v>
      </c>
    </row>
    <row r="16" spans="2:18" ht="16.5" x14ac:dyDescent="0.3">
      <c r="B16" s="30" t="s">
        <v>11</v>
      </c>
      <c r="C16" s="71">
        <f ca="1">SUM(C11:C15)</f>
        <v>4227</v>
      </c>
      <c r="D16" s="29"/>
      <c r="E16" s="76"/>
      <c r="F16" s="77"/>
      <c r="G16" s="50"/>
      <c r="H16" s="38"/>
      <c r="I16" s="38"/>
      <c r="J16" s="29"/>
      <c r="K16" s="76">
        <v>11518</v>
      </c>
      <c r="L16" s="91" t="s">
        <v>129</v>
      </c>
      <c r="M16" s="42" t="s">
        <v>145</v>
      </c>
      <c r="R16" s="1">
        <f>IF(vend25[[#This Row],[Nº Venda]]&gt;1,1,0)</f>
        <v>0</v>
      </c>
    </row>
    <row r="17" spans="2:18" ht="16.5" x14ac:dyDescent="0.3">
      <c r="B17" s="26"/>
      <c r="C17" s="26"/>
      <c r="D17" s="29"/>
      <c r="E17" s="76"/>
      <c r="F17" s="77"/>
      <c r="G17" s="50"/>
      <c r="H17" s="38"/>
      <c r="I17" s="38"/>
      <c r="J17" s="29"/>
      <c r="K17" s="76">
        <v>11520</v>
      </c>
      <c r="L17" s="91" t="s">
        <v>129</v>
      </c>
      <c r="M17" s="42" t="s">
        <v>145</v>
      </c>
      <c r="R17" s="1">
        <f>IF(vend25[[#This Row],[Nº Venda]]&gt;1,1,0)</f>
        <v>0</v>
      </c>
    </row>
    <row r="18" spans="2:18" ht="16.5" x14ac:dyDescent="0.3">
      <c r="B18" s="114" t="s">
        <v>12</v>
      </c>
      <c r="C18" s="115"/>
      <c r="D18" s="29"/>
      <c r="E18" s="76"/>
      <c r="F18" s="77"/>
      <c r="G18" s="50"/>
      <c r="H18" s="38"/>
      <c r="I18" s="38"/>
      <c r="J18" s="29"/>
      <c r="K18" s="76">
        <v>11547</v>
      </c>
      <c r="L18" s="91" t="s">
        <v>129</v>
      </c>
      <c r="M18" s="42" t="s">
        <v>146</v>
      </c>
      <c r="R18" s="1">
        <f>IF(vend25[[#This Row],[Nº Venda]]&gt;1,1,0)</f>
        <v>0</v>
      </c>
    </row>
    <row r="19" spans="2:18" ht="16.5" x14ac:dyDescent="0.3">
      <c r="B19" s="27">
        <f>COUNT(entr_carn25[OS])</f>
        <v>2</v>
      </c>
      <c r="C19" s="70">
        <f>SUM(entr_carn25[Valor Total])</f>
        <v>824</v>
      </c>
      <c r="D19" s="29"/>
      <c r="E19" s="76"/>
      <c r="F19" s="77"/>
      <c r="G19" s="50"/>
      <c r="H19" s="38"/>
      <c r="I19" s="38"/>
      <c r="J19" s="29"/>
      <c r="K19" s="76">
        <v>11593</v>
      </c>
      <c r="L19" s="91" t="s">
        <v>131</v>
      </c>
      <c r="M19" s="42" t="s">
        <v>145</v>
      </c>
      <c r="R19" s="1">
        <f>IF(vend25[[#This Row],[Nº Venda]]&gt;1,1,0)</f>
        <v>0</v>
      </c>
    </row>
    <row r="20" spans="2:18" ht="16.5" x14ac:dyDescent="0.3">
      <c r="B20" s="30" t="s">
        <v>11</v>
      </c>
      <c r="C20" s="71">
        <f>SUM(C19:C19)</f>
        <v>824</v>
      </c>
      <c r="D20" s="29"/>
      <c r="E20" s="76"/>
      <c r="F20" s="50"/>
      <c r="G20" s="50"/>
      <c r="H20" s="38"/>
      <c r="I20" s="38"/>
      <c r="J20" s="29"/>
      <c r="K20" s="76">
        <v>11647</v>
      </c>
      <c r="L20" s="91" t="s">
        <v>131</v>
      </c>
      <c r="M20" s="42" t="s">
        <v>145</v>
      </c>
      <c r="R20" s="1">
        <f>IF(vend25[[#This Row],[Nº Venda]]&gt;1,1,0)</f>
        <v>0</v>
      </c>
    </row>
    <row r="21" spans="2:18" ht="16.5" x14ac:dyDescent="0.3">
      <c r="B21" s="26"/>
      <c r="C21" s="26"/>
      <c r="D21" s="29"/>
      <c r="E21" s="76"/>
      <c r="F21" s="77"/>
      <c r="G21" s="50"/>
      <c r="H21" s="38"/>
      <c r="I21" s="38"/>
      <c r="J21" s="29"/>
      <c r="K21" s="76">
        <v>11651</v>
      </c>
      <c r="L21" s="91" t="s">
        <v>129</v>
      </c>
      <c r="M21" s="42" t="s">
        <v>145</v>
      </c>
    </row>
    <row r="22" spans="2:18" ht="16.5" x14ac:dyDescent="0.3">
      <c r="B22" s="30" t="s">
        <v>25</v>
      </c>
      <c r="C22" s="33">
        <f>C5</f>
        <v>3657</v>
      </c>
      <c r="D22" s="29"/>
      <c r="E22" s="78"/>
      <c r="F22" s="77"/>
      <c r="G22" s="50"/>
      <c r="H22" s="38"/>
      <c r="I22" s="38"/>
      <c r="J22" s="29"/>
      <c r="K22" s="76"/>
      <c r="L22" s="91"/>
      <c r="M22" s="42"/>
    </row>
    <row r="23" spans="2:18" ht="16.5" x14ac:dyDescent="0.3">
      <c r="B23" s="29"/>
      <c r="C23" s="29"/>
      <c r="D23" s="29"/>
      <c r="E23" s="34"/>
      <c r="F23" s="34"/>
      <c r="G23" s="34"/>
      <c r="H23" s="35"/>
      <c r="I23" s="36"/>
      <c r="J23" s="29"/>
      <c r="K23" s="76"/>
      <c r="L23" s="91"/>
      <c r="M23" s="42"/>
    </row>
    <row r="24" spans="2:18" ht="16.5" x14ac:dyDescent="0.3">
      <c r="B24" s="29"/>
      <c r="C24" s="29"/>
      <c r="D24" s="29"/>
      <c r="E24" s="105" t="s">
        <v>139</v>
      </c>
      <c r="F24" s="106"/>
      <c r="G24" s="106"/>
      <c r="H24" s="106"/>
      <c r="I24" s="106"/>
      <c r="J24" s="29"/>
      <c r="K24" s="76"/>
      <c r="L24" s="91"/>
      <c r="M24" s="42"/>
    </row>
    <row r="25" spans="2:18" ht="16.5" x14ac:dyDescent="0.3">
      <c r="B25" s="29"/>
      <c r="C25" s="29"/>
      <c r="D25" s="29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29"/>
      <c r="K25" s="76"/>
      <c r="L25" s="91"/>
      <c r="M25" s="42"/>
    </row>
    <row r="26" spans="2:18" ht="16.5" x14ac:dyDescent="0.3">
      <c r="B26" s="29"/>
      <c r="C26" s="29"/>
      <c r="D26" s="29"/>
      <c r="E26" s="76">
        <v>11547</v>
      </c>
      <c r="F26" s="77" t="s">
        <v>213</v>
      </c>
      <c r="G26" s="50" t="s">
        <v>6</v>
      </c>
      <c r="H26" s="38"/>
      <c r="I26" s="38">
        <v>230</v>
      </c>
      <c r="J26" s="29"/>
      <c r="K26" s="76"/>
      <c r="L26" s="91"/>
      <c r="M26" s="42"/>
    </row>
    <row r="27" spans="2:18" ht="16.5" x14ac:dyDescent="0.3">
      <c r="B27" s="29"/>
      <c r="C27" s="29"/>
      <c r="D27" s="29"/>
      <c r="E27" s="76">
        <v>11095</v>
      </c>
      <c r="F27" s="77" t="s">
        <v>376</v>
      </c>
      <c r="G27" s="50" t="s">
        <v>10</v>
      </c>
      <c r="H27" s="38"/>
      <c r="I27" s="38">
        <v>100</v>
      </c>
      <c r="J27" s="29"/>
      <c r="K27" s="76"/>
      <c r="L27" s="91"/>
      <c r="M27" s="42"/>
    </row>
    <row r="28" spans="2:18" ht="16.5" x14ac:dyDescent="0.3">
      <c r="B28" s="29"/>
      <c r="C28" s="29"/>
      <c r="D28" s="29"/>
      <c r="E28" s="76">
        <v>11520</v>
      </c>
      <c r="F28" s="77" t="s">
        <v>184</v>
      </c>
      <c r="G28" s="50" t="s">
        <v>6</v>
      </c>
      <c r="H28" s="38"/>
      <c r="I28" s="38">
        <v>190</v>
      </c>
      <c r="J28" s="29"/>
      <c r="K28" s="76"/>
      <c r="L28" s="91"/>
      <c r="M28" s="42"/>
    </row>
    <row r="29" spans="2:18" ht="16.5" x14ac:dyDescent="0.3">
      <c r="B29" s="29"/>
      <c r="C29" s="29"/>
      <c r="D29" s="29"/>
      <c r="E29" s="76"/>
      <c r="F29" s="77"/>
      <c r="G29" s="50"/>
      <c r="H29" s="38"/>
      <c r="I29" s="38"/>
      <c r="J29" s="29"/>
      <c r="K29" s="76"/>
      <c r="L29" s="91"/>
      <c r="M29" s="42"/>
    </row>
    <row r="30" spans="2:18" ht="16.5" x14ac:dyDescent="0.3">
      <c r="B30" s="29"/>
      <c r="C30" s="29"/>
      <c r="D30" s="29"/>
      <c r="E30" s="76"/>
      <c r="F30" s="50"/>
      <c r="G30" s="50"/>
      <c r="H30" s="38"/>
      <c r="I30" s="38"/>
      <c r="J30" s="29"/>
      <c r="K30" s="76"/>
      <c r="L30" s="91"/>
      <c r="M30" s="42"/>
    </row>
    <row r="31" spans="2:18" ht="16.5" x14ac:dyDescent="0.3">
      <c r="B31" s="29"/>
      <c r="C31" s="29"/>
      <c r="D31" s="29"/>
      <c r="E31" s="78"/>
      <c r="F31" s="79"/>
      <c r="G31" s="40"/>
      <c r="H31" s="41"/>
      <c r="I31" s="41"/>
      <c r="J31" s="29"/>
      <c r="K31" s="76"/>
      <c r="L31" s="91"/>
      <c r="M31" s="42"/>
    </row>
    <row r="32" spans="2:18" ht="16.5" x14ac:dyDescent="0.3">
      <c r="B32" s="29"/>
      <c r="C32" s="29"/>
      <c r="D32" s="37"/>
      <c r="E32" s="34"/>
      <c r="F32" s="34"/>
      <c r="G32" s="34"/>
      <c r="H32" s="36"/>
      <c r="I32" s="36"/>
      <c r="J32" s="37"/>
      <c r="K32" s="32"/>
      <c r="L32" s="32"/>
      <c r="M32" s="32"/>
    </row>
    <row r="33" spans="2:18" ht="16.5" x14ac:dyDescent="0.3">
      <c r="B33" s="29"/>
      <c r="C33" s="29"/>
      <c r="D33" s="37"/>
      <c r="E33" s="105" t="s">
        <v>140</v>
      </c>
      <c r="F33" s="106"/>
      <c r="G33" s="106"/>
      <c r="H33" s="106"/>
      <c r="I33" s="106"/>
      <c r="J33" s="37"/>
      <c r="K33" s="107" t="s">
        <v>141</v>
      </c>
      <c r="L33" s="108"/>
      <c r="M33" s="109"/>
    </row>
    <row r="34" spans="2:18" ht="16.5" x14ac:dyDescent="0.3">
      <c r="B34" s="37"/>
      <c r="C34" s="37"/>
      <c r="D34" s="37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7"/>
      <c r="K34" s="22" t="s">
        <v>22</v>
      </c>
      <c r="L34" s="21" t="s">
        <v>28</v>
      </c>
      <c r="M34" s="22" t="s">
        <v>29</v>
      </c>
    </row>
    <row r="35" spans="2:18" ht="16.5" customHeight="1" x14ac:dyDescent="0.25">
      <c r="B35" s="37"/>
      <c r="C35" s="37"/>
      <c r="D35" s="37"/>
      <c r="E35" s="76">
        <v>11207</v>
      </c>
      <c r="F35" s="77" t="s">
        <v>237</v>
      </c>
      <c r="G35" s="50" t="s">
        <v>8</v>
      </c>
      <c r="H35" s="48">
        <v>232</v>
      </c>
      <c r="I35" s="38" t="s">
        <v>31</v>
      </c>
      <c r="J35" s="37"/>
      <c r="K35" s="76">
        <v>11547</v>
      </c>
      <c r="L35" s="76">
        <v>6</v>
      </c>
      <c r="M35" s="91">
        <v>570</v>
      </c>
    </row>
    <row r="36" spans="2:18" ht="16.5" customHeight="1" x14ac:dyDescent="0.25">
      <c r="B36" s="37"/>
      <c r="C36" s="37"/>
      <c r="D36" s="37"/>
      <c r="E36" s="83">
        <v>10105</v>
      </c>
      <c r="F36" s="77" t="s">
        <v>375</v>
      </c>
      <c r="G36" s="50" t="s">
        <v>10</v>
      </c>
      <c r="H36" s="38">
        <v>350</v>
      </c>
      <c r="I36" s="38" t="s">
        <v>96</v>
      </c>
      <c r="J36" s="37"/>
      <c r="K36" s="76">
        <v>11095</v>
      </c>
      <c r="L36" s="76">
        <v>5</v>
      </c>
      <c r="M36" s="91">
        <v>254</v>
      </c>
    </row>
    <row r="37" spans="2:18" ht="16.5" customHeight="1" x14ac:dyDescent="0.25">
      <c r="B37" s="37"/>
      <c r="C37" s="37"/>
      <c r="D37" s="37"/>
      <c r="E37" s="76"/>
      <c r="F37" s="77"/>
      <c r="G37" s="50"/>
      <c r="H37" s="38"/>
      <c r="I37" s="38"/>
      <c r="J37" s="37"/>
      <c r="K37" s="76"/>
      <c r="L37" s="76"/>
      <c r="M37" s="91"/>
    </row>
    <row r="38" spans="2:18" ht="16.5" customHeight="1" x14ac:dyDescent="0.25">
      <c r="B38" s="37"/>
      <c r="C38" s="37"/>
      <c r="D38" s="37"/>
      <c r="E38" s="76"/>
      <c r="F38" s="77"/>
      <c r="G38" s="50"/>
      <c r="H38" s="38"/>
      <c r="I38" s="38"/>
      <c r="J38" s="37"/>
      <c r="K38" s="76"/>
      <c r="L38" s="76"/>
      <c r="M38" s="91"/>
    </row>
    <row r="39" spans="2:18" ht="16.5" customHeight="1" x14ac:dyDescent="0.25">
      <c r="B39" s="37"/>
      <c r="C39" s="37"/>
      <c r="D39" s="37"/>
      <c r="E39" s="76"/>
      <c r="F39" s="50"/>
      <c r="G39" s="50"/>
      <c r="H39" s="38"/>
      <c r="I39" s="38"/>
      <c r="J39" s="37"/>
      <c r="K39" s="76"/>
      <c r="L39" s="76"/>
      <c r="M39" s="91"/>
    </row>
    <row r="40" spans="2:18" ht="16.5" customHeight="1" x14ac:dyDescent="0.25">
      <c r="B40" s="37"/>
      <c r="C40" s="37"/>
      <c r="D40" s="37"/>
      <c r="E40" s="78"/>
      <c r="F40" s="79"/>
      <c r="G40" s="40"/>
      <c r="H40" s="41"/>
      <c r="I40" s="38"/>
      <c r="J40" s="37"/>
      <c r="K40" s="78"/>
      <c r="L40" s="78"/>
      <c r="M40" s="92"/>
      <c r="Q40" s="1" t="s">
        <v>33</v>
      </c>
      <c r="R40" s="1">
        <f>SUM(R6:R21)</f>
        <v>10</v>
      </c>
    </row>
    <row r="41" spans="2:18" ht="16.5" customHeight="1" x14ac:dyDescent="0.25">
      <c r="B41" s="37"/>
      <c r="C41" s="37"/>
      <c r="D41" s="37"/>
      <c r="E41" s="82"/>
      <c r="F41" s="50"/>
      <c r="G41" s="50"/>
      <c r="H41" s="38"/>
      <c r="I41" s="38"/>
      <c r="J41" s="37"/>
      <c r="K41" s="76"/>
      <c r="L41" s="76"/>
      <c r="M41" s="92"/>
    </row>
    <row r="42" spans="2:18" ht="13.5" x14ac:dyDescent="0.25">
      <c r="B42" s="37"/>
      <c r="C42" s="37"/>
      <c r="D42" s="37"/>
      <c r="E42" s="34"/>
      <c r="F42" s="34"/>
      <c r="G42" s="34"/>
      <c r="H42" s="36"/>
      <c r="I42" s="36"/>
      <c r="J42" s="37"/>
      <c r="K42" s="32"/>
      <c r="L42" s="32"/>
      <c r="M42" s="32"/>
    </row>
    <row r="43" spans="2:18" ht="13.5" x14ac:dyDescent="0.25">
      <c r="B43" s="37"/>
      <c r="C43" s="37"/>
      <c r="D43" s="37"/>
      <c r="E43" s="34"/>
      <c r="F43" s="34"/>
      <c r="G43" s="34"/>
      <c r="H43" s="36"/>
      <c r="I43" s="36"/>
      <c r="J43" s="37"/>
      <c r="K43" s="32"/>
      <c r="L43" s="32"/>
      <c r="M43" s="32"/>
    </row>
    <row r="44" spans="2:18" ht="13.5" x14ac:dyDescent="0.25">
      <c r="B44" s="37"/>
      <c r="C44" s="37"/>
      <c r="D44" s="37"/>
      <c r="E44" s="34"/>
      <c r="F44" s="34"/>
      <c r="G44" s="34"/>
      <c r="H44" s="36"/>
      <c r="I44" s="36"/>
      <c r="J44" s="37"/>
      <c r="K44" s="32"/>
      <c r="L44" s="32"/>
      <c r="M44" s="32"/>
    </row>
    <row r="45" spans="2:18" ht="13.5" x14ac:dyDescent="0.25">
      <c r="B45" s="37"/>
      <c r="C45" s="37"/>
      <c r="D45" s="37"/>
      <c r="E45" s="34"/>
      <c r="F45" s="34"/>
      <c r="G45" s="34"/>
      <c r="H45" s="36"/>
      <c r="I45" s="36"/>
      <c r="J45" s="37"/>
      <c r="K45" s="32"/>
      <c r="L45" s="32"/>
      <c r="M45" s="32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5"/>
  <sheetViews>
    <sheetView showGridLines="0" view="pageBreakPreview" topLeftCell="D1" zoomScale="91" zoomScaleNormal="90" zoomScaleSheetLayoutView="91" workbookViewId="0">
      <selection activeCell="F17" sqref="F16:F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34.7109375" style="1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'25'!B1+1</f>
        <v>45895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4" t="s">
        <v>0</v>
      </c>
      <c r="C4" s="25">
        <v>0</v>
      </c>
      <c r="D4" s="57"/>
      <c r="E4" s="113" t="s">
        <v>137</v>
      </c>
      <c r="F4" s="113"/>
      <c r="G4" s="113"/>
      <c r="H4" s="113"/>
      <c r="I4" s="113"/>
      <c r="J4" s="29"/>
      <c r="K4" s="107" t="s">
        <v>138</v>
      </c>
      <c r="L4" s="108"/>
      <c r="M4" s="109"/>
    </row>
    <row r="5" spans="2:18" ht="16.5" x14ac:dyDescent="0.3">
      <c r="B5" s="27" t="s">
        <v>1</v>
      </c>
      <c r="C5" s="28">
        <f>SUMIF(I6:I31,"&gt;0",H6:H31)</f>
        <v>3429</v>
      </c>
      <c r="D5" s="29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29"/>
      <c r="K5" s="21" t="s">
        <v>18</v>
      </c>
      <c r="L5" s="22" t="s">
        <v>19</v>
      </c>
      <c r="M5" s="23" t="s">
        <v>20</v>
      </c>
    </row>
    <row r="6" spans="2:18" ht="16.5" x14ac:dyDescent="0.3">
      <c r="B6" s="27" t="s">
        <v>2</v>
      </c>
      <c r="C6" s="28">
        <f>C16</f>
        <v>3245.25</v>
      </c>
      <c r="D6" s="29"/>
      <c r="E6" s="76">
        <v>11689</v>
      </c>
      <c r="F6" s="77" t="s">
        <v>379</v>
      </c>
      <c r="G6" s="50" t="s">
        <v>8</v>
      </c>
      <c r="H6" s="38">
        <v>350</v>
      </c>
      <c r="I6" s="38">
        <v>350</v>
      </c>
      <c r="J6" s="29"/>
      <c r="K6" s="77" t="s">
        <v>324</v>
      </c>
      <c r="L6" s="91" t="s">
        <v>10</v>
      </c>
      <c r="M6" s="42">
        <v>2.86</v>
      </c>
      <c r="R6" s="1">
        <f>IF(vend26[[#This Row],[Nº Venda]]&gt;1,1,0)</f>
        <v>1</v>
      </c>
    </row>
    <row r="7" spans="2:18" ht="16.5" x14ac:dyDescent="0.3">
      <c r="B7" s="27" t="s">
        <v>3</v>
      </c>
      <c r="C7" s="28">
        <f>SUM(M6:M11)</f>
        <v>2.86</v>
      </c>
      <c r="D7" s="29"/>
      <c r="E7" s="76">
        <v>11690</v>
      </c>
      <c r="F7" s="77" t="s">
        <v>380</v>
      </c>
      <c r="G7" s="50" t="s">
        <v>10</v>
      </c>
      <c r="H7" s="38">
        <v>950</v>
      </c>
      <c r="I7" s="38">
        <v>380</v>
      </c>
      <c r="J7" s="29"/>
      <c r="K7" s="77"/>
      <c r="L7" s="91"/>
      <c r="M7" s="42"/>
      <c r="R7" s="1">
        <f>IF(vend26[[#This Row],[Nº Venda]]&gt;1,1,0)</f>
        <v>1</v>
      </c>
    </row>
    <row r="8" spans="2:18" ht="16.5" x14ac:dyDescent="0.3">
      <c r="B8" s="30" t="s">
        <v>21</v>
      </c>
      <c r="C8" s="31">
        <f>SUM(C6:C7)</f>
        <v>3248.11</v>
      </c>
      <c r="D8" s="29"/>
      <c r="E8" s="76">
        <v>11691</v>
      </c>
      <c r="F8" s="77" t="s">
        <v>380</v>
      </c>
      <c r="G8" s="50" t="s">
        <v>46</v>
      </c>
      <c r="H8" s="38">
        <v>0</v>
      </c>
      <c r="I8" s="38">
        <v>0</v>
      </c>
      <c r="J8" s="29"/>
      <c r="K8" s="77"/>
      <c r="L8" s="91"/>
      <c r="M8" s="42"/>
      <c r="R8" s="1">
        <f>IF(vend26[[#This Row],[Nº Venda]]&gt;1,1,0)</f>
        <v>1</v>
      </c>
    </row>
    <row r="9" spans="2:18" ht="16.5" x14ac:dyDescent="0.3">
      <c r="B9" s="26"/>
      <c r="C9" s="26"/>
      <c r="D9" s="29"/>
      <c r="E9" s="76">
        <v>11692</v>
      </c>
      <c r="F9" s="77" t="s">
        <v>381</v>
      </c>
      <c r="G9" s="50" t="s">
        <v>10</v>
      </c>
      <c r="H9" s="38">
        <v>750</v>
      </c>
      <c r="I9" s="38">
        <v>750</v>
      </c>
      <c r="J9" s="29"/>
      <c r="K9" s="77"/>
      <c r="L9" s="91"/>
      <c r="M9" s="42"/>
      <c r="R9" s="1">
        <f>IF(vend26[[#This Row],[Nº Venda]]&gt;1,1,0)</f>
        <v>1</v>
      </c>
    </row>
    <row r="10" spans="2:18" ht="16.5" x14ac:dyDescent="0.3">
      <c r="B10" s="114" t="s">
        <v>5</v>
      </c>
      <c r="C10" s="115"/>
      <c r="D10" s="29"/>
      <c r="E10" s="76">
        <v>11693</v>
      </c>
      <c r="F10" s="77" t="s">
        <v>382</v>
      </c>
      <c r="G10" s="50" t="s">
        <v>7</v>
      </c>
      <c r="H10" s="38">
        <v>45</v>
      </c>
      <c r="I10" s="38">
        <v>45</v>
      </c>
      <c r="J10" s="29"/>
      <c r="K10" s="77"/>
      <c r="L10" s="91"/>
      <c r="M10" s="42"/>
      <c r="R10" s="1">
        <f>IF(vend26[[#This Row],[Nº Venda]]&gt;1,1,0)</f>
        <v>1</v>
      </c>
    </row>
    <row r="11" spans="2:18" ht="16.5" x14ac:dyDescent="0.3">
      <c r="B11" s="27" t="s">
        <v>6</v>
      </c>
      <c r="C11" s="70">
        <f>(SUMIF($G$2:$G$31,B11,$I$2:$I$31))+(SUMIF($G$35:$G$41,B11,$H$35:$H$41))</f>
        <v>0</v>
      </c>
      <c r="D11" s="29"/>
      <c r="E11" s="76">
        <v>11694</v>
      </c>
      <c r="F11" s="77" t="s">
        <v>383</v>
      </c>
      <c r="G11" s="50" t="s">
        <v>7</v>
      </c>
      <c r="H11" s="38">
        <v>45</v>
      </c>
      <c r="I11" s="38">
        <v>45</v>
      </c>
      <c r="J11" s="29"/>
      <c r="K11" s="37"/>
      <c r="L11" s="91"/>
      <c r="M11" s="42"/>
      <c r="O11" s="1">
        <f>IF(C16=0,0,1)</f>
        <v>1</v>
      </c>
      <c r="R11" s="1">
        <f>IF(vend26[[#This Row],[Nº Venda]]&gt;1,1,0)</f>
        <v>1</v>
      </c>
    </row>
    <row r="12" spans="2:18" ht="16.5" x14ac:dyDescent="0.3">
      <c r="B12" s="27" t="s">
        <v>7</v>
      </c>
      <c r="C12" s="70">
        <f t="shared" ref="C12:C15" si="0">(SUMIF($G$2:$G$31,B12,$I$2:$I$31))+(SUMIF($G$35:$G$41,B12,$H$35:$H$41))</f>
        <v>90</v>
      </c>
      <c r="D12" s="29"/>
      <c r="E12" s="76">
        <v>11695</v>
      </c>
      <c r="F12" s="77" t="s">
        <v>384</v>
      </c>
      <c r="G12" s="50" t="s">
        <v>8</v>
      </c>
      <c r="H12" s="38">
        <v>899</v>
      </c>
      <c r="I12" s="38">
        <v>899</v>
      </c>
      <c r="J12" s="29"/>
      <c r="K12" s="32"/>
      <c r="L12" s="32"/>
      <c r="M12" s="32"/>
      <c r="R12" s="1">
        <f>IF(vend26[[#This Row],[Nº Venda]]&gt;1,1,0)</f>
        <v>1</v>
      </c>
    </row>
    <row r="13" spans="2:18" ht="16.5" x14ac:dyDescent="0.3">
      <c r="B13" s="27" t="s">
        <v>8</v>
      </c>
      <c r="C13" s="70">
        <f t="shared" si="0"/>
        <v>1639</v>
      </c>
      <c r="D13" s="29"/>
      <c r="E13" s="76">
        <v>11696</v>
      </c>
      <c r="F13" s="77" t="s">
        <v>384</v>
      </c>
      <c r="G13" s="50" t="s">
        <v>8</v>
      </c>
      <c r="H13" s="38">
        <v>390</v>
      </c>
      <c r="I13" s="38">
        <v>390</v>
      </c>
      <c r="J13" s="29"/>
      <c r="K13" s="107" t="s">
        <v>142</v>
      </c>
      <c r="L13" s="108"/>
      <c r="M13" s="109"/>
      <c r="R13" s="1">
        <f>IF(vend26[[#This Row],[Nº Venda]]&gt;1,1,0)</f>
        <v>1</v>
      </c>
    </row>
    <row r="14" spans="2:18" ht="16.5" x14ac:dyDescent="0.3">
      <c r="B14" s="27" t="s">
        <v>9</v>
      </c>
      <c r="C14" s="70">
        <f t="shared" si="0"/>
        <v>0</v>
      </c>
      <c r="D14" s="29"/>
      <c r="E14" s="76"/>
      <c r="F14" s="77"/>
      <c r="G14" s="50"/>
      <c r="H14" s="38"/>
      <c r="I14" s="38"/>
      <c r="J14" s="29"/>
      <c r="K14" s="21" t="s">
        <v>22</v>
      </c>
      <c r="L14" s="22" t="s">
        <v>23</v>
      </c>
      <c r="M14" s="23" t="s">
        <v>24</v>
      </c>
      <c r="R14" s="1">
        <f>IF(vend26[[#This Row],[Nº Venda]]&gt;1,1,0)</f>
        <v>0</v>
      </c>
    </row>
    <row r="15" spans="2:18" ht="16.5" x14ac:dyDescent="0.3">
      <c r="B15" s="27" t="s">
        <v>10</v>
      </c>
      <c r="C15" s="70">
        <f t="shared" si="0"/>
        <v>1516.25</v>
      </c>
      <c r="D15" s="29"/>
      <c r="E15" s="76"/>
      <c r="F15" s="77"/>
      <c r="G15" s="50"/>
      <c r="H15" s="38"/>
      <c r="I15" s="38"/>
      <c r="J15" s="29"/>
      <c r="K15" s="76">
        <v>11536</v>
      </c>
      <c r="L15" s="91" t="s">
        <v>131</v>
      </c>
      <c r="M15" s="42" t="s">
        <v>145</v>
      </c>
      <c r="R15" s="1">
        <f>IF(vend26[[#This Row],[Nº Venda]]&gt;1,1,0)</f>
        <v>0</v>
      </c>
    </row>
    <row r="16" spans="2:18" ht="16.5" x14ac:dyDescent="0.3">
      <c r="B16" s="30" t="s">
        <v>11</v>
      </c>
      <c r="C16" s="71">
        <f>SUM(C11:C15)</f>
        <v>3245.25</v>
      </c>
      <c r="D16" s="29"/>
      <c r="E16" s="76"/>
      <c r="F16" s="77"/>
      <c r="G16" s="50"/>
      <c r="H16" s="38"/>
      <c r="I16" s="38"/>
      <c r="J16" s="29"/>
      <c r="K16" s="76">
        <v>11555</v>
      </c>
      <c r="L16" s="91" t="s">
        <v>129</v>
      </c>
      <c r="M16" s="42" t="s">
        <v>146</v>
      </c>
      <c r="R16" s="1">
        <f>IF(vend26[[#This Row],[Nº Venda]]&gt;1,1,0)</f>
        <v>0</v>
      </c>
    </row>
    <row r="17" spans="2:18" ht="16.5" x14ac:dyDescent="0.3">
      <c r="B17" s="26"/>
      <c r="C17" s="26"/>
      <c r="D17" s="29"/>
      <c r="E17" s="76"/>
      <c r="F17" s="77"/>
      <c r="G17" s="50"/>
      <c r="H17" s="38"/>
      <c r="I17" s="38"/>
      <c r="J17" s="29"/>
      <c r="K17" s="76">
        <v>11630</v>
      </c>
      <c r="L17" s="91" t="s">
        <v>131</v>
      </c>
      <c r="M17" s="42" t="s">
        <v>145</v>
      </c>
      <c r="R17" s="1">
        <f>IF(vend26[[#This Row],[Nº Venda]]&gt;1,1,0)</f>
        <v>0</v>
      </c>
    </row>
    <row r="18" spans="2:18" ht="16.5" x14ac:dyDescent="0.3">
      <c r="B18" s="114" t="s">
        <v>12</v>
      </c>
      <c r="C18" s="115"/>
      <c r="D18" s="29"/>
      <c r="E18" s="76"/>
      <c r="F18" s="77"/>
      <c r="G18" s="50"/>
      <c r="H18" s="38"/>
      <c r="I18" s="38"/>
      <c r="J18" s="29"/>
      <c r="K18" s="76">
        <v>11631</v>
      </c>
      <c r="L18" s="91" t="s">
        <v>131</v>
      </c>
      <c r="M18" s="42" t="s">
        <v>145</v>
      </c>
      <c r="R18" s="1">
        <f>IF(vend26[[#This Row],[Nº Venda]]&gt;1,1,0)</f>
        <v>0</v>
      </c>
    </row>
    <row r="19" spans="2:18" ht="16.5" x14ac:dyDescent="0.3">
      <c r="B19" s="27">
        <f>COUNT(entr_carn26[OS])</f>
        <v>1</v>
      </c>
      <c r="C19" s="70">
        <f>SUM(entr_carn26[Valor Total])</f>
        <v>1340</v>
      </c>
      <c r="D19" s="29"/>
      <c r="E19" s="76"/>
      <c r="F19" s="77"/>
      <c r="G19" s="50"/>
      <c r="H19" s="38"/>
      <c r="I19" s="38"/>
      <c r="J19" s="29"/>
      <c r="K19" s="76">
        <v>11651</v>
      </c>
      <c r="L19" s="91" t="s">
        <v>129</v>
      </c>
      <c r="M19" s="42" t="s">
        <v>145</v>
      </c>
      <c r="R19" s="1">
        <f>IF(vend26[[#This Row],[Nº Venda]]&gt;1,1,0)</f>
        <v>0</v>
      </c>
    </row>
    <row r="20" spans="2:18" ht="16.5" x14ac:dyDescent="0.3">
      <c r="B20" s="30" t="s">
        <v>11</v>
      </c>
      <c r="C20" s="71">
        <f>SUM(C19:C19)</f>
        <v>1340</v>
      </c>
      <c r="D20" s="29"/>
      <c r="E20" s="76"/>
      <c r="F20" s="50"/>
      <c r="G20" s="50"/>
      <c r="H20" s="38"/>
      <c r="I20" s="38"/>
      <c r="J20" s="29"/>
      <c r="K20" s="76">
        <v>11689</v>
      </c>
      <c r="L20" s="91" t="s">
        <v>131</v>
      </c>
      <c r="M20" s="42" t="s">
        <v>145</v>
      </c>
      <c r="R20" s="1">
        <f>IF(vend26[[#This Row],[Nº Venda]]&gt;1,1,0)</f>
        <v>0</v>
      </c>
    </row>
    <row r="21" spans="2:18" ht="16.5" x14ac:dyDescent="0.3">
      <c r="B21" s="26"/>
      <c r="C21" s="26"/>
      <c r="D21" s="29"/>
      <c r="E21" s="76"/>
      <c r="F21" s="77"/>
      <c r="G21" s="50"/>
      <c r="H21" s="38"/>
      <c r="I21" s="38"/>
      <c r="J21" s="29"/>
      <c r="K21" s="76"/>
      <c r="L21" s="91"/>
      <c r="M21" s="42"/>
    </row>
    <row r="22" spans="2:18" ht="16.5" x14ac:dyDescent="0.3">
      <c r="B22" s="30" t="s">
        <v>25</v>
      </c>
      <c r="C22" s="33">
        <f>C5</f>
        <v>3429</v>
      </c>
      <c r="D22" s="29"/>
      <c r="E22" s="78"/>
      <c r="F22" s="77"/>
      <c r="G22" s="50"/>
      <c r="H22" s="38"/>
      <c r="I22" s="38"/>
      <c r="J22" s="29"/>
      <c r="K22" s="76"/>
      <c r="L22" s="91"/>
      <c r="M22" s="42"/>
    </row>
    <row r="23" spans="2:18" ht="16.5" x14ac:dyDescent="0.3">
      <c r="B23" s="29"/>
      <c r="C23" s="29"/>
      <c r="D23" s="29"/>
      <c r="E23" s="34"/>
      <c r="F23" s="34"/>
      <c r="G23" s="34"/>
      <c r="H23" s="35"/>
      <c r="I23" s="36"/>
      <c r="J23" s="29"/>
      <c r="K23" s="76"/>
      <c r="L23" s="91"/>
      <c r="M23" s="42"/>
    </row>
    <row r="24" spans="2:18" ht="16.5" x14ac:dyDescent="0.3">
      <c r="B24" s="29"/>
      <c r="C24" s="29"/>
      <c r="D24" s="29"/>
      <c r="E24" s="105" t="s">
        <v>139</v>
      </c>
      <c r="F24" s="106"/>
      <c r="G24" s="106"/>
      <c r="H24" s="106"/>
      <c r="I24" s="106"/>
      <c r="J24" s="29"/>
      <c r="K24" s="76"/>
      <c r="L24" s="91"/>
      <c r="M24" s="42"/>
    </row>
    <row r="25" spans="2:18" ht="16.5" x14ac:dyDescent="0.3">
      <c r="B25" s="29"/>
      <c r="C25" s="29"/>
      <c r="D25" s="29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29"/>
      <c r="K25" s="76"/>
      <c r="L25" s="91"/>
      <c r="M25" s="42"/>
    </row>
    <row r="26" spans="2:18" ht="16.5" x14ac:dyDescent="0.3">
      <c r="B26" s="29"/>
      <c r="C26" s="29"/>
      <c r="D26" s="29"/>
      <c r="E26" s="76"/>
      <c r="F26" s="77"/>
      <c r="G26" s="50"/>
      <c r="H26" s="38"/>
      <c r="I26" s="38"/>
      <c r="J26" s="29"/>
      <c r="K26" s="76"/>
      <c r="L26" s="91"/>
      <c r="M26" s="42"/>
    </row>
    <row r="27" spans="2:18" ht="16.5" x14ac:dyDescent="0.3">
      <c r="B27" s="29"/>
      <c r="C27" s="29"/>
      <c r="D27" s="29"/>
      <c r="E27" s="76"/>
      <c r="F27" s="77"/>
      <c r="G27" s="50"/>
      <c r="H27" s="38"/>
      <c r="I27" s="38"/>
      <c r="J27" s="29"/>
      <c r="K27" s="76"/>
      <c r="L27" s="91"/>
      <c r="M27" s="42"/>
    </row>
    <row r="28" spans="2:18" ht="16.5" x14ac:dyDescent="0.3">
      <c r="B28" s="29"/>
      <c r="C28" s="29"/>
      <c r="D28" s="29"/>
      <c r="E28" s="76"/>
      <c r="F28" s="77"/>
      <c r="G28" s="50"/>
      <c r="H28" s="38"/>
      <c r="I28" s="38"/>
      <c r="J28" s="29"/>
      <c r="K28" s="76"/>
      <c r="L28" s="91"/>
      <c r="M28" s="42"/>
    </row>
    <row r="29" spans="2:18" ht="16.5" x14ac:dyDescent="0.3">
      <c r="B29" s="29"/>
      <c r="C29" s="29"/>
      <c r="D29" s="29"/>
      <c r="E29" s="76"/>
      <c r="F29" s="77"/>
      <c r="G29" s="50"/>
      <c r="H29" s="38"/>
      <c r="I29" s="38"/>
      <c r="J29" s="29"/>
      <c r="K29" s="76"/>
      <c r="L29" s="91"/>
      <c r="M29" s="42"/>
    </row>
    <row r="30" spans="2:18" ht="16.5" x14ac:dyDescent="0.3">
      <c r="B30" s="29"/>
      <c r="C30" s="29"/>
      <c r="D30" s="29"/>
      <c r="E30" s="76"/>
      <c r="F30" s="50"/>
      <c r="G30" s="50"/>
      <c r="H30" s="38"/>
      <c r="I30" s="38"/>
      <c r="J30" s="29"/>
      <c r="K30" s="76"/>
      <c r="L30" s="91"/>
      <c r="M30" s="42"/>
    </row>
    <row r="31" spans="2:18" ht="16.5" x14ac:dyDescent="0.3">
      <c r="B31" s="29"/>
      <c r="C31" s="29"/>
      <c r="D31" s="29"/>
      <c r="E31" s="78"/>
      <c r="F31" s="79"/>
      <c r="G31" s="40"/>
      <c r="H31" s="41"/>
      <c r="I31" s="41"/>
      <c r="J31" s="29"/>
      <c r="K31" s="76"/>
      <c r="L31" s="91"/>
      <c r="M31" s="42"/>
    </row>
    <row r="32" spans="2:18" ht="16.5" x14ac:dyDescent="0.3">
      <c r="B32" s="29"/>
      <c r="C32" s="29"/>
      <c r="D32" s="37"/>
      <c r="E32" s="34"/>
      <c r="F32" s="34"/>
      <c r="G32" s="34"/>
      <c r="H32" s="36"/>
      <c r="I32" s="36"/>
      <c r="J32" s="37"/>
      <c r="K32" s="32"/>
      <c r="L32" s="32"/>
      <c r="M32" s="32"/>
    </row>
    <row r="33" spans="2:18" ht="16.5" x14ac:dyDescent="0.3">
      <c r="B33" s="29"/>
      <c r="C33" s="29"/>
      <c r="D33" s="37"/>
      <c r="E33" s="105" t="s">
        <v>140</v>
      </c>
      <c r="F33" s="106"/>
      <c r="G33" s="106"/>
      <c r="H33" s="106"/>
      <c r="I33" s="106"/>
      <c r="J33" s="37"/>
      <c r="K33" s="107" t="s">
        <v>141</v>
      </c>
      <c r="L33" s="108"/>
      <c r="M33" s="109"/>
    </row>
    <row r="34" spans="2:18" ht="16.5" x14ac:dyDescent="0.3">
      <c r="B34" s="37"/>
      <c r="C34" s="37"/>
      <c r="D34" s="37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7"/>
      <c r="K34" s="22" t="s">
        <v>22</v>
      </c>
      <c r="L34" s="21" t="s">
        <v>28</v>
      </c>
      <c r="M34" s="22" t="s">
        <v>29</v>
      </c>
    </row>
    <row r="35" spans="2:18" ht="16.5" customHeight="1" x14ac:dyDescent="0.25">
      <c r="B35" s="37"/>
      <c r="C35" s="37"/>
      <c r="D35" s="37"/>
      <c r="E35" s="76">
        <v>11479</v>
      </c>
      <c r="F35" s="77" t="s">
        <v>385</v>
      </c>
      <c r="G35" s="50" t="s">
        <v>10</v>
      </c>
      <c r="H35" s="38">
        <v>262.5</v>
      </c>
      <c r="I35" s="38" t="s">
        <v>78</v>
      </c>
      <c r="J35" s="37"/>
      <c r="K35" s="76">
        <v>11555</v>
      </c>
      <c r="L35" s="76">
        <v>10</v>
      </c>
      <c r="M35" s="91">
        <v>1340</v>
      </c>
    </row>
    <row r="36" spans="2:18" ht="16.5" customHeight="1" x14ac:dyDescent="0.25">
      <c r="B36" s="37"/>
      <c r="C36" s="37"/>
      <c r="D36" s="37"/>
      <c r="E36" s="83">
        <v>10137</v>
      </c>
      <c r="F36" s="77" t="s">
        <v>386</v>
      </c>
      <c r="G36" s="50" t="s">
        <v>10</v>
      </c>
      <c r="H36" s="38">
        <v>123.75</v>
      </c>
      <c r="I36" s="38" t="s">
        <v>39</v>
      </c>
      <c r="J36" s="37"/>
      <c r="K36" s="76"/>
      <c r="L36" s="76"/>
      <c r="M36" s="91"/>
    </row>
    <row r="37" spans="2:18" ht="16.5" customHeight="1" x14ac:dyDescent="0.25">
      <c r="B37" s="37"/>
      <c r="C37" s="37"/>
      <c r="D37" s="37"/>
      <c r="E37" s="76"/>
      <c r="F37" s="77"/>
      <c r="G37" s="50"/>
      <c r="H37" s="38"/>
      <c r="I37" s="38"/>
      <c r="J37" s="37"/>
      <c r="K37" s="76"/>
      <c r="L37" s="76"/>
      <c r="M37" s="91"/>
    </row>
    <row r="38" spans="2:18" ht="16.5" customHeight="1" x14ac:dyDescent="0.25">
      <c r="B38" s="37"/>
      <c r="C38" s="37"/>
      <c r="D38" s="37"/>
      <c r="E38" s="76"/>
      <c r="F38" s="77"/>
      <c r="G38" s="50"/>
      <c r="H38" s="38"/>
      <c r="I38" s="38"/>
      <c r="J38" s="37"/>
      <c r="K38" s="76"/>
      <c r="L38" s="76"/>
      <c r="M38" s="91"/>
    </row>
    <row r="39" spans="2:18" ht="16.5" customHeight="1" x14ac:dyDescent="0.25">
      <c r="B39" s="37"/>
      <c r="C39" s="37"/>
      <c r="D39" s="37"/>
      <c r="E39" s="76"/>
      <c r="F39" s="50"/>
      <c r="G39" s="50"/>
      <c r="H39" s="38"/>
      <c r="I39" s="38"/>
      <c r="J39" s="37"/>
      <c r="K39" s="76"/>
      <c r="L39" s="76"/>
      <c r="M39" s="91"/>
    </row>
    <row r="40" spans="2:18" ht="16.5" customHeight="1" x14ac:dyDescent="0.25">
      <c r="B40" s="37"/>
      <c r="C40" s="37"/>
      <c r="D40" s="37"/>
      <c r="E40" s="78"/>
      <c r="F40" s="79"/>
      <c r="G40" s="40"/>
      <c r="H40" s="41"/>
      <c r="I40" s="38"/>
      <c r="J40" s="37"/>
      <c r="K40" s="78"/>
      <c r="L40" s="78"/>
      <c r="M40" s="92"/>
      <c r="Q40" s="1" t="s">
        <v>33</v>
      </c>
      <c r="R40" s="1">
        <f>SUM(R6:R21)</f>
        <v>8</v>
      </c>
    </row>
    <row r="41" spans="2:18" ht="16.5" customHeight="1" x14ac:dyDescent="0.25">
      <c r="B41" s="37"/>
      <c r="C41" s="37"/>
      <c r="D41" s="37"/>
      <c r="E41" s="82"/>
      <c r="F41" s="50"/>
      <c r="G41" s="50"/>
      <c r="H41" s="38"/>
      <c r="I41" s="38"/>
      <c r="J41" s="37"/>
      <c r="K41" s="76"/>
      <c r="L41" s="76"/>
      <c r="M41" s="92"/>
    </row>
    <row r="42" spans="2:18" ht="13.5" x14ac:dyDescent="0.25">
      <c r="B42" s="37"/>
      <c r="C42" s="37"/>
      <c r="D42" s="37"/>
      <c r="E42" s="34"/>
      <c r="F42" s="34"/>
      <c r="G42" s="34"/>
      <c r="H42" s="36"/>
      <c r="I42" s="36"/>
      <c r="J42" s="37"/>
      <c r="K42" s="32"/>
      <c r="L42" s="32"/>
      <c r="M42" s="32"/>
    </row>
    <row r="43" spans="2:18" ht="13.5" x14ac:dyDescent="0.25">
      <c r="B43" s="37"/>
      <c r="C43" s="37"/>
      <c r="D43" s="37"/>
      <c r="E43" s="34"/>
      <c r="F43" s="34"/>
      <c r="G43" s="34"/>
      <c r="H43" s="36"/>
      <c r="I43" s="36"/>
      <c r="J43" s="37"/>
      <c r="K43" s="32"/>
      <c r="L43" s="32"/>
      <c r="M43" s="32"/>
    </row>
    <row r="44" spans="2:18" ht="13.5" x14ac:dyDescent="0.25">
      <c r="B44" s="37"/>
      <c r="C44" s="37"/>
      <c r="D44" s="37"/>
      <c r="E44" s="34"/>
      <c r="F44" s="34"/>
      <c r="G44" s="34"/>
      <c r="H44" s="36"/>
      <c r="I44" s="36"/>
      <c r="J44" s="37"/>
      <c r="K44" s="32"/>
      <c r="L44" s="32"/>
      <c r="M44" s="32"/>
    </row>
    <row r="45" spans="2:18" ht="13.5" x14ac:dyDescent="0.25">
      <c r="B45" s="37"/>
      <c r="C45" s="37"/>
      <c r="D45" s="37"/>
      <c r="E45" s="34"/>
      <c r="F45" s="34"/>
      <c r="G45" s="34"/>
      <c r="H45" s="36"/>
      <c r="I45" s="36"/>
      <c r="J45" s="37"/>
      <c r="K45" s="32"/>
      <c r="L45" s="32"/>
      <c r="M45" s="32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5"/>
  <sheetViews>
    <sheetView showGridLines="0" view="pageBreakPreview" zoomScale="95" zoomScaleNormal="90" zoomScaleSheetLayoutView="95" workbookViewId="0">
      <selection activeCell="H39" sqref="H3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34.7109375" style="1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'26'!B1+1</f>
        <v>45896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4" t="s">
        <v>0</v>
      </c>
      <c r="C4" s="25">
        <v>0</v>
      </c>
      <c r="D4" s="57"/>
      <c r="E4" s="113" t="s">
        <v>137</v>
      </c>
      <c r="F4" s="113"/>
      <c r="G4" s="113"/>
      <c r="H4" s="113"/>
      <c r="I4" s="113"/>
      <c r="J4" s="29"/>
      <c r="K4" s="107" t="s">
        <v>138</v>
      </c>
      <c r="L4" s="108"/>
      <c r="M4" s="109"/>
    </row>
    <row r="5" spans="2:18" ht="16.5" x14ac:dyDescent="0.3">
      <c r="B5" s="27" t="s">
        <v>1</v>
      </c>
      <c r="C5" s="28">
        <f>SUMIF(I6:I31,"&gt;0",H6:H31)</f>
        <v>3730</v>
      </c>
      <c r="D5" s="29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29"/>
      <c r="K5" s="21" t="s">
        <v>18</v>
      </c>
      <c r="L5" s="22" t="s">
        <v>19</v>
      </c>
      <c r="M5" s="23" t="s">
        <v>20</v>
      </c>
    </row>
    <row r="6" spans="2:18" ht="16.5" x14ac:dyDescent="0.3">
      <c r="B6" s="27" t="s">
        <v>2</v>
      </c>
      <c r="C6" s="28">
        <f>C16</f>
        <v>1497.75</v>
      </c>
      <c r="D6" s="29"/>
      <c r="E6" s="76">
        <v>11697</v>
      </c>
      <c r="F6" s="77" t="s">
        <v>395</v>
      </c>
      <c r="G6" s="50" t="s">
        <v>7</v>
      </c>
      <c r="H6" s="38">
        <v>3200</v>
      </c>
      <c r="I6" s="38">
        <v>100</v>
      </c>
      <c r="J6" s="29"/>
      <c r="K6" s="77" t="s">
        <v>324</v>
      </c>
      <c r="L6" s="91" t="s">
        <v>10</v>
      </c>
      <c r="M6" s="42">
        <v>29</v>
      </c>
      <c r="R6" s="1">
        <f>IF(vend27[[#This Row],[Nº Venda]]&gt;1,1,0)</f>
        <v>1</v>
      </c>
    </row>
    <row r="7" spans="2:18" ht="16.5" x14ac:dyDescent="0.3">
      <c r="B7" s="27" t="s">
        <v>3</v>
      </c>
      <c r="C7" s="28">
        <f>SUM(M6:M11)</f>
        <v>29</v>
      </c>
      <c r="D7" s="29"/>
      <c r="E7" s="76">
        <v>11698</v>
      </c>
      <c r="F7" s="77" t="s">
        <v>248</v>
      </c>
      <c r="G7" s="50" t="s">
        <v>8</v>
      </c>
      <c r="H7" s="38">
        <v>260</v>
      </c>
      <c r="I7" s="38">
        <v>260</v>
      </c>
      <c r="J7" s="29"/>
      <c r="K7" s="77"/>
      <c r="L7" s="91"/>
      <c r="M7" s="42"/>
      <c r="R7" s="1">
        <f>IF(vend27[[#This Row],[Nº Venda]]&gt;1,1,0)</f>
        <v>1</v>
      </c>
    </row>
    <row r="8" spans="2:18" ht="16.5" x14ac:dyDescent="0.3">
      <c r="B8" s="30" t="s">
        <v>21</v>
      </c>
      <c r="C8" s="31">
        <f>SUM(C6:C7)</f>
        <v>1526.75</v>
      </c>
      <c r="D8" s="29"/>
      <c r="E8" s="76">
        <v>11699</v>
      </c>
      <c r="F8" s="77" t="s">
        <v>395</v>
      </c>
      <c r="G8" s="50" t="s">
        <v>7</v>
      </c>
      <c r="H8" s="38">
        <v>150</v>
      </c>
      <c r="I8" s="38">
        <v>100</v>
      </c>
      <c r="J8" s="29"/>
      <c r="K8" s="77"/>
      <c r="L8" s="91"/>
      <c r="M8" s="42"/>
      <c r="R8" s="1">
        <f>IF(vend27[[#This Row],[Nº Venda]]&gt;1,1,0)</f>
        <v>1</v>
      </c>
    </row>
    <row r="9" spans="2:18" ht="16.5" x14ac:dyDescent="0.3">
      <c r="B9" s="26"/>
      <c r="C9" s="26"/>
      <c r="D9" s="29"/>
      <c r="E9" s="76">
        <v>11700</v>
      </c>
      <c r="F9" s="77" t="s">
        <v>248</v>
      </c>
      <c r="G9" s="50" t="s">
        <v>46</v>
      </c>
      <c r="H9" s="38">
        <v>0</v>
      </c>
      <c r="I9" s="38">
        <v>0</v>
      </c>
      <c r="J9" s="29"/>
      <c r="K9" s="77"/>
      <c r="L9" s="91"/>
      <c r="M9" s="42"/>
      <c r="R9" s="1">
        <f>IF(vend27[[#This Row],[Nº Venda]]&gt;1,1,0)</f>
        <v>1</v>
      </c>
    </row>
    <row r="10" spans="2:18" ht="16.5" x14ac:dyDescent="0.3">
      <c r="B10" s="114" t="s">
        <v>5</v>
      </c>
      <c r="C10" s="115"/>
      <c r="D10" s="29"/>
      <c r="E10" s="76">
        <v>11701</v>
      </c>
      <c r="F10" s="77" t="s">
        <v>397</v>
      </c>
      <c r="G10" s="50" t="s">
        <v>10</v>
      </c>
      <c r="H10" s="38">
        <v>50</v>
      </c>
      <c r="I10" s="38">
        <v>50</v>
      </c>
      <c r="J10" s="29"/>
      <c r="K10" s="77"/>
      <c r="L10" s="91"/>
      <c r="M10" s="42"/>
      <c r="R10" s="1">
        <f>IF(vend27[[#This Row],[Nº Venda]]&gt;1,1,0)</f>
        <v>1</v>
      </c>
    </row>
    <row r="11" spans="2:18" ht="16.5" x14ac:dyDescent="0.3">
      <c r="B11" s="27" t="s">
        <v>6</v>
      </c>
      <c r="C11" s="70">
        <f>(SUMIF($G$2:$G$31,B11,$I$2:$I$31))+(SUMIF($G$35:$G$41,B11,$H$35:$H$41))</f>
        <v>0</v>
      </c>
      <c r="D11" s="29"/>
      <c r="E11" s="76">
        <v>11702</v>
      </c>
      <c r="F11" s="77" t="s">
        <v>396</v>
      </c>
      <c r="G11" s="50" t="s">
        <v>36</v>
      </c>
      <c r="H11" s="38">
        <v>0</v>
      </c>
      <c r="I11" s="38">
        <v>0</v>
      </c>
      <c r="J11" s="29"/>
      <c r="K11" s="37"/>
      <c r="L11" s="91"/>
      <c r="M11" s="42"/>
      <c r="O11" s="1">
        <f>IF(C16=0,0,1)</f>
        <v>1</v>
      </c>
      <c r="R11" s="1">
        <f>IF(vend27[[#This Row],[Nº Venda]]&gt;1,1,0)</f>
        <v>1</v>
      </c>
    </row>
    <row r="12" spans="2:18" ht="16.5" x14ac:dyDescent="0.3">
      <c r="B12" s="27" t="s">
        <v>7</v>
      </c>
      <c r="C12" s="70">
        <f t="shared" ref="C12:C15" si="0">(SUMIF($G$2:$G$31,B12,$I$2:$I$31))+(SUMIF($G$35:$G$41,B12,$H$35:$H$41))</f>
        <v>200</v>
      </c>
      <c r="D12" s="29"/>
      <c r="E12" s="76"/>
      <c r="F12" s="77"/>
      <c r="G12" s="50"/>
      <c r="H12" s="38"/>
      <c r="I12" s="38"/>
      <c r="J12" s="29"/>
      <c r="K12" s="32"/>
      <c r="L12" s="32"/>
      <c r="M12" s="32"/>
      <c r="R12" s="1">
        <f>IF(vend27[[#This Row],[Nº Venda]]&gt;1,1,0)</f>
        <v>0</v>
      </c>
    </row>
    <row r="13" spans="2:18" ht="16.5" x14ac:dyDescent="0.3">
      <c r="B13" s="27" t="s">
        <v>8</v>
      </c>
      <c r="C13" s="70">
        <f t="shared" si="0"/>
        <v>1109</v>
      </c>
      <c r="D13" s="29"/>
      <c r="E13" s="76"/>
      <c r="F13" s="77"/>
      <c r="G13" s="50"/>
      <c r="H13" s="38"/>
      <c r="I13" s="38"/>
      <c r="J13" s="29"/>
      <c r="K13" s="107" t="s">
        <v>142</v>
      </c>
      <c r="L13" s="108"/>
      <c r="M13" s="109"/>
      <c r="R13" s="1">
        <f>IF(vend27[[#This Row],[Nº Venda]]&gt;1,1,0)</f>
        <v>0</v>
      </c>
    </row>
    <row r="14" spans="2:18" ht="16.5" x14ac:dyDescent="0.3">
      <c r="B14" s="27" t="s">
        <v>9</v>
      </c>
      <c r="C14" s="70">
        <f t="shared" si="0"/>
        <v>0</v>
      </c>
      <c r="D14" s="29"/>
      <c r="E14" s="76"/>
      <c r="F14" s="77"/>
      <c r="G14" s="50"/>
      <c r="H14" s="38"/>
      <c r="I14" s="38"/>
      <c r="J14" s="29"/>
      <c r="K14" s="21" t="s">
        <v>22</v>
      </c>
      <c r="L14" s="22" t="s">
        <v>23</v>
      </c>
      <c r="M14" s="23" t="s">
        <v>24</v>
      </c>
      <c r="R14" s="1">
        <f>IF(vend27[[#This Row],[Nº Venda]]&gt;1,1,0)</f>
        <v>0</v>
      </c>
    </row>
    <row r="15" spans="2:18" ht="16.5" x14ac:dyDescent="0.3">
      <c r="B15" s="27" t="s">
        <v>10</v>
      </c>
      <c r="C15" s="70">
        <f t="shared" si="0"/>
        <v>188.75</v>
      </c>
      <c r="D15" s="29"/>
      <c r="E15" s="76"/>
      <c r="F15" s="77"/>
      <c r="G15" s="50"/>
      <c r="H15" s="38"/>
      <c r="I15" s="38"/>
      <c r="J15" s="29"/>
      <c r="K15" s="76">
        <v>11539</v>
      </c>
      <c r="L15" s="91" t="s">
        <v>131</v>
      </c>
      <c r="M15" s="42" t="s">
        <v>145</v>
      </c>
      <c r="R15" s="1">
        <f>IF(vend27[[#This Row],[Nº Venda]]&gt;1,1,0)</f>
        <v>0</v>
      </c>
    </row>
    <row r="16" spans="2:18" ht="16.5" x14ac:dyDescent="0.3">
      <c r="B16" s="30" t="s">
        <v>11</v>
      </c>
      <c r="C16" s="71">
        <f>SUM(C11:C15)</f>
        <v>1497.75</v>
      </c>
      <c r="D16" s="29"/>
      <c r="E16" s="76"/>
      <c r="F16" s="77"/>
      <c r="G16" s="50"/>
      <c r="H16" s="38"/>
      <c r="I16" s="38"/>
      <c r="J16" s="29"/>
      <c r="K16" s="76">
        <v>11540</v>
      </c>
      <c r="L16" s="91" t="s">
        <v>131</v>
      </c>
      <c r="M16" s="42" t="s">
        <v>145</v>
      </c>
      <c r="R16" s="1">
        <f>IF(vend27[[#This Row],[Nº Venda]]&gt;1,1,0)</f>
        <v>0</v>
      </c>
    </row>
    <row r="17" spans="2:18" ht="16.5" x14ac:dyDescent="0.3">
      <c r="B17" s="26"/>
      <c r="C17" s="26"/>
      <c r="D17" s="29"/>
      <c r="E17" s="76"/>
      <c r="F17" s="77"/>
      <c r="G17" s="50"/>
      <c r="H17" s="38"/>
      <c r="I17" s="38"/>
      <c r="J17" s="29"/>
      <c r="K17" s="76">
        <v>11594</v>
      </c>
      <c r="L17" s="91" t="s">
        <v>131</v>
      </c>
      <c r="M17" s="42" t="s">
        <v>145</v>
      </c>
      <c r="R17" s="1">
        <f>IF(vend27[[#This Row],[Nº Venda]]&gt;1,1,0)</f>
        <v>0</v>
      </c>
    </row>
    <row r="18" spans="2:18" ht="16.5" x14ac:dyDescent="0.3">
      <c r="B18" s="114" t="s">
        <v>12</v>
      </c>
      <c r="C18" s="115"/>
      <c r="D18" s="29"/>
      <c r="E18" s="76"/>
      <c r="F18" s="77"/>
      <c r="G18" s="50"/>
      <c r="H18" s="38"/>
      <c r="I18" s="38"/>
      <c r="J18" s="29"/>
      <c r="K18" s="76">
        <v>11649</v>
      </c>
      <c r="L18" s="91" t="s">
        <v>131</v>
      </c>
      <c r="M18" s="42" t="s">
        <v>145</v>
      </c>
      <c r="R18" s="1">
        <f>IF(vend27[[#This Row],[Nº Venda]]&gt;1,1,0)</f>
        <v>0</v>
      </c>
    </row>
    <row r="19" spans="2:18" ht="16.5" x14ac:dyDescent="0.3">
      <c r="B19" s="27">
        <f>COUNT(entr_carn27[OS])</f>
        <v>0</v>
      </c>
      <c r="C19" s="70">
        <f>SUM(entr_carn27[Valor Total])</f>
        <v>0</v>
      </c>
      <c r="D19" s="29"/>
      <c r="E19" s="76"/>
      <c r="F19" s="77"/>
      <c r="G19" s="50"/>
      <c r="H19" s="38"/>
      <c r="I19" s="38"/>
      <c r="J19" s="29"/>
      <c r="K19" s="76">
        <v>11654</v>
      </c>
      <c r="L19" s="91" t="s">
        <v>131</v>
      </c>
      <c r="M19" s="42" t="s">
        <v>145</v>
      </c>
      <c r="R19" s="1">
        <f>IF(vend27[[#This Row],[Nº Venda]]&gt;1,1,0)</f>
        <v>0</v>
      </c>
    </row>
    <row r="20" spans="2:18" ht="16.5" x14ac:dyDescent="0.3">
      <c r="B20" s="30" t="s">
        <v>11</v>
      </c>
      <c r="C20" s="71">
        <f>SUM(C19:C19)</f>
        <v>0</v>
      </c>
      <c r="D20" s="29"/>
      <c r="E20" s="76"/>
      <c r="F20" s="50"/>
      <c r="G20" s="50"/>
      <c r="H20" s="38"/>
      <c r="I20" s="38"/>
      <c r="J20" s="29"/>
      <c r="K20" s="76">
        <v>11679</v>
      </c>
      <c r="L20" s="91" t="s">
        <v>129</v>
      </c>
      <c r="M20" s="42" t="s">
        <v>145</v>
      </c>
      <c r="R20" s="1">
        <f>IF(vend27[[#This Row],[Nº Venda]]&gt;1,1,0)</f>
        <v>0</v>
      </c>
    </row>
    <row r="21" spans="2:18" ht="16.5" x14ac:dyDescent="0.3">
      <c r="B21" s="26"/>
      <c r="C21" s="26"/>
      <c r="D21" s="29"/>
      <c r="E21" s="76"/>
      <c r="F21" s="77"/>
      <c r="G21" s="50"/>
      <c r="H21" s="38"/>
      <c r="I21" s="38"/>
      <c r="J21" s="29"/>
      <c r="K21" s="76">
        <v>11693</v>
      </c>
      <c r="L21" s="91" t="s">
        <v>129</v>
      </c>
      <c r="M21" s="42" t="s">
        <v>145</v>
      </c>
    </row>
    <row r="22" spans="2:18" ht="16.5" x14ac:dyDescent="0.3">
      <c r="B22" s="30" t="s">
        <v>25</v>
      </c>
      <c r="C22" s="33">
        <f>C5</f>
        <v>3730</v>
      </c>
      <c r="D22" s="29"/>
      <c r="E22" s="78"/>
      <c r="F22" s="77"/>
      <c r="G22" s="50"/>
      <c r="H22" s="38"/>
      <c r="I22" s="38"/>
      <c r="J22" s="29"/>
      <c r="K22" s="76">
        <v>11701</v>
      </c>
      <c r="L22" s="91" t="s">
        <v>131</v>
      </c>
      <c r="M22" s="42" t="s">
        <v>145</v>
      </c>
    </row>
    <row r="23" spans="2:18" ht="16.5" x14ac:dyDescent="0.3">
      <c r="B23" s="29"/>
      <c r="C23" s="29"/>
      <c r="D23" s="29"/>
      <c r="E23" s="34"/>
      <c r="F23" s="34"/>
      <c r="G23" s="34"/>
      <c r="H23" s="35"/>
      <c r="I23" s="36"/>
      <c r="J23" s="29"/>
      <c r="K23" s="76"/>
      <c r="L23" s="91"/>
      <c r="M23" s="42"/>
    </row>
    <row r="24" spans="2:18" ht="16.5" x14ac:dyDescent="0.3">
      <c r="B24" s="29"/>
      <c r="C24" s="29"/>
      <c r="D24" s="29"/>
      <c r="E24" s="105" t="s">
        <v>139</v>
      </c>
      <c r="F24" s="106"/>
      <c r="G24" s="106"/>
      <c r="H24" s="106"/>
      <c r="I24" s="106"/>
      <c r="J24" s="29"/>
      <c r="K24" s="76"/>
      <c r="L24" s="91"/>
      <c r="M24" s="42"/>
    </row>
    <row r="25" spans="2:18" ht="16.5" x14ac:dyDescent="0.3">
      <c r="B25" s="29"/>
      <c r="C25" s="29"/>
      <c r="D25" s="29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29"/>
      <c r="K25" s="76"/>
      <c r="L25" s="91"/>
      <c r="M25" s="42"/>
    </row>
    <row r="26" spans="2:18" ht="16.5" x14ac:dyDescent="0.3">
      <c r="B26" s="29"/>
      <c r="C26" s="29"/>
      <c r="D26" s="29"/>
      <c r="E26" s="76">
        <v>11679</v>
      </c>
      <c r="F26" s="77" t="s">
        <v>370</v>
      </c>
      <c r="G26" s="50" t="s">
        <v>10</v>
      </c>
      <c r="H26" s="38">
        <v>70</v>
      </c>
      <c r="I26" s="38">
        <v>70</v>
      </c>
      <c r="J26" s="29"/>
      <c r="K26" s="76"/>
      <c r="L26" s="91"/>
      <c r="M26" s="42"/>
    </row>
    <row r="27" spans="2:18" ht="16.5" x14ac:dyDescent="0.3">
      <c r="B27" s="29"/>
      <c r="C27" s="29"/>
      <c r="D27" s="29"/>
      <c r="E27" s="76">
        <v>11649</v>
      </c>
      <c r="F27" s="77" t="s">
        <v>335</v>
      </c>
      <c r="G27" s="50" t="s">
        <v>8</v>
      </c>
      <c r="H27" s="38"/>
      <c r="I27" s="38">
        <v>569</v>
      </c>
      <c r="J27" s="29"/>
      <c r="K27" s="76"/>
      <c r="L27" s="91"/>
      <c r="M27" s="42"/>
    </row>
    <row r="28" spans="2:18" ht="16.5" x14ac:dyDescent="0.3">
      <c r="B28" s="29"/>
      <c r="C28" s="29"/>
      <c r="D28" s="29"/>
      <c r="E28" s="76">
        <v>11650</v>
      </c>
      <c r="F28" s="77" t="s">
        <v>335</v>
      </c>
      <c r="G28" s="50" t="s">
        <v>8</v>
      </c>
      <c r="H28" s="38"/>
      <c r="I28" s="38">
        <v>280</v>
      </c>
      <c r="J28" s="29"/>
      <c r="K28" s="76"/>
      <c r="L28" s="91"/>
      <c r="M28" s="42"/>
    </row>
    <row r="29" spans="2:18" ht="16.5" x14ac:dyDescent="0.3">
      <c r="B29" s="29"/>
      <c r="C29" s="29"/>
      <c r="D29" s="29"/>
      <c r="E29" s="76"/>
      <c r="F29" s="77"/>
      <c r="G29" s="50"/>
      <c r="H29" s="38"/>
      <c r="I29" s="38"/>
      <c r="J29" s="29"/>
      <c r="K29" s="76"/>
      <c r="L29" s="91"/>
      <c r="M29" s="42"/>
    </row>
    <row r="30" spans="2:18" ht="16.5" x14ac:dyDescent="0.3">
      <c r="B30" s="29"/>
      <c r="C30" s="29"/>
      <c r="D30" s="29"/>
      <c r="E30" s="76"/>
      <c r="F30" s="50"/>
      <c r="G30" s="50"/>
      <c r="H30" s="38"/>
      <c r="I30" s="38"/>
      <c r="J30" s="29"/>
      <c r="K30" s="76"/>
      <c r="L30" s="91"/>
      <c r="M30" s="42"/>
    </row>
    <row r="31" spans="2:18" ht="16.5" x14ac:dyDescent="0.3">
      <c r="B31" s="29"/>
      <c r="C31" s="29"/>
      <c r="D31" s="29"/>
      <c r="E31" s="78"/>
      <c r="F31" s="79"/>
      <c r="G31" s="40"/>
      <c r="H31" s="41"/>
      <c r="I31" s="41"/>
      <c r="J31" s="29"/>
      <c r="K31" s="76"/>
      <c r="L31" s="91"/>
      <c r="M31" s="42"/>
    </row>
    <row r="32" spans="2:18" ht="16.5" x14ac:dyDescent="0.3">
      <c r="B32" s="29"/>
      <c r="C32" s="29"/>
      <c r="D32" s="37"/>
      <c r="E32" s="34"/>
      <c r="F32" s="34"/>
      <c r="G32" s="34"/>
      <c r="H32" s="36"/>
      <c r="I32" s="36"/>
      <c r="J32" s="37"/>
      <c r="K32" s="32"/>
      <c r="L32" s="32"/>
      <c r="M32" s="32"/>
    </row>
    <row r="33" spans="2:18" ht="16.5" x14ac:dyDescent="0.3">
      <c r="B33" s="29"/>
      <c r="C33" s="29"/>
      <c r="D33" s="37"/>
      <c r="E33" s="105" t="s">
        <v>140</v>
      </c>
      <c r="F33" s="106"/>
      <c r="G33" s="106"/>
      <c r="H33" s="106"/>
      <c r="I33" s="106"/>
      <c r="J33" s="37"/>
      <c r="K33" s="107" t="s">
        <v>141</v>
      </c>
      <c r="L33" s="108"/>
      <c r="M33" s="109"/>
    </row>
    <row r="34" spans="2:18" ht="16.5" x14ac:dyDescent="0.3">
      <c r="B34" s="37"/>
      <c r="C34" s="37"/>
      <c r="D34" s="37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7"/>
      <c r="K34" s="22" t="s">
        <v>22</v>
      </c>
      <c r="L34" s="21" t="s">
        <v>28</v>
      </c>
      <c r="M34" s="22" t="s">
        <v>29</v>
      </c>
    </row>
    <row r="35" spans="2:18" ht="16.5" customHeight="1" x14ac:dyDescent="0.25">
      <c r="B35" s="37"/>
      <c r="C35" s="37"/>
      <c r="D35" s="37"/>
      <c r="E35" s="76">
        <v>11309</v>
      </c>
      <c r="F35" s="77" t="s">
        <v>386</v>
      </c>
      <c r="G35" s="50" t="s">
        <v>10</v>
      </c>
      <c r="H35" s="38">
        <v>68.75</v>
      </c>
      <c r="I35" s="38" t="s">
        <v>78</v>
      </c>
      <c r="J35" s="37"/>
      <c r="K35" s="76"/>
      <c r="L35" s="76"/>
      <c r="M35" s="91"/>
    </row>
    <row r="36" spans="2:18" ht="16.5" customHeight="1" x14ac:dyDescent="0.25">
      <c r="B36" s="37"/>
      <c r="C36" s="37"/>
      <c r="D36" s="37"/>
      <c r="E36" s="83"/>
      <c r="F36" s="77"/>
      <c r="G36" s="50"/>
      <c r="H36" s="38"/>
      <c r="I36" s="38"/>
      <c r="J36" s="37"/>
      <c r="K36" s="76"/>
      <c r="L36" s="76"/>
      <c r="M36" s="91"/>
    </row>
    <row r="37" spans="2:18" ht="16.5" customHeight="1" x14ac:dyDescent="0.25">
      <c r="B37" s="37"/>
      <c r="C37" s="37"/>
      <c r="D37" s="37"/>
      <c r="E37" s="76"/>
      <c r="F37" s="77"/>
      <c r="G37" s="50"/>
      <c r="H37" s="38"/>
      <c r="I37" s="38"/>
      <c r="J37" s="37"/>
      <c r="K37" s="76"/>
      <c r="L37" s="76"/>
      <c r="M37" s="91"/>
    </row>
    <row r="38" spans="2:18" ht="16.5" customHeight="1" x14ac:dyDescent="0.25">
      <c r="B38" s="37"/>
      <c r="C38" s="37"/>
      <c r="D38" s="37"/>
      <c r="E38" s="76"/>
      <c r="F38" s="77"/>
      <c r="G38" s="50"/>
      <c r="H38" s="38"/>
      <c r="I38" s="38"/>
      <c r="J38" s="37"/>
      <c r="K38" s="76"/>
      <c r="L38" s="76"/>
      <c r="M38" s="91"/>
    </row>
    <row r="39" spans="2:18" ht="16.5" customHeight="1" x14ac:dyDescent="0.25">
      <c r="B39" s="37"/>
      <c r="C39" s="37"/>
      <c r="D39" s="37"/>
      <c r="E39" s="76"/>
      <c r="F39" s="50"/>
      <c r="G39" s="50"/>
      <c r="H39" s="38"/>
      <c r="I39" s="38"/>
      <c r="J39" s="37"/>
      <c r="K39" s="76"/>
      <c r="L39" s="76"/>
      <c r="M39" s="91"/>
    </row>
    <row r="40" spans="2:18" ht="16.5" customHeight="1" x14ac:dyDescent="0.25">
      <c r="B40" s="37"/>
      <c r="C40" s="37"/>
      <c r="D40" s="37"/>
      <c r="E40" s="78"/>
      <c r="F40" s="79"/>
      <c r="G40" s="40"/>
      <c r="H40" s="41"/>
      <c r="I40" s="38"/>
      <c r="J40" s="37"/>
      <c r="K40" s="78"/>
      <c r="L40" s="78"/>
      <c r="M40" s="92"/>
      <c r="Q40" s="1" t="s">
        <v>33</v>
      </c>
      <c r="R40" s="1">
        <f>SUM(R6:R21)</f>
        <v>6</v>
      </c>
    </row>
    <row r="41" spans="2:18" ht="16.5" customHeight="1" x14ac:dyDescent="0.25">
      <c r="B41" s="37"/>
      <c r="C41" s="37"/>
      <c r="D41" s="37"/>
      <c r="E41" s="82"/>
      <c r="F41" s="50"/>
      <c r="G41" s="50"/>
      <c r="H41" s="38"/>
      <c r="I41" s="38"/>
      <c r="J41" s="37"/>
      <c r="K41" s="76"/>
      <c r="L41" s="76"/>
      <c r="M41" s="92"/>
    </row>
    <row r="42" spans="2:18" ht="13.5" x14ac:dyDescent="0.25">
      <c r="B42" s="37"/>
      <c r="C42" s="37"/>
      <c r="D42" s="37"/>
      <c r="E42" s="34"/>
      <c r="F42" s="34"/>
      <c r="G42" s="34"/>
      <c r="H42" s="36"/>
      <c r="I42" s="36"/>
      <c r="J42" s="37"/>
      <c r="K42" s="32"/>
      <c r="L42" s="32"/>
      <c r="M42" s="32"/>
    </row>
    <row r="43" spans="2:18" ht="13.5" x14ac:dyDescent="0.25">
      <c r="B43" s="37"/>
      <c r="C43" s="37"/>
      <c r="D43" s="37"/>
      <c r="E43" s="34"/>
      <c r="F43" s="34"/>
      <c r="G43" s="34"/>
      <c r="H43" s="36"/>
      <c r="I43" s="36"/>
      <c r="J43" s="37"/>
      <c r="K43" s="32"/>
      <c r="L43" s="32"/>
      <c r="M43" s="32"/>
    </row>
    <row r="44" spans="2:18" ht="13.5" x14ac:dyDescent="0.25">
      <c r="B44" s="37"/>
      <c r="C44" s="37"/>
      <c r="D44" s="37"/>
      <c r="E44" s="34"/>
      <c r="F44" s="34"/>
      <c r="G44" s="34"/>
      <c r="H44" s="36"/>
      <c r="I44" s="36"/>
      <c r="J44" s="37"/>
      <c r="K44" s="32"/>
      <c r="L44" s="32"/>
      <c r="M44" s="32"/>
    </row>
    <row r="45" spans="2:18" ht="13.5" x14ac:dyDescent="0.25">
      <c r="B45" s="37"/>
      <c r="C45" s="37"/>
      <c r="D45" s="37"/>
      <c r="E45" s="34"/>
      <c r="F45" s="34"/>
      <c r="G45" s="34"/>
      <c r="H45" s="36"/>
      <c r="I45" s="36"/>
      <c r="J45" s="37"/>
      <c r="K45" s="32"/>
      <c r="L45" s="32"/>
      <c r="M45" s="32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5"/>
  <sheetViews>
    <sheetView showGridLines="0" view="pageBreakPreview" zoomScale="82" zoomScaleNormal="90" zoomScaleSheetLayoutView="82" workbookViewId="0">
      <selection activeCell="K36" sqref="K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34.7109375" style="1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'27'!B1+1</f>
        <v>45897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4" t="s">
        <v>0</v>
      </c>
      <c r="C4" s="25">
        <v>0</v>
      </c>
      <c r="D4" s="57"/>
      <c r="E4" s="113" t="s">
        <v>137</v>
      </c>
      <c r="F4" s="113"/>
      <c r="G4" s="113"/>
      <c r="H4" s="113"/>
      <c r="I4" s="113"/>
      <c r="J4" s="29"/>
      <c r="K4" s="107" t="s">
        <v>138</v>
      </c>
      <c r="L4" s="108"/>
      <c r="M4" s="109"/>
    </row>
    <row r="5" spans="2:18" ht="16.5" x14ac:dyDescent="0.3">
      <c r="B5" s="27" t="s">
        <v>1</v>
      </c>
      <c r="C5" s="28">
        <f>SUMIF(I6:I31,"&gt;0",H6:H31)</f>
        <v>2309</v>
      </c>
      <c r="D5" s="29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29"/>
      <c r="K5" s="21" t="s">
        <v>18</v>
      </c>
      <c r="L5" s="22" t="s">
        <v>19</v>
      </c>
      <c r="M5" s="23" t="s">
        <v>20</v>
      </c>
    </row>
    <row r="6" spans="2:18" ht="16.5" x14ac:dyDescent="0.3">
      <c r="B6" s="27" t="s">
        <v>2</v>
      </c>
      <c r="C6" s="28">
        <f>C16</f>
        <v>1810</v>
      </c>
      <c r="D6" s="29"/>
      <c r="E6" s="76">
        <v>11703</v>
      </c>
      <c r="F6" s="77" t="s">
        <v>402</v>
      </c>
      <c r="G6" s="50" t="s">
        <v>8</v>
      </c>
      <c r="H6" s="38">
        <v>60</v>
      </c>
      <c r="I6" s="38">
        <v>60</v>
      </c>
      <c r="J6" s="29"/>
      <c r="K6" s="77" t="s">
        <v>324</v>
      </c>
      <c r="L6" s="91" t="s">
        <v>10</v>
      </c>
      <c r="M6" s="42">
        <v>2.95</v>
      </c>
      <c r="R6" s="1">
        <f>IF(vend28[[#This Row],[Nº Venda]]&gt;1,1,0)</f>
        <v>1</v>
      </c>
    </row>
    <row r="7" spans="2:18" ht="16.5" x14ac:dyDescent="0.3">
      <c r="B7" s="27" t="s">
        <v>3</v>
      </c>
      <c r="C7" s="28">
        <f>SUM(M6:M11)</f>
        <v>2.95</v>
      </c>
      <c r="D7" s="29"/>
      <c r="E7" s="76">
        <v>11704</v>
      </c>
      <c r="F7" s="77" t="s">
        <v>403</v>
      </c>
      <c r="G7" s="50" t="s">
        <v>6</v>
      </c>
      <c r="H7" s="38">
        <v>420</v>
      </c>
      <c r="I7" s="38">
        <v>420</v>
      </c>
      <c r="J7" s="29"/>
      <c r="K7" s="77"/>
      <c r="L7" s="91"/>
      <c r="M7" s="42"/>
      <c r="R7" s="1">
        <f>IF(vend28[[#This Row],[Nº Venda]]&gt;1,1,0)</f>
        <v>1</v>
      </c>
    </row>
    <row r="8" spans="2:18" ht="16.5" x14ac:dyDescent="0.3">
      <c r="B8" s="30" t="s">
        <v>21</v>
      </c>
      <c r="C8" s="31">
        <f>SUM(C6:C7)</f>
        <v>1812.95</v>
      </c>
      <c r="D8" s="29"/>
      <c r="E8" s="76">
        <v>11705</v>
      </c>
      <c r="F8" s="77" t="s">
        <v>404</v>
      </c>
      <c r="G8" s="50" t="s">
        <v>10</v>
      </c>
      <c r="H8" s="38">
        <v>1290</v>
      </c>
      <c r="I8" s="38">
        <v>500</v>
      </c>
      <c r="J8" s="29"/>
      <c r="K8" s="77"/>
      <c r="L8" s="91"/>
      <c r="M8" s="42"/>
      <c r="R8" s="1">
        <f>IF(vend28[[#This Row],[Nº Venda]]&gt;1,1,0)</f>
        <v>1</v>
      </c>
    </row>
    <row r="9" spans="2:18" ht="16.5" x14ac:dyDescent="0.3">
      <c r="B9" s="26"/>
      <c r="C9" s="26"/>
      <c r="D9" s="29"/>
      <c r="E9" s="76">
        <v>11706</v>
      </c>
      <c r="F9" s="77" t="s">
        <v>405</v>
      </c>
      <c r="G9" s="50" t="s">
        <v>10</v>
      </c>
      <c r="H9" s="38">
        <v>240</v>
      </c>
      <c r="I9" s="38">
        <v>240</v>
      </c>
      <c r="J9" s="29"/>
      <c r="K9" s="77"/>
      <c r="L9" s="91"/>
      <c r="M9" s="42"/>
      <c r="R9" s="1">
        <f>IF(vend28[[#This Row],[Nº Venda]]&gt;1,1,0)</f>
        <v>1</v>
      </c>
    </row>
    <row r="10" spans="2:18" ht="16.5" x14ac:dyDescent="0.3">
      <c r="B10" s="114" t="s">
        <v>5</v>
      </c>
      <c r="C10" s="115"/>
      <c r="D10" s="29"/>
      <c r="E10" s="76"/>
      <c r="F10" s="77"/>
      <c r="G10" s="50"/>
      <c r="H10" s="38"/>
      <c r="I10" s="38"/>
      <c r="J10" s="29"/>
      <c r="K10" s="77"/>
      <c r="L10" s="91"/>
      <c r="M10" s="42"/>
      <c r="R10" s="1">
        <f>IF(vend28[[#This Row],[Nº Venda]]&gt;1,1,0)</f>
        <v>0</v>
      </c>
    </row>
    <row r="11" spans="2:18" ht="16.5" x14ac:dyDescent="0.3">
      <c r="B11" s="27" t="s">
        <v>6</v>
      </c>
      <c r="C11" s="70">
        <f>(SUMIF($G$2:$G$31,B11,$I$2:$I$31))+(SUMIF($G$35:$G$41,B11,$H$35:$H$41))</f>
        <v>690</v>
      </c>
      <c r="D11" s="29"/>
      <c r="E11" s="76"/>
      <c r="F11" s="77"/>
      <c r="G11" s="50"/>
      <c r="H11" s="38"/>
      <c r="I11" s="38"/>
      <c r="J11" s="29"/>
      <c r="K11" s="37"/>
      <c r="L11" s="91"/>
      <c r="M11" s="42"/>
      <c r="O11" s="1">
        <f>IF(C16=0,0,1)</f>
        <v>1</v>
      </c>
      <c r="R11" s="1">
        <f>IF(vend28[[#This Row],[Nº Venda]]&gt;1,1,0)</f>
        <v>0</v>
      </c>
    </row>
    <row r="12" spans="2:18" ht="16.5" x14ac:dyDescent="0.3">
      <c r="B12" s="27" t="s">
        <v>7</v>
      </c>
      <c r="C12" s="70">
        <f t="shared" ref="C12:C15" si="0">(SUMIF($G$2:$G$31,B12,$I$2:$I$31))+(SUMIF($G$35:$G$41,B12,$H$35:$H$41))</f>
        <v>0</v>
      </c>
      <c r="D12" s="29"/>
      <c r="E12" s="76"/>
      <c r="F12" s="77"/>
      <c r="G12" s="50"/>
      <c r="H12" s="38"/>
      <c r="I12" s="38"/>
      <c r="J12" s="29"/>
      <c r="K12" s="32"/>
      <c r="L12" s="32"/>
      <c r="M12" s="32"/>
      <c r="R12" s="1">
        <f>IF(vend28[[#This Row],[Nº Venda]]&gt;1,1,0)</f>
        <v>0</v>
      </c>
    </row>
    <row r="13" spans="2:18" ht="16.5" x14ac:dyDescent="0.3">
      <c r="B13" s="27" t="s">
        <v>8</v>
      </c>
      <c r="C13" s="70">
        <f t="shared" si="0"/>
        <v>60</v>
      </c>
      <c r="D13" s="29"/>
      <c r="E13" s="76"/>
      <c r="F13" s="77"/>
      <c r="G13" s="50"/>
      <c r="H13" s="38"/>
      <c r="I13" s="38"/>
      <c r="J13" s="29"/>
      <c r="K13" s="107" t="s">
        <v>142</v>
      </c>
      <c r="L13" s="108"/>
      <c r="M13" s="109"/>
      <c r="R13" s="1">
        <f>IF(vend28[[#This Row],[Nº Venda]]&gt;1,1,0)</f>
        <v>0</v>
      </c>
    </row>
    <row r="14" spans="2:18" ht="16.5" x14ac:dyDescent="0.3">
      <c r="B14" s="27" t="s">
        <v>9</v>
      </c>
      <c r="C14" s="70">
        <f t="shared" si="0"/>
        <v>0</v>
      </c>
      <c r="D14" s="29"/>
      <c r="E14" s="76"/>
      <c r="F14" s="77"/>
      <c r="G14" s="50"/>
      <c r="H14" s="38"/>
      <c r="I14" s="38"/>
      <c r="J14" s="29"/>
      <c r="K14" s="21" t="s">
        <v>22</v>
      </c>
      <c r="L14" s="22" t="s">
        <v>23</v>
      </c>
      <c r="M14" s="23" t="s">
        <v>24</v>
      </c>
      <c r="R14" s="1">
        <f>IF(vend28[[#This Row],[Nº Venda]]&gt;1,1,0)</f>
        <v>0</v>
      </c>
    </row>
    <row r="15" spans="2:18" ht="16.5" x14ac:dyDescent="0.3">
      <c r="B15" s="27" t="s">
        <v>10</v>
      </c>
      <c r="C15" s="70">
        <f t="shared" si="0"/>
        <v>1060</v>
      </c>
      <c r="D15" s="29"/>
      <c r="E15" s="76"/>
      <c r="F15" s="77"/>
      <c r="G15" s="50"/>
      <c r="H15" s="38"/>
      <c r="I15" s="38"/>
      <c r="J15" s="29"/>
      <c r="K15" s="76">
        <v>11535</v>
      </c>
      <c r="L15" s="91" t="s">
        <v>131</v>
      </c>
      <c r="M15" s="42" t="s">
        <v>145</v>
      </c>
      <c r="R15" s="1">
        <f>IF(vend28[[#This Row],[Nº Venda]]&gt;1,1,0)</f>
        <v>0</v>
      </c>
    </row>
    <row r="16" spans="2:18" ht="16.5" x14ac:dyDescent="0.3">
      <c r="B16" s="30" t="s">
        <v>11</v>
      </c>
      <c r="C16" s="71">
        <f>SUM(C11:C15)</f>
        <v>1810</v>
      </c>
      <c r="D16" s="29"/>
      <c r="E16" s="76"/>
      <c r="F16" s="77"/>
      <c r="G16" s="50"/>
      <c r="H16" s="38"/>
      <c r="I16" s="38"/>
      <c r="J16" s="29"/>
      <c r="K16" s="76">
        <v>11645</v>
      </c>
      <c r="L16" s="91" t="s">
        <v>131</v>
      </c>
      <c r="M16" s="42" t="s">
        <v>146</v>
      </c>
      <c r="R16" s="1">
        <f>IF(vend28[[#This Row],[Nº Venda]]&gt;1,1,0)</f>
        <v>0</v>
      </c>
    </row>
    <row r="17" spans="2:18" ht="16.5" x14ac:dyDescent="0.3">
      <c r="B17" s="26"/>
      <c r="C17" s="26"/>
      <c r="D17" s="29"/>
      <c r="E17" s="76"/>
      <c r="F17" s="77"/>
      <c r="G17" s="50"/>
      <c r="H17" s="38"/>
      <c r="I17" s="38"/>
      <c r="J17" s="29"/>
      <c r="K17" s="76">
        <v>11702</v>
      </c>
      <c r="L17" s="91" t="s">
        <v>129</v>
      </c>
      <c r="M17" s="42" t="s">
        <v>145</v>
      </c>
      <c r="R17" s="1">
        <f>IF(vend28[[#This Row],[Nº Venda]]&gt;1,1,0)</f>
        <v>0</v>
      </c>
    </row>
    <row r="18" spans="2:18" ht="16.5" x14ac:dyDescent="0.3">
      <c r="B18" s="114" t="s">
        <v>12</v>
      </c>
      <c r="C18" s="115"/>
      <c r="D18" s="29"/>
      <c r="E18" s="76"/>
      <c r="F18" s="77"/>
      <c r="G18" s="50"/>
      <c r="H18" s="38"/>
      <c r="I18" s="38"/>
      <c r="J18" s="29"/>
      <c r="K18" s="76">
        <v>11605</v>
      </c>
      <c r="L18" s="91" t="s">
        <v>131</v>
      </c>
      <c r="M18" s="42" t="s">
        <v>146</v>
      </c>
      <c r="R18" s="1">
        <f>IF(vend28[[#This Row],[Nº Venda]]&gt;1,1,0)</f>
        <v>0</v>
      </c>
    </row>
    <row r="19" spans="2:18" ht="16.5" x14ac:dyDescent="0.3">
      <c r="B19" s="27">
        <f>COUNT(entr_carn28[OS])</f>
        <v>3</v>
      </c>
      <c r="C19" s="70">
        <f>SUM(entr_carn28[Valor Total])</f>
        <v>1175</v>
      </c>
      <c r="D19" s="29"/>
      <c r="E19" s="76"/>
      <c r="F19" s="77"/>
      <c r="G19" s="50"/>
      <c r="H19" s="38"/>
      <c r="I19" s="38"/>
      <c r="J19" s="29"/>
      <c r="K19" s="76"/>
      <c r="L19" s="91"/>
      <c r="M19" s="42"/>
      <c r="R19" s="1">
        <f>IF(vend28[[#This Row],[Nº Venda]]&gt;1,1,0)</f>
        <v>0</v>
      </c>
    </row>
    <row r="20" spans="2:18" ht="16.5" x14ac:dyDescent="0.3">
      <c r="B20" s="30" t="s">
        <v>11</v>
      </c>
      <c r="C20" s="71">
        <f>SUM(C19:C19)</f>
        <v>1175</v>
      </c>
      <c r="D20" s="29"/>
      <c r="E20" s="76"/>
      <c r="F20" s="50"/>
      <c r="G20" s="50"/>
      <c r="H20" s="38"/>
      <c r="I20" s="38"/>
      <c r="J20" s="29"/>
      <c r="K20" s="76"/>
      <c r="L20" s="91"/>
      <c r="M20" s="42"/>
      <c r="R20" s="1">
        <f>IF(vend28[[#This Row],[Nº Venda]]&gt;1,1,0)</f>
        <v>0</v>
      </c>
    </row>
    <row r="21" spans="2:18" ht="16.5" x14ac:dyDescent="0.3">
      <c r="B21" s="26"/>
      <c r="C21" s="26"/>
      <c r="D21" s="29"/>
      <c r="E21" s="76"/>
      <c r="F21" s="77"/>
      <c r="G21" s="50"/>
      <c r="H21" s="38"/>
      <c r="I21" s="38"/>
      <c r="J21" s="29"/>
      <c r="K21" s="76"/>
      <c r="L21" s="91"/>
      <c r="M21" s="42"/>
    </row>
    <row r="22" spans="2:18" ht="16.5" x14ac:dyDescent="0.3">
      <c r="B22" s="30" t="s">
        <v>25</v>
      </c>
      <c r="C22" s="33">
        <f>C5</f>
        <v>2309</v>
      </c>
      <c r="D22" s="29"/>
      <c r="E22" s="78"/>
      <c r="F22" s="77"/>
      <c r="G22" s="50"/>
      <c r="H22" s="38"/>
      <c r="I22" s="38"/>
      <c r="J22" s="29"/>
      <c r="K22" s="76"/>
      <c r="L22" s="91"/>
      <c r="M22" s="42"/>
    </row>
    <row r="23" spans="2:18" ht="16.5" x14ac:dyDescent="0.3">
      <c r="B23" s="29"/>
      <c r="C23" s="29"/>
      <c r="D23" s="29"/>
      <c r="E23" s="34"/>
      <c r="F23" s="34"/>
      <c r="G23" s="34"/>
      <c r="H23" s="35"/>
      <c r="I23" s="36"/>
      <c r="J23" s="29"/>
      <c r="K23" s="76"/>
      <c r="L23" s="91"/>
      <c r="M23" s="42"/>
    </row>
    <row r="24" spans="2:18" ht="16.5" x14ac:dyDescent="0.3">
      <c r="B24" s="29"/>
      <c r="C24" s="29"/>
      <c r="D24" s="29"/>
      <c r="E24" s="105" t="s">
        <v>139</v>
      </c>
      <c r="F24" s="106"/>
      <c r="G24" s="106"/>
      <c r="H24" s="106"/>
      <c r="I24" s="106"/>
      <c r="J24" s="29"/>
      <c r="K24" s="76"/>
      <c r="L24" s="91"/>
      <c r="M24" s="42"/>
    </row>
    <row r="25" spans="2:18" ht="16.5" x14ac:dyDescent="0.3">
      <c r="B25" s="29"/>
      <c r="C25" s="29"/>
      <c r="D25" s="29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29"/>
      <c r="K25" s="76"/>
      <c r="L25" s="91"/>
      <c r="M25" s="42"/>
    </row>
    <row r="26" spans="2:18" ht="16.5" x14ac:dyDescent="0.3">
      <c r="B26" s="29"/>
      <c r="C26" s="29"/>
      <c r="D26" s="29"/>
      <c r="E26" s="76">
        <v>11606</v>
      </c>
      <c r="F26" s="77" t="s">
        <v>299</v>
      </c>
      <c r="G26" s="50" t="s">
        <v>10</v>
      </c>
      <c r="H26" s="38"/>
      <c r="I26" s="38">
        <v>200</v>
      </c>
      <c r="J26" s="29"/>
      <c r="K26" s="76"/>
      <c r="L26" s="91"/>
      <c r="M26" s="42"/>
    </row>
    <row r="27" spans="2:18" ht="16.5" x14ac:dyDescent="0.3">
      <c r="B27" s="29"/>
      <c r="C27" s="29"/>
      <c r="D27" s="29"/>
      <c r="E27" s="76">
        <v>11645</v>
      </c>
      <c r="F27" s="77" t="s">
        <v>401</v>
      </c>
      <c r="G27" s="50" t="s">
        <v>10</v>
      </c>
      <c r="H27" s="38">
        <v>299</v>
      </c>
      <c r="I27" s="38">
        <v>120</v>
      </c>
      <c r="J27" s="29"/>
      <c r="K27" s="76"/>
      <c r="L27" s="91"/>
      <c r="M27" s="42"/>
    </row>
    <row r="28" spans="2:18" ht="16.5" x14ac:dyDescent="0.3">
      <c r="B28" s="29"/>
      <c r="C28" s="29"/>
      <c r="D28" s="29"/>
      <c r="E28" s="76"/>
      <c r="F28" s="77"/>
      <c r="G28" s="50"/>
      <c r="H28" s="38"/>
      <c r="I28" s="38"/>
      <c r="J28" s="29"/>
      <c r="K28" s="76"/>
      <c r="L28" s="91"/>
      <c r="M28" s="42"/>
    </row>
    <row r="29" spans="2:18" ht="16.5" x14ac:dyDescent="0.3">
      <c r="B29" s="29"/>
      <c r="C29" s="29"/>
      <c r="D29" s="29"/>
      <c r="E29" s="76"/>
      <c r="F29" s="77"/>
      <c r="G29" s="50"/>
      <c r="H29" s="38"/>
      <c r="I29" s="38"/>
      <c r="J29" s="29"/>
      <c r="K29" s="76"/>
      <c r="L29" s="91"/>
      <c r="M29" s="42"/>
    </row>
    <row r="30" spans="2:18" ht="16.5" x14ac:dyDescent="0.3">
      <c r="B30" s="29"/>
      <c r="C30" s="29"/>
      <c r="D30" s="29"/>
      <c r="E30" s="76"/>
      <c r="F30" s="50"/>
      <c r="G30" s="50"/>
      <c r="H30" s="38"/>
      <c r="I30" s="38"/>
      <c r="J30" s="29"/>
      <c r="K30" s="76"/>
      <c r="L30" s="91"/>
      <c r="M30" s="42"/>
    </row>
    <row r="31" spans="2:18" ht="16.5" x14ac:dyDescent="0.3">
      <c r="B31" s="29"/>
      <c r="C31" s="29"/>
      <c r="D31" s="29"/>
      <c r="E31" s="78"/>
      <c r="F31" s="79"/>
      <c r="G31" s="40"/>
      <c r="H31" s="41"/>
      <c r="I31" s="41"/>
      <c r="J31" s="29"/>
      <c r="K31" s="76"/>
      <c r="L31" s="91"/>
      <c r="M31" s="42"/>
    </row>
    <row r="32" spans="2:18" ht="16.5" x14ac:dyDescent="0.3">
      <c r="B32" s="29"/>
      <c r="C32" s="29"/>
      <c r="D32" s="37"/>
      <c r="E32" s="34"/>
      <c r="F32" s="34"/>
      <c r="G32" s="34"/>
      <c r="H32" s="36"/>
      <c r="I32" s="36"/>
      <c r="J32" s="37"/>
      <c r="K32" s="32"/>
      <c r="L32" s="32"/>
      <c r="M32" s="32"/>
    </row>
    <row r="33" spans="2:18" ht="16.5" x14ac:dyDescent="0.3">
      <c r="B33" s="29"/>
      <c r="C33" s="29"/>
      <c r="D33" s="37"/>
      <c r="E33" s="105" t="s">
        <v>140</v>
      </c>
      <c r="F33" s="106"/>
      <c r="G33" s="106"/>
      <c r="H33" s="106"/>
      <c r="I33" s="106"/>
      <c r="J33" s="37"/>
      <c r="K33" s="107" t="s">
        <v>141</v>
      </c>
      <c r="L33" s="108"/>
      <c r="M33" s="109"/>
    </row>
    <row r="34" spans="2:18" ht="16.5" x14ac:dyDescent="0.3">
      <c r="B34" s="37"/>
      <c r="C34" s="37"/>
      <c r="D34" s="37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7"/>
      <c r="K34" s="22" t="s">
        <v>22</v>
      </c>
      <c r="L34" s="21" t="s">
        <v>28</v>
      </c>
      <c r="M34" s="22" t="s">
        <v>29</v>
      </c>
    </row>
    <row r="35" spans="2:18" ht="16.5" customHeight="1" x14ac:dyDescent="0.25">
      <c r="B35" s="37"/>
      <c r="C35" s="37"/>
      <c r="D35" s="37"/>
      <c r="E35" s="76">
        <v>10891</v>
      </c>
      <c r="F35" s="77" t="s">
        <v>398</v>
      </c>
      <c r="G35" s="50" t="s">
        <v>6</v>
      </c>
      <c r="H35" s="38">
        <v>115</v>
      </c>
      <c r="I35" s="38" t="s">
        <v>37</v>
      </c>
      <c r="J35" s="37"/>
      <c r="K35" s="76">
        <v>11605</v>
      </c>
      <c r="L35" s="76">
        <v>6</v>
      </c>
      <c r="M35" s="91">
        <v>760</v>
      </c>
    </row>
    <row r="36" spans="2:18" ht="16.5" customHeight="1" x14ac:dyDescent="0.25">
      <c r="B36" s="37"/>
      <c r="C36" s="37"/>
      <c r="D36" s="37"/>
      <c r="E36" s="83">
        <v>11457</v>
      </c>
      <c r="F36" s="77" t="s">
        <v>399</v>
      </c>
      <c r="G36" s="50" t="s">
        <v>6</v>
      </c>
      <c r="H36" s="38">
        <v>80</v>
      </c>
      <c r="I36" s="38" t="s">
        <v>67</v>
      </c>
      <c r="J36" s="37"/>
      <c r="K36" s="76">
        <v>11475</v>
      </c>
      <c r="L36" s="76">
        <v>3</v>
      </c>
      <c r="M36" s="91">
        <v>240</v>
      </c>
    </row>
    <row r="37" spans="2:18" ht="16.5" customHeight="1" x14ac:dyDescent="0.25">
      <c r="B37" s="37"/>
      <c r="C37" s="37"/>
      <c r="D37" s="37"/>
      <c r="E37" s="76">
        <v>11181</v>
      </c>
      <c r="F37" s="77" t="s">
        <v>400</v>
      </c>
      <c r="G37" s="50" t="s">
        <v>6</v>
      </c>
      <c r="H37" s="38">
        <v>75</v>
      </c>
      <c r="I37" s="38" t="s">
        <v>31</v>
      </c>
      <c r="J37" s="37"/>
      <c r="K37" s="76">
        <v>11645</v>
      </c>
      <c r="L37" s="76">
        <v>3</v>
      </c>
      <c r="M37" s="91">
        <v>175</v>
      </c>
    </row>
    <row r="38" spans="2:18" ht="16.5" customHeight="1" x14ac:dyDescent="0.25">
      <c r="B38" s="37"/>
      <c r="C38" s="37"/>
      <c r="D38" s="37"/>
      <c r="E38" s="76"/>
      <c r="F38" s="77"/>
      <c r="G38" s="50"/>
      <c r="H38" s="38"/>
      <c r="I38" s="38"/>
      <c r="J38" s="37"/>
      <c r="K38" s="76"/>
      <c r="L38" s="76"/>
      <c r="M38" s="91"/>
    </row>
    <row r="39" spans="2:18" ht="16.5" customHeight="1" x14ac:dyDescent="0.25">
      <c r="B39" s="37"/>
      <c r="C39" s="37"/>
      <c r="D39" s="37"/>
      <c r="E39" s="76"/>
      <c r="F39" s="50"/>
      <c r="G39" s="50"/>
      <c r="H39" s="38"/>
      <c r="I39" s="38"/>
      <c r="J39" s="37"/>
      <c r="K39" s="76"/>
      <c r="L39" s="76"/>
      <c r="M39" s="91"/>
    </row>
    <row r="40" spans="2:18" ht="16.5" customHeight="1" x14ac:dyDescent="0.25">
      <c r="B40" s="37"/>
      <c r="C40" s="37"/>
      <c r="D40" s="37"/>
      <c r="E40" s="78"/>
      <c r="F40" s="79"/>
      <c r="G40" s="40"/>
      <c r="H40" s="41"/>
      <c r="I40" s="38"/>
      <c r="J40" s="37"/>
      <c r="K40" s="78"/>
      <c r="L40" s="78"/>
      <c r="M40" s="92"/>
      <c r="Q40" s="1" t="s">
        <v>33</v>
      </c>
      <c r="R40" s="1">
        <f>SUM(R6:R21)</f>
        <v>4</v>
      </c>
    </row>
    <row r="41" spans="2:18" ht="16.5" customHeight="1" x14ac:dyDescent="0.25">
      <c r="B41" s="37"/>
      <c r="C41" s="37"/>
      <c r="D41" s="37"/>
      <c r="E41" s="82"/>
      <c r="F41" s="50"/>
      <c r="G41" s="50"/>
      <c r="H41" s="38"/>
      <c r="I41" s="38"/>
      <c r="J41" s="37"/>
      <c r="K41" s="76"/>
      <c r="L41" s="76"/>
      <c r="M41" s="92"/>
    </row>
    <row r="42" spans="2:18" ht="13.5" x14ac:dyDescent="0.25">
      <c r="B42" s="37"/>
      <c r="C42" s="37"/>
      <c r="D42" s="37"/>
      <c r="E42" s="34"/>
      <c r="F42" s="34"/>
      <c r="G42" s="34"/>
      <c r="H42" s="36"/>
      <c r="I42" s="36"/>
      <c r="J42" s="37"/>
      <c r="K42" s="32"/>
      <c r="L42" s="32"/>
      <c r="M42" s="32"/>
    </row>
    <row r="43" spans="2:18" ht="13.5" x14ac:dyDescent="0.25">
      <c r="B43" s="37"/>
      <c r="C43" s="37"/>
      <c r="D43" s="37"/>
      <c r="E43" s="34"/>
      <c r="F43" s="34"/>
      <c r="G43" s="34"/>
      <c r="H43" s="36"/>
      <c r="I43" s="36"/>
      <c r="J43" s="37"/>
      <c r="K43" s="32"/>
      <c r="L43" s="32"/>
      <c r="M43" s="32"/>
    </row>
    <row r="44" spans="2:18" ht="13.5" x14ac:dyDescent="0.25">
      <c r="B44" s="37"/>
      <c r="C44" s="37"/>
      <c r="D44" s="37"/>
      <c r="E44" s="34"/>
      <c r="F44" s="34"/>
      <c r="G44" s="34"/>
      <c r="H44" s="36"/>
      <c r="I44" s="36"/>
      <c r="J44" s="37"/>
      <c r="K44" s="32"/>
      <c r="L44" s="32"/>
      <c r="M44" s="32"/>
    </row>
    <row r="45" spans="2:18" ht="13.5" x14ac:dyDescent="0.25">
      <c r="B45" s="37"/>
      <c r="C45" s="37"/>
      <c r="D45" s="37"/>
      <c r="E45" s="34"/>
      <c r="F45" s="34"/>
      <c r="G45" s="34"/>
      <c r="H45" s="36"/>
      <c r="I45" s="36"/>
      <c r="J45" s="37"/>
      <c r="K45" s="32"/>
      <c r="L45" s="32"/>
      <c r="M45" s="32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5"/>
  <sheetViews>
    <sheetView showGridLines="0" view="pageBreakPreview" topLeftCell="A2" zoomScaleNormal="90" zoomScaleSheetLayoutView="100" workbookViewId="0">
      <selection activeCell="K27" sqref="K27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40.85546875" style="11" bestFit="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'28'!B1+1</f>
        <v>45898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4" t="s">
        <v>0</v>
      </c>
      <c r="C4" s="25">
        <v>0</v>
      </c>
      <c r="D4" s="57"/>
      <c r="E4" s="113" t="s">
        <v>137</v>
      </c>
      <c r="F4" s="113"/>
      <c r="G4" s="113"/>
      <c r="H4" s="113"/>
      <c r="I4" s="113"/>
      <c r="J4" s="29"/>
      <c r="K4" s="107" t="s">
        <v>138</v>
      </c>
      <c r="L4" s="108"/>
      <c r="M4" s="109"/>
    </row>
    <row r="5" spans="2:18" ht="16.5" x14ac:dyDescent="0.3">
      <c r="B5" s="27" t="s">
        <v>1</v>
      </c>
      <c r="C5" s="28">
        <f>SUMIF(I6:I31,"&gt;0",H6:H31)</f>
        <v>7610</v>
      </c>
      <c r="D5" s="29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29"/>
      <c r="K5" s="21" t="s">
        <v>18</v>
      </c>
      <c r="L5" s="22" t="s">
        <v>19</v>
      </c>
      <c r="M5" s="23" t="s">
        <v>20</v>
      </c>
    </row>
    <row r="6" spans="2:18" ht="16.5" x14ac:dyDescent="0.3">
      <c r="B6" s="27" t="s">
        <v>2</v>
      </c>
      <c r="C6" s="28">
        <f>C16</f>
        <v>6505.13</v>
      </c>
      <c r="D6" s="29"/>
      <c r="E6" s="76">
        <v>11707</v>
      </c>
      <c r="F6" s="77" t="s">
        <v>412</v>
      </c>
      <c r="G6" s="50" t="s">
        <v>8</v>
      </c>
      <c r="H6" s="38">
        <v>790</v>
      </c>
      <c r="I6" s="38">
        <v>790</v>
      </c>
      <c r="J6" s="29"/>
      <c r="K6" s="77"/>
      <c r="L6" s="91"/>
      <c r="M6" s="42"/>
      <c r="R6" s="1">
        <f>IF(vend29[[#This Row],[Nº Venda]]&gt;1,1,0)</f>
        <v>1</v>
      </c>
    </row>
    <row r="7" spans="2:18" ht="16.5" x14ac:dyDescent="0.3">
      <c r="B7" s="27" t="s">
        <v>3</v>
      </c>
      <c r="C7" s="28">
        <f>SUM(M6:M11)</f>
        <v>0</v>
      </c>
      <c r="D7" s="29"/>
      <c r="E7" s="76">
        <v>11708</v>
      </c>
      <c r="F7" s="77" t="s">
        <v>412</v>
      </c>
      <c r="G7" s="50" t="s">
        <v>46</v>
      </c>
      <c r="H7" s="38"/>
      <c r="I7" s="38"/>
      <c r="J7" s="29"/>
      <c r="K7" s="77"/>
      <c r="L7" s="91"/>
      <c r="M7" s="42"/>
      <c r="R7" s="1">
        <f>IF(vend29[[#This Row],[Nº Venda]]&gt;1,1,0)</f>
        <v>1</v>
      </c>
    </row>
    <row r="8" spans="2:18" ht="16.5" x14ac:dyDescent="0.3">
      <c r="B8" s="30" t="s">
        <v>21</v>
      </c>
      <c r="C8" s="31">
        <f>SUM(C6:C7)</f>
        <v>6505.13</v>
      </c>
      <c r="D8" s="29"/>
      <c r="E8" s="76">
        <v>11709</v>
      </c>
      <c r="F8" s="77" t="s">
        <v>195</v>
      </c>
      <c r="G8" s="50" t="s">
        <v>36</v>
      </c>
      <c r="H8" s="38"/>
      <c r="I8" s="38"/>
      <c r="J8" s="29"/>
      <c r="K8" s="77"/>
      <c r="L8" s="91"/>
      <c r="M8" s="42"/>
      <c r="R8" s="1">
        <f>IF(vend29[[#This Row],[Nº Venda]]&gt;1,1,0)</f>
        <v>1</v>
      </c>
    </row>
    <row r="9" spans="2:18" ht="16.5" x14ac:dyDescent="0.3">
      <c r="B9" s="26"/>
      <c r="C9" s="26"/>
      <c r="D9" s="29"/>
      <c r="E9" s="76">
        <v>11710</v>
      </c>
      <c r="F9" s="50" t="s">
        <v>195</v>
      </c>
      <c r="G9" s="50" t="s">
        <v>46</v>
      </c>
      <c r="H9" s="38">
        <v>40</v>
      </c>
      <c r="I9" s="38"/>
      <c r="J9" s="29"/>
      <c r="K9" s="77"/>
      <c r="L9" s="91"/>
      <c r="M9" s="42"/>
      <c r="R9" s="1">
        <f>IF(vend29[[#This Row],[Nº Venda]]&gt;1,1,0)</f>
        <v>1</v>
      </c>
    </row>
    <row r="10" spans="2:18" ht="16.5" x14ac:dyDescent="0.3">
      <c r="B10" s="114" t="s">
        <v>5</v>
      </c>
      <c r="C10" s="115"/>
      <c r="D10" s="29"/>
      <c r="E10" s="76">
        <v>11711</v>
      </c>
      <c r="F10" s="77" t="s">
        <v>398</v>
      </c>
      <c r="G10" s="50" t="s">
        <v>6</v>
      </c>
      <c r="H10" s="38">
        <v>650</v>
      </c>
      <c r="I10" s="38">
        <v>10</v>
      </c>
      <c r="J10" s="29"/>
      <c r="K10" s="77"/>
      <c r="L10" s="91"/>
      <c r="M10" s="42"/>
      <c r="R10" s="1">
        <f>IF(vend29[[#This Row],[Nº Venda]]&gt;1,1,0)</f>
        <v>1</v>
      </c>
    </row>
    <row r="11" spans="2:18" ht="16.5" x14ac:dyDescent="0.3">
      <c r="B11" s="27" t="s">
        <v>6</v>
      </c>
      <c r="C11" s="70">
        <f>(SUMIF($G$2:$G$31,B11,$I$2:$I$31))+(SUMIF($G$35:$G$41,B11,$H$35:$H$41))</f>
        <v>904.15</v>
      </c>
      <c r="D11" s="29"/>
      <c r="E11" s="76">
        <v>11712</v>
      </c>
      <c r="F11" s="77" t="s">
        <v>408</v>
      </c>
      <c r="G11" s="50" t="s">
        <v>6</v>
      </c>
      <c r="H11" s="38">
        <v>1450</v>
      </c>
      <c r="I11" s="38">
        <v>400</v>
      </c>
      <c r="J11" s="29"/>
      <c r="K11" s="37"/>
      <c r="L11" s="91"/>
      <c r="M11" s="42"/>
      <c r="O11" s="1">
        <f>IF(C16=0,0,1)</f>
        <v>1</v>
      </c>
      <c r="R11" s="1">
        <f>IF(vend29[[#This Row],[Nº Venda]]&gt;1,1,0)</f>
        <v>1</v>
      </c>
    </row>
    <row r="12" spans="2:18" ht="16.5" x14ac:dyDescent="0.3">
      <c r="B12" s="27" t="s">
        <v>7</v>
      </c>
      <c r="C12" s="70">
        <f t="shared" ref="C12:C15" si="0">(SUMIF($G$2:$G$31,B12,$I$2:$I$31))+(SUMIF($G$35:$G$41,B12,$H$35:$H$41))</f>
        <v>40</v>
      </c>
      <c r="D12" s="29"/>
      <c r="E12" s="76">
        <v>11713</v>
      </c>
      <c r="F12" s="77" t="s">
        <v>407</v>
      </c>
      <c r="G12" s="50" t="s">
        <v>46</v>
      </c>
      <c r="H12" s="38">
        <v>50</v>
      </c>
      <c r="I12" s="38"/>
      <c r="J12" s="29"/>
      <c r="K12" s="32"/>
      <c r="L12" s="32"/>
      <c r="M12" s="32"/>
      <c r="R12" s="1">
        <f>IF(vend29[[#This Row],[Nº Venda]]&gt;1,1,0)</f>
        <v>1</v>
      </c>
    </row>
    <row r="13" spans="2:18" ht="16.5" x14ac:dyDescent="0.3">
      <c r="B13" s="27" t="s">
        <v>8</v>
      </c>
      <c r="C13" s="70">
        <f t="shared" si="0"/>
        <v>3710.98</v>
      </c>
      <c r="D13" s="29"/>
      <c r="E13" s="76">
        <v>11714</v>
      </c>
      <c r="F13" s="77" t="s">
        <v>409</v>
      </c>
      <c r="G13" s="50" t="s">
        <v>8</v>
      </c>
      <c r="H13" s="38">
        <v>2399</v>
      </c>
      <c r="I13" s="38">
        <v>2000</v>
      </c>
      <c r="J13" s="29"/>
      <c r="K13" s="107" t="s">
        <v>142</v>
      </c>
      <c r="L13" s="108"/>
      <c r="M13" s="109"/>
      <c r="R13" s="1">
        <f>IF(vend29[[#This Row],[Nº Venda]]&gt;1,1,0)</f>
        <v>1</v>
      </c>
    </row>
    <row r="14" spans="2:18" ht="16.5" x14ac:dyDescent="0.3">
      <c r="B14" s="27" t="s">
        <v>9</v>
      </c>
      <c r="C14" s="70">
        <f t="shared" si="0"/>
        <v>0</v>
      </c>
      <c r="D14" s="29"/>
      <c r="E14" s="76">
        <v>11714</v>
      </c>
      <c r="F14" s="77" t="s">
        <v>409</v>
      </c>
      <c r="G14" s="50" t="s">
        <v>10</v>
      </c>
      <c r="H14" s="38"/>
      <c r="I14" s="38">
        <v>399</v>
      </c>
      <c r="J14" s="29"/>
      <c r="K14" s="21" t="s">
        <v>22</v>
      </c>
      <c r="L14" s="22" t="s">
        <v>23</v>
      </c>
      <c r="M14" s="23" t="s">
        <v>24</v>
      </c>
      <c r="R14" s="1">
        <f>IF(vend29[[#This Row],[Nº Venda]]&gt;1,1,0)</f>
        <v>1</v>
      </c>
    </row>
    <row r="15" spans="2:18" ht="16.5" x14ac:dyDescent="0.3">
      <c r="B15" s="27" t="s">
        <v>10</v>
      </c>
      <c r="C15" s="70">
        <f t="shared" si="0"/>
        <v>1850</v>
      </c>
      <c r="D15" s="29"/>
      <c r="E15" s="76">
        <v>11715</v>
      </c>
      <c r="F15" s="77" t="s">
        <v>409</v>
      </c>
      <c r="G15" s="50" t="s">
        <v>10</v>
      </c>
      <c r="H15" s="38">
        <v>300</v>
      </c>
      <c r="I15" s="38">
        <v>300</v>
      </c>
      <c r="J15" s="29"/>
      <c r="K15" s="76">
        <v>11398</v>
      </c>
      <c r="L15" s="91" t="s">
        <v>131</v>
      </c>
      <c r="M15" s="42" t="s">
        <v>145</v>
      </c>
      <c r="R15" s="1">
        <f>IF(vend29[[#This Row],[Nº Venda]]&gt;1,1,0)</f>
        <v>1</v>
      </c>
    </row>
    <row r="16" spans="2:18" ht="16.5" x14ac:dyDescent="0.3">
      <c r="B16" s="30" t="s">
        <v>11</v>
      </c>
      <c r="C16" s="71">
        <f>SUM(C11:C15)</f>
        <v>6505.13</v>
      </c>
      <c r="D16" s="29"/>
      <c r="E16" s="76">
        <v>11716</v>
      </c>
      <c r="F16" s="77" t="s">
        <v>409</v>
      </c>
      <c r="G16" s="50" t="s">
        <v>10</v>
      </c>
      <c r="H16" s="38">
        <v>251</v>
      </c>
      <c r="I16" s="38">
        <v>251</v>
      </c>
      <c r="J16" s="29"/>
      <c r="K16" s="76">
        <v>11525</v>
      </c>
      <c r="L16" s="91" t="s">
        <v>131</v>
      </c>
      <c r="M16" s="42" t="s">
        <v>145</v>
      </c>
      <c r="R16" s="1">
        <f>IF(vend29[[#This Row],[Nº Venda]]&gt;1,1,0)</f>
        <v>1</v>
      </c>
    </row>
    <row r="17" spans="2:18" ht="16.5" x14ac:dyDescent="0.3">
      <c r="B17" s="26"/>
      <c r="C17" s="26"/>
      <c r="D17" s="29"/>
      <c r="E17" s="76">
        <v>11717</v>
      </c>
      <c r="F17" s="77" t="s">
        <v>410</v>
      </c>
      <c r="G17" s="50" t="s">
        <v>36</v>
      </c>
      <c r="H17" s="38"/>
      <c r="I17" s="38"/>
      <c r="J17" s="29"/>
      <c r="K17" s="76">
        <v>11526</v>
      </c>
      <c r="L17" s="91" t="s">
        <v>131</v>
      </c>
      <c r="M17" s="42" t="s">
        <v>145</v>
      </c>
      <c r="R17" s="1">
        <f>IF(vend29[[#This Row],[Nº Venda]]&gt;1,1,0)</f>
        <v>1</v>
      </c>
    </row>
    <row r="18" spans="2:18" ht="16.5" x14ac:dyDescent="0.3">
      <c r="B18" s="114" t="s">
        <v>12</v>
      </c>
      <c r="C18" s="115"/>
      <c r="D18" s="29"/>
      <c r="E18" s="76">
        <v>11719</v>
      </c>
      <c r="F18" s="77" t="s">
        <v>406</v>
      </c>
      <c r="G18" s="50" t="s">
        <v>10</v>
      </c>
      <c r="H18" s="38">
        <v>1080</v>
      </c>
      <c r="I18" s="38">
        <v>500</v>
      </c>
      <c r="J18" s="29"/>
      <c r="K18" s="76">
        <v>11543</v>
      </c>
      <c r="L18" s="91" t="s">
        <v>129</v>
      </c>
      <c r="M18" s="42" t="s">
        <v>145</v>
      </c>
      <c r="R18" s="1">
        <f>IF(vend29[[#This Row],[Nº Venda]]&gt;1,1,0)</f>
        <v>1</v>
      </c>
    </row>
    <row r="19" spans="2:18" ht="16.5" x14ac:dyDescent="0.3">
      <c r="B19" s="27">
        <f>COUNT(entr_carn29[OS])</f>
        <v>0</v>
      </c>
      <c r="C19" s="70">
        <f>SUM(entr_carn29[Valor Total])</f>
        <v>0</v>
      </c>
      <c r="D19" s="29"/>
      <c r="E19" s="76">
        <v>11720</v>
      </c>
      <c r="F19" s="77" t="s">
        <v>406</v>
      </c>
      <c r="G19" s="50" t="s">
        <v>10</v>
      </c>
      <c r="H19" s="38">
        <v>690</v>
      </c>
      <c r="I19" s="38">
        <v>400</v>
      </c>
      <c r="J19" s="29"/>
      <c r="K19" s="76">
        <v>11551</v>
      </c>
      <c r="L19" s="91" t="s">
        <v>129</v>
      </c>
      <c r="M19" s="42" t="s">
        <v>145</v>
      </c>
      <c r="R19" s="1">
        <f>IF(vend29[[#This Row],[Nº Venda]]&gt;1,1,0)</f>
        <v>1</v>
      </c>
    </row>
    <row r="20" spans="2:18" ht="16.5" x14ac:dyDescent="0.3">
      <c r="B20" s="30" t="s">
        <v>11</v>
      </c>
      <c r="C20" s="71">
        <f>SUM(C19:C19)</f>
        <v>0</v>
      </c>
      <c r="D20" s="29"/>
      <c r="E20" s="76">
        <v>11721</v>
      </c>
      <c r="F20" s="77" t="s">
        <v>411</v>
      </c>
      <c r="G20" s="50" t="s">
        <v>36</v>
      </c>
      <c r="H20" s="38"/>
      <c r="I20" s="38"/>
      <c r="J20" s="29"/>
      <c r="K20" s="76">
        <v>11571</v>
      </c>
      <c r="L20" s="91" t="s">
        <v>129</v>
      </c>
      <c r="M20" s="42" t="s">
        <v>145</v>
      </c>
      <c r="R20" s="1">
        <f>IF(vend29[[#This Row],[Nº Venda]]&gt;1,1,0)</f>
        <v>1</v>
      </c>
    </row>
    <row r="21" spans="2:18" ht="16.5" x14ac:dyDescent="0.3">
      <c r="B21" s="26"/>
      <c r="C21" s="26"/>
      <c r="D21" s="29"/>
      <c r="E21" s="76"/>
      <c r="F21" s="77"/>
      <c r="G21" s="50"/>
      <c r="H21" s="38"/>
      <c r="I21" s="38"/>
      <c r="J21" s="29"/>
      <c r="K21" s="76">
        <v>11607</v>
      </c>
      <c r="L21" s="91" t="s">
        <v>129</v>
      </c>
      <c r="M21" s="42" t="s">
        <v>145</v>
      </c>
    </row>
    <row r="22" spans="2:18" ht="16.5" x14ac:dyDescent="0.3">
      <c r="B22" s="30" t="s">
        <v>25</v>
      </c>
      <c r="C22" s="33">
        <f>C5</f>
        <v>7610</v>
      </c>
      <c r="D22" s="29"/>
      <c r="E22" s="78"/>
      <c r="F22" s="77"/>
      <c r="G22" s="50"/>
      <c r="H22" s="38"/>
      <c r="I22" s="38"/>
      <c r="J22" s="29"/>
      <c r="K22" s="76">
        <v>11617</v>
      </c>
      <c r="L22" s="91" t="s">
        <v>131</v>
      </c>
      <c r="M22" s="42" t="s">
        <v>145</v>
      </c>
    </row>
    <row r="23" spans="2:18" ht="16.5" x14ac:dyDescent="0.3">
      <c r="B23" s="29"/>
      <c r="C23" s="29"/>
      <c r="D23" s="29"/>
      <c r="E23" s="34"/>
      <c r="F23" s="34"/>
      <c r="G23" s="34"/>
      <c r="H23" s="35"/>
      <c r="I23" s="36"/>
      <c r="J23" s="29"/>
      <c r="K23" s="76">
        <v>11641</v>
      </c>
      <c r="L23" s="91" t="s">
        <v>129</v>
      </c>
      <c r="M23" s="42" t="s">
        <v>145</v>
      </c>
    </row>
    <row r="24" spans="2:18" ht="16.5" x14ac:dyDescent="0.3">
      <c r="B24" s="29"/>
      <c r="C24" s="29"/>
      <c r="D24" s="29"/>
      <c r="E24" s="105" t="s">
        <v>139</v>
      </c>
      <c r="F24" s="106"/>
      <c r="G24" s="106"/>
      <c r="H24" s="106"/>
      <c r="I24" s="106"/>
      <c r="J24" s="29"/>
      <c r="K24" s="76">
        <v>11672</v>
      </c>
      <c r="L24" s="91" t="s">
        <v>131</v>
      </c>
      <c r="M24" s="42" t="s">
        <v>146</v>
      </c>
    </row>
    <row r="25" spans="2:18" ht="16.5" x14ac:dyDescent="0.3">
      <c r="B25" s="29"/>
      <c r="C25" s="29"/>
      <c r="D25" s="29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29"/>
      <c r="K25" s="76">
        <v>11673</v>
      </c>
      <c r="L25" s="91" t="s">
        <v>129</v>
      </c>
      <c r="M25" s="42" t="s">
        <v>145</v>
      </c>
    </row>
    <row r="26" spans="2:18" ht="16.5" x14ac:dyDescent="0.3">
      <c r="B26" s="29"/>
      <c r="C26" s="29"/>
      <c r="D26" s="29"/>
      <c r="E26" s="76">
        <v>11571</v>
      </c>
      <c r="F26" s="77" t="s">
        <v>241</v>
      </c>
      <c r="G26" s="50" t="s">
        <v>8</v>
      </c>
      <c r="H26" s="38"/>
      <c r="I26" s="38">
        <v>200</v>
      </c>
      <c r="J26" s="29"/>
      <c r="K26" s="76">
        <v>11674</v>
      </c>
      <c r="L26" s="91" t="s">
        <v>129</v>
      </c>
      <c r="M26" s="42" t="s">
        <v>145</v>
      </c>
    </row>
    <row r="27" spans="2:18" ht="16.5" x14ac:dyDescent="0.3">
      <c r="B27" s="29"/>
      <c r="C27" s="29"/>
      <c r="D27" s="29"/>
      <c r="E27" s="76">
        <v>11571</v>
      </c>
      <c r="F27" s="77" t="s">
        <v>241</v>
      </c>
      <c r="G27" s="50" t="s">
        <v>7</v>
      </c>
      <c r="H27" s="38"/>
      <c r="I27" s="38">
        <v>40</v>
      </c>
      <c r="J27" s="29"/>
      <c r="K27" s="76">
        <v>11675</v>
      </c>
      <c r="L27" s="91" t="s">
        <v>131</v>
      </c>
      <c r="M27" s="42" t="s">
        <v>145</v>
      </c>
    </row>
    <row r="28" spans="2:18" ht="16.5" x14ac:dyDescent="0.3">
      <c r="B28" s="29"/>
      <c r="C28" s="29"/>
      <c r="D28" s="29"/>
      <c r="E28" s="76">
        <v>11617</v>
      </c>
      <c r="F28" s="77" t="s">
        <v>301</v>
      </c>
      <c r="G28" s="50" t="s">
        <v>8</v>
      </c>
      <c r="H28" s="38"/>
      <c r="I28" s="38">
        <v>720.98</v>
      </c>
      <c r="J28" s="29"/>
      <c r="K28" s="76">
        <v>11684</v>
      </c>
      <c r="L28" s="91" t="s">
        <v>129</v>
      </c>
      <c r="M28" s="42" t="s">
        <v>145</v>
      </c>
    </row>
    <row r="29" spans="2:18" ht="16.5" x14ac:dyDescent="0.3">
      <c r="B29" s="29"/>
      <c r="C29" s="29"/>
      <c r="D29" s="29"/>
      <c r="E29" s="76">
        <v>11684</v>
      </c>
      <c r="F29" s="77" t="s">
        <v>372</v>
      </c>
      <c r="G29" s="50" t="s">
        <v>6</v>
      </c>
      <c r="H29" s="38"/>
      <c r="I29" s="38">
        <v>300</v>
      </c>
      <c r="J29" s="29"/>
      <c r="K29" s="76"/>
      <c r="L29" s="91"/>
      <c r="M29" s="42"/>
    </row>
    <row r="30" spans="2:18" ht="16.5" x14ac:dyDescent="0.3">
      <c r="B30" s="29"/>
      <c r="C30" s="29"/>
      <c r="D30" s="29"/>
      <c r="E30" s="76"/>
      <c r="F30" s="50"/>
      <c r="G30" s="50"/>
      <c r="H30" s="38"/>
      <c r="I30" s="38"/>
      <c r="J30" s="29"/>
      <c r="K30" s="76"/>
      <c r="L30" s="91"/>
      <c r="M30" s="42"/>
    </row>
    <row r="31" spans="2:18" ht="16.5" x14ac:dyDescent="0.3">
      <c r="B31" s="29"/>
      <c r="C31" s="29"/>
      <c r="D31" s="29"/>
      <c r="E31" s="78"/>
      <c r="F31" s="79"/>
      <c r="G31" s="40"/>
      <c r="H31" s="41"/>
      <c r="I31" s="41"/>
      <c r="J31" s="29"/>
      <c r="K31" s="76"/>
      <c r="L31" s="91"/>
      <c r="M31" s="42"/>
    </row>
    <row r="32" spans="2:18" ht="16.5" x14ac:dyDescent="0.3">
      <c r="B32" s="29"/>
      <c r="C32" s="29"/>
      <c r="D32" s="37"/>
      <c r="E32" s="34"/>
      <c r="F32" s="34"/>
      <c r="G32" s="34"/>
      <c r="H32" s="36"/>
      <c r="I32" s="36"/>
      <c r="J32" s="37"/>
      <c r="K32" s="32"/>
      <c r="L32" s="32"/>
      <c r="M32" s="32"/>
    </row>
    <row r="33" spans="2:18" ht="16.5" x14ac:dyDescent="0.3">
      <c r="B33" s="29"/>
      <c r="C33" s="29"/>
      <c r="D33" s="37"/>
      <c r="E33" s="105" t="s">
        <v>140</v>
      </c>
      <c r="F33" s="106"/>
      <c r="G33" s="106"/>
      <c r="H33" s="106"/>
      <c r="I33" s="106"/>
      <c r="J33" s="37"/>
      <c r="K33" s="107" t="s">
        <v>141</v>
      </c>
      <c r="L33" s="108"/>
      <c r="M33" s="109"/>
    </row>
    <row r="34" spans="2:18" ht="16.5" x14ac:dyDescent="0.3">
      <c r="B34" s="37"/>
      <c r="C34" s="37"/>
      <c r="D34" s="37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7"/>
      <c r="K34" s="22" t="s">
        <v>22</v>
      </c>
      <c r="L34" s="21" t="s">
        <v>28</v>
      </c>
      <c r="M34" s="22" t="s">
        <v>29</v>
      </c>
    </row>
    <row r="35" spans="2:18" ht="16.5" customHeight="1" x14ac:dyDescent="0.25">
      <c r="B35" s="37"/>
      <c r="C35" s="37"/>
      <c r="D35" s="37"/>
      <c r="E35" s="84">
        <v>10336</v>
      </c>
      <c r="F35" s="77" t="s">
        <v>414</v>
      </c>
      <c r="G35" s="50" t="s">
        <v>6</v>
      </c>
      <c r="H35" s="38">
        <v>114.25</v>
      </c>
      <c r="I35" s="38" t="s">
        <v>57</v>
      </c>
      <c r="J35" s="37"/>
      <c r="K35" s="76"/>
      <c r="L35" s="76"/>
      <c r="M35" s="91"/>
    </row>
    <row r="36" spans="2:18" ht="16.5" customHeight="1" x14ac:dyDescent="0.25">
      <c r="B36" s="37"/>
      <c r="C36" s="37"/>
      <c r="D36" s="37"/>
      <c r="E36" s="78">
        <v>11437</v>
      </c>
      <c r="F36" s="77" t="s">
        <v>413</v>
      </c>
      <c r="G36" s="50" t="s">
        <v>6</v>
      </c>
      <c r="H36" s="38">
        <v>79.900000000000006</v>
      </c>
      <c r="I36" s="38" t="s">
        <v>32</v>
      </c>
      <c r="J36" s="37"/>
      <c r="K36" s="76"/>
      <c r="L36" s="76"/>
      <c r="M36" s="91"/>
    </row>
    <row r="37" spans="2:18" ht="16.5" customHeight="1" x14ac:dyDescent="0.25">
      <c r="B37" s="37"/>
      <c r="C37" s="37"/>
      <c r="D37" s="37"/>
      <c r="E37" s="76"/>
      <c r="F37" s="77"/>
      <c r="G37" s="50"/>
      <c r="H37" s="38"/>
      <c r="I37" s="38"/>
      <c r="J37" s="37"/>
      <c r="K37" s="76"/>
      <c r="L37" s="76"/>
      <c r="M37" s="91"/>
    </row>
    <row r="38" spans="2:18" ht="16.5" customHeight="1" x14ac:dyDescent="0.25">
      <c r="B38" s="37"/>
      <c r="C38" s="37"/>
      <c r="D38" s="37"/>
      <c r="E38" s="76"/>
      <c r="F38" s="77"/>
      <c r="G38" s="50"/>
      <c r="H38" s="38"/>
      <c r="I38" s="38"/>
      <c r="J38" s="37"/>
      <c r="K38" s="76"/>
      <c r="L38" s="76"/>
      <c r="M38" s="91"/>
    </row>
    <row r="39" spans="2:18" ht="16.5" customHeight="1" x14ac:dyDescent="0.25">
      <c r="B39" s="37"/>
      <c r="C39" s="37"/>
      <c r="D39" s="37"/>
      <c r="E39" s="76"/>
      <c r="F39" s="50"/>
      <c r="G39" s="50"/>
      <c r="H39" s="38"/>
      <c r="I39" s="38"/>
      <c r="J39" s="37"/>
      <c r="K39" s="76"/>
      <c r="L39" s="76"/>
      <c r="M39" s="91"/>
    </row>
    <row r="40" spans="2:18" ht="16.5" customHeight="1" x14ac:dyDescent="0.25">
      <c r="B40" s="37"/>
      <c r="C40" s="37"/>
      <c r="D40" s="37"/>
      <c r="E40" s="78"/>
      <c r="F40" s="79"/>
      <c r="G40" s="40"/>
      <c r="H40" s="41"/>
      <c r="I40" s="38"/>
      <c r="J40" s="37"/>
      <c r="K40" s="78"/>
      <c r="L40" s="78"/>
      <c r="M40" s="92"/>
      <c r="Q40" s="1" t="s">
        <v>33</v>
      </c>
      <c r="R40" s="1">
        <f>SUM(R6:R21)</f>
        <v>15</v>
      </c>
    </row>
    <row r="41" spans="2:18" ht="16.5" customHeight="1" x14ac:dyDescent="0.25">
      <c r="B41" s="37"/>
      <c r="C41" s="37"/>
      <c r="D41" s="37"/>
      <c r="E41" s="82"/>
      <c r="F41" s="50"/>
      <c r="G41" s="50"/>
      <c r="H41" s="38"/>
      <c r="I41" s="38"/>
      <c r="J41" s="37"/>
      <c r="K41" s="76"/>
      <c r="L41" s="76"/>
      <c r="M41" s="92"/>
    </row>
    <row r="42" spans="2:18" ht="13.5" x14ac:dyDescent="0.25">
      <c r="B42" s="37"/>
      <c r="C42" s="37"/>
      <c r="D42" s="37"/>
      <c r="E42" s="34"/>
      <c r="F42" s="34"/>
      <c r="G42" s="34"/>
      <c r="H42" s="36"/>
      <c r="I42" s="36"/>
      <c r="J42" s="37"/>
      <c r="K42" s="32"/>
      <c r="L42" s="32"/>
      <c r="M42" s="32"/>
    </row>
    <row r="43" spans="2:18" ht="13.5" x14ac:dyDescent="0.25">
      <c r="B43" s="37"/>
      <c r="C43" s="37"/>
      <c r="D43" s="37"/>
      <c r="E43" s="34"/>
      <c r="F43" s="34"/>
      <c r="G43" s="34"/>
      <c r="H43" s="36"/>
      <c r="I43" s="36"/>
      <c r="J43" s="37"/>
      <c r="K43" s="32"/>
      <c r="L43" s="32"/>
      <c r="M43" s="32"/>
    </row>
    <row r="44" spans="2:18" ht="13.5" x14ac:dyDescent="0.25">
      <c r="B44" s="37"/>
      <c r="C44" s="37"/>
      <c r="D44" s="37"/>
      <c r="E44" s="34"/>
      <c r="F44" s="34"/>
      <c r="G44" s="34"/>
      <c r="H44" s="36"/>
      <c r="I44" s="36"/>
      <c r="J44" s="37"/>
      <c r="K44" s="32"/>
      <c r="L44" s="32"/>
      <c r="M44" s="32"/>
    </row>
    <row r="45" spans="2:18" ht="13.5" x14ac:dyDescent="0.25">
      <c r="B45" s="37"/>
      <c r="C45" s="37"/>
      <c r="D45" s="37"/>
      <c r="E45" s="34"/>
      <c r="F45" s="34"/>
      <c r="G45" s="34"/>
      <c r="H45" s="36"/>
      <c r="I45" s="36"/>
      <c r="J45" s="37"/>
      <c r="K45" s="32"/>
      <c r="L45" s="32"/>
      <c r="M45" s="32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8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5"/>
  <sheetViews>
    <sheetView showGridLines="0" view="pageBreakPreview" zoomScale="98" zoomScaleNormal="90" zoomScaleSheetLayoutView="98" workbookViewId="0">
      <selection activeCell="K13" sqref="K13:M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42" style="11" bestFit="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'29'!B1+1</f>
        <v>45899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4" t="s">
        <v>0</v>
      </c>
      <c r="C4" s="25">
        <v>0</v>
      </c>
      <c r="D4" s="57"/>
      <c r="E4" s="113" t="s">
        <v>137</v>
      </c>
      <c r="F4" s="113"/>
      <c r="G4" s="113"/>
      <c r="H4" s="113"/>
      <c r="I4" s="113"/>
      <c r="J4" s="29"/>
      <c r="K4" s="107" t="s">
        <v>138</v>
      </c>
      <c r="L4" s="108"/>
      <c r="M4" s="109"/>
    </row>
    <row r="5" spans="2:18" ht="16.5" x14ac:dyDescent="0.3">
      <c r="B5" s="27" t="s">
        <v>1</v>
      </c>
      <c r="C5" s="28">
        <f>SUMIF(I6:I31,"&gt;0",H6:H31)</f>
        <v>2400.6000000000004</v>
      </c>
      <c r="D5" s="29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29"/>
      <c r="K5" s="21" t="s">
        <v>18</v>
      </c>
      <c r="L5" s="22" t="s">
        <v>19</v>
      </c>
      <c r="M5" s="23" t="s">
        <v>20</v>
      </c>
    </row>
    <row r="6" spans="2:18" ht="16.5" x14ac:dyDescent="0.3">
      <c r="B6" s="27" t="s">
        <v>2</v>
      </c>
      <c r="C6" s="28">
        <f>C16</f>
        <v>2786.6</v>
      </c>
      <c r="D6" s="29"/>
      <c r="E6" s="76">
        <v>11718</v>
      </c>
      <c r="F6" s="77" t="s">
        <v>422</v>
      </c>
      <c r="G6" s="50" t="s">
        <v>10</v>
      </c>
      <c r="H6" s="38">
        <v>350</v>
      </c>
      <c r="I6" s="38">
        <v>50</v>
      </c>
      <c r="J6" s="29"/>
      <c r="K6" s="77" t="s">
        <v>216</v>
      </c>
      <c r="L6" s="91" t="s">
        <v>6</v>
      </c>
      <c r="M6" s="42">
        <v>28.99</v>
      </c>
      <c r="R6" s="1">
        <f>IF(vend30[[#This Row],[Nº Venda]]&gt;1,1,0)</f>
        <v>1</v>
      </c>
    </row>
    <row r="7" spans="2:18" ht="16.5" x14ac:dyDescent="0.3">
      <c r="B7" s="27" t="s">
        <v>3</v>
      </c>
      <c r="C7" s="28">
        <f>SUM(M6:M11)</f>
        <v>28.99</v>
      </c>
      <c r="D7" s="29"/>
      <c r="E7" s="76">
        <v>11722</v>
      </c>
      <c r="F7" s="77" t="s">
        <v>352</v>
      </c>
      <c r="G7" s="50" t="s">
        <v>6</v>
      </c>
      <c r="H7" s="38">
        <v>50</v>
      </c>
      <c r="I7" s="38">
        <v>50</v>
      </c>
      <c r="J7" s="29"/>
      <c r="K7" s="77"/>
      <c r="L7" s="91"/>
      <c r="M7" s="42"/>
      <c r="R7" s="1">
        <f>IF(vend30[[#This Row],[Nº Venda]]&gt;1,1,0)</f>
        <v>1</v>
      </c>
    </row>
    <row r="8" spans="2:18" ht="16.5" x14ac:dyDescent="0.3">
      <c r="B8" s="30" t="s">
        <v>21</v>
      </c>
      <c r="C8" s="31">
        <f>SUM(C6:C7)</f>
        <v>2815.5899999999997</v>
      </c>
      <c r="D8" s="29"/>
      <c r="E8" s="76">
        <v>11723</v>
      </c>
      <c r="F8" s="77" t="s">
        <v>415</v>
      </c>
      <c r="G8" s="50" t="s">
        <v>8</v>
      </c>
      <c r="H8" s="38">
        <v>750</v>
      </c>
      <c r="I8" s="38">
        <v>750</v>
      </c>
      <c r="J8" s="29"/>
      <c r="K8" s="77"/>
      <c r="L8" s="91"/>
      <c r="M8" s="42"/>
      <c r="R8" s="1">
        <f>IF(vend30[[#This Row],[Nº Venda]]&gt;1,1,0)</f>
        <v>1</v>
      </c>
    </row>
    <row r="9" spans="2:18" ht="16.5" x14ac:dyDescent="0.3">
      <c r="B9" s="26"/>
      <c r="C9" s="26"/>
      <c r="D9" s="29"/>
      <c r="E9" s="76">
        <v>11724</v>
      </c>
      <c r="F9" s="77" t="s">
        <v>415</v>
      </c>
      <c r="G9" s="50" t="s">
        <v>46</v>
      </c>
      <c r="H9" s="38"/>
      <c r="I9" s="38"/>
      <c r="J9" s="29"/>
      <c r="K9" s="77"/>
      <c r="L9" s="91"/>
      <c r="M9" s="42"/>
      <c r="R9" s="1">
        <f>IF(vend30[[#This Row],[Nº Venda]]&gt;1,1,0)</f>
        <v>1</v>
      </c>
    </row>
    <row r="10" spans="2:18" ht="16.5" x14ac:dyDescent="0.3">
      <c r="B10" s="114" t="s">
        <v>5</v>
      </c>
      <c r="C10" s="115"/>
      <c r="D10" s="29"/>
      <c r="E10" s="76">
        <v>11725</v>
      </c>
      <c r="F10" s="77" t="s">
        <v>195</v>
      </c>
      <c r="G10" s="50" t="s">
        <v>46</v>
      </c>
      <c r="H10" s="38">
        <v>55</v>
      </c>
      <c r="I10" s="38"/>
      <c r="J10" s="29"/>
      <c r="K10" s="77"/>
      <c r="L10" s="91"/>
      <c r="M10" s="42"/>
      <c r="R10" s="1">
        <f>IF(vend30[[#This Row],[Nº Venda]]&gt;1,1,0)</f>
        <v>1</v>
      </c>
    </row>
    <row r="11" spans="2:18" ht="16.5" x14ac:dyDescent="0.3">
      <c r="B11" s="27" t="s">
        <v>6</v>
      </c>
      <c r="C11" s="70">
        <f>(SUMIF($G$2:$G$31,B11,$I$2:$I$31))+(SUMIF($G$35:$G$41,B11,$H$35:$H$41))</f>
        <v>150</v>
      </c>
      <c r="D11" s="29"/>
      <c r="E11" s="76">
        <v>11726</v>
      </c>
      <c r="F11" s="77" t="s">
        <v>418</v>
      </c>
      <c r="G11" s="50" t="s">
        <v>8</v>
      </c>
      <c r="H11" s="38">
        <v>1100</v>
      </c>
      <c r="I11" s="38">
        <v>1100</v>
      </c>
      <c r="J11" s="29"/>
      <c r="K11" s="37"/>
      <c r="L11" s="91"/>
      <c r="M11" s="42"/>
      <c r="O11" s="1">
        <f>IF(C16=0,0,1)</f>
        <v>1</v>
      </c>
      <c r="R11" s="1">
        <f>IF(vend30[[#This Row],[Nº Venda]]&gt;1,1,0)</f>
        <v>1</v>
      </c>
    </row>
    <row r="12" spans="2:18" ht="16.5" x14ac:dyDescent="0.3">
      <c r="B12" s="27" t="s">
        <v>7</v>
      </c>
      <c r="C12" s="70">
        <f t="shared" ref="C12:C15" si="0">(SUMIF($G$2:$G$31,B12,$I$2:$I$31))+(SUMIF($G$35:$G$41,B12,$H$35:$H$41))</f>
        <v>519.79999999999995</v>
      </c>
      <c r="D12" s="29"/>
      <c r="E12" s="76">
        <v>11727</v>
      </c>
      <c r="F12" s="77" t="s">
        <v>418</v>
      </c>
      <c r="G12" s="50" t="s">
        <v>46</v>
      </c>
      <c r="H12" s="38"/>
      <c r="I12" s="38"/>
      <c r="J12" s="29"/>
      <c r="K12" s="32"/>
      <c r="L12" s="32"/>
      <c r="M12" s="32"/>
      <c r="R12" s="1">
        <f>IF(vend30[[#This Row],[Nº Venda]]&gt;1,1,0)</f>
        <v>1</v>
      </c>
    </row>
    <row r="13" spans="2:18" ht="16.5" x14ac:dyDescent="0.3">
      <c r="B13" s="27" t="s">
        <v>8</v>
      </c>
      <c r="C13" s="70">
        <f t="shared" si="0"/>
        <v>1980.8</v>
      </c>
      <c r="D13" s="29"/>
      <c r="E13" s="76">
        <v>11728</v>
      </c>
      <c r="F13" s="77" t="s">
        <v>419</v>
      </c>
      <c r="G13" s="50" t="s">
        <v>46</v>
      </c>
      <c r="H13" s="38"/>
      <c r="I13" s="38"/>
      <c r="J13" s="29"/>
      <c r="K13" s="107" t="s">
        <v>142</v>
      </c>
      <c r="L13" s="108"/>
      <c r="M13" s="109"/>
      <c r="R13" s="1">
        <f>IF(vend30[[#This Row],[Nº Venda]]&gt;1,1,0)</f>
        <v>1</v>
      </c>
    </row>
    <row r="14" spans="2:18" ht="16.5" x14ac:dyDescent="0.3">
      <c r="B14" s="27" t="s">
        <v>9</v>
      </c>
      <c r="C14" s="70">
        <f t="shared" si="0"/>
        <v>0</v>
      </c>
      <c r="D14" s="29"/>
      <c r="E14" s="76">
        <v>11729</v>
      </c>
      <c r="F14" s="77" t="s">
        <v>416</v>
      </c>
      <c r="G14" s="50" t="s">
        <v>36</v>
      </c>
      <c r="H14" s="38"/>
      <c r="I14" s="38"/>
      <c r="J14" s="29"/>
      <c r="K14" s="21" t="s">
        <v>22</v>
      </c>
      <c r="L14" s="22" t="s">
        <v>23</v>
      </c>
      <c r="M14" s="23" t="s">
        <v>24</v>
      </c>
      <c r="R14" s="1">
        <f>IF(vend30[[#This Row],[Nº Venda]]&gt;1,1,0)</f>
        <v>1</v>
      </c>
    </row>
    <row r="15" spans="2:18" ht="16.5" x14ac:dyDescent="0.3">
      <c r="B15" s="27" t="s">
        <v>10</v>
      </c>
      <c r="C15" s="70">
        <f t="shared" si="0"/>
        <v>136</v>
      </c>
      <c r="D15" s="29"/>
      <c r="E15" s="76">
        <v>11730</v>
      </c>
      <c r="F15" s="77" t="s">
        <v>420</v>
      </c>
      <c r="G15" s="50" t="s">
        <v>8</v>
      </c>
      <c r="H15" s="38">
        <v>130.80000000000001</v>
      </c>
      <c r="I15" s="38">
        <v>130.80000000000001</v>
      </c>
      <c r="J15" s="29"/>
      <c r="K15" s="76">
        <v>11554</v>
      </c>
      <c r="L15" s="91" t="s">
        <v>129</v>
      </c>
      <c r="M15" s="42" t="s">
        <v>145</v>
      </c>
      <c r="R15" s="1">
        <f>IF(vend30[[#This Row],[Nº Venda]]&gt;1,1,0)</f>
        <v>1</v>
      </c>
    </row>
    <row r="16" spans="2:18" ht="16.5" x14ac:dyDescent="0.3">
      <c r="B16" s="30" t="s">
        <v>11</v>
      </c>
      <c r="C16" s="71">
        <f>SUM(C11:C15)</f>
        <v>2786.6</v>
      </c>
      <c r="D16" s="29"/>
      <c r="E16" s="76">
        <v>11731</v>
      </c>
      <c r="F16" s="77" t="s">
        <v>281</v>
      </c>
      <c r="G16" s="50" t="s">
        <v>36</v>
      </c>
      <c r="H16" s="38"/>
      <c r="I16" s="38"/>
      <c r="J16" s="29"/>
      <c r="K16" s="76">
        <v>11556</v>
      </c>
      <c r="L16" s="91" t="s">
        <v>129</v>
      </c>
      <c r="M16" s="42" t="s">
        <v>145</v>
      </c>
      <c r="R16" s="1">
        <f>IF(vend30[[#This Row],[Nº Venda]]&gt;1,1,0)</f>
        <v>1</v>
      </c>
    </row>
    <row r="17" spans="2:22" ht="16.5" x14ac:dyDescent="0.3">
      <c r="B17" s="26"/>
      <c r="C17" s="26"/>
      <c r="D17" s="29"/>
      <c r="E17" s="76">
        <v>11732</v>
      </c>
      <c r="F17" s="77" t="s">
        <v>417</v>
      </c>
      <c r="G17" s="50" t="s">
        <v>36</v>
      </c>
      <c r="H17" s="38"/>
      <c r="I17" s="38"/>
      <c r="J17" s="29"/>
      <c r="K17" s="76">
        <v>11595</v>
      </c>
      <c r="L17" s="91" t="s">
        <v>131</v>
      </c>
      <c r="M17" s="42" t="s">
        <v>145</v>
      </c>
      <c r="R17" s="1">
        <f>IF(vend30[[#This Row],[Nº Venda]]&gt;1,1,0)</f>
        <v>1</v>
      </c>
    </row>
    <row r="18" spans="2:22" ht="16.5" x14ac:dyDescent="0.3">
      <c r="B18" s="114" t="s">
        <v>12</v>
      </c>
      <c r="C18" s="115"/>
      <c r="D18" s="29"/>
      <c r="E18" s="76">
        <v>11733</v>
      </c>
      <c r="F18" s="77" t="s">
        <v>417</v>
      </c>
      <c r="G18" s="50" t="s">
        <v>36</v>
      </c>
      <c r="H18" s="38"/>
      <c r="I18" s="38"/>
      <c r="J18" s="29"/>
      <c r="K18" s="76">
        <v>11643</v>
      </c>
      <c r="L18" s="91" t="s">
        <v>131</v>
      </c>
      <c r="M18" s="42" t="s">
        <v>145</v>
      </c>
      <c r="R18" s="1">
        <f>IF(vend30[[#This Row],[Nº Venda]]&gt;1,1,0)</f>
        <v>1</v>
      </c>
    </row>
    <row r="19" spans="2:22" ht="16.5" x14ac:dyDescent="0.3">
      <c r="B19" s="27">
        <f>COUNT(entr_carn30[OS])</f>
        <v>0</v>
      </c>
      <c r="C19" s="70">
        <f>SUM(entr_carn30[Valor Total])</f>
        <v>0</v>
      </c>
      <c r="D19" s="29"/>
      <c r="E19" s="76">
        <v>11734</v>
      </c>
      <c r="F19" s="77" t="s">
        <v>421</v>
      </c>
      <c r="G19" s="50" t="s">
        <v>46</v>
      </c>
      <c r="H19" s="38">
        <v>1060</v>
      </c>
      <c r="I19" s="38"/>
      <c r="J19" s="29"/>
      <c r="K19" s="76">
        <v>11644</v>
      </c>
      <c r="L19" s="91" t="s">
        <v>131</v>
      </c>
      <c r="M19" s="42" t="s">
        <v>145</v>
      </c>
      <c r="R19" s="1">
        <f>IF(vend30[[#This Row],[Nº Venda]]&gt;1,1,0)</f>
        <v>1</v>
      </c>
    </row>
    <row r="20" spans="2:22" ht="16.5" x14ac:dyDescent="0.3">
      <c r="B20" s="30" t="s">
        <v>11</v>
      </c>
      <c r="C20" s="71">
        <f>SUM(C19:C19)</f>
        <v>0</v>
      </c>
      <c r="D20" s="29"/>
      <c r="E20" s="76">
        <v>11735</v>
      </c>
      <c r="F20" s="50" t="s">
        <v>421</v>
      </c>
      <c r="G20" s="50" t="s">
        <v>46</v>
      </c>
      <c r="H20" s="38">
        <v>500</v>
      </c>
      <c r="I20" s="38"/>
      <c r="J20" s="29"/>
      <c r="K20" s="76">
        <v>11677</v>
      </c>
      <c r="L20" s="91" t="s">
        <v>129</v>
      </c>
      <c r="M20" s="42" t="s">
        <v>145</v>
      </c>
      <c r="R20" s="1">
        <f>IF(vend30[[#This Row],[Nº Venda]]&gt;1,1,0)</f>
        <v>1</v>
      </c>
    </row>
    <row r="21" spans="2:22" ht="16.5" x14ac:dyDescent="0.3">
      <c r="B21" s="26"/>
      <c r="C21" s="26"/>
      <c r="D21" s="29"/>
      <c r="E21" s="76">
        <v>11736</v>
      </c>
      <c r="F21" s="77" t="s">
        <v>417</v>
      </c>
      <c r="G21" s="50" t="s">
        <v>36</v>
      </c>
      <c r="H21" s="38"/>
      <c r="I21" s="38"/>
      <c r="J21" s="29"/>
      <c r="K21" s="76">
        <v>11678</v>
      </c>
      <c r="L21" s="91" t="s">
        <v>129</v>
      </c>
      <c r="M21" s="42" t="s">
        <v>145</v>
      </c>
      <c r="V21" s="1" t="s">
        <v>122</v>
      </c>
    </row>
    <row r="22" spans="2:22" ht="16.5" x14ac:dyDescent="0.3">
      <c r="B22" s="30" t="s">
        <v>25</v>
      </c>
      <c r="C22" s="33">
        <f>C5</f>
        <v>2400.6000000000004</v>
      </c>
      <c r="D22" s="29"/>
      <c r="E22" s="78">
        <v>11737</v>
      </c>
      <c r="F22" s="77" t="s">
        <v>231</v>
      </c>
      <c r="G22" s="50" t="s">
        <v>7</v>
      </c>
      <c r="H22" s="38">
        <v>19.8</v>
      </c>
      <c r="I22" s="38">
        <v>19.8</v>
      </c>
      <c r="J22" s="29"/>
      <c r="K22" s="76">
        <v>11698</v>
      </c>
      <c r="L22" s="91" t="s">
        <v>129</v>
      </c>
      <c r="M22" s="42" t="s">
        <v>145</v>
      </c>
    </row>
    <row r="23" spans="2:22" ht="16.5" x14ac:dyDescent="0.3">
      <c r="B23" s="29"/>
      <c r="C23" s="29"/>
      <c r="D23" s="29"/>
      <c r="E23" s="34"/>
      <c r="F23" s="34"/>
      <c r="G23" s="34"/>
      <c r="H23" s="35"/>
      <c r="I23" s="36"/>
      <c r="J23" s="29"/>
      <c r="K23" s="76">
        <v>11706</v>
      </c>
      <c r="L23" s="91" t="s">
        <v>131</v>
      </c>
      <c r="M23" s="42" t="s">
        <v>145</v>
      </c>
    </row>
    <row r="24" spans="2:22" ht="16.5" x14ac:dyDescent="0.3">
      <c r="B24" s="29"/>
      <c r="C24" s="29"/>
      <c r="D24" s="29"/>
      <c r="E24" s="105" t="s">
        <v>139</v>
      </c>
      <c r="F24" s="106"/>
      <c r="G24" s="106"/>
      <c r="H24" s="106"/>
      <c r="I24" s="106"/>
      <c r="J24" s="29"/>
      <c r="K24" s="76">
        <v>11737</v>
      </c>
      <c r="L24" s="91"/>
      <c r="M24" s="42" t="s">
        <v>145</v>
      </c>
    </row>
    <row r="25" spans="2:22" ht="16.5" x14ac:dyDescent="0.3">
      <c r="B25" s="29"/>
      <c r="C25" s="29"/>
      <c r="D25" s="29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29"/>
      <c r="K25" s="76"/>
      <c r="L25" s="91"/>
      <c r="M25" s="42"/>
    </row>
    <row r="26" spans="2:22" ht="16.5" x14ac:dyDescent="0.3">
      <c r="B26" s="29"/>
      <c r="C26" s="29"/>
      <c r="D26" s="29"/>
      <c r="E26" s="76">
        <v>11556</v>
      </c>
      <c r="F26" s="77" t="s">
        <v>231</v>
      </c>
      <c r="G26" s="50" t="s">
        <v>6</v>
      </c>
      <c r="H26" s="38"/>
      <c r="I26" s="38">
        <v>100</v>
      </c>
      <c r="J26" s="29"/>
      <c r="K26" s="76"/>
      <c r="L26" s="91"/>
      <c r="M26" s="42"/>
    </row>
    <row r="27" spans="2:22" ht="16.5" x14ac:dyDescent="0.3">
      <c r="B27" s="29"/>
      <c r="C27" s="29"/>
      <c r="D27" s="29"/>
      <c r="E27" s="76">
        <v>11556</v>
      </c>
      <c r="F27" s="77" t="s">
        <v>231</v>
      </c>
      <c r="G27" s="50" t="s">
        <v>7</v>
      </c>
      <c r="H27" s="38"/>
      <c r="I27" s="38">
        <v>500</v>
      </c>
      <c r="J27" s="29"/>
      <c r="K27" s="76"/>
      <c r="L27" s="91"/>
      <c r="M27" s="42"/>
    </row>
    <row r="28" spans="2:22" ht="16.5" x14ac:dyDescent="0.3">
      <c r="B28" s="29"/>
      <c r="C28" s="29"/>
      <c r="D28" s="29"/>
      <c r="E28" s="76"/>
      <c r="F28" s="77"/>
      <c r="G28" s="50"/>
      <c r="H28" s="38"/>
      <c r="I28" s="38"/>
      <c r="J28" s="29"/>
      <c r="K28" s="76"/>
      <c r="L28" s="91"/>
      <c r="M28" s="42"/>
    </row>
    <row r="29" spans="2:22" ht="16.5" x14ac:dyDescent="0.3">
      <c r="B29" s="29"/>
      <c r="C29" s="29"/>
      <c r="D29" s="29"/>
      <c r="E29" s="76"/>
      <c r="F29" s="77"/>
      <c r="G29" s="50"/>
      <c r="H29" s="38"/>
      <c r="I29" s="38"/>
      <c r="J29" s="29"/>
      <c r="K29" s="76"/>
      <c r="L29" s="91"/>
      <c r="M29" s="42"/>
    </row>
    <row r="30" spans="2:22" ht="16.5" x14ac:dyDescent="0.3">
      <c r="B30" s="29"/>
      <c r="C30" s="29"/>
      <c r="D30" s="29"/>
      <c r="E30" s="76"/>
      <c r="F30" s="50"/>
      <c r="G30" s="50"/>
      <c r="H30" s="38"/>
      <c r="I30" s="38"/>
      <c r="J30" s="29"/>
      <c r="K30" s="76"/>
      <c r="L30" s="91"/>
      <c r="M30" s="42"/>
    </row>
    <row r="31" spans="2:22" ht="16.5" x14ac:dyDescent="0.3">
      <c r="B31" s="29"/>
      <c r="C31" s="29"/>
      <c r="D31" s="29"/>
      <c r="E31" s="78"/>
      <c r="F31" s="79"/>
      <c r="G31" s="40"/>
      <c r="H31" s="41"/>
      <c r="I31" s="41"/>
      <c r="J31" s="29"/>
      <c r="K31" s="76"/>
      <c r="L31" s="91"/>
      <c r="M31" s="42"/>
    </row>
    <row r="32" spans="2:22" ht="16.5" x14ac:dyDescent="0.3">
      <c r="B32" s="29"/>
      <c r="C32" s="29"/>
      <c r="D32" s="37"/>
      <c r="E32" s="34"/>
      <c r="F32" s="34"/>
      <c r="G32" s="34"/>
      <c r="H32" s="36"/>
      <c r="I32" s="36"/>
      <c r="J32" s="37"/>
      <c r="K32" s="32"/>
      <c r="L32" s="32"/>
      <c r="M32" s="32"/>
    </row>
    <row r="33" spans="2:18" ht="16.5" x14ac:dyDescent="0.3">
      <c r="B33" s="29"/>
      <c r="C33" s="29"/>
      <c r="D33" s="37"/>
      <c r="E33" s="105" t="s">
        <v>140</v>
      </c>
      <c r="F33" s="106"/>
      <c r="G33" s="106"/>
      <c r="H33" s="106"/>
      <c r="I33" s="106"/>
      <c r="J33" s="37"/>
      <c r="K33" s="107" t="s">
        <v>141</v>
      </c>
      <c r="L33" s="108"/>
      <c r="M33" s="109"/>
    </row>
    <row r="34" spans="2:18" ht="16.5" x14ac:dyDescent="0.3">
      <c r="B34" s="37"/>
      <c r="C34" s="37"/>
      <c r="D34" s="37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7"/>
      <c r="K34" s="22" t="s">
        <v>22</v>
      </c>
      <c r="L34" s="21" t="s">
        <v>28</v>
      </c>
      <c r="M34" s="22" t="s">
        <v>29</v>
      </c>
    </row>
    <row r="35" spans="2:18" ht="16.5" customHeight="1" x14ac:dyDescent="0.25">
      <c r="B35" s="37"/>
      <c r="C35" s="37"/>
      <c r="D35" s="37"/>
      <c r="E35" s="76">
        <v>10902</v>
      </c>
      <c r="F35" s="77" t="s">
        <v>423</v>
      </c>
      <c r="G35" s="50" t="s">
        <v>10</v>
      </c>
      <c r="H35" s="38">
        <v>86</v>
      </c>
      <c r="I35" s="38" t="s">
        <v>45</v>
      </c>
      <c r="J35" s="37"/>
      <c r="K35" s="76"/>
      <c r="L35" s="76"/>
      <c r="M35" s="91"/>
    </row>
    <row r="36" spans="2:18" ht="16.5" customHeight="1" x14ac:dyDescent="0.25">
      <c r="B36" s="37"/>
      <c r="C36" s="37"/>
      <c r="D36" s="37"/>
      <c r="E36" s="83"/>
      <c r="F36" s="77"/>
      <c r="G36" s="50"/>
      <c r="H36" s="38"/>
      <c r="I36" s="38"/>
      <c r="J36" s="37"/>
      <c r="K36" s="76"/>
      <c r="L36" s="76"/>
      <c r="M36" s="91"/>
    </row>
    <row r="37" spans="2:18" ht="16.5" customHeight="1" x14ac:dyDescent="0.25">
      <c r="B37" s="37"/>
      <c r="C37" s="37"/>
      <c r="D37" s="37"/>
      <c r="E37" s="76"/>
      <c r="F37" s="77"/>
      <c r="G37" s="50"/>
      <c r="H37" s="38"/>
      <c r="I37" s="38"/>
      <c r="J37" s="37"/>
      <c r="K37" s="76"/>
      <c r="L37" s="76"/>
      <c r="M37" s="91"/>
    </row>
    <row r="38" spans="2:18" ht="16.5" customHeight="1" x14ac:dyDescent="0.25">
      <c r="B38" s="37"/>
      <c r="C38" s="37"/>
      <c r="D38" s="37"/>
      <c r="E38" s="76"/>
      <c r="F38" s="77"/>
      <c r="G38" s="50"/>
      <c r="H38" s="38"/>
      <c r="I38" s="38"/>
      <c r="J38" s="37"/>
      <c r="K38" s="76"/>
      <c r="L38" s="76"/>
      <c r="M38" s="91"/>
    </row>
    <row r="39" spans="2:18" ht="16.5" customHeight="1" x14ac:dyDescent="0.25">
      <c r="B39" s="37"/>
      <c r="C39" s="37"/>
      <c r="D39" s="37"/>
      <c r="E39" s="76"/>
      <c r="F39" s="50"/>
      <c r="G39" s="50"/>
      <c r="H39" s="38"/>
      <c r="I39" s="38"/>
      <c r="J39" s="37"/>
      <c r="K39" s="76"/>
      <c r="L39" s="76"/>
      <c r="M39" s="91"/>
    </row>
    <row r="40" spans="2:18" ht="16.5" customHeight="1" x14ac:dyDescent="0.25">
      <c r="B40" s="37"/>
      <c r="C40" s="37"/>
      <c r="D40" s="37"/>
      <c r="E40" s="78"/>
      <c r="F40" s="79"/>
      <c r="G40" s="40"/>
      <c r="H40" s="41"/>
      <c r="I40" s="38"/>
      <c r="J40" s="37"/>
      <c r="K40" s="78"/>
      <c r="L40" s="78"/>
      <c r="M40" s="92"/>
      <c r="Q40" s="1" t="s">
        <v>33</v>
      </c>
      <c r="R40" s="1">
        <f>SUM(R6:R21)</f>
        <v>15</v>
      </c>
    </row>
    <row r="41" spans="2:18" ht="16.5" customHeight="1" x14ac:dyDescent="0.25">
      <c r="B41" s="37"/>
      <c r="C41" s="37"/>
      <c r="D41" s="37"/>
      <c r="E41" s="82"/>
      <c r="F41" s="50"/>
      <c r="G41" s="50"/>
      <c r="H41" s="38"/>
      <c r="I41" s="38"/>
      <c r="J41" s="37"/>
      <c r="K41" s="76"/>
      <c r="L41" s="76"/>
      <c r="M41" s="92"/>
    </row>
    <row r="42" spans="2:18" ht="13.5" x14ac:dyDescent="0.25">
      <c r="B42" s="37"/>
      <c r="C42" s="37"/>
      <c r="D42" s="37"/>
      <c r="E42" s="34"/>
      <c r="F42" s="34"/>
      <c r="G42" s="34"/>
      <c r="H42" s="36"/>
      <c r="I42" s="36"/>
      <c r="J42" s="37"/>
      <c r="K42" s="32"/>
      <c r="L42" s="32"/>
      <c r="M42" s="32"/>
    </row>
    <row r="43" spans="2:18" ht="13.5" x14ac:dyDescent="0.25">
      <c r="B43" s="37"/>
      <c r="C43" s="37"/>
      <c r="D43" s="37"/>
      <c r="E43" s="34"/>
      <c r="F43" s="34"/>
      <c r="G43" s="34"/>
      <c r="H43" s="36"/>
      <c r="I43" s="36"/>
      <c r="J43" s="37"/>
      <c r="K43" s="32"/>
      <c r="L43" s="32"/>
      <c r="M43" s="32"/>
    </row>
    <row r="44" spans="2:18" ht="13.5" x14ac:dyDescent="0.25">
      <c r="B44" s="37"/>
      <c r="C44" s="37"/>
      <c r="D44" s="37"/>
      <c r="E44" s="34"/>
      <c r="F44" s="34"/>
      <c r="G44" s="34"/>
      <c r="H44" s="36"/>
      <c r="I44" s="36"/>
      <c r="J44" s="37"/>
      <c r="K44" s="32"/>
      <c r="L44" s="32"/>
      <c r="M44" s="32"/>
    </row>
    <row r="45" spans="2:18" ht="13.5" x14ac:dyDescent="0.25">
      <c r="B45" s="37"/>
      <c r="C45" s="37"/>
      <c r="D45" s="37"/>
      <c r="E45" s="34"/>
      <c r="F45" s="34"/>
      <c r="G45" s="34"/>
      <c r="H45" s="36"/>
      <c r="I45" s="36"/>
      <c r="J45" s="37"/>
      <c r="K45" s="32"/>
      <c r="L45" s="32"/>
      <c r="M45" s="32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8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5"/>
  <sheetViews>
    <sheetView showGridLines="0" view="pageBreakPreview" zoomScale="60" zoomScaleNormal="90" workbookViewId="0">
      <selection activeCell="L1" sqref="L1:M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34.7109375" style="1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'30'!B1+1</f>
        <v>45900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4" t="s">
        <v>0</v>
      </c>
      <c r="C4" s="25">
        <v>0</v>
      </c>
      <c r="D4" s="57"/>
      <c r="E4" s="113" t="s">
        <v>137</v>
      </c>
      <c r="F4" s="113"/>
      <c r="G4" s="113"/>
      <c r="H4" s="113"/>
      <c r="I4" s="113"/>
      <c r="J4" s="29"/>
      <c r="K4" s="107" t="s">
        <v>138</v>
      </c>
      <c r="L4" s="108"/>
      <c r="M4" s="109"/>
    </row>
    <row r="5" spans="2:18" ht="16.5" x14ac:dyDescent="0.3">
      <c r="B5" s="27" t="s">
        <v>1</v>
      </c>
      <c r="C5" s="28">
        <f>SUMIF(I6:I31,"&gt;0",H6:H31)</f>
        <v>0</v>
      </c>
      <c r="D5" s="29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29"/>
      <c r="K5" s="21" t="s">
        <v>18</v>
      </c>
      <c r="L5" s="22" t="s">
        <v>19</v>
      </c>
      <c r="M5" s="23" t="s">
        <v>20</v>
      </c>
    </row>
    <row r="6" spans="2:18" ht="16.5" x14ac:dyDescent="0.3">
      <c r="B6" s="27" t="s">
        <v>2</v>
      </c>
      <c r="C6" s="28">
        <f>C16</f>
        <v>0</v>
      </c>
      <c r="D6" s="29"/>
      <c r="E6" s="76"/>
      <c r="F6" s="77"/>
      <c r="G6" s="50"/>
      <c r="H6" s="38"/>
      <c r="I6" s="38"/>
      <c r="J6" s="29"/>
      <c r="K6" s="77"/>
      <c r="L6" s="91"/>
      <c r="M6" s="42"/>
      <c r="R6" s="1">
        <f>IF(vend31[[#This Row],[Nº Venda]]&gt;1,1,0)</f>
        <v>0</v>
      </c>
    </row>
    <row r="7" spans="2:18" ht="16.5" x14ac:dyDescent="0.3">
      <c r="B7" s="27" t="s">
        <v>3</v>
      </c>
      <c r="C7" s="28">
        <f>SUM(M6:M11)</f>
        <v>0</v>
      </c>
      <c r="D7" s="29"/>
      <c r="E7" s="76"/>
      <c r="F7" s="77"/>
      <c r="G7" s="50"/>
      <c r="H7" s="38"/>
      <c r="I7" s="38"/>
      <c r="J7" s="29"/>
      <c r="K7" s="77"/>
      <c r="L7" s="91"/>
      <c r="M7" s="42"/>
      <c r="R7" s="1">
        <f>IF(vend31[[#This Row],[Nº Venda]]&gt;1,1,0)</f>
        <v>0</v>
      </c>
    </row>
    <row r="8" spans="2:18" ht="16.5" x14ac:dyDescent="0.3">
      <c r="B8" s="30" t="s">
        <v>21</v>
      </c>
      <c r="C8" s="31">
        <f>SUM(C6:C7)</f>
        <v>0</v>
      </c>
      <c r="D8" s="29"/>
      <c r="E8" s="76"/>
      <c r="F8" s="77"/>
      <c r="G8" s="50"/>
      <c r="H8" s="38"/>
      <c r="I8" s="38"/>
      <c r="J8" s="29"/>
      <c r="K8" s="77"/>
      <c r="L8" s="91"/>
      <c r="M8" s="42"/>
      <c r="R8" s="1">
        <f>IF(vend31[[#This Row],[Nº Venda]]&gt;1,1,0)</f>
        <v>0</v>
      </c>
    </row>
    <row r="9" spans="2:18" ht="16.5" x14ac:dyDescent="0.3">
      <c r="B9" s="26"/>
      <c r="C9" s="26"/>
      <c r="D9" s="29"/>
      <c r="E9" s="76"/>
      <c r="F9" s="77"/>
      <c r="G9" s="50"/>
      <c r="H9" s="38"/>
      <c r="I9" s="38"/>
      <c r="J9" s="29"/>
      <c r="K9" s="77"/>
      <c r="L9" s="91"/>
      <c r="M9" s="42"/>
      <c r="R9" s="1">
        <f>IF(vend31[[#This Row],[Nº Venda]]&gt;1,1,0)</f>
        <v>0</v>
      </c>
    </row>
    <row r="10" spans="2:18" ht="16.5" x14ac:dyDescent="0.3">
      <c r="B10" s="114" t="s">
        <v>5</v>
      </c>
      <c r="C10" s="115"/>
      <c r="D10" s="29"/>
      <c r="E10" s="76"/>
      <c r="F10" s="77"/>
      <c r="G10" s="50"/>
      <c r="H10" s="38"/>
      <c r="I10" s="38"/>
      <c r="J10" s="29"/>
      <c r="K10" s="77"/>
      <c r="L10" s="91"/>
      <c r="M10" s="42"/>
      <c r="R10" s="1">
        <f>IF(vend31[[#This Row],[Nº Venda]]&gt;1,1,0)</f>
        <v>0</v>
      </c>
    </row>
    <row r="11" spans="2:18" ht="16.5" x14ac:dyDescent="0.3">
      <c r="B11" s="27" t="s">
        <v>6</v>
      </c>
      <c r="C11" s="70">
        <f>(SUMIF($G$2:$G$31,B11,$I$2:$I$31))+(SUMIF($G$35:$G$41,B11,$H$35:$H$41))</f>
        <v>0</v>
      </c>
      <c r="D11" s="29"/>
      <c r="E11" s="76"/>
      <c r="F11" s="77"/>
      <c r="G11" s="50"/>
      <c r="H11" s="38"/>
      <c r="I11" s="38"/>
      <c r="J11" s="29"/>
      <c r="K11" s="37"/>
      <c r="L11" s="91"/>
      <c r="M11" s="42"/>
      <c r="O11" s="1">
        <f>IF(C16=0,0,1)</f>
        <v>0</v>
      </c>
      <c r="R11" s="1">
        <f>IF(vend31[[#This Row],[Nº Venda]]&gt;1,1,0)</f>
        <v>0</v>
      </c>
    </row>
    <row r="12" spans="2:18" ht="16.5" x14ac:dyDescent="0.3">
      <c r="B12" s="27" t="s">
        <v>7</v>
      </c>
      <c r="C12" s="70">
        <f t="shared" ref="C12:C15" si="0">(SUMIF($G$2:$G$31,B12,$I$2:$I$31))+(SUMIF($G$35:$G$41,B12,$H$35:$H$41))</f>
        <v>0</v>
      </c>
      <c r="D12" s="29"/>
      <c r="E12" s="76"/>
      <c r="F12" s="77"/>
      <c r="G12" s="50"/>
      <c r="H12" s="38"/>
      <c r="I12" s="38"/>
      <c r="J12" s="29"/>
      <c r="K12" s="32"/>
      <c r="L12" s="32"/>
      <c r="M12" s="32"/>
      <c r="R12" s="1">
        <f>IF(vend31[[#This Row],[Nº Venda]]&gt;1,1,0)</f>
        <v>0</v>
      </c>
    </row>
    <row r="13" spans="2:18" ht="16.5" x14ac:dyDescent="0.3">
      <c r="B13" s="27" t="s">
        <v>8</v>
      </c>
      <c r="C13" s="70">
        <f t="shared" si="0"/>
        <v>0</v>
      </c>
      <c r="D13" s="29"/>
      <c r="E13" s="76"/>
      <c r="F13" s="77"/>
      <c r="G13" s="50"/>
      <c r="H13" s="38"/>
      <c r="I13" s="38"/>
      <c r="J13" s="29"/>
      <c r="K13" s="107" t="s">
        <v>142</v>
      </c>
      <c r="L13" s="108"/>
      <c r="M13" s="109"/>
      <c r="R13" s="1">
        <f>IF(vend31[[#This Row],[Nº Venda]]&gt;1,1,0)</f>
        <v>0</v>
      </c>
    </row>
    <row r="14" spans="2:18" ht="16.5" x14ac:dyDescent="0.3">
      <c r="B14" s="27" t="s">
        <v>9</v>
      </c>
      <c r="C14" s="70">
        <f t="shared" si="0"/>
        <v>0</v>
      </c>
      <c r="D14" s="29"/>
      <c r="E14" s="76"/>
      <c r="F14" s="77"/>
      <c r="G14" s="50"/>
      <c r="H14" s="38"/>
      <c r="I14" s="38"/>
      <c r="J14" s="29"/>
      <c r="K14" s="21" t="s">
        <v>22</v>
      </c>
      <c r="L14" s="22" t="s">
        <v>23</v>
      </c>
      <c r="M14" s="23" t="s">
        <v>24</v>
      </c>
      <c r="R14" s="1">
        <f>IF(vend31[[#This Row],[Nº Venda]]&gt;1,1,0)</f>
        <v>0</v>
      </c>
    </row>
    <row r="15" spans="2:18" ht="16.5" x14ac:dyDescent="0.3">
      <c r="B15" s="27" t="s">
        <v>10</v>
      </c>
      <c r="C15" s="70">
        <f t="shared" si="0"/>
        <v>0</v>
      </c>
      <c r="D15" s="29"/>
      <c r="E15" s="76"/>
      <c r="F15" s="77"/>
      <c r="G15" s="50"/>
      <c r="H15" s="38"/>
      <c r="I15" s="38"/>
      <c r="J15" s="29"/>
      <c r="K15" s="76"/>
      <c r="L15" s="91"/>
      <c r="M15" s="42"/>
      <c r="R15" s="1">
        <f>IF(vend31[[#This Row],[Nº Venda]]&gt;1,1,0)</f>
        <v>0</v>
      </c>
    </row>
    <row r="16" spans="2:18" ht="16.5" x14ac:dyDescent="0.3">
      <c r="B16" s="30" t="s">
        <v>11</v>
      </c>
      <c r="C16" s="71">
        <f>SUM(C11:C15)</f>
        <v>0</v>
      </c>
      <c r="D16" s="29"/>
      <c r="E16" s="76"/>
      <c r="F16" s="77"/>
      <c r="G16" s="50"/>
      <c r="H16" s="38"/>
      <c r="I16" s="38"/>
      <c r="J16" s="29"/>
      <c r="K16" s="76"/>
      <c r="L16" s="91"/>
      <c r="M16" s="42"/>
      <c r="R16" s="1">
        <f>IF(vend31[[#This Row],[Nº Venda]]&gt;1,1,0)</f>
        <v>0</v>
      </c>
    </row>
    <row r="17" spans="2:18" ht="16.5" x14ac:dyDescent="0.3">
      <c r="B17" s="26"/>
      <c r="C17" s="26"/>
      <c r="D17" s="29"/>
      <c r="E17" s="76"/>
      <c r="F17" s="77"/>
      <c r="G17" s="50"/>
      <c r="H17" s="38"/>
      <c r="I17" s="38"/>
      <c r="J17" s="29"/>
      <c r="K17" s="76"/>
      <c r="L17" s="91"/>
      <c r="M17" s="42"/>
      <c r="R17" s="1">
        <f>IF(vend31[[#This Row],[Nº Venda]]&gt;1,1,0)</f>
        <v>0</v>
      </c>
    </row>
    <row r="18" spans="2:18" ht="16.5" x14ac:dyDescent="0.3">
      <c r="B18" s="114" t="s">
        <v>12</v>
      </c>
      <c r="C18" s="115"/>
      <c r="D18" s="29"/>
      <c r="E18" s="76"/>
      <c r="F18" s="77"/>
      <c r="G18" s="50"/>
      <c r="H18" s="38"/>
      <c r="I18" s="38"/>
      <c r="J18" s="29"/>
      <c r="K18" s="76"/>
      <c r="L18" s="91"/>
      <c r="M18" s="42"/>
      <c r="R18" s="1">
        <f>IF(vend31[[#This Row],[Nº Venda]]&gt;1,1,0)</f>
        <v>0</v>
      </c>
    </row>
    <row r="19" spans="2:18" ht="16.5" x14ac:dyDescent="0.3">
      <c r="B19" s="27">
        <f>COUNT(entr_carn31[OS])</f>
        <v>0</v>
      </c>
      <c r="C19" s="70">
        <f>SUM(entr_carn31[Valor Total])</f>
        <v>0</v>
      </c>
      <c r="D19" s="29"/>
      <c r="E19" s="76"/>
      <c r="F19" s="77"/>
      <c r="G19" s="50"/>
      <c r="H19" s="38"/>
      <c r="I19" s="38"/>
      <c r="J19" s="29"/>
      <c r="K19" s="76"/>
      <c r="L19" s="91"/>
      <c r="M19" s="42"/>
      <c r="R19" s="1">
        <f>IF(vend31[[#This Row],[Nº Venda]]&gt;1,1,0)</f>
        <v>0</v>
      </c>
    </row>
    <row r="20" spans="2:18" ht="16.5" x14ac:dyDescent="0.3">
      <c r="B20" s="30" t="s">
        <v>11</v>
      </c>
      <c r="C20" s="71">
        <f>SUM(C19:C19)</f>
        <v>0</v>
      </c>
      <c r="D20" s="29"/>
      <c r="E20" s="76"/>
      <c r="F20" s="50"/>
      <c r="G20" s="50"/>
      <c r="H20" s="38"/>
      <c r="I20" s="38"/>
      <c r="J20" s="29"/>
      <c r="K20" s="76"/>
      <c r="L20" s="91"/>
      <c r="M20" s="42"/>
      <c r="R20" s="1">
        <f>IF(vend31[[#This Row],[Nº Venda]]&gt;1,1,0)</f>
        <v>0</v>
      </c>
    </row>
    <row r="21" spans="2:18" ht="16.5" x14ac:dyDescent="0.3">
      <c r="B21" s="26"/>
      <c r="C21" s="26"/>
      <c r="D21" s="29"/>
      <c r="E21" s="76"/>
      <c r="F21" s="77"/>
      <c r="G21" s="50"/>
      <c r="H21" s="38"/>
      <c r="I21" s="38"/>
      <c r="J21" s="29"/>
      <c r="K21" s="76"/>
      <c r="L21" s="91"/>
      <c r="M21" s="42"/>
    </row>
    <row r="22" spans="2:18" ht="16.5" x14ac:dyDescent="0.3">
      <c r="B22" s="30" t="s">
        <v>25</v>
      </c>
      <c r="C22" s="33">
        <f>C5</f>
        <v>0</v>
      </c>
      <c r="D22" s="29"/>
      <c r="E22" s="78"/>
      <c r="F22" s="77"/>
      <c r="G22" s="50"/>
      <c r="H22" s="38"/>
      <c r="I22" s="38"/>
      <c r="J22" s="29"/>
      <c r="K22" s="76"/>
      <c r="L22" s="91"/>
      <c r="M22" s="42"/>
    </row>
    <row r="23" spans="2:18" ht="16.5" x14ac:dyDescent="0.3">
      <c r="B23" s="29"/>
      <c r="C23" s="29"/>
      <c r="D23" s="29"/>
      <c r="E23" s="34"/>
      <c r="F23" s="34"/>
      <c r="G23" s="34"/>
      <c r="H23" s="35"/>
      <c r="I23" s="36"/>
      <c r="J23" s="29"/>
      <c r="K23" s="76"/>
      <c r="L23" s="91"/>
      <c r="M23" s="42"/>
    </row>
    <row r="24" spans="2:18" ht="16.5" x14ac:dyDescent="0.3">
      <c r="B24" s="29"/>
      <c r="C24" s="29"/>
      <c r="D24" s="29"/>
      <c r="E24" s="105" t="s">
        <v>139</v>
      </c>
      <c r="F24" s="106"/>
      <c r="G24" s="106"/>
      <c r="H24" s="106"/>
      <c r="I24" s="106"/>
      <c r="J24" s="29"/>
      <c r="K24" s="76"/>
      <c r="L24" s="91"/>
      <c r="M24" s="42"/>
    </row>
    <row r="25" spans="2:18" ht="16.5" x14ac:dyDescent="0.3">
      <c r="B25" s="29"/>
      <c r="C25" s="29"/>
      <c r="D25" s="29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29"/>
      <c r="K25" s="76"/>
      <c r="L25" s="91"/>
      <c r="M25" s="42"/>
    </row>
    <row r="26" spans="2:18" ht="16.5" x14ac:dyDescent="0.3">
      <c r="B26" s="29"/>
      <c r="C26" s="29"/>
      <c r="D26" s="29"/>
      <c r="E26" s="76"/>
      <c r="F26" s="77"/>
      <c r="G26" s="50"/>
      <c r="H26" s="38"/>
      <c r="I26" s="38"/>
      <c r="J26" s="29"/>
      <c r="K26" s="76"/>
      <c r="L26" s="91"/>
      <c r="M26" s="42"/>
    </row>
    <row r="27" spans="2:18" ht="16.5" x14ac:dyDescent="0.3">
      <c r="B27" s="29"/>
      <c r="C27" s="29"/>
      <c r="D27" s="29"/>
      <c r="E27" s="76"/>
      <c r="F27" s="77"/>
      <c r="G27" s="50"/>
      <c r="H27" s="38"/>
      <c r="I27" s="38"/>
      <c r="J27" s="29"/>
      <c r="K27" s="76"/>
      <c r="L27" s="91"/>
      <c r="M27" s="42"/>
    </row>
    <row r="28" spans="2:18" ht="16.5" x14ac:dyDescent="0.3">
      <c r="B28" s="29"/>
      <c r="C28" s="29"/>
      <c r="D28" s="29"/>
      <c r="E28" s="76"/>
      <c r="F28" s="77"/>
      <c r="G28" s="50"/>
      <c r="H28" s="38"/>
      <c r="I28" s="38"/>
      <c r="J28" s="29"/>
      <c r="K28" s="76"/>
      <c r="L28" s="91"/>
      <c r="M28" s="42"/>
    </row>
    <row r="29" spans="2:18" ht="16.5" x14ac:dyDescent="0.3">
      <c r="B29" s="29"/>
      <c r="C29" s="29"/>
      <c r="D29" s="29"/>
      <c r="E29" s="76"/>
      <c r="F29" s="77"/>
      <c r="G29" s="50"/>
      <c r="H29" s="38"/>
      <c r="I29" s="38"/>
      <c r="J29" s="29"/>
      <c r="K29" s="76"/>
      <c r="L29" s="91"/>
      <c r="M29" s="42"/>
    </row>
    <row r="30" spans="2:18" ht="16.5" x14ac:dyDescent="0.3">
      <c r="B30" s="29"/>
      <c r="C30" s="29"/>
      <c r="D30" s="29"/>
      <c r="E30" s="76"/>
      <c r="F30" s="50"/>
      <c r="G30" s="50"/>
      <c r="H30" s="38"/>
      <c r="I30" s="38"/>
      <c r="J30" s="29"/>
      <c r="K30" s="76"/>
      <c r="L30" s="91"/>
      <c r="M30" s="42"/>
    </row>
    <row r="31" spans="2:18" ht="16.5" x14ac:dyDescent="0.3">
      <c r="B31" s="29"/>
      <c r="C31" s="29"/>
      <c r="D31" s="29"/>
      <c r="E31" s="78"/>
      <c r="F31" s="79"/>
      <c r="G31" s="40"/>
      <c r="H31" s="41"/>
      <c r="I31" s="41"/>
      <c r="J31" s="29"/>
      <c r="K31" s="76"/>
      <c r="L31" s="91"/>
      <c r="M31" s="42"/>
    </row>
    <row r="32" spans="2:18" ht="16.5" x14ac:dyDescent="0.3">
      <c r="B32" s="29"/>
      <c r="C32" s="29"/>
      <c r="D32" s="37"/>
      <c r="E32" s="34"/>
      <c r="F32" s="34"/>
      <c r="G32" s="34"/>
      <c r="H32" s="36"/>
      <c r="I32" s="36"/>
      <c r="J32" s="37"/>
      <c r="K32" s="32"/>
      <c r="L32" s="32"/>
      <c r="M32" s="32"/>
    </row>
    <row r="33" spans="2:18" ht="16.5" x14ac:dyDescent="0.3">
      <c r="B33" s="29"/>
      <c r="C33" s="29"/>
      <c r="D33" s="37"/>
      <c r="E33" s="105" t="s">
        <v>140</v>
      </c>
      <c r="F33" s="106"/>
      <c r="G33" s="106"/>
      <c r="H33" s="106"/>
      <c r="I33" s="106"/>
      <c r="J33" s="37"/>
      <c r="K33" s="107" t="s">
        <v>141</v>
      </c>
      <c r="L33" s="108"/>
      <c r="M33" s="109"/>
    </row>
    <row r="34" spans="2:18" ht="16.5" x14ac:dyDescent="0.3">
      <c r="B34" s="37"/>
      <c r="C34" s="37"/>
      <c r="D34" s="37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7"/>
      <c r="K34" s="22" t="s">
        <v>22</v>
      </c>
      <c r="L34" s="21" t="s">
        <v>28</v>
      </c>
      <c r="M34" s="22" t="s">
        <v>29</v>
      </c>
    </row>
    <row r="35" spans="2:18" ht="16.5" customHeight="1" x14ac:dyDescent="0.25">
      <c r="B35" s="37"/>
      <c r="C35" s="37"/>
      <c r="D35" s="37"/>
      <c r="E35" s="76"/>
      <c r="F35" s="77"/>
      <c r="G35" s="50"/>
      <c r="H35" s="38"/>
      <c r="I35" s="38"/>
      <c r="J35" s="37"/>
      <c r="K35" s="76"/>
      <c r="L35" s="76"/>
      <c r="M35" s="91"/>
    </row>
    <row r="36" spans="2:18" ht="16.5" customHeight="1" x14ac:dyDescent="0.25">
      <c r="B36" s="37"/>
      <c r="C36" s="37"/>
      <c r="D36" s="37"/>
      <c r="E36" s="83"/>
      <c r="F36" s="77"/>
      <c r="G36" s="50"/>
      <c r="H36" s="38"/>
      <c r="I36" s="38"/>
      <c r="J36" s="37"/>
      <c r="K36" s="76"/>
      <c r="L36" s="76"/>
      <c r="M36" s="91"/>
    </row>
    <row r="37" spans="2:18" ht="16.5" customHeight="1" x14ac:dyDescent="0.25">
      <c r="B37" s="37"/>
      <c r="C37" s="37"/>
      <c r="D37" s="37"/>
      <c r="E37" s="76"/>
      <c r="F37" s="77"/>
      <c r="G37" s="50"/>
      <c r="H37" s="38"/>
      <c r="I37" s="38"/>
      <c r="J37" s="37"/>
      <c r="K37" s="76"/>
      <c r="L37" s="76"/>
      <c r="M37" s="91"/>
    </row>
    <row r="38" spans="2:18" ht="16.5" customHeight="1" x14ac:dyDescent="0.25">
      <c r="B38" s="37"/>
      <c r="C38" s="37"/>
      <c r="D38" s="37"/>
      <c r="E38" s="76"/>
      <c r="F38" s="77"/>
      <c r="G38" s="50"/>
      <c r="H38" s="38"/>
      <c r="I38" s="38"/>
      <c r="J38" s="37"/>
      <c r="K38" s="76"/>
      <c r="L38" s="76"/>
      <c r="M38" s="91"/>
    </row>
    <row r="39" spans="2:18" ht="16.5" customHeight="1" x14ac:dyDescent="0.25">
      <c r="B39" s="37"/>
      <c r="C39" s="37"/>
      <c r="D39" s="37"/>
      <c r="E39" s="76"/>
      <c r="F39" s="50"/>
      <c r="G39" s="50"/>
      <c r="H39" s="38"/>
      <c r="I39" s="38"/>
      <c r="J39" s="37"/>
      <c r="K39" s="76"/>
      <c r="L39" s="76"/>
      <c r="M39" s="91"/>
    </row>
    <row r="40" spans="2:18" ht="16.5" customHeight="1" x14ac:dyDescent="0.25">
      <c r="B40" s="37"/>
      <c r="C40" s="37"/>
      <c r="D40" s="37"/>
      <c r="E40" s="78"/>
      <c r="F40" s="79"/>
      <c r="G40" s="40"/>
      <c r="H40" s="41"/>
      <c r="I40" s="38"/>
      <c r="J40" s="37"/>
      <c r="K40" s="78"/>
      <c r="L40" s="78"/>
      <c r="M40" s="92"/>
      <c r="Q40" s="1" t="s">
        <v>33</v>
      </c>
      <c r="R40" s="1">
        <f>SUM(R6:R21)</f>
        <v>0</v>
      </c>
    </row>
    <row r="41" spans="2:18" ht="16.5" customHeight="1" x14ac:dyDescent="0.25">
      <c r="B41" s="37"/>
      <c r="C41" s="37"/>
      <c r="D41" s="37"/>
      <c r="E41" s="82"/>
      <c r="F41" s="50"/>
      <c r="G41" s="50"/>
      <c r="H41" s="38"/>
      <c r="I41" s="38"/>
      <c r="J41" s="37"/>
      <c r="K41" s="76"/>
      <c r="L41" s="76"/>
      <c r="M41" s="92"/>
    </row>
    <row r="42" spans="2:18" ht="13.5" x14ac:dyDescent="0.25">
      <c r="B42" s="37"/>
      <c r="C42" s="37"/>
      <c r="D42" s="37"/>
      <c r="E42" s="34"/>
      <c r="F42" s="34"/>
      <c r="G42" s="34"/>
      <c r="H42" s="36"/>
      <c r="I42" s="36"/>
      <c r="J42" s="37"/>
      <c r="K42" s="32"/>
      <c r="L42" s="32"/>
      <c r="M42" s="32"/>
    </row>
    <row r="43" spans="2:18" ht="13.5" x14ac:dyDescent="0.25">
      <c r="B43" s="37"/>
      <c r="C43" s="37"/>
      <c r="D43" s="37"/>
      <c r="E43" s="34"/>
      <c r="F43" s="34"/>
      <c r="G43" s="34"/>
      <c r="H43" s="36"/>
      <c r="I43" s="36"/>
      <c r="J43" s="37"/>
      <c r="K43" s="32"/>
      <c r="L43" s="32"/>
      <c r="M43" s="32"/>
    </row>
    <row r="44" spans="2:18" ht="13.5" x14ac:dyDescent="0.25">
      <c r="B44" s="37"/>
      <c r="C44" s="37"/>
      <c r="D44" s="37"/>
      <c r="E44" s="34"/>
      <c r="F44" s="34"/>
      <c r="G44" s="34"/>
      <c r="H44" s="36"/>
      <c r="I44" s="36"/>
      <c r="J44" s="37"/>
      <c r="K44" s="32"/>
      <c r="L44" s="32"/>
      <c r="M44" s="32"/>
    </row>
    <row r="45" spans="2:18" ht="13.5" x14ac:dyDescent="0.25">
      <c r="B45" s="37"/>
      <c r="C45" s="37"/>
      <c r="D45" s="37"/>
      <c r="E45" s="34"/>
      <c r="F45" s="34"/>
      <c r="G45" s="34"/>
      <c r="H45" s="36"/>
      <c r="I45" s="36"/>
      <c r="J45" s="37"/>
      <c r="K45" s="32"/>
      <c r="L45" s="32"/>
      <c r="M45" s="32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disablePrompts="1"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sheetPr codeName="Planilha34"/>
  <dimension ref="A1:A13000"/>
  <sheetViews>
    <sheetView workbookViewId="0"/>
  </sheetViews>
  <sheetFormatPr defaultRowHeight="12.75" x14ac:dyDescent="0.2"/>
  <cols>
    <col min="1" max="1" width="12.42578125" bestFit="1" customWidth="1"/>
  </cols>
  <sheetData>
    <row r="1" spans="1:1" x14ac:dyDescent="0.2">
      <c r="A1" t="s">
        <v>136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12" t="s">
        <v>58</v>
      </c>
      <c r="B1" s="12" t="s">
        <v>59</v>
      </c>
      <c r="E1" s="12" t="s">
        <v>60</v>
      </c>
    </row>
    <row r="2" spans="1:5" x14ac:dyDescent="0.2">
      <c r="A2" s="12" t="s">
        <v>6</v>
      </c>
      <c r="B2" s="12" t="s">
        <v>61</v>
      </c>
      <c r="E2" t="s">
        <v>42</v>
      </c>
    </row>
    <row r="3" spans="1:5" x14ac:dyDescent="0.2">
      <c r="A3" s="12" t="s">
        <v>7</v>
      </c>
      <c r="B3" s="12" t="s">
        <v>62</v>
      </c>
      <c r="E3" t="s">
        <v>63</v>
      </c>
    </row>
    <row r="4" spans="1:5" x14ac:dyDescent="0.2">
      <c r="A4" s="12" t="s">
        <v>8</v>
      </c>
      <c r="B4" s="12" t="s">
        <v>64</v>
      </c>
      <c r="E4" t="s">
        <v>65</v>
      </c>
    </row>
    <row r="5" spans="1:5" x14ac:dyDescent="0.2">
      <c r="A5" s="12" t="s">
        <v>9</v>
      </c>
      <c r="B5" s="12" t="s">
        <v>66</v>
      </c>
      <c r="E5" t="s">
        <v>67</v>
      </c>
    </row>
    <row r="6" spans="1:5" x14ac:dyDescent="0.2">
      <c r="A6" s="12" t="s">
        <v>10</v>
      </c>
      <c r="B6" s="12" t="s">
        <v>10</v>
      </c>
      <c r="E6" t="s">
        <v>30</v>
      </c>
    </row>
    <row r="7" spans="1:5" x14ac:dyDescent="0.2">
      <c r="A7" s="12" t="s">
        <v>46</v>
      </c>
      <c r="B7" s="12" t="s">
        <v>68</v>
      </c>
      <c r="E7" t="s">
        <v>69</v>
      </c>
    </row>
    <row r="8" spans="1:5" x14ac:dyDescent="0.2">
      <c r="A8" t="s">
        <v>24</v>
      </c>
      <c r="B8" t="s">
        <v>70</v>
      </c>
      <c r="E8" t="s">
        <v>48</v>
      </c>
    </row>
    <row r="9" spans="1:5" x14ac:dyDescent="0.2">
      <c r="A9" s="12" t="s">
        <v>36</v>
      </c>
      <c r="B9" s="12" t="s">
        <v>71</v>
      </c>
      <c r="E9" t="s">
        <v>72</v>
      </c>
    </row>
    <row r="10" spans="1:5" x14ac:dyDescent="0.2">
      <c r="E10" t="s">
        <v>73</v>
      </c>
    </row>
    <row r="11" spans="1:5" x14ac:dyDescent="0.2">
      <c r="E11" t="s">
        <v>74</v>
      </c>
    </row>
    <row r="12" spans="1:5" x14ac:dyDescent="0.2">
      <c r="E12" t="s">
        <v>35</v>
      </c>
    </row>
    <row r="13" spans="1:5" x14ac:dyDescent="0.2">
      <c r="E13" t="s">
        <v>49</v>
      </c>
    </row>
    <row r="14" spans="1:5" x14ac:dyDescent="0.2">
      <c r="E14" t="s">
        <v>43</v>
      </c>
    </row>
    <row r="15" spans="1:5" x14ac:dyDescent="0.2">
      <c r="E15" t="s">
        <v>75</v>
      </c>
    </row>
    <row r="16" spans="1:5" x14ac:dyDescent="0.2">
      <c r="E16" t="s">
        <v>44</v>
      </c>
    </row>
    <row r="17" spans="5:5" x14ac:dyDescent="0.2">
      <c r="E17" t="s">
        <v>38</v>
      </c>
    </row>
    <row r="18" spans="5:5" x14ac:dyDescent="0.2">
      <c r="E18" t="s">
        <v>50</v>
      </c>
    </row>
    <row r="19" spans="5:5" x14ac:dyDescent="0.2">
      <c r="E19" t="s">
        <v>41</v>
      </c>
    </row>
    <row r="20" spans="5:5" x14ac:dyDescent="0.2">
      <c r="E20" t="s">
        <v>76</v>
      </c>
    </row>
    <row r="21" spans="5:5" x14ac:dyDescent="0.2">
      <c r="E21" t="s">
        <v>77</v>
      </c>
    </row>
    <row r="22" spans="5:5" x14ac:dyDescent="0.2">
      <c r="E22" t="s">
        <v>55</v>
      </c>
    </row>
    <row r="23" spans="5:5" x14ac:dyDescent="0.2">
      <c r="E23" t="s">
        <v>32</v>
      </c>
    </row>
    <row r="24" spans="5:5" x14ac:dyDescent="0.2">
      <c r="E24" t="s">
        <v>51</v>
      </c>
    </row>
    <row r="25" spans="5:5" x14ac:dyDescent="0.2">
      <c r="E25" t="s">
        <v>45</v>
      </c>
    </row>
    <row r="26" spans="5:5" x14ac:dyDescent="0.2">
      <c r="E26" t="s">
        <v>37</v>
      </c>
    </row>
    <row r="27" spans="5:5" x14ac:dyDescent="0.2">
      <c r="E27" t="s">
        <v>40</v>
      </c>
    </row>
    <row r="28" spans="5:5" x14ac:dyDescent="0.2">
      <c r="E28" t="s">
        <v>56</v>
      </c>
    </row>
    <row r="29" spans="5:5" x14ac:dyDescent="0.2">
      <c r="E29" t="s">
        <v>57</v>
      </c>
    </row>
    <row r="30" spans="5:5" x14ac:dyDescent="0.2">
      <c r="E30" t="s">
        <v>78</v>
      </c>
    </row>
    <row r="31" spans="5:5" x14ac:dyDescent="0.2">
      <c r="E31" t="s">
        <v>31</v>
      </c>
    </row>
    <row r="32" spans="5:5" x14ac:dyDescent="0.2">
      <c r="E32" t="s">
        <v>79</v>
      </c>
    </row>
    <row r="33" spans="5:5" x14ac:dyDescent="0.2">
      <c r="E33" t="s">
        <v>53</v>
      </c>
    </row>
    <row r="34" spans="5:5" x14ac:dyDescent="0.2">
      <c r="E34" t="s">
        <v>34</v>
      </c>
    </row>
    <row r="35" spans="5:5" x14ac:dyDescent="0.2">
      <c r="E35" t="s">
        <v>52</v>
      </c>
    </row>
    <row r="36" spans="5:5" x14ac:dyDescent="0.2">
      <c r="E36" t="s">
        <v>39</v>
      </c>
    </row>
    <row r="37" spans="5:5" x14ac:dyDescent="0.2">
      <c r="E37" t="s">
        <v>47</v>
      </c>
    </row>
    <row r="38" spans="5:5" x14ac:dyDescent="0.2">
      <c r="E38" t="s">
        <v>80</v>
      </c>
    </row>
    <row r="39" spans="5:5" x14ac:dyDescent="0.2">
      <c r="E39" t="s">
        <v>81</v>
      </c>
    </row>
    <row r="40" spans="5:5" x14ac:dyDescent="0.2">
      <c r="E40" t="s">
        <v>82</v>
      </c>
    </row>
    <row r="41" spans="5:5" x14ac:dyDescent="0.2">
      <c r="E41" t="s">
        <v>83</v>
      </c>
    </row>
    <row r="42" spans="5:5" x14ac:dyDescent="0.2">
      <c r="E42" t="s">
        <v>84</v>
      </c>
    </row>
    <row r="43" spans="5:5" x14ac:dyDescent="0.2">
      <c r="E43" t="s">
        <v>85</v>
      </c>
    </row>
    <row r="44" spans="5:5" x14ac:dyDescent="0.2">
      <c r="E44" t="s">
        <v>86</v>
      </c>
    </row>
    <row r="45" spans="5:5" x14ac:dyDescent="0.2">
      <c r="E45" t="s">
        <v>87</v>
      </c>
    </row>
    <row r="46" spans="5:5" x14ac:dyDescent="0.2">
      <c r="E46" t="s">
        <v>88</v>
      </c>
    </row>
    <row r="47" spans="5:5" x14ac:dyDescent="0.2">
      <c r="E47" t="s">
        <v>89</v>
      </c>
    </row>
    <row r="48" spans="5:5" x14ac:dyDescent="0.2">
      <c r="E48" t="s">
        <v>90</v>
      </c>
    </row>
    <row r="49" spans="5:5" x14ac:dyDescent="0.2">
      <c r="E49" t="s">
        <v>91</v>
      </c>
    </row>
    <row r="50" spans="5:5" x14ac:dyDescent="0.2">
      <c r="E50" t="s">
        <v>92</v>
      </c>
    </row>
    <row r="51" spans="5:5" x14ac:dyDescent="0.2">
      <c r="E51" t="s">
        <v>93</v>
      </c>
    </row>
    <row r="52" spans="5:5" x14ac:dyDescent="0.2">
      <c r="E52" t="s">
        <v>94</v>
      </c>
    </row>
    <row r="53" spans="5:5" x14ac:dyDescent="0.2">
      <c r="E53" t="s">
        <v>95</v>
      </c>
    </row>
    <row r="54" spans="5:5" x14ac:dyDescent="0.2">
      <c r="E54" t="s">
        <v>96</v>
      </c>
    </row>
    <row r="55" spans="5:5" x14ac:dyDescent="0.2">
      <c r="E55" t="s">
        <v>97</v>
      </c>
    </row>
    <row r="56" spans="5:5" x14ac:dyDescent="0.2">
      <c r="E56" t="s">
        <v>98</v>
      </c>
    </row>
    <row r="57" spans="5:5" x14ac:dyDescent="0.2">
      <c r="E57" t="s">
        <v>99</v>
      </c>
    </row>
    <row r="58" spans="5:5" x14ac:dyDescent="0.2">
      <c r="E58" t="s">
        <v>100</v>
      </c>
    </row>
    <row r="59" spans="5:5" x14ac:dyDescent="0.2">
      <c r="E59" t="s">
        <v>101</v>
      </c>
    </row>
    <row r="60" spans="5:5" x14ac:dyDescent="0.2">
      <c r="E60" t="s">
        <v>102</v>
      </c>
    </row>
    <row r="61" spans="5:5" x14ac:dyDescent="0.2">
      <c r="E61" t="s">
        <v>103</v>
      </c>
    </row>
    <row r="62" spans="5:5" x14ac:dyDescent="0.2">
      <c r="E62" t="s">
        <v>104</v>
      </c>
    </row>
    <row r="63" spans="5:5" x14ac:dyDescent="0.2">
      <c r="E63" t="s">
        <v>105</v>
      </c>
    </row>
    <row r="64" spans="5:5" x14ac:dyDescent="0.2">
      <c r="E64" t="s">
        <v>106</v>
      </c>
    </row>
    <row r="65" spans="5:5" x14ac:dyDescent="0.2">
      <c r="E65" t="s">
        <v>107</v>
      </c>
    </row>
    <row r="66" spans="5:5" x14ac:dyDescent="0.2">
      <c r="E66" t="s">
        <v>108</v>
      </c>
    </row>
    <row r="67" spans="5:5" x14ac:dyDescent="0.2">
      <c r="E67" t="s">
        <v>109</v>
      </c>
    </row>
    <row r="68" spans="5:5" x14ac:dyDescent="0.2">
      <c r="E68" t="s">
        <v>110</v>
      </c>
    </row>
    <row r="69" spans="5:5" x14ac:dyDescent="0.2">
      <c r="E69" t="s">
        <v>111</v>
      </c>
    </row>
    <row r="70" spans="5:5" x14ac:dyDescent="0.2">
      <c r="E70" t="s">
        <v>112</v>
      </c>
    </row>
    <row r="71" spans="5:5" x14ac:dyDescent="0.2">
      <c r="E71" t="s">
        <v>113</v>
      </c>
    </row>
    <row r="72" spans="5:5" x14ac:dyDescent="0.2">
      <c r="E72" t="s">
        <v>114</v>
      </c>
    </row>
    <row r="73" spans="5:5" x14ac:dyDescent="0.2">
      <c r="E73" t="s">
        <v>115</v>
      </c>
    </row>
    <row r="74" spans="5:5" x14ac:dyDescent="0.2">
      <c r="E74" t="s">
        <v>116</v>
      </c>
    </row>
    <row r="75" spans="5:5" x14ac:dyDescent="0.2">
      <c r="E75" t="s">
        <v>117</v>
      </c>
    </row>
    <row r="76" spans="5:5" x14ac:dyDescent="0.2">
      <c r="E76" t="s">
        <v>118</v>
      </c>
    </row>
    <row r="77" spans="5:5" x14ac:dyDescent="0.2">
      <c r="E77" t="s">
        <v>119</v>
      </c>
    </row>
    <row r="78" spans="5:5" x14ac:dyDescent="0.2">
      <c r="E78" t="s">
        <v>120</v>
      </c>
    </row>
    <row r="79" spans="5:5" x14ac:dyDescent="0.2">
      <c r="E79" t="s">
        <v>121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34</vt:i4>
      </vt:variant>
      <vt:variant>
        <vt:lpstr>Intervalos Nomeados</vt:lpstr>
      </vt:variant>
      <vt:variant>
        <vt:i4>8</vt:i4>
      </vt:variant>
    </vt:vector>
  </HeadingPairs>
  <TitlesOfParts>
    <vt:vector size="42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base_OS</vt:lpstr>
      <vt:lpstr>base</vt:lpstr>
      <vt:lpstr>'02'!Area_de_impressao</vt:lpstr>
      <vt:lpstr>'05'!Area_de_impressao</vt:lpstr>
      <vt:lpstr>'07'!Area_de_impressao</vt:lpstr>
      <vt:lpstr>'09'!Area_de_impressao</vt:lpstr>
      <vt:lpstr>'18'!Area_de_impressao</vt:lpstr>
      <vt:lpstr>'19'!Area_de_impressao</vt:lpstr>
      <vt:lpstr>'22'!Area_de_impressao</vt:lpstr>
      <vt:lpstr>'30'!Area_de_impressao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suzano lojas</cp:lastModifiedBy>
  <cp:revision/>
  <cp:lastPrinted>2025-08-30T13:49:55Z</cp:lastPrinted>
  <dcterms:created xsi:type="dcterms:W3CDTF">2004-04-07T20:43:43Z</dcterms:created>
  <dcterms:modified xsi:type="dcterms:W3CDTF">2025-10-29T20:26:01Z</dcterms:modified>
  <cp:category/>
  <cp:contentStatus/>
</cp:coreProperties>
</file>