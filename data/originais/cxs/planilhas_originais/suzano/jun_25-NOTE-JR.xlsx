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446" documentId="8_{12C18059-FE5C-475C-9FA2-C1B4E0570756}" xr6:coauthVersionLast="47" xr6:coauthVersionMax="47" xr10:uidLastSave="{6492DBA2-5C09-41CD-84B2-6D46D1240A9B}"/>
  <bookViews>
    <workbookView xWindow="-120" yWindow="-120" windowWidth="20730" windowHeight="11310" tabRatio="883" firstSheet="1" activeTab="1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'09'!$A$1:$M$42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7" l="1"/>
  <c r="C13" i="177"/>
  <c r="C14" i="177"/>
  <c r="C15" i="177"/>
  <c r="C11" i="177"/>
  <c r="C11" i="173" l="1"/>
  <c r="C12" i="173"/>
  <c r="C13" i="173"/>
  <c r="C14" i="173"/>
  <c r="C15" i="173"/>
  <c r="C6" i="200" l="1"/>
  <c r="C6" i="178"/>
  <c r="C6" i="179"/>
  <c r="C6" i="187"/>
  <c r="C6" i="191"/>
  <c r="C6" i="192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2"/>
  <c r="C11" i="171"/>
  <c r="C11" i="103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9"/>
  <c r="C8" i="187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78"/>
  <c r="C8" i="198"/>
  <c r="C16" i="198"/>
  <c r="O11" i="198" s="1"/>
  <c r="C16" i="199"/>
  <c r="C16" i="192"/>
  <c r="O11" i="192" s="1"/>
  <c r="C16" i="197"/>
  <c r="C16" i="194"/>
  <c r="C16" i="195"/>
  <c r="C6" i="195" s="1"/>
  <c r="C16" i="193"/>
  <c r="C16" i="191"/>
  <c r="O11" i="191" s="1"/>
  <c r="C16" i="190"/>
  <c r="C16" i="187"/>
  <c r="O11" i="187" s="1"/>
  <c r="C16" i="186"/>
  <c r="C16" i="184"/>
  <c r="C16" i="179"/>
  <c r="O11" i="179" s="1"/>
  <c r="C16" i="181"/>
  <c r="C16" i="183"/>
  <c r="C16" i="182"/>
  <c r="C16" i="180"/>
  <c r="C16" i="176"/>
  <c r="C16" i="177"/>
  <c r="C16" i="178"/>
  <c r="O11" i="178" s="1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6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90"/>
  <c r="C6" i="190"/>
  <c r="C8" i="190" s="1"/>
  <c r="O11" i="189"/>
  <c r="C6" i="189"/>
  <c r="C8" i="189" s="1"/>
  <c r="O11" i="186"/>
  <c r="C6" i="186"/>
  <c r="C8" i="186" s="1"/>
  <c r="O11" i="185"/>
  <c r="C6" i="185"/>
  <c r="C8" i="185" s="1"/>
  <c r="O11" i="184"/>
  <c r="C6" i="184"/>
  <c r="C8" i="184" s="1"/>
  <c r="O11" i="181"/>
  <c r="C6" i="181"/>
  <c r="C8" i="181" s="1"/>
  <c r="O11" i="183"/>
  <c r="C6" i="183"/>
  <c r="C8" i="183" s="1"/>
  <c r="O11" i="182"/>
  <c r="C6" i="182"/>
  <c r="C8" i="182" s="1"/>
  <c r="O11" i="176"/>
  <c r="C6" i="176"/>
  <c r="C8" i="176" s="1"/>
  <c r="O11" i="180"/>
  <c r="C6" i="180"/>
  <c r="C8" i="180" s="1"/>
  <c r="O11" i="177"/>
  <c r="C6" i="177"/>
  <c r="C8" i="177" s="1"/>
  <c r="O11" i="170"/>
  <c r="C6" i="170"/>
  <c r="C8" i="170" s="1"/>
  <c r="O11" i="171"/>
  <c r="C6" i="171"/>
  <c r="C8" i="171" s="1"/>
  <c r="O11" i="172"/>
  <c r="C6" i="172"/>
  <c r="C8" i="172" s="1"/>
  <c r="O11" i="173"/>
  <c r="C6" i="173"/>
  <c r="C8" i="173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<sst xmlns="http://schemas.openxmlformats.org/spreadsheetml/2006/main" count="2687" uniqueCount="373">
  <si>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</si>
  <si>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</si>
  <si>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</si>
  <si>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</si>
  <si>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</si>
  <si>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</si>
  <si>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</si>
  <si>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</si>
  <si>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</si>
  <si>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</si>
  <si>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</si>
  <si>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</si>
  <si>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</si>
  <si>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</si>
  <si>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</si>
  <si>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</si>
  <si>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</si>
  <si>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</si>
  <si>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</si>
  <si>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</si>
  <si>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</si>
  <si>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</si>
  <si>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</si>
  <si>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</si>
  <si>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</si>
  <si>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</si>
  <si>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</si>
  <si>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</si>
  <si>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</si>
  <si>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</si>
  <si>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</si>
  <si>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</si>
  <si>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</si>
  <si>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</si>
  <si>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</si>
  <si>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</si>
  <si>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</si>
  <si>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</si>
  <si>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</si>
  <si>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</si>
  <si>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</si>
  <si>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</si>
  <si>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</si>
  <si>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</si>
  <si>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</si>
  <si>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</si>
  <si>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</si>
  <si>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</si>
  <si>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</si>
  <si>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</si>
  <si>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</si>
  <si>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</si>
  <si>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</si>
  <si>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</si>
  <si>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</si>
  <si>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</si>
  <si>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</si>
  <si>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</si>
  <si>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</si>
  <si>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</si>
  <si>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</si>
  <si>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</si>
  <si>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</si>
  <si>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</si>
  <si>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</si>
  <si>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</si>
  <si>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</si>
  <si>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</si>
  <si>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</si>
  <si>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</si>
  <si>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</si>
  <si>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</si>
  <si>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</si>
  <si>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</si>
  <si>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</si>
  <si>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</si>
  <si>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</si>
  <si>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</si>
  <si>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</si>
  <si>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</si>
  <si>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</si>
  <si>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</si>
  <si>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</si>
  <si>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</si>
  <si>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</si>
  <si>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</si>
  <si>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</si>
  <si>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</si>
  <si>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</si>
  <si>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</si>
  <si>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</si>
  <si>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</si>
  <si>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</si>
  <si>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</si>
  <si>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</si>
  <si>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</si>
  <si>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</si>
  <si>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</si>
  <si>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</si>
  <si>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</si>
  <si>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</si>
  <si>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</si>
  <si>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</si>
  <si>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</si>
  <si>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</si>
  <si>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</si>
  <si>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</si>
  <si>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</si>
  <si>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</si>
  <si>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</si>
  <si>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</si>
  <si>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</si>
  <si>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</si>
  <si>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</si>
  <si>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</si>
  <si>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</si>
  <si>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</si>
  <si>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</si>
  <si>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</si>
  <si>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</si>
  <si>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</si>
  <si>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</si>
  <si>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</si>
  <si>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</si>
  <si>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</si>
  <si>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</si>
  <si>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</si>
  <si>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</si>
  <si>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</si>
  <si>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</si>
  <si>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</si>
  <si>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</si>
  <si>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</si>
  <si>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</si>
  <si>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</si>
  <si>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</si>
  <si>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</si>
  <si>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</si>
  <si>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</si>
  <si>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</si>
  <si>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</si>
  <si>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</si>
  <si>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</si>
  <si>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</si>
  <si>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,</t>
  </si>
  <si>
    <t xml:space="preserve">PÃO </t>
  </si>
  <si>
    <t>Não</t>
  </si>
  <si>
    <t xml:space="preserve">MOYSES CHAHADE </t>
  </si>
  <si>
    <t>RAIMUNDO FRANCISCO DE SOUZA</t>
  </si>
  <si>
    <t>RAISSA MILENA SIQUEIRA DA SILVA</t>
  </si>
  <si>
    <t>RITA DE CÁSSIA ALVES DE SOUZA</t>
  </si>
  <si>
    <t>RAIMUNDO AMARAL DOS SANTOS</t>
  </si>
  <si>
    <t>ANFRISIO FERREIRA DA SILVA</t>
  </si>
  <si>
    <t>ANA CAROLINY DE ALMEIDA</t>
  </si>
  <si>
    <t>ANTONIO AMORIM</t>
  </si>
  <si>
    <t>LETICIA FERREIRA DE NOVAES</t>
  </si>
  <si>
    <t>ZILDA CAMPOS</t>
  </si>
  <si>
    <t>DENAIDE SOUZA</t>
  </si>
  <si>
    <t>ELLEN PEREIRA DE ARAUJO DE MOURA</t>
  </si>
  <si>
    <t>DENAILDE SOUZA DE ALMEIDA</t>
  </si>
  <si>
    <t>CLAUDEMIR DE OLIVEIRA</t>
  </si>
  <si>
    <t>PÃO</t>
  </si>
  <si>
    <t>Sim</t>
  </si>
  <si>
    <t xml:space="preserve">PAULO ROBERTO DO NASCIMENTO </t>
  </si>
  <si>
    <t>RAIMUNDO FRANCISCO DE SOUSA</t>
  </si>
  <si>
    <t xml:space="preserve">ROSELI JUSTINIANO ESCALANTE </t>
  </si>
  <si>
    <t>MARTA ROCHA ABACE</t>
  </si>
  <si>
    <t>GENILDA SPARES DE LIMA</t>
  </si>
  <si>
    <t xml:space="preserve">LEILA PRESTELO DOS SANTOS </t>
  </si>
  <si>
    <t>LAURA FERREIRA DE CASTRO</t>
  </si>
  <si>
    <t>ANISIA RODRIGUES DE SOUZA</t>
  </si>
  <si>
    <t>CECILIA BOAVENTURA SUZARTE</t>
  </si>
  <si>
    <t xml:space="preserve">BENEDITA CANDIDA DOS SANTOS </t>
  </si>
  <si>
    <t>GILBERTOS DOS SANTOS OLIVEIRA</t>
  </si>
  <si>
    <t xml:space="preserve">CLAUDEMIR DE OLIVEIRA </t>
  </si>
  <si>
    <t>LUCIANO JOSE DA SILVA</t>
  </si>
  <si>
    <t>RITA DE CASSIA DE SOUZA FREITAS</t>
  </si>
  <si>
    <t>ELIANE PEDROSO ALVES DA SILVA</t>
  </si>
  <si>
    <t xml:space="preserve">JANDYRA BISSACO </t>
  </si>
  <si>
    <t>NÃO</t>
  </si>
  <si>
    <t>MARGARIDA OLIVEIRA</t>
  </si>
  <si>
    <t>SUELI PEREIRA</t>
  </si>
  <si>
    <t>APRIGIO ALVES MACEDO</t>
  </si>
  <si>
    <t xml:space="preserve">SIMONE IGNÁCIO </t>
  </si>
  <si>
    <t xml:space="preserve">ELÁDIO JULIO DE OLIVEIRA </t>
  </si>
  <si>
    <t>KETELLYN ARAUJO DE OLIVEIRA</t>
  </si>
  <si>
    <t>RAQUEL DIOGO ROSA</t>
  </si>
  <si>
    <t>MARIA HELENICE</t>
  </si>
  <si>
    <t>AIRTON TAVARES DA SILVA</t>
  </si>
  <si>
    <t>ANA LUCIA DA SILVA</t>
  </si>
  <si>
    <t>EDILSON DA CONCEIÇÃO DELGADO</t>
  </si>
  <si>
    <t>MARTA VAZ DA SILVA</t>
  </si>
  <si>
    <t xml:space="preserve">IVONE SILVA </t>
  </si>
  <si>
    <t>CAFÉ</t>
  </si>
  <si>
    <t>GILMAR LOPES MARINHO</t>
  </si>
  <si>
    <t>SIMONE IGNACIO</t>
  </si>
  <si>
    <t>RODRIGO BISPO RAMOS</t>
  </si>
  <si>
    <t>RICARDO CAMPANI PERIS BASTOS</t>
  </si>
  <si>
    <t>MOYSES CHAHADE FILHO</t>
  </si>
  <si>
    <t>IRANDI BOAVENTURA SUZARTE</t>
  </si>
  <si>
    <t>HISAO KOBA</t>
  </si>
  <si>
    <t>ULISSES ROBERTO DOS SANTOS</t>
  </si>
  <si>
    <t>MARCOS VIANA BARBOSA</t>
  </si>
  <si>
    <t>EVELYN DE ALMEIDA SILVA</t>
  </si>
  <si>
    <t>FERNANDO DE ANDRADE</t>
  </si>
  <si>
    <t>MARIA AUXILIADORA ALVES SILVA</t>
  </si>
  <si>
    <t>ROBERTO MARCOS BARBOSA</t>
  </si>
  <si>
    <t>VALDEMICE BATISTA DOS SANTOS</t>
  </si>
  <si>
    <t>VINICIUS AUGUSTO GOMES</t>
  </si>
  <si>
    <t>DEPÓSITO</t>
  </si>
  <si>
    <t>VANDERLEIA NASCIMENTO PALADINO</t>
  </si>
  <si>
    <t>GUDE SUDARI</t>
  </si>
  <si>
    <t>TATIANA SANTOS OLIVEIRA</t>
  </si>
  <si>
    <t>AUZILENE LIMA PEREIRA</t>
  </si>
  <si>
    <t xml:space="preserve">CRISTIANE DA SILVA GOMES </t>
  </si>
  <si>
    <t>JAILSON XAVIER COSTA</t>
  </si>
  <si>
    <t xml:space="preserve">MARINALVA FERREIRA VIEIRA </t>
  </si>
  <si>
    <t>RENATA DE OLIVEIRA COELHO RAMOS</t>
  </si>
  <si>
    <t>ANA FLAVIA FERREIRA DE CASTRO</t>
  </si>
  <si>
    <t>MARCIA REGINA TEIXEIRA</t>
  </si>
  <si>
    <t>MARCIA FERREIRA DE SOUZA</t>
  </si>
  <si>
    <t>JOÃO PEDRO NASCIMENTO DA SILVA</t>
  </si>
  <si>
    <t>FERNANDA TIEMI YOSHIMOTO</t>
  </si>
  <si>
    <t xml:space="preserve">ANA FLAVIA FERREIRA DE CASTRO </t>
  </si>
  <si>
    <t>GERALDA CELINA ZATTI</t>
  </si>
  <si>
    <t>GLÓRIA NUNES</t>
  </si>
  <si>
    <t>OLGA ALAMEDA SOARES</t>
  </si>
  <si>
    <t>MARIA NEUZA SANTOS</t>
  </si>
  <si>
    <t>FLAVIA DE OLIVEIRA BARROS</t>
  </si>
  <si>
    <t>PAULA GOMES SANTANA</t>
  </si>
  <si>
    <t>PEDRO ALVES</t>
  </si>
  <si>
    <t>THIAGO VINICIUS  ANDRADE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</si>
  <si>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</si>
  <si>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AMAURI JOSÉ DA SILVA</t>
  </si>
  <si>
    <t>CAMILA DAIANE RESENDE</t>
  </si>
  <si>
    <t xml:space="preserve">MARIA DAS GRAÇAS ALCANTARA </t>
  </si>
  <si>
    <t>simone maria da silva</t>
  </si>
  <si>
    <t>maria sandra da silva dias</t>
  </si>
  <si>
    <t xml:space="preserve">maria messias barros dos santos </t>
  </si>
  <si>
    <t xml:space="preserve">sandra fernandes </t>
  </si>
  <si>
    <t xml:space="preserve">waldete alves dos santos </t>
  </si>
  <si>
    <t>erica da silva barbosa</t>
  </si>
  <si>
    <t>marcio henrique ferreira</t>
  </si>
  <si>
    <t>eduardo adriano da silva</t>
  </si>
  <si>
    <t>DEVANI SANTANA DIAS</t>
  </si>
  <si>
    <t>KATIA DE OLIVEIRA MOURA</t>
  </si>
  <si>
    <t>GENI CARLOS RANGEL</t>
  </si>
  <si>
    <t>MOYSES CHAHADE</t>
  </si>
  <si>
    <t>SANDRA FERNANDES</t>
  </si>
  <si>
    <t xml:space="preserve">RICARDO CAMPANI </t>
  </si>
  <si>
    <t>Depósito bancário: Junior</t>
  </si>
  <si>
    <t>MANTEIGA</t>
  </si>
  <si>
    <t xml:space="preserve">FRANCISCO DA CONCEIÇÃO </t>
  </si>
  <si>
    <t>ILZA DE MESSIAS DE OLIVEIRA</t>
  </si>
  <si>
    <t>ANTÔNIO CASTILHO FILHO</t>
  </si>
  <si>
    <t xml:space="preserve">QUEREN SANTOS DE MELLO </t>
  </si>
  <si>
    <t>AGNALDO SANTOS FILHO</t>
  </si>
  <si>
    <t>ANA LUCIA CUSTODIO D SILVA</t>
  </si>
  <si>
    <t>BENEDITO DE OLIVEIRA</t>
  </si>
  <si>
    <t>ALINE CALIXTO BALBINO</t>
  </si>
  <si>
    <t>SOLANGE MARIA OLIVEIRA DE ALMEIDA</t>
  </si>
  <si>
    <t>BARBARA DE PAES SIMPLICIO</t>
  </si>
  <si>
    <t>MARIA APARECIDA DA SILVA</t>
  </si>
  <si>
    <t>ANGEL  FERNANDO BELLINI</t>
  </si>
  <si>
    <t>JOELMA MARIA DOS SANTOS</t>
  </si>
  <si>
    <t xml:space="preserve"> AMAURI JOSÉ DA SILVA</t>
  </si>
  <si>
    <t>MARIA ROSANA DA SILVA</t>
  </si>
  <si>
    <t xml:space="preserve">LUIZ RAMOS </t>
  </si>
  <si>
    <t>CAMILY FIASQUI</t>
  </si>
  <si>
    <t>MARIA REGINA TEIXEIRA</t>
  </si>
  <si>
    <t>CAMILA NONATO SALES</t>
  </si>
  <si>
    <t xml:space="preserve">MANOEL TALES DE MENEZES LIMA </t>
  </si>
  <si>
    <t>SILVANA REGIANE FERREIRA VIEIRA BARROS</t>
  </si>
  <si>
    <t>JOÃO ALVES DE MEDEIROS</t>
  </si>
  <si>
    <t>HERMELINDA MARIA DE CARVALHO</t>
  </si>
  <si>
    <t>LUIZ RAMOS</t>
  </si>
  <si>
    <t xml:space="preserve">solange aparecida dos santos </t>
  </si>
  <si>
    <t xml:space="preserve">ana lucia da paz oliveira </t>
  </si>
  <si>
    <t>ANA LUCIA PAZ OLIVEIRA COELHO</t>
  </si>
  <si>
    <t>ANA LUCIA DA PAZ OLIVEIRA (ELVIS)</t>
  </si>
  <si>
    <t>KARINA DE MEDEIROS CIRILO</t>
  </si>
  <si>
    <t>ANA LUCIA DA PAZ OLIVEIRA</t>
  </si>
  <si>
    <t>RICARDO HENRIQUE S. DA SILVA</t>
  </si>
  <si>
    <t>RAISSA MILENE SIQUEIRA DA SILVA</t>
  </si>
  <si>
    <t xml:space="preserve">ANA PAULA RAMOS NOGUEIRA </t>
  </si>
  <si>
    <t>JHONATAN GOMES VIERA</t>
  </si>
  <si>
    <t>MARIA ANSELMA VIEIRA DA SILVA</t>
  </si>
  <si>
    <t>CRISTIANE DE FREITAS</t>
  </si>
  <si>
    <t>PATRICIA VICTORINO</t>
  </si>
  <si>
    <t>PATRICIA VICTORINO (WILLIAN)</t>
  </si>
  <si>
    <t>ROBERTO</t>
  </si>
  <si>
    <t>RAQUEL PIRES DA SILVA</t>
  </si>
  <si>
    <t>ROGÉRIO FAUSTINO DA SILVA</t>
  </si>
  <si>
    <t>DOUGLAS GOMES DE SOUSA</t>
  </si>
  <si>
    <t>FERNANDO DE OLIVEIRA SANTOS</t>
  </si>
  <si>
    <t>KELLY YURI UEDA</t>
  </si>
  <si>
    <t>CLAUDIA SANTIAGO VIEIRA ENRIQUE</t>
  </si>
  <si>
    <t xml:space="preserve">         </t>
  </si>
  <si>
    <t>SARA ROCHA DE JESUS</t>
  </si>
  <si>
    <t>GILBERTO DE ALMEIDA</t>
  </si>
  <si>
    <t>ELZA THEREZINHA DE SOUZA SANTOS DOS REIS</t>
  </si>
  <si>
    <t>MOISES MARTINS (CÉLIA)</t>
  </si>
  <si>
    <t xml:space="preserve">MOISES MARTINS </t>
  </si>
  <si>
    <t>MARIA VALDETE ANDRADE MELO</t>
  </si>
  <si>
    <t>BENEDITA CANDIDA DOS SANTOS QUINTELA</t>
  </si>
  <si>
    <t>DEISE CRISTINA DOS SANTOS</t>
  </si>
  <si>
    <t>MARIA DE FATIMA SOARES</t>
  </si>
  <si>
    <t>CAUDIOMIDIO MARTINS</t>
  </si>
  <si>
    <t>VERALDA MOREIRA DE SANTANA</t>
  </si>
  <si>
    <t>NATALIA RAQUEL PEREIRA DE ARAUJO</t>
  </si>
  <si>
    <t>KELLY DOS SANTOS FARIA BARBOSA</t>
  </si>
  <si>
    <t>LUCIANO BITTENCOURT TEIXEIRA</t>
  </si>
  <si>
    <t>SOLANGE APARECIDA DOS SANTOS</t>
  </si>
  <si>
    <t>MARIA DAS GRAÇAS ALCANTARA</t>
  </si>
  <si>
    <t>DENIVALDO DA SILVA NASCIMENTO</t>
  </si>
  <si>
    <t>pix</t>
  </si>
  <si>
    <t>ELZA SILVEIRA BRASIL</t>
  </si>
  <si>
    <t xml:space="preserve">ALBERTO FUDIO </t>
  </si>
  <si>
    <t>MIRIÃ REBECA MIDORI</t>
  </si>
  <si>
    <t>JACOB FIRMINO NASCIMENTO</t>
  </si>
  <si>
    <t>ROGENVAL FARIA</t>
  </si>
  <si>
    <t>SIDILAINE APARECIDA DE PAULA</t>
  </si>
  <si>
    <t>Pix</t>
  </si>
  <si>
    <t>Ricieli SILVA ANDRADE</t>
  </si>
  <si>
    <t>ESDRAS AURELIANO DA SILVA</t>
  </si>
  <si>
    <t>MARIA DE FATIMA DE ALMEIDA</t>
  </si>
  <si>
    <t>ADRIANO RODRIGUES COSTA</t>
  </si>
  <si>
    <t>CLAUMIDIO MARTINS</t>
  </si>
  <si>
    <t>HELENA RODRIGUES PINTO</t>
  </si>
  <si>
    <t>JOÃO VICTOR DOS SANTOS</t>
  </si>
  <si>
    <t xml:space="preserve">IRACI LOPES DE LANA </t>
  </si>
  <si>
    <t>IVANA NOGUEIRA</t>
  </si>
  <si>
    <t>HELENA FREIRE ROCHA DA SILVA</t>
  </si>
  <si>
    <t>PATRICIA PAULINO DOS SANTOS</t>
  </si>
  <si>
    <t>KAREN SOARES DE JESUS</t>
  </si>
  <si>
    <t>Depósito: Junior</t>
  </si>
  <si>
    <t>REBECA VITÓRIA GINO DOS SANTOS</t>
  </si>
  <si>
    <t>MARIA DE FÁTIMA GOMES</t>
  </si>
  <si>
    <t>DINHEIRO</t>
  </si>
  <si>
    <t>FATIMA APARECIDA MENEZES</t>
  </si>
  <si>
    <t>ALAN SANTOS CARVALHO</t>
  </si>
  <si>
    <t>ALVARO RODRIGUES FLOR</t>
  </si>
  <si>
    <t xml:space="preserve">MESSIAS  ROSA DA SILVA </t>
  </si>
  <si>
    <t xml:space="preserve">ROSILEIDE BRITO RIBEIRO </t>
  </si>
  <si>
    <t xml:space="preserve">MARIA DE FATIMA DE ALMEIDA BEZERRA </t>
  </si>
  <si>
    <t xml:space="preserve">SILVANA REGIANE FERREIRA </t>
  </si>
  <si>
    <t xml:space="preserve">ANA PRISCILA DE OLIVEIRA </t>
  </si>
  <si>
    <t>CRISTIANE DA SILVA</t>
  </si>
  <si>
    <t>MARIA DE FATIMA GOMES</t>
  </si>
  <si>
    <t>ZELIADORA BENTO SOUZA</t>
  </si>
  <si>
    <t>SARAH QUENIA DE PAULA VASCONCELOS</t>
  </si>
  <si>
    <t>DENISE DASAN</t>
  </si>
  <si>
    <t>FRANCINEL AMORIM</t>
  </si>
  <si>
    <t>MARIA ELOINA ABEL</t>
  </si>
  <si>
    <t xml:space="preserve">MARGARIDA OLIVEIRA </t>
  </si>
  <si>
    <t xml:space="preserve">MARIA DE FATIMA </t>
  </si>
  <si>
    <t xml:space="preserve">DIEGO DA SILVA VIANA </t>
  </si>
  <si>
    <t>PÃO E MANTEIGA</t>
  </si>
  <si>
    <t>GABRIEL HENRIQUE</t>
  </si>
  <si>
    <t>JOSÉ LUIZ SANTOS</t>
  </si>
  <si>
    <t xml:space="preserve">MARIA CRISTINA DEOLINDO </t>
  </si>
  <si>
    <t xml:space="preserve">TALITA SANTOS LEÃO </t>
  </si>
  <si>
    <t>EMILSON DEOS SANTOS MENEZES</t>
  </si>
  <si>
    <t xml:space="preserve">GERALDA GONÇALVES CRISPIM </t>
  </si>
  <si>
    <t>KAYLLANE ANSELMO MARÇON</t>
  </si>
  <si>
    <t xml:space="preserve">GRAZIELE DOS SANTOS SOUZA </t>
  </si>
  <si>
    <t xml:space="preserve">SIMONE IGNACIO </t>
  </si>
  <si>
    <t>VALQUIRIA BATISTA FERNANDES</t>
  </si>
  <si>
    <t xml:space="preserve">SANDRA MARIA ALVES PASSOS </t>
  </si>
  <si>
    <t xml:space="preserve">ARILDSON RIBEIRO DE SOUZA </t>
  </si>
  <si>
    <t>MARCIO HENRIQUE FERREIRA</t>
  </si>
  <si>
    <t>Pão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</si>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</sst>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164" fontId="0" fillId="5" borderId="11" xfId="2" applyFont="1" applyFill="1" applyBorder="1" applyAlignment="1">
      <alignment horizontal="center"/>
    </xf>
    <xf numFmtId="0" fontId="0" fillId="8" borderId="4" xfId="0" applyFill="1" applyBorder="1"/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2" totalsRowShown="0" headerRowDxfId="1603" dataDxfId="1601" headerRowBorderDxfId="1602" tableBorderDxfId="1600" totalsRowBorderDxfId="1599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3:I38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5" totalsRowShown="0" headerRowDxfId="1549" dataDxfId="1547" headerRowBorderDxfId="1548" tableBorderDxfId="1546" totalsRowBorderDxfId="1545">
  <autoFilter ref="E25:I35" xr:uid="{00000000-0009-0000-0100-000016000000}"/>
  <sortState xmlns:xlrd2="http://schemas.microsoft.com/office/spreadsheetml/2017/richdata2" ref="E26:I35">
    <sortCondition ref="E25:E35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8:I41" totalsRowShown="0" headerRowDxfId="1531" dataDxfId="1529" headerRowBorderDxfId="1530" tableBorderDxfId="1528" totalsRowBorderDxfId="1527">
  <autoFilter ref="E38:I41" xr:uid="{B9E2F984-8588-4F2C-9FB9-680284154679}"/>
  <sortState xmlns:xlrd2="http://schemas.microsoft.com/office/spreadsheetml/2017/richdata2" ref="E39:I41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2" totalsRowShown="0" headerRowDxfId="1207" dataDxfId="1205" headerRowBorderDxfId="1206" tableBorderDxfId="1204" totalsRowBorderDxfId="120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2" totalsRowShown="0" headerRowDxfId="1197" dataDxfId="1195" headerRowBorderDxfId="1196" tableBorderDxfId="1194" totalsRowBorderDxfId="1193">
  <autoFilter ref="K34:M42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2" totalsRowShown="0" headerRowDxfId="1153" dataDxfId="1151" headerRowBorderDxfId="1152" tableBorderDxfId="1150" totalsRowBorderDxfId="1149">
  <autoFilter ref="E34:I42" xr:uid="{B9E2F984-8588-4F2C-9FB9-680284154679}"/>
  <sortState xmlns:xlrd2="http://schemas.microsoft.com/office/spreadsheetml/2017/richdata2" ref="E35:I42">
    <sortCondition ref="E34:E4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2" totalsRowShown="0" headerRowDxfId="1143" dataDxfId="1141" headerRowBorderDxfId="1142" tableBorderDxfId="1140" totalsRowBorderDxfId="1139">
  <autoFilter ref="K34:M42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0" totalsRowShown="0" headerRowDxfId="1009" dataDxfId="1007" headerRowBorderDxfId="1008" tableBorderDxfId="1006" totalsRowBorderDxfId="1005">
  <autoFilter ref="E25:I30" xr:uid="{00000000-0009-0000-0100-000016000000}"/>
  <sortState xmlns:xlrd2="http://schemas.microsoft.com/office/spreadsheetml/2017/richdata2" ref="E26:I30">
    <sortCondition ref="E25:E30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0" totalsRowShown="0" headerRowDxfId="999" dataDxfId="997" headerRowBorderDxfId="998" tableBorderDxfId="996" totalsRowBorderDxfId="995">
  <autoFilter ref="K14:M30" xr:uid="{C83FE64B-E221-4DAA-89EA-5307A7BC98B3}"/>
  <sortState xmlns:xlrd2="http://schemas.microsoft.com/office/spreadsheetml/2017/richdata2" ref="K15:M30">
    <sortCondition ref="K14:K30"/>
  </sortState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3:I40" totalsRowShown="0" headerRowDxfId="991" dataDxfId="989" headerRowBorderDxfId="990" tableBorderDxfId="988" totalsRowBorderDxfId="987">
  <autoFilter ref="E33:I40" xr:uid="{B9E2F984-8588-4F2C-9FB9-680284154679}"/>
  <sortState xmlns:xlrd2="http://schemas.microsoft.com/office/spreadsheetml/2017/richdata2" ref="E34:I39">
    <sortCondition ref="E25:E30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3:M40" totalsRowShown="0" headerRowDxfId="981" dataDxfId="979" headerRowBorderDxfId="980" tableBorderDxfId="978" totalsRowBorderDxfId="977">
  <autoFilter ref="K33:M40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topLeftCell="H1" zoomScaleNormal="100" workbookViewId="0">
      <selection activeCell="P7" sqref="P7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6"/>
      <c r="C1" s="96"/>
      <c r="L1" s="97" t="s">
        <v>143</v>
      </c>
      <c r="M1" s="97"/>
      <c r="P1" t="s">
        <v>122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123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82339.239999999991</v>
      </c>
      <c r="P3" t="s">
        <v>124</v>
      </c>
    </row>
    <row r="4" spans="1:16" ht="15" x14ac:dyDescent="0.25">
      <c r="A4" s="8" t="s">
        <v>2</v>
      </c>
      <c r="B4" s="29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78458.579999999987</v>
      </c>
      <c r="C4" s="55"/>
      <c r="D4" s="56"/>
      <c r="E4" s="55" t="s">
        <v>136</v>
      </c>
      <c r="F4" s="55"/>
      <c r="G4" s="55"/>
      <c r="H4" s="55"/>
      <c r="I4" s="55"/>
      <c r="J4" s="56"/>
      <c r="K4" s="55" t="s">
        <v>137</v>
      </c>
      <c r="L4" s="55"/>
      <c r="M4" s="55"/>
      <c r="P4" t="s">
        <v>125</v>
      </c>
    </row>
    <row r="5" spans="1:16" ht="15" x14ac:dyDescent="0.25">
      <c r="A5" s="8" t="s">
        <v>3</v>
      </c>
      <c r="B5" s="29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8149.49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P5" t="s">
        <v>126</v>
      </c>
    </row>
    <row r="6" spans="1:16" ht="15.75" x14ac:dyDescent="0.25">
      <c r="A6" s="10" t="s">
        <v>4</v>
      </c>
      <c r="B6" s="32">
        <f ca="1">SUM(B4:B5)</f>
        <v>86608.069999999992</v>
      </c>
      <c r="C6" s="55">
        <f>C16</f>
        <v>0</v>
      </c>
      <c r="D6" s="56"/>
      <c r="E6" s="56"/>
      <c r="F6" s="56"/>
      <c r="G6" s="56"/>
      <c r="H6" s="56"/>
      <c r="I6" s="56"/>
      <c r="J6" s="56"/>
      <c r="K6" s="56"/>
      <c r="L6" s="56"/>
      <c r="M6" s="56"/>
      <c r="P6" t="s">
        <v>127</v>
      </c>
    </row>
    <row r="7" spans="1:16" ht="15" x14ac:dyDescent="0.25">
      <c r="A7" s="2"/>
      <c r="B7" s="2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P7" t="s">
        <v>128</v>
      </c>
    </row>
    <row r="8" spans="1:16" ht="15" x14ac:dyDescent="0.25">
      <c r="A8" s="93" t="s">
        <v>5</v>
      </c>
      <c r="B8" s="9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P8" t="s">
        <v>129</v>
      </c>
    </row>
    <row r="9" spans="1:16" ht="15" x14ac:dyDescent="0.25">
      <c r="A9" s="11" t="s">
        <v>6</v>
      </c>
      <c r="B9" s="29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9748.0499999999993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P9" t="s">
        <v>130</v>
      </c>
    </row>
    <row r="10" spans="1:16" ht="15" x14ac:dyDescent="0.25">
      <c r="A10" s="11" t="s">
        <v>7</v>
      </c>
      <c r="B10" s="66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8917</v>
      </c>
      <c r="C10" s="72"/>
      <c r="D10" s="56"/>
      <c r="E10" s="56"/>
      <c r="F10" s="56"/>
      <c r="G10" s="56"/>
      <c r="H10" s="56"/>
      <c r="I10" s="56"/>
      <c r="J10" s="56"/>
      <c r="K10" s="56"/>
      <c r="L10" s="56"/>
      <c r="M10" s="56"/>
      <c r="P10" t="s">
        <v>131</v>
      </c>
    </row>
    <row r="11" spans="1:16" ht="15" x14ac:dyDescent="0.25">
      <c r="A11" s="11" t="s">
        <v>8</v>
      </c>
      <c r="B11" s="67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38209.64</v>
      </c>
      <c r="C11" s="63"/>
      <c r="D11" s="56"/>
      <c r="E11" s="56"/>
      <c r="F11" s="56"/>
      <c r="G11" s="56"/>
      <c r="H11" s="56"/>
      <c r="I11" s="56"/>
      <c r="J11" s="56"/>
      <c r="K11" s="56"/>
      <c r="L11" s="56"/>
      <c r="M11" s="56"/>
      <c r="P11" t="s">
        <v>132</v>
      </c>
    </row>
    <row r="12" spans="1:16" ht="15" x14ac:dyDescent="0.25">
      <c r="A12" s="11" t="s">
        <v>9</v>
      </c>
      <c r="B12" s="67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3"/>
      <c r="D12" s="56"/>
      <c r="E12" s="56"/>
      <c r="F12" s="56"/>
      <c r="G12" s="56"/>
      <c r="H12" s="56"/>
      <c r="I12" s="56"/>
      <c r="J12" s="56"/>
      <c r="K12" s="56"/>
      <c r="L12" s="56"/>
      <c r="M12" s="56"/>
      <c r="P12" t="s">
        <v>133</v>
      </c>
    </row>
    <row r="13" spans="1:16" ht="15" x14ac:dyDescent="0.25">
      <c r="A13" s="11" t="s">
        <v>10</v>
      </c>
      <c r="B13" s="67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21583.89</v>
      </c>
      <c r="C13" s="63"/>
      <c r="D13" s="56"/>
      <c r="E13" s="56"/>
      <c r="F13" s="56"/>
      <c r="G13" s="56"/>
      <c r="H13" s="56"/>
      <c r="I13" s="56"/>
      <c r="J13" s="56"/>
      <c r="K13" s="55" t="s">
        <v>141</v>
      </c>
      <c r="L13" s="55"/>
      <c r="M13" s="55"/>
      <c r="P13" t="s">
        <v>134</v>
      </c>
    </row>
    <row r="14" spans="1:16" ht="15.75" x14ac:dyDescent="0.25">
      <c r="A14" s="10" t="s">
        <v>11</v>
      </c>
      <c r="B14" s="57">
        <f ca="1">SUM(B9:B13)</f>
        <v>78458.58</v>
      </c>
      <c r="C14" s="63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6" ht="15" x14ac:dyDescent="0.25">
      <c r="A15" s="2"/>
      <c r="B15" s="68"/>
      <c r="C15" s="63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6" ht="15" x14ac:dyDescent="0.25">
      <c r="A16" s="93" t="s">
        <v>12</v>
      </c>
      <c r="B16" s="95"/>
      <c r="C16" s="73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15" x14ac:dyDescent="0.25">
      <c r="A17" s="11">
        <f>COUNT(#REF!)</f>
        <v>0</v>
      </c>
      <c r="B17" s="29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8785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5.75" x14ac:dyDescent="0.25">
      <c r="A18" s="10" t="s">
        <v>11</v>
      </c>
      <c r="B18" s="57">
        <f>SUM(B17:B17)</f>
        <v>8785</v>
      </c>
      <c r="C18" s="72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spans="1:13" ht="13.5" x14ac:dyDescent="0.25">
      <c r="B19" s="62"/>
      <c r="C19" s="63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13.5" x14ac:dyDescent="0.25">
      <c r="B20" s="74"/>
      <c r="C20" s="73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13" ht="13.5" x14ac:dyDescent="0.25">
      <c r="B21" s="5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 ht="13.5" x14ac:dyDescent="0.25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13.5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spans="1:13" ht="13.5" x14ac:dyDescent="0.25">
      <c r="B24" s="56"/>
      <c r="C24" s="56"/>
      <c r="D24" s="56"/>
      <c r="E24" s="62" t="s">
        <v>138</v>
      </c>
      <c r="F24" s="55"/>
      <c r="G24" s="55"/>
      <c r="H24" s="55"/>
      <c r="I24" s="63"/>
      <c r="J24" s="56"/>
      <c r="K24" s="56"/>
      <c r="L24" s="56"/>
      <c r="M24" s="56"/>
    </row>
    <row r="25" spans="1:13" ht="13.5" x14ac:dyDescent="0.25">
      <c r="B25" s="56"/>
      <c r="C25" s="56"/>
      <c r="D25" s="56"/>
      <c r="E25" s="61"/>
      <c r="F25" s="56"/>
      <c r="G25" s="56"/>
      <c r="H25" s="56"/>
      <c r="I25" s="64"/>
      <c r="J25" s="56"/>
      <c r="K25" s="56"/>
      <c r="L25" s="56"/>
      <c r="M25" s="56"/>
    </row>
    <row r="26" spans="1:13" ht="13.5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13.5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ht="13.5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13" ht="13.5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</row>
    <row r="30" spans="1:13" ht="13.5" x14ac:dyDescent="0.25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ht="13.5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13.5" x14ac:dyDescent="0.25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</row>
    <row r="33" spans="2:13" ht="13.5" x14ac:dyDescent="0.25">
      <c r="B33" s="56"/>
      <c r="C33" s="56"/>
      <c r="D33" s="56"/>
      <c r="E33" s="62" t="s">
        <v>139</v>
      </c>
      <c r="F33" s="55"/>
      <c r="G33" s="55"/>
      <c r="H33" s="55"/>
      <c r="I33" s="63"/>
      <c r="J33" s="56"/>
      <c r="K33" s="62" t="s">
        <v>140</v>
      </c>
      <c r="L33" s="55"/>
      <c r="M33" s="63"/>
    </row>
    <row r="34" spans="2:13" ht="13.5" x14ac:dyDescent="0.25">
      <c r="B34" s="56"/>
      <c r="C34" s="56"/>
      <c r="D34" s="56"/>
      <c r="E34" s="61"/>
      <c r="F34" s="56"/>
      <c r="G34" s="56"/>
      <c r="H34" s="56"/>
      <c r="I34" s="64"/>
      <c r="J34" s="56"/>
      <c r="K34" s="65"/>
      <c r="L34" s="56"/>
      <c r="M34" s="64"/>
    </row>
    <row r="35" spans="2:13" ht="16.5" customHeight="1" x14ac:dyDescent="0.25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64"/>
    </row>
    <row r="36" spans="2:13" ht="16.5" customHeight="1" x14ac:dyDescent="0.25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64"/>
    </row>
    <row r="37" spans="2:13" ht="16.5" customHeight="1" x14ac:dyDescent="0.25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64"/>
    </row>
    <row r="38" spans="2:13" ht="16.5" customHeight="1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64"/>
    </row>
    <row r="39" spans="2:13" ht="16.5" customHeight="1" x14ac:dyDescent="0.25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64"/>
    </row>
    <row r="40" spans="2:13" ht="16.5" customHeight="1" x14ac:dyDescent="0.25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64"/>
    </row>
    <row r="41" spans="2:13" ht="16.5" customHeight="1" x14ac:dyDescent="0.25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64"/>
    </row>
    <row r="42" spans="2:13" ht="13.5" x14ac:dyDescent="0.25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spans="2:13" ht="13.5" x14ac:dyDescent="0.25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spans="2:13" ht="13.5" x14ac:dyDescent="0.25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spans="2:13" ht="13.5" x14ac:dyDescent="0.25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topLeftCell="A18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v>45809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IF(vend1[[#This Row],[Nº Venda]]&gt;1,1,0)</f>
        <v>0</v>
      </c>
    </row>
    <row r="19" spans="2:18" ht="16.5" x14ac:dyDescent="0.3">
      <c r="B19" s="28">
        <f>COUNT(entr_carn1[OS])</f>
        <v>0</v>
      </c>
      <c r="C19" s="69">
        <f>SUM(entr_carn1[Valor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A20" zoomScale="90" zoomScaleNormal="9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'01'!B1+1</f>
        <v>45810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8198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3247.5699999999997</v>
      </c>
      <c r="D6" s="30"/>
      <c r="E6" s="75">
        <v>11134</v>
      </c>
      <c r="F6" s="76" t="s">
        <v>149</v>
      </c>
      <c r="G6" s="50" t="s">
        <v>36</v>
      </c>
      <c r="H6" s="39"/>
      <c r="I6" s="39"/>
      <c r="J6" s="30"/>
      <c r="K6" s="76" t="s">
        <v>145</v>
      </c>
      <c r="L6" s="89" t="s">
        <v>10</v>
      </c>
      <c r="M6" s="44">
        <v>3.53</v>
      </c>
      <c r="R6" s="1">
        <f>IF(vend2[[#This Row],[Nº Venda]]&gt;1,1,0)</f>
        <v>1</v>
      </c>
    </row>
    <row r="7" spans="2:18" ht="16.5" x14ac:dyDescent="0.3">
      <c r="B7" s="28" t="s">
        <v>3</v>
      </c>
      <c r="C7" s="29">
        <f>SUM(M6:M11)</f>
        <v>612.53</v>
      </c>
      <c r="D7" s="30"/>
      <c r="E7" s="75">
        <v>11135</v>
      </c>
      <c r="F7" s="76" t="s">
        <v>149</v>
      </c>
      <c r="G7" s="50" t="s">
        <v>36</v>
      </c>
      <c r="H7" s="39"/>
      <c r="I7" s="39"/>
      <c r="J7" s="30"/>
      <c r="K7" s="76" t="s">
        <v>250</v>
      </c>
      <c r="L7" s="89" t="s">
        <v>6</v>
      </c>
      <c r="M7" s="44">
        <v>609</v>
      </c>
      <c r="R7" s="1">
        <f>IF(vend2[[#This Row],[Nº Venda]]&gt;1,1,0)</f>
        <v>1</v>
      </c>
    </row>
    <row r="8" spans="2:18" ht="16.5" x14ac:dyDescent="0.3">
      <c r="B8" s="31" t="s">
        <v>21</v>
      </c>
      <c r="C8" s="32">
        <f>SUM(C6:C7)</f>
        <v>3860.0999999999995</v>
      </c>
      <c r="D8" s="30"/>
      <c r="E8" s="75">
        <v>11136</v>
      </c>
      <c r="F8" s="76" t="s">
        <v>150</v>
      </c>
      <c r="G8" s="51" t="s">
        <v>6</v>
      </c>
      <c r="H8" s="39">
        <v>35</v>
      </c>
      <c r="I8" s="39">
        <v>35</v>
      </c>
      <c r="J8" s="30"/>
      <c r="K8" s="76"/>
      <c r="L8" s="89"/>
      <c r="M8" s="44"/>
      <c r="R8" s="1">
        <f>IF(vend2[[#This Row],[Nº Venda]]&gt;1,1,0)</f>
        <v>1</v>
      </c>
    </row>
    <row r="9" spans="2:18" ht="16.5" x14ac:dyDescent="0.3">
      <c r="B9" s="27"/>
      <c r="C9" s="27"/>
      <c r="D9" s="30"/>
      <c r="E9" s="75">
        <v>11137</v>
      </c>
      <c r="F9" s="76" t="s">
        <v>155</v>
      </c>
      <c r="G9" s="51" t="s">
        <v>6</v>
      </c>
      <c r="H9" s="39">
        <v>25</v>
      </c>
      <c r="I9" s="39">
        <v>25</v>
      </c>
      <c r="J9" s="30"/>
      <c r="K9" s="76"/>
      <c r="L9" s="89"/>
      <c r="M9" s="44"/>
      <c r="R9" s="1">
        <f>IF(vend2[[#This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11138</v>
      </c>
      <c r="F10" s="76" t="s">
        <v>151</v>
      </c>
      <c r="G10" s="51" t="s">
        <v>6</v>
      </c>
      <c r="H10" s="39">
        <v>300</v>
      </c>
      <c r="I10" s="39">
        <v>100</v>
      </c>
      <c r="J10" s="30"/>
      <c r="K10" s="76"/>
      <c r="L10" s="89"/>
      <c r="M10" s="44"/>
      <c r="R10" s="1">
        <f>IF(vend2[[#This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609</v>
      </c>
      <c r="D11" s="30"/>
      <c r="E11" s="75">
        <v>11139</v>
      </c>
      <c r="F11" s="76" t="s">
        <v>148</v>
      </c>
      <c r="G11" s="51" t="s">
        <v>6</v>
      </c>
      <c r="H11" s="39">
        <v>850</v>
      </c>
      <c r="I11" s="39">
        <v>50</v>
      </c>
      <c r="J11" s="30"/>
      <c r="K11" s="38"/>
      <c r="L11" s="89"/>
      <c r="M11" s="44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28" t="s">
        <v>7</v>
      </c>
      <c r="C12" s="69">
        <f>(SUMIF($G$2:$G$31,B12,$I$2:$I$31))+(SUMIF($G$35:$G$41,B12,$H$35:$H$41))</f>
        <v>268.57</v>
      </c>
      <c r="D12" s="30"/>
      <c r="E12" s="75">
        <v>11140</v>
      </c>
      <c r="F12" s="76" t="s">
        <v>156</v>
      </c>
      <c r="G12" s="51" t="s">
        <v>36</v>
      </c>
      <c r="H12" s="39"/>
      <c r="I12" s="39"/>
      <c r="J12" s="30"/>
      <c r="K12" s="33"/>
      <c r="L12" s="33"/>
      <c r="M12" s="33"/>
      <c r="R12" s="1">
        <f>IF(vend2[[#This Row],[Nº Venda]]&gt;1,1,0)</f>
        <v>1</v>
      </c>
    </row>
    <row r="13" spans="2:18" ht="16.5" x14ac:dyDescent="0.3">
      <c r="B13" s="28" t="s">
        <v>8</v>
      </c>
      <c r="C13" s="69">
        <f>(SUMIF($G$2:$G$31,B13,$I$2:$I$31))+(SUMIF($G$35:$G$41,B13,$H$35:$H$41))</f>
        <v>1380</v>
      </c>
      <c r="D13" s="30"/>
      <c r="E13" s="75">
        <v>11141</v>
      </c>
      <c r="F13" s="76" t="s">
        <v>158</v>
      </c>
      <c r="G13" s="51" t="s">
        <v>8</v>
      </c>
      <c r="H13" s="39">
        <v>2227</v>
      </c>
      <c r="I13" s="39">
        <v>800</v>
      </c>
      <c r="J13" s="30"/>
      <c r="K13" s="102" t="s">
        <v>141</v>
      </c>
      <c r="L13" s="103"/>
      <c r="M13" s="104"/>
      <c r="R13" s="1">
        <f>IF(vend2[[#This Row],[Nº Venda]]&gt;1,1,0)</f>
        <v>1</v>
      </c>
    </row>
    <row r="14" spans="2:18" ht="16.5" x14ac:dyDescent="0.3">
      <c r="B14" s="28" t="s">
        <v>9</v>
      </c>
      <c r="C14" s="69">
        <f>(SUMIF($G$2:$G$31,B14,$I$2:$I$31))+(SUMIF($G$35:$G$41,B14,$H$35:$H$41))</f>
        <v>0</v>
      </c>
      <c r="D14" s="30"/>
      <c r="E14" s="75">
        <v>11142</v>
      </c>
      <c r="F14" s="76" t="s">
        <v>158</v>
      </c>
      <c r="G14" s="51" t="s">
        <v>8</v>
      </c>
      <c r="H14" s="39">
        <v>263</v>
      </c>
      <c r="I14" s="39">
        <v>80</v>
      </c>
      <c r="J14" s="30"/>
      <c r="K14" s="22" t="s">
        <v>22</v>
      </c>
      <c r="L14" s="23" t="s">
        <v>23</v>
      </c>
      <c r="M14" s="24" t="s">
        <v>24</v>
      </c>
      <c r="R14" s="1">
        <f>IF(vend2[[#This Row],[Nº Venda]]&gt;1,1,0)</f>
        <v>1</v>
      </c>
    </row>
    <row r="15" spans="2:18" ht="16.5" x14ac:dyDescent="0.3">
      <c r="B15" s="28" t="s">
        <v>10</v>
      </c>
      <c r="C15" s="69">
        <f>(SUMIF($G$2:$G$31,B15,$I$2:$I$31))+(SUMIF($G$35:$G$41,B15,$H$35:$H$41))</f>
        <v>990</v>
      </c>
      <c r="D15" s="30"/>
      <c r="E15" s="75">
        <v>11143</v>
      </c>
      <c r="F15" s="76" t="s">
        <v>158</v>
      </c>
      <c r="G15" s="51" t="s">
        <v>46</v>
      </c>
      <c r="H15" s="39">
        <v>0</v>
      </c>
      <c r="I15" s="39">
        <v>0</v>
      </c>
      <c r="J15" s="30"/>
      <c r="K15" s="75">
        <v>10199</v>
      </c>
      <c r="L15" s="89" t="s">
        <v>130</v>
      </c>
      <c r="M15" s="44" t="s">
        <v>146</v>
      </c>
      <c r="R15" s="1">
        <f>IF(vend2[[#This Row],[Nº Venda]]&gt;1,1,0)</f>
        <v>1</v>
      </c>
    </row>
    <row r="16" spans="2:18" ht="16.5" x14ac:dyDescent="0.3">
      <c r="B16" s="31" t="s">
        <v>11</v>
      </c>
      <c r="C16" s="70">
        <f>SUM(C11:C15)</f>
        <v>3247.5699999999997</v>
      </c>
      <c r="D16" s="30"/>
      <c r="E16" s="75">
        <v>11144</v>
      </c>
      <c r="F16" s="76" t="s">
        <v>157</v>
      </c>
      <c r="G16" s="51" t="s">
        <v>6</v>
      </c>
      <c r="H16" s="39">
        <v>3800</v>
      </c>
      <c r="I16" s="39">
        <v>50</v>
      </c>
      <c r="J16" s="30"/>
      <c r="K16" s="75">
        <v>10975</v>
      </c>
      <c r="L16" s="89" t="s">
        <v>134</v>
      </c>
      <c r="M16" s="44" t="s">
        <v>146</v>
      </c>
      <c r="R16" s="1">
        <f>IF(vend2[[#This Row],[Nº Venda]]&gt;1,1,0)</f>
        <v>1</v>
      </c>
    </row>
    <row r="17" spans="2:18" ht="16.5" x14ac:dyDescent="0.3">
      <c r="B17" s="27"/>
      <c r="C17" s="27"/>
      <c r="D17" s="30"/>
      <c r="E17" s="75">
        <v>11145</v>
      </c>
      <c r="F17" s="76" t="s">
        <v>157</v>
      </c>
      <c r="G17" s="51" t="s">
        <v>6</v>
      </c>
      <c r="H17" s="39">
        <v>99</v>
      </c>
      <c r="I17" s="39">
        <v>99</v>
      </c>
      <c r="J17" s="30"/>
      <c r="K17" s="75">
        <v>11033</v>
      </c>
      <c r="L17" s="89" t="s">
        <v>128</v>
      </c>
      <c r="M17" s="44" t="s">
        <v>146</v>
      </c>
      <c r="R17" s="1">
        <f>IF(vend2[[#This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11035</v>
      </c>
      <c r="L18" s="89" t="s">
        <v>128</v>
      </c>
      <c r="M18" s="44" t="s">
        <v>146</v>
      </c>
      <c r="R18" s="1">
        <f>IF(vend2[[#This Row],[Nº Venda]]&gt;1,1,0)</f>
        <v>0</v>
      </c>
    </row>
    <row r="19" spans="2:18" ht="16.5" x14ac:dyDescent="0.3">
      <c r="B19" s="28">
        <f>COUNT(entr_carn2[OS])</f>
        <v>0</v>
      </c>
      <c r="C19" s="69">
        <f>SUM(entr_carn2[Valor Total])</f>
        <v>0</v>
      </c>
      <c r="D19" s="30"/>
      <c r="E19" s="75"/>
      <c r="F19" s="76"/>
      <c r="G19" s="51"/>
      <c r="H19" s="39"/>
      <c r="I19" s="39"/>
      <c r="J19" s="30"/>
      <c r="K19" s="75">
        <v>11036</v>
      </c>
      <c r="L19" s="89" t="s">
        <v>128</v>
      </c>
      <c r="M19" s="44" t="s">
        <v>146</v>
      </c>
      <c r="R19" s="1">
        <f>IF(vend2[[#This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11093</v>
      </c>
      <c r="L20" s="89" t="s">
        <v>130</v>
      </c>
      <c r="M20" s="44" t="s">
        <v>146</v>
      </c>
      <c r="R20" s="1">
        <f>IF(vend2[[#This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11097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8198</v>
      </c>
      <c r="D22" s="30"/>
      <c r="E22" s="77"/>
      <c r="F22" s="76"/>
      <c r="G22" s="51"/>
      <c r="H22" s="39"/>
      <c r="I22" s="39" t="s">
        <v>54</v>
      </c>
      <c r="J22" s="30"/>
      <c r="K22" s="75">
        <v>11108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11137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10975</v>
      </c>
      <c r="F26" s="76" t="s">
        <v>152</v>
      </c>
      <c r="G26" s="51" t="s">
        <v>8</v>
      </c>
      <c r="H26" s="39"/>
      <c r="I26" s="39">
        <v>500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10975</v>
      </c>
      <c r="F27" s="76" t="s">
        <v>152</v>
      </c>
      <c r="G27" s="51" t="s">
        <v>6</v>
      </c>
      <c r="H27" s="39"/>
      <c r="I27" s="39">
        <v>250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11096</v>
      </c>
      <c r="F28" s="51" t="s">
        <v>153</v>
      </c>
      <c r="G28" s="51" t="s">
        <v>10</v>
      </c>
      <c r="H28" s="39"/>
      <c r="I28" s="39">
        <v>541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11097</v>
      </c>
      <c r="F29" s="51" t="s">
        <v>153</v>
      </c>
      <c r="G29" s="51" t="s">
        <v>10</v>
      </c>
      <c r="H29" s="39"/>
      <c r="I29" s="39">
        <v>449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11114</v>
      </c>
      <c r="F30" s="76" t="s">
        <v>147</v>
      </c>
      <c r="G30" s="51" t="s">
        <v>7</v>
      </c>
      <c r="H30" s="39">
        <v>299.5</v>
      </c>
      <c r="I30" s="39">
        <v>75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11115</v>
      </c>
      <c r="F31" s="78" t="s">
        <v>147</v>
      </c>
      <c r="G31" s="42" t="s">
        <v>7</v>
      </c>
      <c r="H31" s="43">
        <v>299.5</v>
      </c>
      <c r="I31" s="43">
        <v>75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92"/>
      <c r="F32" s="92"/>
      <c r="G32" s="92"/>
      <c r="H32" s="92"/>
      <c r="I32" s="92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144</v>
      </c>
      <c r="F33" s="100"/>
      <c r="G33" s="100"/>
      <c r="H33" s="100"/>
      <c r="I33" s="100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9894</v>
      </c>
      <c r="F35" s="76" t="s">
        <v>154</v>
      </c>
      <c r="G35" s="51" t="s">
        <v>7</v>
      </c>
      <c r="H35" s="39">
        <v>118.57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K15:K31 E35:E41 K35:K41 E26:E32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G35:G41 G28:G31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G26:G27 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topLeftCell="A24" zoomScale="90" zoomScaleNormal="90" workbookViewId="0">
      <selection activeCell="F40" sqref="F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'02'!B1+1</f>
        <v>45811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1799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5218.5</v>
      </c>
      <c r="D6" s="30"/>
      <c r="E6" s="75">
        <v>11146</v>
      </c>
      <c r="F6" s="76" t="s">
        <v>165</v>
      </c>
      <c r="G6" s="50" t="s">
        <v>36</v>
      </c>
      <c r="H6" s="39"/>
      <c r="I6" s="39"/>
      <c r="J6" s="30"/>
      <c r="K6" s="76" t="s">
        <v>161</v>
      </c>
      <c r="L6" s="89" t="s">
        <v>10</v>
      </c>
      <c r="M6" s="44">
        <v>3.78</v>
      </c>
      <c r="R6" s="1">
        <f>IF(vend3[[#This Row],[Nº Venda]]&gt;1,1,0)</f>
        <v>1</v>
      </c>
    </row>
    <row r="7" spans="2:18" ht="16.5" x14ac:dyDescent="0.3">
      <c r="B7" s="28" t="s">
        <v>3</v>
      </c>
      <c r="C7" s="29">
        <f>SUM(M6:M11)</f>
        <v>2503.7800000000002</v>
      </c>
      <c r="D7" s="30"/>
      <c r="E7" s="75">
        <v>11147</v>
      </c>
      <c r="F7" s="76" t="s">
        <v>166</v>
      </c>
      <c r="G7" s="51" t="s">
        <v>7</v>
      </c>
      <c r="H7" s="39">
        <v>199</v>
      </c>
      <c r="I7" s="39">
        <v>199</v>
      </c>
      <c r="J7" s="30"/>
      <c r="K7" s="76" t="s">
        <v>250</v>
      </c>
      <c r="L7" s="89" t="s">
        <v>6</v>
      </c>
      <c r="M7" s="44">
        <v>2500</v>
      </c>
      <c r="R7" s="1">
        <f>IF(vend3[[#This Row],[Nº Venda]]&gt;1,1,0)</f>
        <v>1</v>
      </c>
    </row>
    <row r="8" spans="2:18" ht="16.5" x14ac:dyDescent="0.3">
      <c r="B8" s="31" t="s">
        <v>21</v>
      </c>
      <c r="C8" s="32">
        <f>SUM(C6:C7)</f>
        <v>7722.2800000000007</v>
      </c>
      <c r="D8" s="30"/>
      <c r="E8" s="75">
        <v>11148</v>
      </c>
      <c r="F8" s="76" t="s">
        <v>167</v>
      </c>
      <c r="G8" s="51" t="s">
        <v>8</v>
      </c>
      <c r="H8" s="39">
        <v>650</v>
      </c>
      <c r="I8" s="39">
        <v>30</v>
      </c>
      <c r="J8" s="30"/>
      <c r="K8" s="76"/>
      <c r="L8" s="89"/>
      <c r="M8" s="44"/>
      <c r="R8" s="1">
        <f>IF(vend3[[#This Row],[Nº Venda]]&gt;1,1,0)</f>
        <v>1</v>
      </c>
    </row>
    <row r="9" spans="2:18" ht="16.5" x14ac:dyDescent="0.3">
      <c r="B9" s="27"/>
      <c r="C9" s="27"/>
      <c r="D9" s="30"/>
      <c r="E9" s="75">
        <v>11149</v>
      </c>
      <c r="F9" s="76" t="s">
        <v>167</v>
      </c>
      <c r="G9" s="51" t="s">
        <v>6</v>
      </c>
      <c r="H9" s="39">
        <v>50</v>
      </c>
      <c r="I9" s="39">
        <v>50</v>
      </c>
      <c r="J9" s="30"/>
      <c r="K9" s="76"/>
      <c r="L9" s="89"/>
      <c r="M9" s="44"/>
      <c r="R9" s="1">
        <f>IF(vend3[[#This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11150</v>
      </c>
      <c r="F10" s="76" t="s">
        <v>171</v>
      </c>
      <c r="G10" s="51" t="s">
        <v>10</v>
      </c>
      <c r="H10" s="39">
        <v>900</v>
      </c>
      <c r="I10" s="39">
        <v>250</v>
      </c>
      <c r="J10" s="30"/>
      <c r="K10" s="76"/>
      <c r="L10" s="89"/>
      <c r="M10" s="44"/>
      <c r="R10" s="1">
        <f>IF(vend3[[#This Row],[Nº Venda]]&gt;1,1,0)</f>
        <v>1</v>
      </c>
    </row>
    <row r="11" spans="2:18" ht="16.5" x14ac:dyDescent="0.3">
      <c r="B11" s="28" t="s">
        <v>6</v>
      </c>
      <c r="C11" s="69">
        <f>(SUMIF($G$2:$G$35,B11,$I$2:$I$35))+(SUMIF($G$39:$G$41,B11,$H$39:$H$41))</f>
        <v>2499.5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IF(vend3[[#This Row],[Nº Venda]]&gt;1,1,0)</f>
        <v>0</v>
      </c>
    </row>
    <row r="12" spans="2:18" ht="16.5" x14ac:dyDescent="0.3">
      <c r="B12" s="28" t="s">
        <v>7</v>
      </c>
      <c r="C12" s="69">
        <f>(SUMIF($G$2:$G$35,B12,$I$2:$I$35))+(SUMIF($G$39:$G$41,B12,$H$39:$H$41))</f>
        <v>249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IF(vend3[[#This Row],[Nº Venda]]&gt;1,1,0)</f>
        <v>0</v>
      </c>
    </row>
    <row r="13" spans="2:18" ht="16.5" x14ac:dyDescent="0.3">
      <c r="B13" s="28" t="s">
        <v>8</v>
      </c>
      <c r="C13" s="69">
        <f>(SUMIF($G$2:$G$35,B13,$I$2:$I$35))+(SUMIF($G$39:$G$41,B13,$H$39:$H$41))</f>
        <v>1670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IF(vend3[[#This Row],[Nº Venda]]&gt;1,1,0)</f>
        <v>0</v>
      </c>
    </row>
    <row r="14" spans="2:18" ht="16.5" x14ac:dyDescent="0.3">
      <c r="B14" s="28" t="s">
        <v>9</v>
      </c>
      <c r="C14" s="69">
        <f>(SUMIF($G$2:$G$35,B14,$I$2:$I$35))+(SUMIF($G$39:$G$41,B14,$H$39:$H$41))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IF(vend3[[#This Row],[Nº Venda]]&gt;1,1,0)</f>
        <v>0</v>
      </c>
    </row>
    <row r="15" spans="2:18" ht="16.5" x14ac:dyDescent="0.3">
      <c r="B15" s="28" t="s">
        <v>10</v>
      </c>
      <c r="C15" s="69">
        <f>(SUMIF($G$2:$G$35,B15,$I$2:$I$35))+(SUMIF($G$39:$G$41,B15,$H$39:$H$41))</f>
        <v>800</v>
      </c>
      <c r="D15" s="30"/>
      <c r="E15" s="75"/>
      <c r="F15" s="76"/>
      <c r="G15" s="51"/>
      <c r="H15" s="39"/>
      <c r="I15" s="39"/>
      <c r="J15" s="30"/>
      <c r="K15" s="75">
        <v>10901</v>
      </c>
      <c r="L15" s="89" t="s">
        <v>128</v>
      </c>
      <c r="M15" s="44" t="s">
        <v>146</v>
      </c>
      <c r="R15" s="1">
        <f>IF(vend3[[#This Row],[Nº Venda]]&gt;1,1,0)</f>
        <v>0</v>
      </c>
    </row>
    <row r="16" spans="2:18" ht="16.5" x14ac:dyDescent="0.3">
      <c r="B16" s="31" t="s">
        <v>11</v>
      </c>
      <c r="C16" s="70">
        <f>SUM(C11:C15)</f>
        <v>5218.5</v>
      </c>
      <c r="D16" s="30"/>
      <c r="E16" s="75"/>
      <c r="F16" s="76"/>
      <c r="G16" s="51"/>
      <c r="H16" s="39"/>
      <c r="I16" s="39"/>
      <c r="J16" s="30"/>
      <c r="K16" s="75">
        <v>11064</v>
      </c>
      <c r="L16" s="89" t="s">
        <v>134</v>
      </c>
      <c r="M16" s="44" t="s">
        <v>146</v>
      </c>
      <c r="R16" s="1">
        <f>IF(vend3[[#This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11078</v>
      </c>
      <c r="L17" s="89" t="s">
        <v>128</v>
      </c>
      <c r="M17" s="44" t="s">
        <v>146</v>
      </c>
      <c r="R17" s="1">
        <f>IF(vend3[[#This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11080</v>
      </c>
      <c r="L18" s="89" t="s">
        <v>130</v>
      </c>
      <c r="M18" s="44" t="s">
        <v>146</v>
      </c>
      <c r="R18" s="1">
        <f>IF(vend3[[#This Row],[Nº Venda]]&gt;1,1,0)</f>
        <v>0</v>
      </c>
    </row>
    <row r="19" spans="2:18" ht="16.5" x14ac:dyDescent="0.3">
      <c r="B19" s="28">
        <f>COUNT(entr_carn3[OS])</f>
        <v>1</v>
      </c>
      <c r="C19" s="69">
        <f>SUM(entr_carn3[Valor Total])</f>
        <v>230</v>
      </c>
      <c r="D19" s="30"/>
      <c r="E19" s="75"/>
      <c r="F19" s="76"/>
      <c r="G19" s="51"/>
      <c r="H19" s="39"/>
      <c r="I19" s="39"/>
      <c r="J19" s="30"/>
      <c r="K19" s="75">
        <v>11087</v>
      </c>
      <c r="L19" s="89" t="s">
        <v>128</v>
      </c>
      <c r="M19" s="44" t="s">
        <v>146</v>
      </c>
      <c r="R19" s="1">
        <f>IF(vend3[[#This Row],[Nº Venda]]&gt;1,1,0)</f>
        <v>0</v>
      </c>
    </row>
    <row r="20" spans="2:18" ht="16.5" x14ac:dyDescent="0.3">
      <c r="B20" s="31" t="s">
        <v>11</v>
      </c>
      <c r="C20" s="70">
        <f>SUM(C19:C19)</f>
        <v>230</v>
      </c>
      <c r="D20" s="30"/>
      <c r="E20" s="75"/>
      <c r="F20" s="51"/>
      <c r="G20" s="51"/>
      <c r="H20" s="39"/>
      <c r="I20" s="39"/>
      <c r="J20" s="30"/>
      <c r="K20" s="75">
        <v>11096</v>
      </c>
      <c r="L20" s="89" t="s">
        <v>128</v>
      </c>
      <c r="M20" s="44" t="s">
        <v>146</v>
      </c>
      <c r="R20" s="1">
        <f>IF(vend3[[#This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11101</v>
      </c>
      <c r="L21" s="89" t="s">
        <v>128</v>
      </c>
      <c r="M21" s="44" t="s">
        <v>162</v>
      </c>
    </row>
    <row r="22" spans="2:18" ht="16.5" x14ac:dyDescent="0.3">
      <c r="B22" s="31" t="s">
        <v>25</v>
      </c>
      <c r="C22" s="34">
        <f>C5</f>
        <v>1799</v>
      </c>
      <c r="D22" s="30"/>
      <c r="E22" s="77"/>
      <c r="F22" s="76"/>
      <c r="G22" s="51"/>
      <c r="H22" s="39"/>
      <c r="I22" s="39"/>
      <c r="J22" s="30"/>
      <c r="K22" s="75">
        <v>11136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11064</v>
      </c>
      <c r="F26" s="76" t="s">
        <v>169</v>
      </c>
      <c r="G26" s="51" t="s">
        <v>8</v>
      </c>
      <c r="H26" s="39"/>
      <c r="I26" s="39">
        <v>340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11078</v>
      </c>
      <c r="F27" s="51" t="s">
        <v>168</v>
      </c>
      <c r="G27" s="51" t="s">
        <v>8</v>
      </c>
      <c r="H27" s="39"/>
      <c r="I27" s="39">
        <v>300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11090</v>
      </c>
      <c r="F28" s="76" t="s">
        <v>170</v>
      </c>
      <c r="G28" s="51" t="s">
        <v>10</v>
      </c>
      <c r="H28" s="39"/>
      <c r="I28" s="39">
        <v>225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11091</v>
      </c>
      <c r="F29" s="76" t="s">
        <v>170</v>
      </c>
      <c r="G29" s="51" t="s">
        <v>10</v>
      </c>
      <c r="H29" s="39"/>
      <c r="I29" s="39">
        <v>175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11091</v>
      </c>
      <c r="F30" s="76" t="s">
        <v>170</v>
      </c>
      <c r="G30" s="51" t="s">
        <v>7</v>
      </c>
      <c r="H30" s="39"/>
      <c r="I30" s="39">
        <v>50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11127</v>
      </c>
      <c r="F31" s="78" t="s">
        <v>160</v>
      </c>
      <c r="G31" s="42" t="s">
        <v>10</v>
      </c>
      <c r="H31" s="43"/>
      <c r="I31" s="43">
        <v>50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75">
        <v>11139</v>
      </c>
      <c r="F32" s="76" t="s">
        <v>164</v>
      </c>
      <c r="G32" s="51" t="s">
        <v>6</v>
      </c>
      <c r="H32" s="39"/>
      <c r="I32" s="39">
        <v>600</v>
      </c>
      <c r="J32" s="38"/>
      <c r="K32" s="33"/>
      <c r="L32" s="33"/>
      <c r="M32" s="33"/>
    </row>
    <row r="33" spans="2:18" ht="16.5" x14ac:dyDescent="0.3">
      <c r="B33" s="30"/>
      <c r="C33" s="30"/>
      <c r="D33" s="38"/>
      <c r="E33" s="75">
        <v>11144</v>
      </c>
      <c r="F33" s="76" t="s">
        <v>159</v>
      </c>
      <c r="G33" s="50" t="s">
        <v>6</v>
      </c>
      <c r="H33" s="39"/>
      <c r="I33" s="39">
        <v>1000</v>
      </c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75">
        <v>11144</v>
      </c>
      <c r="F34" s="76" t="s">
        <v>159</v>
      </c>
      <c r="G34" s="51" t="s">
        <v>6</v>
      </c>
      <c r="H34" s="39"/>
      <c r="I34" s="39">
        <v>700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11144</v>
      </c>
      <c r="F35" s="76" t="s">
        <v>159</v>
      </c>
      <c r="G35" s="51" t="s">
        <v>8</v>
      </c>
      <c r="H35" s="39"/>
      <c r="I35" s="39">
        <v>1000</v>
      </c>
      <c r="J35" s="38"/>
      <c r="K35" s="75">
        <v>11101</v>
      </c>
      <c r="L35" s="75">
        <v>4</v>
      </c>
      <c r="M35" s="89">
        <v>230</v>
      </c>
    </row>
    <row r="36" spans="2:18" ht="16.5" customHeight="1" x14ac:dyDescent="0.25">
      <c r="B36" s="38"/>
      <c r="C36" s="38"/>
      <c r="D36" s="38"/>
      <c r="E36" s="35"/>
      <c r="F36" s="35"/>
      <c r="G36" s="35"/>
      <c r="H36" s="37"/>
      <c r="I36" s="37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100" t="s">
        <v>139</v>
      </c>
      <c r="F37" s="101"/>
      <c r="G37" s="101"/>
      <c r="H37" s="101"/>
      <c r="I37" s="101"/>
      <c r="J37" s="38"/>
      <c r="K37" s="75"/>
      <c r="L37" s="75"/>
      <c r="M37" s="89"/>
    </row>
    <row r="38" spans="2:18" ht="16.5" customHeight="1" x14ac:dyDescent="0.3">
      <c r="B38" s="38"/>
      <c r="C38" s="38"/>
      <c r="D38" s="38"/>
      <c r="E38" s="17" t="s">
        <v>22</v>
      </c>
      <c r="F38" s="16" t="s">
        <v>15</v>
      </c>
      <c r="G38" s="17" t="s">
        <v>16</v>
      </c>
      <c r="H38" s="18" t="s">
        <v>26</v>
      </c>
      <c r="I38" s="18" t="s">
        <v>27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11101</v>
      </c>
      <c r="F39" s="76" t="s">
        <v>163</v>
      </c>
      <c r="G39" s="51" t="s">
        <v>6</v>
      </c>
      <c r="H39" s="39">
        <v>57.5</v>
      </c>
      <c r="I39" s="39" t="s">
        <v>48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5">
        <v>11007</v>
      </c>
      <c r="F40" s="76" t="s">
        <v>163</v>
      </c>
      <c r="G40" s="51" t="s">
        <v>6</v>
      </c>
      <c r="H40" s="39">
        <v>92</v>
      </c>
      <c r="I40" s="39" t="s">
        <v>32</v>
      </c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75">
        <v>10353</v>
      </c>
      <c r="F41" s="76" t="s">
        <v>171</v>
      </c>
      <c r="G41" s="51" t="s">
        <v>10</v>
      </c>
      <c r="H41" s="39">
        <v>100</v>
      </c>
      <c r="I41" s="39" t="s">
        <v>44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7:I37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72B55E-E645-40AF-B663-A157B0ECB6D8}">
          <x14:formula1>
            <xm:f>base!$E$2:$E$79</xm:f>
          </x14:formula1>
          <xm:sqref>I39:I41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E39:E41 K35:K41 K15:K31 E26:E35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G39:G41 G26:G35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topLeftCell="A22" zoomScale="90" zoomScaleNormal="9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'03'!B1+1</f>
        <v>45812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2522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1379.9</v>
      </c>
      <c r="D6" s="30"/>
      <c r="E6" s="75">
        <v>11151</v>
      </c>
      <c r="F6" s="76" t="s">
        <v>172</v>
      </c>
      <c r="G6" s="50" t="s">
        <v>6</v>
      </c>
      <c r="H6" s="39">
        <v>1000</v>
      </c>
      <c r="I6" s="39">
        <v>120</v>
      </c>
      <c r="J6" s="30"/>
      <c r="K6" s="76" t="s">
        <v>161</v>
      </c>
      <c r="L6" s="89" t="s">
        <v>10</v>
      </c>
      <c r="M6" s="44">
        <v>2.61</v>
      </c>
      <c r="R6" s="1">
        <f>IF(vend4[[#This Row],[Nº Venda]]&gt;1,1,0)</f>
        <v>1</v>
      </c>
    </row>
    <row r="7" spans="2:18" ht="16.5" x14ac:dyDescent="0.3">
      <c r="B7" s="28" t="s">
        <v>3</v>
      </c>
      <c r="C7" s="29">
        <f>SUM(M6:M11)</f>
        <v>2.61</v>
      </c>
      <c r="D7" s="30"/>
      <c r="E7" s="75">
        <v>11152</v>
      </c>
      <c r="F7" s="76" t="s">
        <v>173</v>
      </c>
      <c r="G7" s="50" t="s">
        <v>10</v>
      </c>
      <c r="H7" s="39">
        <v>1422</v>
      </c>
      <c r="I7" s="39">
        <v>750</v>
      </c>
      <c r="J7" s="30"/>
      <c r="K7" s="76"/>
      <c r="L7" s="89"/>
      <c r="M7" s="44"/>
      <c r="R7" s="1">
        <f>IF(vend4[[#This Row],[Nº Venda]]&gt;1,1,0)</f>
        <v>1</v>
      </c>
    </row>
    <row r="8" spans="2:18" ht="16.5" x14ac:dyDescent="0.3">
      <c r="B8" s="31" t="s">
        <v>21</v>
      </c>
      <c r="C8" s="32">
        <f>SUM(C6:C7)</f>
        <v>1382.51</v>
      </c>
      <c r="D8" s="30"/>
      <c r="E8" s="75">
        <v>11153</v>
      </c>
      <c r="F8" s="76" t="s">
        <v>173</v>
      </c>
      <c r="G8" s="50" t="s">
        <v>46</v>
      </c>
      <c r="H8" s="39"/>
      <c r="I8" s="39"/>
      <c r="J8" s="30"/>
      <c r="K8" s="76"/>
      <c r="L8" s="89"/>
      <c r="M8" s="44"/>
      <c r="R8" s="1">
        <f>IF(vend4[[#This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0"/>
      <c r="H9" s="39"/>
      <c r="I9" s="39"/>
      <c r="J9" s="30"/>
      <c r="K9" s="76"/>
      <c r="L9" s="89"/>
      <c r="M9" s="44"/>
      <c r="R9" s="1">
        <f>IF(vend4[[#This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IF(vend4[[#This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229.9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IF(vend4[[#This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IF(vend4[[#This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IF(vend4[[#This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IF(vend4[[#This Row],[Nº Venda]]&gt;1,1,0)</f>
        <v>0</v>
      </c>
    </row>
    <row r="15" spans="2:18" ht="16.5" x14ac:dyDescent="0.3">
      <c r="B15" s="28" t="s">
        <v>10</v>
      </c>
      <c r="C15" s="69">
        <f t="shared" si="0"/>
        <v>1150</v>
      </c>
      <c r="D15" s="30"/>
      <c r="E15" s="75"/>
      <c r="F15" s="76"/>
      <c r="G15" s="51"/>
      <c r="H15" s="39"/>
      <c r="I15" s="39"/>
      <c r="J15" s="30"/>
      <c r="K15" s="75">
        <v>11089</v>
      </c>
      <c r="L15" s="89" t="s">
        <v>130</v>
      </c>
      <c r="M15" s="44" t="s">
        <v>146</v>
      </c>
      <c r="R15" s="1">
        <f>IF(vend4[[#This Row],[Nº Venda]]&gt;1,1,0)</f>
        <v>0</v>
      </c>
    </row>
    <row r="16" spans="2:18" ht="16.5" x14ac:dyDescent="0.3">
      <c r="B16" s="31" t="s">
        <v>11</v>
      </c>
      <c r="C16" s="70">
        <f>SUM(C11:C15)</f>
        <v>1379.9</v>
      </c>
      <c r="D16" s="30"/>
      <c r="E16" s="75"/>
      <c r="F16" s="76"/>
      <c r="G16" s="51"/>
      <c r="H16" s="39"/>
      <c r="I16" s="39"/>
      <c r="J16" s="30"/>
      <c r="K16" s="75">
        <v>11059</v>
      </c>
      <c r="L16" s="89" t="s">
        <v>130</v>
      </c>
      <c r="M16" s="44" t="s">
        <v>146</v>
      </c>
      <c r="R16" s="1">
        <f>IF(vend4[[#This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11074</v>
      </c>
      <c r="L17" s="89" t="s">
        <v>128</v>
      </c>
      <c r="M17" s="44" t="s">
        <v>146</v>
      </c>
      <c r="R17" s="1">
        <f>IF(vend4[[#This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11146</v>
      </c>
      <c r="L18" s="89" t="s">
        <v>128</v>
      </c>
      <c r="M18" s="44" t="s">
        <v>146</v>
      </c>
      <c r="R18" s="1">
        <f>IF(vend4[[#This Row],[Nº Venda]]&gt;1,1,0)</f>
        <v>0</v>
      </c>
    </row>
    <row r="19" spans="2:18" ht="16.5" x14ac:dyDescent="0.3">
      <c r="B19" s="28">
        <f>COUNT(entr_carn4[OS])</f>
        <v>0</v>
      </c>
      <c r="C19" s="69">
        <f>SUM(entr_carn4[Valor Total])</f>
        <v>0</v>
      </c>
      <c r="D19" s="30"/>
      <c r="E19" s="75"/>
      <c r="F19" s="76"/>
      <c r="G19" s="51"/>
      <c r="H19" s="39"/>
      <c r="I19" s="39"/>
      <c r="J19" s="30"/>
      <c r="K19" s="75">
        <v>10946</v>
      </c>
      <c r="L19" s="89" t="s">
        <v>128</v>
      </c>
      <c r="M19" s="44" t="s">
        <v>146</v>
      </c>
      <c r="R19" s="1">
        <f>IF(vend4[[#This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2522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11127</v>
      </c>
      <c r="F26" s="76" t="s">
        <v>174</v>
      </c>
      <c r="G26" s="50" t="s">
        <v>10</v>
      </c>
      <c r="H26" s="39"/>
      <c r="I26" s="39">
        <v>300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11074</v>
      </c>
      <c r="F27" s="76" t="s">
        <v>177</v>
      </c>
      <c r="G27" s="50" t="s">
        <v>10</v>
      </c>
      <c r="H27" s="39">
        <v>100</v>
      </c>
      <c r="I27" s="39">
        <v>100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10821</v>
      </c>
      <c r="F35" s="76" t="s">
        <v>175</v>
      </c>
      <c r="G35" s="51" t="s">
        <v>6</v>
      </c>
      <c r="H35" s="39">
        <v>49.9</v>
      </c>
      <c r="I35" s="39" t="s">
        <v>45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>
        <v>10942</v>
      </c>
      <c r="F36" s="76" t="s">
        <v>176</v>
      </c>
      <c r="G36" s="51" t="s">
        <v>6</v>
      </c>
      <c r="H36" s="39">
        <v>60</v>
      </c>
      <c r="I36" s="39" t="s">
        <v>35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topLeftCell="A13" zoomScale="6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'04'!B1+1</f>
        <v>45813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277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848.6099999999999</v>
      </c>
      <c r="D6" s="30"/>
      <c r="E6" s="75">
        <v>11154</v>
      </c>
      <c r="F6" s="76" t="s">
        <v>178</v>
      </c>
      <c r="G6" s="50" t="s">
        <v>7</v>
      </c>
      <c r="H6" s="39">
        <v>150</v>
      </c>
      <c r="I6" s="39">
        <v>150</v>
      </c>
      <c r="J6" s="30"/>
      <c r="K6" s="76" t="s">
        <v>161</v>
      </c>
      <c r="L6" s="89" t="s">
        <v>10</v>
      </c>
      <c r="M6" s="44">
        <v>3.73</v>
      </c>
      <c r="R6" s="1">
        <f>IF(vend5[[#This Row],[Nº Venda]]&gt;1,1,0)</f>
        <v>1</v>
      </c>
    </row>
    <row r="7" spans="2:18" ht="16.5" x14ac:dyDescent="0.3">
      <c r="B7" s="28" t="s">
        <v>3</v>
      </c>
      <c r="C7" s="29">
        <f>SUM(M6:M11)</f>
        <v>3.73</v>
      </c>
      <c r="D7" s="30"/>
      <c r="E7" s="75">
        <v>11155</v>
      </c>
      <c r="F7" s="76" t="s">
        <v>181</v>
      </c>
      <c r="G7" s="50" t="s">
        <v>46</v>
      </c>
      <c r="H7" s="39">
        <v>40</v>
      </c>
      <c r="I7" s="39">
        <v>0</v>
      </c>
      <c r="J7" s="30"/>
      <c r="K7" s="76"/>
      <c r="L7" s="89"/>
      <c r="M7" s="44"/>
      <c r="R7" s="1">
        <f>IF(vend5[[#This Row],[Nº Venda]]&gt;1,1,0)</f>
        <v>1</v>
      </c>
    </row>
    <row r="8" spans="2:18" ht="16.5" x14ac:dyDescent="0.3">
      <c r="B8" s="31" t="s">
        <v>21</v>
      </c>
      <c r="C8" s="32">
        <f>SUM(C6:C7)</f>
        <v>852.33999999999992</v>
      </c>
      <c r="D8" s="30"/>
      <c r="E8" s="75">
        <v>11156</v>
      </c>
      <c r="F8" s="76" t="s">
        <v>182</v>
      </c>
      <c r="G8" s="50" t="s">
        <v>8</v>
      </c>
      <c r="H8" s="39">
        <v>127</v>
      </c>
      <c r="I8" s="39">
        <v>127</v>
      </c>
      <c r="J8" s="30"/>
      <c r="K8" s="76"/>
      <c r="L8" s="89"/>
      <c r="M8" s="44"/>
      <c r="R8" s="1">
        <f>IF(vend5[[#This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0"/>
      <c r="H9" s="39"/>
      <c r="I9" s="39"/>
      <c r="J9" s="30"/>
      <c r="K9" s="76"/>
      <c r="L9" s="89"/>
      <c r="M9" s="44"/>
      <c r="R9" s="1">
        <f>IF(vend5[[#This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0"/>
      <c r="H10" s="39"/>
      <c r="I10" s="39"/>
      <c r="J10" s="30"/>
      <c r="K10" s="76"/>
      <c r="L10" s="89"/>
      <c r="M10" s="44"/>
      <c r="R10" s="1">
        <f>IF(vend5[[#This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0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IF(vend5[[#This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264.27999999999997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IF(vend5[[#This Row],[Nº Venda]]&gt;1,1,0)</f>
        <v>0</v>
      </c>
    </row>
    <row r="13" spans="2:18" ht="16.5" x14ac:dyDescent="0.3">
      <c r="B13" s="28" t="s">
        <v>8</v>
      </c>
      <c r="C13" s="69">
        <f t="shared" si="0"/>
        <v>127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IF(vend5[[#This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IF(vend5[[#This Row],[Nº Venda]]&gt;1,1,0)</f>
        <v>0</v>
      </c>
    </row>
    <row r="15" spans="2:18" ht="16.5" x14ac:dyDescent="0.3">
      <c r="B15" s="28" t="s">
        <v>10</v>
      </c>
      <c r="C15" s="69">
        <f t="shared" si="0"/>
        <v>457.33</v>
      </c>
      <c r="D15" s="30"/>
      <c r="E15" s="75"/>
      <c r="F15" s="76"/>
      <c r="G15" s="51"/>
      <c r="H15" s="39"/>
      <c r="I15" s="39"/>
      <c r="J15" s="30"/>
      <c r="K15" s="75">
        <v>11154</v>
      </c>
      <c r="L15" s="89" t="s">
        <v>128</v>
      </c>
      <c r="M15" s="54" t="s">
        <v>179</v>
      </c>
      <c r="N15" s="6"/>
      <c r="R15" s="1">
        <f>IF(vend5[[#This Row],[Nº Venda]]&gt;1,1,0)</f>
        <v>0</v>
      </c>
    </row>
    <row r="16" spans="2:18" ht="16.5" x14ac:dyDescent="0.3">
      <c r="B16" s="31" t="s">
        <v>11</v>
      </c>
      <c r="C16" s="70">
        <f>SUM(C11:C15)</f>
        <v>848.6099999999999</v>
      </c>
      <c r="D16" s="30"/>
      <c r="E16" s="75"/>
      <c r="F16" s="76"/>
      <c r="G16" s="51"/>
      <c r="H16" s="39"/>
      <c r="I16" s="39"/>
      <c r="J16" s="30"/>
      <c r="K16" s="75">
        <v>11156</v>
      </c>
      <c r="L16" s="89" t="s">
        <v>128</v>
      </c>
      <c r="M16" s="44" t="s">
        <v>179</v>
      </c>
      <c r="N16" s="6"/>
      <c r="R16" s="1">
        <f>IF(vend5[[#This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IF(vend5[[#This Row],[Nº Venda]]&gt;1,1,0)</f>
        <v>0</v>
      </c>
    </row>
    <row r="19" spans="2:18" ht="16.5" x14ac:dyDescent="0.3">
      <c r="B19" s="28">
        <f>COUNT(entr_carn5[OS])</f>
        <v>0</v>
      </c>
      <c r="C19" s="69">
        <f>SUM(entr_carn5[Valor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277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10979</v>
      </c>
      <c r="F26" s="76" t="s">
        <v>180</v>
      </c>
      <c r="G26" s="50" t="s">
        <v>10</v>
      </c>
      <c r="H26" s="39"/>
      <c r="I26" s="39">
        <v>230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10336</v>
      </c>
      <c r="F35" s="76" t="s">
        <v>183</v>
      </c>
      <c r="G35" s="51" t="s">
        <v>7</v>
      </c>
      <c r="H35" s="39">
        <v>114.28</v>
      </c>
      <c r="I35" s="39" t="s">
        <v>37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8">
        <v>9973</v>
      </c>
      <c r="F36" s="76" t="s">
        <v>184</v>
      </c>
      <c r="G36" s="51" t="s">
        <v>10</v>
      </c>
      <c r="H36" s="39">
        <v>103.33</v>
      </c>
      <c r="I36" s="39" t="s">
        <v>55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10386</v>
      </c>
      <c r="F37" s="76" t="s">
        <v>185</v>
      </c>
      <c r="G37" s="51" t="s">
        <v>10</v>
      </c>
      <c r="H37" s="39">
        <v>124</v>
      </c>
      <c r="I37" s="39" t="s">
        <v>55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topLeftCell="A15" zoomScale="60" zoomScaleNormal="90" workbookViewId="0">
      <selection activeCell="M21" sqref="M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'05'!B1+1</f>
        <v>45814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379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2976.7599999999998</v>
      </c>
      <c r="D6" s="30"/>
      <c r="E6" s="75">
        <v>11157</v>
      </c>
      <c r="F6" s="76" t="s">
        <v>186</v>
      </c>
      <c r="G6" s="51" t="s">
        <v>36</v>
      </c>
      <c r="H6" s="39">
        <v>0</v>
      </c>
      <c r="I6" s="39">
        <v>0</v>
      </c>
      <c r="J6" s="30"/>
      <c r="K6" s="76" t="s">
        <v>161</v>
      </c>
      <c r="L6" s="89" t="s">
        <v>10</v>
      </c>
      <c r="M6" s="44">
        <v>3.36</v>
      </c>
      <c r="R6" s="1">
        <f>IF(vend[[#This Row],[Nº Venda]]&gt;1,1,0)</f>
        <v>1</v>
      </c>
    </row>
    <row r="7" spans="2:18" ht="16.5" x14ac:dyDescent="0.3">
      <c r="B7" s="28" t="s">
        <v>3</v>
      </c>
      <c r="C7" s="29">
        <f>SUM(M6:M11)</f>
        <v>595.36</v>
      </c>
      <c r="D7" s="30"/>
      <c r="E7" s="75">
        <v>11158</v>
      </c>
      <c r="F7" s="76" t="s">
        <v>188</v>
      </c>
      <c r="G7" s="51" t="s">
        <v>7</v>
      </c>
      <c r="H7" s="39">
        <v>180</v>
      </c>
      <c r="I7" s="39">
        <v>180</v>
      </c>
      <c r="J7" s="30"/>
      <c r="K7" s="76" t="s">
        <v>335</v>
      </c>
      <c r="L7" s="89" t="s">
        <v>6</v>
      </c>
      <c r="M7" s="44">
        <v>592</v>
      </c>
      <c r="R7" s="1">
        <f>IF(vend[[#This Row],[Nº Venda]]&gt;1,1,0)</f>
        <v>1</v>
      </c>
    </row>
    <row r="8" spans="2:18" ht="16.5" x14ac:dyDescent="0.3">
      <c r="B8" s="31" t="s">
        <v>21</v>
      </c>
      <c r="C8" s="32">
        <f>SUM(C6:C7)</f>
        <v>3572.12</v>
      </c>
      <c r="D8" s="30"/>
      <c r="E8" s="75">
        <v>11159</v>
      </c>
      <c r="F8" s="76" t="s">
        <v>205</v>
      </c>
      <c r="G8" s="51" t="s">
        <v>7</v>
      </c>
      <c r="H8" s="39">
        <v>199</v>
      </c>
      <c r="I8" s="39">
        <v>199</v>
      </c>
      <c r="J8" s="30"/>
      <c r="K8" s="76"/>
      <c r="L8" s="89"/>
      <c r="M8" s="44"/>
      <c r="R8" s="1">
        <f>IF(vend[[#This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51"/>
      <c r="G10" s="51"/>
      <c r="H10" s="39"/>
      <c r="I10" s="39"/>
      <c r="J10" s="30"/>
      <c r="K10" s="76"/>
      <c r="L10" s="89"/>
      <c r="M10" s="44"/>
      <c r="R10" s="1">
        <f>IF(vend[[#This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591.77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(SUMIF($G$2:$G$31,B12,$I$2:$I$31))+(SUMIF($G$35:$G$41,B12,$H$35:$H$41))</f>
        <v>611.37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(SUMIF($G$2:$G$31,B13,$I$2:$I$31))+(SUMIF($G$35:$G$41,B13,$H$35:$H$41))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(SUMIF($G$2:$G$31,B15,$I$2:$I$31))+(SUMIF($G$35:$G$41,B15,$H$35:$H$41))</f>
        <v>1773.62</v>
      </c>
      <c r="D15" s="30"/>
      <c r="E15" s="75"/>
      <c r="F15" s="76"/>
      <c r="G15" s="51"/>
      <c r="H15" s="39"/>
      <c r="I15" s="39"/>
      <c r="J15" s="30"/>
      <c r="K15" s="75">
        <v>10858</v>
      </c>
      <c r="L15" s="89" t="s">
        <v>128</v>
      </c>
      <c r="M15" s="44" t="s">
        <v>146</v>
      </c>
      <c r="R15" s="1">
        <f>IF(vend[[#This Row],[Nº Venda]]&gt;1,1,0)</f>
        <v>0</v>
      </c>
    </row>
    <row r="16" spans="2:18" ht="16.5" x14ac:dyDescent="0.3">
      <c r="B16" s="31" t="s">
        <v>11</v>
      </c>
      <c r="C16" s="70">
        <f>SUM(C11:C15)</f>
        <v>2976.7599999999998</v>
      </c>
      <c r="D16" s="30"/>
      <c r="E16" s="75"/>
      <c r="F16" s="76"/>
      <c r="G16" s="51"/>
      <c r="H16" s="39"/>
      <c r="I16" s="39"/>
      <c r="J16" s="30"/>
      <c r="K16" s="75">
        <v>10932</v>
      </c>
      <c r="L16" s="89" t="s">
        <v>130</v>
      </c>
      <c r="M16" s="44" t="s">
        <v>146</v>
      </c>
      <c r="R16" s="1">
        <f>IF(vend[[#This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10933</v>
      </c>
      <c r="L17" s="89" t="s">
        <v>130</v>
      </c>
      <c r="M17" s="44" t="s">
        <v>146</v>
      </c>
      <c r="R17" s="1">
        <f>IF(vend[[#This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10949</v>
      </c>
      <c r="L18" s="89" t="s">
        <v>130</v>
      </c>
      <c r="M18" s="44" t="s">
        <v>146</v>
      </c>
      <c r="R18" s="1">
        <f>IF(vend[[#This Row],[Nº Venda]]&gt;1,1,0)</f>
        <v>0</v>
      </c>
    </row>
    <row r="19" spans="2:18" ht="16.5" x14ac:dyDescent="0.3">
      <c r="B19" s="28">
        <f>COUNT(entr_carn6[OS])</f>
        <v>1</v>
      </c>
      <c r="C19" s="69">
        <f>SUM(entr_carn6[Valor Total])</f>
        <v>295</v>
      </c>
      <c r="D19" s="30"/>
      <c r="E19" s="75"/>
      <c r="F19" s="76"/>
      <c r="G19" s="51"/>
      <c r="H19" s="39"/>
      <c r="I19" s="39"/>
      <c r="J19" s="30"/>
      <c r="K19" s="75">
        <v>10995</v>
      </c>
      <c r="L19" s="89" t="s">
        <v>130</v>
      </c>
      <c r="M19" s="44" t="s">
        <v>146</v>
      </c>
      <c r="R19" s="1">
        <f>IF(vend[[#This Row],[Nº Venda]]&gt;1,1,0)</f>
        <v>0</v>
      </c>
    </row>
    <row r="20" spans="2:18" ht="16.5" x14ac:dyDescent="0.3">
      <c r="B20" s="31" t="s">
        <v>11</v>
      </c>
      <c r="C20" s="70">
        <f>SUM(C19:C19)</f>
        <v>295</v>
      </c>
      <c r="D20" s="30"/>
      <c r="E20" s="75"/>
      <c r="F20" s="51"/>
      <c r="G20" s="51"/>
      <c r="H20" s="39"/>
      <c r="I20" s="39"/>
      <c r="J20" s="30"/>
      <c r="K20" s="75">
        <v>11011</v>
      </c>
      <c r="L20" s="89" t="s">
        <v>130</v>
      </c>
      <c r="M20" s="44" t="s">
        <v>146</v>
      </c>
      <c r="R20" s="1">
        <f>IF(vend[[#This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11029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379</v>
      </c>
      <c r="D22" s="30"/>
      <c r="E22" s="77"/>
      <c r="F22" s="76"/>
      <c r="G22" s="51"/>
      <c r="H22" s="39"/>
      <c r="I22" s="39"/>
      <c r="J22" s="30"/>
      <c r="K22" s="75">
        <v>11047</v>
      </c>
      <c r="L22" s="89" t="s">
        <v>130</v>
      </c>
      <c r="M22" s="44" t="s">
        <v>162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11103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11117</v>
      </c>
      <c r="L24" s="89" t="s">
        <v>130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11128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>
        <v>10932</v>
      </c>
      <c r="F26" s="76" t="s">
        <v>206</v>
      </c>
      <c r="G26" s="51" t="s">
        <v>10</v>
      </c>
      <c r="H26" s="39"/>
      <c r="I26" s="39">
        <v>899.5</v>
      </c>
      <c r="J26" s="30"/>
      <c r="K26" s="75">
        <v>11158</v>
      </c>
      <c r="L26" s="89" t="s">
        <v>128</v>
      </c>
      <c r="M26" s="44" t="s">
        <v>146</v>
      </c>
    </row>
    <row r="27" spans="2:18" ht="16.5" x14ac:dyDescent="0.3">
      <c r="B27" s="30"/>
      <c r="C27" s="30"/>
      <c r="D27" s="30"/>
      <c r="E27" s="75">
        <v>11022</v>
      </c>
      <c r="F27" s="76" t="s">
        <v>190</v>
      </c>
      <c r="G27" s="51" t="s">
        <v>10</v>
      </c>
      <c r="H27" s="39"/>
      <c r="I27" s="39">
        <v>375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11025</v>
      </c>
      <c r="F28" s="76" t="s">
        <v>190</v>
      </c>
      <c r="G28" s="51" t="s">
        <v>10</v>
      </c>
      <c r="H28" s="39"/>
      <c r="I28" s="39">
        <v>375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11029</v>
      </c>
      <c r="F29" s="76" t="s">
        <v>187</v>
      </c>
      <c r="G29" s="51" t="s">
        <v>6</v>
      </c>
      <c r="H29" s="39"/>
      <c r="I29" s="39">
        <v>400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9836</v>
      </c>
      <c r="F35" s="76" t="s">
        <v>189</v>
      </c>
      <c r="G35" s="51" t="s">
        <v>7</v>
      </c>
      <c r="H35" s="39">
        <v>150</v>
      </c>
      <c r="I35" s="39" t="s">
        <v>47</v>
      </c>
      <c r="J35" s="38"/>
      <c r="K35" s="75">
        <v>11047</v>
      </c>
      <c r="L35" s="75">
        <v>1</v>
      </c>
      <c r="M35" s="89">
        <v>295</v>
      </c>
    </row>
    <row r="36" spans="2:18" ht="16.5" customHeight="1" x14ac:dyDescent="0.25">
      <c r="B36" s="38"/>
      <c r="C36" s="38"/>
      <c r="D36" s="38"/>
      <c r="E36" s="81">
        <v>9891</v>
      </c>
      <c r="F36" s="76" t="s">
        <v>189</v>
      </c>
      <c r="G36" s="51" t="s">
        <v>7</v>
      </c>
      <c r="H36" s="39">
        <v>82.37</v>
      </c>
      <c r="I36" s="39" t="s">
        <v>47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10468</v>
      </c>
      <c r="F37" s="76" t="s">
        <v>207</v>
      </c>
      <c r="G37" s="51" t="s">
        <v>6</v>
      </c>
      <c r="H37" s="39">
        <v>63.92</v>
      </c>
      <c r="I37" s="39" t="s">
        <v>37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10468</v>
      </c>
      <c r="F38" s="76" t="s">
        <v>207</v>
      </c>
      <c r="G38" s="51" t="s">
        <v>6</v>
      </c>
      <c r="H38" s="39">
        <v>127.85</v>
      </c>
      <c r="I38" s="39" t="s">
        <v>40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10495</v>
      </c>
      <c r="F39" s="51" t="s">
        <v>243</v>
      </c>
      <c r="G39" s="51" t="s">
        <v>10</v>
      </c>
      <c r="H39" s="39">
        <v>124.12</v>
      </c>
      <c r="I39" s="39" t="s">
        <v>53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52"/>
      <c r="G42" s="52"/>
      <c r="H42" s="53"/>
      <c r="I42" s="53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topLeftCell="A22" zoomScale="90" zoomScaleNormal="9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8">
        <f>'06'!B1+1</f>
        <v>45815</v>
      </c>
      <c r="C1" s="98"/>
      <c r="L1" s="99" t="s">
        <v>143</v>
      </c>
      <c r="M1" s="99"/>
    </row>
    <row r="2" spans="2:21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  <c r="U4" s="1">
        <v>0</v>
      </c>
    </row>
    <row r="5" spans="2:21" ht="16.5" x14ac:dyDescent="0.3">
      <c r="B5" s="28" t="s">
        <v>1</v>
      </c>
      <c r="C5" s="29">
        <f>SUMIF(I6:I31,"&gt;0",H6:H31)</f>
        <v>3565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1" ht="16.5" x14ac:dyDescent="0.3">
      <c r="B6" s="28" t="s">
        <v>2</v>
      </c>
      <c r="C6" s="29">
        <f>C16</f>
        <v>2468.5</v>
      </c>
      <c r="D6" s="30"/>
      <c r="E6" s="75">
        <v>11160</v>
      </c>
      <c r="F6" s="48" t="s">
        <v>192</v>
      </c>
      <c r="G6" s="48" t="s">
        <v>36</v>
      </c>
      <c r="H6" s="49">
        <v>0</v>
      </c>
      <c r="I6" s="49">
        <v>0</v>
      </c>
      <c r="J6" s="30"/>
      <c r="K6" s="76" t="s">
        <v>161</v>
      </c>
      <c r="L6" s="89" t="s">
        <v>10</v>
      </c>
      <c r="M6" s="44">
        <v>2.61</v>
      </c>
      <c r="R6" s="1">
        <f>IF(vend7[[#This Row],[Nº Venda]]&gt;1,1,0)</f>
        <v>1</v>
      </c>
    </row>
    <row r="7" spans="2:21" ht="16.5" x14ac:dyDescent="0.3">
      <c r="B7" s="28" t="s">
        <v>3</v>
      </c>
      <c r="C7" s="29">
        <f>SUM(M6:M11)</f>
        <v>375.59</v>
      </c>
      <c r="D7" s="30"/>
      <c r="E7" s="75">
        <v>11161</v>
      </c>
      <c r="F7" s="50" t="s">
        <v>194</v>
      </c>
      <c r="G7" s="50" t="s">
        <v>8</v>
      </c>
      <c r="H7" s="39">
        <v>1800</v>
      </c>
      <c r="I7" s="39">
        <v>250</v>
      </c>
      <c r="J7" s="30"/>
      <c r="K7" s="76" t="s">
        <v>193</v>
      </c>
      <c r="L7" s="89" t="s">
        <v>6</v>
      </c>
      <c r="M7" s="44">
        <v>32.979999999999997</v>
      </c>
      <c r="R7" s="1">
        <f>IF(vend7[[#This Row],[Nº Venda]]&gt;1,1,0)</f>
        <v>1</v>
      </c>
    </row>
    <row r="8" spans="2:21" ht="16.5" x14ac:dyDescent="0.3">
      <c r="B8" s="31" t="s">
        <v>21</v>
      </c>
      <c r="C8" s="32">
        <f>SUM(C6:C7)</f>
        <v>2844.09</v>
      </c>
      <c r="D8" s="30"/>
      <c r="E8" s="75">
        <v>11162</v>
      </c>
      <c r="F8" s="76" t="s">
        <v>194</v>
      </c>
      <c r="G8" s="51" t="s">
        <v>46</v>
      </c>
      <c r="H8" s="39">
        <v>0</v>
      </c>
      <c r="I8" s="39">
        <v>0</v>
      </c>
      <c r="J8" s="30"/>
      <c r="K8" s="76" t="s">
        <v>335</v>
      </c>
      <c r="L8" s="89" t="s">
        <v>6</v>
      </c>
      <c r="M8" s="44">
        <v>340</v>
      </c>
      <c r="R8" s="1">
        <f>IF(vend7[[#This Row],[Nº Venda]]&gt;1,1,0)</f>
        <v>1</v>
      </c>
    </row>
    <row r="9" spans="2:21" ht="16.5" x14ac:dyDescent="0.3">
      <c r="B9" s="27"/>
      <c r="C9" s="27"/>
      <c r="D9" s="30"/>
      <c r="E9" s="75">
        <v>11163</v>
      </c>
      <c r="F9" s="76" t="s">
        <v>194</v>
      </c>
      <c r="G9" s="51" t="s">
        <v>8</v>
      </c>
      <c r="H9" s="39">
        <v>1700</v>
      </c>
      <c r="I9" s="39">
        <v>250</v>
      </c>
      <c r="J9" s="30"/>
      <c r="K9" s="76"/>
      <c r="L9" s="89"/>
      <c r="M9" s="44"/>
      <c r="R9" s="1">
        <f>IF(vend7[[#This Row],[Nº Venda]]&gt;1,1,0)</f>
        <v>1</v>
      </c>
    </row>
    <row r="10" spans="2:21" ht="16.5" x14ac:dyDescent="0.3">
      <c r="B10" s="109" t="s">
        <v>5</v>
      </c>
      <c r="C10" s="110"/>
      <c r="D10" s="30"/>
      <c r="E10" s="75">
        <v>11164</v>
      </c>
      <c r="F10" s="76" t="s">
        <v>194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IF(vend7[[#This Row],[Nº Venda]]&gt;1,1,0)</f>
        <v>1</v>
      </c>
    </row>
    <row r="11" spans="2:21" ht="16.5" x14ac:dyDescent="0.3">
      <c r="B11" s="28" t="s">
        <v>6</v>
      </c>
      <c r="C11" s="69">
        <f>(SUMIF($G$2:$G$31,B11,$I$2:$I$31))+(SUMIF($G$35:$G$41,B11,$H$35:$H$41))</f>
        <v>340</v>
      </c>
      <c r="D11" s="30"/>
      <c r="E11" s="75">
        <v>11165</v>
      </c>
      <c r="F11" s="76" t="s">
        <v>195</v>
      </c>
      <c r="G11" s="51" t="s">
        <v>7</v>
      </c>
      <c r="H11" s="39">
        <v>15</v>
      </c>
      <c r="I11" s="39">
        <v>15</v>
      </c>
      <c r="J11" s="30"/>
      <c r="K11" s="38"/>
      <c r="L11" s="89"/>
      <c r="M11" s="44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28" t="s">
        <v>7</v>
      </c>
      <c r="C12" s="69">
        <f t="shared" ref="C12:C15" si="0">(SUMIF($G$2:$G$31,B12,$I$2:$I$31))+(SUMIF($G$35:$G$41,B12,$H$35:$H$41))</f>
        <v>378.75</v>
      </c>
      <c r="D12" s="30"/>
      <c r="E12" s="75">
        <v>11166</v>
      </c>
      <c r="F12" s="76" t="s">
        <v>211</v>
      </c>
      <c r="G12" s="51" t="s">
        <v>6</v>
      </c>
      <c r="H12" s="39">
        <v>50</v>
      </c>
      <c r="I12" s="39">
        <v>50</v>
      </c>
      <c r="J12" s="30"/>
      <c r="K12" s="33"/>
      <c r="L12" s="33"/>
      <c r="M12" s="33"/>
      <c r="R12" s="1">
        <f>IF(vend7[[#This Row],[Nº Venda]]&gt;1,1,0)</f>
        <v>1</v>
      </c>
    </row>
    <row r="13" spans="2:21" ht="16.5" x14ac:dyDescent="0.3">
      <c r="B13" s="28" t="s">
        <v>8</v>
      </c>
      <c r="C13" s="69">
        <f t="shared" si="0"/>
        <v>1599.75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IF(vend7[[#This Row],[Nº Venda]]&gt;1,1,0)</f>
        <v>0</v>
      </c>
    </row>
    <row r="14" spans="2:21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IF(vend7[[#This Row],[Nº Venda]]&gt;1,1,0)</f>
        <v>0</v>
      </c>
    </row>
    <row r="15" spans="2:21" ht="16.5" x14ac:dyDescent="0.3">
      <c r="B15" s="28" t="s">
        <v>10</v>
      </c>
      <c r="C15" s="69">
        <f t="shared" si="0"/>
        <v>150</v>
      </c>
      <c r="D15" s="30"/>
      <c r="E15" s="75"/>
      <c r="F15" s="76"/>
      <c r="G15" s="51"/>
      <c r="H15" s="39"/>
      <c r="I15" s="39"/>
      <c r="J15" s="30"/>
      <c r="K15" s="75">
        <v>10899</v>
      </c>
      <c r="L15" s="89" t="s">
        <v>128</v>
      </c>
      <c r="M15" s="54" t="s">
        <v>146</v>
      </c>
      <c r="R15" s="1">
        <f>IF(vend7[[#This Row],[Nº Venda]]&gt;1,1,0)</f>
        <v>0</v>
      </c>
    </row>
    <row r="16" spans="2:21" ht="16.5" x14ac:dyDescent="0.3">
      <c r="B16" s="31" t="s">
        <v>11</v>
      </c>
      <c r="C16" s="70">
        <f>SUM(C11:C15)</f>
        <v>2468.5</v>
      </c>
      <c r="D16" s="30"/>
      <c r="E16" s="75"/>
      <c r="F16" s="76"/>
      <c r="G16" s="51"/>
      <c r="H16" s="39"/>
      <c r="I16" s="39"/>
      <c r="J16" s="30"/>
      <c r="K16" s="75">
        <v>10944</v>
      </c>
      <c r="L16" s="89" t="s">
        <v>128</v>
      </c>
      <c r="M16" s="44" t="s">
        <v>146</v>
      </c>
      <c r="R16" s="1">
        <f>IF(vend7[[#This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11054</v>
      </c>
      <c r="L17" s="89" t="s">
        <v>134</v>
      </c>
      <c r="M17" s="44" t="s">
        <v>146</v>
      </c>
      <c r="R17" s="1">
        <f>IF(vend7[[#This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11077</v>
      </c>
      <c r="L18" s="89" t="s">
        <v>128</v>
      </c>
      <c r="M18" s="44" t="s">
        <v>146</v>
      </c>
      <c r="R18" s="1">
        <f>IF(vend7[[#This Row],[Nº Venda]]&gt;1,1,0)</f>
        <v>0</v>
      </c>
    </row>
    <row r="19" spans="2:18" ht="16.5" x14ac:dyDescent="0.3">
      <c r="B19" s="28">
        <f>COUNT(entr_carn7[OS])</f>
        <v>1</v>
      </c>
      <c r="C19" s="69">
        <f>SUM(entr_carn7[Valor Total])</f>
        <v>595</v>
      </c>
      <c r="D19" s="30"/>
      <c r="E19" s="75"/>
      <c r="F19" s="76"/>
      <c r="G19" s="51"/>
      <c r="H19" s="39"/>
      <c r="I19" s="39"/>
      <c r="J19" s="30"/>
      <c r="K19" s="75">
        <v>11114</v>
      </c>
      <c r="L19" s="89" t="s">
        <v>128</v>
      </c>
      <c r="M19" s="44" t="s">
        <v>146</v>
      </c>
      <c r="R19" s="1">
        <f>IF(vend7[[#This Row],[Nº Venda]]&gt;1,1,0)</f>
        <v>0</v>
      </c>
    </row>
    <row r="20" spans="2:18" ht="16.5" x14ac:dyDescent="0.3">
      <c r="B20" s="31" t="s">
        <v>11</v>
      </c>
      <c r="C20" s="70">
        <f>SUM(C19:C19)</f>
        <v>595</v>
      </c>
      <c r="D20" s="30"/>
      <c r="E20" s="75"/>
      <c r="F20" s="51"/>
      <c r="G20" s="51"/>
      <c r="H20" s="39"/>
      <c r="I20" s="39"/>
      <c r="J20" s="30"/>
      <c r="K20" s="75">
        <v>11119</v>
      </c>
      <c r="L20" s="89" t="s">
        <v>130</v>
      </c>
      <c r="M20" s="44" t="s">
        <v>162</v>
      </c>
      <c r="R20" s="1">
        <f>IF(vend7[[#This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11120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3565</v>
      </c>
      <c r="D22" s="30"/>
      <c r="E22" s="77"/>
      <c r="F22" s="76"/>
      <c r="G22" s="51"/>
      <c r="H22" s="39"/>
      <c r="I22" s="39"/>
      <c r="J22" s="30"/>
      <c r="K22" s="75">
        <v>11138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11165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11054</v>
      </c>
      <c r="F26" s="79" t="s">
        <v>212</v>
      </c>
      <c r="G26" s="79" t="s">
        <v>8</v>
      </c>
      <c r="H26" s="49"/>
      <c r="I26" s="49">
        <v>730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11075</v>
      </c>
      <c r="F27" s="76" t="s">
        <v>213</v>
      </c>
      <c r="G27" s="51" t="s">
        <v>6</v>
      </c>
      <c r="H27" s="39"/>
      <c r="I27" s="39">
        <v>90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11114</v>
      </c>
      <c r="F28" s="76" t="s">
        <v>198</v>
      </c>
      <c r="G28" s="51" t="s">
        <v>8</v>
      </c>
      <c r="H28" s="39"/>
      <c r="I28" s="39">
        <v>200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11119</v>
      </c>
      <c r="F29" s="76" t="s">
        <v>195</v>
      </c>
      <c r="G29" s="51" t="s">
        <v>7</v>
      </c>
      <c r="H29" s="39"/>
      <c r="I29" s="39">
        <v>220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11138</v>
      </c>
      <c r="F30" s="76" t="s">
        <v>151</v>
      </c>
      <c r="G30" s="50" t="s">
        <v>6</v>
      </c>
      <c r="H30" s="39"/>
      <c r="I30" s="39">
        <v>200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11150</v>
      </c>
      <c r="F31" s="78" t="s">
        <v>199</v>
      </c>
      <c r="G31" s="42" t="s">
        <v>8</v>
      </c>
      <c r="H31" s="43"/>
      <c r="I31" s="43">
        <v>100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2">
        <v>9936</v>
      </c>
      <c r="F35" s="76" t="s">
        <v>196</v>
      </c>
      <c r="G35" s="51" t="s">
        <v>8</v>
      </c>
      <c r="H35" s="39">
        <v>69.75</v>
      </c>
      <c r="I35" s="39" t="s">
        <v>39</v>
      </c>
      <c r="J35" s="38"/>
      <c r="K35" s="75">
        <v>11119</v>
      </c>
      <c r="L35" s="75">
        <v>7</v>
      </c>
      <c r="M35" s="89">
        <v>595</v>
      </c>
    </row>
    <row r="36" spans="2:18" ht="16.5" customHeight="1" x14ac:dyDescent="0.25">
      <c r="B36" s="38"/>
      <c r="C36" s="38"/>
      <c r="D36" s="38"/>
      <c r="E36" s="77">
        <v>10012</v>
      </c>
      <c r="F36" s="76" t="s">
        <v>197</v>
      </c>
      <c r="G36" s="51" t="s">
        <v>7</v>
      </c>
      <c r="H36" s="39">
        <v>143.75</v>
      </c>
      <c r="I36" s="39" t="s">
        <v>39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10192</v>
      </c>
      <c r="F37" s="76" t="s">
        <v>191</v>
      </c>
      <c r="G37" s="51" t="s">
        <v>10</v>
      </c>
      <c r="H37" s="39">
        <v>150</v>
      </c>
      <c r="I37" s="39" t="s">
        <v>41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7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topLeftCell="A2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'07'!B1+1</f>
        <v>45816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39"/>
      <c r="G6" s="39"/>
      <c r="H6" s="39"/>
      <c r="I6" s="39"/>
      <c r="J6" s="30"/>
      <c r="K6" s="76"/>
      <c r="L6" s="89"/>
      <c r="M6" s="44"/>
      <c r="R6" s="1">
        <f>IF(vend8[[#This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39"/>
      <c r="G7" s="39"/>
      <c r="H7" s="39"/>
      <c r="I7" s="39"/>
      <c r="J7" s="30"/>
      <c r="K7" s="76"/>
      <c r="L7" s="89"/>
      <c r="M7" s="44"/>
      <c r="R7" s="1">
        <f>IF(vend8[[#This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39"/>
      <c r="G8" s="39"/>
      <c r="H8" s="39"/>
      <c r="I8" s="39"/>
      <c r="J8" s="30"/>
      <c r="K8" s="76"/>
      <c r="L8" s="89"/>
      <c r="M8" s="44"/>
      <c r="R8" s="1">
        <f>IF(vend8[[#This Row],[Nº Venda]]&gt;1,1,0)</f>
        <v>0</v>
      </c>
    </row>
    <row r="9" spans="2:18" ht="16.5" x14ac:dyDescent="0.3">
      <c r="B9" s="27"/>
      <c r="C9" s="27"/>
      <c r="D9" s="30"/>
      <c r="E9" s="75"/>
      <c r="F9" s="39"/>
      <c r="G9" s="39"/>
      <c r="H9" s="39"/>
      <c r="I9" s="39"/>
      <c r="J9" s="30"/>
      <c r="K9" s="76"/>
      <c r="L9" s="89"/>
      <c r="M9" s="44"/>
      <c r="R9" s="1">
        <f>IF(vend8[[#This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IF(vend8[[#This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(SUMIF($G$2:$G$31,B11,$I$2:$I$31))+(SUMIF($G$35:$G$42,B11,$H$35:$H$42))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(SUMIF($G$2:$G$31,B12,$I$2:$I$31))+(SUMIF($G$35:$G$42,B12,$H$35:$H$42))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IF(vend8[[#This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(SUMIF($G$2:$G$31,B13,$I$2:$I$31))+(SUMIF($G$35:$G$42,B13,$H$35:$H$42))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IF(vend8[[#This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(SUMIF($G$2:$G$31,B14,$I$2:$I$31))+(SUMIF($G$35:$G$42,B14,$H$35:$H$42))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IF(vend8[[#This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(SUMIF($G$2:$G$31,B15,$I$2:$I$31))+(SUMIF($G$35:$G$42,B15,$H$35:$H$42))</f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IF(vend8[[#This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IF(vend8[[#This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IF(vend8[[#This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IF(vend8[[#This Row],[Nº Venda]]&gt;1,1,0)</f>
        <v>0</v>
      </c>
    </row>
    <row r="19" spans="2:18" ht="16.5" x14ac:dyDescent="0.3">
      <c r="B19" s="28">
        <f>COUNT(entr_carn8[OS])</f>
        <v>0</v>
      </c>
      <c r="C19" s="69">
        <f>SUM(entr_carn8[Valor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IF(vend8[[#This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9"/>
      <c r="G26" s="79"/>
      <c r="H26" s="49"/>
      <c r="I26" s="4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0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76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7.25" x14ac:dyDescent="0.3">
      <c r="B42" s="38"/>
      <c r="C42" s="38"/>
      <c r="D42" s="38"/>
      <c r="E42" s="40"/>
      <c r="F42" s="20"/>
      <c r="G42" s="20"/>
      <c r="H42" s="21"/>
      <c r="I42" s="21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6"/>
  <sheetViews>
    <sheetView showGridLines="0" view="pageBreakPreview" topLeftCell="C8" zoomScale="60" zoomScaleNormal="92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8">
        <f>'08'!B1+1</f>
        <v>45817</v>
      </c>
      <c r="C1" s="98"/>
      <c r="L1" s="99" t="s">
        <v>143</v>
      </c>
      <c r="M1" s="99"/>
    </row>
    <row r="2" spans="2:22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22" ht="16.5" x14ac:dyDescent="0.3">
      <c r="B5" s="28" t="s">
        <v>1</v>
      </c>
      <c r="C5" s="29">
        <f>SUMIF(I6:I31,"&gt;0",H6:H31)</f>
        <v>2641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2" ht="16.5" x14ac:dyDescent="0.3">
      <c r="B6" s="28" t="s">
        <v>2</v>
      </c>
      <c r="C6" s="29">
        <f>C16</f>
        <v>3054.25</v>
      </c>
      <c r="D6" s="30"/>
      <c r="E6" s="75">
        <v>11167</v>
      </c>
      <c r="F6" s="76" t="s">
        <v>201</v>
      </c>
      <c r="G6" s="50" t="s">
        <v>46</v>
      </c>
      <c r="H6" s="39">
        <v>98</v>
      </c>
      <c r="I6" s="39">
        <v>0</v>
      </c>
      <c r="J6" s="30"/>
      <c r="K6" s="76" t="s">
        <v>161</v>
      </c>
      <c r="L6" s="89" t="s">
        <v>10</v>
      </c>
      <c r="M6" s="44">
        <v>3.53</v>
      </c>
      <c r="R6" s="1">
        <f>IF(vend9[[#This Row],[Nº Venda]]&gt;1,1,0)</f>
        <v>1</v>
      </c>
    </row>
    <row r="7" spans="2:22" ht="16.5" x14ac:dyDescent="0.3">
      <c r="B7" s="28" t="s">
        <v>3</v>
      </c>
      <c r="C7" s="29">
        <f>SUM(M6:M11)</f>
        <v>23.53</v>
      </c>
      <c r="D7" s="30"/>
      <c r="E7" s="75">
        <v>11168</v>
      </c>
      <c r="F7" s="76" t="s">
        <v>202</v>
      </c>
      <c r="G7" s="50" t="s">
        <v>7</v>
      </c>
      <c r="H7" s="39">
        <v>45</v>
      </c>
      <c r="I7" s="39">
        <v>45</v>
      </c>
      <c r="J7" s="30"/>
      <c r="K7" s="76" t="s">
        <v>335</v>
      </c>
      <c r="L7" s="89" t="s">
        <v>6</v>
      </c>
      <c r="M7" s="44">
        <v>20</v>
      </c>
      <c r="R7" s="1">
        <f>IF(vend9[[#This Row],[Nº Venda]]&gt;1,1,0)</f>
        <v>1</v>
      </c>
    </row>
    <row r="8" spans="2:22" ht="16.5" x14ac:dyDescent="0.3">
      <c r="B8" s="31" t="s">
        <v>21</v>
      </c>
      <c r="C8" s="32">
        <f>SUM(C6:C7)</f>
        <v>3077.78</v>
      </c>
      <c r="D8" s="30"/>
      <c r="E8" s="75">
        <v>11169</v>
      </c>
      <c r="F8" s="76" t="s">
        <v>203</v>
      </c>
      <c r="G8" s="51" t="s">
        <v>7</v>
      </c>
      <c r="H8" s="39">
        <v>45</v>
      </c>
      <c r="I8" s="39">
        <v>45</v>
      </c>
      <c r="J8" s="30"/>
      <c r="K8" s="76"/>
      <c r="L8" s="89"/>
      <c r="M8" s="44"/>
      <c r="R8" s="1">
        <f>IF(vend9[[#This Row],[Nº Venda]]&gt;1,1,0)</f>
        <v>1</v>
      </c>
    </row>
    <row r="9" spans="2:22" ht="16.5" x14ac:dyDescent="0.3">
      <c r="B9" s="27"/>
      <c r="C9" s="27"/>
      <c r="D9" s="30"/>
      <c r="E9" s="75">
        <v>11170</v>
      </c>
      <c r="F9" s="76" t="s">
        <v>210</v>
      </c>
      <c r="G9" s="51" t="s">
        <v>7</v>
      </c>
      <c r="H9" s="39">
        <v>200</v>
      </c>
      <c r="I9" s="39">
        <v>200</v>
      </c>
      <c r="J9" s="30"/>
      <c r="K9" s="76"/>
      <c r="L9" s="89"/>
      <c r="M9" s="44"/>
      <c r="R9" s="1">
        <f>IF(vend9[[#This Row],[Nº Venda]]&gt;1,1,0)</f>
        <v>1</v>
      </c>
    </row>
    <row r="10" spans="2:22" ht="16.5" x14ac:dyDescent="0.3">
      <c r="B10" s="109" t="s">
        <v>5</v>
      </c>
      <c r="C10" s="110"/>
      <c r="D10" s="30"/>
      <c r="E10" s="75">
        <v>11171</v>
      </c>
      <c r="F10" s="76" t="s">
        <v>214</v>
      </c>
      <c r="G10" s="51" t="s">
        <v>8</v>
      </c>
      <c r="H10" s="39">
        <v>290</v>
      </c>
      <c r="I10" s="39">
        <v>290</v>
      </c>
      <c r="J10" s="30"/>
      <c r="K10" s="76"/>
      <c r="L10" s="89"/>
      <c r="M10" s="44"/>
      <c r="R10" s="1">
        <f>IF(vend9[[#This Row],[Nº Venda]]&gt;1,1,0)</f>
        <v>1</v>
      </c>
    </row>
    <row r="11" spans="2:22" ht="16.5" x14ac:dyDescent="0.3">
      <c r="B11" s="28" t="s">
        <v>6</v>
      </c>
      <c r="C11" s="91">
        <f>(SUMIF($G$2:$G$31,B11,$I$2:$I$31))+(SUMIF($G$35:$G$42,B11,$H$35:$H$42))</f>
        <v>20</v>
      </c>
      <c r="D11" s="30"/>
      <c r="E11" s="75">
        <v>11172</v>
      </c>
      <c r="F11" s="76" t="s">
        <v>215</v>
      </c>
      <c r="G11" s="51" t="s">
        <v>8</v>
      </c>
      <c r="H11" s="39">
        <v>541</v>
      </c>
      <c r="I11" s="39">
        <v>541</v>
      </c>
      <c r="J11" s="30"/>
      <c r="K11" s="38"/>
      <c r="L11" s="89"/>
      <c r="M11" s="44"/>
      <c r="O11" s="1">
        <f>IF(C16=0,0,1)</f>
        <v>1</v>
      </c>
      <c r="R11" s="1">
        <f>IF(vend9[[#This Row],[Nº Venda]]&gt;1,1,0)</f>
        <v>1</v>
      </c>
    </row>
    <row r="12" spans="2:22" ht="16.5" x14ac:dyDescent="0.3">
      <c r="B12" s="28" t="s">
        <v>7</v>
      </c>
      <c r="C12" s="91">
        <f>(SUMIF($G$2:$G$31,B12,$I$2:$I$31))+(SUMIF($G$35:$G$42,B12,$H$35:$H$42))</f>
        <v>1012.25</v>
      </c>
      <c r="D12" s="30"/>
      <c r="E12" s="75">
        <v>11173</v>
      </c>
      <c r="F12" s="76" t="s">
        <v>215</v>
      </c>
      <c r="G12" s="51" t="s">
        <v>8</v>
      </c>
      <c r="H12" s="39">
        <v>561</v>
      </c>
      <c r="I12" s="39">
        <v>561</v>
      </c>
      <c r="J12" s="30"/>
      <c r="K12" s="33"/>
      <c r="L12" s="33"/>
      <c r="M12" s="33"/>
      <c r="R12" s="1">
        <f>IF(vend9[[#This Row],[Nº Venda]]&gt;1,1,0)</f>
        <v>1</v>
      </c>
      <c r="V12" s="1">
        <v>0</v>
      </c>
    </row>
    <row r="13" spans="2:22" ht="16.5" x14ac:dyDescent="0.3">
      <c r="B13" s="28" t="s">
        <v>8</v>
      </c>
      <c r="C13" s="91">
        <f>(SUMIF($G$2:$G$31,B13,$I$2:$I$31))+(SUMIF($G$35:$G$42,B13,$H$35:$H$42))</f>
        <v>1972</v>
      </c>
      <c r="D13" s="30"/>
      <c r="E13" s="75">
        <v>11174</v>
      </c>
      <c r="F13" s="76" t="s">
        <v>225</v>
      </c>
      <c r="G13" s="51" t="s">
        <v>46</v>
      </c>
      <c r="H13" s="39">
        <v>30</v>
      </c>
      <c r="I13" s="39">
        <v>0</v>
      </c>
      <c r="J13" s="30"/>
      <c r="K13" s="102" t="s">
        <v>141</v>
      </c>
      <c r="L13" s="103"/>
      <c r="M13" s="104"/>
      <c r="R13" s="1">
        <f>IF(vend9[[#This Row],[Nº Venda]]&gt;1,1,0)</f>
        <v>1</v>
      </c>
    </row>
    <row r="14" spans="2:22" ht="16.5" x14ac:dyDescent="0.3">
      <c r="B14" s="28" t="s">
        <v>9</v>
      </c>
      <c r="C14" s="91">
        <f>(SUMIF($G$2:$G$31,B14,$I$2:$I$31))+(SUMIF($G$35:$G$42,B14,$H$35:$H$42))</f>
        <v>0</v>
      </c>
      <c r="D14" s="30"/>
      <c r="E14" s="75">
        <v>11175</v>
      </c>
      <c r="F14" s="76" t="s">
        <v>370</v>
      </c>
      <c r="G14" s="51" t="s">
        <v>8</v>
      </c>
      <c r="H14" s="39">
        <v>340</v>
      </c>
      <c r="I14" s="39">
        <v>340</v>
      </c>
      <c r="J14" s="30"/>
      <c r="K14" s="22" t="s">
        <v>22</v>
      </c>
      <c r="L14" s="23" t="s">
        <v>23</v>
      </c>
      <c r="M14" s="24" t="s">
        <v>24</v>
      </c>
      <c r="R14" s="1">
        <f>IF(vend9[[#This Row],[Nº Venda]]&gt;1,1,0)</f>
        <v>1</v>
      </c>
    </row>
    <row r="15" spans="2:22" ht="16.5" x14ac:dyDescent="0.3">
      <c r="B15" s="28" t="s">
        <v>10</v>
      </c>
      <c r="C15" s="91">
        <f>(SUMIF($G$2:$G$31,B15,$I$2:$I$31))+(SUMIF($G$35:$G$42,B15,$H$35:$H$42))</f>
        <v>50</v>
      </c>
      <c r="D15" s="30"/>
      <c r="E15" s="75">
        <v>11176</v>
      </c>
      <c r="F15" s="76" t="s">
        <v>231</v>
      </c>
      <c r="G15" s="51" t="s">
        <v>10</v>
      </c>
      <c r="H15" s="39">
        <v>399</v>
      </c>
      <c r="I15" s="39">
        <v>50</v>
      </c>
      <c r="J15" s="30"/>
      <c r="K15" s="75">
        <v>10951</v>
      </c>
      <c r="L15" s="89" t="s">
        <v>128</v>
      </c>
      <c r="M15" s="44" t="s">
        <v>146</v>
      </c>
      <c r="R15" s="1">
        <f>IF(vend9[[#This Row],[Nº Venda]]&gt;1,1,0)</f>
        <v>1</v>
      </c>
    </row>
    <row r="16" spans="2:22" ht="16.5" x14ac:dyDescent="0.3">
      <c r="B16" s="31" t="s">
        <v>11</v>
      </c>
      <c r="C16" s="70">
        <f>SUM(C11:C15)</f>
        <v>3054.25</v>
      </c>
      <c r="D16" s="30"/>
      <c r="E16" s="75"/>
      <c r="F16" s="76"/>
      <c r="G16" s="51"/>
      <c r="H16" s="39"/>
      <c r="I16" s="39"/>
      <c r="J16" s="30"/>
      <c r="K16" s="75">
        <v>11037</v>
      </c>
      <c r="L16" s="89" t="s">
        <v>130</v>
      </c>
      <c r="M16" s="44" t="s">
        <v>146</v>
      </c>
      <c r="R16" s="1">
        <f>IF(vend9[[#This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11038</v>
      </c>
      <c r="L17" s="89" t="s">
        <v>130</v>
      </c>
      <c r="M17" s="44" t="s">
        <v>146</v>
      </c>
      <c r="R17" s="1">
        <f>IF(vend9[[#This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11042</v>
      </c>
      <c r="L18" s="89" t="s">
        <v>134</v>
      </c>
      <c r="M18" s="44" t="s">
        <v>146</v>
      </c>
      <c r="R18" s="1">
        <f>IF(vend9[[#This Row],[Nº Venda]]&gt;1,1,0)</f>
        <v>0</v>
      </c>
    </row>
    <row r="19" spans="2:18" ht="16.5" x14ac:dyDescent="0.3">
      <c r="B19" s="28">
        <f>COUNT(entr_carn9[OS])</f>
        <v>0</v>
      </c>
      <c r="C19" s="69">
        <f>SUM(entr_carn9[Valor Total])</f>
        <v>0</v>
      </c>
      <c r="D19" s="30"/>
      <c r="E19" s="75"/>
      <c r="F19" s="76"/>
      <c r="G19" s="51"/>
      <c r="H19" s="39"/>
      <c r="I19" s="39" t="s">
        <v>232</v>
      </c>
      <c r="J19" s="30"/>
      <c r="K19" s="75">
        <v>11048</v>
      </c>
      <c r="L19" s="89" t="s">
        <v>134</v>
      </c>
      <c r="M19" s="44" t="s">
        <v>146</v>
      </c>
      <c r="R19" s="1">
        <f>IF(vend9[[#This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76"/>
      <c r="G20" s="51"/>
      <c r="H20" s="39"/>
      <c r="I20" s="39"/>
      <c r="J20" s="30"/>
      <c r="K20" s="75">
        <v>11082</v>
      </c>
      <c r="L20" s="89" t="s">
        <v>128</v>
      </c>
      <c r="M20" s="44" t="s">
        <v>146</v>
      </c>
      <c r="R20" s="1">
        <f>IF(vend9[[#This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11086</v>
      </c>
      <c r="L21" s="89" t="s">
        <v>128</v>
      </c>
      <c r="M21" s="44" t="s">
        <v>146</v>
      </c>
    </row>
    <row r="22" spans="2:18" ht="16.5" x14ac:dyDescent="0.3">
      <c r="B22" s="31" t="s">
        <v>25</v>
      </c>
      <c r="C22" s="34">
        <f>C5</f>
        <v>2641</v>
      </c>
      <c r="D22" s="30"/>
      <c r="E22" s="77"/>
      <c r="F22" s="76"/>
      <c r="G22" s="51"/>
      <c r="H22" s="39"/>
      <c r="I22" s="39"/>
      <c r="J22" s="30"/>
      <c r="K22" s="75">
        <v>11099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11111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11124</v>
      </c>
      <c r="L24" s="89" t="s">
        <v>128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11147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>
        <v>11038</v>
      </c>
      <c r="F26" s="76" t="s">
        <v>242</v>
      </c>
      <c r="G26" s="51" t="s">
        <v>8</v>
      </c>
      <c r="H26" s="39"/>
      <c r="I26" s="39">
        <v>240</v>
      </c>
      <c r="J26" s="30"/>
      <c r="K26" s="75">
        <v>11155</v>
      </c>
      <c r="L26" s="89" t="s">
        <v>128</v>
      </c>
      <c r="M26" s="44" t="s">
        <v>146</v>
      </c>
    </row>
    <row r="27" spans="2:18" ht="16.5" x14ac:dyDescent="0.3">
      <c r="B27" s="30"/>
      <c r="C27" s="30"/>
      <c r="D27" s="30"/>
      <c r="E27" s="75">
        <v>11099</v>
      </c>
      <c r="F27" s="76" t="s">
        <v>228</v>
      </c>
      <c r="G27" s="51" t="s">
        <v>7</v>
      </c>
      <c r="H27" s="39">
        <v>180</v>
      </c>
      <c r="I27" s="39">
        <v>180</v>
      </c>
      <c r="J27" s="30"/>
      <c r="K27" s="75">
        <v>11168</v>
      </c>
      <c r="L27" s="89" t="s">
        <v>128</v>
      </c>
      <c r="M27" s="44" t="s">
        <v>146</v>
      </c>
    </row>
    <row r="28" spans="2:18" ht="16.5" x14ac:dyDescent="0.3">
      <c r="B28" s="30"/>
      <c r="C28" s="30"/>
      <c r="D28" s="30"/>
      <c r="E28" s="75">
        <v>11111</v>
      </c>
      <c r="F28" s="76" t="s">
        <v>200</v>
      </c>
      <c r="G28" s="50" t="s">
        <v>6</v>
      </c>
      <c r="H28" s="39"/>
      <c r="I28" s="39">
        <v>20</v>
      </c>
      <c r="J28" s="30"/>
      <c r="K28" s="75">
        <v>11169</v>
      </c>
      <c r="L28" s="89" t="s">
        <v>128</v>
      </c>
      <c r="M28" s="44" t="s">
        <v>146</v>
      </c>
    </row>
    <row r="29" spans="2:18" ht="16.5" x14ac:dyDescent="0.3">
      <c r="B29" s="30"/>
      <c r="C29" s="30"/>
      <c r="D29" s="30"/>
      <c r="E29" s="75">
        <v>11155</v>
      </c>
      <c r="F29" s="76" t="s">
        <v>181</v>
      </c>
      <c r="G29" s="51" t="s">
        <v>7</v>
      </c>
      <c r="H29" s="39">
        <v>40</v>
      </c>
      <c r="I29" s="39">
        <v>40</v>
      </c>
      <c r="J29" s="30"/>
      <c r="K29" s="75">
        <v>11175</v>
      </c>
      <c r="L29" s="89" t="s">
        <v>130</v>
      </c>
      <c r="M29" s="44" t="s">
        <v>146</v>
      </c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10001</v>
      </c>
      <c r="F35" s="76" t="s">
        <v>204</v>
      </c>
      <c r="G35" s="51" t="s">
        <v>7</v>
      </c>
      <c r="H35" s="39">
        <v>97.15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10433</v>
      </c>
      <c r="F36" s="76" t="s">
        <v>208</v>
      </c>
      <c r="G36" s="51" t="s">
        <v>7</v>
      </c>
      <c r="H36" s="39">
        <v>49.85</v>
      </c>
      <c r="I36" s="39" t="s">
        <v>51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10433</v>
      </c>
      <c r="F37" s="76" t="s">
        <v>208</v>
      </c>
      <c r="G37" s="51" t="s">
        <v>7</v>
      </c>
      <c r="H37" s="39">
        <v>49.85</v>
      </c>
      <c r="I37" s="39" t="s">
        <v>45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81">
        <v>10433</v>
      </c>
      <c r="F38" s="76" t="s">
        <v>208</v>
      </c>
      <c r="G38" s="51" t="s">
        <v>7</v>
      </c>
      <c r="H38" s="39">
        <v>49.85</v>
      </c>
      <c r="I38" s="39" t="s">
        <v>37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10433</v>
      </c>
      <c r="F39" s="76" t="s">
        <v>208</v>
      </c>
      <c r="G39" s="51" t="s">
        <v>7</v>
      </c>
      <c r="H39" s="39">
        <v>49.85</v>
      </c>
      <c r="I39" s="39" t="s">
        <v>40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81">
        <v>10433</v>
      </c>
      <c r="F40" s="76" t="s">
        <v>208</v>
      </c>
      <c r="G40" s="51" t="s">
        <v>7</v>
      </c>
      <c r="H40" s="39">
        <v>49.85</v>
      </c>
      <c r="I40" s="39" t="s">
        <v>56</v>
      </c>
      <c r="J40" s="38"/>
      <c r="K40" s="77"/>
      <c r="L40" s="77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38"/>
      <c r="C41" s="38"/>
      <c r="D41" s="38"/>
      <c r="E41" s="75">
        <v>10433</v>
      </c>
      <c r="F41" s="76" t="s">
        <v>208</v>
      </c>
      <c r="G41" s="51" t="s">
        <v>7</v>
      </c>
      <c r="H41" s="39">
        <v>49.85</v>
      </c>
      <c r="I41" s="39" t="s">
        <v>57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88">
        <v>9092</v>
      </c>
      <c r="F42" s="42" t="s">
        <v>227</v>
      </c>
      <c r="G42" s="42" t="s">
        <v>7</v>
      </c>
      <c r="H42" s="43">
        <v>106</v>
      </c>
      <c r="I42" s="43" t="s">
        <v>44</v>
      </c>
      <c r="J42" s="38"/>
      <c r="K42" s="77"/>
      <c r="L42" s="75"/>
      <c r="M42" s="89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6" spans="2:18" ht="13.5" x14ac:dyDescent="0.25">
      <c r="K46" s="33"/>
      <c r="L46" s="33"/>
      <c r="M46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2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ADFF7E4-4584-48B2-844D-3DA81E973A80}">
          <x14:formula1>
            <xm:f>base!$E$2:$E$79</xm:f>
          </x14:formula1>
          <xm:sqref>I35:I42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K15:K31 E35:E42 K35:K42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6"/>
  <sheetViews>
    <sheetView showGridLines="0" view="pageBreakPreview" topLeftCell="C6" zoomScale="60" zoomScaleNormal="90" workbookViewId="0">
      <selection activeCell="M20" sqref="M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'09'!B1+1</f>
        <v>45818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1275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2304.27</v>
      </c>
      <c r="D6" s="30"/>
      <c r="E6" s="75">
        <v>11177</v>
      </c>
      <c r="F6" s="76" t="s">
        <v>233</v>
      </c>
      <c r="G6" s="50" t="s">
        <v>7</v>
      </c>
      <c r="H6" s="39">
        <v>290</v>
      </c>
      <c r="I6" s="39">
        <v>100</v>
      </c>
      <c r="J6" s="30"/>
      <c r="K6" s="76" t="s">
        <v>161</v>
      </c>
      <c r="L6" s="89" t="s">
        <v>10</v>
      </c>
      <c r="M6" s="44">
        <v>3.67</v>
      </c>
      <c r="R6" s="1">
        <f>IF(vend10[[#This Row],[Nº Venda]]&gt;1,1,0)</f>
        <v>1</v>
      </c>
    </row>
    <row r="7" spans="2:18" ht="16.5" x14ac:dyDescent="0.3">
      <c r="B7" s="28" t="s">
        <v>3</v>
      </c>
      <c r="C7" s="29">
        <f>SUM(M6:M11)</f>
        <v>146.66999999999999</v>
      </c>
      <c r="D7" s="30"/>
      <c r="E7" s="75">
        <v>11178</v>
      </c>
      <c r="F7" s="76" t="s">
        <v>229</v>
      </c>
      <c r="G7" s="50" t="s">
        <v>7</v>
      </c>
      <c r="H7" s="39">
        <v>35</v>
      </c>
      <c r="I7" s="39">
        <v>35</v>
      </c>
      <c r="J7" s="30"/>
      <c r="K7" s="76" t="s">
        <v>335</v>
      </c>
      <c r="L7" s="89" t="s">
        <v>6</v>
      </c>
      <c r="M7" s="44">
        <v>143</v>
      </c>
      <c r="R7" s="1">
        <f>IF(vend10[[#This Row],[Nº Venda]]&gt;1,1,0)</f>
        <v>1</v>
      </c>
    </row>
    <row r="8" spans="2:18" ht="16.5" x14ac:dyDescent="0.3">
      <c r="B8" s="31" t="s">
        <v>21</v>
      </c>
      <c r="C8" s="32">
        <f>SUM(C6:C7)</f>
        <v>2450.94</v>
      </c>
      <c r="D8" s="30"/>
      <c r="E8" s="75">
        <v>11179</v>
      </c>
      <c r="F8" s="76" t="s">
        <v>234</v>
      </c>
      <c r="G8" s="51" t="s">
        <v>8</v>
      </c>
      <c r="H8" s="39">
        <v>648</v>
      </c>
      <c r="I8" s="39">
        <v>648</v>
      </c>
      <c r="J8" s="30"/>
      <c r="K8" s="76"/>
      <c r="L8" s="89"/>
      <c r="M8" s="44"/>
      <c r="R8" s="1">
        <f>IF(vend10[[#This Row],[Nº Venda]]&gt;1,1,0)</f>
        <v>1</v>
      </c>
    </row>
    <row r="9" spans="2:18" ht="16.5" x14ac:dyDescent="0.3">
      <c r="B9" s="27"/>
      <c r="C9" s="27"/>
      <c r="D9" s="30"/>
      <c r="E9" s="75">
        <v>11180</v>
      </c>
      <c r="F9" s="76" t="s">
        <v>234</v>
      </c>
      <c r="G9" s="51" t="s">
        <v>8</v>
      </c>
      <c r="H9" s="39">
        <v>302</v>
      </c>
      <c r="I9" s="39">
        <v>302</v>
      </c>
      <c r="J9" s="30"/>
      <c r="K9" s="76"/>
      <c r="L9" s="89"/>
      <c r="M9" s="44"/>
      <c r="R9" s="1">
        <f>IF(vend10[[#This Row],[Nº Venda]]&gt;1,1,0)</f>
        <v>1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IF(vend10[[#This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(SUMIF($G$2:$G$31,B11,$I$2:$I$31))+(SUMIF($G$35:$G$42,B11,$H$35:$H$42))</f>
        <v>163.32999999999998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IF(vend10[[#This Row],[Nº Venda]]&gt;1,1,0)</f>
        <v>0</v>
      </c>
    </row>
    <row r="12" spans="2:18" ht="16.5" x14ac:dyDescent="0.3">
      <c r="B12" s="28" t="s">
        <v>7</v>
      </c>
      <c r="C12" s="69">
        <f>(SUMIF($G$2:$G$31,B12,$I$2:$I$31))+(SUMIF($G$35:$G$42,B12,$H$35:$H$42))</f>
        <v>425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IF(vend10[[#This Row],[Nº Venda]]&gt;1,1,0)</f>
        <v>0</v>
      </c>
    </row>
    <row r="13" spans="2:18" ht="16.5" x14ac:dyDescent="0.3">
      <c r="B13" s="28" t="s">
        <v>8</v>
      </c>
      <c r="C13" s="69">
        <f>(SUMIF($G$2:$G$31,B13,$I$2:$I$31))+(SUMIF($G$35:$G$42,B13,$H$35:$H$42))</f>
        <v>950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IF(vend10[[#This Row],[Nº Venda]]&gt;1,1,0)</f>
        <v>0</v>
      </c>
    </row>
    <row r="14" spans="2:18" ht="16.5" x14ac:dyDescent="0.3">
      <c r="B14" s="28" t="s">
        <v>9</v>
      </c>
      <c r="C14" s="69">
        <f>(SUMIF($G$2:$G$31,B14,$I$2:$I$31))+(SUMIF($G$35:$G$42,B14,$H$35:$H$42))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IF(vend10[[#This Row],[Nº Venda]]&gt;1,1,0)</f>
        <v>0</v>
      </c>
    </row>
    <row r="15" spans="2:18" ht="16.5" x14ac:dyDescent="0.3">
      <c r="B15" s="28" t="s">
        <v>10</v>
      </c>
      <c r="C15" s="69">
        <f>(SUMIF($G$2:$G$31,B15,$I$2:$I$31))+(SUMIF($G$35:$G$42,B15,$H$35:$H$42))</f>
        <v>765.93999999999994</v>
      </c>
      <c r="D15" s="30"/>
      <c r="E15" s="75"/>
      <c r="F15" s="76"/>
      <c r="G15" s="51"/>
      <c r="H15" s="39"/>
      <c r="I15" s="39"/>
      <c r="J15" s="30"/>
      <c r="K15" s="75">
        <v>11040</v>
      </c>
      <c r="L15" s="89" t="s">
        <v>128</v>
      </c>
      <c r="M15" s="44" t="s">
        <v>162</v>
      </c>
      <c r="R15" s="1">
        <f>IF(vend10[[#This Row],[Nº Venda]]&gt;1,1,0)</f>
        <v>0</v>
      </c>
    </row>
    <row r="16" spans="2:18" ht="16.5" x14ac:dyDescent="0.3">
      <c r="B16" s="31" t="s">
        <v>11</v>
      </c>
      <c r="C16" s="70">
        <f>SUM(C11:C15)</f>
        <v>2304.27</v>
      </c>
      <c r="D16" s="30"/>
      <c r="E16" s="75"/>
      <c r="F16" s="76"/>
      <c r="G16" s="51"/>
      <c r="H16" s="39"/>
      <c r="I16" s="39"/>
      <c r="J16" s="30"/>
      <c r="K16" s="75">
        <v>11121</v>
      </c>
      <c r="L16" s="89" t="s">
        <v>128</v>
      </c>
      <c r="M16" s="44" t="s">
        <v>146</v>
      </c>
      <c r="R16" s="1">
        <f>IF(vend10[[#This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11126</v>
      </c>
      <c r="L17" s="89" t="s">
        <v>128</v>
      </c>
      <c r="M17" s="44" t="s">
        <v>146</v>
      </c>
      <c r="R17" s="1">
        <f>IF(vend10[[#This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11130</v>
      </c>
      <c r="L18" s="89" t="s">
        <v>128</v>
      </c>
      <c r="M18" s="44" t="s">
        <v>162</v>
      </c>
      <c r="R18" s="1">
        <f>IF(vend10[[#This Row],[Nº Venda]]&gt;1,1,0)</f>
        <v>0</v>
      </c>
    </row>
    <row r="19" spans="2:18" ht="16.5" x14ac:dyDescent="0.3">
      <c r="B19" s="28">
        <f>COUNT(entr_carn10[OS])</f>
        <v>1</v>
      </c>
      <c r="C19" s="69">
        <f>SUM(entr_carn10[Valor Total])</f>
        <v>689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IF(vend10[[#This Row],[Nº Venda]]&gt;1,1,0)</f>
        <v>0</v>
      </c>
    </row>
    <row r="20" spans="2:18" ht="16.5" x14ac:dyDescent="0.3">
      <c r="B20" s="31" t="s">
        <v>11</v>
      </c>
      <c r="C20" s="70">
        <f>SUM(C19:C19)</f>
        <v>689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IF(vend10[[#This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1275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11040</v>
      </c>
      <c r="F26" s="76" t="s">
        <v>235</v>
      </c>
      <c r="G26" s="50" t="s">
        <v>6</v>
      </c>
      <c r="H26" s="39"/>
      <c r="I26" s="39">
        <v>100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0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0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45"/>
      <c r="F32" s="46"/>
      <c r="G32" s="46"/>
      <c r="H32" s="47"/>
      <c r="I32" s="59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1" t="s">
        <v>142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83" t="s">
        <v>22</v>
      </c>
      <c r="F34" s="84" t="s">
        <v>15</v>
      </c>
      <c r="G34" s="85" t="s">
        <v>16</v>
      </c>
      <c r="H34" s="86" t="s">
        <v>26</v>
      </c>
      <c r="I34" s="87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9980</v>
      </c>
      <c r="F35" s="76" t="s">
        <v>237</v>
      </c>
      <c r="G35" s="51" t="s">
        <v>10</v>
      </c>
      <c r="H35" s="39">
        <v>100</v>
      </c>
      <c r="I35" s="39" t="s">
        <v>56</v>
      </c>
      <c r="J35" s="38"/>
      <c r="K35" s="75">
        <v>11040</v>
      </c>
      <c r="L35" s="75">
        <v>8</v>
      </c>
      <c r="M35" s="89">
        <v>689</v>
      </c>
    </row>
    <row r="36" spans="2:18" ht="16.5" customHeight="1" x14ac:dyDescent="0.25">
      <c r="B36" s="38"/>
      <c r="C36" s="38"/>
      <c r="D36" s="38"/>
      <c r="E36" s="77">
        <v>10041</v>
      </c>
      <c r="F36" s="76" t="s">
        <v>241</v>
      </c>
      <c r="G36" s="51" t="s">
        <v>10</v>
      </c>
      <c r="H36" s="39">
        <v>200</v>
      </c>
      <c r="I36" s="39" t="s">
        <v>52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10058</v>
      </c>
      <c r="F37" s="76" t="s">
        <v>230</v>
      </c>
      <c r="G37" s="51" t="s">
        <v>7</v>
      </c>
      <c r="H37" s="39">
        <v>290</v>
      </c>
      <c r="I37" s="39" t="s">
        <v>93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10210</v>
      </c>
      <c r="F38" s="76" t="s">
        <v>240</v>
      </c>
      <c r="G38" s="51" t="s">
        <v>10</v>
      </c>
      <c r="H38" s="39">
        <v>161</v>
      </c>
      <c r="I38" s="39" t="s">
        <v>93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82">
        <v>10757</v>
      </c>
      <c r="F39" s="76" t="s">
        <v>236</v>
      </c>
      <c r="G39" s="51" t="s">
        <v>6</v>
      </c>
      <c r="H39" s="39">
        <v>63.33</v>
      </c>
      <c r="I39" s="39" t="s">
        <v>38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>
        <v>10811</v>
      </c>
      <c r="F40" s="78" t="s">
        <v>226</v>
      </c>
      <c r="G40" s="42" t="s">
        <v>10</v>
      </c>
      <c r="H40" s="43">
        <v>134.05000000000001</v>
      </c>
      <c r="I40" s="39" t="s">
        <v>41</v>
      </c>
      <c r="J40" s="38"/>
      <c r="K40" s="77"/>
      <c r="L40" s="77"/>
      <c r="M40" s="90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77">
        <v>10922</v>
      </c>
      <c r="F41" s="42" t="s">
        <v>238</v>
      </c>
      <c r="G41" s="42" t="s">
        <v>10</v>
      </c>
      <c r="H41" s="43">
        <v>50.9</v>
      </c>
      <c r="I41" s="39" t="s">
        <v>88</v>
      </c>
      <c r="J41" s="38"/>
      <c r="K41" s="75"/>
      <c r="L41" s="75"/>
      <c r="M41" s="90"/>
    </row>
    <row r="42" spans="2:18" ht="13.5" x14ac:dyDescent="0.25">
      <c r="B42" s="38"/>
      <c r="C42" s="38"/>
      <c r="D42" s="38"/>
      <c r="E42" s="77">
        <v>11004</v>
      </c>
      <c r="F42" s="78" t="s">
        <v>239</v>
      </c>
      <c r="G42" s="42" t="s">
        <v>10</v>
      </c>
      <c r="H42" s="43">
        <v>119.99</v>
      </c>
      <c r="I42" s="39" t="s">
        <v>66</v>
      </c>
      <c r="J42" s="38"/>
      <c r="K42" s="77"/>
      <c r="L42" s="75"/>
      <c r="M42" s="89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6" spans="2:18" ht="13.5" x14ac:dyDescent="0.25">
      <c r="K46" s="33"/>
      <c r="L46" s="33"/>
      <c r="M46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2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K15:K31 E34:E42 K35:K42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G26:G31 G35:G42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view="pageBreakPreview" topLeftCell="B11" zoomScale="60" zoomScaleNormal="90" workbookViewId="0">
      <selection activeCell="K7" sqref="K7:M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'10'!B1+1</f>
        <v>45819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6739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9229</v>
      </c>
      <c r="D6" s="30"/>
      <c r="E6" s="75">
        <v>11181</v>
      </c>
      <c r="F6" s="76" t="s">
        <v>219</v>
      </c>
      <c r="G6" s="51" t="s">
        <v>6</v>
      </c>
      <c r="H6" s="39">
        <v>799</v>
      </c>
      <c r="I6" s="39">
        <v>100</v>
      </c>
      <c r="J6" s="30"/>
      <c r="K6" s="76" t="s">
        <v>335</v>
      </c>
      <c r="L6" s="89" t="s">
        <v>6</v>
      </c>
      <c r="M6" s="44">
        <v>100</v>
      </c>
      <c r="R6" s="1">
        <f>IF(vend11[[#This Row],[Nº Venda]]&gt;1,1,0)</f>
        <v>1</v>
      </c>
    </row>
    <row r="7" spans="2:18" ht="16.5" x14ac:dyDescent="0.3">
      <c r="B7" s="28" t="s">
        <v>3</v>
      </c>
      <c r="C7" s="29">
        <f>SUM(M6:M11)</f>
        <v>100</v>
      </c>
      <c r="D7" s="30"/>
      <c r="E7" s="75">
        <v>11182</v>
      </c>
      <c r="F7" s="76" t="s">
        <v>216</v>
      </c>
      <c r="G7" s="51" t="s">
        <v>8</v>
      </c>
      <c r="H7" s="39">
        <v>1099</v>
      </c>
      <c r="I7" s="39">
        <v>1099</v>
      </c>
      <c r="J7" s="30"/>
      <c r="K7" s="76"/>
      <c r="L7" s="89"/>
      <c r="M7" s="44"/>
      <c r="R7" s="1">
        <f>IF(vend11[[#This Row],[Nº Venda]]&gt;1,1,0)</f>
        <v>1</v>
      </c>
    </row>
    <row r="8" spans="2:18" ht="16.5" x14ac:dyDescent="0.3">
      <c r="B8" s="31" t="s">
        <v>21</v>
      </c>
      <c r="C8" s="32">
        <f>SUM(C6:C7)</f>
        <v>9329</v>
      </c>
      <c r="D8" s="30"/>
      <c r="E8" s="75">
        <v>11183</v>
      </c>
      <c r="F8" s="76" t="s">
        <v>216</v>
      </c>
      <c r="G8" s="51" t="s">
        <v>8</v>
      </c>
      <c r="H8" s="39">
        <v>391</v>
      </c>
      <c r="I8" s="39">
        <v>391</v>
      </c>
      <c r="J8" s="30"/>
      <c r="K8" s="76"/>
      <c r="L8" s="89"/>
      <c r="M8" s="44"/>
      <c r="R8" s="1">
        <f>IF(vend11[[#This Row],[Nº Venda]]&gt;1,1,0)</f>
        <v>1</v>
      </c>
    </row>
    <row r="9" spans="2:18" ht="16.5" x14ac:dyDescent="0.3">
      <c r="B9" s="27"/>
      <c r="C9" s="27"/>
      <c r="D9" s="30"/>
      <c r="E9" s="75">
        <v>11184</v>
      </c>
      <c r="F9" s="76" t="s">
        <v>216</v>
      </c>
      <c r="G9" s="51" t="s">
        <v>46</v>
      </c>
      <c r="H9" s="39">
        <v>0</v>
      </c>
      <c r="I9" s="39">
        <v>0</v>
      </c>
      <c r="J9" s="30"/>
      <c r="K9" s="76"/>
      <c r="L9" s="89"/>
      <c r="M9" s="44"/>
      <c r="R9" s="1">
        <f>IF(vend11[[#This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11185</v>
      </c>
      <c r="F10" s="76" t="s">
        <v>217</v>
      </c>
      <c r="G10" s="51" t="s">
        <v>8</v>
      </c>
      <c r="H10" s="39">
        <v>2190</v>
      </c>
      <c r="I10" s="39">
        <v>2190</v>
      </c>
      <c r="J10" s="30"/>
      <c r="K10" s="76"/>
      <c r="L10" s="89"/>
      <c r="M10" s="44"/>
      <c r="R10" s="1">
        <f>IF(vend11[[#This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100</v>
      </c>
      <c r="D11" s="30"/>
      <c r="E11" s="75">
        <v>11186</v>
      </c>
      <c r="F11" s="76" t="s">
        <v>217</v>
      </c>
      <c r="G11" s="51" t="s">
        <v>46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>
        <v>11187</v>
      </c>
      <c r="F12" s="76" t="s">
        <v>221</v>
      </c>
      <c r="G12" s="51" t="s">
        <v>36</v>
      </c>
      <c r="H12" s="39">
        <v>0</v>
      </c>
      <c r="I12" s="39">
        <v>0</v>
      </c>
      <c r="J12" s="30"/>
      <c r="K12" s="33"/>
      <c r="L12" s="33"/>
      <c r="M12" s="33"/>
      <c r="R12" s="1">
        <f>IF(vend11[[#This Row],[Nº Venda]]&gt;1,1,0)</f>
        <v>1</v>
      </c>
    </row>
    <row r="13" spans="2:18" ht="16.5" x14ac:dyDescent="0.3">
      <c r="B13" s="28" t="s">
        <v>8</v>
      </c>
      <c r="C13" s="69">
        <f t="shared" si="0"/>
        <v>8969</v>
      </c>
      <c r="D13" s="30"/>
      <c r="E13" s="75">
        <v>11188</v>
      </c>
      <c r="F13" s="76" t="s">
        <v>222</v>
      </c>
      <c r="G13" s="51" t="s">
        <v>10</v>
      </c>
      <c r="H13" s="39">
        <v>160</v>
      </c>
      <c r="I13" s="39">
        <v>160</v>
      </c>
      <c r="J13" s="30"/>
      <c r="K13" s="102" t="s">
        <v>141</v>
      </c>
      <c r="L13" s="103"/>
      <c r="M13" s="104"/>
      <c r="R13" s="1">
        <f>IF(vend11[[#This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11189</v>
      </c>
      <c r="F14" s="76" t="s">
        <v>223</v>
      </c>
      <c r="G14" s="51" t="s">
        <v>36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IF(vend11[[#This Row],[Nº Venda]]&gt;1,1,0)</f>
        <v>1</v>
      </c>
    </row>
    <row r="15" spans="2:18" ht="16.5" x14ac:dyDescent="0.3">
      <c r="B15" s="28" t="s">
        <v>10</v>
      </c>
      <c r="C15" s="69">
        <f t="shared" si="0"/>
        <v>160</v>
      </c>
      <c r="D15" s="30"/>
      <c r="E15" s="75">
        <v>11190</v>
      </c>
      <c r="F15" s="76" t="s">
        <v>224</v>
      </c>
      <c r="G15" s="51" t="s">
        <v>8</v>
      </c>
      <c r="H15" s="39">
        <v>2100</v>
      </c>
      <c r="I15" s="39">
        <v>2100</v>
      </c>
      <c r="J15" s="30"/>
      <c r="K15" s="75">
        <v>10939</v>
      </c>
      <c r="L15" s="89" t="s">
        <v>128</v>
      </c>
      <c r="M15" s="44" t="s">
        <v>146</v>
      </c>
      <c r="R15" s="1">
        <f>IF(vend11[[#This Row],[Nº Venda]]&gt;1,1,0)</f>
        <v>1</v>
      </c>
    </row>
    <row r="16" spans="2:18" ht="16.5" x14ac:dyDescent="0.3">
      <c r="B16" s="31" t="s">
        <v>11</v>
      </c>
      <c r="C16" s="70">
        <f>SUM(C11:C15)</f>
        <v>9229</v>
      </c>
      <c r="D16" s="30"/>
      <c r="E16" s="75"/>
      <c r="F16" s="76"/>
      <c r="G16" s="51"/>
      <c r="H16" s="39"/>
      <c r="I16" s="39"/>
      <c r="J16" s="30"/>
      <c r="K16" s="75">
        <v>10955</v>
      </c>
      <c r="L16" s="89" t="s">
        <v>134</v>
      </c>
      <c r="M16" s="44" t="s">
        <v>162</v>
      </c>
      <c r="R16" s="1">
        <f>IF(vend11[[#This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10957</v>
      </c>
      <c r="L17" s="89" t="s">
        <v>134</v>
      </c>
      <c r="M17" s="44" t="s">
        <v>162</v>
      </c>
      <c r="R17" s="1">
        <f>IF(vend11[[#This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11063</v>
      </c>
      <c r="L18" s="89" t="s">
        <v>134</v>
      </c>
      <c r="M18" s="44" t="s">
        <v>146</v>
      </c>
      <c r="R18" s="1">
        <f>IF(vend11[[#This Row],[Nº Venda]]&gt;1,1,0)</f>
        <v>0</v>
      </c>
    </row>
    <row r="19" spans="2:18" ht="16.5" x14ac:dyDescent="0.3">
      <c r="B19" s="28">
        <f>COUNT(entr_carn11[OS])</f>
        <v>0</v>
      </c>
      <c r="C19" s="69">
        <f>SUM(entr_carn11[Valor Total])</f>
        <v>0</v>
      </c>
      <c r="D19" s="30"/>
      <c r="E19" s="75"/>
      <c r="F19" s="76"/>
      <c r="G19" s="51"/>
      <c r="H19" s="39"/>
      <c r="I19" s="39"/>
      <c r="J19" s="30"/>
      <c r="K19" s="75">
        <v>11066</v>
      </c>
      <c r="L19" s="89" t="s">
        <v>134</v>
      </c>
      <c r="M19" s="44" t="s">
        <v>146</v>
      </c>
      <c r="R19" s="1">
        <f>IF(vend11[[#This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11102</v>
      </c>
      <c r="L20" s="89" t="s">
        <v>128</v>
      </c>
      <c r="M20" s="44" t="s">
        <v>146</v>
      </c>
      <c r="R20" s="1">
        <f>IF(vend11[[#This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11129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6739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11063</v>
      </c>
      <c r="F26" s="76" t="s">
        <v>218</v>
      </c>
      <c r="G26" s="51" t="s">
        <v>8</v>
      </c>
      <c r="H26" s="39"/>
      <c r="I26" s="39">
        <v>1740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11066</v>
      </c>
      <c r="F27" s="76" t="s">
        <v>218</v>
      </c>
      <c r="G27" s="51" t="s">
        <v>8</v>
      </c>
      <c r="H27" s="39"/>
      <c r="I27" s="39">
        <v>339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11102</v>
      </c>
      <c r="F28" s="76" t="s">
        <v>220</v>
      </c>
      <c r="G28" s="51" t="s">
        <v>8</v>
      </c>
      <c r="H28" s="39"/>
      <c r="I28" s="39">
        <v>490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11148</v>
      </c>
      <c r="F29" s="76" t="s">
        <v>167</v>
      </c>
      <c r="G29" s="50" t="s">
        <v>8</v>
      </c>
      <c r="H29" s="39"/>
      <c r="I29" s="39">
        <v>620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view="pageBreakPreview" topLeftCell="A7" zoomScale="60" zoomScaleNormal="90" workbookViewId="0">
      <selection activeCell="L6" sqref="L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'11'!B1+1</f>
        <v>45820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490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2303.1</v>
      </c>
      <c r="D6" s="30"/>
      <c r="E6" s="75">
        <v>11191</v>
      </c>
      <c r="F6" s="48" t="s">
        <v>244</v>
      </c>
      <c r="G6" s="48" t="s">
        <v>8</v>
      </c>
      <c r="H6" s="49">
        <v>490</v>
      </c>
      <c r="I6" s="49">
        <v>490</v>
      </c>
      <c r="J6" s="30"/>
      <c r="K6" s="76" t="s">
        <v>371</v>
      </c>
      <c r="L6" s="89" t="s">
        <v>10</v>
      </c>
      <c r="M6" s="44">
        <v>3.11</v>
      </c>
      <c r="R6" s="1">
        <f>IF(vend12[[#This Row],[Nº Venda]]&gt;1,1,0)</f>
        <v>1</v>
      </c>
    </row>
    <row r="7" spans="2:18" ht="16.5" x14ac:dyDescent="0.3">
      <c r="B7" s="28" t="s">
        <v>3</v>
      </c>
      <c r="C7" s="29">
        <f>SUM(M6:M11)</f>
        <v>3.11</v>
      </c>
      <c r="D7" s="30"/>
      <c r="E7" s="75"/>
      <c r="F7" s="50"/>
      <c r="G7" s="50"/>
      <c r="H7" s="39"/>
      <c r="I7" s="39"/>
      <c r="J7" s="30"/>
      <c r="K7" s="76"/>
      <c r="L7" s="89"/>
      <c r="M7" s="44"/>
      <c r="R7" s="1">
        <f>IF(vend12[[#This Row],[Nº Venda]]&gt;1,1,0)</f>
        <v>0</v>
      </c>
    </row>
    <row r="8" spans="2:18" ht="16.5" x14ac:dyDescent="0.3">
      <c r="B8" s="31" t="s">
        <v>21</v>
      </c>
      <c r="C8" s="32">
        <f>SUM(C6:C7)</f>
        <v>2306.21</v>
      </c>
      <c r="D8" s="30"/>
      <c r="E8" s="75"/>
      <c r="F8" s="50"/>
      <c r="G8" s="50"/>
      <c r="H8" s="39"/>
      <c r="I8" s="39"/>
      <c r="J8" s="30"/>
      <c r="K8" s="76"/>
      <c r="L8" s="89"/>
      <c r="M8" s="44"/>
      <c r="R8" s="1">
        <f>IF(vend12[[#This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IF(vend12[[#This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IF(vend12[[#This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IF(vend12[[#This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543.85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IF(vend12[[#This Row],[Nº Venda]]&gt;1,1,0)</f>
        <v>0</v>
      </c>
    </row>
    <row r="13" spans="2:18" ht="16.5" x14ac:dyDescent="0.3">
      <c r="B13" s="28" t="s">
        <v>8</v>
      </c>
      <c r="C13" s="69">
        <f t="shared" si="0"/>
        <v>490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IF(vend12[[#This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IF(vend12[[#This Row],[Nº Venda]]&gt;1,1,0)</f>
        <v>0</v>
      </c>
    </row>
    <row r="15" spans="2:18" ht="16.5" x14ac:dyDescent="0.3">
      <c r="B15" s="28" t="s">
        <v>10</v>
      </c>
      <c r="C15" s="69">
        <f t="shared" si="0"/>
        <v>1269.25</v>
      </c>
      <c r="D15" s="30"/>
      <c r="E15" s="75"/>
      <c r="F15" s="76"/>
      <c r="G15" s="51"/>
      <c r="H15" s="39"/>
      <c r="I15" s="39"/>
      <c r="J15" s="30"/>
      <c r="K15" s="75">
        <v>11003</v>
      </c>
      <c r="L15" s="89" t="s">
        <v>130</v>
      </c>
      <c r="M15" s="44" t="s">
        <v>162</v>
      </c>
      <c r="R15" s="1">
        <f>IF(vend12[[#This Row],[Nº Venda]]&gt;1,1,0)</f>
        <v>0</v>
      </c>
    </row>
    <row r="16" spans="2:18" ht="16.5" x14ac:dyDescent="0.3">
      <c r="B16" s="31" t="s">
        <v>11</v>
      </c>
      <c r="C16" s="70">
        <f>SUM(C11:C15)</f>
        <v>2303.1</v>
      </c>
      <c r="D16" s="30"/>
      <c r="E16" s="75"/>
      <c r="F16" s="76"/>
      <c r="G16" s="51"/>
      <c r="H16" s="39"/>
      <c r="I16" s="39"/>
      <c r="J16" s="30"/>
      <c r="K16" s="75">
        <v>11008</v>
      </c>
      <c r="L16" s="89" t="s">
        <v>128</v>
      </c>
      <c r="M16" s="44" t="s">
        <v>146</v>
      </c>
      <c r="R16" s="1">
        <f>IF(vend12[[#This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11115</v>
      </c>
      <c r="L17" s="89" t="s">
        <v>128</v>
      </c>
      <c r="M17" s="44" t="s">
        <v>146</v>
      </c>
      <c r="R17" s="1">
        <f>IF(vend12[[#This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11125</v>
      </c>
      <c r="L18" s="89" t="s">
        <v>128</v>
      </c>
      <c r="M18" s="44" t="s">
        <v>146</v>
      </c>
      <c r="R18" s="1">
        <f>IF(vend12[[#This Row],[Nº Venda]]&gt;1,1,0)</f>
        <v>0</v>
      </c>
    </row>
    <row r="19" spans="2:18" ht="16.5" x14ac:dyDescent="0.3">
      <c r="B19" s="28">
        <f>COUNT(entr_carn12[OS])</f>
        <v>1</v>
      </c>
      <c r="C19" s="69">
        <f>SUM(entr_carn12[Valor Total])</f>
        <v>710</v>
      </c>
      <c r="D19" s="30"/>
      <c r="E19" s="75"/>
      <c r="F19" s="76"/>
      <c r="G19" s="51"/>
      <c r="H19" s="39"/>
      <c r="I19" s="39"/>
      <c r="J19" s="30"/>
      <c r="K19" s="75">
        <v>11131</v>
      </c>
      <c r="L19" s="89" t="s">
        <v>128</v>
      </c>
      <c r="M19" s="44" t="s">
        <v>146</v>
      </c>
      <c r="R19" s="1">
        <f>IF(vend12[[#This Row],[Nº Venda]]&gt;1,1,0)</f>
        <v>0</v>
      </c>
    </row>
    <row r="20" spans="2:18" ht="16.5" x14ac:dyDescent="0.3">
      <c r="B20" s="31" t="s">
        <v>11</v>
      </c>
      <c r="C20" s="70">
        <f>SUM(C19:C19)</f>
        <v>710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490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11115</v>
      </c>
      <c r="F26" s="76" t="s">
        <v>247</v>
      </c>
      <c r="G26" s="51" t="s">
        <v>7</v>
      </c>
      <c r="H26" s="39"/>
      <c r="I26" s="39">
        <v>249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11162</v>
      </c>
      <c r="F27" s="50" t="s">
        <v>194</v>
      </c>
      <c r="G27" s="50" t="s">
        <v>10</v>
      </c>
      <c r="H27" s="39"/>
      <c r="I27" s="39">
        <v>500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11163</v>
      </c>
      <c r="F28" s="76" t="s">
        <v>194</v>
      </c>
      <c r="G28" s="51" t="s">
        <v>10</v>
      </c>
      <c r="H28" s="39"/>
      <c r="I28" s="39">
        <v>400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10012</v>
      </c>
      <c r="F35" s="51" t="s">
        <v>249</v>
      </c>
      <c r="G35" s="51" t="s">
        <v>10</v>
      </c>
      <c r="H35" s="39">
        <v>243.75</v>
      </c>
      <c r="I35" s="39" t="s">
        <v>47</v>
      </c>
      <c r="J35" s="38"/>
      <c r="K35" s="75">
        <v>11003</v>
      </c>
      <c r="L35" s="75">
        <v>7</v>
      </c>
      <c r="M35" s="89">
        <v>710</v>
      </c>
    </row>
    <row r="36" spans="2:18" ht="16.5" customHeight="1" x14ac:dyDescent="0.25">
      <c r="B36" s="38"/>
      <c r="C36" s="38"/>
      <c r="D36" s="38"/>
      <c r="E36" s="77">
        <v>10442</v>
      </c>
      <c r="F36" s="76" t="s">
        <v>245</v>
      </c>
      <c r="G36" s="51" t="s">
        <v>10</v>
      </c>
      <c r="H36" s="39">
        <v>125.5</v>
      </c>
      <c r="I36" s="39" t="s">
        <v>91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10787</v>
      </c>
      <c r="F37" s="76" t="s">
        <v>246</v>
      </c>
      <c r="G37" s="51" t="s">
        <v>7</v>
      </c>
      <c r="H37" s="39">
        <v>96</v>
      </c>
      <c r="I37" s="39" t="s">
        <v>43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10787</v>
      </c>
      <c r="F38" s="76" t="s">
        <v>246</v>
      </c>
      <c r="G38" s="51" t="s">
        <v>7</v>
      </c>
      <c r="H38" s="39">
        <v>96</v>
      </c>
      <c r="I38" s="39" t="s">
        <v>74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11003</v>
      </c>
      <c r="F39" s="76" t="s">
        <v>248</v>
      </c>
      <c r="G39" s="51" t="s">
        <v>7</v>
      </c>
      <c r="H39" s="39">
        <v>102.85</v>
      </c>
      <c r="I39" s="39" t="s">
        <v>32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tabSelected="1" view="pageBreakPreview" topLeftCell="A6" zoomScale="60" zoomScaleNormal="90" workbookViewId="0">
      <selection activeCell="M26" sqref="L26:M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'12'!B1+1</f>
        <v>45821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SUMIF(I6:I30,"&gt;0",H6:H30)</f>
        <v>2538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3557</v>
      </c>
      <c r="D6" s="30"/>
      <c r="E6" s="75">
        <v>11192</v>
      </c>
      <c r="F6" s="76" t="s">
        <v>252</v>
      </c>
      <c r="G6" s="51" t="s">
        <v>6</v>
      </c>
      <c r="H6" s="39">
        <v>350</v>
      </c>
      <c r="I6" s="39">
        <v>150</v>
      </c>
      <c r="J6" s="30"/>
      <c r="K6" s="76" t="s">
        <v>161</v>
      </c>
      <c r="L6" s="89" t="s">
        <v>10</v>
      </c>
      <c r="M6" s="44">
        <v>3.78</v>
      </c>
      <c r="R6" s="1">
        <f>IF(vend13[[#This Row],[Nº Venda]]&gt;1,1,0)</f>
        <v>1</v>
      </c>
    </row>
    <row r="7" spans="2:18" ht="16.5" x14ac:dyDescent="0.3">
      <c r="B7" s="28" t="s">
        <v>3</v>
      </c>
      <c r="C7" s="29">
        <f>SUM(M6:M11)</f>
        <v>10.57</v>
      </c>
      <c r="D7" s="30"/>
      <c r="E7" s="75">
        <v>11193</v>
      </c>
      <c r="F7" s="76" t="s">
        <v>253</v>
      </c>
      <c r="G7" s="51" t="s">
        <v>6</v>
      </c>
      <c r="H7" s="39">
        <v>40</v>
      </c>
      <c r="I7" s="39">
        <v>20</v>
      </c>
      <c r="J7" s="30"/>
      <c r="K7" s="76" t="s">
        <v>251</v>
      </c>
      <c r="L7" s="89" t="s">
        <v>10</v>
      </c>
      <c r="M7" s="44">
        <v>6.79</v>
      </c>
      <c r="R7" s="1">
        <f>IF(vend13[[#This Row],[Nº Venda]]&gt;1,1,0)</f>
        <v>1</v>
      </c>
    </row>
    <row r="8" spans="2:18" ht="16.5" x14ac:dyDescent="0.3">
      <c r="B8" s="31" t="s">
        <v>21</v>
      </c>
      <c r="C8" s="32">
        <f>SUM(C6:C7)</f>
        <v>3567.57</v>
      </c>
      <c r="D8" s="30"/>
      <c r="E8" s="75">
        <v>11194</v>
      </c>
      <c r="F8" s="76" t="s">
        <v>254</v>
      </c>
      <c r="G8" s="51" t="s">
        <v>7</v>
      </c>
      <c r="H8" s="39">
        <v>1899</v>
      </c>
      <c r="I8" s="39">
        <v>1899</v>
      </c>
      <c r="J8" s="30"/>
      <c r="K8" s="76"/>
      <c r="L8" s="89"/>
      <c r="M8" s="44"/>
      <c r="R8" s="1">
        <f>IF(vend13[[#This Row],[Nº Venda]]&gt;1,1,0)</f>
        <v>1</v>
      </c>
    </row>
    <row r="9" spans="2:18" ht="16.5" x14ac:dyDescent="0.3">
      <c r="B9" s="27"/>
      <c r="C9" s="27"/>
      <c r="D9" s="30"/>
      <c r="E9" s="75">
        <v>11195</v>
      </c>
      <c r="F9" s="76" t="s">
        <v>245</v>
      </c>
      <c r="G9" s="51" t="s">
        <v>36</v>
      </c>
      <c r="H9" s="39">
        <v>0</v>
      </c>
      <c r="I9" s="39">
        <v>0</v>
      </c>
      <c r="J9" s="30"/>
      <c r="K9" s="76"/>
      <c r="L9" s="89"/>
      <c r="M9" s="44"/>
      <c r="R9" s="1">
        <f>IF(vend13[[#This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11196</v>
      </c>
      <c r="F10" s="76" t="s">
        <v>245</v>
      </c>
      <c r="G10" s="51" t="s">
        <v>36</v>
      </c>
      <c r="H10" s="39">
        <v>0</v>
      </c>
      <c r="I10" s="39">
        <v>0</v>
      </c>
      <c r="J10" s="30"/>
      <c r="K10" s="76"/>
      <c r="L10" s="89"/>
      <c r="M10" s="44"/>
      <c r="R10" s="1">
        <f>IF(vend13[[#This Row],[Nº Venda]]&gt;1,1,0)</f>
        <v>1</v>
      </c>
    </row>
    <row r="11" spans="2:18" ht="16.5" x14ac:dyDescent="0.3">
      <c r="B11" s="28" t="s">
        <v>6</v>
      </c>
      <c r="C11" s="69">
        <f>(SUMIF($G$2:$G$30,B11,$I$2:$I$30))+(SUMIF($G$34:$G$40,B11,$H$34:$H$40))</f>
        <v>220</v>
      </c>
      <c r="D11" s="30"/>
      <c r="E11" s="75">
        <v>11197</v>
      </c>
      <c r="F11" s="76" t="s">
        <v>245</v>
      </c>
      <c r="G11" s="51" t="s">
        <v>36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IF(vend13[[#This Row],[Nº Venda]]&gt;1,1,0)</f>
        <v>1</v>
      </c>
    </row>
    <row r="12" spans="2:18" ht="16.5" x14ac:dyDescent="0.3">
      <c r="B12" s="28" t="s">
        <v>7</v>
      </c>
      <c r="C12" s="69">
        <f>(SUMIF($G$2:$G$30,B12,$I$2:$I$30))+(SUMIF($G$34:$G$40,B12,$H$34:$H$40))</f>
        <v>1899</v>
      </c>
      <c r="D12" s="30"/>
      <c r="E12" s="75">
        <v>11198</v>
      </c>
      <c r="F12" s="76" t="s">
        <v>245</v>
      </c>
      <c r="G12" s="51" t="s">
        <v>6</v>
      </c>
      <c r="H12" s="39">
        <v>50</v>
      </c>
      <c r="I12" s="39">
        <v>50</v>
      </c>
      <c r="J12" s="30"/>
      <c r="K12" s="33"/>
      <c r="L12" s="33"/>
      <c r="M12" s="33"/>
      <c r="R12" s="1">
        <f>IF(vend13[[#This Row],[Nº Venda]]&gt;1,1,0)</f>
        <v>1</v>
      </c>
    </row>
    <row r="13" spans="2:18" ht="16.5" x14ac:dyDescent="0.3">
      <c r="B13" s="28" t="s">
        <v>8</v>
      </c>
      <c r="C13" s="69">
        <f>(SUMIF($G$2:$G$30,B13,$I$2:$I$30))+(SUMIF($G$34:$G$40,B13,$H$34:$H$40))</f>
        <v>1299</v>
      </c>
      <c r="D13" s="30"/>
      <c r="E13" s="75">
        <v>11199</v>
      </c>
      <c r="F13" s="76" t="s">
        <v>257</v>
      </c>
      <c r="G13" s="51" t="s">
        <v>10</v>
      </c>
      <c r="H13" s="39">
        <v>199</v>
      </c>
      <c r="I13" s="39">
        <v>50</v>
      </c>
      <c r="J13" s="30"/>
      <c r="K13" s="102" t="s">
        <v>141</v>
      </c>
      <c r="L13" s="103"/>
      <c r="M13" s="104"/>
      <c r="R13" s="1">
        <f>IF(vend13[[#This Row],[Nº Venda]]&gt;1,1,0)</f>
        <v>1</v>
      </c>
    </row>
    <row r="14" spans="2:18" ht="16.5" x14ac:dyDescent="0.3">
      <c r="B14" s="28" t="s">
        <v>9</v>
      </c>
      <c r="C14" s="69">
        <f>(SUMIF($G$2:$G$30,B14,$I$2:$I$30))+(SUMIF($G$34:$G$40,B14,$H$34:$H$40))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IF(vend13[[#This Row],[Nº Venda]]&gt;1,1,0)</f>
        <v>0</v>
      </c>
    </row>
    <row r="15" spans="2:18" ht="16.5" x14ac:dyDescent="0.3">
      <c r="B15" s="28" t="s">
        <v>10</v>
      </c>
      <c r="C15" s="69">
        <f>(SUMIF($G$2:$G$30,B15,$I$2:$I$30))+(SUMIF($G$34:$G$40,B15,$H$34:$H$40))</f>
        <v>139</v>
      </c>
      <c r="D15" s="30"/>
      <c r="E15" s="75"/>
      <c r="F15" s="76"/>
      <c r="G15" s="51"/>
      <c r="H15" s="39"/>
      <c r="I15" s="39"/>
      <c r="J15" s="30"/>
      <c r="K15" s="75">
        <v>10950</v>
      </c>
      <c r="L15" s="89" t="s">
        <v>130</v>
      </c>
      <c r="M15" s="44" t="s">
        <v>146</v>
      </c>
      <c r="R15" s="1">
        <f>IF(vend13[[#This Row],[Nº Venda]]&gt;1,1,0)</f>
        <v>0</v>
      </c>
    </row>
    <row r="16" spans="2:18" ht="16.5" x14ac:dyDescent="0.3">
      <c r="B16" s="31" t="s">
        <v>11</v>
      </c>
      <c r="C16" s="70">
        <f>SUM(C11:C15)</f>
        <v>3557</v>
      </c>
      <c r="D16" s="30"/>
      <c r="E16" s="75"/>
      <c r="F16" s="76"/>
      <c r="G16" s="51"/>
      <c r="H16" s="39"/>
      <c r="I16" s="39"/>
      <c r="J16" s="30"/>
      <c r="K16" s="75">
        <v>10979</v>
      </c>
      <c r="L16" s="89" t="s">
        <v>134</v>
      </c>
      <c r="M16" s="44" t="s">
        <v>162</v>
      </c>
      <c r="R16" s="1">
        <f>IF(vend13[[#This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11022</v>
      </c>
      <c r="L17" s="89" t="s">
        <v>128</v>
      </c>
      <c r="M17" s="44" t="s">
        <v>162</v>
      </c>
      <c r="R17" s="1">
        <f>IF(vend13[[#This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11025</v>
      </c>
      <c r="L18" s="89" t="s">
        <v>128</v>
      </c>
      <c r="M18" s="44" t="s">
        <v>146</v>
      </c>
      <c r="R18" s="1">
        <f>IF(vend13[[#This Row],[Nº Venda]]&gt;1,1,0)</f>
        <v>0</v>
      </c>
    </row>
    <row r="19" spans="2:18" ht="16.5" x14ac:dyDescent="0.3">
      <c r="B19" s="28">
        <f>COUNT(entr_carn13[OS])</f>
        <v>0</v>
      </c>
      <c r="C19" s="69">
        <f>SUM(entr_carn13[Valor Total])</f>
        <v>0</v>
      </c>
      <c r="D19" s="30"/>
      <c r="E19" s="75"/>
      <c r="F19" s="76"/>
      <c r="G19" s="51"/>
      <c r="H19" s="39"/>
      <c r="I19" s="39"/>
      <c r="J19" s="30"/>
      <c r="K19" s="75">
        <v>11041</v>
      </c>
      <c r="L19" s="89" t="s">
        <v>134</v>
      </c>
      <c r="M19" s="44" t="s">
        <v>146</v>
      </c>
      <c r="R19" s="1">
        <f>IF(vend13[[#This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11050</v>
      </c>
      <c r="L20" s="89" t="s">
        <v>134</v>
      </c>
      <c r="M20" s="44" t="s">
        <v>162</v>
      </c>
      <c r="R20" s="1">
        <f>IF(vend13[[#This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11092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2538</v>
      </c>
      <c r="D22" s="30"/>
      <c r="E22" s="77"/>
      <c r="F22" s="76"/>
      <c r="G22" s="51"/>
      <c r="H22" s="39"/>
      <c r="I22" s="39"/>
      <c r="J22" s="30"/>
      <c r="K22" s="75">
        <v>11107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11187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11092</v>
      </c>
      <c r="F26" s="76" t="s">
        <v>256</v>
      </c>
      <c r="G26" s="51" t="s">
        <v>8</v>
      </c>
      <c r="H26" s="39"/>
      <c r="I26" s="39">
        <v>1299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35"/>
      <c r="F31" s="35"/>
      <c r="G31" s="35"/>
      <c r="H31" s="37"/>
      <c r="I31" s="37"/>
      <c r="J31" s="30"/>
      <c r="K31" s="33"/>
      <c r="L31" s="33"/>
      <c r="M31" s="33"/>
    </row>
    <row r="32" spans="2:18" ht="16.5" x14ac:dyDescent="0.3">
      <c r="B32" s="30"/>
      <c r="C32" s="30"/>
      <c r="D32" s="38"/>
      <c r="E32" s="100" t="s">
        <v>139</v>
      </c>
      <c r="F32" s="101"/>
      <c r="G32" s="101"/>
      <c r="H32" s="101"/>
      <c r="I32" s="101"/>
      <c r="J32" s="38"/>
      <c r="K32" s="102" t="s">
        <v>140</v>
      </c>
      <c r="L32" s="103"/>
      <c r="M32" s="104"/>
    </row>
    <row r="33" spans="2:18" ht="16.5" x14ac:dyDescent="0.3">
      <c r="B33" s="30"/>
      <c r="C33" s="30"/>
      <c r="D33" s="38"/>
      <c r="E33" s="17" t="s">
        <v>22</v>
      </c>
      <c r="F33" s="16" t="s">
        <v>15</v>
      </c>
      <c r="G33" s="17" t="s">
        <v>16</v>
      </c>
      <c r="H33" s="18" t="s">
        <v>26</v>
      </c>
      <c r="I33" s="18" t="s">
        <v>27</v>
      </c>
      <c r="J33" s="38"/>
      <c r="K33" s="23" t="s">
        <v>22</v>
      </c>
      <c r="L33" s="22" t="s">
        <v>28</v>
      </c>
      <c r="M33" s="23" t="s">
        <v>29</v>
      </c>
    </row>
    <row r="34" spans="2:18" ht="13.5" x14ac:dyDescent="0.25">
      <c r="B34" s="38"/>
      <c r="C34" s="38"/>
      <c r="D34" s="38"/>
      <c r="E34" s="75">
        <v>9681</v>
      </c>
      <c r="F34" s="76" t="s">
        <v>255</v>
      </c>
      <c r="G34" s="51" t="s">
        <v>10</v>
      </c>
      <c r="H34" s="39">
        <v>89</v>
      </c>
      <c r="I34" s="39" t="s">
        <v>39</v>
      </c>
      <c r="J34" s="38"/>
      <c r="K34" s="75"/>
      <c r="L34" s="75"/>
      <c r="M34" s="89"/>
    </row>
    <row r="35" spans="2:18" ht="16.5" customHeight="1" x14ac:dyDescent="0.25">
      <c r="B35" s="38"/>
      <c r="C35" s="38"/>
      <c r="D35" s="38"/>
      <c r="E35" s="81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5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51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7"/>
      <c r="F39" s="78"/>
      <c r="G39" s="42"/>
      <c r="H39" s="43"/>
      <c r="I39" s="39"/>
      <c r="J39" s="38"/>
      <c r="K39" s="77"/>
      <c r="L39" s="77"/>
      <c r="M39" s="90"/>
    </row>
    <row r="40" spans="2:18" ht="16.5" customHeight="1" x14ac:dyDescent="0.25">
      <c r="B40" s="38"/>
      <c r="C40" s="38"/>
      <c r="D40" s="38"/>
      <c r="E40" s="80"/>
      <c r="F40" s="51"/>
      <c r="G40" s="51"/>
      <c r="H40" s="39"/>
      <c r="I40" s="39"/>
      <c r="J40" s="38"/>
      <c r="K40" s="75"/>
      <c r="L40" s="75"/>
      <c r="M40" s="90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35"/>
      <c r="F41" s="35"/>
      <c r="G41" s="35"/>
      <c r="H41" s="37"/>
      <c r="I41" s="37"/>
      <c r="J41" s="38"/>
      <c r="K41" s="33"/>
      <c r="L41" s="33"/>
      <c r="M41" s="33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J45" s="38"/>
    </row>
  </sheetData>
  <mergeCells count="11">
    <mergeCell ref="B1:C1"/>
    <mergeCell ref="L1:M1"/>
    <mergeCell ref="E24:I24"/>
    <mergeCell ref="E32:I32"/>
    <mergeCell ref="K32:M32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4:L40" xr:uid="{5FBAD0B9-A947-4F99-A786-E5507FB6A4B3}">
      <formula1>"1,2,3,4,5,6,7,8,9,10"</formula1>
    </dataValidation>
    <dataValidation type="list" allowBlank="1" showInputMessage="1" showErrorMessage="1" sqref="M15:M30" xr:uid="{F335A261-ABBD-4C95-A2F8-7B0C89DA4F4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7485B5A-F59A-4123-B6B3-1C4132270F61}">
          <x14:formula1>
            <xm:f>base!$E$2:$E$79</xm:f>
          </x14:formula1>
          <xm:sqref>I34:I40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E26:E30 E34:E40 K34:K40 K15:K30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G26:G30 G34:G40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view="pageBreakPreview" zoomScale="6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'13'!B1+1</f>
        <v>45822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8276.7999999999993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5759.79</v>
      </c>
      <c r="D6" s="30"/>
      <c r="E6" s="75">
        <v>11200</v>
      </c>
      <c r="F6" s="76" t="s">
        <v>258</v>
      </c>
      <c r="G6" s="50" t="s">
        <v>36</v>
      </c>
      <c r="H6" s="39">
        <v>0</v>
      </c>
      <c r="I6" s="39">
        <v>0</v>
      </c>
      <c r="J6" s="30"/>
      <c r="K6" s="76" t="s">
        <v>161</v>
      </c>
      <c r="L6" s="89" t="s">
        <v>10</v>
      </c>
      <c r="M6" s="44">
        <v>3.36</v>
      </c>
      <c r="R6" s="1">
        <f>IF(vend14[[#This Row],[Nº Venda]]&gt;1,1,0)</f>
        <v>1</v>
      </c>
    </row>
    <row r="7" spans="2:18" ht="16.5" x14ac:dyDescent="0.3">
      <c r="B7" s="28" t="s">
        <v>3</v>
      </c>
      <c r="C7" s="29">
        <f>SUM(M6:M11)</f>
        <v>164.34</v>
      </c>
      <c r="D7" s="30"/>
      <c r="E7" s="75">
        <v>11201</v>
      </c>
      <c r="F7" s="76" t="s">
        <v>152</v>
      </c>
      <c r="G7" s="50" t="s">
        <v>6</v>
      </c>
      <c r="H7" s="39">
        <v>239</v>
      </c>
      <c r="I7" s="39">
        <v>100</v>
      </c>
      <c r="J7" s="30"/>
      <c r="K7" s="76" t="s">
        <v>193</v>
      </c>
      <c r="L7" s="89" t="s">
        <v>10</v>
      </c>
      <c r="M7" s="44">
        <v>32.979999999999997</v>
      </c>
      <c r="R7" s="1">
        <f>IF(vend14[[#This Row],[Nº Venda]]&gt;1,1,0)</f>
        <v>1</v>
      </c>
    </row>
    <row r="8" spans="2:18" ht="16.5" x14ac:dyDescent="0.3">
      <c r="B8" s="31" t="s">
        <v>21</v>
      </c>
      <c r="C8" s="32">
        <f>SUM(C6:C7)</f>
        <v>5924.13</v>
      </c>
      <c r="D8" s="30"/>
      <c r="E8" s="75">
        <v>11202</v>
      </c>
      <c r="F8" s="76" t="s">
        <v>211</v>
      </c>
      <c r="G8" s="51" t="s">
        <v>6</v>
      </c>
      <c r="H8" s="39">
        <v>9.8000000000000007</v>
      </c>
      <c r="I8" s="39">
        <v>9.8000000000000007</v>
      </c>
      <c r="J8" s="30"/>
      <c r="K8" s="76" t="s">
        <v>335</v>
      </c>
      <c r="L8" s="89" t="s">
        <v>6</v>
      </c>
      <c r="M8" s="44">
        <v>128</v>
      </c>
      <c r="R8" s="1">
        <f>IF(vend14[[#This Row],[Nº Venda]]&gt;1,1,0)</f>
        <v>1</v>
      </c>
    </row>
    <row r="9" spans="2:18" ht="16.5" x14ac:dyDescent="0.3">
      <c r="B9" s="27"/>
      <c r="C9" s="27"/>
      <c r="D9" s="30"/>
      <c r="E9" s="75">
        <v>11203</v>
      </c>
      <c r="F9" s="76" t="s">
        <v>259</v>
      </c>
      <c r="G9" s="51" t="s">
        <v>8</v>
      </c>
      <c r="H9" s="39">
        <v>1980</v>
      </c>
      <c r="I9" s="39">
        <v>1980</v>
      </c>
      <c r="J9" s="30"/>
      <c r="K9" s="76"/>
      <c r="L9" s="89"/>
      <c r="M9" s="44"/>
      <c r="R9" s="1">
        <f>IF(vend14[[#This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11204</v>
      </c>
      <c r="F10" s="76" t="s">
        <v>259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IF(vend14[[#This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129.80000000000001</v>
      </c>
      <c r="D11" s="30"/>
      <c r="E11" s="75">
        <v>11205</v>
      </c>
      <c r="F11" s="76" t="s">
        <v>259</v>
      </c>
      <c r="G11" s="51" t="s">
        <v>46</v>
      </c>
      <c r="H11" s="39">
        <v>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1700</v>
      </c>
      <c r="D12" s="30"/>
      <c r="E12" s="75">
        <v>11206</v>
      </c>
      <c r="F12" s="76" t="s">
        <v>260</v>
      </c>
      <c r="G12" s="51" t="s">
        <v>7</v>
      </c>
      <c r="H12" s="39">
        <v>1000</v>
      </c>
      <c r="I12" s="39">
        <v>500</v>
      </c>
      <c r="J12" s="30"/>
      <c r="K12" s="33"/>
      <c r="L12" s="33"/>
      <c r="M12" s="33"/>
      <c r="R12" s="1">
        <f>IF(vend14[[#This Row],[Nº Venda]]&gt;1,1,0)</f>
        <v>1</v>
      </c>
    </row>
    <row r="13" spans="2:18" ht="16.5" x14ac:dyDescent="0.3">
      <c r="B13" s="28" t="s">
        <v>8</v>
      </c>
      <c r="C13" s="69">
        <f t="shared" si="0"/>
        <v>3929.99</v>
      </c>
      <c r="D13" s="30"/>
      <c r="E13" s="75">
        <v>11207</v>
      </c>
      <c r="F13" s="76" t="s">
        <v>261</v>
      </c>
      <c r="G13" s="51" t="s">
        <v>7</v>
      </c>
      <c r="H13" s="39">
        <v>450</v>
      </c>
      <c r="I13" s="39">
        <v>50</v>
      </c>
      <c r="J13" s="30"/>
      <c r="K13" s="102" t="s">
        <v>141</v>
      </c>
      <c r="L13" s="103"/>
      <c r="M13" s="104"/>
      <c r="R13" s="1">
        <f>IF(vend14[[#This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11208</v>
      </c>
      <c r="F14" s="76" t="s">
        <v>261</v>
      </c>
      <c r="G14" s="51" t="s">
        <v>7</v>
      </c>
      <c r="H14" s="39">
        <v>1499</v>
      </c>
      <c r="I14" s="39">
        <v>50</v>
      </c>
      <c r="J14" s="30"/>
      <c r="K14" s="22" t="s">
        <v>22</v>
      </c>
      <c r="L14" s="23" t="s">
        <v>23</v>
      </c>
      <c r="M14" s="24" t="s">
        <v>24</v>
      </c>
      <c r="R14" s="1">
        <f>IF(vend14[[#This Row],[Nº Venda]]&gt;1,1,0)</f>
        <v>1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>
        <v>11209</v>
      </c>
      <c r="F15" s="76" t="s">
        <v>262</v>
      </c>
      <c r="G15" s="51" t="s">
        <v>7</v>
      </c>
      <c r="H15" s="39">
        <v>799</v>
      </c>
      <c r="I15" s="39">
        <v>100</v>
      </c>
      <c r="J15" s="30"/>
      <c r="K15" s="75">
        <v>11073</v>
      </c>
      <c r="L15" s="89" t="s">
        <v>128</v>
      </c>
      <c r="M15" s="44" t="s">
        <v>146</v>
      </c>
      <c r="R15" s="1">
        <f>IF(vend14[[#This Row],[Nº Venda]]&gt;1,1,0)</f>
        <v>1</v>
      </c>
    </row>
    <row r="16" spans="2:18" ht="16.5" x14ac:dyDescent="0.3">
      <c r="B16" s="31" t="s">
        <v>11</v>
      </c>
      <c r="C16" s="70">
        <f>SUM(C11:C15)</f>
        <v>5759.79</v>
      </c>
      <c r="D16" s="30"/>
      <c r="E16" s="75">
        <v>11210</v>
      </c>
      <c r="F16" s="76" t="s">
        <v>263</v>
      </c>
      <c r="G16" s="51" t="s">
        <v>7</v>
      </c>
      <c r="H16" s="39">
        <v>2300</v>
      </c>
      <c r="I16" s="39">
        <v>1000</v>
      </c>
      <c r="J16" s="30"/>
      <c r="K16" s="75">
        <v>11112</v>
      </c>
      <c r="L16" s="89" t="s">
        <v>130</v>
      </c>
      <c r="M16" s="44" t="s">
        <v>146</v>
      </c>
      <c r="R16" s="1">
        <f>IF(vend14[[#This Row],[Nº Venda]]&gt;1,1,0)</f>
        <v>1</v>
      </c>
    </row>
    <row r="17" spans="2:18" ht="16.5" x14ac:dyDescent="0.3">
      <c r="B17" s="27"/>
      <c r="C17" s="27"/>
      <c r="D17" s="30"/>
      <c r="E17" s="75">
        <v>11210</v>
      </c>
      <c r="F17" s="76" t="s">
        <v>263</v>
      </c>
      <c r="G17" s="51" t="s">
        <v>8</v>
      </c>
      <c r="H17" s="39"/>
      <c r="I17" s="39">
        <v>1300</v>
      </c>
      <c r="J17" s="30"/>
      <c r="K17" s="75">
        <v>11113</v>
      </c>
      <c r="L17" s="89" t="s">
        <v>130</v>
      </c>
      <c r="M17" s="44" t="s">
        <v>146</v>
      </c>
      <c r="R17" s="1">
        <f>IF(vend14[[#This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11150</v>
      </c>
      <c r="L18" s="89" t="s">
        <v>130</v>
      </c>
      <c r="M18" s="44" t="s">
        <v>146</v>
      </c>
      <c r="R18" s="1">
        <f>IF(vend14[[#This Row],[Nº Venda]]&gt;1,1,0)</f>
        <v>0</v>
      </c>
    </row>
    <row r="19" spans="2:18" ht="16.5" x14ac:dyDescent="0.3">
      <c r="B19" s="28">
        <f>COUNT(entr_carn14[OS])</f>
        <v>0</v>
      </c>
      <c r="C19" s="69">
        <f>SUM(entr_carn14[Valor Total])</f>
        <v>0</v>
      </c>
      <c r="D19" s="30"/>
      <c r="E19" s="75"/>
      <c r="F19" s="76"/>
      <c r="G19" s="51"/>
      <c r="H19" s="39"/>
      <c r="I19" s="39"/>
      <c r="J19" s="30"/>
      <c r="K19" s="75">
        <v>11166</v>
      </c>
      <c r="L19" s="89" t="s">
        <v>130</v>
      </c>
      <c r="M19" s="44" t="s">
        <v>146</v>
      </c>
      <c r="R19" s="1">
        <f>IF(vend14[[#This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11170</v>
      </c>
      <c r="L20" s="89" t="s">
        <v>128</v>
      </c>
      <c r="M20" s="44" t="s">
        <v>146</v>
      </c>
      <c r="R20" s="1">
        <f>IF(vend14[[#This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11179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8276.7999999999993</v>
      </c>
      <c r="D22" s="30"/>
      <c r="E22" s="77"/>
      <c r="F22" s="76"/>
      <c r="G22" s="51"/>
      <c r="H22" s="39"/>
      <c r="I22" s="39"/>
      <c r="J22" s="30"/>
      <c r="K22" s="75">
        <v>11193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11150</v>
      </c>
      <c r="F26" s="76" t="s">
        <v>199</v>
      </c>
      <c r="G26" s="51" t="s">
        <v>8</v>
      </c>
      <c r="H26" s="39"/>
      <c r="I26" s="39">
        <v>649.99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11193</v>
      </c>
      <c r="F27" s="76" t="s">
        <v>253</v>
      </c>
      <c r="G27" s="51" t="s">
        <v>6</v>
      </c>
      <c r="H27" s="39"/>
      <c r="I27" s="39">
        <v>20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'14'!B1+1</f>
        <v>45823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0"/>
      <c r="H6" s="39"/>
      <c r="I6" s="39"/>
      <c r="J6" s="30"/>
      <c r="K6" s="76"/>
      <c r="L6" s="89"/>
      <c r="M6" s="44"/>
      <c r="R6" s="1">
        <f>IF(vend15[[#This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0"/>
      <c r="H7" s="39"/>
      <c r="I7" s="39"/>
      <c r="J7" s="30"/>
      <c r="K7" s="76"/>
      <c r="L7" s="89"/>
      <c r="M7" s="44"/>
      <c r="R7" s="1">
        <f>IF(vend15[[#This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IF(vend15[[#This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IF(vend15[[#This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IF(vend15[[#This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IF(vend15[[#This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IF(vend15[[#This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IF(vend15[[#This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IF(vend15[[#This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IF(vend15[[#This Row],[Nº Venda]]&gt;1,1,0)</f>
        <v>0</v>
      </c>
    </row>
    <row r="19" spans="2:18" ht="16.5" x14ac:dyDescent="0.3">
      <c r="B19" s="28">
        <f>COUNT(entr_carn15[OS])</f>
        <v>0</v>
      </c>
      <c r="C19" s="69">
        <f>SUM(entr_carn15[Valor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0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'15'!B1+1</f>
        <v>45824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338.99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628.99</v>
      </c>
      <c r="D6" s="30"/>
      <c r="E6" s="75">
        <v>11211</v>
      </c>
      <c r="F6" s="76" t="s">
        <v>264</v>
      </c>
      <c r="G6" s="50" t="s">
        <v>10</v>
      </c>
      <c r="H6" s="39">
        <v>299</v>
      </c>
      <c r="I6" s="39">
        <v>299</v>
      </c>
      <c r="J6" s="30"/>
      <c r="K6" s="76"/>
      <c r="L6" s="89"/>
      <c r="M6" s="44"/>
      <c r="R6" s="1">
        <f>IF(vend16[[#This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5">
        <v>11212</v>
      </c>
      <c r="F7" s="76" t="s">
        <v>266</v>
      </c>
      <c r="G7" s="50" t="s">
        <v>10</v>
      </c>
      <c r="H7" s="39">
        <v>39.99</v>
      </c>
      <c r="I7" s="39">
        <v>39.99</v>
      </c>
      <c r="J7" s="30"/>
      <c r="K7" s="76"/>
      <c r="L7" s="89"/>
      <c r="M7" s="44"/>
      <c r="R7" s="1">
        <f>IF(vend16[[#This Row],[Nº Venda]]&gt;1,1,0)</f>
        <v>1</v>
      </c>
    </row>
    <row r="8" spans="2:18" ht="16.5" x14ac:dyDescent="0.3">
      <c r="B8" s="31" t="s">
        <v>21</v>
      </c>
      <c r="C8" s="32">
        <f>SUM(C6:C7)</f>
        <v>628.99</v>
      </c>
      <c r="D8" s="30"/>
      <c r="E8" s="75">
        <v>11213</v>
      </c>
      <c r="F8" s="76" t="s">
        <v>267</v>
      </c>
      <c r="G8" s="51" t="s">
        <v>46</v>
      </c>
      <c r="H8" s="39">
        <v>45</v>
      </c>
      <c r="I8" s="39"/>
      <c r="J8" s="30"/>
      <c r="K8" s="76"/>
      <c r="L8" s="89"/>
      <c r="M8" s="44"/>
      <c r="R8" s="1">
        <f>IF(vend16[[#This Row],[Nº Venda]]&gt;1,1,0)</f>
        <v>1</v>
      </c>
    </row>
    <row r="9" spans="2:18" ht="16.5" x14ac:dyDescent="0.3">
      <c r="B9" s="27"/>
      <c r="C9" s="27"/>
      <c r="D9" s="30"/>
      <c r="E9" s="75">
        <v>11214</v>
      </c>
      <c r="F9" s="76" t="s">
        <v>268</v>
      </c>
      <c r="G9" s="51" t="s">
        <v>46</v>
      </c>
      <c r="H9" s="39">
        <v>600</v>
      </c>
      <c r="I9" s="39"/>
      <c r="J9" s="30"/>
      <c r="K9" s="76"/>
      <c r="L9" s="89"/>
      <c r="M9" s="44"/>
      <c r="R9" s="1">
        <f>IF(vend16[[#This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10215</v>
      </c>
      <c r="F10" s="76" t="s">
        <v>270</v>
      </c>
      <c r="G10" s="51" t="s">
        <v>36</v>
      </c>
      <c r="H10" s="39"/>
      <c r="I10" s="39"/>
      <c r="J10" s="30"/>
      <c r="K10" s="76"/>
      <c r="L10" s="89"/>
      <c r="M10" s="44"/>
      <c r="R10" s="1">
        <f>IF(vend16[[#This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IF(vend16[[#This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290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IF(vend16[[#This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IF(vend16[[#This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IF(vend16[[#This Row],[Nº Venda]]&gt;1,1,0)</f>
        <v>0</v>
      </c>
    </row>
    <row r="15" spans="2:18" ht="16.5" x14ac:dyDescent="0.3">
      <c r="B15" s="28" t="s">
        <v>10</v>
      </c>
      <c r="C15" s="69">
        <f t="shared" si="0"/>
        <v>338.99</v>
      </c>
      <c r="D15" s="30"/>
      <c r="E15" s="75"/>
      <c r="F15" s="76"/>
      <c r="G15" s="51"/>
      <c r="H15" s="39"/>
      <c r="I15" s="39"/>
      <c r="J15" s="30"/>
      <c r="K15" s="75">
        <v>11065</v>
      </c>
      <c r="L15" s="89" t="s">
        <v>134</v>
      </c>
      <c r="M15" s="44" t="s">
        <v>146</v>
      </c>
      <c r="R15" s="1">
        <f>IF(vend16[[#This Row],[Nº Venda]]&gt;1,1,0)</f>
        <v>0</v>
      </c>
    </row>
    <row r="16" spans="2:18" ht="16.5" x14ac:dyDescent="0.3">
      <c r="B16" s="31" t="s">
        <v>11</v>
      </c>
      <c r="C16" s="70">
        <f>SUM(C11:C15)</f>
        <v>628.99</v>
      </c>
      <c r="D16" s="30"/>
      <c r="E16" s="75"/>
      <c r="F16" s="76"/>
      <c r="G16" s="51"/>
      <c r="H16" s="39"/>
      <c r="I16" s="39"/>
      <c r="J16" s="30"/>
      <c r="K16" s="75">
        <v>11127</v>
      </c>
      <c r="L16" s="89" t="s">
        <v>128</v>
      </c>
      <c r="M16" s="44" t="s">
        <v>146</v>
      </c>
      <c r="R16" s="1">
        <f>IF(vend16[[#This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11132</v>
      </c>
      <c r="L17" s="89" t="s">
        <v>128</v>
      </c>
      <c r="M17" s="44" t="s">
        <v>146</v>
      </c>
      <c r="R17" s="1">
        <f>IF(vend16[[#This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11157</v>
      </c>
      <c r="L18" s="89" t="s">
        <v>128</v>
      </c>
      <c r="M18" s="44" t="s">
        <v>146</v>
      </c>
      <c r="R18" s="1">
        <f>IF(vend16[[#This Row],[Nº Venda]]&gt;1,1,0)</f>
        <v>0</v>
      </c>
    </row>
    <row r="19" spans="2:18" ht="16.5" x14ac:dyDescent="0.3">
      <c r="B19" s="28">
        <f>COUNT(entr_carn16[OS])</f>
        <v>1</v>
      </c>
      <c r="C19" s="69">
        <f>SUM(entr_carn16[Valor Total])</f>
        <v>599</v>
      </c>
      <c r="D19" s="30"/>
      <c r="E19" s="75"/>
      <c r="F19" s="76"/>
      <c r="G19" s="51"/>
      <c r="H19" s="39"/>
      <c r="I19" s="39"/>
      <c r="J19" s="30"/>
      <c r="K19" s="75">
        <v>11176</v>
      </c>
      <c r="L19" s="89" t="s">
        <v>128</v>
      </c>
      <c r="M19" s="44" t="s">
        <v>146</v>
      </c>
      <c r="R19" s="1">
        <f>IF(vend16[[#This Row],[Nº Venda]]&gt;1,1,0)</f>
        <v>0</v>
      </c>
    </row>
    <row r="20" spans="2:18" ht="16.5" x14ac:dyDescent="0.3">
      <c r="B20" s="31" t="s">
        <v>11</v>
      </c>
      <c r="C20" s="70">
        <f>SUM(C19:C19)</f>
        <v>599</v>
      </c>
      <c r="D20" s="30"/>
      <c r="E20" s="75"/>
      <c r="F20" s="51"/>
      <c r="G20" s="51"/>
      <c r="H20" s="39"/>
      <c r="I20" s="39"/>
      <c r="J20" s="30"/>
      <c r="K20" s="75">
        <v>11177</v>
      </c>
      <c r="L20" s="89" t="s">
        <v>128</v>
      </c>
      <c r="M20" s="44" t="s">
        <v>146</v>
      </c>
      <c r="R20" s="1">
        <f>IF(vend16[[#This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11181</v>
      </c>
      <c r="L21" s="89" t="s">
        <v>128</v>
      </c>
      <c r="M21" s="44" t="s">
        <v>162</v>
      </c>
    </row>
    <row r="22" spans="2:18" ht="16.5" x14ac:dyDescent="0.3">
      <c r="B22" s="31" t="s">
        <v>25</v>
      </c>
      <c r="C22" s="34">
        <f>C5</f>
        <v>338.99</v>
      </c>
      <c r="D22" s="30"/>
      <c r="E22" s="77"/>
      <c r="F22" s="76"/>
      <c r="G22" s="51"/>
      <c r="H22" s="39"/>
      <c r="I22" s="39"/>
      <c r="J22" s="30"/>
      <c r="K22" s="75">
        <v>11189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>
        <v>11212</v>
      </c>
      <c r="L23" s="89" t="s">
        <v>128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11177</v>
      </c>
      <c r="F26" s="76" t="s">
        <v>265</v>
      </c>
      <c r="G26" s="50" t="s">
        <v>7</v>
      </c>
      <c r="H26" s="39"/>
      <c r="I26" s="39">
        <v>190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11181</v>
      </c>
      <c r="F27" s="76" t="s">
        <v>269</v>
      </c>
      <c r="G27" s="51" t="s">
        <v>7</v>
      </c>
      <c r="H27" s="39"/>
      <c r="I27" s="39">
        <v>100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>
        <v>11181</v>
      </c>
      <c r="L35" s="75">
        <v>8</v>
      </c>
      <c r="M35" s="89">
        <v>599</v>
      </c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view="pageBreakPreview" zoomScale="60" zoomScaleNormal="9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1.5703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'16'!B1+1</f>
        <v>45825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4169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1180</v>
      </c>
      <c r="D6" s="30"/>
      <c r="E6" s="75">
        <v>11216</v>
      </c>
      <c r="F6" s="76" t="s">
        <v>271</v>
      </c>
      <c r="G6" s="51" t="s">
        <v>8</v>
      </c>
      <c r="H6" s="39">
        <v>100</v>
      </c>
      <c r="I6" s="39">
        <v>100</v>
      </c>
      <c r="J6" s="30"/>
      <c r="K6" s="76" t="s">
        <v>161</v>
      </c>
      <c r="L6" s="89" t="s">
        <v>10</v>
      </c>
      <c r="M6" s="44">
        <v>3.03</v>
      </c>
      <c r="R6" s="1">
        <f>IF(vend17[[#This Row],[Nº Venda]]&gt;1,1,0)</f>
        <v>1</v>
      </c>
    </row>
    <row r="7" spans="2:18" ht="16.5" x14ac:dyDescent="0.3">
      <c r="B7" s="28" t="s">
        <v>3</v>
      </c>
      <c r="C7" s="29">
        <f>SUM(M6:M11)</f>
        <v>303.02999999999997</v>
      </c>
      <c r="D7" s="30"/>
      <c r="E7" s="75">
        <v>11217</v>
      </c>
      <c r="F7" s="76" t="s">
        <v>272</v>
      </c>
      <c r="G7" s="51" t="s">
        <v>6</v>
      </c>
      <c r="H7" s="39">
        <v>130</v>
      </c>
      <c r="I7" s="39">
        <v>50</v>
      </c>
      <c r="J7" s="30"/>
      <c r="K7" s="76" t="s">
        <v>335</v>
      </c>
      <c r="L7" s="89" t="s">
        <v>6</v>
      </c>
      <c r="M7" s="44">
        <v>300</v>
      </c>
      <c r="R7" s="1">
        <f>IF(vend17[[#This Row],[Nº Venda]]&gt;1,1,0)</f>
        <v>1</v>
      </c>
    </row>
    <row r="8" spans="2:18" ht="16.5" x14ac:dyDescent="0.3">
      <c r="B8" s="31" t="s">
        <v>21</v>
      </c>
      <c r="C8" s="32">
        <f>SUM(C6:C7)</f>
        <v>1483.03</v>
      </c>
      <c r="D8" s="30"/>
      <c r="E8" s="75">
        <v>11218</v>
      </c>
      <c r="F8" s="76" t="s">
        <v>272</v>
      </c>
      <c r="G8" s="51" t="s">
        <v>6</v>
      </c>
      <c r="H8" s="39">
        <v>500</v>
      </c>
      <c r="I8" s="39">
        <v>50</v>
      </c>
      <c r="J8" s="30"/>
      <c r="K8" s="76"/>
      <c r="L8" s="89"/>
      <c r="M8" s="44"/>
      <c r="R8" s="1">
        <f>IF(vend17[[#This Row],[Nº Venda]]&gt;1,1,0)</f>
        <v>1</v>
      </c>
    </row>
    <row r="9" spans="2:18" ht="16.5" x14ac:dyDescent="0.3">
      <c r="B9" s="27"/>
      <c r="C9" s="27"/>
      <c r="D9" s="30"/>
      <c r="E9" s="75">
        <v>11219</v>
      </c>
      <c r="F9" s="76" t="s">
        <v>273</v>
      </c>
      <c r="G9" s="51" t="s">
        <v>6</v>
      </c>
      <c r="H9" s="39">
        <v>1690</v>
      </c>
      <c r="I9" s="39">
        <v>200</v>
      </c>
      <c r="J9" s="30"/>
      <c r="K9" s="76"/>
      <c r="L9" s="89"/>
      <c r="M9" s="44"/>
      <c r="R9" s="1">
        <f>IF(vend17[[#This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11220</v>
      </c>
      <c r="F10" s="76" t="s">
        <v>274</v>
      </c>
      <c r="G10" s="51" t="s">
        <v>46</v>
      </c>
      <c r="H10" s="39">
        <v>0</v>
      </c>
      <c r="I10" s="39">
        <v>0</v>
      </c>
      <c r="J10" s="30"/>
      <c r="K10" s="76"/>
      <c r="L10" s="89"/>
      <c r="M10" s="44"/>
      <c r="R10" s="1">
        <f>IF(vend17[[#This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300</v>
      </c>
      <c r="D11" s="30"/>
      <c r="E11" s="75">
        <v>11221</v>
      </c>
      <c r="F11" s="76" t="s">
        <v>276</v>
      </c>
      <c r="G11" s="51" t="s">
        <v>46</v>
      </c>
      <c r="H11" s="39">
        <v>60</v>
      </c>
      <c r="I11" s="39">
        <v>0</v>
      </c>
      <c r="J11" s="30"/>
      <c r="K11" s="38"/>
      <c r="L11" s="89"/>
      <c r="M11" s="44"/>
      <c r="O11" s="1">
        <f>IF(C16=0,0,1)</f>
        <v>1</v>
      </c>
      <c r="R11" s="1">
        <f>IF(vend17[[#This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160</v>
      </c>
      <c r="D12" s="30"/>
      <c r="E12" s="75">
        <v>11222</v>
      </c>
      <c r="F12" s="76" t="s">
        <v>277</v>
      </c>
      <c r="G12" s="51" t="s">
        <v>10</v>
      </c>
      <c r="H12" s="39">
        <v>580</v>
      </c>
      <c r="I12" s="39" t="s">
        <v>372</v>
      </c>
      <c r="J12" s="30"/>
      <c r="K12" s="33"/>
      <c r="L12" s="33"/>
      <c r="M12" s="33"/>
      <c r="R12" s="1">
        <f>IF(vend17[[#This Row],[Nº Venda]]&gt;1,1,0)</f>
        <v>1</v>
      </c>
    </row>
    <row r="13" spans="2:18" ht="16.5" x14ac:dyDescent="0.3">
      <c r="B13" s="28" t="s">
        <v>8</v>
      </c>
      <c r="C13" s="69">
        <f t="shared" si="0"/>
        <v>100</v>
      </c>
      <c r="D13" s="30"/>
      <c r="E13" s="75">
        <v>11223</v>
      </c>
      <c r="F13" s="76" t="s">
        <v>278</v>
      </c>
      <c r="G13" s="51" t="s">
        <v>10</v>
      </c>
      <c r="H13" s="39">
        <v>150</v>
      </c>
      <c r="I13" s="39">
        <v>75</v>
      </c>
      <c r="J13" s="30"/>
      <c r="K13" s="102" t="s">
        <v>141</v>
      </c>
      <c r="L13" s="103"/>
      <c r="M13" s="104"/>
      <c r="R13" s="1">
        <f>IF(vend17[[#This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11224</v>
      </c>
      <c r="F14" s="76" t="s">
        <v>279</v>
      </c>
      <c r="G14" s="51" t="s">
        <v>10</v>
      </c>
      <c r="H14" s="39">
        <v>990</v>
      </c>
      <c r="I14" s="39">
        <v>495</v>
      </c>
      <c r="J14" s="30"/>
      <c r="K14" s="22" t="s">
        <v>22</v>
      </c>
      <c r="L14" s="23" t="s">
        <v>23</v>
      </c>
      <c r="M14" s="24" t="s">
        <v>24</v>
      </c>
      <c r="R14" s="1">
        <f>IF(vend17[[#This Row],[Nº Venda]]&gt;1,1,0)</f>
        <v>1</v>
      </c>
    </row>
    <row r="15" spans="2:18" ht="16.5" x14ac:dyDescent="0.3">
      <c r="B15" s="28" t="s">
        <v>10</v>
      </c>
      <c r="C15" s="69">
        <f t="shared" si="0"/>
        <v>620</v>
      </c>
      <c r="D15" s="30"/>
      <c r="E15" s="75">
        <v>11225</v>
      </c>
      <c r="F15" s="76" t="s">
        <v>280</v>
      </c>
      <c r="G15" s="51" t="s">
        <v>7</v>
      </c>
      <c r="H15" s="39">
        <v>499</v>
      </c>
      <c r="I15" s="39">
        <v>100</v>
      </c>
      <c r="J15" s="30"/>
      <c r="K15" s="75">
        <v>11171</v>
      </c>
      <c r="L15" s="89" t="s">
        <v>128</v>
      </c>
      <c r="M15" s="44" t="s">
        <v>146</v>
      </c>
      <c r="R15" s="1">
        <f>IF(vend17[[#This Row],[Nº Venda]]&gt;1,1,0)</f>
        <v>1</v>
      </c>
    </row>
    <row r="16" spans="2:18" ht="16.5" x14ac:dyDescent="0.3">
      <c r="B16" s="31" t="s">
        <v>11</v>
      </c>
      <c r="C16" s="70">
        <f>SUM(C11:C15)</f>
        <v>1180</v>
      </c>
      <c r="D16" s="30"/>
      <c r="E16" s="75">
        <v>11226</v>
      </c>
      <c r="F16" s="76" t="s">
        <v>281</v>
      </c>
      <c r="G16" s="51" t="s">
        <v>10</v>
      </c>
      <c r="H16" s="39">
        <v>50</v>
      </c>
      <c r="I16" s="39">
        <v>50</v>
      </c>
      <c r="J16" s="30"/>
      <c r="K16" s="75">
        <v>11213</v>
      </c>
      <c r="L16" s="89" t="s">
        <v>128</v>
      </c>
      <c r="M16" s="44" t="s">
        <v>146</v>
      </c>
      <c r="R16" s="1">
        <f>IF(vend17[[#This Row],[Nº Venda]]&gt;1,1,0)</f>
        <v>1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11216</v>
      </c>
      <c r="L17" s="89" t="s">
        <v>128</v>
      </c>
      <c r="M17" s="44" t="s">
        <v>146</v>
      </c>
      <c r="R17" s="1">
        <f>IF(vend17[[#This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11221</v>
      </c>
      <c r="L18" s="89" t="s">
        <v>130</v>
      </c>
      <c r="M18" s="44" t="s">
        <v>162</v>
      </c>
      <c r="R18" s="1">
        <f>IF(vend17[[#This Row],[Nº Venda]]&gt;1,1,0)</f>
        <v>0</v>
      </c>
    </row>
    <row r="19" spans="2:18" ht="16.5" x14ac:dyDescent="0.3">
      <c r="B19" s="28">
        <f>COUNT(entr_carn17[OS])</f>
        <v>1</v>
      </c>
      <c r="C19" s="69">
        <f>SUM(entr_carn17[Valor Total])</f>
        <v>60</v>
      </c>
      <c r="D19" s="30"/>
      <c r="E19" s="75"/>
      <c r="F19" s="76"/>
      <c r="G19" s="51"/>
      <c r="H19" s="39"/>
      <c r="I19" s="39"/>
      <c r="J19" s="30"/>
      <c r="K19" s="75">
        <v>11226</v>
      </c>
      <c r="L19" s="89" t="s">
        <v>130</v>
      </c>
      <c r="M19" s="44" t="s">
        <v>146</v>
      </c>
      <c r="R19" s="1">
        <f>IF(vend17[[#This Row],[Nº Venda]]&gt;1,1,0)</f>
        <v>0</v>
      </c>
    </row>
    <row r="20" spans="2:18" ht="16.5" x14ac:dyDescent="0.3">
      <c r="B20" s="31" t="s">
        <v>11</v>
      </c>
      <c r="C20" s="70">
        <f>SUM(C19:C19)</f>
        <v>60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4169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11213</v>
      </c>
      <c r="F26" s="76" t="s">
        <v>275</v>
      </c>
      <c r="G26" s="51" t="s">
        <v>7</v>
      </c>
      <c r="H26" s="39">
        <v>60</v>
      </c>
      <c r="I26" s="39">
        <v>60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>
        <v>11221</v>
      </c>
      <c r="L35" s="75">
        <v>1</v>
      </c>
      <c r="M35" s="89">
        <v>60</v>
      </c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11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'17'!B1+1</f>
        <v>45826</v>
      </c>
      <c r="C1" s="111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6968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3186.25</v>
      </c>
      <c r="D6" s="30"/>
      <c r="E6" s="75">
        <v>11227</v>
      </c>
      <c r="F6" s="76" t="s">
        <v>219</v>
      </c>
      <c r="G6" s="51" t="s">
        <v>36</v>
      </c>
      <c r="H6" s="39"/>
      <c r="I6" s="39"/>
      <c r="J6" s="30"/>
      <c r="K6" s="76" t="s">
        <v>161</v>
      </c>
      <c r="L6" s="41" t="s">
        <v>10</v>
      </c>
      <c r="M6" s="44">
        <v>4.09</v>
      </c>
      <c r="R6" s="1">
        <f>IF(vend18[[#This Row],[Nº Venda]]&gt;1,1,0)</f>
        <v>1</v>
      </c>
    </row>
    <row r="7" spans="2:18" ht="16.5" x14ac:dyDescent="0.3">
      <c r="B7" s="28" t="s">
        <v>3</v>
      </c>
      <c r="C7" s="29">
        <f>SUM(M6:M11)</f>
        <v>1904.09</v>
      </c>
      <c r="D7" s="30"/>
      <c r="E7" s="75">
        <v>11228</v>
      </c>
      <c r="F7" s="76" t="s">
        <v>291</v>
      </c>
      <c r="G7" s="51" t="s">
        <v>36</v>
      </c>
      <c r="H7" s="39"/>
      <c r="I7" s="39"/>
      <c r="J7" s="30"/>
      <c r="K7" s="76" t="s">
        <v>209</v>
      </c>
      <c r="L7" s="89" t="s">
        <v>6</v>
      </c>
      <c r="M7" s="44">
        <v>1900</v>
      </c>
      <c r="R7" s="1">
        <f>IF(vend18[[#This Row],[Nº Venda]]&gt;1,1,0)</f>
        <v>1</v>
      </c>
    </row>
    <row r="8" spans="2:18" ht="16.5" x14ac:dyDescent="0.3">
      <c r="B8" s="31" t="s">
        <v>21</v>
      </c>
      <c r="C8" s="32">
        <f>SUM(C6:C7)</f>
        <v>5090.34</v>
      </c>
      <c r="D8" s="30"/>
      <c r="E8" s="75">
        <v>11229</v>
      </c>
      <c r="F8" s="76" t="s">
        <v>284</v>
      </c>
      <c r="G8" s="51" t="s">
        <v>46</v>
      </c>
      <c r="H8" s="39"/>
      <c r="I8" s="39"/>
      <c r="J8" s="30"/>
      <c r="K8" s="76"/>
      <c r="L8" s="89"/>
      <c r="M8" s="44"/>
      <c r="R8" s="1">
        <f>IF(vend18[[#This Row],[Nº Venda]]&gt;1,1,0)</f>
        <v>1</v>
      </c>
    </row>
    <row r="9" spans="2:18" ht="16.5" x14ac:dyDescent="0.3">
      <c r="B9" s="27"/>
      <c r="C9" s="27"/>
      <c r="D9" s="30"/>
      <c r="E9" s="75">
        <v>11230</v>
      </c>
      <c r="F9" s="76" t="s">
        <v>285</v>
      </c>
      <c r="G9" s="51" t="s">
        <v>6</v>
      </c>
      <c r="H9" s="39">
        <v>110</v>
      </c>
      <c r="I9" s="39">
        <v>100</v>
      </c>
      <c r="J9" s="30"/>
      <c r="K9" s="76"/>
      <c r="L9" s="89"/>
      <c r="M9" s="44"/>
      <c r="R9" s="1">
        <f>IF(vend18[[#This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11230</v>
      </c>
      <c r="F10" s="76"/>
      <c r="G10" s="51" t="s">
        <v>8</v>
      </c>
      <c r="H10" s="39"/>
      <c r="I10" s="39">
        <v>10</v>
      </c>
      <c r="J10" s="30"/>
      <c r="K10" s="76"/>
      <c r="L10" s="89"/>
      <c r="M10" s="44"/>
      <c r="R10" s="1">
        <f>IF(vend18[[#This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1896.25</v>
      </c>
      <c r="D11" s="30"/>
      <c r="E11" s="75">
        <v>11231</v>
      </c>
      <c r="F11" s="76" t="s">
        <v>284</v>
      </c>
      <c r="G11" s="51" t="s">
        <v>10</v>
      </c>
      <c r="H11" s="39">
        <v>1080</v>
      </c>
      <c r="I11" s="39">
        <v>90</v>
      </c>
      <c r="J11" s="30"/>
      <c r="K11" s="38"/>
      <c r="L11" s="89"/>
      <c r="M11" s="44"/>
      <c r="O11" s="1">
        <f>IF(C16=0,0,1)</f>
        <v>1</v>
      </c>
      <c r="R11" s="1">
        <f>IF(vend18[[#This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40</v>
      </c>
      <c r="D12" s="30"/>
      <c r="E12" s="75">
        <v>11232</v>
      </c>
      <c r="F12" s="76" t="s">
        <v>284</v>
      </c>
      <c r="G12" s="51" t="s">
        <v>10</v>
      </c>
      <c r="H12" s="39">
        <v>219</v>
      </c>
      <c r="I12" s="39">
        <v>10</v>
      </c>
      <c r="J12" s="30"/>
      <c r="K12" s="33"/>
      <c r="L12" s="33"/>
      <c r="M12" s="33"/>
      <c r="R12" s="1">
        <f>IF(vend18[[#This Row],[Nº Venda]]&gt;1,1,0)</f>
        <v>1</v>
      </c>
    </row>
    <row r="13" spans="2:18" ht="16.5" x14ac:dyDescent="0.3">
      <c r="B13" s="28" t="s">
        <v>8</v>
      </c>
      <c r="C13" s="69">
        <f t="shared" si="0"/>
        <v>560</v>
      </c>
      <c r="D13" s="30"/>
      <c r="E13" s="75">
        <v>11233</v>
      </c>
      <c r="F13" s="76" t="s">
        <v>286</v>
      </c>
      <c r="G13" s="51" t="s">
        <v>6</v>
      </c>
      <c r="H13" s="39">
        <v>1399</v>
      </c>
      <c r="I13" s="39">
        <v>1000</v>
      </c>
      <c r="J13" s="30"/>
      <c r="K13" s="102" t="s">
        <v>141</v>
      </c>
      <c r="L13" s="103"/>
      <c r="M13" s="104"/>
      <c r="R13" s="1">
        <f>IF(vend18[[#This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11234</v>
      </c>
      <c r="F14" s="76" t="s">
        <v>287</v>
      </c>
      <c r="G14" s="51" t="s">
        <v>8</v>
      </c>
      <c r="H14" s="39">
        <v>550</v>
      </c>
      <c r="I14" s="39">
        <v>550</v>
      </c>
      <c r="J14" s="30"/>
      <c r="K14" s="22" t="s">
        <v>22</v>
      </c>
      <c r="L14" s="23" t="s">
        <v>23</v>
      </c>
      <c r="M14" s="24" t="s">
        <v>24</v>
      </c>
      <c r="R14" s="1">
        <f>IF(vend18[[#This Row],[Nº Venda]]&gt;1,1,0)</f>
        <v>1</v>
      </c>
    </row>
    <row r="15" spans="2:18" ht="16.5" x14ac:dyDescent="0.3">
      <c r="B15" s="28" t="s">
        <v>10</v>
      </c>
      <c r="C15" s="69">
        <f t="shared" si="0"/>
        <v>690</v>
      </c>
      <c r="D15" s="30"/>
      <c r="E15" s="75">
        <v>11235</v>
      </c>
      <c r="F15" s="76" t="s">
        <v>288</v>
      </c>
      <c r="G15" s="51" t="s">
        <v>10</v>
      </c>
      <c r="H15" s="39">
        <v>1890</v>
      </c>
      <c r="I15" s="39">
        <v>300</v>
      </c>
      <c r="J15" s="30"/>
      <c r="K15" s="75">
        <v>11141</v>
      </c>
      <c r="L15" s="89" t="s">
        <v>130</v>
      </c>
      <c r="M15" s="44" t="s">
        <v>162</v>
      </c>
      <c r="R15" s="1">
        <f>IF(vend18[[#This Row],[Nº Venda]]&gt;1,1,0)</f>
        <v>1</v>
      </c>
    </row>
    <row r="16" spans="2:18" ht="16.5" x14ac:dyDescent="0.3">
      <c r="B16" s="31" t="s">
        <v>11</v>
      </c>
      <c r="C16" s="70">
        <f>SUM(C11:C15)</f>
        <v>3186.25</v>
      </c>
      <c r="D16" s="30"/>
      <c r="E16" s="75">
        <v>11236</v>
      </c>
      <c r="F16" s="76" t="s">
        <v>288</v>
      </c>
      <c r="G16" s="51" t="s">
        <v>46</v>
      </c>
      <c r="H16" s="39"/>
      <c r="I16" s="39"/>
      <c r="J16" s="30"/>
      <c r="K16" s="75">
        <v>11142</v>
      </c>
      <c r="L16" s="89" t="s">
        <v>130</v>
      </c>
      <c r="M16" s="44" t="s">
        <v>162</v>
      </c>
      <c r="R16" s="1">
        <f>IF(vend18[[#This Row],[Nº Venda]]&gt;1,1,0)</f>
        <v>1</v>
      </c>
    </row>
    <row r="17" spans="2:18" ht="16.5" x14ac:dyDescent="0.3">
      <c r="B17" s="27"/>
      <c r="C17" s="27"/>
      <c r="D17" s="30"/>
      <c r="E17" s="75">
        <v>11237</v>
      </c>
      <c r="F17" s="76" t="s">
        <v>289</v>
      </c>
      <c r="G17" s="51" t="s">
        <v>10</v>
      </c>
      <c r="H17" s="39">
        <v>1290</v>
      </c>
      <c r="I17" s="39">
        <v>200</v>
      </c>
      <c r="J17" s="30"/>
      <c r="K17" s="75">
        <v>11172</v>
      </c>
      <c r="L17" s="89" t="s">
        <v>128</v>
      </c>
      <c r="M17" s="44" t="s">
        <v>146</v>
      </c>
      <c r="R17" s="1">
        <f>IF(vend18[[#This Row],[Nº Venda]]&gt;1,1,0)</f>
        <v>1</v>
      </c>
    </row>
    <row r="18" spans="2:18" ht="16.5" x14ac:dyDescent="0.3">
      <c r="B18" s="109" t="s">
        <v>12</v>
      </c>
      <c r="C18" s="110"/>
      <c r="D18" s="30"/>
      <c r="E18" s="75">
        <v>11238</v>
      </c>
      <c r="F18" s="76" t="s">
        <v>289</v>
      </c>
      <c r="G18" s="51" t="s">
        <v>10</v>
      </c>
      <c r="H18" s="39">
        <v>390</v>
      </c>
      <c r="I18" s="39">
        <v>90</v>
      </c>
      <c r="J18" s="30"/>
      <c r="K18" s="75">
        <v>11173</v>
      </c>
      <c r="L18" s="89" t="s">
        <v>128</v>
      </c>
      <c r="M18" s="44" t="s">
        <v>146</v>
      </c>
      <c r="R18" s="1">
        <f>IF(vend18[[#This Row],[Nº Venda]]&gt;1,1,0)</f>
        <v>1</v>
      </c>
    </row>
    <row r="19" spans="2:18" ht="16.5" x14ac:dyDescent="0.3">
      <c r="B19" s="28">
        <f>COUNT(entr_carn18[OS])</f>
        <v>2</v>
      </c>
      <c r="C19" s="69">
        <f>SUM(entr_carn18[Valor Total])</f>
        <v>1759</v>
      </c>
      <c r="D19" s="30"/>
      <c r="E19" s="75">
        <v>11239</v>
      </c>
      <c r="F19" s="76" t="s">
        <v>290</v>
      </c>
      <c r="G19" s="51" t="s">
        <v>7</v>
      </c>
      <c r="H19" s="39">
        <v>40</v>
      </c>
      <c r="I19" s="39">
        <v>40</v>
      </c>
      <c r="J19" s="30"/>
      <c r="K19" s="75">
        <v>11188</v>
      </c>
      <c r="L19" s="89" t="s">
        <v>128</v>
      </c>
      <c r="M19" s="44" t="s">
        <v>146</v>
      </c>
      <c r="R19" s="1">
        <f>IF(vend18[[#This Row],[Nº Venda]]&gt;1,1,0)</f>
        <v>1</v>
      </c>
    </row>
    <row r="20" spans="2:18" ht="16.5" x14ac:dyDescent="0.3">
      <c r="B20" s="31" t="s">
        <v>11</v>
      </c>
      <c r="C20" s="70">
        <f>SUM(C19:C19)</f>
        <v>1759</v>
      </c>
      <c r="D20" s="30"/>
      <c r="E20" s="75"/>
      <c r="F20" s="51"/>
      <c r="G20" s="51"/>
      <c r="H20" s="39"/>
      <c r="I20" s="39"/>
      <c r="J20" s="30"/>
      <c r="K20" s="75">
        <v>11199</v>
      </c>
      <c r="L20" s="89" t="s">
        <v>130</v>
      </c>
      <c r="M20" s="44" t="s">
        <v>162</v>
      </c>
      <c r="R20" s="1">
        <f>IF(vend18[[#This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11220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6968</v>
      </c>
      <c r="D22" s="30"/>
      <c r="E22" s="77"/>
      <c r="F22" s="76"/>
      <c r="G22" s="51"/>
      <c r="H22" s="39"/>
      <c r="I22" s="39"/>
      <c r="J22" s="30"/>
      <c r="K22" s="75">
        <v>11227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60"/>
      <c r="G23" s="42"/>
      <c r="H23" s="43"/>
      <c r="I23" s="43"/>
      <c r="J23" s="30"/>
      <c r="K23" s="75">
        <v>11229</v>
      </c>
      <c r="L23" s="89" t="s">
        <v>130</v>
      </c>
      <c r="M23" s="44" t="s">
        <v>146</v>
      </c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>
        <v>11230</v>
      </c>
      <c r="L24" s="89" t="s">
        <v>128</v>
      </c>
      <c r="M24" s="44" t="s">
        <v>146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>
        <v>11239</v>
      </c>
      <c r="L25" s="89" t="s">
        <v>130</v>
      </c>
      <c r="M25" s="44" t="s">
        <v>146</v>
      </c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10105</v>
      </c>
      <c r="F35" s="76" t="s">
        <v>282</v>
      </c>
      <c r="G35" s="51" t="s">
        <v>6</v>
      </c>
      <c r="H35" s="39">
        <v>350</v>
      </c>
      <c r="I35" s="39" t="s">
        <v>93</v>
      </c>
      <c r="J35" s="38"/>
      <c r="K35" s="75">
        <v>11199</v>
      </c>
      <c r="L35" s="75">
        <v>2</v>
      </c>
      <c r="M35" s="89">
        <v>149</v>
      </c>
    </row>
    <row r="36" spans="2:18" ht="16.5" customHeight="1" x14ac:dyDescent="0.25">
      <c r="B36" s="38"/>
      <c r="C36" s="38"/>
      <c r="D36" s="38"/>
      <c r="E36" s="81">
        <v>11043</v>
      </c>
      <c r="F36" s="76" t="s">
        <v>283</v>
      </c>
      <c r="G36" s="51" t="s">
        <v>6</v>
      </c>
      <c r="H36" s="39">
        <v>96.25</v>
      </c>
      <c r="I36" s="39" t="s">
        <v>79</v>
      </c>
      <c r="J36" s="38"/>
      <c r="K36" s="75">
        <v>11141</v>
      </c>
      <c r="L36" s="75">
        <v>7</v>
      </c>
      <c r="M36" s="89">
        <v>1610</v>
      </c>
    </row>
    <row r="37" spans="2:18" ht="16.5" customHeight="1" x14ac:dyDescent="0.25">
      <c r="B37" s="38"/>
      <c r="C37" s="38"/>
      <c r="D37" s="38"/>
      <c r="E37" s="75">
        <v>11050</v>
      </c>
      <c r="F37" s="76" t="s">
        <v>292</v>
      </c>
      <c r="G37" s="51" t="s">
        <v>6</v>
      </c>
      <c r="H37" s="39">
        <v>350</v>
      </c>
      <c r="I37" s="39" t="s">
        <v>66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14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zoomScale="90" zoomScaleNormal="90" zoomScaleSheetLayoutView="7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'18'!B1+1</f>
        <v>45827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IF(vend19[[#This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IF(vend19[[#This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IF(vend19[[#This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IF(vend19[[#This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IF(vend19[[#This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IF(vend19[[#This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IF(vend19[[#This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IF(vend19[[#This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IF(vend19[[#This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IF(vend19[[#This Row],[Nº Venda]]&gt;1,1,0)</f>
        <v>0</v>
      </c>
    </row>
    <row r="17" spans="2:22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IF(vend19[[#This Row],[Nº Venda]]&gt;1,1,0)</f>
        <v>0</v>
      </c>
    </row>
    <row r="18" spans="2:22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IF(vend19[[#This Row],[Nº Venda]]&gt;1,1,0)</f>
        <v>0</v>
      </c>
    </row>
    <row r="19" spans="2:22" ht="16.5" x14ac:dyDescent="0.3">
      <c r="B19" s="28">
        <f>COUNT(entr_carn19[OS])</f>
        <v>0</v>
      </c>
      <c r="C19" s="69">
        <f>SUM(entr_carn19[Valor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IF(vend19[[#This Row],[Nº Venda]]&gt;1,1,0)</f>
        <v>0</v>
      </c>
    </row>
    <row r="20" spans="2:22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IF(vend19[[#This Row],[Nº Venda]]&gt;1,1,0)</f>
        <v>0</v>
      </c>
      <c r="V20" s="1" t="s">
        <v>54</v>
      </c>
    </row>
    <row r="21" spans="2:22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22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22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22" ht="16.5" x14ac:dyDescent="0.3">
      <c r="B26" s="30"/>
      <c r="C26" s="30"/>
      <c r="D26" s="30"/>
      <c r="E26" s="75"/>
      <c r="F26" s="51"/>
      <c r="G26" s="51"/>
      <c r="H26" s="39"/>
      <c r="I26" s="39"/>
      <c r="J26" s="30"/>
      <c r="K26" s="75"/>
      <c r="L26" s="89"/>
      <c r="M26" s="44"/>
    </row>
    <row r="27" spans="2:22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22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22" ht="16.5" x14ac:dyDescent="0.3">
      <c r="B29" s="30"/>
      <c r="C29" s="30"/>
      <c r="D29" s="30"/>
      <c r="E29" s="75"/>
      <c r="F29" s="76"/>
      <c r="G29" s="51"/>
      <c r="H29" s="51"/>
      <c r="I29" s="39"/>
      <c r="J29" s="30"/>
      <c r="K29" s="75"/>
      <c r="L29" s="89"/>
      <c r="M29" s="44"/>
    </row>
    <row r="30" spans="2:22" ht="16.5" x14ac:dyDescent="0.3">
      <c r="B30" s="30"/>
      <c r="C30" s="30"/>
      <c r="D30" s="30"/>
      <c r="E30" s="75"/>
      <c r="F30" s="76"/>
      <c r="G30" s="51"/>
      <c r="H30" s="39"/>
      <c r="I30" s="39"/>
      <c r="J30" s="30"/>
      <c r="K30" s="75"/>
      <c r="L30" s="89"/>
      <c r="M30" s="44"/>
    </row>
    <row r="31" spans="2:22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view="pageBreakPreview" zoomScale="60" zoomScaleNormal="90" workbookViewId="0">
      <selection activeCell="I18" sqref="I1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3.4257812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7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'19'!B1+1</f>
        <v>45828</v>
      </c>
      <c r="C1" s="111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6622.65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6264.3099999999995</v>
      </c>
      <c r="D6" s="30"/>
      <c r="E6" s="75">
        <v>11240</v>
      </c>
      <c r="F6" s="76" t="s">
        <v>293</v>
      </c>
      <c r="G6" s="51" t="s">
        <v>10</v>
      </c>
      <c r="H6" s="39">
        <v>120</v>
      </c>
      <c r="I6" s="39">
        <v>120</v>
      </c>
      <c r="J6" s="30"/>
      <c r="K6" s="76" t="s">
        <v>161</v>
      </c>
      <c r="L6" s="89" t="s">
        <v>10</v>
      </c>
      <c r="M6" s="44">
        <v>3.56</v>
      </c>
      <c r="R6" s="1">
        <f>IF(vend20[[#This Row],[Nº Venda]]&gt;1,1,0)</f>
        <v>1</v>
      </c>
    </row>
    <row r="7" spans="2:18" ht="16.5" x14ac:dyDescent="0.3">
      <c r="B7" s="28" t="s">
        <v>3</v>
      </c>
      <c r="C7" s="29">
        <f>SUM(M6:M11)</f>
        <v>3.56</v>
      </c>
      <c r="D7" s="30"/>
      <c r="E7" s="75">
        <v>11241</v>
      </c>
      <c r="F7" s="76" t="s">
        <v>294</v>
      </c>
      <c r="G7" s="51" t="s">
        <v>10</v>
      </c>
      <c r="H7" s="39">
        <v>1350</v>
      </c>
      <c r="I7" s="39">
        <v>1350</v>
      </c>
      <c r="J7" s="30"/>
      <c r="K7" s="76"/>
      <c r="L7" s="89"/>
      <c r="M7" s="44" t="s">
        <v>297</v>
      </c>
      <c r="R7" s="1">
        <f>IF(vend20[[#This Row],[Nº Venda]]&gt;1,1,0)</f>
        <v>1</v>
      </c>
    </row>
    <row r="8" spans="2:18" ht="16.5" x14ac:dyDescent="0.3">
      <c r="B8" s="31" t="s">
        <v>21</v>
      </c>
      <c r="C8" s="32">
        <f>SUM(C6:C7)</f>
        <v>6267.87</v>
      </c>
      <c r="D8" s="30"/>
      <c r="E8" s="75">
        <v>11242</v>
      </c>
      <c r="F8" s="76" t="s">
        <v>294</v>
      </c>
      <c r="G8" s="51" t="s">
        <v>10</v>
      </c>
      <c r="H8" s="39">
        <v>150</v>
      </c>
      <c r="I8" s="39">
        <v>150</v>
      </c>
      <c r="J8" s="30"/>
      <c r="K8" s="76"/>
      <c r="L8" s="89"/>
      <c r="M8" s="44"/>
      <c r="R8" s="1">
        <f>IF(vend20[[#This Row],[Nº Venda]]&gt;1,1,0)</f>
        <v>1</v>
      </c>
    </row>
    <row r="9" spans="2:18" ht="16.5" x14ac:dyDescent="0.3">
      <c r="B9" s="27"/>
      <c r="C9" s="27"/>
      <c r="D9" s="30"/>
      <c r="E9" s="75">
        <v>11243</v>
      </c>
      <c r="F9" s="76" t="s">
        <v>295</v>
      </c>
      <c r="G9" s="51" t="s">
        <v>8</v>
      </c>
      <c r="H9" s="39">
        <v>190</v>
      </c>
      <c r="I9" s="39">
        <v>190</v>
      </c>
      <c r="J9" s="30"/>
      <c r="K9" s="76"/>
      <c r="L9" s="89"/>
      <c r="M9" s="44"/>
      <c r="R9" s="1">
        <f>IF(vend20[[#This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11244</v>
      </c>
      <c r="F10" s="76" t="s">
        <v>296</v>
      </c>
      <c r="G10" s="51" t="s">
        <v>7</v>
      </c>
      <c r="H10" s="39">
        <v>196.65</v>
      </c>
      <c r="I10" s="39">
        <v>196.65</v>
      </c>
      <c r="J10" s="30"/>
      <c r="K10" s="76"/>
      <c r="L10" s="89"/>
      <c r="M10" s="44"/>
      <c r="R10" s="1">
        <f>IF(vend20[[#This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>
        <v>11245</v>
      </c>
      <c r="F11" s="76" t="s">
        <v>300</v>
      </c>
      <c r="G11" s="51" t="s">
        <v>10</v>
      </c>
      <c r="H11" s="39">
        <v>799</v>
      </c>
      <c r="I11" s="39">
        <v>50</v>
      </c>
      <c r="J11" s="30"/>
      <c r="K11" s="38"/>
      <c r="L11" s="89"/>
      <c r="M11" s="44"/>
      <c r="O11" s="1">
        <f>IF(C16=0,0,1)</f>
        <v>1</v>
      </c>
      <c r="R11" s="1">
        <f>IF(vend20[[#This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790.65</v>
      </c>
      <c r="D12" s="30"/>
      <c r="E12" s="75">
        <v>11246</v>
      </c>
      <c r="F12" s="76" t="s">
        <v>301</v>
      </c>
      <c r="G12" s="51" t="s">
        <v>8</v>
      </c>
      <c r="H12" s="39">
        <v>900</v>
      </c>
      <c r="I12" s="39">
        <v>900</v>
      </c>
      <c r="J12" s="30"/>
      <c r="K12" s="33"/>
      <c r="L12" s="33"/>
      <c r="M12" s="33"/>
      <c r="R12" s="1">
        <f>IF(vend20[[#This Row],[Nº Venda]]&gt;1,1,0)</f>
        <v>1</v>
      </c>
    </row>
    <row r="13" spans="2:18" ht="16.5" x14ac:dyDescent="0.3">
      <c r="B13" s="28" t="s">
        <v>8</v>
      </c>
      <c r="C13" s="69">
        <f t="shared" si="0"/>
        <v>3009</v>
      </c>
      <c r="D13" s="30"/>
      <c r="E13" s="75">
        <v>11247</v>
      </c>
      <c r="F13" s="76" t="s">
        <v>302</v>
      </c>
      <c r="G13" s="51" t="s">
        <v>10</v>
      </c>
      <c r="H13" s="39">
        <v>698</v>
      </c>
      <c r="I13" s="39">
        <v>698</v>
      </c>
      <c r="J13" s="30"/>
      <c r="K13" s="102" t="s">
        <v>141</v>
      </c>
      <c r="L13" s="103"/>
      <c r="M13" s="104"/>
      <c r="R13" s="1">
        <f>IF(vend20[[#This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11248</v>
      </c>
      <c r="F14" s="76" t="s">
        <v>305</v>
      </c>
      <c r="G14" s="51" t="s">
        <v>8</v>
      </c>
      <c r="H14" s="39">
        <v>290</v>
      </c>
      <c r="I14" s="39">
        <v>290</v>
      </c>
      <c r="J14" s="30"/>
      <c r="K14" s="22" t="s">
        <v>22</v>
      </c>
      <c r="L14" s="23" t="s">
        <v>23</v>
      </c>
      <c r="M14" s="24" t="s">
        <v>24</v>
      </c>
      <c r="R14" s="1">
        <f>IF(vend20[[#This Row],[Nº Venda]]&gt;1,1,0)</f>
        <v>1</v>
      </c>
    </row>
    <row r="15" spans="2:18" ht="16.5" x14ac:dyDescent="0.3">
      <c r="B15" s="28" t="s">
        <v>10</v>
      </c>
      <c r="C15" s="69">
        <f t="shared" si="0"/>
        <v>2464.66</v>
      </c>
      <c r="D15" s="30"/>
      <c r="E15" s="75">
        <v>11249</v>
      </c>
      <c r="F15" s="76" t="s">
        <v>303</v>
      </c>
      <c r="G15" s="51" t="s">
        <v>8</v>
      </c>
      <c r="H15" s="39">
        <v>1929</v>
      </c>
      <c r="I15" s="39">
        <v>1629</v>
      </c>
      <c r="J15" s="30"/>
      <c r="K15" s="75">
        <v>11005</v>
      </c>
      <c r="L15" s="89" t="s">
        <v>130</v>
      </c>
      <c r="M15" s="44" t="s">
        <v>146</v>
      </c>
      <c r="R15" s="1">
        <f>IF(vend20[[#This Row],[Nº Venda]]&gt;1,1,0)</f>
        <v>1</v>
      </c>
    </row>
    <row r="16" spans="2:18" ht="16.5" x14ac:dyDescent="0.3">
      <c r="B16" s="31" t="s">
        <v>11</v>
      </c>
      <c r="C16" s="70">
        <f>SUM(C11:C15)</f>
        <v>6264.3099999999995</v>
      </c>
      <c r="D16" s="30"/>
      <c r="E16" s="75">
        <v>11249</v>
      </c>
      <c r="F16" s="76" t="s">
        <v>303</v>
      </c>
      <c r="G16" s="51" t="s">
        <v>7</v>
      </c>
      <c r="H16" s="39">
        <v>0</v>
      </c>
      <c r="I16" s="39">
        <v>300</v>
      </c>
      <c r="J16" s="30"/>
      <c r="K16" s="75">
        <v>11105</v>
      </c>
      <c r="L16" s="89" t="s">
        <v>130</v>
      </c>
      <c r="M16" s="44" t="s">
        <v>146</v>
      </c>
      <c r="R16" s="1">
        <f>IF(vend20[[#This Row],[Nº Venda]]&gt;1,1,0)</f>
        <v>1</v>
      </c>
    </row>
    <row r="17" spans="2:18" ht="16.5" x14ac:dyDescent="0.3">
      <c r="B17" s="27"/>
      <c r="C17" s="27"/>
      <c r="D17" s="30"/>
      <c r="E17" s="75">
        <v>11250</v>
      </c>
      <c r="F17" s="76" t="s">
        <v>303</v>
      </c>
      <c r="G17" s="51" t="s">
        <v>46</v>
      </c>
      <c r="H17" s="39">
        <v>0</v>
      </c>
      <c r="I17" s="39">
        <v>0</v>
      </c>
      <c r="J17" s="30"/>
      <c r="K17" s="75">
        <v>11116</v>
      </c>
      <c r="L17" s="89" t="s">
        <v>130</v>
      </c>
      <c r="M17" s="44" t="s">
        <v>146</v>
      </c>
      <c r="R17" s="1">
        <f>IF(vend20[[#This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11151</v>
      </c>
      <c r="L18" s="89" t="s">
        <v>130</v>
      </c>
      <c r="M18" s="44" t="s">
        <v>162</v>
      </c>
      <c r="R18" s="1">
        <f>IF(vend20[[#This Row],[Nº Venda]]&gt;1,1,0)</f>
        <v>0</v>
      </c>
    </row>
    <row r="19" spans="2:18" ht="16.5" x14ac:dyDescent="0.3">
      <c r="B19" s="28">
        <f>COUNT(entr_carn20[OS])</f>
        <v>1</v>
      </c>
      <c r="C19" s="69">
        <f>SUM(entr_carn20[Valor Total])</f>
        <v>750</v>
      </c>
      <c r="D19" s="30"/>
      <c r="E19" s="75"/>
      <c r="F19" s="76"/>
      <c r="G19" s="51"/>
      <c r="H19" s="39"/>
      <c r="I19" s="39"/>
      <c r="J19" s="30"/>
      <c r="K19" s="75">
        <v>11191</v>
      </c>
      <c r="L19" s="89" t="s">
        <v>128</v>
      </c>
      <c r="M19" s="44" t="s">
        <v>146</v>
      </c>
      <c r="R19" s="1">
        <f>IF(vend20[[#This Row],[Nº Venda]]&gt;1,1,0)</f>
        <v>0</v>
      </c>
    </row>
    <row r="20" spans="2:18" ht="16.5" x14ac:dyDescent="0.3">
      <c r="B20" s="31" t="s">
        <v>11</v>
      </c>
      <c r="C20" s="70">
        <f>SUM(C19:C19)</f>
        <v>750</v>
      </c>
      <c r="D20" s="30"/>
      <c r="E20" s="75"/>
      <c r="F20" s="51"/>
      <c r="G20" s="51"/>
      <c r="H20" s="39"/>
      <c r="I20" s="39"/>
      <c r="J20" s="30"/>
      <c r="K20" s="75">
        <v>11217</v>
      </c>
      <c r="L20" s="89" t="s">
        <v>130</v>
      </c>
      <c r="M20" s="44" t="s">
        <v>146</v>
      </c>
      <c r="R20" s="1">
        <f>IF(vend20[[#This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11240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6622.65</v>
      </c>
      <c r="D22" s="30"/>
      <c r="E22" s="77"/>
      <c r="F22" s="76"/>
      <c r="G22" s="51"/>
      <c r="H22" s="39"/>
      <c r="I22" s="39"/>
      <c r="J22" s="30"/>
      <c r="K22" s="75">
        <v>11244</v>
      </c>
      <c r="L22" s="89" t="s">
        <v>130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11151</v>
      </c>
      <c r="F26" s="76" t="s">
        <v>304</v>
      </c>
      <c r="G26" s="51" t="s">
        <v>7</v>
      </c>
      <c r="H26" s="39"/>
      <c r="I26" s="39">
        <v>130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11217</v>
      </c>
      <c r="F27" s="76" t="s">
        <v>272</v>
      </c>
      <c r="G27" s="51" t="s">
        <v>7</v>
      </c>
      <c r="H27" s="39"/>
      <c r="I27" s="39">
        <v>80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10559</v>
      </c>
      <c r="F35" s="76" t="s">
        <v>298</v>
      </c>
      <c r="G35" s="51" t="s">
        <v>10</v>
      </c>
      <c r="H35" s="39">
        <v>96.66</v>
      </c>
      <c r="I35" s="39" t="s">
        <v>75</v>
      </c>
      <c r="J35" s="38"/>
      <c r="K35" s="75">
        <v>11151</v>
      </c>
      <c r="L35" s="75">
        <v>8</v>
      </c>
      <c r="M35" s="89">
        <v>750</v>
      </c>
    </row>
    <row r="36" spans="2:18" ht="16.5" customHeight="1" x14ac:dyDescent="0.25">
      <c r="B36" s="38"/>
      <c r="C36" s="38"/>
      <c r="D36" s="38"/>
      <c r="E36" s="81">
        <v>10360</v>
      </c>
      <c r="F36" s="76" t="s">
        <v>299</v>
      </c>
      <c r="G36" s="51" t="s">
        <v>7</v>
      </c>
      <c r="H36" s="39">
        <v>84</v>
      </c>
      <c r="I36" s="39" t="s">
        <v>44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4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zoomScale="90" zoomScaleNormal="9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'20'!B1+1</f>
        <v>45829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3856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1055.5</v>
      </c>
      <c r="D6" s="30"/>
      <c r="E6" s="75">
        <v>11251</v>
      </c>
      <c r="F6" s="76" t="s">
        <v>307</v>
      </c>
      <c r="G6" s="51" t="s">
        <v>6</v>
      </c>
      <c r="H6" s="39">
        <v>1190</v>
      </c>
      <c r="I6" s="39">
        <v>120</v>
      </c>
      <c r="J6" s="30"/>
      <c r="K6" s="76" t="s">
        <v>161</v>
      </c>
      <c r="L6" s="89" t="s">
        <v>10</v>
      </c>
      <c r="M6" s="44">
        <v>4.7</v>
      </c>
      <c r="R6" s="1">
        <f>IF(vend21[[#This Row],[Nº Venda]]&gt;1,1,0)</f>
        <v>1</v>
      </c>
    </row>
    <row r="7" spans="2:18" ht="16.5" x14ac:dyDescent="0.3">
      <c r="B7" s="28" t="s">
        <v>3</v>
      </c>
      <c r="C7" s="29">
        <f>SUM(M6:M11)</f>
        <v>194.7</v>
      </c>
      <c r="D7" s="30"/>
      <c r="E7" s="75">
        <v>11252</v>
      </c>
      <c r="F7" s="76" t="s">
        <v>308</v>
      </c>
      <c r="G7" s="51" t="s">
        <v>46</v>
      </c>
      <c r="H7" s="39"/>
      <c r="I7" s="39"/>
      <c r="J7" s="30"/>
      <c r="K7" s="76" t="s">
        <v>209</v>
      </c>
      <c r="L7" s="89" t="s">
        <v>6</v>
      </c>
      <c r="M7" s="44">
        <v>190</v>
      </c>
      <c r="R7" s="1">
        <f>IF(vend21[[#This Row],[Nº Venda]]&gt;1,1,0)</f>
        <v>1</v>
      </c>
    </row>
    <row r="8" spans="2:18" ht="16.5" x14ac:dyDescent="0.3">
      <c r="B8" s="31" t="s">
        <v>21</v>
      </c>
      <c r="C8" s="32">
        <f>SUM(C6:C7)</f>
        <v>1250.2</v>
      </c>
      <c r="D8" s="30"/>
      <c r="E8" s="75">
        <v>11253</v>
      </c>
      <c r="F8" s="76" t="s">
        <v>309</v>
      </c>
      <c r="G8" s="51" t="s">
        <v>8</v>
      </c>
      <c r="H8" s="39">
        <v>650</v>
      </c>
      <c r="I8" s="39">
        <v>300</v>
      </c>
      <c r="J8" s="30"/>
      <c r="K8" s="76"/>
      <c r="L8" s="89"/>
      <c r="M8" s="44"/>
      <c r="R8" s="1">
        <f>IF(vend21[[#This Row],[Nº Venda]]&gt;1,1,0)</f>
        <v>1</v>
      </c>
    </row>
    <row r="9" spans="2:18" ht="16.5" x14ac:dyDescent="0.3">
      <c r="B9" s="27"/>
      <c r="C9" s="27"/>
      <c r="D9" s="30"/>
      <c r="E9" s="75">
        <v>11254</v>
      </c>
      <c r="F9" s="76" t="s">
        <v>311</v>
      </c>
      <c r="G9" s="51" t="s">
        <v>6</v>
      </c>
      <c r="H9" s="39">
        <v>1216</v>
      </c>
      <c r="I9" s="39">
        <v>5</v>
      </c>
      <c r="J9" s="30"/>
      <c r="K9" s="76"/>
      <c r="L9" s="89"/>
      <c r="M9" s="44"/>
      <c r="R9" s="1">
        <f>IF(vend21[[#This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11255</v>
      </c>
      <c r="F10" s="76" t="s">
        <v>311</v>
      </c>
      <c r="G10" s="51" t="s">
        <v>46</v>
      </c>
      <c r="H10" s="39"/>
      <c r="I10" s="39"/>
      <c r="J10" s="30"/>
      <c r="K10" s="76"/>
      <c r="L10" s="89"/>
      <c r="M10" s="44"/>
      <c r="R10" s="1">
        <f>IF(vend21[[#This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190</v>
      </c>
      <c r="D11" s="30"/>
      <c r="E11" s="75">
        <v>11256</v>
      </c>
      <c r="F11" s="76" t="s">
        <v>311</v>
      </c>
      <c r="G11" s="51" t="s">
        <v>6</v>
      </c>
      <c r="H11" s="39">
        <v>800</v>
      </c>
      <c r="I11" s="39">
        <v>5</v>
      </c>
      <c r="J11" s="30"/>
      <c r="K11" s="38"/>
      <c r="L11" s="89"/>
      <c r="M11" s="44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IF(vend21[[#This Row],[Nº Venda]]&gt;1,1,0)</f>
        <v>0</v>
      </c>
    </row>
    <row r="13" spans="2:18" ht="16.5" x14ac:dyDescent="0.3">
      <c r="B13" s="28" t="s">
        <v>8</v>
      </c>
      <c r="C13" s="69">
        <f t="shared" si="0"/>
        <v>300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IF(vend21[[#This Row],[Nº Venda]]&gt;1,1,0)</f>
        <v>0</v>
      </c>
    </row>
    <row r="15" spans="2:18" ht="16.5" x14ac:dyDescent="0.3">
      <c r="B15" s="28" t="s">
        <v>10</v>
      </c>
      <c r="C15" s="69">
        <f t="shared" si="0"/>
        <v>565.5</v>
      </c>
      <c r="D15" s="30"/>
      <c r="E15" s="75"/>
      <c r="F15" s="76"/>
      <c r="G15" s="51"/>
      <c r="H15" s="39"/>
      <c r="I15" s="39"/>
      <c r="J15" s="30"/>
      <c r="K15" s="75">
        <v>11075</v>
      </c>
      <c r="L15" s="89" t="s">
        <v>130</v>
      </c>
      <c r="M15" s="44" t="s">
        <v>162</v>
      </c>
      <c r="R15" s="1">
        <f>IF(vend21[[#This Row],[Nº Venda]]&gt;1,1,0)</f>
        <v>0</v>
      </c>
    </row>
    <row r="16" spans="2:18" ht="16.5" x14ac:dyDescent="0.3">
      <c r="B16" s="31" t="s">
        <v>11</v>
      </c>
      <c r="C16" s="70">
        <f>SUM(C11:C15)</f>
        <v>1055.5</v>
      </c>
      <c r="D16" s="30"/>
      <c r="E16" s="75"/>
      <c r="F16" s="76"/>
      <c r="G16" s="51"/>
      <c r="H16" s="39"/>
      <c r="I16" s="39"/>
      <c r="J16" s="30"/>
      <c r="K16" s="75">
        <v>11079</v>
      </c>
      <c r="L16" s="89" t="s">
        <v>128</v>
      </c>
      <c r="M16" s="44" t="s">
        <v>146</v>
      </c>
      <c r="R16" s="1">
        <f>IF(vend21[[#This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11012</v>
      </c>
      <c r="L17" s="89" t="s">
        <v>130</v>
      </c>
      <c r="M17" s="44" t="s">
        <v>146</v>
      </c>
      <c r="R17" s="1">
        <f>IF(vend21[[#This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11207</v>
      </c>
      <c r="L18" s="89" t="s">
        <v>128</v>
      </c>
      <c r="M18" s="44" t="s">
        <v>162</v>
      </c>
      <c r="R18" s="1">
        <f>IF(vend21[[#This Row],[Nº Venda]]&gt;1,1,0)</f>
        <v>0</v>
      </c>
    </row>
    <row r="19" spans="2:18" ht="16.5" x14ac:dyDescent="0.3">
      <c r="B19" s="28">
        <f>COUNT(entr_carn21[OS])</f>
        <v>1</v>
      </c>
      <c r="C19" s="69">
        <f>SUM(entr_carn21[Valor Total])</f>
        <v>1849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IF(vend21[[#This Row],[Nº Venda]]&gt;1,1,0)</f>
        <v>0</v>
      </c>
    </row>
    <row r="20" spans="2:18" ht="16.5" x14ac:dyDescent="0.3">
      <c r="B20" s="31" t="s">
        <v>11</v>
      </c>
      <c r="C20" s="70">
        <f>SUM(C19:C19)</f>
        <v>1849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3856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11079</v>
      </c>
      <c r="F26" s="76" t="s">
        <v>310</v>
      </c>
      <c r="G26" s="51" t="s">
        <v>10</v>
      </c>
      <c r="H26" s="39"/>
      <c r="I26" s="39">
        <v>280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10956</v>
      </c>
      <c r="F35" s="76" t="s">
        <v>306</v>
      </c>
      <c r="G35" s="51" t="s">
        <v>10</v>
      </c>
      <c r="H35" s="39">
        <v>149.38</v>
      </c>
      <c r="I35" s="39" t="s">
        <v>35</v>
      </c>
      <c r="J35" s="38"/>
      <c r="K35" s="75">
        <v>11207</v>
      </c>
      <c r="L35" s="75">
        <v>8</v>
      </c>
      <c r="M35" s="89">
        <v>1849</v>
      </c>
    </row>
    <row r="36" spans="2:18" ht="16.5" customHeight="1" x14ac:dyDescent="0.25">
      <c r="B36" s="38"/>
      <c r="C36" s="38"/>
      <c r="D36" s="38"/>
      <c r="E36" s="81">
        <v>10337</v>
      </c>
      <c r="F36" s="76" t="s">
        <v>191</v>
      </c>
      <c r="G36" s="51" t="s">
        <v>10</v>
      </c>
      <c r="H36" s="39">
        <v>136.12</v>
      </c>
      <c r="I36" s="39" t="s">
        <v>34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11221</v>
      </c>
      <c r="F37" s="76" t="s">
        <v>312</v>
      </c>
      <c r="G37" s="51" t="s">
        <v>6</v>
      </c>
      <c r="H37" s="39">
        <v>60</v>
      </c>
      <c r="I37" s="39" t="s">
        <v>42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6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topLeftCell="A2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'21'!B1+1</f>
        <v>45830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IF(vend22[[#This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IF(vend22[[#This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IF(vend22[[#This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IF(vend22[[#This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IF(vend22[[#This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IF(vend22[[#This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IF(vend22[[#This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IF(vend22[[#This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IF(vend22[[#This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IF(vend22[[#This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IF(vend22[[#This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IF(vend22[[#This Row],[Nº Venda]]&gt;1,1,0)</f>
        <v>0</v>
      </c>
    </row>
    <row r="19" spans="2:18" ht="16.5" x14ac:dyDescent="0.3">
      <c r="B19" s="28">
        <f>COUNT(entr_carn22[OS])</f>
        <v>0</v>
      </c>
      <c r="C19" s="69">
        <f>SUM(entr_carn22[Valor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IF(vend22[[#This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IF(vend22[[#This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'22'!B1+1</f>
        <v>45831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300</v>
      </c>
      <c r="D6" s="30"/>
      <c r="E6" s="75">
        <v>11257</v>
      </c>
      <c r="F6" s="76" t="s">
        <v>219</v>
      </c>
      <c r="G6" s="51" t="s">
        <v>36</v>
      </c>
      <c r="H6" s="39">
        <v>0</v>
      </c>
      <c r="I6" s="39">
        <v>0</v>
      </c>
      <c r="J6" s="30"/>
      <c r="K6" s="76" t="s">
        <v>161</v>
      </c>
      <c r="L6" s="89" t="s">
        <v>315</v>
      </c>
      <c r="M6" s="44">
        <v>2.86</v>
      </c>
      <c r="R6" s="1">
        <f>IF(vend23[[#This Row],[Nº Venda]]&gt;1,1,0)</f>
        <v>1</v>
      </c>
    </row>
    <row r="7" spans="2:18" ht="16.5" x14ac:dyDescent="0.3">
      <c r="B7" s="28" t="s">
        <v>3</v>
      </c>
      <c r="C7" s="29">
        <f>SUM(M6:M11)</f>
        <v>2.86</v>
      </c>
      <c r="D7" s="30"/>
      <c r="E7" s="75">
        <v>11258</v>
      </c>
      <c r="F7" s="76" t="s">
        <v>314</v>
      </c>
      <c r="G7" s="51" t="s">
        <v>46</v>
      </c>
      <c r="H7" s="39">
        <v>60</v>
      </c>
      <c r="I7" s="39">
        <v>0</v>
      </c>
      <c r="J7" s="30"/>
      <c r="K7" s="76"/>
      <c r="L7" s="89"/>
      <c r="M7" s="44"/>
      <c r="R7" s="1">
        <f>IF(vend23[[#This Row],[Nº Venda]]&gt;1,1,0)</f>
        <v>1</v>
      </c>
    </row>
    <row r="8" spans="2:18" ht="16.5" x14ac:dyDescent="0.3">
      <c r="B8" s="31" t="s">
        <v>21</v>
      </c>
      <c r="C8" s="32">
        <f>SUM(C6:C7)</f>
        <v>302.86</v>
      </c>
      <c r="D8" s="30"/>
      <c r="E8" s="75">
        <v>11259</v>
      </c>
      <c r="F8" s="76"/>
      <c r="G8" s="51"/>
      <c r="H8" s="39"/>
      <c r="I8" s="39"/>
      <c r="J8" s="30"/>
      <c r="K8" s="76"/>
      <c r="L8" s="89"/>
      <c r="M8" s="44"/>
      <c r="R8" s="1">
        <f>IF(vend23[[#This Row],[Nº Venda]]&gt;1,1,0)</f>
        <v>1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IF(vend23[[#This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IF(vend23[[#This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300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IF(vend23[[#This Row],[Nº Venda]]&gt;1,1,0)</f>
        <v>0</v>
      </c>
    </row>
    <row r="12" spans="2:18" ht="16.5" x14ac:dyDescent="0.3">
      <c r="B12" s="28" t="s">
        <v>7</v>
      </c>
      <c r="C12" s="71">
        <f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IF(vend23[[#This Row],[Nº Venda]]&gt;1,1,0)</f>
        <v>0</v>
      </c>
    </row>
    <row r="13" spans="2:18" ht="16.5" x14ac:dyDescent="0.3">
      <c r="B13" s="28" t="s">
        <v>8</v>
      </c>
      <c r="C13" s="71">
        <f>(SUMIF($G$2:$G$31,B13,$I$2:$I$31))+(SUMIF($G$35:$G$41,B13,$H$35:$H$41))</f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IF(vend23[[#This Row],[Nº Venda]]&gt;1,1,0)</f>
        <v>0</v>
      </c>
    </row>
    <row r="14" spans="2:18" ht="16.5" x14ac:dyDescent="0.3">
      <c r="B14" s="28" t="s">
        <v>9</v>
      </c>
      <c r="C14" s="71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IF(vend23[[#This Row],[Nº Venda]]&gt;1,1,0)</f>
        <v>0</v>
      </c>
    </row>
    <row r="15" spans="2:18" ht="16.5" x14ac:dyDescent="0.3">
      <c r="B15" s="28" t="s">
        <v>10</v>
      </c>
      <c r="C15" s="71">
        <f>(SUMIF($G$2:$G$31,B15,$I$2:$I$31))+(SUMIF($G$35:$G$41,B15,$H$35:$H$41))</f>
        <v>0</v>
      </c>
      <c r="D15" s="30"/>
      <c r="E15" s="75"/>
      <c r="F15" s="76"/>
      <c r="G15" s="51"/>
      <c r="H15" s="39"/>
      <c r="I15" s="39"/>
      <c r="J15" s="30"/>
      <c r="K15" s="75">
        <v>10985</v>
      </c>
      <c r="L15" s="89" t="s">
        <v>130</v>
      </c>
      <c r="M15" s="44" t="s">
        <v>162</v>
      </c>
      <c r="R15" s="1">
        <f>IF(vend23[[#This Row],[Nº Venda]]&gt;1,1,0)</f>
        <v>0</v>
      </c>
    </row>
    <row r="16" spans="2:18" ht="16.5" x14ac:dyDescent="0.3">
      <c r="B16" s="31" t="s">
        <v>11</v>
      </c>
      <c r="C16" s="70">
        <f>SUM(C11:C15)</f>
        <v>300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IF(vend23[[#This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IF(vend23[[#This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IF(vend23[[#This Row],[Nº Venda]]&gt;1,1,0)</f>
        <v>0</v>
      </c>
    </row>
    <row r="19" spans="2:18" ht="16.5" x14ac:dyDescent="0.3">
      <c r="B19" s="28">
        <f>COUNT(entr_carn23[OS])</f>
        <v>1</v>
      </c>
      <c r="C19" s="69">
        <f>SUM(entr_carn23[Valor Total])</f>
        <v>1249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IF(vend23[[#This Row],[Nº Venda]]&gt;1,1,0)</f>
        <v>0</v>
      </c>
    </row>
    <row r="20" spans="2:18" ht="16.5" x14ac:dyDescent="0.3">
      <c r="B20" s="31" t="s">
        <v>11</v>
      </c>
      <c r="C20" s="70">
        <f>SUM(C19:C19)</f>
        <v>1249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IF(vend23[[#This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10985</v>
      </c>
      <c r="F26" s="76" t="s">
        <v>316</v>
      </c>
      <c r="G26" s="51" t="s">
        <v>6</v>
      </c>
      <c r="H26" s="39"/>
      <c r="I26" s="39">
        <v>200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11040</v>
      </c>
      <c r="F35" s="76" t="s">
        <v>313</v>
      </c>
      <c r="G35" s="51" t="s">
        <v>6</v>
      </c>
      <c r="H35" s="39">
        <v>86</v>
      </c>
      <c r="I35" s="39" t="s">
        <v>77</v>
      </c>
      <c r="J35" s="38"/>
      <c r="K35" s="75">
        <v>10985</v>
      </c>
      <c r="L35" s="75">
        <v>7</v>
      </c>
      <c r="M35" s="89">
        <v>1249</v>
      </c>
    </row>
    <row r="36" spans="2:18" ht="16.5" customHeight="1" x14ac:dyDescent="0.25">
      <c r="B36" s="38"/>
      <c r="C36" s="38"/>
      <c r="D36" s="38"/>
      <c r="E36" s="81">
        <v>11040</v>
      </c>
      <c r="F36" s="76" t="s">
        <v>313</v>
      </c>
      <c r="G36" s="51" t="s">
        <v>6</v>
      </c>
      <c r="H36" s="39">
        <v>14</v>
      </c>
      <c r="I36" s="39" t="s">
        <v>31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K15:K28 K30:K31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view="pageBreakPreview" zoomScale="6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'23'!B1+1</f>
        <v>45832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2405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2698.32</v>
      </c>
      <c r="D6" s="30"/>
      <c r="E6" s="75">
        <v>11262</v>
      </c>
      <c r="F6" s="76" t="s">
        <v>317</v>
      </c>
      <c r="G6" s="51" t="s">
        <v>8</v>
      </c>
      <c r="H6" s="39">
        <v>990</v>
      </c>
      <c r="I6" s="39">
        <v>990</v>
      </c>
      <c r="J6" s="30"/>
      <c r="K6" s="76" t="s">
        <v>145</v>
      </c>
      <c r="L6" s="89" t="s">
        <v>10</v>
      </c>
      <c r="M6" s="44">
        <v>2.56</v>
      </c>
      <c r="R6" s="1">
        <f>IF(vend24[[#This Row],[Nº Venda]]&gt;1,1,0)</f>
        <v>1</v>
      </c>
    </row>
    <row r="7" spans="2:18" ht="16.5" x14ac:dyDescent="0.3">
      <c r="B7" s="28" t="s">
        <v>3</v>
      </c>
      <c r="C7" s="29">
        <f>SUM(M6:M11)</f>
        <v>2.56</v>
      </c>
      <c r="D7" s="30"/>
      <c r="E7" s="75">
        <v>11263</v>
      </c>
      <c r="F7" s="76" t="s">
        <v>228</v>
      </c>
      <c r="G7" s="51" t="s">
        <v>46</v>
      </c>
      <c r="H7" s="39">
        <v>1290</v>
      </c>
      <c r="I7" s="39">
        <v>0</v>
      </c>
      <c r="J7" s="30"/>
      <c r="K7" s="76"/>
      <c r="L7" s="89"/>
      <c r="M7" s="44"/>
      <c r="R7" s="1">
        <f>IF(vend24[[#This Row],[Nº Venda]]&gt;1,1,0)</f>
        <v>1</v>
      </c>
    </row>
    <row r="8" spans="2:18" ht="16.5" x14ac:dyDescent="0.3">
      <c r="B8" s="31" t="s">
        <v>21</v>
      </c>
      <c r="C8" s="32">
        <f>SUM(C6:C7)</f>
        <v>2700.88</v>
      </c>
      <c r="D8" s="30"/>
      <c r="E8" s="75">
        <v>11264</v>
      </c>
      <c r="F8" s="76" t="s">
        <v>318</v>
      </c>
      <c r="G8" s="51" t="s">
        <v>6</v>
      </c>
      <c r="H8" s="39">
        <v>1415</v>
      </c>
      <c r="I8" s="39">
        <v>500</v>
      </c>
      <c r="J8" s="30"/>
      <c r="K8" s="76"/>
      <c r="L8" s="89"/>
      <c r="M8" s="44"/>
      <c r="R8" s="1">
        <f>IF(vend24[[#This Row],[Nº Venda]]&gt;1,1,0)</f>
        <v>1</v>
      </c>
    </row>
    <row r="9" spans="2:18" ht="16.5" x14ac:dyDescent="0.3">
      <c r="B9" s="27"/>
      <c r="C9" s="27"/>
      <c r="D9" s="30"/>
      <c r="E9" s="75">
        <v>11264</v>
      </c>
      <c r="F9" s="76" t="s">
        <v>318</v>
      </c>
      <c r="G9" s="51" t="s">
        <v>8</v>
      </c>
      <c r="H9" s="39"/>
      <c r="I9" s="39">
        <v>915</v>
      </c>
      <c r="J9" s="30"/>
      <c r="K9" s="76"/>
      <c r="L9" s="89"/>
      <c r="M9" s="44"/>
      <c r="R9" s="1">
        <f>IF(vend24[[#This Row],[Nº Venda]]&gt;1,1,0)</f>
        <v>1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IF(vend24[[#This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500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IF(vend24[[#This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IF(vend24[[#This Row],[Nº Venda]]&gt;1,1,0)</f>
        <v>0</v>
      </c>
    </row>
    <row r="13" spans="2:18" ht="16.5" x14ac:dyDescent="0.3">
      <c r="B13" s="28" t="s">
        <v>8</v>
      </c>
      <c r="C13" s="69">
        <f t="shared" si="0"/>
        <v>1905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IF(vend24[[#This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IF(vend24[[#This Row],[Nº Venda]]&gt;1,1,0)</f>
        <v>0</v>
      </c>
    </row>
    <row r="15" spans="2:18" ht="16.5" x14ac:dyDescent="0.3">
      <c r="B15" s="28" t="s">
        <v>10</v>
      </c>
      <c r="C15" s="69">
        <f t="shared" si="0"/>
        <v>293.32</v>
      </c>
      <c r="D15" s="30"/>
      <c r="E15" s="75"/>
      <c r="F15" s="76"/>
      <c r="G15" s="51"/>
      <c r="H15" s="39"/>
      <c r="I15" s="39"/>
      <c r="J15" s="30"/>
      <c r="K15" s="75">
        <v>11122</v>
      </c>
      <c r="L15" s="89" t="s">
        <v>128</v>
      </c>
      <c r="M15" s="44" t="s">
        <v>146</v>
      </c>
      <c r="R15" s="1">
        <f>IF(vend24[[#This Row],[Nº Venda]]&gt;1,1,0)</f>
        <v>0</v>
      </c>
    </row>
    <row r="16" spans="2:18" ht="16.5" x14ac:dyDescent="0.3">
      <c r="B16" s="31" t="s">
        <v>11</v>
      </c>
      <c r="C16" s="70">
        <f>SUM(C11:C15)</f>
        <v>2698.32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IF(vend24[[#This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IF(vend24[[#This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IF(vend24[[#This Row],[Nº Venda]]&gt;1,1,0)</f>
        <v>0</v>
      </c>
    </row>
    <row r="19" spans="2:18" ht="16.5" x14ac:dyDescent="0.3">
      <c r="B19" s="28">
        <f>COUNT(entr_carn24[OS])</f>
        <v>0</v>
      </c>
      <c r="C19" s="69">
        <f>SUM(entr_carn24[Valor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IF(vend24[[#This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IF(vend24[[#This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2405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10732</v>
      </c>
      <c r="F35" s="76" t="s">
        <v>319</v>
      </c>
      <c r="G35" s="51" t="s">
        <v>10</v>
      </c>
      <c r="H35" s="39">
        <v>146.66</v>
      </c>
      <c r="I35" s="39" t="s">
        <v>50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10732</v>
      </c>
      <c r="F36" s="76" t="s">
        <v>319</v>
      </c>
      <c r="G36" s="51" t="s">
        <v>10</v>
      </c>
      <c r="H36" s="39">
        <v>146.66</v>
      </c>
      <c r="I36" s="39" t="s">
        <v>41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view="pageBreakPreview" zoomScale="60" zoomScaleNormal="90" workbookViewId="0">
      <selection activeCell="H31" sqref="H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'24'!B1+1</f>
        <v>45833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1440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 ca="1">C16</f>
        <v>2990</v>
      </c>
      <c r="D6" s="30"/>
      <c r="E6" s="75">
        <v>11265</v>
      </c>
      <c r="F6" s="76" t="s">
        <v>320</v>
      </c>
      <c r="G6" s="51" t="s">
        <v>10</v>
      </c>
      <c r="H6" s="39">
        <v>40</v>
      </c>
      <c r="I6" s="39">
        <v>40</v>
      </c>
      <c r="J6" s="30"/>
      <c r="K6" s="76" t="s">
        <v>161</v>
      </c>
      <c r="L6" s="89" t="s">
        <v>322</v>
      </c>
      <c r="M6" s="44">
        <v>3.98</v>
      </c>
      <c r="R6" s="1">
        <f>IF(vend25[[#This Row],[Nº Venda]]&gt;1,1,0)</f>
        <v>1</v>
      </c>
    </row>
    <row r="7" spans="2:18" ht="16.5" x14ac:dyDescent="0.3">
      <c r="B7" s="28" t="s">
        <v>3</v>
      </c>
      <c r="C7" s="29">
        <f>SUM(M6:M11)</f>
        <v>53.98</v>
      </c>
      <c r="D7" s="30"/>
      <c r="E7" s="75">
        <v>11266</v>
      </c>
      <c r="F7" s="76" t="s">
        <v>323</v>
      </c>
      <c r="G7" s="51" t="s">
        <v>8</v>
      </c>
      <c r="H7" s="39">
        <v>370</v>
      </c>
      <c r="I7" s="39">
        <v>370</v>
      </c>
      <c r="J7" s="30"/>
      <c r="K7" s="76" t="s">
        <v>335</v>
      </c>
      <c r="L7" s="89" t="s">
        <v>6</v>
      </c>
      <c r="M7" s="44">
        <v>50</v>
      </c>
      <c r="R7" s="1">
        <f>IF(vend25[[#This Row],[Nº Venda]]&gt;1,1,0)</f>
        <v>1</v>
      </c>
    </row>
    <row r="8" spans="2:18" ht="16.5" x14ac:dyDescent="0.3">
      <c r="B8" s="31" t="s">
        <v>21</v>
      </c>
      <c r="C8" s="32">
        <f ca="1">SUM(C6:C7)</f>
        <v>3043.98</v>
      </c>
      <c r="D8" s="30"/>
      <c r="E8" s="75">
        <v>11267</v>
      </c>
      <c r="F8" s="76" t="s">
        <v>324</v>
      </c>
      <c r="G8" s="51" t="s">
        <v>10</v>
      </c>
      <c r="H8" s="39">
        <v>690</v>
      </c>
      <c r="I8" s="39">
        <v>690</v>
      </c>
      <c r="J8" s="30"/>
      <c r="K8" s="76"/>
      <c r="L8" s="89"/>
      <c r="M8" s="44"/>
      <c r="R8" s="1">
        <f>IF(vend25[[#This Row],[Nº Venda]]&gt;1,1,0)</f>
        <v>1</v>
      </c>
    </row>
    <row r="9" spans="2:18" ht="16.5" x14ac:dyDescent="0.3">
      <c r="B9" s="27"/>
      <c r="C9" s="27"/>
      <c r="D9" s="30"/>
      <c r="E9" s="75">
        <v>11268</v>
      </c>
      <c r="F9" s="76" t="s">
        <v>318</v>
      </c>
      <c r="G9" s="51" t="s">
        <v>46</v>
      </c>
      <c r="H9" s="39">
        <v>0</v>
      </c>
      <c r="I9" s="39">
        <v>0</v>
      </c>
      <c r="J9" s="30"/>
      <c r="K9" s="76"/>
      <c r="L9" s="89"/>
      <c r="M9" s="44"/>
      <c r="R9" s="1">
        <f>IF(vend25[[#This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11269</v>
      </c>
      <c r="F10" s="76" t="s">
        <v>318</v>
      </c>
      <c r="G10" s="51" t="s">
        <v>6</v>
      </c>
      <c r="H10" s="39">
        <v>40</v>
      </c>
      <c r="I10" s="39">
        <v>40</v>
      </c>
      <c r="J10" s="30"/>
      <c r="K10" s="76"/>
      <c r="L10" s="89"/>
      <c r="M10" s="44"/>
      <c r="R10" s="1">
        <f>IF(vend25[[#This Row],[Nº Venda]]&gt;1,1,0)</f>
        <v>1</v>
      </c>
    </row>
    <row r="11" spans="2:18" ht="16.5" x14ac:dyDescent="0.3">
      <c r="B11" s="28" t="s">
        <v>6</v>
      </c>
      <c r="C11" s="69">
        <f ca="1">(SUMIF($G$2:$G$31,B11,$I$2:$I$31))+(SUMIF($G$35:$G$41,B11,$H$36:$H$41))</f>
        <v>40</v>
      </c>
      <c r="D11" s="30"/>
      <c r="E11" s="75">
        <v>11270</v>
      </c>
      <c r="F11" s="76" t="s">
        <v>325</v>
      </c>
      <c r="G11" s="51" t="s">
        <v>46</v>
      </c>
      <c r="H11" s="39">
        <v>1149</v>
      </c>
      <c r="I11" s="39">
        <v>0</v>
      </c>
      <c r="J11" s="30"/>
      <c r="K11" s="38"/>
      <c r="L11" s="89"/>
      <c r="M11" s="44"/>
      <c r="O11" s="1">
        <f ca="1">IF(C16=0,0,1)</f>
        <v>1</v>
      </c>
      <c r="R11" s="1">
        <f>IF(vend25[[#This Row],[Nº Venda]]&gt;1,1,0)</f>
        <v>1</v>
      </c>
    </row>
    <row r="12" spans="2:18" ht="16.5" x14ac:dyDescent="0.3">
      <c r="B12" s="28" t="s">
        <v>7</v>
      </c>
      <c r="C12" s="69">
        <f ca="1">(SUMIF($G$2:$G$31,B12,$I$2:$I$31))+(SUMIF($G$35:$G$41,B12,$H$36:$H$41))</f>
        <v>0</v>
      </c>
      <c r="D12" s="30"/>
      <c r="E12" s="75">
        <v>11271</v>
      </c>
      <c r="F12" s="76" t="s">
        <v>325</v>
      </c>
      <c r="G12" s="51" t="s">
        <v>46</v>
      </c>
      <c r="H12" s="39">
        <v>299</v>
      </c>
      <c r="I12" s="39">
        <v>0</v>
      </c>
      <c r="J12" s="30"/>
      <c r="K12" s="33"/>
      <c r="L12" s="33"/>
      <c r="M12" s="33"/>
      <c r="R12" s="1">
        <f>IF(vend25[[#This Row],[Nº Venda]]&gt;1,1,0)</f>
        <v>1</v>
      </c>
    </row>
    <row r="13" spans="2:18" ht="16.5" x14ac:dyDescent="0.3">
      <c r="B13" s="28" t="s">
        <v>8</v>
      </c>
      <c r="C13" s="69">
        <f ca="1">(SUMIF($G$2:$G$31,B13,$I$2:$I$31))+(SUMIF($G$35:$G$41,B13,$H$36:$H$41))</f>
        <v>370</v>
      </c>
      <c r="D13" s="30"/>
      <c r="E13" s="75">
        <v>11272</v>
      </c>
      <c r="F13" s="76" t="s">
        <v>325</v>
      </c>
      <c r="G13" s="51" t="s">
        <v>46</v>
      </c>
      <c r="H13" s="39">
        <v>602</v>
      </c>
      <c r="I13" s="39">
        <v>0</v>
      </c>
      <c r="J13" s="30"/>
      <c r="K13" s="102" t="s">
        <v>141</v>
      </c>
      <c r="L13" s="103"/>
      <c r="M13" s="104"/>
      <c r="R13" s="1">
        <f>IF(vend25[[#This Row],[Nº Venda]]&gt;1,1,0)</f>
        <v>1</v>
      </c>
    </row>
    <row r="14" spans="2:18" ht="16.5" x14ac:dyDescent="0.3">
      <c r="B14" s="28" t="s">
        <v>9</v>
      </c>
      <c r="C14" s="69">
        <f ca="1">(SUMIF($G$2:$G$31,B14,$I$2:$I$31))+(SUMIF($G$35:$G$41,B14,$H$36:$H$41))</f>
        <v>0</v>
      </c>
      <c r="D14" s="30"/>
      <c r="E14" s="75">
        <v>11273</v>
      </c>
      <c r="F14" s="76" t="s">
        <v>325</v>
      </c>
      <c r="G14" s="51" t="s">
        <v>46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IF(vend25[[#This Row],[Nº Venda]]&gt;1,1,0)</f>
        <v>1</v>
      </c>
    </row>
    <row r="15" spans="2:18" ht="16.5" x14ac:dyDescent="0.3">
      <c r="B15" s="28" t="s">
        <v>10</v>
      </c>
      <c r="C15" s="69">
        <f ca="1">(SUMIF($G$2:$G$31,B15,$I$2:$I$31))+(SUMIF($G$35:$G$41,B15,$H$36:$H$41))</f>
        <v>2580</v>
      </c>
      <c r="D15" s="30"/>
      <c r="E15" s="75"/>
      <c r="F15" s="76"/>
      <c r="G15" s="51"/>
      <c r="H15" s="39"/>
      <c r="I15" s="39"/>
      <c r="J15" s="30"/>
      <c r="K15" s="75">
        <v>10754</v>
      </c>
      <c r="L15" s="89" t="s">
        <v>130</v>
      </c>
      <c r="M15" s="44" t="s">
        <v>146</v>
      </c>
      <c r="R15" s="1">
        <f>IF(vend25[[#This Row],[Nº Venda]]&gt;1,1,0)</f>
        <v>0</v>
      </c>
    </row>
    <row r="16" spans="2:18" ht="16.5" x14ac:dyDescent="0.3">
      <c r="B16" s="31" t="s">
        <v>11</v>
      </c>
      <c r="C16" s="70">
        <f ca="1">SUM(C11:C15)</f>
        <v>2990</v>
      </c>
      <c r="D16" s="30"/>
      <c r="E16" s="75"/>
      <c r="F16" s="76"/>
      <c r="G16" s="51"/>
      <c r="H16" s="39"/>
      <c r="I16" s="39"/>
      <c r="J16" s="30"/>
      <c r="K16" s="75">
        <v>10755</v>
      </c>
      <c r="L16" s="89" t="s">
        <v>130</v>
      </c>
      <c r="M16" s="44" t="s">
        <v>146</v>
      </c>
      <c r="R16" s="1">
        <f>IF(vend25[[#This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10888</v>
      </c>
      <c r="L17" s="89" t="s">
        <v>130</v>
      </c>
      <c r="M17" s="44" t="s">
        <v>146</v>
      </c>
      <c r="R17" s="1">
        <f>IF(vend25[[#This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11052</v>
      </c>
      <c r="L18" s="89" t="s">
        <v>130</v>
      </c>
      <c r="M18" s="44" t="s">
        <v>146</v>
      </c>
      <c r="R18" s="1">
        <f>IF(vend25[[#This Row],[Nº Venda]]&gt;1,1,0)</f>
        <v>0</v>
      </c>
    </row>
    <row r="19" spans="2:18" ht="16.5" x14ac:dyDescent="0.3">
      <c r="B19" s="28">
        <f>COUNT(entr_carn25[OS])</f>
        <v>0</v>
      </c>
      <c r="C19" s="69">
        <f>SUM(entr_carn25[Valor Total])</f>
        <v>0</v>
      </c>
      <c r="D19" s="30"/>
      <c r="E19" s="75"/>
      <c r="F19" s="76"/>
      <c r="G19" s="51"/>
      <c r="H19" s="39"/>
      <c r="I19" s="39"/>
      <c r="J19" s="30"/>
      <c r="K19" s="75">
        <v>11110</v>
      </c>
      <c r="L19" s="89" t="s">
        <v>130</v>
      </c>
      <c r="M19" s="44" t="s">
        <v>146</v>
      </c>
      <c r="R19" s="1">
        <f>IF(vend25[[#This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11190</v>
      </c>
      <c r="L20" s="89" t="s">
        <v>128</v>
      </c>
      <c r="M20" s="44" t="s">
        <v>146</v>
      </c>
      <c r="R20" s="1">
        <f>IF(vend25[[#This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11222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1440</v>
      </c>
      <c r="D22" s="30"/>
      <c r="E22" s="77"/>
      <c r="F22" s="76"/>
      <c r="G22" s="51"/>
      <c r="H22" s="39"/>
      <c r="I22" s="39"/>
      <c r="J22" s="30"/>
      <c r="K22" s="75">
        <v>11257</v>
      </c>
      <c r="L22" s="89" t="s">
        <v>128</v>
      </c>
      <c r="M22" s="44" t="s">
        <v>146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10754</v>
      </c>
      <c r="F26" s="76" t="s">
        <v>326</v>
      </c>
      <c r="G26" s="51" t="s">
        <v>10</v>
      </c>
      <c r="H26" s="39">
        <v>0</v>
      </c>
      <c r="I26" s="39">
        <v>700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10888</v>
      </c>
      <c r="F27" s="76" t="s">
        <v>326</v>
      </c>
      <c r="G27" s="51" t="s">
        <v>10</v>
      </c>
      <c r="H27" s="39">
        <v>300</v>
      </c>
      <c r="I27" s="39">
        <v>300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11095</v>
      </c>
      <c r="F28" s="76" t="s">
        <v>321</v>
      </c>
      <c r="G28" s="51" t="s">
        <v>10</v>
      </c>
      <c r="H28" s="39">
        <v>0</v>
      </c>
      <c r="I28" s="39">
        <v>65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11222</v>
      </c>
      <c r="F29" s="76" t="s">
        <v>281</v>
      </c>
      <c r="G29" s="51" t="s">
        <v>10</v>
      </c>
      <c r="H29" s="39">
        <v>0</v>
      </c>
      <c r="I29" s="39">
        <v>290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11224</v>
      </c>
      <c r="F30" s="51" t="s">
        <v>281</v>
      </c>
      <c r="G30" s="51" t="s">
        <v>10</v>
      </c>
      <c r="H30" s="39">
        <v>0</v>
      </c>
      <c r="I30" s="39">
        <v>495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4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9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topLeftCell="A2" zoomScale="90" zoomScaleNormal="9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'25'!B1+1</f>
        <v>45834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2178.9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2759.9</v>
      </c>
      <c r="D6" s="30"/>
      <c r="E6" s="75">
        <v>11274</v>
      </c>
      <c r="F6" s="76" t="s">
        <v>329</v>
      </c>
      <c r="G6" s="51" t="s">
        <v>8</v>
      </c>
      <c r="H6" s="39">
        <v>249</v>
      </c>
      <c r="I6" s="39">
        <v>249</v>
      </c>
      <c r="J6" s="30"/>
      <c r="K6" s="76" t="s">
        <v>161</v>
      </c>
      <c r="L6" s="89" t="s">
        <v>10</v>
      </c>
      <c r="M6" s="44">
        <v>3.73</v>
      </c>
      <c r="R6" s="1">
        <f>IF(vend26[[#This Row],[Nº Venda]]&gt;1,1,0)</f>
        <v>1</v>
      </c>
    </row>
    <row r="7" spans="2:18" ht="16.5" x14ac:dyDescent="0.3">
      <c r="B7" s="28" t="s">
        <v>3</v>
      </c>
      <c r="C7" s="29">
        <f>SUM(M6:M11)</f>
        <v>3.73</v>
      </c>
      <c r="D7" s="30"/>
      <c r="E7" s="75">
        <v>11275</v>
      </c>
      <c r="F7" s="76" t="s">
        <v>330</v>
      </c>
      <c r="G7" s="51" t="s">
        <v>8</v>
      </c>
      <c r="H7" s="39">
        <v>1790</v>
      </c>
      <c r="I7" s="39">
        <v>1790</v>
      </c>
      <c r="J7" s="30"/>
      <c r="K7" s="76"/>
      <c r="L7" s="89"/>
      <c r="M7" s="44"/>
      <c r="R7" s="1">
        <f>IF(vend26[[#This Row],[Nº Venda]]&gt;1,1,0)</f>
        <v>1</v>
      </c>
    </row>
    <row r="8" spans="2:18" ht="16.5" x14ac:dyDescent="0.3">
      <c r="B8" s="31" t="s">
        <v>21</v>
      </c>
      <c r="C8" s="32">
        <f>SUM(C6:C7)</f>
        <v>2763.63</v>
      </c>
      <c r="D8" s="30"/>
      <c r="E8" s="75">
        <v>11276</v>
      </c>
      <c r="F8" s="76" t="s">
        <v>331</v>
      </c>
      <c r="G8" s="51" t="s">
        <v>10</v>
      </c>
      <c r="H8" s="39">
        <v>50</v>
      </c>
      <c r="I8" s="39">
        <v>50</v>
      </c>
      <c r="J8" s="30"/>
      <c r="K8" s="76"/>
      <c r="L8" s="89"/>
      <c r="M8" s="44"/>
      <c r="R8" s="1">
        <f>IF(vend26[[#This Row],[Nº Venda]]&gt;1,1,0)</f>
        <v>1</v>
      </c>
    </row>
    <row r="9" spans="2:18" ht="16.5" x14ac:dyDescent="0.3">
      <c r="B9" s="27"/>
      <c r="C9" s="27"/>
      <c r="D9" s="30"/>
      <c r="E9" s="75">
        <v>11277</v>
      </c>
      <c r="F9" s="76" t="s">
        <v>332</v>
      </c>
      <c r="G9" s="51" t="s">
        <v>8</v>
      </c>
      <c r="H9" s="39">
        <v>89.9</v>
      </c>
      <c r="I9" s="39">
        <v>89.9</v>
      </c>
      <c r="J9" s="30"/>
      <c r="K9" s="76"/>
      <c r="L9" s="89"/>
      <c r="M9" s="44"/>
      <c r="R9" s="1">
        <f>IF(vend26[[#This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11278</v>
      </c>
      <c r="F10" s="76" t="s">
        <v>334</v>
      </c>
      <c r="G10" s="51" t="s">
        <v>36</v>
      </c>
      <c r="H10" s="39">
        <v>0</v>
      </c>
      <c r="I10" s="39">
        <v>0</v>
      </c>
      <c r="J10" s="30"/>
      <c r="K10" s="76"/>
      <c r="L10" s="89"/>
      <c r="M10" s="44"/>
      <c r="R10" s="1">
        <f>IF(vend26[[#This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495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1</v>
      </c>
      <c r="R11" s="1">
        <f>IF(vend26[[#This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IF(vend26[[#This Row],[Nº Venda]]&gt;1,1,0)</f>
        <v>0</v>
      </c>
    </row>
    <row r="13" spans="2:18" ht="16.5" x14ac:dyDescent="0.3">
      <c r="B13" s="28" t="s">
        <v>8</v>
      </c>
      <c r="C13" s="69">
        <f t="shared" si="0"/>
        <v>2128.9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IF(vend26[[#This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IF(vend26[[#This Row],[Nº Venda]]&gt;1,1,0)</f>
        <v>0</v>
      </c>
    </row>
    <row r="15" spans="2:18" ht="16.5" x14ac:dyDescent="0.3">
      <c r="B15" s="28" t="s">
        <v>10</v>
      </c>
      <c r="C15" s="69">
        <f t="shared" si="0"/>
        <v>136</v>
      </c>
      <c r="D15" s="30"/>
      <c r="E15" s="75"/>
      <c r="F15" s="76"/>
      <c r="G15" s="51"/>
      <c r="H15" s="39"/>
      <c r="I15" s="39"/>
      <c r="J15" s="30"/>
      <c r="K15" s="75">
        <v>11211</v>
      </c>
      <c r="L15" s="89" t="s">
        <v>128</v>
      </c>
      <c r="M15" s="44" t="s">
        <v>146</v>
      </c>
      <c r="R15" s="1">
        <f>IF(vend26[[#This Row],[Nº Venda]]&gt;1,1,0)</f>
        <v>0</v>
      </c>
    </row>
    <row r="16" spans="2:18" ht="16.5" x14ac:dyDescent="0.3">
      <c r="B16" s="31" t="s">
        <v>11</v>
      </c>
      <c r="C16" s="70">
        <f>SUM(C11:C15)</f>
        <v>2759.9</v>
      </c>
      <c r="D16" s="30"/>
      <c r="E16" s="75"/>
      <c r="F16" s="76"/>
      <c r="G16" s="51"/>
      <c r="H16" s="39"/>
      <c r="I16" s="39"/>
      <c r="J16" s="30"/>
      <c r="K16" s="75">
        <v>11148</v>
      </c>
      <c r="L16" s="89" t="s">
        <v>128</v>
      </c>
      <c r="M16" s="44" t="s">
        <v>146</v>
      </c>
      <c r="R16" s="1">
        <f>IF(vend26[[#This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11228</v>
      </c>
      <c r="L17" s="89" t="s">
        <v>128</v>
      </c>
      <c r="M17" s="44" t="s">
        <v>146</v>
      </c>
      <c r="R17" s="1">
        <f>IF(vend26[[#This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IF(vend26[[#This Row],[Nº Venda]]&gt;1,1,0)</f>
        <v>0</v>
      </c>
    </row>
    <row r="19" spans="2:18" ht="16.5" x14ac:dyDescent="0.3">
      <c r="B19" s="28">
        <f>COUNT(entr_carn26[OS])</f>
        <v>0</v>
      </c>
      <c r="C19" s="69">
        <f>SUM(entr_carn26[Valor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IF(vend26[[#This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IF(vend26[[#This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2178.9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11251</v>
      </c>
      <c r="F26" s="76" t="s">
        <v>327</v>
      </c>
      <c r="G26" s="51" t="s">
        <v>6</v>
      </c>
      <c r="H26" s="39"/>
      <c r="I26" s="39">
        <v>380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10890</v>
      </c>
      <c r="F35" s="76" t="s">
        <v>328</v>
      </c>
      <c r="G35" s="51" t="s">
        <v>6</v>
      </c>
      <c r="H35" s="39">
        <v>115</v>
      </c>
      <c r="I35" s="39" t="s">
        <v>51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>
        <v>10902</v>
      </c>
      <c r="F36" s="76" t="s">
        <v>333</v>
      </c>
      <c r="G36" s="51" t="s">
        <v>10</v>
      </c>
      <c r="H36" s="39">
        <v>86</v>
      </c>
      <c r="I36" s="39" t="s">
        <v>32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view="pageBreakPreview" topLeftCell="B1" zoomScale="60" zoomScaleNormal="90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710937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'26'!B1+1</f>
        <v>45835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7971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6922</v>
      </c>
      <c r="D6" s="30"/>
      <c r="E6" s="75">
        <v>11279</v>
      </c>
      <c r="F6" s="76" t="s">
        <v>336</v>
      </c>
      <c r="G6" s="51" t="s">
        <v>6</v>
      </c>
      <c r="H6" s="39">
        <v>180</v>
      </c>
      <c r="I6" s="39">
        <v>180</v>
      </c>
      <c r="J6" s="30"/>
      <c r="K6" s="76" t="s">
        <v>161</v>
      </c>
      <c r="L6" s="89" t="s">
        <v>10</v>
      </c>
      <c r="M6" s="44">
        <v>3.75</v>
      </c>
      <c r="R6" s="1">
        <f>IF(vend27[[#This Row],[Nº Venda]]&gt;1,1,0)</f>
        <v>1</v>
      </c>
    </row>
    <row r="7" spans="2:18" ht="16.5" x14ac:dyDescent="0.3">
      <c r="B7" s="28" t="s">
        <v>3</v>
      </c>
      <c r="C7" s="29">
        <f>SUM(M6:M11)</f>
        <v>303.75</v>
      </c>
      <c r="D7" s="30"/>
      <c r="E7" s="75">
        <v>11280</v>
      </c>
      <c r="F7" s="76" t="s">
        <v>337</v>
      </c>
      <c r="G7" s="51" t="s">
        <v>6</v>
      </c>
      <c r="H7" s="39">
        <v>799</v>
      </c>
      <c r="I7" s="39">
        <v>10</v>
      </c>
      <c r="J7" s="30"/>
      <c r="K7" s="76" t="s">
        <v>209</v>
      </c>
      <c r="L7" s="89" t="s">
        <v>338</v>
      </c>
      <c r="M7" s="44">
        <v>300</v>
      </c>
      <c r="R7" s="1">
        <f>IF(vend27[[#This Row],[Nº Venda]]&gt;1,1,0)</f>
        <v>1</v>
      </c>
    </row>
    <row r="8" spans="2:18" ht="16.5" x14ac:dyDescent="0.3">
      <c r="B8" s="31" t="s">
        <v>21</v>
      </c>
      <c r="C8" s="32">
        <f>SUM(C6:C7)</f>
        <v>7225.75</v>
      </c>
      <c r="D8" s="30"/>
      <c r="E8" s="75">
        <v>11281</v>
      </c>
      <c r="F8" s="76" t="s">
        <v>337</v>
      </c>
      <c r="G8" s="51" t="s">
        <v>6</v>
      </c>
      <c r="H8" s="39">
        <v>412</v>
      </c>
      <c r="I8" s="39">
        <v>10</v>
      </c>
      <c r="J8" s="30"/>
      <c r="K8" s="76"/>
      <c r="L8" s="89"/>
      <c r="M8" s="44"/>
      <c r="R8" s="1">
        <f>IF(vend27[[#This Row],[Nº Venda]]&gt;1,1,0)</f>
        <v>1</v>
      </c>
    </row>
    <row r="9" spans="2:18" ht="16.5" x14ac:dyDescent="0.3">
      <c r="B9" s="27"/>
      <c r="C9" s="27"/>
      <c r="D9" s="30"/>
      <c r="E9" s="75">
        <v>11282</v>
      </c>
      <c r="F9" s="76" t="s">
        <v>340</v>
      </c>
      <c r="G9" s="51" t="s">
        <v>10</v>
      </c>
      <c r="H9" s="39">
        <v>1411</v>
      </c>
      <c r="I9" s="39">
        <v>1411</v>
      </c>
      <c r="J9" s="30"/>
      <c r="K9" s="76"/>
      <c r="L9" s="89"/>
      <c r="M9" s="44"/>
      <c r="R9" s="1">
        <f>IF(vend27[[#This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11283</v>
      </c>
      <c r="F10" s="76" t="s">
        <v>340</v>
      </c>
      <c r="G10" s="51" t="s">
        <v>10</v>
      </c>
      <c r="H10" s="39">
        <v>279</v>
      </c>
      <c r="I10" s="39">
        <v>279</v>
      </c>
      <c r="J10" s="30"/>
      <c r="K10" s="76"/>
      <c r="L10" s="89"/>
      <c r="M10" s="44"/>
      <c r="R10" s="1">
        <f>IF(vend27[[#This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300</v>
      </c>
      <c r="D11" s="30"/>
      <c r="E11" s="75">
        <v>11284</v>
      </c>
      <c r="F11" s="76" t="s">
        <v>340</v>
      </c>
      <c r="G11" s="51" t="s">
        <v>10</v>
      </c>
      <c r="H11" s="39">
        <v>150</v>
      </c>
      <c r="I11" s="39">
        <v>150</v>
      </c>
      <c r="J11" s="30"/>
      <c r="K11" s="38"/>
      <c r="L11" s="89"/>
      <c r="M11" s="44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>
        <v>11285</v>
      </c>
      <c r="F12" s="76" t="s">
        <v>341</v>
      </c>
      <c r="G12" s="51" t="s">
        <v>8</v>
      </c>
      <c r="H12" s="39">
        <v>990</v>
      </c>
      <c r="I12" s="39">
        <v>990</v>
      </c>
      <c r="J12" s="30"/>
      <c r="K12" s="33"/>
      <c r="L12" s="33"/>
      <c r="M12" s="33"/>
      <c r="R12" s="1">
        <f>IF(vend27[[#This Row],[Nº Venda]]&gt;1,1,0)</f>
        <v>1</v>
      </c>
    </row>
    <row r="13" spans="2:18" ht="16.5" x14ac:dyDescent="0.3">
      <c r="B13" s="28" t="s">
        <v>8</v>
      </c>
      <c r="C13" s="69">
        <f t="shared" si="0"/>
        <v>2190</v>
      </c>
      <c r="D13" s="30"/>
      <c r="E13" s="75">
        <v>11286</v>
      </c>
      <c r="F13" s="76" t="s">
        <v>342</v>
      </c>
      <c r="G13" s="51" t="s">
        <v>10</v>
      </c>
      <c r="H13" s="39">
        <v>1550</v>
      </c>
      <c r="I13" s="39">
        <v>1550</v>
      </c>
      <c r="J13" s="30"/>
      <c r="K13" s="102" t="s">
        <v>141</v>
      </c>
      <c r="L13" s="103"/>
      <c r="M13" s="104"/>
      <c r="R13" s="1">
        <f>IF(vend27[[#This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11287</v>
      </c>
      <c r="F14" s="76" t="s">
        <v>194</v>
      </c>
      <c r="G14" s="51" t="s">
        <v>10</v>
      </c>
      <c r="H14" s="39">
        <v>150</v>
      </c>
      <c r="I14" s="39">
        <v>50</v>
      </c>
      <c r="J14" s="30"/>
      <c r="K14" s="22" t="s">
        <v>22</v>
      </c>
      <c r="L14" s="23" t="s">
        <v>23</v>
      </c>
      <c r="M14" s="24" t="s">
        <v>24</v>
      </c>
      <c r="R14" s="1">
        <f>IF(vend27[[#This Row],[Nº Venda]]&gt;1,1,0)</f>
        <v>1</v>
      </c>
    </row>
    <row r="15" spans="2:18" ht="16.5" x14ac:dyDescent="0.3">
      <c r="B15" s="28" t="s">
        <v>10</v>
      </c>
      <c r="C15" s="69">
        <f t="shared" si="0"/>
        <v>4432</v>
      </c>
      <c r="D15" s="30"/>
      <c r="E15" s="75"/>
      <c r="F15" s="76"/>
      <c r="G15" s="51"/>
      <c r="H15" s="39"/>
      <c r="I15" s="39"/>
      <c r="J15" s="30"/>
      <c r="K15" s="75">
        <v>11182</v>
      </c>
      <c r="L15" s="89" t="s">
        <v>128</v>
      </c>
      <c r="M15" s="44" t="s">
        <v>146</v>
      </c>
      <c r="R15" s="1">
        <f>IF(vend27[[#This Row],[Nº Venda]]&gt;1,1,0)</f>
        <v>0</v>
      </c>
    </row>
    <row r="16" spans="2:18" ht="16.5" x14ac:dyDescent="0.3">
      <c r="B16" s="31" t="s">
        <v>11</v>
      </c>
      <c r="C16" s="70">
        <f>SUM(C11:C15)</f>
        <v>6922</v>
      </c>
      <c r="D16" s="30"/>
      <c r="E16" s="75"/>
      <c r="F16" s="76"/>
      <c r="G16" s="51"/>
      <c r="H16" s="39"/>
      <c r="I16" s="39"/>
      <c r="J16" s="30"/>
      <c r="K16" s="75">
        <v>11183</v>
      </c>
      <c r="L16" s="89" t="s">
        <v>128</v>
      </c>
      <c r="M16" s="44" t="s">
        <v>146</v>
      </c>
      <c r="R16" s="1">
        <f>IF(vend27[[#This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11184</v>
      </c>
      <c r="L17" s="89" t="s">
        <v>128</v>
      </c>
      <c r="M17" s="44" t="s">
        <v>146</v>
      </c>
      <c r="R17" s="1">
        <f>IF(vend27[[#This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11209</v>
      </c>
      <c r="L18" s="89" t="s">
        <v>130</v>
      </c>
      <c r="M18" s="44" t="s">
        <v>146</v>
      </c>
      <c r="R18" s="1">
        <f>IF(vend27[[#This Row],[Nº Venda]]&gt;1,1,0)</f>
        <v>0</v>
      </c>
    </row>
    <row r="19" spans="2:18" ht="16.5" x14ac:dyDescent="0.3">
      <c r="B19" s="28">
        <f>COUNT(entr_carn27[OS])</f>
        <v>0</v>
      </c>
      <c r="C19" s="69">
        <f>SUM(entr_carn27[Valor Total])</f>
        <v>0</v>
      </c>
      <c r="D19" s="30"/>
      <c r="E19" s="75"/>
      <c r="F19" s="76"/>
      <c r="G19" s="51"/>
      <c r="H19" s="39"/>
      <c r="I19" s="39"/>
      <c r="J19" s="30"/>
      <c r="K19" s="75">
        <v>11218</v>
      </c>
      <c r="L19" s="89" t="s">
        <v>130</v>
      </c>
      <c r="M19" s="44" t="s">
        <v>146</v>
      </c>
      <c r="R19" s="1">
        <f>IF(vend27[[#This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>
        <v>11228</v>
      </c>
      <c r="L20" s="89" t="s">
        <v>128</v>
      </c>
      <c r="M20" s="44" t="s">
        <v>146</v>
      </c>
      <c r="R20" s="1">
        <f>IF(vend27[[#This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>
        <v>11247</v>
      </c>
      <c r="L21" s="89" t="s">
        <v>130</v>
      </c>
      <c r="M21" s="44" t="s">
        <v>146</v>
      </c>
    </row>
    <row r="22" spans="2:18" ht="16.5" x14ac:dyDescent="0.3">
      <c r="B22" s="31" t="s">
        <v>25</v>
      </c>
      <c r="C22" s="34">
        <f>C5</f>
        <v>7971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11209</v>
      </c>
      <c r="F26" s="51" t="s">
        <v>262</v>
      </c>
      <c r="G26" s="51" t="s">
        <v>8</v>
      </c>
      <c r="H26" s="39">
        <v>0</v>
      </c>
      <c r="I26" s="39">
        <v>299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11209</v>
      </c>
      <c r="F27" s="76" t="s">
        <v>262</v>
      </c>
      <c r="G27" s="51" t="s">
        <v>10</v>
      </c>
      <c r="H27" s="39">
        <v>0</v>
      </c>
      <c r="I27" s="39">
        <v>400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>
        <v>11218</v>
      </c>
      <c r="F28" s="76" t="s">
        <v>345</v>
      </c>
      <c r="G28" s="51" t="s">
        <v>10</v>
      </c>
      <c r="H28" s="39">
        <v>0</v>
      </c>
      <c r="I28" s="39">
        <v>450</v>
      </c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>
        <v>11270</v>
      </c>
      <c r="F29" s="76" t="s">
        <v>344</v>
      </c>
      <c r="G29" s="51" t="s">
        <v>8</v>
      </c>
      <c r="H29" s="39">
        <v>1149</v>
      </c>
      <c r="I29" s="39">
        <v>9</v>
      </c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>
        <v>11271</v>
      </c>
      <c r="F30" s="76" t="s">
        <v>344</v>
      </c>
      <c r="G30" s="51" t="s">
        <v>8</v>
      </c>
      <c r="H30" s="39">
        <v>299</v>
      </c>
      <c r="I30" s="39">
        <v>290</v>
      </c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>
        <v>11272</v>
      </c>
      <c r="F31" s="78" t="s">
        <v>344</v>
      </c>
      <c r="G31" s="42" t="s">
        <v>8</v>
      </c>
      <c r="H31" s="43">
        <v>602</v>
      </c>
      <c r="I31" s="43">
        <v>602</v>
      </c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9942</v>
      </c>
      <c r="F35" s="76" t="s">
        <v>339</v>
      </c>
      <c r="G35" s="51" t="s">
        <v>6</v>
      </c>
      <c r="H35" s="39">
        <v>100</v>
      </c>
      <c r="I35" s="39" t="s">
        <v>57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11024</v>
      </c>
      <c r="F36" s="76" t="s">
        <v>343</v>
      </c>
      <c r="G36" s="51" t="s">
        <v>10</v>
      </c>
      <c r="H36" s="39">
        <v>41</v>
      </c>
      <c r="I36" s="39" t="s">
        <v>48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11032</v>
      </c>
      <c r="F37" s="76" t="s">
        <v>343</v>
      </c>
      <c r="G37" s="51" t="s">
        <v>10</v>
      </c>
      <c r="H37" s="39">
        <v>101</v>
      </c>
      <c r="I37" s="39" t="s">
        <v>32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9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G35:G41 G26:G27 G29:G31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topLeftCell="C1" zoomScale="60" zoomScaleNormal="90" workbookViewId="0">
      <selection activeCell="Z15" sqref="Z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'27'!B1+1</f>
        <v>45836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4697.8999999999996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4587.9799999999996</v>
      </c>
      <c r="D6" s="30"/>
      <c r="E6" s="75">
        <v>11288</v>
      </c>
      <c r="F6" s="76" t="s">
        <v>346</v>
      </c>
      <c r="G6" s="51" t="s">
        <v>10</v>
      </c>
      <c r="H6" s="39">
        <v>590</v>
      </c>
      <c r="I6" s="39">
        <v>390</v>
      </c>
      <c r="J6" s="30"/>
      <c r="K6" s="76" t="s">
        <v>335</v>
      </c>
      <c r="L6" s="89" t="s">
        <v>6</v>
      </c>
      <c r="M6" s="44">
        <v>20</v>
      </c>
      <c r="R6" s="1">
        <f>IF(vend28[[#This Row],[Nº Venda]]&gt;1,1,0)</f>
        <v>1</v>
      </c>
    </row>
    <row r="7" spans="2:18" ht="16.5" x14ac:dyDescent="0.3">
      <c r="B7" s="28" t="s">
        <v>3</v>
      </c>
      <c r="C7" s="29">
        <f>SUM(M6:M11)</f>
        <v>20</v>
      </c>
      <c r="D7" s="30"/>
      <c r="E7" s="75">
        <v>11288</v>
      </c>
      <c r="F7" s="76" t="s">
        <v>346</v>
      </c>
      <c r="G7" s="51" t="s">
        <v>8</v>
      </c>
      <c r="H7" s="39">
        <v>0</v>
      </c>
      <c r="I7" s="39">
        <v>200</v>
      </c>
      <c r="J7" s="30"/>
      <c r="K7" s="76"/>
      <c r="L7" s="89"/>
      <c r="M7" s="44"/>
      <c r="R7" s="1">
        <f>IF(vend28[[#This Row],[Nº Venda]]&gt;1,1,0)</f>
        <v>1</v>
      </c>
    </row>
    <row r="8" spans="2:18" ht="16.5" x14ac:dyDescent="0.3">
      <c r="B8" s="31" t="s">
        <v>21</v>
      </c>
      <c r="C8" s="32">
        <f>SUM(C6:C7)</f>
        <v>4607.9799999999996</v>
      </c>
      <c r="D8" s="30"/>
      <c r="E8" s="75">
        <v>11289</v>
      </c>
      <c r="F8" s="76" t="s">
        <v>347</v>
      </c>
      <c r="G8" s="51" t="s">
        <v>36</v>
      </c>
      <c r="H8" s="39">
        <v>0</v>
      </c>
      <c r="I8" s="39">
        <v>0</v>
      </c>
      <c r="J8" s="30"/>
      <c r="K8" s="76"/>
      <c r="L8" s="89"/>
      <c r="M8" s="44"/>
      <c r="R8" s="1">
        <f>IF(vend28[[#This Row],[Nº Venda]]&gt;1,1,0)</f>
        <v>1</v>
      </c>
    </row>
    <row r="9" spans="2:18" ht="16.5" x14ac:dyDescent="0.3">
      <c r="B9" s="27"/>
      <c r="C9" s="27"/>
      <c r="D9" s="30"/>
      <c r="E9" s="75">
        <v>11290</v>
      </c>
      <c r="F9" s="76" t="s">
        <v>348</v>
      </c>
      <c r="G9" s="51" t="s">
        <v>6</v>
      </c>
      <c r="H9" s="39">
        <v>200</v>
      </c>
      <c r="I9" s="39">
        <v>20</v>
      </c>
      <c r="J9" s="30"/>
      <c r="K9" s="76"/>
      <c r="L9" s="89"/>
      <c r="M9" s="44"/>
      <c r="R9" s="1">
        <f>IF(vend28[[#This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11291</v>
      </c>
      <c r="F10" s="76" t="s">
        <v>349</v>
      </c>
      <c r="G10" s="51" t="s">
        <v>10</v>
      </c>
      <c r="H10" s="39">
        <v>49.9</v>
      </c>
      <c r="I10" s="39">
        <v>49.9</v>
      </c>
      <c r="J10" s="30"/>
      <c r="K10" s="76"/>
      <c r="L10" s="89"/>
      <c r="M10" s="44"/>
      <c r="R10" s="1">
        <f>IF(vend28[[#This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20</v>
      </c>
      <c r="D11" s="30"/>
      <c r="E11" s="75">
        <v>11292</v>
      </c>
      <c r="F11" s="76" t="s">
        <v>350</v>
      </c>
      <c r="G11" s="51" t="s">
        <v>8</v>
      </c>
      <c r="H11" s="39">
        <v>1188</v>
      </c>
      <c r="I11" s="39">
        <v>1188</v>
      </c>
      <c r="J11" s="30"/>
      <c r="K11" s="38"/>
      <c r="L11" s="89"/>
      <c r="M11" s="44"/>
      <c r="O11" s="1">
        <f>IF(C16=0,0,1)</f>
        <v>1</v>
      </c>
      <c r="R11" s="1">
        <f>IF(vend28[[#This Row],[Nº Venda]]&gt;1,1,0)</f>
        <v>1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20</v>
      </c>
      <c r="D12" s="30"/>
      <c r="E12" s="75">
        <v>11293</v>
      </c>
      <c r="F12" s="76" t="s">
        <v>350</v>
      </c>
      <c r="G12" s="51" t="s">
        <v>8</v>
      </c>
      <c r="H12" s="39">
        <v>291</v>
      </c>
      <c r="I12" s="39">
        <v>291</v>
      </c>
      <c r="J12" s="30"/>
      <c r="K12" s="33"/>
      <c r="L12" s="33"/>
      <c r="M12" s="33"/>
      <c r="R12" s="1">
        <f>IF(vend28[[#This Row],[Nº Venda]]&gt;1,1,0)</f>
        <v>1</v>
      </c>
    </row>
    <row r="13" spans="2:18" ht="16.5" x14ac:dyDescent="0.3">
      <c r="B13" s="28" t="s">
        <v>8</v>
      </c>
      <c r="C13" s="69">
        <f t="shared" si="0"/>
        <v>3460</v>
      </c>
      <c r="D13" s="30"/>
      <c r="E13" s="75">
        <v>11294</v>
      </c>
      <c r="F13" s="76" t="s">
        <v>350</v>
      </c>
      <c r="G13" s="51" t="s">
        <v>8</v>
      </c>
      <c r="H13" s="39">
        <v>590</v>
      </c>
      <c r="I13" s="39">
        <v>590</v>
      </c>
      <c r="J13" s="30"/>
      <c r="K13" s="102" t="s">
        <v>141</v>
      </c>
      <c r="L13" s="103"/>
      <c r="M13" s="104"/>
      <c r="R13" s="1">
        <f>IF(vend28[[#This Row],[Nº Venda]]&gt;1,1,0)</f>
        <v>1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>
        <v>11295</v>
      </c>
      <c r="F14" s="76" t="s">
        <v>351</v>
      </c>
      <c r="G14" s="51" t="s">
        <v>36</v>
      </c>
      <c r="H14" s="39">
        <v>0</v>
      </c>
      <c r="I14" s="39">
        <v>0</v>
      </c>
      <c r="J14" s="30"/>
      <c r="K14" s="22" t="s">
        <v>22</v>
      </c>
      <c r="L14" s="23" t="s">
        <v>23</v>
      </c>
      <c r="M14" s="24" t="s">
        <v>24</v>
      </c>
      <c r="R14" s="1">
        <f>IF(vend28[[#This Row],[Nº Venda]]&gt;1,1,0)</f>
        <v>1</v>
      </c>
    </row>
    <row r="15" spans="2:18" ht="16.5" x14ac:dyDescent="0.3">
      <c r="B15" s="28" t="s">
        <v>10</v>
      </c>
      <c r="C15" s="69">
        <f t="shared" si="0"/>
        <v>1087.98</v>
      </c>
      <c r="D15" s="30"/>
      <c r="E15" s="75">
        <v>11296</v>
      </c>
      <c r="F15" s="76" t="s">
        <v>352</v>
      </c>
      <c r="G15" s="51" t="s">
        <v>10</v>
      </c>
      <c r="H15" s="39">
        <v>449.5</v>
      </c>
      <c r="I15" s="39">
        <v>150</v>
      </c>
      <c r="J15" s="30"/>
      <c r="K15" s="75">
        <v>11194</v>
      </c>
      <c r="L15" s="89" t="s">
        <v>130</v>
      </c>
      <c r="M15" s="44" t="s">
        <v>146</v>
      </c>
      <c r="R15" s="1">
        <f>IF(vend28[[#This Row],[Nº Venda]]&gt;1,1,0)</f>
        <v>1</v>
      </c>
    </row>
    <row r="16" spans="2:18" ht="16.5" x14ac:dyDescent="0.3">
      <c r="B16" s="31" t="s">
        <v>11</v>
      </c>
      <c r="C16" s="70">
        <f>SUM(C11:C15)</f>
        <v>4587.9799999999996</v>
      </c>
      <c r="D16" s="30"/>
      <c r="E16" s="75">
        <v>11297</v>
      </c>
      <c r="F16" s="76" t="s">
        <v>352</v>
      </c>
      <c r="G16" s="51" t="s">
        <v>10</v>
      </c>
      <c r="H16" s="39">
        <v>449.5</v>
      </c>
      <c r="I16" s="39">
        <v>150</v>
      </c>
      <c r="J16" s="30"/>
      <c r="K16" s="75">
        <v>11295</v>
      </c>
      <c r="L16" s="89" t="s">
        <v>128</v>
      </c>
      <c r="M16" s="44" t="s">
        <v>146</v>
      </c>
      <c r="R16" s="1">
        <f>IF(vend28[[#This Row],[Nº Venda]]&gt;1,1,0)</f>
        <v>1</v>
      </c>
    </row>
    <row r="17" spans="2:18" ht="16.5" x14ac:dyDescent="0.3">
      <c r="B17" s="27"/>
      <c r="C17" s="27"/>
      <c r="D17" s="30"/>
      <c r="E17" s="75">
        <v>11298</v>
      </c>
      <c r="F17" s="76" t="s">
        <v>353</v>
      </c>
      <c r="G17" s="51" t="s">
        <v>7</v>
      </c>
      <c r="H17" s="39">
        <v>890</v>
      </c>
      <c r="I17" s="39">
        <v>20</v>
      </c>
      <c r="J17" s="30"/>
      <c r="K17" s="75"/>
      <c r="L17" s="89"/>
      <c r="M17" s="44"/>
      <c r="R17" s="1">
        <f>IF(vend28[[#This Row],[Nº Venda]]&gt;1,1,0)</f>
        <v>1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IF(vend28[[#This Row],[Nº Venda]]&gt;1,1,0)</f>
        <v>0</v>
      </c>
    </row>
    <row r="19" spans="2:18" ht="16.5" x14ac:dyDescent="0.3">
      <c r="B19" s="28">
        <f>COUNT(entr_carn28[OS])</f>
        <v>0</v>
      </c>
      <c r="C19" s="69">
        <f>SUM(entr_carn28[Valor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IF(vend28[[#This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IF(vend28[[#This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4697.8999999999996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>
        <v>11280</v>
      </c>
      <c r="F26" s="76" t="s">
        <v>355</v>
      </c>
      <c r="G26" s="51" t="s">
        <v>8</v>
      </c>
      <c r="H26" s="39"/>
      <c r="I26" s="39">
        <v>789</v>
      </c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>
        <v>11281</v>
      </c>
      <c r="F27" s="76" t="s">
        <v>355</v>
      </c>
      <c r="G27" s="51" t="s">
        <v>8</v>
      </c>
      <c r="H27" s="39"/>
      <c r="I27" s="39">
        <v>402</v>
      </c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2">
        <v>10966</v>
      </c>
      <c r="F35" s="76" t="s">
        <v>356</v>
      </c>
      <c r="G35" s="51" t="s">
        <v>10</v>
      </c>
      <c r="H35" s="39">
        <v>127.14</v>
      </c>
      <c r="I35" s="39" t="s">
        <v>32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10966</v>
      </c>
      <c r="F36" s="76" t="s">
        <v>356</v>
      </c>
      <c r="G36" s="51" t="s">
        <v>10</v>
      </c>
      <c r="H36" s="39">
        <v>127.14</v>
      </c>
      <c r="I36" s="39" t="s">
        <v>51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>
        <v>10979</v>
      </c>
      <c r="F37" s="76" t="s">
        <v>354</v>
      </c>
      <c r="G37" s="51" t="s">
        <v>10</v>
      </c>
      <c r="H37" s="39">
        <v>93.8</v>
      </c>
      <c r="I37" s="39" t="s">
        <v>35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'28'!B1+1</f>
        <v>45837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IF(vend29[[#This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IF(vend29[[#This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IF(vend29[[#This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IF(vend29[[#This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IF(vend29[[#This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IF(vend29[[#This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IF(vend29[[#This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IF(vend29[[#This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IF(vend29[[#This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IF(vend29[[#This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IF(vend29[[#This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IF(vend29[[#This Row],[Nº Venda]]&gt;1,1,0)</f>
        <v>0</v>
      </c>
    </row>
    <row r="19" spans="2:18" ht="16.5" x14ac:dyDescent="0.3">
      <c r="B19" s="28">
        <f>COUNT(entr_carn29[OS])</f>
        <v>0</v>
      </c>
      <c r="C19" s="69">
        <f>SUM(entr_carn29[Valor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IF(vend29[[#This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IF(vend29[[#This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topLeftCell="C1" zoomScale="60" zoomScaleNormal="9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'29'!B1+1</f>
        <v>45838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2992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3538.08</v>
      </c>
      <c r="D6" s="30"/>
      <c r="E6" s="75">
        <v>11299</v>
      </c>
      <c r="F6" s="76" t="s">
        <v>359</v>
      </c>
      <c r="G6" s="51" t="s">
        <v>36</v>
      </c>
      <c r="H6" s="39">
        <v>0</v>
      </c>
      <c r="I6" s="39">
        <v>0</v>
      </c>
      <c r="J6" s="30"/>
      <c r="K6" s="76" t="s">
        <v>357</v>
      </c>
      <c r="L6" s="89" t="s">
        <v>10</v>
      </c>
      <c r="M6" s="44">
        <v>11.91</v>
      </c>
      <c r="R6" s="1">
        <f>IF(vend30[[#This Row],[Nº Venda]]&gt;1,1,0)</f>
        <v>1</v>
      </c>
    </row>
    <row r="7" spans="2:18" ht="16.5" x14ac:dyDescent="0.3">
      <c r="B7" s="28" t="s">
        <v>3</v>
      </c>
      <c r="C7" s="29">
        <f>SUM(M6:M11)</f>
        <v>815.41</v>
      </c>
      <c r="D7" s="30"/>
      <c r="E7" s="75">
        <v>11300</v>
      </c>
      <c r="F7" s="76" t="s">
        <v>360</v>
      </c>
      <c r="G7" s="51" t="s">
        <v>6</v>
      </c>
      <c r="H7" s="39">
        <v>563</v>
      </c>
      <c r="I7" s="39">
        <v>563</v>
      </c>
      <c r="J7" s="30"/>
      <c r="K7" s="76" t="s">
        <v>335</v>
      </c>
      <c r="L7" s="89" t="s">
        <v>6</v>
      </c>
      <c r="M7" s="44">
        <v>803.5</v>
      </c>
      <c r="R7" s="1">
        <f>IF(vend30[[#This Row],[Nº Venda]]&gt;1,1,0)</f>
        <v>1</v>
      </c>
    </row>
    <row r="8" spans="2:18" ht="16.5" x14ac:dyDescent="0.3">
      <c r="B8" s="31" t="s">
        <v>21</v>
      </c>
      <c r="C8" s="32">
        <f>SUM(C6:C7)</f>
        <v>4353.49</v>
      </c>
      <c r="D8" s="30"/>
      <c r="E8" s="75">
        <v>11301</v>
      </c>
      <c r="F8" s="76" t="s">
        <v>361</v>
      </c>
      <c r="G8" s="51" t="s">
        <v>36</v>
      </c>
      <c r="H8" s="39">
        <v>0</v>
      </c>
      <c r="I8" s="39">
        <v>0</v>
      </c>
      <c r="J8" s="30"/>
      <c r="K8" s="76"/>
      <c r="L8" s="89"/>
      <c r="M8" s="44"/>
      <c r="R8" s="1">
        <f>IF(vend30[[#This Row],[Nº Venda]]&gt;1,1,0)</f>
        <v>1</v>
      </c>
    </row>
    <row r="9" spans="2:18" ht="16.5" x14ac:dyDescent="0.3">
      <c r="B9" s="27"/>
      <c r="C9" s="27"/>
      <c r="D9" s="30"/>
      <c r="E9" s="80">
        <v>11302</v>
      </c>
      <c r="F9" s="51" t="s">
        <v>365</v>
      </c>
      <c r="G9" s="51" t="s">
        <v>10</v>
      </c>
      <c r="H9" s="39">
        <v>490</v>
      </c>
      <c r="I9" s="39">
        <v>290</v>
      </c>
      <c r="J9" s="30"/>
      <c r="K9" s="76"/>
      <c r="L9" s="89"/>
      <c r="M9" s="44"/>
      <c r="R9" s="1">
        <f>IF(vend30[[#This Row],[Nº Venda]]&gt;1,1,0)</f>
        <v>1</v>
      </c>
    </row>
    <row r="10" spans="2:18" ht="16.5" x14ac:dyDescent="0.3">
      <c r="B10" s="109" t="s">
        <v>5</v>
      </c>
      <c r="C10" s="110"/>
      <c r="D10" s="30"/>
      <c r="E10" s="75">
        <v>11302</v>
      </c>
      <c r="F10" s="76" t="s">
        <v>365</v>
      </c>
      <c r="G10" s="51" t="s">
        <v>8</v>
      </c>
      <c r="H10" s="39">
        <v>0</v>
      </c>
      <c r="I10" s="39">
        <v>200</v>
      </c>
      <c r="J10" s="30"/>
      <c r="K10" s="76"/>
      <c r="L10" s="89"/>
      <c r="M10" s="44"/>
      <c r="R10" s="1">
        <f>IF(vend30[[#This Row],[Nº Venda]]&gt;1,1,0)</f>
        <v>1</v>
      </c>
    </row>
    <row r="11" spans="2:18" ht="16.5" x14ac:dyDescent="0.3">
      <c r="B11" s="28" t="s">
        <v>6</v>
      </c>
      <c r="C11" s="69">
        <f>(SUMIF($G$2:$G$31,B11,$I$2:$I$31))+(SUMIF($G$35:$G$41,B11,$H$35:$H$41))</f>
        <v>803.5</v>
      </c>
      <c r="D11" s="30"/>
      <c r="E11" s="75">
        <v>11303</v>
      </c>
      <c r="F11" s="76" t="s">
        <v>362</v>
      </c>
      <c r="G11" s="51" t="s">
        <v>7</v>
      </c>
      <c r="H11" s="39">
        <v>150</v>
      </c>
      <c r="I11" s="39">
        <v>150</v>
      </c>
      <c r="J11" s="30"/>
      <c r="K11" s="38"/>
      <c r="L11" s="89"/>
      <c r="M11" s="44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28" t="s">
        <v>7</v>
      </c>
      <c r="C12" s="69">
        <f>(SUMIF($G$2:$G$31,B12,$I$2:$I$31))+(SUMIF($G$35:$G$41,B12,$H$35:$H$41))</f>
        <v>264.27999999999997</v>
      </c>
      <c r="D12" s="30"/>
      <c r="E12" s="75">
        <v>11304</v>
      </c>
      <c r="F12" s="76" t="s">
        <v>363</v>
      </c>
      <c r="G12" s="51" t="s">
        <v>8</v>
      </c>
      <c r="H12" s="39">
        <v>1600</v>
      </c>
      <c r="I12" s="39">
        <v>1600</v>
      </c>
      <c r="J12" s="30"/>
      <c r="K12" s="33"/>
      <c r="L12" s="33"/>
      <c r="M12" s="33"/>
      <c r="R12" s="1">
        <f>IF(vend30[[#This Row],[Nº Venda]]&gt;1,1,0)</f>
        <v>1</v>
      </c>
    </row>
    <row r="13" spans="2:18" ht="16.5" x14ac:dyDescent="0.3">
      <c r="B13" s="28" t="s">
        <v>8</v>
      </c>
      <c r="C13" s="69">
        <f>(SUMIF($G$2:$G$31,B13,$I$2:$I$31))+(SUMIF($G$35:$G$41,B13,$H$35:$H$41))</f>
        <v>1800</v>
      </c>
      <c r="D13" s="30"/>
      <c r="E13" s="75">
        <v>11305</v>
      </c>
      <c r="F13" s="76" t="s">
        <v>364</v>
      </c>
      <c r="G13" s="51" t="s">
        <v>6</v>
      </c>
      <c r="H13" s="39">
        <v>189</v>
      </c>
      <c r="I13" s="39">
        <v>189</v>
      </c>
      <c r="J13" s="30"/>
      <c r="K13" s="102" t="s">
        <v>141</v>
      </c>
      <c r="L13" s="103"/>
      <c r="M13" s="104"/>
      <c r="R13" s="1">
        <f>IF(vend30[[#This Row],[Nº Venda]]&gt;1,1,0)</f>
        <v>1</v>
      </c>
    </row>
    <row r="14" spans="2:18" ht="16.5" x14ac:dyDescent="0.3">
      <c r="B14" s="28" t="s">
        <v>9</v>
      </c>
      <c r="C14" s="69">
        <f>(SUMIF($G$2:$G$31,B14,$I$2:$I$31))+(SUMIF($G$35:$G$41,B14,$H$35:$H$41))</f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IF(vend30[[#This Row],[Nº Venda]]&gt;1,1,0)</f>
        <v>0</v>
      </c>
    </row>
    <row r="15" spans="2:18" ht="16.5" x14ac:dyDescent="0.3">
      <c r="B15" s="28" t="s">
        <v>10</v>
      </c>
      <c r="C15" s="69">
        <f>(SUMIF($G$2:$G$31,B15,$I$2:$I$31))+(SUMIF($G$35:$G$41,B15,$H$35:$H$41))</f>
        <v>670.3</v>
      </c>
      <c r="D15" s="30"/>
      <c r="E15" s="75"/>
      <c r="F15" s="76"/>
      <c r="G15" s="51"/>
      <c r="H15" s="39"/>
      <c r="I15" s="39"/>
      <c r="J15" s="30"/>
      <c r="K15" s="75">
        <v>11243</v>
      </c>
      <c r="L15" s="89" t="s">
        <v>130</v>
      </c>
      <c r="M15" s="44" t="s">
        <v>146</v>
      </c>
      <c r="R15" s="1">
        <f>IF(vend30[[#This Row],[Nº Venda]]&gt;1,1,0)</f>
        <v>0</v>
      </c>
    </row>
    <row r="16" spans="2:18" ht="16.5" x14ac:dyDescent="0.3">
      <c r="B16" s="31" t="s">
        <v>11</v>
      </c>
      <c r="C16" s="70">
        <f>SUM(C11:C15)</f>
        <v>3538.08</v>
      </c>
      <c r="D16" s="30"/>
      <c r="E16" s="75"/>
      <c r="F16" s="76"/>
      <c r="G16" s="51"/>
      <c r="H16" s="39"/>
      <c r="I16" s="39"/>
      <c r="J16" s="30"/>
      <c r="K16" s="75">
        <v>11266</v>
      </c>
      <c r="L16" s="89" t="s">
        <v>130</v>
      </c>
      <c r="M16" s="44" t="s">
        <v>146</v>
      </c>
      <c r="R16" s="1">
        <f>IF(vend30[[#This Row],[Nº Venda]]&gt;1,1,0)</f>
        <v>0</v>
      </c>
    </row>
    <row r="17" spans="2:22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>
        <v>11271</v>
      </c>
      <c r="L17" s="89" t="s">
        <v>130</v>
      </c>
      <c r="M17" s="44" t="s">
        <v>146</v>
      </c>
      <c r="R17" s="1">
        <f>IF(vend30[[#This Row],[Nº Venda]]&gt;1,1,0)</f>
        <v>0</v>
      </c>
    </row>
    <row r="18" spans="2:22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>
        <v>11272</v>
      </c>
      <c r="L18" s="89" t="s">
        <v>130</v>
      </c>
      <c r="M18" s="44" t="s">
        <v>146</v>
      </c>
      <c r="R18" s="1">
        <f>IF(vend30[[#This Row],[Nº Venda]]&gt;1,1,0)</f>
        <v>0</v>
      </c>
    </row>
    <row r="19" spans="2:22" ht="16.5" x14ac:dyDescent="0.3">
      <c r="B19" s="28">
        <f>COUNT(entr_carn30[OS])</f>
        <v>0</v>
      </c>
      <c r="C19" s="69">
        <f>SUM(entr_carn30[Valor Total])</f>
        <v>0</v>
      </c>
      <c r="D19" s="30"/>
      <c r="E19" s="75"/>
      <c r="F19" s="76"/>
      <c r="G19" s="51"/>
      <c r="H19" s="39"/>
      <c r="I19" s="39"/>
      <c r="J19" s="30"/>
      <c r="K19" s="75">
        <v>11279</v>
      </c>
      <c r="L19" s="89" t="s">
        <v>128</v>
      </c>
      <c r="M19" s="44" t="s">
        <v>146</v>
      </c>
      <c r="R19" s="1">
        <f>IF(vend30[[#This Row],[Nº Venda]]&gt;1,1,0)</f>
        <v>0</v>
      </c>
    </row>
    <row r="20" spans="2:22" ht="16.5" x14ac:dyDescent="0.3">
      <c r="B20" s="31" t="s">
        <v>11</v>
      </c>
      <c r="C20" s="70">
        <f>SUM(C19:C19)</f>
        <v>0</v>
      </c>
      <c r="D20" s="30"/>
      <c r="E20" s="75"/>
      <c r="F20" s="76"/>
      <c r="G20" s="51"/>
      <c r="H20" s="39"/>
      <c r="I20" s="39"/>
      <c r="J20" s="30"/>
      <c r="K20" s="75"/>
      <c r="L20" s="89"/>
      <c r="M20" s="44"/>
      <c r="R20" s="1">
        <f>IF(vend30[[#This Row],[Nº Venda]]&gt;1,1,0)</f>
        <v>0</v>
      </c>
    </row>
    <row r="21" spans="2:22" ht="16.5" x14ac:dyDescent="0.3">
      <c r="B21" s="27"/>
      <c r="C21" s="27"/>
      <c r="D21" s="30"/>
      <c r="E21" s="75"/>
      <c r="F21" s="51"/>
      <c r="G21" s="51"/>
      <c r="H21" s="39"/>
      <c r="I21" s="39"/>
      <c r="J21" s="30"/>
      <c r="K21" s="75"/>
      <c r="L21" s="89"/>
      <c r="M21" s="44"/>
      <c r="V21" s="1" t="s">
        <v>121</v>
      </c>
    </row>
    <row r="22" spans="2:22" ht="16.5" x14ac:dyDescent="0.3">
      <c r="B22" s="31" t="s">
        <v>25</v>
      </c>
      <c r="C22" s="34">
        <f>C5</f>
        <v>2992</v>
      </c>
      <c r="D22" s="30"/>
      <c r="E22" s="75"/>
      <c r="F22" s="76"/>
      <c r="G22" s="51"/>
      <c r="H22" s="39"/>
      <c r="I22" s="39"/>
      <c r="J22" s="30"/>
      <c r="K22" s="75"/>
      <c r="L22" s="89"/>
      <c r="M22" s="44"/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22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22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22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22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22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22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22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>
        <v>9750</v>
      </c>
      <c r="F35" s="51" t="s">
        <v>369</v>
      </c>
      <c r="G35" s="51" t="s">
        <v>10</v>
      </c>
      <c r="H35" s="39">
        <v>189.5</v>
      </c>
      <c r="I35" s="39" t="s">
        <v>96</v>
      </c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77">
        <v>10151</v>
      </c>
      <c r="F36" s="76" t="s">
        <v>368</v>
      </c>
      <c r="G36" s="51" t="s">
        <v>10</v>
      </c>
      <c r="H36" s="39">
        <v>95</v>
      </c>
      <c r="I36" s="39" t="s">
        <v>72</v>
      </c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82">
        <v>10336</v>
      </c>
      <c r="F37" s="76" t="s">
        <v>366</v>
      </c>
      <c r="G37" s="51" t="s">
        <v>7</v>
      </c>
      <c r="H37" s="39">
        <v>114.28</v>
      </c>
      <c r="I37" s="39" t="s">
        <v>40</v>
      </c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>
        <v>10439</v>
      </c>
      <c r="F38" s="76" t="s">
        <v>358</v>
      </c>
      <c r="G38" s="51" t="s">
        <v>10</v>
      </c>
      <c r="H38" s="39">
        <v>95.8</v>
      </c>
      <c r="I38" s="39" t="s">
        <v>74</v>
      </c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>
        <v>10620</v>
      </c>
      <c r="F39" s="76" t="s">
        <v>367</v>
      </c>
      <c r="G39" s="51" t="s">
        <v>6</v>
      </c>
      <c r="H39" s="39">
        <v>51.5</v>
      </c>
      <c r="I39" s="39" t="s">
        <v>75</v>
      </c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E26:E31 E35:E41 K35:K41 K15:K31 E6:E22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'30'!B1+1</f>
        <v>45839</v>
      </c>
      <c r="C1" s="98"/>
      <c r="L1" s="99" t="s">
        <v>143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136</v>
      </c>
      <c r="F4" s="108"/>
      <c r="G4" s="108"/>
      <c r="H4" s="108"/>
      <c r="I4" s="108"/>
      <c r="J4" s="30"/>
      <c r="K4" s="102" t="s">
        <v>137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5"/>
      <c r="F6" s="76"/>
      <c r="G6" s="51"/>
      <c r="H6" s="39"/>
      <c r="I6" s="39"/>
      <c r="J6" s="30"/>
      <c r="K6" s="76"/>
      <c r="L6" s="89"/>
      <c r="M6" s="44"/>
      <c r="R6" s="1">
        <f>IF(vend31[[#This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5"/>
      <c r="F7" s="76"/>
      <c r="G7" s="51"/>
      <c r="H7" s="39"/>
      <c r="I7" s="39"/>
      <c r="J7" s="30"/>
      <c r="K7" s="76"/>
      <c r="L7" s="89"/>
      <c r="M7" s="44"/>
      <c r="R7" s="1">
        <f>IF(vend31[[#This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5"/>
      <c r="F8" s="76"/>
      <c r="G8" s="51"/>
      <c r="H8" s="39"/>
      <c r="I8" s="39"/>
      <c r="J8" s="30"/>
      <c r="K8" s="76"/>
      <c r="L8" s="89"/>
      <c r="M8" s="44"/>
      <c r="R8" s="1">
        <f>IF(vend31[[#This Row],[Nº Venda]]&gt;1,1,0)</f>
        <v>0</v>
      </c>
    </row>
    <row r="9" spans="2:18" ht="16.5" x14ac:dyDescent="0.3">
      <c r="B9" s="27"/>
      <c r="C9" s="27"/>
      <c r="D9" s="30"/>
      <c r="E9" s="75"/>
      <c r="F9" s="76"/>
      <c r="G9" s="51"/>
      <c r="H9" s="39"/>
      <c r="I9" s="39"/>
      <c r="J9" s="30"/>
      <c r="K9" s="76"/>
      <c r="L9" s="89"/>
      <c r="M9" s="44"/>
      <c r="R9" s="1">
        <f>IF(vend31[[#This Row],[Nº Venda]]&gt;1,1,0)</f>
        <v>0</v>
      </c>
    </row>
    <row r="10" spans="2:18" ht="16.5" x14ac:dyDescent="0.3">
      <c r="B10" s="109" t="s">
        <v>5</v>
      </c>
      <c r="C10" s="110"/>
      <c r="D10" s="30"/>
      <c r="E10" s="75"/>
      <c r="F10" s="76"/>
      <c r="G10" s="51"/>
      <c r="H10" s="39"/>
      <c r="I10" s="39"/>
      <c r="J10" s="30"/>
      <c r="K10" s="76"/>
      <c r="L10" s="89"/>
      <c r="M10" s="44"/>
      <c r="R10" s="1">
        <f>IF(vend31[[#This Row],[Nº Venda]]&gt;1,1,0)</f>
        <v>0</v>
      </c>
    </row>
    <row r="11" spans="2:18" ht="16.5" x14ac:dyDescent="0.3">
      <c r="B11" s="28" t="s">
        <v>6</v>
      </c>
      <c r="C11" s="69">
        <f>(SUMIF($G$2:$G$31,B11,$I$2:$I$31))+(SUMIF($G$35:$G$41,B11,$H$35:$H$41))</f>
        <v>0</v>
      </c>
      <c r="D11" s="30"/>
      <c r="E11" s="75"/>
      <c r="F11" s="76"/>
      <c r="G11" s="51"/>
      <c r="H11" s="39"/>
      <c r="I11" s="39"/>
      <c r="J11" s="30"/>
      <c r="K11" s="38"/>
      <c r="L11" s="89"/>
      <c r="M11" s="44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8" t="s">
        <v>7</v>
      </c>
      <c r="C12" s="69">
        <f t="shared" ref="C12:C15" si="0">(SUMIF($G$2:$G$31,B12,$I$2:$I$31))+(SUMIF($G$35:$G$41,B12,$H$35:$H$41))</f>
        <v>0</v>
      </c>
      <c r="D12" s="30"/>
      <c r="E12" s="75"/>
      <c r="F12" s="76"/>
      <c r="G12" s="51"/>
      <c r="H12" s="39"/>
      <c r="I12" s="39"/>
      <c r="J12" s="30"/>
      <c r="K12" s="33"/>
      <c r="L12" s="33"/>
      <c r="M12" s="33"/>
      <c r="R12" s="1">
        <f>IF(vend31[[#This Row],[Nº Venda]]&gt;1,1,0)</f>
        <v>0</v>
      </c>
    </row>
    <row r="13" spans="2:18" ht="16.5" x14ac:dyDescent="0.3">
      <c r="B13" s="28" t="s">
        <v>8</v>
      </c>
      <c r="C13" s="69">
        <f t="shared" si="0"/>
        <v>0</v>
      </c>
      <c r="D13" s="30"/>
      <c r="E13" s="75"/>
      <c r="F13" s="76"/>
      <c r="G13" s="51"/>
      <c r="H13" s="39"/>
      <c r="I13" s="39"/>
      <c r="J13" s="30"/>
      <c r="K13" s="102" t="s">
        <v>141</v>
      </c>
      <c r="L13" s="103"/>
      <c r="M13" s="104"/>
      <c r="R13" s="1">
        <f>IF(vend31[[#This Row],[Nº Venda]]&gt;1,1,0)</f>
        <v>0</v>
      </c>
    </row>
    <row r="14" spans="2:18" ht="16.5" x14ac:dyDescent="0.3">
      <c r="B14" s="28" t="s">
        <v>9</v>
      </c>
      <c r="C14" s="69">
        <f t="shared" si="0"/>
        <v>0</v>
      </c>
      <c r="D14" s="30"/>
      <c r="E14" s="75"/>
      <c r="F14" s="76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IF(vend31[[#This Row],[Nº Venda]]&gt;1,1,0)</f>
        <v>0</v>
      </c>
    </row>
    <row r="15" spans="2:18" ht="16.5" x14ac:dyDescent="0.3">
      <c r="B15" s="28" t="s">
        <v>10</v>
      </c>
      <c r="C15" s="69">
        <f t="shared" si="0"/>
        <v>0</v>
      </c>
      <c r="D15" s="30"/>
      <c r="E15" s="75"/>
      <c r="F15" s="76"/>
      <c r="G15" s="51"/>
      <c r="H15" s="39"/>
      <c r="I15" s="39"/>
      <c r="J15" s="30"/>
      <c r="K15" s="75"/>
      <c r="L15" s="89"/>
      <c r="M15" s="44"/>
      <c r="R15" s="1">
        <f>IF(vend31[[#This Row],[Nº Venda]]&gt;1,1,0)</f>
        <v>0</v>
      </c>
    </row>
    <row r="16" spans="2:18" ht="16.5" x14ac:dyDescent="0.3">
      <c r="B16" s="31" t="s">
        <v>11</v>
      </c>
      <c r="C16" s="70">
        <f>SUM(C11:C15)</f>
        <v>0</v>
      </c>
      <c r="D16" s="30"/>
      <c r="E16" s="75"/>
      <c r="F16" s="76"/>
      <c r="G16" s="51"/>
      <c r="H16" s="39"/>
      <c r="I16" s="39"/>
      <c r="J16" s="30"/>
      <c r="K16" s="75"/>
      <c r="L16" s="89"/>
      <c r="M16" s="44"/>
      <c r="R16" s="1">
        <f>IF(vend31[[#This Row],[Nº Venda]]&gt;1,1,0)</f>
        <v>0</v>
      </c>
    </row>
    <row r="17" spans="2:18" ht="16.5" x14ac:dyDescent="0.3">
      <c r="B17" s="27"/>
      <c r="C17" s="27"/>
      <c r="D17" s="30"/>
      <c r="E17" s="75"/>
      <c r="F17" s="76"/>
      <c r="G17" s="51"/>
      <c r="H17" s="39"/>
      <c r="I17" s="39"/>
      <c r="J17" s="30"/>
      <c r="K17" s="75"/>
      <c r="L17" s="89"/>
      <c r="M17" s="44"/>
      <c r="R17" s="1">
        <f>IF(vend31[[#This Row],[Nº Venda]]&gt;1,1,0)</f>
        <v>0</v>
      </c>
    </row>
    <row r="18" spans="2:18" ht="16.5" x14ac:dyDescent="0.3">
      <c r="B18" s="109" t="s">
        <v>12</v>
      </c>
      <c r="C18" s="110"/>
      <c r="D18" s="30"/>
      <c r="E18" s="75"/>
      <c r="F18" s="76"/>
      <c r="G18" s="51"/>
      <c r="H18" s="39"/>
      <c r="I18" s="39"/>
      <c r="J18" s="30"/>
      <c r="K18" s="75"/>
      <c r="L18" s="89"/>
      <c r="M18" s="44"/>
      <c r="R18" s="1">
        <f>IF(vend31[[#This Row],[Nº Venda]]&gt;1,1,0)</f>
        <v>0</v>
      </c>
    </row>
    <row r="19" spans="2:18" ht="16.5" x14ac:dyDescent="0.3">
      <c r="B19" s="28">
        <f>COUNT(entr_carn31[OS])</f>
        <v>0</v>
      </c>
      <c r="C19" s="69">
        <f>SUM(entr_carn31[Valor Total])</f>
        <v>0</v>
      </c>
      <c r="D19" s="30"/>
      <c r="E19" s="75"/>
      <c r="F19" s="76"/>
      <c r="G19" s="51"/>
      <c r="H19" s="39"/>
      <c r="I19" s="39"/>
      <c r="J19" s="30"/>
      <c r="K19" s="75"/>
      <c r="L19" s="89"/>
      <c r="M19" s="44"/>
      <c r="R19" s="1">
        <f>IF(vend31[[#This Row],[Nº Venda]]&gt;1,1,0)</f>
        <v>0</v>
      </c>
    </row>
    <row r="20" spans="2:18" ht="16.5" x14ac:dyDescent="0.3">
      <c r="B20" s="31" t="s">
        <v>11</v>
      </c>
      <c r="C20" s="70">
        <f>SUM(C19:C19)</f>
        <v>0</v>
      </c>
      <c r="D20" s="30"/>
      <c r="E20" s="75"/>
      <c r="F20" s="51"/>
      <c r="G20" s="51"/>
      <c r="H20" s="39"/>
      <c r="I20" s="39"/>
      <c r="J20" s="30"/>
      <c r="K20" s="75"/>
      <c r="L20" s="89"/>
      <c r="M20" s="44"/>
      <c r="R20" s="1">
        <f>IF(vend31[[#This Row],[Nº Venda]]&gt;1,1,0)</f>
        <v>0</v>
      </c>
    </row>
    <row r="21" spans="2:18" ht="16.5" x14ac:dyDescent="0.3">
      <c r="B21" s="27"/>
      <c r="C21" s="27"/>
      <c r="D21" s="30"/>
      <c r="E21" s="75"/>
      <c r="F21" s="76"/>
      <c r="G21" s="51"/>
      <c r="H21" s="39"/>
      <c r="I21" s="39"/>
      <c r="J21" s="30"/>
      <c r="K21" s="75"/>
      <c r="L21" s="89"/>
      <c r="M21" s="44"/>
    </row>
    <row r="22" spans="2:18" ht="16.5" x14ac:dyDescent="0.3">
      <c r="B22" s="31" t="s">
        <v>25</v>
      </c>
      <c r="C22" s="34">
        <f>C5</f>
        <v>0</v>
      </c>
      <c r="D22" s="30"/>
      <c r="E22" s="77"/>
      <c r="F22" s="76"/>
      <c r="G22" s="51"/>
      <c r="H22" s="39"/>
      <c r="I22" s="39"/>
      <c r="J22" s="30"/>
      <c r="K22" s="75"/>
      <c r="L22" s="89"/>
      <c r="M22" s="44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5"/>
      <c r="L23" s="89"/>
      <c r="M23" s="44"/>
    </row>
    <row r="24" spans="2:18" ht="16.5" x14ac:dyDescent="0.3">
      <c r="B24" s="30"/>
      <c r="C24" s="30"/>
      <c r="D24" s="30"/>
      <c r="E24" s="100" t="s">
        <v>138</v>
      </c>
      <c r="F24" s="101"/>
      <c r="G24" s="101"/>
      <c r="H24" s="101"/>
      <c r="I24" s="101"/>
      <c r="J24" s="30"/>
      <c r="K24" s="75"/>
      <c r="L24" s="89"/>
      <c r="M24" s="44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5"/>
      <c r="L25" s="89"/>
      <c r="M25" s="44"/>
    </row>
    <row r="26" spans="2:18" ht="16.5" x14ac:dyDescent="0.3">
      <c r="B26" s="30"/>
      <c r="C26" s="30"/>
      <c r="D26" s="30"/>
      <c r="E26" s="75"/>
      <c r="F26" s="76"/>
      <c r="G26" s="51"/>
      <c r="H26" s="39"/>
      <c r="I26" s="39"/>
      <c r="J26" s="30"/>
      <c r="K26" s="75"/>
      <c r="L26" s="89"/>
      <c r="M26" s="44"/>
    </row>
    <row r="27" spans="2:18" ht="16.5" x14ac:dyDescent="0.3">
      <c r="B27" s="30"/>
      <c r="C27" s="30"/>
      <c r="D27" s="30"/>
      <c r="E27" s="75"/>
      <c r="F27" s="76"/>
      <c r="G27" s="51"/>
      <c r="H27" s="39"/>
      <c r="I27" s="39"/>
      <c r="J27" s="30"/>
      <c r="K27" s="75"/>
      <c r="L27" s="89"/>
      <c r="M27" s="44"/>
    </row>
    <row r="28" spans="2:18" ht="16.5" x14ac:dyDescent="0.3">
      <c r="B28" s="30"/>
      <c r="C28" s="30"/>
      <c r="D28" s="30"/>
      <c r="E28" s="75"/>
      <c r="F28" s="76"/>
      <c r="G28" s="51"/>
      <c r="H28" s="39"/>
      <c r="I28" s="39"/>
      <c r="J28" s="30"/>
      <c r="K28" s="75"/>
      <c r="L28" s="89"/>
      <c r="M28" s="44"/>
    </row>
    <row r="29" spans="2:18" ht="16.5" x14ac:dyDescent="0.3">
      <c r="B29" s="30"/>
      <c r="C29" s="30"/>
      <c r="D29" s="30"/>
      <c r="E29" s="75"/>
      <c r="F29" s="76"/>
      <c r="G29" s="51"/>
      <c r="H29" s="39"/>
      <c r="I29" s="39"/>
      <c r="J29" s="30"/>
      <c r="K29" s="75"/>
      <c r="L29" s="89"/>
      <c r="M29" s="44"/>
    </row>
    <row r="30" spans="2:18" ht="16.5" x14ac:dyDescent="0.3">
      <c r="B30" s="30"/>
      <c r="C30" s="30"/>
      <c r="D30" s="30"/>
      <c r="E30" s="75"/>
      <c r="F30" s="51"/>
      <c r="G30" s="51"/>
      <c r="H30" s="39"/>
      <c r="I30" s="39"/>
      <c r="J30" s="30"/>
      <c r="K30" s="75"/>
      <c r="L30" s="89"/>
      <c r="M30" s="44"/>
    </row>
    <row r="31" spans="2:18" ht="16.5" x14ac:dyDescent="0.3">
      <c r="B31" s="30"/>
      <c r="C31" s="30"/>
      <c r="D31" s="30"/>
      <c r="E31" s="77"/>
      <c r="F31" s="78"/>
      <c r="G31" s="42"/>
      <c r="H31" s="43"/>
      <c r="I31" s="43"/>
      <c r="J31" s="30"/>
      <c r="K31" s="75"/>
      <c r="L31" s="89"/>
      <c r="M31" s="44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139</v>
      </c>
      <c r="F33" s="101"/>
      <c r="G33" s="101"/>
      <c r="H33" s="101"/>
      <c r="I33" s="101"/>
      <c r="J33" s="38"/>
      <c r="K33" s="102" t="s">
        <v>140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5"/>
      <c r="F35" s="76"/>
      <c r="G35" s="51"/>
      <c r="H35" s="39"/>
      <c r="I35" s="39"/>
      <c r="J35" s="38"/>
      <c r="K35" s="75"/>
      <c r="L35" s="75"/>
      <c r="M35" s="89"/>
    </row>
    <row r="36" spans="2:18" ht="16.5" customHeight="1" x14ac:dyDescent="0.25">
      <c r="B36" s="38"/>
      <c r="C36" s="38"/>
      <c r="D36" s="38"/>
      <c r="E36" s="81"/>
      <c r="F36" s="76"/>
      <c r="G36" s="51"/>
      <c r="H36" s="39"/>
      <c r="I36" s="39"/>
      <c r="J36" s="38"/>
      <c r="K36" s="75"/>
      <c r="L36" s="75"/>
      <c r="M36" s="89"/>
    </row>
    <row r="37" spans="2:18" ht="16.5" customHeight="1" x14ac:dyDescent="0.25">
      <c r="B37" s="38"/>
      <c r="C37" s="38"/>
      <c r="D37" s="38"/>
      <c r="E37" s="75"/>
      <c r="F37" s="76"/>
      <c r="G37" s="51"/>
      <c r="H37" s="39"/>
      <c r="I37" s="39"/>
      <c r="J37" s="38"/>
      <c r="K37" s="75"/>
      <c r="L37" s="75"/>
      <c r="M37" s="89"/>
    </row>
    <row r="38" spans="2:18" ht="16.5" customHeight="1" x14ac:dyDescent="0.25">
      <c r="B38" s="38"/>
      <c r="C38" s="38"/>
      <c r="D38" s="38"/>
      <c r="E38" s="75"/>
      <c r="F38" s="76"/>
      <c r="G38" s="51"/>
      <c r="H38" s="39"/>
      <c r="I38" s="39"/>
      <c r="J38" s="38"/>
      <c r="K38" s="75"/>
      <c r="L38" s="75"/>
      <c r="M38" s="89"/>
    </row>
    <row r="39" spans="2:18" ht="16.5" customHeight="1" x14ac:dyDescent="0.25">
      <c r="B39" s="38"/>
      <c r="C39" s="38"/>
      <c r="D39" s="38"/>
      <c r="E39" s="75"/>
      <c r="F39" s="51"/>
      <c r="G39" s="51"/>
      <c r="H39" s="39"/>
      <c r="I39" s="39"/>
      <c r="J39" s="38"/>
      <c r="K39" s="75"/>
      <c r="L39" s="75"/>
      <c r="M39" s="89"/>
    </row>
    <row r="40" spans="2:18" ht="16.5" customHeight="1" x14ac:dyDescent="0.25">
      <c r="B40" s="38"/>
      <c r="C40" s="38"/>
      <c r="D40" s="38"/>
      <c r="E40" s="77"/>
      <c r="F40" s="78"/>
      <c r="G40" s="42"/>
      <c r="H40" s="43"/>
      <c r="I40" s="39"/>
      <c r="J40" s="38"/>
      <c r="K40" s="77"/>
      <c r="L40" s="77"/>
      <c r="M40" s="90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0"/>
      <c r="F41" s="51"/>
      <c r="G41" s="51"/>
      <c r="H41" s="39"/>
      <c r="I41" s="39"/>
      <c r="J41" s="38"/>
      <c r="K41" s="75"/>
      <c r="L41" s="75"/>
      <c r="M41" s="90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135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C11" sqref="C11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10</v>
      </c>
      <c r="B5" s="13" t="s">
        <v>10</v>
      </c>
      <c r="E5" t="s">
        <v>66</v>
      </c>
    </row>
    <row r="6" spans="1:5" x14ac:dyDescent="0.2">
      <c r="A6" s="13" t="s">
        <v>46</v>
      </c>
      <c r="B6" s="13" t="s">
        <v>67</v>
      </c>
      <c r="E6" t="s">
        <v>30</v>
      </c>
    </row>
    <row r="7" spans="1:5" x14ac:dyDescent="0.2">
      <c r="A7" t="s">
        <v>24</v>
      </c>
      <c r="B7" t="s">
        <v>69</v>
      </c>
      <c r="E7" t="s">
        <v>68</v>
      </c>
    </row>
    <row r="8" spans="1:5" x14ac:dyDescent="0.2">
      <c r="A8" s="13" t="s">
        <v>36</v>
      </c>
      <c r="B8" s="13" t="s">
        <v>70</v>
      </c>
      <c r="E8" t="s">
        <v>48</v>
      </c>
    </row>
    <row r="9" spans="1:5" x14ac:dyDescent="0.2">
      <c r="E9" t="s">
        <v>71</v>
      </c>
    </row>
    <row r="10" spans="1:5" x14ac:dyDescent="0.2">
      <c r="E10" t="s">
        <v>72</v>
      </c>
    </row>
    <row r="11" spans="1:5" x14ac:dyDescent="0.2">
      <c r="E11" t="s">
        <v>73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74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75</v>
      </c>
    </row>
    <row r="21" spans="5:5" x14ac:dyDescent="0.2">
      <c r="E21" t="s">
        <v>76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77</v>
      </c>
    </row>
    <row r="31" spans="5:5" x14ac:dyDescent="0.2">
      <c r="E31" t="s">
        <v>31</v>
      </c>
    </row>
    <row r="32" spans="5:5" x14ac:dyDescent="0.2">
      <c r="E32" t="s">
        <v>78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79</v>
      </c>
    </row>
    <row r="39" spans="5:5" x14ac:dyDescent="0.2">
      <c r="E39" t="s">
        <v>80</v>
      </c>
    </row>
    <row r="40" spans="5:5" x14ac:dyDescent="0.2">
      <c r="E40" t="s">
        <v>81</v>
      </c>
    </row>
    <row r="41" spans="5:5" x14ac:dyDescent="0.2">
      <c r="E41" t="s">
        <v>82</v>
      </c>
    </row>
    <row r="42" spans="5:5" x14ac:dyDescent="0.2">
      <c r="E42" t="s">
        <v>83</v>
      </c>
    </row>
    <row r="43" spans="5:5" x14ac:dyDescent="0.2">
      <c r="E43" t="s">
        <v>84</v>
      </c>
    </row>
    <row r="44" spans="5:5" x14ac:dyDescent="0.2">
      <c r="E44" t="s">
        <v>85</v>
      </c>
    </row>
    <row r="45" spans="5:5" x14ac:dyDescent="0.2">
      <c r="E45" t="s">
        <v>86</v>
      </c>
    </row>
    <row r="46" spans="5:5" x14ac:dyDescent="0.2">
      <c r="E46" t="s">
        <v>87</v>
      </c>
    </row>
    <row r="47" spans="5:5" x14ac:dyDescent="0.2">
      <c r="E47" t="s">
        <v>88</v>
      </c>
    </row>
    <row r="48" spans="5:5" x14ac:dyDescent="0.2">
      <c r="E48" t="s">
        <v>89</v>
      </c>
    </row>
    <row r="49" spans="5:5" x14ac:dyDescent="0.2">
      <c r="E49" t="s">
        <v>90</v>
      </c>
    </row>
    <row r="50" spans="5:5" x14ac:dyDescent="0.2">
      <c r="E50" t="s">
        <v>91</v>
      </c>
    </row>
    <row r="51" spans="5:5" x14ac:dyDescent="0.2">
      <c r="E51" t="s">
        <v>92</v>
      </c>
    </row>
    <row r="52" spans="5:5" x14ac:dyDescent="0.2">
      <c r="E52" t="s">
        <v>93</v>
      </c>
    </row>
    <row r="53" spans="5:5" x14ac:dyDescent="0.2">
      <c r="E53" t="s">
        <v>94</v>
      </c>
    </row>
    <row r="54" spans="5:5" x14ac:dyDescent="0.2">
      <c r="E54" t="s">
        <v>95</v>
      </c>
    </row>
    <row r="55" spans="5:5" x14ac:dyDescent="0.2">
      <c r="E55" t="s">
        <v>96</v>
      </c>
    </row>
    <row r="56" spans="5:5" x14ac:dyDescent="0.2">
      <c r="E56" t="s">
        <v>97</v>
      </c>
    </row>
    <row r="57" spans="5:5" x14ac:dyDescent="0.2">
      <c r="E57" t="s">
        <v>98</v>
      </c>
    </row>
    <row r="58" spans="5:5" x14ac:dyDescent="0.2">
      <c r="E58" t="s">
        <v>99</v>
      </c>
    </row>
    <row r="59" spans="5:5" x14ac:dyDescent="0.2">
      <c r="E59" t="s">
        <v>100</v>
      </c>
    </row>
    <row r="60" spans="5:5" x14ac:dyDescent="0.2">
      <c r="E60" t="s">
        <v>101</v>
      </c>
    </row>
    <row r="61" spans="5:5" x14ac:dyDescent="0.2">
      <c r="E61" t="s">
        <v>102</v>
      </c>
    </row>
    <row r="62" spans="5:5" x14ac:dyDescent="0.2">
      <c r="E62" t="s">
        <v>103</v>
      </c>
    </row>
    <row r="63" spans="5:5" x14ac:dyDescent="0.2">
      <c r="E63" t="s">
        <v>104</v>
      </c>
    </row>
    <row r="64" spans="5:5" x14ac:dyDescent="0.2">
      <c r="E64" t="s">
        <v>105</v>
      </c>
    </row>
    <row r="65" spans="5:5" x14ac:dyDescent="0.2">
      <c r="E65" t="s">
        <v>106</v>
      </c>
    </row>
    <row r="66" spans="5:5" x14ac:dyDescent="0.2">
      <c r="E66" t="s">
        <v>107</v>
      </c>
    </row>
    <row r="67" spans="5:5" x14ac:dyDescent="0.2">
      <c r="E67" t="s">
        <v>108</v>
      </c>
    </row>
    <row r="68" spans="5:5" x14ac:dyDescent="0.2">
      <c r="E68" t="s">
        <v>109</v>
      </c>
    </row>
    <row r="69" spans="5:5" x14ac:dyDescent="0.2">
      <c r="E69" t="s">
        <v>110</v>
      </c>
    </row>
    <row r="70" spans="5:5" x14ac:dyDescent="0.2">
      <c r="E70" t="s">
        <v>111</v>
      </c>
    </row>
    <row r="71" spans="5:5" x14ac:dyDescent="0.2">
      <c r="E71" t="s">
        <v>112</v>
      </c>
    </row>
    <row r="72" spans="5:5" x14ac:dyDescent="0.2">
      <c r="E72" t="s">
        <v>113</v>
      </c>
    </row>
    <row r="73" spans="5:5" x14ac:dyDescent="0.2">
      <c r="E73" t="s">
        <v>114</v>
      </c>
    </row>
    <row r="74" spans="5:5" x14ac:dyDescent="0.2">
      <c r="E74" t="s">
        <v>115</v>
      </c>
    </row>
    <row r="75" spans="5:5" x14ac:dyDescent="0.2">
      <c r="E75" t="s">
        <v>116</v>
      </c>
    </row>
    <row r="76" spans="5:5" x14ac:dyDescent="0.2">
      <c r="E76" t="s">
        <v>117</v>
      </c>
    </row>
    <row r="77" spans="5:5" x14ac:dyDescent="0.2">
      <c r="E77" t="s">
        <v>118</v>
      </c>
    </row>
    <row r="78" spans="5:5" x14ac:dyDescent="0.2">
      <c r="E78" t="s">
        <v>119</v>
      </c>
    </row>
    <row r="79" spans="5:5" x14ac:dyDescent="0.2">
      <c r="E79" t="s">
        <v>120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2025-07-15T15:27:45Z</cp:lastPrinted>
  <dcterms:created xsi:type="dcterms:W3CDTF">2004-04-07T20:43:43Z</dcterms:created>
  <dcterms:modified xsi:type="dcterms:W3CDTF">2025-07-16T14:44:50Z</dcterms:modified>
  <cp:category/>
  <cp:contentStatus/>
</cp:coreProperties>
</file>