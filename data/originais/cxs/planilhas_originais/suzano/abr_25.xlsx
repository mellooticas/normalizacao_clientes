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1874" documentId="8_{F2978760-27D4-4E8F-88F2-0C67A8BEC1E7}" xr6:coauthVersionLast="47" xr6:coauthVersionMax="47" xr10:uidLastSave="{B98DD1C9-3571-4BF6-9F29-E6F2BBBBF013}"/>
  <bookViews>
    <workbookView xWindow="-120" yWindow="330" windowWidth="29040" windowHeight="15990" tabRatio="928" activeTab="2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00" l="1"/>
  <c r="C6" i="170"/>
  <c r="C6" i="183"/>
  <c r="C6" i="186"/>
  <c r="C6" i="189"/>
  <c r="C6" i="197"/>
  <c r="C6" i="198"/>
  <c r="C6" i="174"/>
  <c r="C12" i="170"/>
  <c r="C13" i="170"/>
  <c r="C14" i="170"/>
  <c r="C15" i="170"/>
  <c r="C11" i="170"/>
  <c r="C12" i="188"/>
  <c r="C13" i="188"/>
  <c r="C14" i="188"/>
  <c r="C15" i="188"/>
  <c r="C11" i="18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/>
  <c r="C12" i="174"/>
  <c r="C13" i="174"/>
  <c r="C14" i="174"/>
  <c r="C15" i="174"/>
  <c r="C12" i="173"/>
  <c r="C13" i="173"/>
  <c r="C14" i="173"/>
  <c r="C15" i="173"/>
  <c r="C12" i="172"/>
  <c r="C16" i="172" s="1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 s="1"/>
  <c r="C5" i="171"/>
  <c r="C22" i="171"/>
  <c r="C5" i="170"/>
  <c r="C22" i="170"/>
  <c r="C5" i="103"/>
  <c r="C5" i="178"/>
  <c r="C22" i="178"/>
  <c r="C5" i="177"/>
  <c r="C22" i="177" s="1"/>
  <c r="C5" i="176"/>
  <c r="C22" i="176" s="1"/>
  <c r="C5" i="180"/>
  <c r="C22" i="180" s="1"/>
  <c r="C5" i="182"/>
  <c r="C22" i="182" s="1"/>
  <c r="C5" i="183"/>
  <c r="C22" i="183"/>
  <c r="C5" i="181"/>
  <c r="C22" i="181" s="1"/>
  <c r="C5" i="179"/>
  <c r="C22" i="179" s="1"/>
  <c r="C5" i="184"/>
  <c r="C22" i="184" s="1"/>
  <c r="C5" i="185"/>
  <c r="C22" i="185" s="1"/>
  <c r="C5" i="186"/>
  <c r="C22" i="186"/>
  <c r="C5" i="187"/>
  <c r="C22" i="187" s="1"/>
  <c r="C5" i="189"/>
  <c r="C22" i="189"/>
  <c r="C5" i="190"/>
  <c r="C22" i="190" s="1"/>
  <c r="C5" i="191"/>
  <c r="C22" i="191" s="1"/>
  <c r="C5" i="188"/>
  <c r="C22" i="188" s="1"/>
  <c r="C5" i="193"/>
  <c r="C22" i="193" s="1"/>
  <c r="C5" i="195"/>
  <c r="C22" i="195"/>
  <c r="C5" i="194"/>
  <c r="C22" i="194" s="1"/>
  <c r="C5" i="197"/>
  <c r="C22" i="197"/>
  <c r="C5" i="196"/>
  <c r="C22" i="196" s="1"/>
  <c r="C5" i="192"/>
  <c r="C22" i="192" s="1"/>
  <c r="C5" i="199"/>
  <c r="C22" i="199" s="1"/>
  <c r="C5" i="198"/>
  <c r="C22" i="198"/>
  <c r="C8" i="174"/>
  <c r="C8" i="189"/>
  <c r="C8" i="197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40" i="195" s="1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40" i="177" s="1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40" i="172" s="1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/>
  <c r="C8" i="183"/>
  <c r="R40" i="183"/>
  <c r="R40" i="198"/>
  <c r="R40" i="189"/>
  <c r="R40" i="186"/>
  <c r="R40" i="188"/>
  <c r="R40" i="197"/>
  <c r="C16" i="170"/>
  <c r="O11" i="170"/>
  <c r="R40" i="170"/>
  <c r="C16" i="175"/>
  <c r="O11" i="175" s="1"/>
  <c r="R40" i="175"/>
  <c r="R40" i="173"/>
  <c r="R40" i="174"/>
  <c r="C16" i="171"/>
  <c r="R40" i="171"/>
  <c r="B5" i="200"/>
  <c r="C16" i="189"/>
  <c r="O11" i="189"/>
  <c r="C8" i="198"/>
  <c r="C8" i="170"/>
  <c r="C16" i="198"/>
  <c r="O11" i="198"/>
  <c r="C16" i="197"/>
  <c r="O11" i="197"/>
  <c r="C16" i="186"/>
  <c r="O11" i="186"/>
  <c r="C16" i="183"/>
  <c r="O11" i="183"/>
  <c r="C16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1"/>
  <c r="C6" i="171"/>
  <c r="C8" i="171"/>
  <c r="O11" i="173"/>
  <c r="C6" i="173"/>
  <c r="C8" i="173"/>
  <c r="R40" i="103"/>
  <c r="B1" i="174"/>
  <c r="B1" i="173"/>
  <c r="B1" i="172"/>
  <c r="B1" i="171"/>
  <c r="B1" i="170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16" i="199" l="1"/>
  <c r="C6" i="199" s="1"/>
  <c r="C8" i="199" s="1"/>
  <c r="R40" i="199"/>
  <c r="C16" i="192"/>
  <c r="O11" i="192" s="1"/>
  <c r="O11" i="172"/>
  <c r="C6" i="172"/>
  <c r="C8" i="172" s="1"/>
  <c r="R40" i="192"/>
  <c r="R40" i="196"/>
  <c r="C16" i="196"/>
  <c r="O11" i="196" s="1"/>
  <c r="C16" i="194"/>
  <c r="C6" i="194" s="1"/>
  <c r="C8" i="194" s="1"/>
  <c r="R40" i="194"/>
  <c r="R40" i="193"/>
  <c r="C16" i="193"/>
  <c r="C6" i="193" s="1"/>
  <c r="C8" i="193" s="1"/>
  <c r="C16" i="188"/>
  <c r="C6" i="188" s="1"/>
  <c r="C8" i="188" s="1"/>
  <c r="C16" i="191"/>
  <c r="C6" i="191" s="1"/>
  <c r="C8" i="191" s="1"/>
  <c r="R40" i="191"/>
  <c r="C16" i="190"/>
  <c r="C6" i="190" s="1"/>
  <c r="C8" i="190" s="1"/>
  <c r="R40" i="190"/>
  <c r="O11" i="190"/>
  <c r="B12" i="200"/>
  <c r="R40" i="187"/>
  <c r="C16" i="187"/>
  <c r="C6" i="187" s="1"/>
  <c r="C8" i="187" s="1"/>
  <c r="R40" i="185"/>
  <c r="C16" i="185"/>
  <c r="C6" i="185" s="1"/>
  <c r="C8" i="185" s="1"/>
  <c r="R40" i="184"/>
  <c r="C16" i="184"/>
  <c r="O11" i="184" s="1"/>
  <c r="R40" i="176"/>
  <c r="R40" i="179"/>
  <c r="C16" i="179"/>
  <c r="C6" i="179" s="1"/>
  <c r="C8" i="179" s="1"/>
  <c r="R40" i="181"/>
  <c r="C16" i="181"/>
  <c r="C6" i="181" s="1"/>
  <c r="C8" i="181" s="1"/>
  <c r="R50" i="182"/>
  <c r="C16" i="182"/>
  <c r="O11" i="182" s="1"/>
  <c r="R40" i="180"/>
  <c r="C16" i="180"/>
  <c r="O11" i="180" s="1"/>
  <c r="B17" i="200"/>
  <c r="B18" i="200" s="1"/>
  <c r="C16" i="176"/>
  <c r="C6" i="176" s="1"/>
  <c r="C8" i="176" s="1"/>
  <c r="C6" i="175"/>
  <c r="C8" i="175" s="1"/>
  <c r="C16" i="177"/>
  <c r="C6" i="177" s="1"/>
  <c r="C8" i="177" s="1"/>
  <c r="B10" i="200"/>
  <c r="R40" i="178"/>
  <c r="C16" i="178"/>
  <c r="C6" i="178" s="1"/>
  <c r="C8" i="178" s="1"/>
  <c r="B9" i="200"/>
  <c r="B11" i="200"/>
  <c r="C16" i="195"/>
  <c r="O11" i="195" s="1"/>
  <c r="C16" i="103"/>
  <c r="C6" i="103" s="1"/>
  <c r="O11" i="103"/>
  <c r="B13" i="200"/>
  <c r="O11" i="199" l="1"/>
  <c r="C6" i="192"/>
  <c r="C8" i="192" s="1"/>
  <c r="C6" i="196"/>
  <c r="C8" i="196" s="1"/>
  <c r="O11" i="194"/>
  <c r="O11" i="193"/>
  <c r="O11" i="188"/>
  <c r="O11" i="191"/>
  <c r="O11" i="187"/>
  <c r="O11" i="185"/>
  <c r="C6" i="184"/>
  <c r="C8" i="184" s="1"/>
  <c r="O11" i="179"/>
  <c r="O11" i="181"/>
  <c r="C6" i="182"/>
  <c r="C8" i="182" s="1"/>
  <c r="C6" i="180"/>
  <c r="C8" i="180" s="1"/>
  <c r="O11" i="176"/>
  <c r="O11" i="177"/>
  <c r="O11" i="178"/>
  <c r="B14" i="200"/>
  <c r="C6" i="195"/>
  <c r="C8" i="195" s="1"/>
  <c r="C8" i="103"/>
  <c r="B4" i="200" l="1"/>
  <c r="B6" i="200" s="1"/>
</calcChain>
</file>

<file path=xl/sharedStrings.xml><?xml version="1.0" encoding="utf-8"?>
<sst xmlns="http://schemas.openxmlformats.org/spreadsheetml/2006/main" count="2433" uniqueCount="332">
  <si>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</si>
  <si>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</si>
  <si>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</si>
  <si>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</si>
  <si>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</si>
  <si>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</si>
  <si>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</si>
  <si>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</si>
  <si>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</si>
  <si>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</si>
  <si>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</si>
  <si>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</si>
  <si>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</si>
  <si>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</si>
  <si>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</si>
  <si>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</si>
  <si>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</si>
  <si>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</si>
  <si>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</si>
  <si>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</si>
  <si>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</si>
  <si>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</si>
  <si>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</si>
  <si>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</si>
  <si>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</si>
  <si>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</si>
  <si>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</si>
  <si>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</si>
  <si>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</si>
  <si>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</si>
  <si>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</si>
  <si>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</si>
  <si>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</si>
  <si>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</si>
  <si>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</si>
  <si>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</si>
  <si>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</si>
  <si>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</si>
  <si>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</si>
  <si>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</si>
  <si>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</si>
  <si>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</si>
  <si>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</si>
  <si>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</si>
  <si>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</si>
  <si>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</si>
  <si>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</si>
  <si>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</si>
  <si>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</si>
  <si>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</si>
  <si>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</si>
  <si>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</si>
  <si>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</si>
  <si>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</si>
  <si>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</si>
  <si>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</si>
  <si>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</si>
  <si>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</si>
  <si>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</si>
  <si>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</si>
  <si>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</si>
  <si>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</si>
  <si>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</si>
  <si>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</si>
  <si>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</si>
  <si>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</si>
  <si>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</si>
  <si>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</si>
  <si>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</si>
  <si>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</si>
  <si>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</si>
  <si>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</si>
  <si>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</si>
  <si>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</si>
  <si>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</si>
  <si>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</si>
  <si>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</si>
  <si>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</si>
  <si>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</si>
  <si>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</si>
  <si>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</si>
  <si>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</si>
  <si>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</si>
  <si>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</si>
  <si>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</si>
  <si>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</si>
  <si>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</si>
  <si>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</si>
  <si>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</si>
  <si>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</si>
  <si>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</si>
  <si>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</si>
  <si>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</si>
  <si>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</si>
  <si>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</si>
  <si>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</si>
  <si>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</si>
  <si>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</si>
  <si>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</si>
  <si>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</si>
  <si>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</si>
  <si>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</si>
  <si>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</si>
  <si>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</si>
  <si>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</si>
  <si>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</si>
  <si>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</si>
  <si>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</si>
  <si>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</si>
  <si>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</si>
  <si>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</si>
  <si>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</si>
  <si>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</si>
  <si>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</si>
  <si>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</si>
  <si>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</si>
  <si>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</si>
  <si>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</si>
  <si>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</si>
  <si>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</si>
  <si>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</si>
  <si>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</si>
  <si>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</si>
  <si>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</si>
  <si>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</si>
  <si>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</si>
  <si>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</si>
  <si>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</si>
  <si>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</si>
  <si>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</si>
  <si>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</si>
  <si>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</si>
  <si>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</si>
  <si>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</si>
  <si>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</si>
  <si>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</si>
  <si>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</si>
  <si>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</si>
  <si>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</si>
  <si>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</si>
  <si>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</si>
  <si>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SIMONE MARIA DA SILVA</t>
  </si>
  <si>
    <t>JOSÉ ROBERTO</t>
  </si>
  <si>
    <t>JOSÉ BEZERRA DA SILVA</t>
  </si>
  <si>
    <t>KELLY CRISTINA OLIVEIRA</t>
  </si>
  <si>
    <t>ROSA SHIZUKA FURUSHIMA DOS PASSOS</t>
  </si>
  <si>
    <t>SANDRA HELENA DA SILVA</t>
  </si>
  <si>
    <t>FLAVIA RENATA FEDRIGO DA SILVA</t>
  </si>
  <si>
    <t>Não</t>
  </si>
  <si>
    <t>MARCOS SILVIO SOARES</t>
  </si>
  <si>
    <t>JAQUELINE SANTOS</t>
  </si>
  <si>
    <t>GILMA LOPES</t>
  </si>
  <si>
    <t>ALINE DE FREITAS</t>
  </si>
  <si>
    <t>LENO</t>
  </si>
  <si>
    <t>GISLIANA GONÇALVES DE OLIVEIRA</t>
  </si>
  <si>
    <t>EVA MARIA APARECIDA MARCONDES ALEVATO</t>
  </si>
  <si>
    <t>GILBERTO DE JESUS</t>
  </si>
  <si>
    <t>ROSEMEIRE CREPALDI CAÇOLA</t>
  </si>
  <si>
    <t>MARIA LUCIENE NONATO NETO</t>
  </si>
  <si>
    <t>JOSÉ ROBERTO LOPES</t>
  </si>
  <si>
    <t>NELY MARIA DE OLIVEIRA</t>
  </si>
  <si>
    <t>ADRIANO RODRIGUES COSTA</t>
  </si>
  <si>
    <t>FERNANDO RODRIGUES DA SILVA</t>
  </si>
  <si>
    <t>LUCÉLIA ROCHA</t>
  </si>
  <si>
    <t>ADILSON ALVES</t>
  </si>
  <si>
    <t>JEFERSON DA SILVA MEDINA</t>
  </si>
  <si>
    <t>EUCLIDES DOMINGUES LEITE</t>
  </si>
  <si>
    <t>FLÁVIA RENATA FEDRIGO DA SOLVA</t>
  </si>
  <si>
    <t>FERNANDO DE ANDRADE</t>
  </si>
  <si>
    <t>RUAN DOS SANTOS</t>
  </si>
  <si>
    <t>Sim</t>
  </si>
  <si>
    <t>JESSE WOOBY ALLEN JUSTINO</t>
  </si>
  <si>
    <t>GABRIEL HENRIQUE TAVARES ADAIR</t>
  </si>
  <si>
    <t>ANA LUCIA DA SILVA ADAIR</t>
  </si>
  <si>
    <t>EDSON SOUZA DE ALMEIDA</t>
  </si>
  <si>
    <t>ELIANE TANAKA</t>
  </si>
  <si>
    <t>CAROLINE SILVA NUNES</t>
  </si>
  <si>
    <t>TÂMIRA YURI YAMAMOTO</t>
  </si>
  <si>
    <t>GENI CARLOS RANGEL</t>
  </si>
  <si>
    <t>VERALDA MOREIRA DE SANTANA</t>
  </si>
  <si>
    <t>CATIA APARECIDA FLORENTINO DA SILVA</t>
  </si>
  <si>
    <t>GILVANILSON JACINTO DO NASCIMENTO</t>
  </si>
  <si>
    <t>DELCI FIGUEIREDO</t>
  </si>
  <si>
    <t>RICARDO DIAS DA SILVA</t>
  </si>
  <si>
    <t>BIANCA ARGOS DE ARAUJO</t>
  </si>
  <si>
    <t>NÃO</t>
  </si>
  <si>
    <t>DINHEIRO</t>
  </si>
  <si>
    <t>ALMOÇO TATY</t>
  </si>
  <si>
    <t>SONIA FELIZARDO PEREIRA</t>
  </si>
  <si>
    <t>LUCIENE CORDEIRO GOMES</t>
  </si>
  <si>
    <t>LARA YASMIN RODO</t>
  </si>
  <si>
    <t>SARAH DE ALMEIDA SILVA</t>
  </si>
  <si>
    <t>PAULO ANTONIO RODRIGUES</t>
  </si>
  <si>
    <t>KAREN SOARES DE JESUS</t>
  </si>
  <si>
    <t>DULCE FERRARI FERREIRA</t>
  </si>
  <si>
    <t>SOFIA VITORIA VENERANO PEREIRA DOS SANTOS</t>
  </si>
  <si>
    <t>SIMONE GOMES BISPO</t>
  </si>
  <si>
    <t xml:space="preserve">KATIA APARECIDA FLORENTINO DA SILVA </t>
  </si>
  <si>
    <t>ANA LUCIA DA SILVA TAVARES</t>
  </si>
  <si>
    <t>KETTELYN ARAUJO DE OLIVEIRA</t>
  </si>
  <si>
    <t>KATIA DE OLIVEIRA MOURA</t>
  </si>
  <si>
    <t>MAURO ROBRTO</t>
  </si>
  <si>
    <t xml:space="preserve">ITAMARA LUZ VITORIANO </t>
  </si>
  <si>
    <t xml:space="preserve">SUELI MOREIRA DOS SANTOS </t>
  </si>
  <si>
    <t>VANDA BALOGO PEREIRA</t>
  </si>
  <si>
    <t>VAGNER GOMES DE ALMEIDA</t>
  </si>
  <si>
    <t>THIAGO YURI DA SILVA</t>
  </si>
  <si>
    <t>,</t>
  </si>
  <si>
    <t>GRACIELA ANTONIA GREGORIO</t>
  </si>
  <si>
    <t>JOSENICE DE JESUS SANTOS ARAUJO</t>
  </si>
  <si>
    <t>REGINA CUSTODIA DA SILVA</t>
  </si>
  <si>
    <t>JORGE</t>
  </si>
  <si>
    <t>APARECIDA MORAES LIMA</t>
  </si>
  <si>
    <t>CECILIA BOOCUTURA</t>
  </si>
  <si>
    <t>pedro alves de lima</t>
  </si>
  <si>
    <t>RIVONI DOS ANJOS SANTOS TEIXEIRA</t>
  </si>
  <si>
    <t>MARIA FRANCISCA VELOSO ANTUNES</t>
  </si>
  <si>
    <t>NEUSA MARIA DE JESUS</t>
  </si>
  <si>
    <t>JOSENCE DE JESUS SANTOS ARAUJO</t>
  </si>
  <si>
    <t>MARINA VITORIA GINO SANTOS</t>
  </si>
  <si>
    <t>VALDEMICE BATISTA DOS SANTOS</t>
  </si>
  <si>
    <t>RICARDO CAMPANI PERIS BASTOS</t>
  </si>
  <si>
    <t>SIRLEI BUENO BORGES</t>
  </si>
  <si>
    <t>ERIKA DA SILVA</t>
  </si>
  <si>
    <t>JOSE LUIZ DA SILVA</t>
  </si>
  <si>
    <t>WALDETE ALVES</t>
  </si>
  <si>
    <t>ELIEL DUARTE SILVA</t>
  </si>
  <si>
    <t>9980 MARIA SANDRA DA SILVA</t>
  </si>
  <si>
    <t>LUCIANO JOSE DA SILVA</t>
  </si>
  <si>
    <t>ZENILDA MOTA DOS SANTOS CABRAL</t>
  </si>
  <si>
    <t>MARIANA DE LOURDES FELIARDO PEREIRA</t>
  </si>
  <si>
    <t>ENGRAXAR AS PORTAS</t>
  </si>
  <si>
    <t>MARIA NEUSA DOS SANTOS</t>
  </si>
  <si>
    <t>NEIMAR PEREIRA DOS SANTOS</t>
  </si>
  <si>
    <t>JOSET FRANCISCO DE LIMA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</si>
  <si>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</si>
  <si>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ANA LIVIA DE OLIVEIRA ALMEIDA</t>
  </si>
  <si>
    <t>NELIO ALVES XAVIER</t>
  </si>
  <si>
    <t>Jaqueline melo da silva</t>
  </si>
  <si>
    <t>KAREN HAPUQUE DE FREITAS SILVA</t>
  </si>
  <si>
    <t>GILBERTO DE ALMEIDA</t>
  </si>
  <si>
    <t>RODRIGO BISPO</t>
  </si>
  <si>
    <t xml:space="preserve">JACSON WILLIAM  GOMES </t>
  </si>
  <si>
    <t>MARILU CANDIDA JACOB</t>
  </si>
  <si>
    <t xml:space="preserve">TAMIRA YURI YAMAMOTO </t>
  </si>
  <si>
    <t>THATIANE DE SOUSA AMORIM</t>
  </si>
  <si>
    <t>CARLA CRISTINA GONZAGA</t>
  </si>
  <si>
    <t>ZULEIDE MARIA DE SANTANA ARAUJO</t>
  </si>
  <si>
    <t>MARILENE AUGUSTINHO MARTINS DE OLIVEIRTA</t>
  </si>
  <si>
    <t>PAO CAFÉ DA MANHA</t>
  </si>
  <si>
    <t>ODETE DE LOURDES MENDES TERAGI</t>
  </si>
  <si>
    <t>YARA FERREIRA GALVÃO</t>
  </si>
  <si>
    <t>EDILEUSA APARECIDA EVARISTO</t>
  </si>
  <si>
    <t>elisangela alves da silva</t>
  </si>
  <si>
    <t>DENISE DASAN</t>
  </si>
  <si>
    <t>CLARA DE SOUZA NOGUEIRO</t>
  </si>
  <si>
    <t>SILVANA FERREIRA GOMES DA COSTA</t>
  </si>
  <si>
    <t>ROSIMEIRE CREPALDI CAÇOLA</t>
  </si>
  <si>
    <t>ULISSES ROBERTO DOS SANTOS</t>
  </si>
  <si>
    <t>KAYO EDUARDO ROLO</t>
  </si>
  <si>
    <t>ANTONIO MARIM</t>
  </si>
  <si>
    <t>ELCIA SATIKO TAKEDA</t>
  </si>
  <si>
    <t>MAURICIO BORGES ALAMINO</t>
  </si>
  <si>
    <t>HELENA APARECIDA LEITE</t>
  </si>
  <si>
    <t>CAFÉ DA MANHA</t>
  </si>
  <si>
    <t>SILVANA TORRES ANDRE DA SILVA</t>
  </si>
  <si>
    <t>ADRIANO DE ALMEIDA CHAGAS</t>
  </si>
  <si>
    <t>SELMA BORGES</t>
  </si>
  <si>
    <t>CAFÉ DFA MANHA</t>
  </si>
  <si>
    <t>ALINE DUARTE VALERIO</t>
  </si>
  <si>
    <t>CICERO ROBERTO DA SILVA</t>
  </si>
  <si>
    <t>KAYO EDUARDO ROCHA DA SILVA</t>
  </si>
  <si>
    <t>RONALDO MENEZES</t>
  </si>
  <si>
    <t>VITOR NHOQUE JACINTO</t>
  </si>
  <si>
    <t>RAIMUNDO RUFINO DE SOUZA</t>
  </si>
  <si>
    <t>MARCOS ANTONIO</t>
  </si>
  <si>
    <t>HELENA RAMOS LOPES</t>
  </si>
  <si>
    <t>KAWANE FERNANDES FERREIRA LEAL</t>
  </si>
  <si>
    <t>CLEOMAR DE OLIVEIRA GOMES</t>
  </si>
  <si>
    <t xml:space="preserve">RITA DE CASSIA </t>
  </si>
  <si>
    <t>BRUNA DOS SANTOS</t>
  </si>
  <si>
    <t>ARILDSON RIBEIRO</t>
  </si>
  <si>
    <t>RICARDO HENRIQUE S DA SILVA</t>
  </si>
  <si>
    <t>ATALIBA XIMENES DE ARAGÃO</t>
  </si>
  <si>
    <t>THAIS AKEMI MELLO SOUSA</t>
  </si>
  <si>
    <t>MATHEUS SOUSA SILVA</t>
  </si>
  <si>
    <t>JOSUE LOPES DA SILVA</t>
  </si>
  <si>
    <t>MARIA DO SOCORRO GONÇALVES DA SILVA SOUZA</t>
  </si>
  <si>
    <t>DORALICE DA CUNHA MARQUES</t>
  </si>
  <si>
    <t>LUCIANA RIBEIRO DA ROSA</t>
  </si>
  <si>
    <t>CLAUDIO R DE LIMA</t>
  </si>
  <si>
    <t>MAURICIO DIEGO MARCONDES MACIEL</t>
  </si>
  <si>
    <t>ERICA PEREIRA DA SILVA TEODORO</t>
  </si>
  <si>
    <t>ELADIO JULIO NDE OLIVEIRA</t>
  </si>
  <si>
    <t>JOSE ARTEIRO VIEIRA</t>
  </si>
  <si>
    <t>MARIA DAS GRAÇAS DOS SANTOS</t>
  </si>
  <si>
    <t>JANE MACHADO</t>
  </si>
  <si>
    <t>JANY CAROLINE</t>
  </si>
  <si>
    <t>ELIZABETH ELIANA VILELA</t>
  </si>
  <si>
    <t>HELENA RODRIGUES PINTO</t>
  </si>
  <si>
    <t>LEONILDA SIQUEIRA DA SILVA</t>
  </si>
  <si>
    <t>VALDECI LOPES DA SILVA</t>
  </si>
  <si>
    <t>DANIEL SANTOS PINHEIRO DAL SENO</t>
  </si>
  <si>
    <t>EDUARDO ADRIANO</t>
  </si>
  <si>
    <t>SILVIA MARIA NOGUEIRA DAMASCENO</t>
  </si>
  <si>
    <t>CUSTODIO SILVA</t>
  </si>
  <si>
    <t>DIONEMARTI DE CARVALHO</t>
  </si>
  <si>
    <t>DENISE SOARES FERREIRA</t>
  </si>
  <si>
    <t>reni ribeiro</t>
  </si>
  <si>
    <t>ivone pereira</t>
  </si>
  <si>
    <t xml:space="preserve">patricia paulino </t>
  </si>
  <si>
    <t>franciele alexandre</t>
  </si>
  <si>
    <t xml:space="preserve">veralda moreira </t>
  </si>
  <si>
    <t>vagner gomes de almeida</t>
  </si>
  <si>
    <t>queren santos de mello</t>
  </si>
  <si>
    <t xml:space="preserve">tatiana gomes </t>
  </si>
  <si>
    <t>rodrigo silva</t>
  </si>
  <si>
    <t>ronielia da silva</t>
  </si>
  <si>
    <t>INGRID RAMOS CORREIA CRUZ</t>
  </si>
  <si>
    <t>ZILDA CAMPOS</t>
  </si>
  <si>
    <t>KAYLLAINE PEREIRA ALVES DE ARAUJO</t>
  </si>
  <si>
    <t>MAGNO FIGUEIREDO DE BRITO</t>
  </si>
  <si>
    <t>TALITA DE FREITAS</t>
  </si>
  <si>
    <t>FATIMA APARECIDA MENEZES</t>
  </si>
  <si>
    <t>mariana andrade da silva</t>
  </si>
  <si>
    <t xml:space="preserve">nuzelia silva de almeida </t>
  </si>
  <si>
    <t xml:space="preserve">silvia santana de lemos </t>
  </si>
  <si>
    <t>adriana aparecida braz</t>
  </si>
  <si>
    <t xml:space="preserve">doralice da cunha </t>
  </si>
  <si>
    <t xml:space="preserve">simone ignacio </t>
  </si>
  <si>
    <t xml:space="preserve">valquiria batista </t>
  </si>
  <si>
    <t xml:space="preserve">iara bandeira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</si>
</sst>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sz val="1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8" fillId="0" borderId="3" xfId="2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65" fontId="36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" fontId="0" fillId="0" borderId="0" xfId="0" applyNumberFormat="1" applyAlignment="1">
      <alignment horizontal="center"/>
    </xf>
    <xf numFmtId="1" fontId="30" fillId="0" borderId="2" xfId="0" applyNumberFormat="1" applyFont="1" applyBorder="1" applyAlignment="1">
      <alignment horizontal="center"/>
    </xf>
    <xf numFmtId="164" fontId="13" fillId="0" borderId="0" xfId="2" applyFont="1" applyFill="1" applyBorder="1" applyAlignment="1">
      <alignment horizontal="center"/>
    </xf>
    <xf numFmtId="165" fontId="13" fillId="0" borderId="0" xfId="4" applyNumberFormat="1" applyFont="1" applyFill="1" applyBorder="1" applyAlignment="1">
      <alignment horizontal="center"/>
    </xf>
    <xf numFmtId="165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" fontId="46" fillId="0" borderId="17" xfId="0" applyNumberFormat="1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164" fontId="48" fillId="0" borderId="17" xfId="2" applyFont="1" applyFill="1" applyBorder="1" applyAlignment="1">
      <alignment horizontal="center"/>
    </xf>
    <xf numFmtId="165" fontId="48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3" totalsRowShown="0" headerRowDxfId="1485" dataDxfId="1483" headerRowBorderDxfId="1484" tableBorderDxfId="1482" totalsRowBorderDxfId="1481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6:I31" totalsRowShown="0" headerRowDxfId="1467" dataDxfId="1465" headerRowBorderDxfId="1466" tableBorderDxfId="1464" totalsRowBorderDxfId="1463">
  <autoFilter ref="E26:I31" xr:uid="{00000000-0009-0000-0100-000016000000}"/>
  <sortState xmlns:xlrd2="http://schemas.microsoft.com/office/spreadsheetml/2017/richdata2" ref="E27:I31">
    <sortCondition ref="E26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6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41" totalsRowShown="0" headerRowDxfId="1033" dataDxfId="1031" headerRowBorderDxfId="1032" tableBorderDxfId="1030" totalsRowBorderDxfId="1029">
  <autoFilter ref="K14:M4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44:I51" totalsRowShown="0" headerRowDxfId="1025" dataDxfId="1023" headerRowBorderDxfId="1024" tableBorderDxfId="1022" totalsRowBorderDxfId="1021">
  <autoFilter ref="E44:I51" xr:uid="{B9E2F984-8588-4F2C-9FB9-680284154679}"/>
  <sortState xmlns:xlrd2="http://schemas.microsoft.com/office/spreadsheetml/2017/richdata2" ref="E45:I5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44:M51" totalsRowShown="0" headerRowDxfId="1015" headerRowBorderDxfId="1014" tableBorderDxfId="1013" totalsRowBorderDxfId="1012">
  <autoFilter ref="K44:M5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B3" sqref="B3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127</v>
      </c>
    </row>
    <row r="2" spans="1:16" ht="15" x14ac:dyDescent="0.2">
      <c r="A2" s="18" t="s">
        <v>0</v>
      </c>
      <c r="B2" s="69">
        <v>0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78976.56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68653.56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96.080000000000013</v>
      </c>
      <c r="P5" t="s">
        <v>131</v>
      </c>
    </row>
    <row r="6" spans="1:16" ht="15.75" x14ac:dyDescent="0.25">
      <c r="A6" s="27" t="s">
        <v>4</v>
      </c>
      <c r="B6" s="28">
        <f ca="1">SUM(B4:B5)</f>
        <v>68749.64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113" t="s">
        <v>5</v>
      </c>
      <c r="B8" s="113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2460.5300000000002</v>
      </c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14247.33</v>
      </c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34287.33</v>
      </c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138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17658.370000000003</v>
      </c>
      <c r="P13" t="s">
        <v>139</v>
      </c>
    </row>
    <row r="14" spans="1:16" ht="15.75" x14ac:dyDescent="0.25">
      <c r="A14" s="27" t="s">
        <v>11</v>
      </c>
      <c r="B14" s="70">
        <f ca="1">SUM(B9:B13)</f>
        <v>68653.56</v>
      </c>
    </row>
    <row r="15" spans="1:16" ht="15" x14ac:dyDescent="0.25">
      <c r="A15" s="2"/>
      <c r="B15" s="2"/>
    </row>
    <row r="16" spans="1:16" ht="15" x14ac:dyDescent="0.2">
      <c r="A16" s="113" t="s">
        <v>12</v>
      </c>
      <c r="B16" s="113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2033.6</v>
      </c>
    </row>
    <row r="18" spans="1:2" ht="15.75" x14ac:dyDescent="0.25">
      <c r="A18" s="27" t="s">
        <v>11</v>
      </c>
      <c r="B18" s="70">
        <f>SUM(B17:B17)</f>
        <v>2033.6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90" zoomScaleNormal="9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45748</v>
      </c>
    </row>
    <row r="2" spans="2:18" ht="18.75" x14ac:dyDescent="0.2">
      <c r="B2" s="118" t="s">
        <v>126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2549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2586.5</v>
      </c>
      <c r="D6" s="2"/>
      <c r="E6" s="90">
        <v>10756</v>
      </c>
      <c r="F6" s="24" t="s">
        <v>149</v>
      </c>
      <c r="G6" s="25" t="s">
        <v>39</v>
      </c>
      <c r="H6" s="8"/>
      <c r="I6" s="8"/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10757</v>
      </c>
      <c r="F7" s="24" t="s">
        <v>141</v>
      </c>
      <c r="G7" s="25" t="s">
        <v>8</v>
      </c>
      <c r="H7" s="8">
        <v>580</v>
      </c>
      <c r="I7" s="8">
        <v>200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2586.5</v>
      </c>
      <c r="D8" s="2"/>
      <c r="E8" s="90">
        <v>10758</v>
      </c>
      <c r="F8" s="24" t="s">
        <v>142</v>
      </c>
      <c r="G8" s="25" t="s">
        <v>39</v>
      </c>
      <c r="H8" s="8"/>
      <c r="I8" s="8"/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90">
        <v>10759</v>
      </c>
      <c r="F9" s="24" t="s">
        <v>143</v>
      </c>
      <c r="G9" s="25" t="s">
        <v>10</v>
      </c>
      <c r="H9" s="8">
        <v>590</v>
      </c>
      <c r="I9" s="8">
        <v>590</v>
      </c>
      <c r="J9" s="2"/>
      <c r="K9" s="24"/>
      <c r="L9" s="9"/>
      <c r="M9" s="16"/>
      <c r="R9" s="1">
        <f>IF(vend1[[#This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10760</v>
      </c>
      <c r="F10" s="24" t="s">
        <v>144</v>
      </c>
      <c r="G10" s="25" t="s">
        <v>49</v>
      </c>
      <c r="H10" s="8">
        <v>60</v>
      </c>
      <c r="I10" s="8">
        <v>0</v>
      </c>
      <c r="J10" s="2"/>
      <c r="K10" s="24"/>
      <c r="L10" s="9"/>
      <c r="M10" s="16"/>
      <c r="R10" s="1">
        <f>IF(vend1[[#This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10761</v>
      </c>
      <c r="F11" s="24" t="s">
        <v>145</v>
      </c>
      <c r="G11" s="25" t="s">
        <v>7</v>
      </c>
      <c r="H11" s="8">
        <v>1000</v>
      </c>
      <c r="I11" s="8">
        <v>1000</v>
      </c>
      <c r="J11" s="2"/>
      <c r="K11" s="26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1211.25</v>
      </c>
      <c r="D12" s="2"/>
      <c r="E12" s="90">
        <v>10762</v>
      </c>
      <c r="F12" s="24" t="s">
        <v>146</v>
      </c>
      <c r="G12" s="25" t="s">
        <v>8</v>
      </c>
      <c r="H12" s="8">
        <v>70</v>
      </c>
      <c r="I12" s="8">
        <v>70</v>
      </c>
      <c r="J12" s="2"/>
      <c r="R12" s="1">
        <f>IF(vend1[[#This Row],[Nº Venda]]&gt;1,1,0)</f>
        <v>1</v>
      </c>
    </row>
    <row r="13" spans="2:18" ht="15.75" x14ac:dyDescent="0.25">
      <c r="B13" s="29" t="s">
        <v>8</v>
      </c>
      <c r="C13" s="30">
        <f t="shared" si="0"/>
        <v>270</v>
      </c>
      <c r="D13" s="2"/>
      <c r="E13" s="90">
        <v>10763</v>
      </c>
      <c r="F13" s="24" t="s">
        <v>147</v>
      </c>
      <c r="G13" s="25" t="s">
        <v>49</v>
      </c>
      <c r="H13" s="8">
        <v>700</v>
      </c>
      <c r="I13" s="8">
        <v>0</v>
      </c>
      <c r="J13" s="2"/>
      <c r="K13" s="115" t="s">
        <v>22</v>
      </c>
      <c r="L13" s="116"/>
      <c r="M13" s="117"/>
      <c r="R13" s="1">
        <f>IF(vend1[[#This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>
        <v>10764</v>
      </c>
      <c r="F14" s="24" t="s">
        <v>152</v>
      </c>
      <c r="G14" s="25" t="s">
        <v>10</v>
      </c>
      <c r="H14" s="8">
        <v>159</v>
      </c>
      <c r="I14" s="8">
        <v>159</v>
      </c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1</v>
      </c>
    </row>
    <row r="15" spans="2:18" ht="15.75" x14ac:dyDescent="0.25">
      <c r="B15" s="29" t="s">
        <v>10</v>
      </c>
      <c r="C15" s="30">
        <f t="shared" si="0"/>
        <v>1105.25</v>
      </c>
      <c r="D15" s="2"/>
      <c r="E15" s="90"/>
      <c r="F15" s="24"/>
      <c r="G15" s="25"/>
      <c r="H15" s="8"/>
      <c r="I15" s="8"/>
      <c r="J15" s="2"/>
      <c r="K15" s="98">
        <v>10589</v>
      </c>
      <c r="L15" s="9" t="s">
        <v>129</v>
      </c>
      <c r="M15" s="16" t="s">
        <v>148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2586.5</v>
      </c>
      <c r="D16" s="2"/>
      <c r="E16" s="90"/>
      <c r="F16" s="24"/>
      <c r="G16" s="25"/>
      <c r="H16" s="8"/>
      <c r="I16" s="8"/>
      <c r="J16" s="2"/>
      <c r="K16" s="98">
        <v>10612</v>
      </c>
      <c r="L16" s="9" t="s">
        <v>129</v>
      </c>
      <c r="M16" s="16" t="s">
        <v>148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10737</v>
      </c>
      <c r="L17" s="9" t="s">
        <v>133</v>
      </c>
      <c r="M17" s="16" t="s">
        <v>148</v>
      </c>
      <c r="R17" s="1">
        <f>IF(vend1[[#This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10738</v>
      </c>
      <c r="L18" s="9" t="s">
        <v>133</v>
      </c>
      <c r="M18" s="16" t="s">
        <v>148</v>
      </c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90"/>
      <c r="F19" s="24"/>
      <c r="G19" s="25"/>
      <c r="H19" s="8"/>
      <c r="I19" s="8"/>
      <c r="J19" s="2"/>
      <c r="K19" s="98">
        <v>10756</v>
      </c>
      <c r="L19" s="9" t="s">
        <v>133</v>
      </c>
      <c r="M19" s="16" t="s">
        <v>148</v>
      </c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10764</v>
      </c>
      <c r="L20" s="9" t="s">
        <v>135</v>
      </c>
      <c r="M20" s="16" t="s">
        <v>148</v>
      </c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10840</v>
      </c>
      <c r="L21" s="9" t="s">
        <v>133</v>
      </c>
      <c r="M21" s="16" t="s">
        <v>148</v>
      </c>
    </row>
    <row r="22" spans="2:18" ht="15.75" x14ac:dyDescent="0.25">
      <c r="B22" s="27" t="s">
        <v>26</v>
      </c>
      <c r="C22" s="31">
        <f>C5</f>
        <v>2549</v>
      </c>
      <c r="D22" s="2"/>
      <c r="E22" s="90"/>
      <c r="F22" s="24"/>
      <c r="G22" s="25"/>
      <c r="H22" s="8"/>
      <c r="I22" s="8"/>
      <c r="J22" s="2"/>
      <c r="K22" s="98">
        <v>10851</v>
      </c>
      <c r="L22" s="9" t="s">
        <v>133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98">
        <v>10780</v>
      </c>
      <c r="L23" s="9" t="s">
        <v>133</v>
      </c>
      <c r="M23" s="16" t="s">
        <v>148</v>
      </c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10851</v>
      </c>
      <c r="F26" s="24" t="s">
        <v>162</v>
      </c>
      <c r="G26" s="25" t="s">
        <v>7</v>
      </c>
      <c r="H26" s="8">
        <v>150</v>
      </c>
      <c r="I26" s="8">
        <v>150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9746</v>
      </c>
      <c r="F35" s="24" t="s">
        <v>150</v>
      </c>
      <c r="G35" s="25" t="s">
        <v>7</v>
      </c>
      <c r="H35" s="8">
        <v>61.25</v>
      </c>
      <c r="I35" s="8" t="s">
        <v>42</v>
      </c>
      <c r="K35" s="98"/>
      <c r="L35" s="40"/>
      <c r="M35" s="16"/>
    </row>
    <row r="36" spans="2:18" ht="15.75" x14ac:dyDescent="0.25">
      <c r="E36" s="90">
        <v>9441</v>
      </c>
      <c r="F36" s="24" t="s">
        <v>151</v>
      </c>
      <c r="G36" s="25" t="s">
        <v>10</v>
      </c>
      <c r="H36" s="8">
        <v>356.25</v>
      </c>
      <c r="I36" s="8" t="s">
        <v>55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30" zoomScale="90" zoomScaleNormal="90" workbookViewId="0">
      <selection activeCell="U32" sqref="U32:W4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'01'!B1+1</f>
        <v>45749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55"/>
      <c r="G13" s="82"/>
      <c r="H13" s="66"/>
      <c r="I13" s="66"/>
      <c r="J13" s="2"/>
      <c r="K13" s="115" t="s">
        <v>22</v>
      </c>
      <c r="L13" s="116"/>
      <c r="M13" s="117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55"/>
      <c r="G14" s="82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0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3" zoomScale="90" zoomScaleNormal="90" workbookViewId="0">
      <selection activeCell="H19" sqref="H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45750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8074.98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5249.99</v>
      </c>
      <c r="D6" s="2"/>
      <c r="E6" s="90">
        <v>10765</v>
      </c>
      <c r="F6" s="24" t="s">
        <v>159</v>
      </c>
      <c r="G6" s="43" t="s">
        <v>10</v>
      </c>
      <c r="H6" s="8">
        <v>1301</v>
      </c>
      <c r="I6" s="8">
        <v>261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10766</v>
      </c>
      <c r="F7" s="24" t="s">
        <v>159</v>
      </c>
      <c r="G7" s="25" t="s">
        <v>10</v>
      </c>
      <c r="H7" s="8">
        <v>139</v>
      </c>
      <c r="I7" s="8">
        <v>139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5249.99</v>
      </c>
      <c r="D8" s="2"/>
      <c r="E8" s="90">
        <v>10767</v>
      </c>
      <c r="F8" s="24" t="s">
        <v>158</v>
      </c>
      <c r="G8" s="25" t="s">
        <v>7</v>
      </c>
      <c r="H8" s="8">
        <v>1300</v>
      </c>
      <c r="I8" s="8">
        <v>500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90">
        <v>10768</v>
      </c>
      <c r="F9" s="24" t="s">
        <v>153</v>
      </c>
      <c r="G9" s="25" t="s">
        <v>8</v>
      </c>
      <c r="H9" s="8">
        <v>39.99</v>
      </c>
      <c r="I9" s="8">
        <v>39.99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10769</v>
      </c>
      <c r="F10" s="24" t="s">
        <v>157</v>
      </c>
      <c r="G10" s="25" t="s">
        <v>8</v>
      </c>
      <c r="H10" s="8">
        <v>345</v>
      </c>
      <c r="I10" s="8">
        <v>345</v>
      </c>
      <c r="J10" s="2"/>
      <c r="K10" s="24"/>
      <c r="L10" s="9"/>
      <c r="M10" s="16"/>
      <c r="R10" s="1">
        <f>IF(vend3[[#This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50</v>
      </c>
      <c r="D11" s="2"/>
      <c r="E11" s="90">
        <v>10770</v>
      </c>
      <c r="F11" s="24" t="s">
        <v>157</v>
      </c>
      <c r="G11" s="25" t="s">
        <v>8</v>
      </c>
      <c r="H11" s="8">
        <v>345</v>
      </c>
      <c r="I11" s="8">
        <v>345</v>
      </c>
      <c r="J11" s="2"/>
      <c r="K11" s="26"/>
      <c r="L11" s="9"/>
      <c r="M11" s="16"/>
      <c r="O11" s="1">
        <f>IF(C16=0,0,1)</f>
        <v>1</v>
      </c>
      <c r="R11" s="1">
        <f>IF(vend3[[#This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500</v>
      </c>
      <c r="D12" s="2"/>
      <c r="E12" s="90">
        <v>10771</v>
      </c>
      <c r="F12" s="24" t="s">
        <v>154</v>
      </c>
      <c r="G12" s="25" t="s">
        <v>39</v>
      </c>
      <c r="H12" s="8"/>
      <c r="I12" s="8"/>
      <c r="J12" s="2"/>
      <c r="R12" s="1">
        <f>IF(vend3[[#This Row],[Nº Venda]]&gt;1,1,0)</f>
        <v>1</v>
      </c>
    </row>
    <row r="13" spans="2:18" ht="15.75" x14ac:dyDescent="0.25">
      <c r="B13" s="29" t="s">
        <v>8</v>
      </c>
      <c r="C13" s="30">
        <f t="shared" si="0"/>
        <v>729.99</v>
      </c>
      <c r="D13" s="2"/>
      <c r="E13" s="91">
        <v>10772</v>
      </c>
      <c r="F13" s="24" t="s">
        <v>155</v>
      </c>
      <c r="G13" s="25" t="s">
        <v>6</v>
      </c>
      <c r="H13" s="8">
        <v>899.99</v>
      </c>
      <c r="I13" s="8">
        <v>50</v>
      </c>
      <c r="J13" s="2"/>
      <c r="K13" s="115" t="s">
        <v>22</v>
      </c>
      <c r="L13" s="116"/>
      <c r="M13" s="117"/>
      <c r="R13" s="1">
        <f>IF(vend3[[#This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>
        <v>10773</v>
      </c>
      <c r="F14" s="24" t="s">
        <v>156</v>
      </c>
      <c r="G14" s="25" t="s">
        <v>39</v>
      </c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1</v>
      </c>
    </row>
    <row r="15" spans="2:18" ht="15.75" x14ac:dyDescent="0.25">
      <c r="B15" s="29" t="s">
        <v>10</v>
      </c>
      <c r="C15" s="30">
        <f t="shared" si="0"/>
        <v>3970</v>
      </c>
      <c r="D15" s="2"/>
      <c r="E15" s="90"/>
      <c r="F15" s="24"/>
      <c r="G15" s="25"/>
      <c r="H15" s="8"/>
      <c r="I15" s="8"/>
      <c r="J15" s="2"/>
      <c r="K15" s="98">
        <v>10621</v>
      </c>
      <c r="L15" s="9" t="s">
        <v>135</v>
      </c>
      <c r="M15" s="16" t="s">
        <v>148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5249.99</v>
      </c>
      <c r="D16" s="2"/>
      <c r="E16" s="90"/>
      <c r="F16" s="24"/>
      <c r="G16" s="25"/>
      <c r="H16" s="8"/>
      <c r="I16" s="8"/>
      <c r="J16" s="2"/>
      <c r="K16" s="98">
        <v>10622</v>
      </c>
      <c r="L16" s="9" t="s">
        <v>135</v>
      </c>
      <c r="M16" s="16" t="s">
        <v>148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10706</v>
      </c>
      <c r="L17" s="9" t="s">
        <v>135</v>
      </c>
      <c r="M17" s="16" t="s">
        <v>148</v>
      </c>
      <c r="R17" s="1">
        <f>IF(vend3[[#This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10742</v>
      </c>
      <c r="L18" s="9" t="s">
        <v>133</v>
      </c>
      <c r="M18" s="16" t="s">
        <v>148</v>
      </c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0"/>
      <c r="F19" s="24"/>
      <c r="G19" s="25"/>
      <c r="H19" s="8"/>
      <c r="I19" s="8"/>
      <c r="J19" s="2"/>
      <c r="K19" s="98">
        <v>10764</v>
      </c>
      <c r="L19" s="9" t="s">
        <v>133</v>
      </c>
      <c r="M19" s="16" t="s">
        <v>148</v>
      </c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10768</v>
      </c>
      <c r="L20" s="9" t="s">
        <v>133</v>
      </c>
      <c r="M20" s="16" t="s">
        <v>148</v>
      </c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8074.98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10754</v>
      </c>
      <c r="F26" s="24" t="s">
        <v>161</v>
      </c>
      <c r="G26" s="43" t="s">
        <v>10</v>
      </c>
      <c r="H26" s="8">
        <v>3705</v>
      </c>
      <c r="I26" s="8">
        <v>3000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10706</v>
      </c>
      <c r="F27" s="24" t="s">
        <v>160</v>
      </c>
      <c r="G27" s="25" t="s">
        <v>10</v>
      </c>
      <c r="H27" s="8"/>
      <c r="I27" s="8">
        <v>570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0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B4" zoomScale="90" zoomScaleNormal="90" workbookViewId="0">
      <selection activeCell="H32" sqref="H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45751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5005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4945.0499999999993</v>
      </c>
      <c r="D6" s="2"/>
      <c r="E6" s="90">
        <v>10765</v>
      </c>
      <c r="F6" s="107" t="s">
        <v>162</v>
      </c>
      <c r="G6" s="43" t="s">
        <v>10</v>
      </c>
      <c r="H6" s="8">
        <v>600</v>
      </c>
      <c r="I6" s="8">
        <v>300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10765</v>
      </c>
      <c r="F7" s="108" t="s">
        <v>162</v>
      </c>
      <c r="G7" s="53" t="s">
        <v>8</v>
      </c>
      <c r="H7" s="44"/>
      <c r="I7" s="44">
        <v>300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4945.0499999999993</v>
      </c>
      <c r="D8" s="2"/>
      <c r="E8" s="90">
        <v>10766</v>
      </c>
      <c r="F8" s="107" t="s">
        <v>162</v>
      </c>
      <c r="G8" s="43" t="s">
        <v>8</v>
      </c>
      <c r="H8" s="8">
        <v>100</v>
      </c>
      <c r="I8" s="8">
        <v>99.9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90">
        <v>10776</v>
      </c>
      <c r="F9" s="107" t="s">
        <v>163</v>
      </c>
      <c r="G9" s="43" t="s">
        <v>8</v>
      </c>
      <c r="H9" s="8">
        <v>950</v>
      </c>
      <c r="I9" s="8">
        <v>950</v>
      </c>
      <c r="J9" s="2"/>
      <c r="K9" s="24"/>
      <c r="L9" s="9"/>
      <c r="M9" s="16"/>
      <c r="R9" s="1">
        <f>IF(vend4[[#This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10777</v>
      </c>
      <c r="F10" s="107" t="s">
        <v>163</v>
      </c>
      <c r="G10" s="43" t="s">
        <v>8</v>
      </c>
      <c r="H10" s="8">
        <v>655</v>
      </c>
      <c r="I10" s="8">
        <v>655</v>
      </c>
      <c r="J10" s="2"/>
      <c r="K10" s="24"/>
      <c r="L10" s="9"/>
      <c r="M10" s="16"/>
      <c r="R10" s="1">
        <f>IF(vend4[[#This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300</v>
      </c>
      <c r="D11" s="2"/>
      <c r="E11" s="90">
        <v>10778</v>
      </c>
      <c r="F11" s="107" t="s">
        <v>164</v>
      </c>
      <c r="G11" s="25" t="s">
        <v>6</v>
      </c>
      <c r="H11" s="8">
        <v>250</v>
      </c>
      <c r="I11" s="8">
        <v>250</v>
      </c>
      <c r="J11" s="2"/>
      <c r="K11" s="26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29" t="s">
        <v>7</v>
      </c>
      <c r="C12" s="30">
        <f>(SUMIF($G$2:$G$31,B12,$I$2:$I$31))+(SUMIF($G$35:$G$41,B12,$H$35:$H$41))</f>
        <v>230.15</v>
      </c>
      <c r="D12" s="2"/>
      <c r="E12" s="90">
        <v>10779</v>
      </c>
      <c r="F12" s="107" t="s">
        <v>164</v>
      </c>
      <c r="G12" s="25" t="s">
        <v>6</v>
      </c>
      <c r="H12" s="8">
        <v>50</v>
      </c>
      <c r="I12" s="8">
        <v>50</v>
      </c>
      <c r="J12" s="2"/>
      <c r="R12" s="1">
        <f>IF(vend4[[#This Row],[Nº Venda]]&gt;1,1,0)</f>
        <v>1</v>
      </c>
    </row>
    <row r="13" spans="2:18" ht="15.75" x14ac:dyDescent="0.25">
      <c r="B13" s="29" t="s">
        <v>8</v>
      </c>
      <c r="C13" s="30">
        <f>(SUMIF($G$2:$G$31,B13,$I$2:$I$31))+(SUMIF($G$35:$G$41,B13,$H$35:$H$41))</f>
        <v>4114.8999999999996</v>
      </c>
      <c r="D13" s="2"/>
      <c r="E13" s="90">
        <v>10780</v>
      </c>
      <c r="F13" s="107" t="s">
        <v>165</v>
      </c>
      <c r="G13" s="25" t="s">
        <v>8</v>
      </c>
      <c r="H13" s="8">
        <v>800</v>
      </c>
      <c r="I13" s="8">
        <v>800</v>
      </c>
      <c r="J13" s="2"/>
      <c r="K13" s="115" t="s">
        <v>22</v>
      </c>
      <c r="L13" s="116"/>
      <c r="M13" s="117"/>
      <c r="R13" s="1">
        <f>IF(vend4[[#This Row],[Nº Venda]]&gt;1,1,0)</f>
        <v>1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>
        <v>10781</v>
      </c>
      <c r="F14" s="107" t="s">
        <v>166</v>
      </c>
      <c r="G14" s="25" t="s">
        <v>8</v>
      </c>
      <c r="H14" s="8">
        <v>350</v>
      </c>
      <c r="I14" s="8">
        <v>50</v>
      </c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1</v>
      </c>
    </row>
    <row r="15" spans="2:18" ht="18.75" customHeight="1" x14ac:dyDescent="0.25">
      <c r="B15" s="29" t="s">
        <v>10</v>
      </c>
      <c r="C15" s="30">
        <f>(SUMIF($G$2:$G$31,B15,$I$2:$I$31))+(SUMIF($G$35:$G$41,B15,$H$35:$H$41))</f>
        <v>300</v>
      </c>
      <c r="D15" s="2"/>
      <c r="E15" s="90">
        <v>10782</v>
      </c>
      <c r="F15" s="107" t="s">
        <v>163</v>
      </c>
      <c r="G15" s="25" t="s">
        <v>8</v>
      </c>
      <c r="H15" s="8">
        <v>550</v>
      </c>
      <c r="I15" s="8">
        <v>550</v>
      </c>
      <c r="J15" s="2"/>
      <c r="K15" s="98">
        <v>10675</v>
      </c>
      <c r="L15" s="9" t="s">
        <v>128</v>
      </c>
      <c r="M15" s="16" t="s">
        <v>148</v>
      </c>
      <c r="R15" s="1">
        <f>IF(vend4[[#This Row],[Nº Venda]]&gt;1,1,0)</f>
        <v>1</v>
      </c>
    </row>
    <row r="16" spans="2:18" ht="18.75" customHeight="1" x14ac:dyDescent="0.25">
      <c r="B16" s="27" t="s">
        <v>11</v>
      </c>
      <c r="C16" s="31">
        <f>SUM(C11:C15)</f>
        <v>4945.0499999999993</v>
      </c>
      <c r="D16" s="2"/>
      <c r="E16" s="90"/>
      <c r="F16" s="24"/>
      <c r="G16" s="25"/>
      <c r="H16" s="8"/>
      <c r="I16" s="8"/>
      <c r="J16" s="2"/>
      <c r="K16" s="98">
        <v>10692</v>
      </c>
      <c r="L16" s="9" t="s">
        <v>135</v>
      </c>
      <c r="M16" s="16" t="s">
        <v>148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10714</v>
      </c>
      <c r="L17" s="9" t="s">
        <v>133</v>
      </c>
      <c r="M17" s="16" t="s">
        <v>148</v>
      </c>
      <c r="R17" s="1">
        <f>IF(vend4[[#This Row],[Nº Venda]]&gt;1,1,0)</f>
        <v>0</v>
      </c>
    </row>
    <row r="18" spans="2:18" ht="15.75" customHeight="1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10732</v>
      </c>
      <c r="L18" s="9" t="s">
        <v>133</v>
      </c>
      <c r="M18" s="16" t="s">
        <v>170</v>
      </c>
      <c r="R18" s="1">
        <f>IF(vend4[[#This Row],[Nº Venda]]&gt;1,1,0)</f>
        <v>0</v>
      </c>
    </row>
    <row r="19" spans="2:18" ht="15.75" x14ac:dyDescent="0.25">
      <c r="B19" s="29">
        <f>COUNT(entr_carn4[OS])</f>
        <v>1</v>
      </c>
      <c r="C19" s="30">
        <f>SUM(entr_carn4[Valor Total])</f>
        <v>880</v>
      </c>
      <c r="D19" s="2"/>
      <c r="E19" s="90"/>
      <c r="F19" s="24"/>
      <c r="G19" s="25"/>
      <c r="H19" s="8"/>
      <c r="I19" s="8"/>
      <c r="J19" s="2"/>
      <c r="K19" s="98">
        <v>10741</v>
      </c>
      <c r="L19" s="9" t="s">
        <v>133</v>
      </c>
      <c r="M19" s="16" t="s">
        <v>148</v>
      </c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880</v>
      </c>
      <c r="D20" s="2"/>
      <c r="E20" s="90"/>
      <c r="F20" s="24"/>
      <c r="G20" s="25"/>
      <c r="H20" s="8"/>
      <c r="I20" s="8"/>
      <c r="J20" s="2"/>
      <c r="K20" s="98">
        <v>10752</v>
      </c>
      <c r="L20" s="9" t="s">
        <v>135</v>
      </c>
      <c r="M20" s="16" t="s">
        <v>148</v>
      </c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0"/>
      <c r="F21" s="25"/>
      <c r="G21" s="25"/>
      <c r="H21" s="8"/>
      <c r="I21" s="8"/>
      <c r="J21" s="2"/>
      <c r="K21" s="98">
        <v>10758</v>
      </c>
      <c r="L21" s="9" t="s">
        <v>133</v>
      </c>
      <c r="M21" s="16" t="s">
        <v>148</v>
      </c>
    </row>
    <row r="22" spans="2:18" ht="15.75" customHeight="1" x14ac:dyDescent="0.25">
      <c r="B22" s="27" t="s">
        <v>26</v>
      </c>
      <c r="C22" s="31">
        <f>C5</f>
        <v>5005</v>
      </c>
      <c r="D22" s="2"/>
      <c r="E22" s="90"/>
      <c r="F22" s="24"/>
      <c r="G22" s="25"/>
      <c r="H22" s="8"/>
      <c r="I22" s="8"/>
      <c r="J22" s="2"/>
      <c r="K22" s="98">
        <v>10762</v>
      </c>
      <c r="L22" s="9" t="s">
        <v>135</v>
      </c>
      <c r="M22" s="16" t="s">
        <v>148</v>
      </c>
    </row>
    <row r="23" spans="2:18" ht="15.75" x14ac:dyDescent="0.25">
      <c r="B23" s="2"/>
      <c r="C23" s="2"/>
      <c r="D23" s="2"/>
      <c r="E23" s="90"/>
      <c r="F23" s="24"/>
      <c r="G23" s="25"/>
      <c r="H23" s="8"/>
      <c r="I23" s="8"/>
      <c r="J23" s="2"/>
      <c r="K23" s="98">
        <v>10778</v>
      </c>
      <c r="L23" s="9" t="s">
        <v>135</v>
      </c>
      <c r="M23" s="16" t="s">
        <v>148</v>
      </c>
    </row>
    <row r="24" spans="2:18" ht="15" x14ac:dyDescent="0.25">
      <c r="B24" s="2"/>
      <c r="C24" s="2"/>
      <c r="D24" s="2"/>
      <c r="E24" s="32"/>
      <c r="H24" s="7"/>
      <c r="J24" s="2"/>
      <c r="K24" s="98">
        <v>10779</v>
      </c>
      <c r="L24" s="9" t="s">
        <v>135</v>
      </c>
      <c r="M24" s="16" t="s">
        <v>148</v>
      </c>
    </row>
    <row r="25" spans="2:18" ht="15" x14ac:dyDescent="0.25">
      <c r="B25" s="2"/>
      <c r="C25" s="2"/>
      <c r="D25" s="2"/>
      <c r="E25" s="114" t="s">
        <v>27</v>
      </c>
      <c r="F25" s="114"/>
      <c r="G25" s="114"/>
      <c r="H25" s="114"/>
      <c r="I25" s="114"/>
      <c r="J25" s="2"/>
      <c r="K25" s="98"/>
      <c r="L25" s="9"/>
      <c r="M25" s="16"/>
    </row>
    <row r="26" spans="2:18" ht="15" x14ac:dyDescent="0.25">
      <c r="B26" s="2"/>
      <c r="C26" s="2"/>
      <c r="D26" s="2"/>
      <c r="E26" s="10" t="s">
        <v>14</v>
      </c>
      <c r="F26" s="10" t="s">
        <v>15</v>
      </c>
      <c r="G26" s="11" t="s">
        <v>16</v>
      </c>
      <c r="H26" s="12" t="s">
        <v>17</v>
      </c>
      <c r="I26" s="13" t="s">
        <v>2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8697</v>
      </c>
      <c r="F27" s="24" t="s">
        <v>171</v>
      </c>
      <c r="G27" s="43" t="s">
        <v>8</v>
      </c>
      <c r="H27" s="8"/>
      <c r="I27" s="8">
        <v>10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>
        <v>10762</v>
      </c>
      <c r="F28" s="24" t="s">
        <v>167</v>
      </c>
      <c r="G28" s="43" t="s">
        <v>8</v>
      </c>
      <c r="H28" s="8">
        <v>700</v>
      </c>
      <c r="I28" s="8">
        <v>700</v>
      </c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10001</v>
      </c>
      <c r="F35" s="24" t="s">
        <v>168</v>
      </c>
      <c r="G35" s="25" t="s">
        <v>7</v>
      </c>
      <c r="H35" s="8">
        <v>97.15</v>
      </c>
      <c r="I35" s="8" t="s">
        <v>43</v>
      </c>
      <c r="K35" s="98">
        <v>10732</v>
      </c>
      <c r="L35" s="40">
        <v>6</v>
      </c>
      <c r="M35" s="16">
        <v>880</v>
      </c>
    </row>
    <row r="36" spans="2:18" ht="15.75" x14ac:dyDescent="0.25">
      <c r="E36" s="90">
        <v>10323</v>
      </c>
      <c r="F36" s="24" t="s">
        <v>169</v>
      </c>
      <c r="G36" s="25" t="s">
        <v>7</v>
      </c>
      <c r="H36" s="8">
        <v>133</v>
      </c>
      <c r="I36" s="8" t="s">
        <v>33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5:I25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G35:G41 G27:G31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E35:E41 K35:K41 K15:K31 E6:E23 E27:E31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4" zoomScale="98" zoomScaleNormal="98" workbookViewId="0">
      <selection activeCell="E12" sqref="E1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6.5703125" style="3" customWidth="1"/>
    <col min="12" max="12" width="16.140625" style="3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'04'!B1+1</f>
        <v>45752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7047.99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5654.29</v>
      </c>
      <c r="D6" s="2"/>
      <c r="E6" s="90">
        <v>10774</v>
      </c>
      <c r="F6" s="24" t="s">
        <v>174</v>
      </c>
      <c r="G6" s="43" t="s">
        <v>8</v>
      </c>
      <c r="H6" s="8">
        <v>750</v>
      </c>
      <c r="I6" s="8">
        <v>750</v>
      </c>
      <c r="J6" s="2"/>
      <c r="K6" s="24" t="s">
        <v>187</v>
      </c>
      <c r="L6" s="9" t="s">
        <v>186</v>
      </c>
      <c r="M6" s="16">
        <v>21.5</v>
      </c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21.5</v>
      </c>
      <c r="D7" s="2"/>
      <c r="E7" s="90">
        <v>10775</v>
      </c>
      <c r="F7" s="24" t="s">
        <v>175</v>
      </c>
      <c r="G7" s="43" t="s">
        <v>7</v>
      </c>
      <c r="H7" s="8">
        <v>99.9</v>
      </c>
      <c r="I7" s="8">
        <v>99.9</v>
      </c>
      <c r="J7" s="2"/>
      <c r="K7" s="24"/>
      <c r="L7" s="9"/>
      <c r="M7" s="16"/>
      <c r="R7" s="1">
        <f>IF(vend5[[#This Row],[Nº Venda]]&gt;1,1,0)</f>
        <v>1</v>
      </c>
    </row>
    <row r="8" spans="2:18" ht="15.75" x14ac:dyDescent="0.25">
      <c r="B8" s="27" t="s">
        <v>21</v>
      </c>
      <c r="C8" s="28">
        <f>SUM(C6:C7)</f>
        <v>5675.79</v>
      </c>
      <c r="D8" s="2"/>
      <c r="E8" s="90">
        <v>10783</v>
      </c>
      <c r="F8" s="24" t="s">
        <v>176</v>
      </c>
      <c r="G8" s="43" t="s">
        <v>8</v>
      </c>
      <c r="H8" s="8">
        <v>568</v>
      </c>
      <c r="I8" s="8">
        <v>568</v>
      </c>
      <c r="J8" s="2"/>
      <c r="K8" s="24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90">
        <v>10784</v>
      </c>
      <c r="F9" s="24" t="s">
        <v>176</v>
      </c>
      <c r="G9" s="43" t="s">
        <v>8</v>
      </c>
      <c r="H9" s="8">
        <v>632</v>
      </c>
      <c r="I9" s="8">
        <v>632</v>
      </c>
      <c r="J9" s="2"/>
      <c r="K9" s="24"/>
      <c r="L9" s="9"/>
      <c r="M9" s="16"/>
      <c r="R9" s="1">
        <f>IF(vend5[[#This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10785</v>
      </c>
      <c r="F10" s="24" t="s">
        <v>177</v>
      </c>
      <c r="G10" s="43" t="s">
        <v>7</v>
      </c>
      <c r="H10" s="8">
        <v>265</v>
      </c>
      <c r="I10" s="8">
        <v>125</v>
      </c>
      <c r="J10" s="2"/>
      <c r="K10" s="24"/>
      <c r="L10" s="9"/>
      <c r="M10" s="16"/>
      <c r="R10" s="1">
        <f>IF(vend5[[#This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10786</v>
      </c>
      <c r="F11" s="24" t="s">
        <v>177</v>
      </c>
      <c r="G11" s="43" t="s">
        <v>7</v>
      </c>
      <c r="H11" s="8">
        <v>265</v>
      </c>
      <c r="I11" s="8">
        <v>125</v>
      </c>
      <c r="J11" s="2"/>
      <c r="K11" s="26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2325.19</v>
      </c>
      <c r="D12" s="2"/>
      <c r="E12" s="90">
        <v>10787</v>
      </c>
      <c r="F12" s="24" t="s">
        <v>178</v>
      </c>
      <c r="G12" s="25" t="s">
        <v>7</v>
      </c>
      <c r="H12" s="8">
        <v>700</v>
      </c>
      <c r="I12" s="8">
        <v>320</v>
      </c>
      <c r="J12" s="2"/>
      <c r="R12" s="1">
        <f>IF(vend5[[#This Row],[Nº Venda]]&gt;1,1,0)</f>
        <v>1</v>
      </c>
    </row>
    <row r="13" spans="2:18" ht="15.75" x14ac:dyDescent="0.25">
      <c r="B13" s="29" t="s">
        <v>8</v>
      </c>
      <c r="C13" s="30">
        <f t="shared" si="0"/>
        <v>3249.1</v>
      </c>
      <c r="D13" s="2"/>
      <c r="E13" s="91">
        <v>10788</v>
      </c>
      <c r="F13" s="24" t="s">
        <v>179</v>
      </c>
      <c r="G13" s="25" t="s">
        <v>8</v>
      </c>
      <c r="H13" s="8">
        <v>950</v>
      </c>
      <c r="I13" s="8">
        <v>950</v>
      </c>
      <c r="J13" s="2"/>
      <c r="K13" s="115" t="s">
        <v>22</v>
      </c>
      <c r="L13" s="116"/>
      <c r="M13" s="117"/>
      <c r="R13" s="1">
        <f>IF(vend5[[#This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>
        <v>10789</v>
      </c>
      <c r="F14" s="24" t="s">
        <v>180</v>
      </c>
      <c r="G14" s="25" t="s">
        <v>7</v>
      </c>
      <c r="H14" s="8">
        <v>950</v>
      </c>
      <c r="I14" s="8">
        <v>50</v>
      </c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1</v>
      </c>
    </row>
    <row r="15" spans="2:18" ht="15.75" x14ac:dyDescent="0.25">
      <c r="B15" s="29" t="s">
        <v>10</v>
      </c>
      <c r="C15" s="30">
        <f t="shared" si="0"/>
        <v>80</v>
      </c>
      <c r="D15" s="2"/>
      <c r="E15" s="90">
        <v>10790</v>
      </c>
      <c r="F15" s="24" t="s">
        <v>181</v>
      </c>
      <c r="G15" s="25" t="s">
        <v>39</v>
      </c>
      <c r="H15" s="8"/>
      <c r="I15" s="8"/>
      <c r="J15" s="2"/>
      <c r="K15" s="98">
        <v>10795</v>
      </c>
      <c r="L15" s="9" t="s">
        <v>139</v>
      </c>
      <c r="M15" s="58" t="s">
        <v>185</v>
      </c>
      <c r="N15" s="16"/>
      <c r="R15" s="1">
        <f>IF(vend5[[#This Row],[Nº Venda]]&gt;1,1,0)</f>
        <v>1</v>
      </c>
    </row>
    <row r="16" spans="2:18" ht="15.75" x14ac:dyDescent="0.25">
      <c r="B16" s="27" t="s">
        <v>11</v>
      </c>
      <c r="C16" s="31">
        <f>SUM(C11:C15)</f>
        <v>5654.29</v>
      </c>
      <c r="D16" s="2"/>
      <c r="E16" s="90">
        <v>10791</v>
      </c>
      <c r="F16" s="24" t="s">
        <v>172</v>
      </c>
      <c r="G16" s="25" t="s">
        <v>39</v>
      </c>
      <c r="H16" s="8"/>
      <c r="I16" s="8"/>
      <c r="J16" s="2"/>
      <c r="K16" s="98">
        <v>10775</v>
      </c>
      <c r="L16" s="9" t="s">
        <v>135</v>
      </c>
      <c r="M16" s="57" t="s">
        <v>185</v>
      </c>
      <c r="N16" s="16"/>
      <c r="R16" s="1">
        <f>IF(vend5[[#This Row],[Nº Venda]]&gt;1,1,0)</f>
        <v>1</v>
      </c>
    </row>
    <row r="17" spans="2:18" ht="15.75" x14ac:dyDescent="0.25">
      <c r="B17" s="2"/>
      <c r="C17" s="2"/>
      <c r="D17" s="2"/>
      <c r="E17" s="90">
        <v>10792</v>
      </c>
      <c r="F17" s="24" t="s">
        <v>155</v>
      </c>
      <c r="G17" s="25" t="s">
        <v>7</v>
      </c>
      <c r="H17" s="8">
        <v>1299.99</v>
      </c>
      <c r="I17" s="8">
        <v>1299.99</v>
      </c>
      <c r="J17" s="2"/>
      <c r="K17" s="98">
        <v>10793</v>
      </c>
      <c r="L17" s="9" t="s">
        <v>135</v>
      </c>
      <c r="M17" s="16" t="s">
        <v>148</v>
      </c>
      <c r="R17" s="1">
        <f>IF(vend5[[#This Row],[Nº Venda]]&gt;1,1,0)</f>
        <v>1</v>
      </c>
    </row>
    <row r="18" spans="2:18" ht="15.75" x14ac:dyDescent="0.25">
      <c r="B18" s="113" t="s">
        <v>12</v>
      </c>
      <c r="C18" s="113"/>
      <c r="D18" s="2"/>
      <c r="E18" s="90">
        <v>10793</v>
      </c>
      <c r="F18" s="24" t="s">
        <v>175</v>
      </c>
      <c r="G18" s="25" t="s">
        <v>8</v>
      </c>
      <c r="H18" s="8">
        <v>49.1</v>
      </c>
      <c r="I18" s="8">
        <v>49.1</v>
      </c>
      <c r="J18" s="2"/>
      <c r="K18" s="98">
        <v>10715</v>
      </c>
      <c r="L18" s="9" t="s">
        <v>133</v>
      </c>
      <c r="M18" s="16" t="s">
        <v>148</v>
      </c>
      <c r="R18" s="1">
        <f>IF(vend5[[#This Row],[Nº Venda]]&gt;1,1,0)</f>
        <v>1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90">
        <v>10794</v>
      </c>
      <c r="F19" s="24" t="s">
        <v>184</v>
      </c>
      <c r="G19" s="25" t="s">
        <v>8</v>
      </c>
      <c r="H19" s="8">
        <v>300</v>
      </c>
      <c r="I19" s="8">
        <v>300</v>
      </c>
      <c r="J19" s="2"/>
      <c r="K19" s="98">
        <v>10564</v>
      </c>
      <c r="L19" s="9" t="s">
        <v>129</v>
      </c>
      <c r="M19" s="16" t="s">
        <v>148</v>
      </c>
      <c r="R19" s="1">
        <f>IF(vend5[[#This Row],[Nº Venda]]&gt;1,1,0)</f>
        <v>1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>
        <v>10795</v>
      </c>
      <c r="F20" s="25" t="s">
        <v>182</v>
      </c>
      <c r="G20" s="25" t="s">
        <v>10</v>
      </c>
      <c r="H20" s="8">
        <v>80</v>
      </c>
      <c r="I20" s="8">
        <v>80</v>
      </c>
      <c r="J20" s="2"/>
      <c r="K20" s="98">
        <v>10694</v>
      </c>
      <c r="L20" s="9" t="s">
        <v>135</v>
      </c>
      <c r="M20" s="16" t="s">
        <v>148</v>
      </c>
      <c r="R20" s="1">
        <f>IF(vend5[[#This Row],[Nº Venda]]&gt;1,1,0)</f>
        <v>1</v>
      </c>
    </row>
    <row r="21" spans="2:18" ht="15.75" x14ac:dyDescent="0.25">
      <c r="B21" s="2"/>
      <c r="C21" s="2"/>
      <c r="D21" s="2"/>
      <c r="E21" s="90">
        <v>10796</v>
      </c>
      <c r="F21" s="24" t="s">
        <v>183</v>
      </c>
      <c r="G21" s="25" t="s">
        <v>7</v>
      </c>
      <c r="H21" s="8">
        <v>139</v>
      </c>
      <c r="I21" s="8">
        <v>69.5</v>
      </c>
      <c r="J21" s="2"/>
      <c r="K21" s="98">
        <v>10695</v>
      </c>
      <c r="L21" s="9" t="s">
        <v>135</v>
      </c>
      <c r="M21" s="16" t="s">
        <v>148</v>
      </c>
    </row>
    <row r="22" spans="2:18" ht="15.75" x14ac:dyDescent="0.25">
      <c r="B22" s="27" t="s">
        <v>26</v>
      </c>
      <c r="C22" s="31">
        <f>C5</f>
        <v>7047.99</v>
      </c>
      <c r="D22" s="2"/>
      <c r="E22" s="90"/>
      <c r="F22" s="24"/>
      <c r="G22" s="25"/>
      <c r="H22" s="8"/>
      <c r="I22" s="8"/>
      <c r="J22" s="2"/>
      <c r="K22" s="98">
        <v>10709</v>
      </c>
      <c r="L22" s="9" t="s">
        <v>135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98">
        <v>10768</v>
      </c>
      <c r="L23" s="9" t="s">
        <v>135</v>
      </c>
      <c r="M23" s="16" t="s">
        <v>148</v>
      </c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10439</v>
      </c>
      <c r="F35" s="24" t="s">
        <v>172</v>
      </c>
      <c r="G35" s="25" t="s">
        <v>7</v>
      </c>
      <c r="H35" s="8">
        <v>95.8</v>
      </c>
      <c r="I35" s="8" t="s">
        <v>38</v>
      </c>
      <c r="K35" s="98"/>
      <c r="L35" s="40"/>
      <c r="M35" s="16"/>
    </row>
    <row r="36" spans="2:18" ht="15.75" x14ac:dyDescent="0.25">
      <c r="E36" s="97">
        <v>9886</v>
      </c>
      <c r="F36" s="24" t="s">
        <v>173</v>
      </c>
      <c r="G36" s="25" t="s">
        <v>7</v>
      </c>
      <c r="H36" s="8">
        <v>140</v>
      </c>
      <c r="I36" s="8" t="s">
        <v>96</v>
      </c>
      <c r="K36" s="98"/>
      <c r="L36" s="40"/>
      <c r="M36" s="16"/>
    </row>
    <row r="37" spans="2:18" ht="15.75" x14ac:dyDescent="0.25">
      <c r="E37" s="90"/>
      <c r="F37" s="79"/>
      <c r="G37" s="80"/>
      <c r="H37" s="81"/>
      <c r="I37" s="81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15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3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45753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(SUMIF($G$2:$G$31,B13,$I$2:$I$31))+(SUMIF($G$35:$G$41,B13,$H$35:$H$41))</f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(SUMIF($G$2:$G$31,B15,$I$2:$I$31))+(SUMIF($G$35:$G$41,B15,$H$35:$H$41))</f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98"/>
      <c r="L41" s="40"/>
      <c r="M41" s="39"/>
    </row>
    <row r="42" spans="2:18" x14ac:dyDescent="0.2">
      <c r="F42" s="89"/>
      <c r="G42" s="89"/>
      <c r="H42" s="88"/>
      <c r="I42" s="8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5" zoomScale="90" zoomScaleNormal="90" workbookViewId="0">
      <selection activeCell="H29" sqref="H2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7">
        <f>'06'!B1+1</f>
        <v>45754</v>
      </c>
    </row>
    <row r="2" spans="2:21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  <c r="U4" s="1">
        <v>0</v>
      </c>
    </row>
    <row r="5" spans="2:21" ht="15" x14ac:dyDescent="0.25">
      <c r="B5" s="22" t="s">
        <v>1</v>
      </c>
      <c r="C5" s="23">
        <f>SUMIF(I6:I31,"&gt;0",H6:H31)</f>
        <v>7434.99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9268.7799999999988</v>
      </c>
      <c r="D6" s="2"/>
      <c r="E6" s="90">
        <v>10797</v>
      </c>
      <c r="F6" s="75" t="s">
        <v>189</v>
      </c>
      <c r="G6" s="75" t="s">
        <v>8</v>
      </c>
      <c r="H6" s="76">
        <v>428</v>
      </c>
      <c r="I6" s="76">
        <v>428</v>
      </c>
      <c r="J6" s="2"/>
      <c r="K6" s="24" t="s">
        <v>187</v>
      </c>
      <c r="L6" s="9" t="s">
        <v>6</v>
      </c>
      <c r="M6" s="16">
        <v>18</v>
      </c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18</v>
      </c>
      <c r="D7" s="2"/>
      <c r="E7" s="90">
        <v>10798</v>
      </c>
      <c r="F7" s="45" t="s">
        <v>190</v>
      </c>
      <c r="G7" s="45" t="s">
        <v>8</v>
      </c>
      <c r="H7" s="44">
        <v>800</v>
      </c>
      <c r="I7" s="44">
        <v>800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9286.7799999999988</v>
      </c>
      <c r="D8" s="2"/>
      <c r="E8" s="90">
        <v>10799</v>
      </c>
      <c r="F8" s="24" t="s">
        <v>191</v>
      </c>
      <c r="G8" s="25" t="s">
        <v>8</v>
      </c>
      <c r="H8" s="8">
        <v>299.99</v>
      </c>
      <c r="I8" s="8">
        <v>249.99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90">
        <v>10799</v>
      </c>
      <c r="F9" s="24" t="s">
        <v>191</v>
      </c>
      <c r="G9" s="25" t="s">
        <v>10</v>
      </c>
      <c r="H9" s="8"/>
      <c r="I9" s="8">
        <v>50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113" t="s">
        <v>5</v>
      </c>
      <c r="C10" s="113"/>
      <c r="D10" s="2"/>
      <c r="E10" s="90">
        <v>10801</v>
      </c>
      <c r="F10" s="24" t="s">
        <v>192</v>
      </c>
      <c r="G10" s="25" t="s">
        <v>8</v>
      </c>
      <c r="H10" s="8">
        <v>300</v>
      </c>
      <c r="I10" s="8">
        <v>300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(SUMIF($G$2:$G$31,B11,$I$2:$I$31))+(SUMIF($G$35:$G$41,B11,$H$35:$H$41))</f>
        <v>88.42</v>
      </c>
      <c r="D11" s="2"/>
      <c r="E11" s="90">
        <v>10802</v>
      </c>
      <c r="F11" s="24" t="s">
        <v>192</v>
      </c>
      <c r="G11" s="25" t="s">
        <v>8</v>
      </c>
      <c r="H11" s="8">
        <v>300</v>
      </c>
      <c r="I11" s="8">
        <v>300</v>
      </c>
      <c r="J11" s="2"/>
      <c r="K11" s="26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632.37</v>
      </c>
      <c r="D12" s="2"/>
      <c r="E12" s="90">
        <v>10803</v>
      </c>
      <c r="F12" s="24" t="s">
        <v>193</v>
      </c>
      <c r="G12" s="25" t="s">
        <v>7</v>
      </c>
      <c r="H12" s="8">
        <v>799</v>
      </c>
      <c r="I12" s="8">
        <v>200</v>
      </c>
      <c r="J12" s="2"/>
      <c r="R12" s="1">
        <f>IF(vend7[[#This Row],[Nº Venda]]&gt;1,1,0)</f>
        <v>1</v>
      </c>
    </row>
    <row r="13" spans="2:21" ht="15.75" x14ac:dyDescent="0.25">
      <c r="B13" s="29" t="s">
        <v>8</v>
      </c>
      <c r="C13" s="30">
        <f t="shared" si="0"/>
        <v>8497.99</v>
      </c>
      <c r="D13" s="2"/>
      <c r="E13" s="91">
        <v>10804</v>
      </c>
      <c r="F13" s="24" t="s">
        <v>193</v>
      </c>
      <c r="G13" s="25" t="s">
        <v>7</v>
      </c>
      <c r="H13" s="8">
        <v>608</v>
      </c>
      <c r="I13" s="8">
        <v>200</v>
      </c>
      <c r="J13" s="2"/>
      <c r="K13" s="115" t="s">
        <v>22</v>
      </c>
      <c r="L13" s="116"/>
      <c r="M13" s="117"/>
      <c r="R13" s="1">
        <f>IF(vend7[[#This Row],[Nº Venda]]&gt;1,1,0)</f>
        <v>1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1">
        <v>10805</v>
      </c>
      <c r="F14" s="24" t="s">
        <v>194</v>
      </c>
      <c r="G14" s="25" t="s">
        <v>8</v>
      </c>
      <c r="H14" s="8">
        <v>2750</v>
      </c>
      <c r="I14" s="8">
        <v>2750</v>
      </c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1</v>
      </c>
    </row>
    <row r="15" spans="2:21" ht="15.75" x14ac:dyDescent="0.25">
      <c r="B15" s="29" t="s">
        <v>10</v>
      </c>
      <c r="C15" s="30">
        <f t="shared" si="0"/>
        <v>50</v>
      </c>
      <c r="D15" s="2"/>
      <c r="E15" s="90">
        <v>10806</v>
      </c>
      <c r="F15" s="24" t="s">
        <v>194</v>
      </c>
      <c r="G15" s="25" t="s">
        <v>8</v>
      </c>
      <c r="H15" s="8">
        <v>1150</v>
      </c>
      <c r="I15" s="8">
        <v>1150</v>
      </c>
      <c r="J15" s="2"/>
      <c r="K15" s="98"/>
      <c r="L15" s="9"/>
      <c r="M15" s="46"/>
      <c r="R15" s="1">
        <f>IF(vend7[[#This Row],[Nº Venda]]&gt;1,1,0)</f>
        <v>1</v>
      </c>
    </row>
    <row r="16" spans="2:21" ht="15.75" x14ac:dyDescent="0.25">
      <c r="B16" s="27" t="s">
        <v>11</v>
      </c>
      <c r="C16" s="31">
        <f>SUM(C11:C15)</f>
        <v>9268.7799999999988</v>
      </c>
      <c r="D16" s="2"/>
      <c r="E16" s="90">
        <v>10807</v>
      </c>
      <c r="F16" s="24" t="s">
        <v>195</v>
      </c>
      <c r="G16" s="25" t="s">
        <v>39</v>
      </c>
      <c r="H16" s="8"/>
      <c r="I16" s="8"/>
      <c r="J16" s="2"/>
      <c r="K16" s="98"/>
      <c r="L16" s="9"/>
      <c r="M16" s="16"/>
      <c r="R16" s="1">
        <f>IF(vend7[[#This Row],[Nº Venda]]&gt;1,1,0)</f>
        <v>1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IF(vend7[[#This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7434.99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10719</v>
      </c>
      <c r="F26" s="54" t="s">
        <v>196</v>
      </c>
      <c r="G26" s="67" t="s">
        <v>8</v>
      </c>
      <c r="H26" s="68"/>
      <c r="I26" s="68">
        <v>1620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10789</v>
      </c>
      <c r="F27" s="24" t="s">
        <v>197</v>
      </c>
      <c r="G27" s="25" t="s">
        <v>8</v>
      </c>
      <c r="H27" s="8"/>
      <c r="I27" s="8">
        <v>900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10425</v>
      </c>
      <c r="F35" s="24" t="s">
        <v>188</v>
      </c>
      <c r="G35" s="25" t="s">
        <v>6</v>
      </c>
      <c r="H35" s="8">
        <v>88.42</v>
      </c>
      <c r="I35" s="8" t="s">
        <v>54</v>
      </c>
      <c r="K35" s="98"/>
      <c r="L35" s="40"/>
      <c r="M35" s="16"/>
    </row>
    <row r="36" spans="2:18" ht="15.75" x14ac:dyDescent="0.25">
      <c r="E36" s="94">
        <v>9836</v>
      </c>
      <c r="F36" s="24" t="s">
        <v>198</v>
      </c>
      <c r="G36" s="25" t="s">
        <v>7</v>
      </c>
      <c r="H36" s="8">
        <v>150</v>
      </c>
      <c r="I36" s="8" t="s">
        <v>55</v>
      </c>
      <c r="K36" s="98"/>
      <c r="L36" s="40"/>
      <c r="M36" s="16"/>
    </row>
    <row r="37" spans="2:18" ht="15.75" x14ac:dyDescent="0.25">
      <c r="E37" s="90">
        <v>9891</v>
      </c>
      <c r="F37" s="24" t="s">
        <v>198</v>
      </c>
      <c r="G37" s="25" t="s">
        <v>7</v>
      </c>
      <c r="H37" s="8">
        <v>82.37</v>
      </c>
      <c r="I37" s="8" t="s">
        <v>55</v>
      </c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B19" zoomScaleNormal="10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'07'!B1+1</f>
        <v>45755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5584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2403.5</v>
      </c>
      <c r="D6" s="2"/>
      <c r="E6" s="90">
        <v>10810</v>
      </c>
      <c r="F6" s="8" t="s">
        <v>201</v>
      </c>
      <c r="G6" s="8" t="s">
        <v>49</v>
      </c>
      <c r="H6" s="8">
        <v>50</v>
      </c>
      <c r="I6" s="8">
        <v>50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10809</v>
      </c>
      <c r="F7" s="8" t="s">
        <v>202</v>
      </c>
      <c r="G7" s="8" t="s">
        <v>8</v>
      </c>
      <c r="H7" s="8">
        <v>180</v>
      </c>
      <c r="I7" s="8">
        <v>180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2403.5</v>
      </c>
      <c r="D8" s="2"/>
      <c r="E8" s="90">
        <v>10808</v>
      </c>
      <c r="F8" s="8" t="s">
        <v>203</v>
      </c>
      <c r="G8" s="8" t="s">
        <v>6</v>
      </c>
      <c r="H8" s="8">
        <v>100</v>
      </c>
      <c r="I8" s="8">
        <v>100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90">
        <v>10812</v>
      </c>
      <c r="F9" s="8" t="s">
        <v>204</v>
      </c>
      <c r="G9" s="8" t="s">
        <v>6</v>
      </c>
      <c r="H9" s="8">
        <v>550</v>
      </c>
      <c r="I9" s="8">
        <v>200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10811</v>
      </c>
      <c r="F10" s="24" t="s">
        <v>205</v>
      </c>
      <c r="G10" s="25" t="s">
        <v>6</v>
      </c>
      <c r="H10" s="8">
        <v>1149</v>
      </c>
      <c r="I10" s="8">
        <v>100</v>
      </c>
      <c r="J10" s="2"/>
      <c r="K10" s="24"/>
      <c r="L10" s="9"/>
      <c r="M10" s="16"/>
      <c r="R10" s="1">
        <f>IF(vend8[[#This Row],[Nº Venda]]&gt;1,1,0)</f>
        <v>1</v>
      </c>
    </row>
    <row r="11" spans="2:18" ht="15.75" x14ac:dyDescent="0.25">
      <c r="B11" s="29" t="s">
        <v>6</v>
      </c>
      <c r="C11" s="74">
        <f>(SUMIF($G$2:$G$31,B11,$I$2:$I$31))+(SUMIF($G$35:$G$42,B11,$H$35:$H$42))</f>
        <v>400</v>
      </c>
      <c r="D11" s="2"/>
      <c r="E11" s="90">
        <v>10813</v>
      </c>
      <c r="F11" s="24" t="s">
        <v>206</v>
      </c>
      <c r="G11" s="25" t="s">
        <v>39</v>
      </c>
      <c r="H11" s="8" t="s">
        <v>49</v>
      </c>
      <c r="I11" s="8">
        <v>0</v>
      </c>
      <c r="J11" s="2"/>
      <c r="K11" s="26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29" t="s">
        <v>7</v>
      </c>
      <c r="C12" s="74" t="s">
        <v>207</v>
      </c>
      <c r="D12" s="2"/>
      <c r="E12" s="90">
        <v>10814</v>
      </c>
      <c r="F12" s="24" t="s">
        <v>208</v>
      </c>
      <c r="G12" s="25" t="s">
        <v>8</v>
      </c>
      <c r="H12" s="8">
        <v>1325</v>
      </c>
      <c r="I12" s="8">
        <v>1000</v>
      </c>
      <c r="J12" s="2"/>
      <c r="R12" s="1">
        <f>IF(vend8[[#This Row],[Nº Venda]]&gt;1,1,0)</f>
        <v>1</v>
      </c>
    </row>
    <row r="13" spans="2:18" ht="15.75" x14ac:dyDescent="0.25">
      <c r="B13" s="29" t="s">
        <v>8</v>
      </c>
      <c r="C13" s="74" t="s">
        <v>207</v>
      </c>
      <c r="D13" s="2"/>
      <c r="E13" s="90">
        <v>10814</v>
      </c>
      <c r="F13" s="24" t="s">
        <v>208</v>
      </c>
      <c r="G13" s="25" t="s">
        <v>10</v>
      </c>
      <c r="H13" s="8"/>
      <c r="I13" s="8">
        <v>325</v>
      </c>
      <c r="J13" s="2"/>
      <c r="K13" s="115" t="s">
        <v>22</v>
      </c>
      <c r="L13" s="116"/>
      <c r="M13" s="117"/>
      <c r="R13" s="1">
        <f>IF(vend8[[#This Row],[Nº Venda]]&gt;1,1,0)</f>
        <v>1</v>
      </c>
    </row>
    <row r="14" spans="2:18" ht="15.75" x14ac:dyDescent="0.25">
      <c r="B14" s="29" t="s">
        <v>9</v>
      </c>
      <c r="C14" s="74">
        <f>(SUMIF($G$2:$G$31,B14,$I$2:$I$31))+(SUMIF($G$35:$G$42,B14,$H$35:$H$42))</f>
        <v>0</v>
      </c>
      <c r="D14" s="2"/>
      <c r="E14" s="91">
        <v>10815</v>
      </c>
      <c r="F14" s="24" t="s">
        <v>209</v>
      </c>
      <c r="G14" s="25" t="s">
        <v>49</v>
      </c>
      <c r="H14" s="8">
        <v>150</v>
      </c>
      <c r="I14" s="8">
        <v>0</v>
      </c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1</v>
      </c>
    </row>
    <row r="15" spans="2:18" ht="15.75" x14ac:dyDescent="0.25">
      <c r="B15" s="29" t="s">
        <v>10</v>
      </c>
      <c r="C15" s="74">
        <f>(SUMIF($G$2:$G$31,B15,$I$2:$I$31))+(SUMIF($G$35:$G$42,B15,$H$35:$H$42))</f>
        <v>2003.5</v>
      </c>
      <c r="D15" s="2"/>
      <c r="E15" s="90">
        <v>10816</v>
      </c>
      <c r="F15" s="24" t="s">
        <v>210</v>
      </c>
      <c r="G15" s="25" t="s">
        <v>10</v>
      </c>
      <c r="H15" s="8">
        <v>580</v>
      </c>
      <c r="I15" s="8">
        <v>580</v>
      </c>
      <c r="J15" s="2"/>
      <c r="K15" s="98">
        <v>10703</v>
      </c>
      <c r="L15" s="9" t="s">
        <v>135</v>
      </c>
      <c r="M15" s="16" t="s">
        <v>148</v>
      </c>
      <c r="R15" s="1">
        <f>IF(vend8[[#This Row],[Nº Venda]]&gt;1,1,0)</f>
        <v>1</v>
      </c>
    </row>
    <row r="16" spans="2:18" ht="15.75" x14ac:dyDescent="0.25">
      <c r="B16" s="27" t="s">
        <v>11</v>
      </c>
      <c r="C16" s="31">
        <f>SUM(C11:C15)</f>
        <v>2403.5</v>
      </c>
      <c r="D16" s="2"/>
      <c r="E16" s="90">
        <v>10817</v>
      </c>
      <c r="F16" s="24" t="s">
        <v>211</v>
      </c>
      <c r="G16" s="25" t="s">
        <v>8</v>
      </c>
      <c r="H16" s="8">
        <v>1650</v>
      </c>
      <c r="I16" s="8">
        <v>1650</v>
      </c>
      <c r="J16" s="2"/>
      <c r="K16" s="98">
        <v>10705</v>
      </c>
      <c r="L16" s="9" t="s">
        <v>135</v>
      </c>
      <c r="M16" s="16" t="s">
        <v>148</v>
      </c>
      <c r="R16" s="1">
        <f>IF(vend8[[#This Row],[Nº Venda]]&gt;1,1,0)</f>
        <v>1</v>
      </c>
    </row>
    <row r="17" spans="2:18" ht="15.75" x14ac:dyDescent="0.25">
      <c r="B17" s="2"/>
      <c r="C17" s="2"/>
      <c r="D17" s="2"/>
      <c r="E17" s="93"/>
      <c r="F17" s="53"/>
      <c r="G17" s="53"/>
      <c r="H17" s="8"/>
      <c r="I17" s="8"/>
      <c r="J17" s="2"/>
      <c r="K17" s="98"/>
      <c r="L17" s="9"/>
      <c r="M17" s="16"/>
      <c r="R17" s="1">
        <f>IF(vend8[[#This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5584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10703</v>
      </c>
      <c r="F26" s="24" t="s">
        <v>212</v>
      </c>
      <c r="G26" s="25" t="s">
        <v>10</v>
      </c>
      <c r="H26" s="78"/>
      <c r="I26" s="78">
        <v>749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43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24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10386</v>
      </c>
      <c r="F35" s="24" t="s">
        <v>199</v>
      </c>
      <c r="G35" s="25" t="s">
        <v>10</v>
      </c>
      <c r="H35" s="8">
        <v>124</v>
      </c>
      <c r="I35" s="8" t="s">
        <v>48</v>
      </c>
      <c r="K35" s="98"/>
      <c r="L35" s="40"/>
      <c r="M35" s="16"/>
    </row>
    <row r="36" spans="2:18" ht="15.75" x14ac:dyDescent="0.25">
      <c r="E36" s="94">
        <v>10442</v>
      </c>
      <c r="F36" s="24" t="s">
        <v>200</v>
      </c>
      <c r="G36" s="25" t="s">
        <v>10</v>
      </c>
      <c r="H36" s="8">
        <v>125.5</v>
      </c>
      <c r="I36" s="8" t="s">
        <v>93</v>
      </c>
      <c r="K36" s="98"/>
      <c r="L36" s="40"/>
      <c r="M36" s="16"/>
    </row>
    <row r="37" spans="2:18" ht="15.75" x14ac:dyDescent="0.25">
      <c r="E37" s="90">
        <v>10353</v>
      </c>
      <c r="F37" s="24" t="s">
        <v>213</v>
      </c>
      <c r="G37" s="25" t="s">
        <v>10</v>
      </c>
      <c r="H37" s="8">
        <v>100</v>
      </c>
      <c r="I37" s="8" t="s">
        <v>46</v>
      </c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11</v>
      </c>
    </row>
    <row r="41" spans="2:18" ht="15.75" x14ac:dyDescent="0.25">
      <c r="E41" s="95"/>
      <c r="F41" s="38"/>
      <c r="G41" s="25"/>
      <c r="H41" s="8"/>
      <c r="I41" s="8"/>
      <c r="K41" s="98"/>
      <c r="L41" s="40"/>
      <c r="M41" s="39"/>
    </row>
    <row r="42" spans="2:18" ht="15.75" x14ac:dyDescent="0.25">
      <c r="E42" s="34"/>
      <c r="F42" s="71"/>
      <c r="G42" s="72"/>
      <c r="H42" s="7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25" right="0.25" top="0.75" bottom="0.75" header="0.3" footer="0.3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K15:K31 E35:E41 K35:K41 E26:E31 E6:E16 E18:E22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G6:G16 G18:G22 G26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6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45756</v>
      </c>
    </row>
    <row r="2" spans="2:22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22" ht="15" x14ac:dyDescent="0.25">
      <c r="B5" s="22" t="s">
        <v>1</v>
      </c>
      <c r="C5" s="23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1543.52</v>
      </c>
      <c r="D6" s="2"/>
      <c r="E6" s="90">
        <v>10818</v>
      </c>
      <c r="F6" s="24" t="s">
        <v>215</v>
      </c>
      <c r="G6" s="43" t="s">
        <v>8</v>
      </c>
      <c r="H6" s="8">
        <v>700</v>
      </c>
      <c r="I6" s="8">
        <v>700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90">
        <v>10819</v>
      </c>
      <c r="F7" s="24" t="s">
        <v>216</v>
      </c>
      <c r="G7" s="43"/>
      <c r="H7" s="8">
        <v>35</v>
      </c>
      <c r="I7" s="8">
        <v>0</v>
      </c>
      <c r="J7" s="2"/>
      <c r="K7" s="24"/>
      <c r="L7" s="9"/>
      <c r="M7" s="16"/>
      <c r="R7" s="1">
        <f>IF(vend9[[#This Row],[Nº Venda]]&gt;1,1,0)</f>
        <v>1</v>
      </c>
    </row>
    <row r="8" spans="2:22" ht="15.75" x14ac:dyDescent="0.25">
      <c r="B8" s="27" t="s">
        <v>21</v>
      </c>
      <c r="C8" s="28">
        <f>SUM(C6:C7)</f>
        <v>1543.52</v>
      </c>
      <c r="D8" s="2"/>
      <c r="E8" s="90">
        <v>10820</v>
      </c>
      <c r="F8" s="24" t="s">
        <v>217</v>
      </c>
      <c r="G8" s="25" t="s">
        <v>6</v>
      </c>
      <c r="H8" s="8">
        <v>40</v>
      </c>
      <c r="I8" s="8">
        <v>20</v>
      </c>
      <c r="J8" s="2"/>
      <c r="K8" s="24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325.66999999999996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417.85</v>
      </c>
      <c r="D12" s="2"/>
      <c r="E12" s="90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800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10810</v>
      </c>
      <c r="L15" s="9" t="s">
        <v>133</v>
      </c>
      <c r="M15" s="16" t="s">
        <v>148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1543.52</v>
      </c>
      <c r="D16" s="2"/>
      <c r="E16" s="90"/>
      <c r="F16" s="24"/>
      <c r="G16" s="25"/>
      <c r="H16" s="8"/>
      <c r="I16" s="8"/>
      <c r="J16" s="2"/>
      <c r="K16" s="98">
        <v>10734</v>
      </c>
      <c r="L16" s="9" t="s">
        <v>135</v>
      </c>
      <c r="M16" s="16" t="s">
        <v>148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10815</v>
      </c>
      <c r="L17" s="9" t="s">
        <v>135</v>
      </c>
      <c r="M17" s="16" t="s">
        <v>148</v>
      </c>
      <c r="R17" s="1">
        <f>IF(vend9[[#This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4"/>
      <c r="G20" s="25"/>
      <c r="H20" s="8"/>
      <c r="I20" s="8"/>
      <c r="J20" s="2"/>
      <c r="K20" s="98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890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10815</v>
      </c>
      <c r="F26" s="24" t="s">
        <v>218</v>
      </c>
      <c r="G26" s="43" t="s">
        <v>8</v>
      </c>
      <c r="H26" s="8">
        <v>150</v>
      </c>
      <c r="I26" s="8">
        <v>100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10815</v>
      </c>
      <c r="F27" s="24" t="s">
        <v>218</v>
      </c>
      <c r="G27" s="25" t="s">
        <v>6</v>
      </c>
      <c r="H27" s="8"/>
      <c r="I27" s="8">
        <v>50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10058</v>
      </c>
      <c r="F35" s="24" t="s">
        <v>214</v>
      </c>
      <c r="G35" s="25" t="s">
        <v>7</v>
      </c>
      <c r="H35" s="8">
        <v>290</v>
      </c>
      <c r="I35" s="8" t="s">
        <v>95</v>
      </c>
      <c r="K35" s="98"/>
      <c r="L35" s="40"/>
      <c r="M35" s="16"/>
    </row>
    <row r="36" spans="2:18" ht="15.75" x14ac:dyDescent="0.25">
      <c r="E36" s="94">
        <v>10340</v>
      </c>
      <c r="F36" s="24" t="s">
        <v>219</v>
      </c>
      <c r="G36" s="25" t="s">
        <v>6</v>
      </c>
      <c r="H36" s="8">
        <v>255.67</v>
      </c>
      <c r="I36" s="8" t="s">
        <v>72</v>
      </c>
      <c r="K36" s="98"/>
      <c r="L36" s="40"/>
      <c r="M36" s="16"/>
    </row>
    <row r="37" spans="2:18" ht="15.75" x14ac:dyDescent="0.25">
      <c r="E37" s="90">
        <v>10468</v>
      </c>
      <c r="F37" s="24" t="s">
        <v>220</v>
      </c>
      <c r="G37" s="25" t="s">
        <v>7</v>
      </c>
      <c r="H37" s="8">
        <v>127.85</v>
      </c>
      <c r="I37" s="8" t="s">
        <v>54</v>
      </c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1" zoomScale="90" zoomScaleNormal="90" workbookViewId="0">
      <selection activeCell="E42" sqref="E4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45757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SUMIF(I6:I32,"&gt;0",H6:H32)</f>
        <v>499.3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1317.25</v>
      </c>
      <c r="D6" s="2"/>
      <c r="E6" s="90">
        <v>10821</v>
      </c>
      <c r="F6" s="24" t="s">
        <v>228</v>
      </c>
      <c r="G6" s="43" t="s">
        <v>7</v>
      </c>
      <c r="H6" s="8">
        <v>499.3</v>
      </c>
      <c r="I6" s="8">
        <v>150</v>
      </c>
      <c r="J6" s="2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SUM(M7:M11)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1317.25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517.5</v>
      </c>
      <c r="D12" s="2"/>
      <c r="E12" s="90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799.75</v>
      </c>
      <c r="D15" s="2"/>
      <c r="E15" s="90"/>
      <c r="F15" s="24"/>
      <c r="G15" s="25"/>
      <c r="H15" s="8"/>
      <c r="I15" s="8"/>
      <c r="J15" s="2"/>
      <c r="K15" s="98">
        <v>10813</v>
      </c>
      <c r="L15" s="9" t="s">
        <v>133</v>
      </c>
      <c r="M15" s="16" t="s">
        <v>148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1317.25</v>
      </c>
      <c r="D16" s="2"/>
      <c r="E16" s="90"/>
      <c r="F16" s="24"/>
      <c r="G16" s="25"/>
      <c r="H16" s="8"/>
      <c r="I16" s="8"/>
      <c r="J16" s="2"/>
      <c r="K16" s="98">
        <v>10769</v>
      </c>
      <c r="L16" s="9" t="s">
        <v>133</v>
      </c>
      <c r="M16" s="57" t="s">
        <v>148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10771</v>
      </c>
      <c r="L17" s="9" t="s">
        <v>135</v>
      </c>
      <c r="M17" s="16" t="s">
        <v>148</v>
      </c>
      <c r="R17" s="1">
        <f>IF(vend10[[#This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499.3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15" t="s">
        <v>12</v>
      </c>
      <c r="L33" s="116"/>
      <c r="M33" s="117"/>
    </row>
    <row r="34" spans="2:18" ht="15" x14ac:dyDescent="0.25">
      <c r="E34" s="114" t="s">
        <v>28</v>
      </c>
      <c r="F34" s="114"/>
      <c r="G34" s="114"/>
      <c r="H34" s="114"/>
      <c r="I34" s="114"/>
      <c r="K34" s="14" t="s">
        <v>23</v>
      </c>
      <c r="L34" s="6" t="s">
        <v>31</v>
      </c>
      <c r="M34" s="15" t="s">
        <v>32</v>
      </c>
    </row>
    <row r="35" spans="2:18" ht="15" x14ac:dyDescent="0.25">
      <c r="E35" s="96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8"/>
      <c r="L35" s="40"/>
      <c r="M35" s="16"/>
    </row>
    <row r="36" spans="2:18" ht="15.75" x14ac:dyDescent="0.25">
      <c r="E36" s="90">
        <v>10012</v>
      </c>
      <c r="F36" s="24" t="s">
        <v>221</v>
      </c>
      <c r="G36" s="25" t="s">
        <v>7</v>
      </c>
      <c r="H36" s="8">
        <v>243.75</v>
      </c>
      <c r="I36" s="8" t="s">
        <v>37</v>
      </c>
      <c r="K36" s="98"/>
      <c r="L36" s="40"/>
      <c r="M36" s="16"/>
    </row>
    <row r="37" spans="2:18" ht="15.75" x14ac:dyDescent="0.25">
      <c r="E37" s="94">
        <v>10137</v>
      </c>
      <c r="F37" s="24" t="s">
        <v>222</v>
      </c>
      <c r="G37" s="25" t="s">
        <v>7</v>
      </c>
      <c r="H37" s="8">
        <v>123.75</v>
      </c>
      <c r="I37" s="8" t="s">
        <v>56</v>
      </c>
      <c r="K37" s="98"/>
      <c r="L37" s="40"/>
      <c r="M37" s="16"/>
    </row>
    <row r="38" spans="2:18" ht="15.75" x14ac:dyDescent="0.25">
      <c r="E38" s="90">
        <v>10041</v>
      </c>
      <c r="F38" s="24" t="s">
        <v>223</v>
      </c>
      <c r="G38" s="25" t="s">
        <v>10</v>
      </c>
      <c r="H38" s="8">
        <v>200</v>
      </c>
      <c r="I38" s="8" t="s">
        <v>56</v>
      </c>
      <c r="K38" s="98"/>
      <c r="L38" s="40"/>
      <c r="M38" s="16"/>
    </row>
    <row r="39" spans="2:18" ht="15.75" x14ac:dyDescent="0.25">
      <c r="E39" s="90">
        <v>10202</v>
      </c>
      <c r="F39" s="24" t="s">
        <v>224</v>
      </c>
      <c r="G39" s="25" t="s">
        <v>10</v>
      </c>
      <c r="H39" s="8">
        <v>156.25</v>
      </c>
      <c r="I39" s="8" t="s">
        <v>34</v>
      </c>
      <c r="K39" s="98"/>
      <c r="L39" s="40"/>
      <c r="M39" s="16"/>
    </row>
    <row r="40" spans="2:18" ht="15.75" x14ac:dyDescent="0.25">
      <c r="E40" s="90">
        <v>10210</v>
      </c>
      <c r="F40" s="38" t="s">
        <v>225</v>
      </c>
      <c r="G40" s="25" t="s">
        <v>10</v>
      </c>
      <c r="H40" s="8">
        <v>181</v>
      </c>
      <c r="I40" s="8" t="s">
        <v>95</v>
      </c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2">
        <v>9728</v>
      </c>
      <c r="F41" s="35" t="s">
        <v>226</v>
      </c>
      <c r="G41" s="36" t="s">
        <v>10</v>
      </c>
      <c r="H41" s="17">
        <v>162.5</v>
      </c>
      <c r="I41" s="8" t="s">
        <v>50</v>
      </c>
      <c r="K41" s="98"/>
      <c r="L41" s="40"/>
      <c r="M41" s="39"/>
    </row>
    <row r="42" spans="2:18" ht="15.75" x14ac:dyDescent="0.25">
      <c r="E42" s="42"/>
      <c r="F42" s="38" t="s">
        <v>227</v>
      </c>
      <c r="G42" s="25" t="s">
        <v>10</v>
      </c>
      <c r="H42" s="8">
        <v>100</v>
      </c>
      <c r="I42" s="8" t="s">
        <v>40</v>
      </c>
      <c r="J42" s="100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0" zoomScale="90" zoomScaleNormal="90" workbookViewId="0">
      <selection activeCell="E21" sqref="E2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'10'!B1+1</f>
        <v>45758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1179.9000000000001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1229.9000000000001</v>
      </c>
      <c r="D6" s="2"/>
      <c r="E6" s="90">
        <v>10822</v>
      </c>
      <c r="F6" s="24" t="s">
        <v>229</v>
      </c>
      <c r="G6" s="25" t="s">
        <v>7</v>
      </c>
      <c r="H6" s="8">
        <v>800</v>
      </c>
      <c r="I6" s="8">
        <v>800</v>
      </c>
      <c r="J6" s="2"/>
      <c r="K6" s="24" t="s">
        <v>231</v>
      </c>
      <c r="L6" s="9" t="s">
        <v>6</v>
      </c>
      <c r="M6" s="16">
        <v>30</v>
      </c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30</v>
      </c>
      <c r="D7" s="2"/>
      <c r="E7" s="90">
        <v>10819</v>
      </c>
      <c r="F7" s="24" t="s">
        <v>216</v>
      </c>
      <c r="G7" s="25" t="s">
        <v>6</v>
      </c>
      <c r="H7" s="8">
        <v>35</v>
      </c>
      <c r="I7" s="8">
        <v>35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1259.9000000000001</v>
      </c>
      <c r="D8" s="2"/>
      <c r="E8" s="90">
        <v>10824</v>
      </c>
      <c r="F8" s="24" t="s">
        <v>230</v>
      </c>
      <c r="G8" s="25" t="s">
        <v>6</v>
      </c>
      <c r="H8" s="8">
        <v>150</v>
      </c>
      <c r="I8" s="8">
        <v>100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90">
        <v>10823</v>
      </c>
      <c r="F9" s="24" t="s">
        <v>233</v>
      </c>
      <c r="G9" s="25" t="s">
        <v>39</v>
      </c>
      <c r="H9" s="8"/>
      <c r="I9" s="8"/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10825</v>
      </c>
      <c r="F10" s="24" t="s">
        <v>234</v>
      </c>
      <c r="G10" s="25" t="s">
        <v>8</v>
      </c>
      <c r="H10" s="8">
        <v>99.9</v>
      </c>
      <c r="I10" s="8">
        <v>99.9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235</v>
      </c>
      <c r="D11" s="2"/>
      <c r="E11" s="90">
        <v>10826</v>
      </c>
      <c r="F11" s="24" t="s">
        <v>144</v>
      </c>
      <c r="G11" s="25" t="s">
        <v>8</v>
      </c>
      <c r="H11" s="8">
        <v>35</v>
      </c>
      <c r="I11" s="8">
        <v>35</v>
      </c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800</v>
      </c>
      <c r="D12" s="2"/>
      <c r="E12" s="90"/>
      <c r="F12" s="24"/>
      <c r="G12" s="25"/>
      <c r="H12" s="8"/>
      <c r="I12" s="8" t="s">
        <v>235</v>
      </c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194.9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10770</v>
      </c>
      <c r="L15" s="9" t="s">
        <v>133</v>
      </c>
      <c r="M15" s="16" t="s">
        <v>148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1229.9000000000001</v>
      </c>
      <c r="D16" s="2"/>
      <c r="E16" s="90"/>
      <c r="F16" s="24"/>
      <c r="G16" s="25"/>
      <c r="H16" s="8"/>
      <c r="I16" s="8"/>
      <c r="J16" s="2"/>
      <c r="K16" s="98">
        <v>10605</v>
      </c>
      <c r="L16" s="9" t="s">
        <v>128</v>
      </c>
      <c r="M16" s="16" t="s">
        <v>148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10717</v>
      </c>
      <c r="L17" s="9" t="s">
        <v>135</v>
      </c>
      <c r="M17" s="16" t="s">
        <v>148</v>
      </c>
      <c r="R17" s="1">
        <f>IF(vend11[[#This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10716</v>
      </c>
      <c r="L18" s="9" t="s">
        <v>135</v>
      </c>
      <c r="M18" s="16" t="s">
        <v>148</v>
      </c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0"/>
      <c r="F19" s="24"/>
      <c r="G19" s="25"/>
      <c r="H19" s="8"/>
      <c r="I19" s="8"/>
      <c r="J19" s="2"/>
      <c r="K19" s="98">
        <v>10825</v>
      </c>
      <c r="L19" s="9" t="s">
        <v>135</v>
      </c>
      <c r="M19" s="16" t="s">
        <v>148</v>
      </c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10760</v>
      </c>
      <c r="L20" s="9" t="s">
        <v>135</v>
      </c>
      <c r="M20" s="16" t="s">
        <v>148</v>
      </c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1179.9000000000001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10760</v>
      </c>
      <c r="F26" s="24" t="s">
        <v>144</v>
      </c>
      <c r="G26" s="43" t="s">
        <v>8</v>
      </c>
      <c r="H26" s="8">
        <v>60</v>
      </c>
      <c r="I26" s="8">
        <v>60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10619</v>
      </c>
      <c r="F35" s="24" t="s">
        <v>232</v>
      </c>
      <c r="G35" s="25" t="s">
        <v>6</v>
      </c>
      <c r="H35" s="8">
        <v>100</v>
      </c>
      <c r="I35" s="8" t="s">
        <v>51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51"/>
  <sheetViews>
    <sheetView showGridLines="0" topLeftCell="A24" zoomScale="90" zoomScaleNormal="90" workbookViewId="0">
      <selection activeCell="E47" sqref="E47:I4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45759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3219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2898.95</v>
      </c>
      <c r="D6" s="2"/>
      <c r="E6" s="90">
        <v>10827</v>
      </c>
      <c r="F6" s="47" t="s">
        <v>236</v>
      </c>
      <c r="G6" s="47" t="s">
        <v>8</v>
      </c>
      <c r="H6" s="48">
        <v>40</v>
      </c>
      <c r="I6" s="48">
        <v>40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10828</v>
      </c>
      <c r="F7" s="49" t="s">
        <v>237</v>
      </c>
      <c r="G7" s="49" t="s">
        <v>6</v>
      </c>
      <c r="H7" s="50">
        <v>40</v>
      </c>
      <c r="I7" s="50">
        <v>40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2898.95</v>
      </c>
      <c r="D8" s="2"/>
      <c r="E8" s="90">
        <v>10829</v>
      </c>
      <c r="F8" s="49" t="s">
        <v>239</v>
      </c>
      <c r="G8" s="49" t="s">
        <v>8</v>
      </c>
      <c r="H8" s="50">
        <v>449.5</v>
      </c>
      <c r="I8" s="50">
        <v>449.5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90">
        <v>10830</v>
      </c>
      <c r="F9" s="24" t="s">
        <v>239</v>
      </c>
      <c r="G9" s="25" t="s">
        <v>8</v>
      </c>
      <c r="H9" s="8">
        <v>449.5</v>
      </c>
      <c r="I9" s="8">
        <v>449.5</v>
      </c>
      <c r="J9" s="2"/>
      <c r="K9" s="24"/>
      <c r="L9" s="9"/>
      <c r="M9" s="16"/>
      <c r="R9" s="1">
        <f>IF(vend12[[#This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10831</v>
      </c>
      <c r="F10" s="24" t="s">
        <v>242</v>
      </c>
      <c r="G10" s="25" t="s">
        <v>7</v>
      </c>
      <c r="H10" s="8">
        <v>600</v>
      </c>
      <c r="I10" s="8">
        <v>50</v>
      </c>
      <c r="J10" s="2"/>
      <c r="K10" s="24"/>
      <c r="L10" s="9"/>
      <c r="M10" s="16"/>
      <c r="R10" s="1">
        <f>IF(vend12[[#This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(SUMIF($G$2:$G$31,B11,$I$2:$I$31))+(SUMIF($G$45:$G$51,B11,$H$45:$H$51))</f>
        <v>124</v>
      </c>
      <c r="D11" s="2"/>
      <c r="E11" s="90">
        <v>10832</v>
      </c>
      <c r="F11" s="24" t="s">
        <v>243</v>
      </c>
      <c r="G11" s="25" t="s">
        <v>10</v>
      </c>
      <c r="H11" s="8">
        <v>140</v>
      </c>
      <c r="I11" s="8">
        <v>50</v>
      </c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29" t="s">
        <v>7</v>
      </c>
      <c r="C12" s="30">
        <f>(SUMIF($G$2:$G$31,B12,$I$2:$I$31))+(SUMIF($G$45:$G$51,B12,$H$45:$H$51))</f>
        <v>220</v>
      </c>
      <c r="D12" s="2"/>
      <c r="E12" s="90">
        <v>10833</v>
      </c>
      <c r="F12" s="24" t="s">
        <v>245</v>
      </c>
      <c r="G12" s="25" t="s">
        <v>8</v>
      </c>
      <c r="H12" s="8">
        <v>650</v>
      </c>
      <c r="I12" s="8">
        <v>650</v>
      </c>
      <c r="J12" s="2"/>
      <c r="R12" s="1">
        <f>IF(vend12[[#This Row],[Nº Venda]]&gt;1,1,0)</f>
        <v>1</v>
      </c>
    </row>
    <row r="13" spans="2:18" ht="15.75" x14ac:dyDescent="0.25">
      <c r="B13" s="29" t="s">
        <v>8</v>
      </c>
      <c r="C13" s="30">
        <f>(SUMIF($G$2:$G$31,B13,$I$2:$I$31))+(SUMIF($G$45:$G$51,B13,$H$45:$H$51))</f>
        <v>2438.4499999999998</v>
      </c>
      <c r="D13" s="2"/>
      <c r="E13" s="91">
        <v>10834</v>
      </c>
      <c r="F13" s="24" t="s">
        <v>246</v>
      </c>
      <c r="G13" s="25" t="s">
        <v>8</v>
      </c>
      <c r="H13" s="8">
        <v>500</v>
      </c>
      <c r="I13" s="8">
        <v>100</v>
      </c>
      <c r="J13" s="2"/>
      <c r="K13" s="115" t="s">
        <v>22</v>
      </c>
      <c r="L13" s="116"/>
      <c r="M13" s="117"/>
      <c r="R13" s="1">
        <f>IF(vend12[[#This Row],[Nº Venda]]&gt;1,1,0)</f>
        <v>1</v>
      </c>
    </row>
    <row r="14" spans="2:18" ht="15.75" x14ac:dyDescent="0.25">
      <c r="B14" s="29" t="s">
        <v>9</v>
      </c>
      <c r="C14" s="30">
        <f>(SUMIF($G$2:$G$31,B14,$I$2:$I$31))+(SUMIF($G$45:$G$51,B14,$H$45:$H$51))</f>
        <v>0</v>
      </c>
      <c r="D14" s="2"/>
      <c r="E14" s="91">
        <v>10835</v>
      </c>
      <c r="F14" s="24" t="s">
        <v>246</v>
      </c>
      <c r="G14" s="25" t="s">
        <v>8</v>
      </c>
      <c r="H14" s="8">
        <v>200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1</v>
      </c>
    </row>
    <row r="15" spans="2:18" ht="15.75" x14ac:dyDescent="0.25">
      <c r="B15" s="29" t="s">
        <v>10</v>
      </c>
      <c r="C15" s="30">
        <f>(SUMIF($G$2:$G$31,B15,$I$2:$I$31))+(SUMIF($G$45:$G$51,B15,$H$45:$H$51))</f>
        <v>116.5</v>
      </c>
      <c r="D15" s="2"/>
      <c r="E15" s="90">
        <v>10837</v>
      </c>
      <c r="F15" s="24" t="s">
        <v>247</v>
      </c>
      <c r="G15" s="25" t="s">
        <v>39</v>
      </c>
      <c r="H15" s="8"/>
      <c r="I15" s="8"/>
      <c r="J15" s="2"/>
      <c r="K15" s="98">
        <v>10828</v>
      </c>
      <c r="L15" s="9" t="s">
        <v>135</v>
      </c>
      <c r="M15" s="16" t="s">
        <v>148</v>
      </c>
      <c r="R15" s="1">
        <f>IF(vend12[[#This Row],[Nº Venda]]&gt;1,1,0)</f>
        <v>1</v>
      </c>
    </row>
    <row r="16" spans="2:18" ht="15.75" x14ac:dyDescent="0.25">
      <c r="B16" s="27" t="s">
        <v>11</v>
      </c>
      <c r="C16" s="31">
        <f>SUM(C11:C15)</f>
        <v>2898.95</v>
      </c>
      <c r="D16" s="2"/>
      <c r="E16" s="90">
        <v>10838</v>
      </c>
      <c r="F16" s="24" t="s">
        <v>248</v>
      </c>
      <c r="G16" s="25" t="s">
        <v>7</v>
      </c>
      <c r="H16" s="8">
        <v>150</v>
      </c>
      <c r="I16" s="8">
        <v>150</v>
      </c>
      <c r="J16" s="2"/>
      <c r="K16" s="98">
        <v>10713</v>
      </c>
      <c r="L16" s="9" t="s">
        <v>133</v>
      </c>
      <c r="M16" s="16" t="s">
        <v>148</v>
      </c>
      <c r="R16" s="1">
        <f>IF(vend12[[#This Row],[Nº Venda]]&gt;1,1,0)</f>
        <v>1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10736</v>
      </c>
      <c r="L17" s="9" t="s">
        <v>135</v>
      </c>
      <c r="M17" s="16" t="s">
        <v>148</v>
      </c>
      <c r="R17" s="1">
        <f>IF(vend12[[#This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10633</v>
      </c>
      <c r="L18" s="9" t="s">
        <v>135</v>
      </c>
      <c r="M18" s="16" t="s">
        <v>148</v>
      </c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0"/>
      <c r="F19" s="24"/>
      <c r="G19" s="25"/>
      <c r="H19" s="8"/>
      <c r="I19" s="8"/>
      <c r="J19" s="2"/>
      <c r="K19" s="98">
        <v>10761</v>
      </c>
      <c r="L19" s="9" t="s">
        <v>133</v>
      </c>
      <c r="M19" s="16" t="s">
        <v>148</v>
      </c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10777</v>
      </c>
      <c r="L20" s="9" t="s">
        <v>133</v>
      </c>
      <c r="M20" s="16" t="s">
        <v>148</v>
      </c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10781</v>
      </c>
      <c r="L21" s="9" t="s">
        <v>133</v>
      </c>
      <c r="M21" s="16" t="s">
        <v>148</v>
      </c>
    </row>
    <row r="22" spans="2:18" ht="15.75" x14ac:dyDescent="0.25">
      <c r="B22" s="27" t="s">
        <v>26</v>
      </c>
      <c r="C22" s="31">
        <f>C5</f>
        <v>3219</v>
      </c>
      <c r="D22" s="2"/>
      <c r="E22" s="90"/>
      <c r="F22" s="24"/>
      <c r="G22" s="25"/>
      <c r="H22" s="8"/>
      <c r="I22" s="8"/>
      <c r="J22" s="2"/>
      <c r="K22" s="98">
        <v>10797</v>
      </c>
      <c r="L22" s="9" t="s">
        <v>139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98">
        <v>10807</v>
      </c>
      <c r="L23" s="9" t="s">
        <v>135</v>
      </c>
      <c r="M23" s="16" t="s">
        <v>148</v>
      </c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>
        <v>10809</v>
      </c>
      <c r="L24" s="9" t="s">
        <v>133</v>
      </c>
      <c r="M24" s="16" t="s">
        <v>148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>
        <v>10693</v>
      </c>
      <c r="L25" s="9" t="s">
        <v>135</v>
      </c>
      <c r="M25" s="16" t="s">
        <v>148</v>
      </c>
    </row>
    <row r="26" spans="2:18" ht="15.75" x14ac:dyDescent="0.25">
      <c r="B26" s="2"/>
      <c r="C26" s="2"/>
      <c r="D26" s="2"/>
      <c r="E26" s="90">
        <v>10781</v>
      </c>
      <c r="F26" s="51" t="s">
        <v>166</v>
      </c>
      <c r="G26" s="43" t="s">
        <v>8</v>
      </c>
      <c r="H26" s="8">
        <v>0</v>
      </c>
      <c r="I26" s="8">
        <v>300</v>
      </c>
      <c r="J26" s="2"/>
      <c r="K26" s="98">
        <v>10764</v>
      </c>
      <c r="L26" s="9" t="s">
        <v>135</v>
      </c>
      <c r="M26" s="16" t="s">
        <v>148</v>
      </c>
    </row>
    <row r="27" spans="2:18" ht="15.75" x14ac:dyDescent="0.25">
      <c r="B27" s="2"/>
      <c r="C27" s="2"/>
      <c r="D27" s="2"/>
      <c r="E27" s="90">
        <v>10820</v>
      </c>
      <c r="F27" s="24" t="s">
        <v>217</v>
      </c>
      <c r="G27" s="25" t="s">
        <v>7</v>
      </c>
      <c r="H27" s="8">
        <v>0</v>
      </c>
      <c r="I27" s="8">
        <v>20</v>
      </c>
      <c r="J27" s="2"/>
      <c r="K27" s="98">
        <v>10765</v>
      </c>
      <c r="L27" s="9" t="s">
        <v>135</v>
      </c>
      <c r="M27" s="16" t="s">
        <v>148</v>
      </c>
    </row>
    <row r="28" spans="2:18" ht="15.75" x14ac:dyDescent="0.25">
      <c r="B28" s="2"/>
      <c r="C28" s="2"/>
      <c r="D28" s="2"/>
      <c r="E28" s="90">
        <v>10786</v>
      </c>
      <c r="F28" s="24" t="s">
        <v>244</v>
      </c>
      <c r="G28" s="25" t="s">
        <v>8</v>
      </c>
      <c r="H28" s="8">
        <v>0</v>
      </c>
      <c r="I28" s="85">
        <v>140</v>
      </c>
      <c r="J28" s="2"/>
      <c r="K28" s="98">
        <v>10820</v>
      </c>
      <c r="L28" s="9" t="s">
        <v>133</v>
      </c>
      <c r="M28" s="16" t="s">
        <v>148</v>
      </c>
    </row>
    <row r="29" spans="2:18" ht="15.75" x14ac:dyDescent="0.25">
      <c r="B29" s="2"/>
      <c r="C29" s="2"/>
      <c r="D29" s="2"/>
      <c r="E29" s="90">
        <v>10785</v>
      </c>
      <c r="F29" s="24" t="s">
        <v>244</v>
      </c>
      <c r="G29" s="25" t="s">
        <v>8</v>
      </c>
      <c r="H29" s="8">
        <v>0</v>
      </c>
      <c r="I29" s="8">
        <v>140</v>
      </c>
      <c r="J29" s="2"/>
      <c r="K29" s="98">
        <v>10794</v>
      </c>
      <c r="L29" s="9" t="s">
        <v>139</v>
      </c>
      <c r="M29" s="16" t="s">
        <v>148</v>
      </c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>
        <v>10786</v>
      </c>
      <c r="L30" s="9" t="s">
        <v>133</v>
      </c>
      <c r="M30" s="16" t="s">
        <v>148</v>
      </c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>
        <v>10785</v>
      </c>
      <c r="L31" s="9" t="s">
        <v>133</v>
      </c>
      <c r="M31" s="16" t="s">
        <v>148</v>
      </c>
    </row>
    <row r="32" spans="2:18" ht="15.75" x14ac:dyDescent="0.25">
      <c r="B32" s="2"/>
      <c r="C32" s="2"/>
      <c r="D32" s="2"/>
      <c r="E32" s="101"/>
      <c r="F32" s="26"/>
      <c r="G32" s="102"/>
      <c r="H32" s="103"/>
      <c r="I32" s="103"/>
      <c r="J32" s="2"/>
      <c r="K32" s="98">
        <v>10792</v>
      </c>
      <c r="L32" s="9" t="s">
        <v>135</v>
      </c>
      <c r="M32" s="16" t="s">
        <v>148</v>
      </c>
    </row>
    <row r="33" spans="2:13" ht="15.75" x14ac:dyDescent="0.25">
      <c r="B33" s="2"/>
      <c r="C33" s="2"/>
      <c r="D33" s="2"/>
      <c r="E33" s="101"/>
      <c r="F33" s="26"/>
      <c r="G33" s="102"/>
      <c r="H33" s="103"/>
      <c r="I33" s="103"/>
      <c r="J33" s="2"/>
      <c r="K33" s="98">
        <v>10750</v>
      </c>
      <c r="L33" s="9" t="s">
        <v>133</v>
      </c>
      <c r="M33" s="16" t="s">
        <v>148</v>
      </c>
    </row>
    <row r="34" spans="2:13" ht="15.75" x14ac:dyDescent="0.25">
      <c r="B34" s="2"/>
      <c r="C34" s="2"/>
      <c r="D34" s="2"/>
      <c r="E34" s="101"/>
      <c r="F34" s="26"/>
      <c r="G34" s="102"/>
      <c r="H34" s="103"/>
      <c r="I34" s="103"/>
      <c r="J34" s="2"/>
      <c r="K34" s="98">
        <v>10801</v>
      </c>
      <c r="L34" s="9" t="s">
        <v>133</v>
      </c>
      <c r="M34" s="16" t="s">
        <v>148</v>
      </c>
    </row>
    <row r="35" spans="2:13" ht="15.75" x14ac:dyDescent="0.25">
      <c r="B35" s="2"/>
      <c r="C35" s="2"/>
      <c r="D35" s="2"/>
      <c r="E35" s="101"/>
      <c r="F35" s="26"/>
      <c r="G35" s="102"/>
      <c r="H35" s="103"/>
      <c r="I35" s="103"/>
      <c r="J35" s="2"/>
      <c r="K35" s="98">
        <v>10782</v>
      </c>
      <c r="L35" s="9" t="s">
        <v>133</v>
      </c>
      <c r="M35" s="16" t="s">
        <v>148</v>
      </c>
    </row>
    <row r="36" spans="2:13" ht="15.75" x14ac:dyDescent="0.25">
      <c r="B36" s="2"/>
      <c r="C36" s="2"/>
      <c r="D36" s="2"/>
      <c r="E36" s="101"/>
      <c r="F36" s="26"/>
      <c r="G36" s="102"/>
      <c r="H36" s="103"/>
      <c r="I36" s="103"/>
      <c r="J36" s="2"/>
      <c r="K36" s="98">
        <v>10803</v>
      </c>
      <c r="L36" s="9" t="s">
        <v>133</v>
      </c>
      <c r="M36" s="16" t="s">
        <v>148</v>
      </c>
    </row>
    <row r="37" spans="2:13" ht="15.75" x14ac:dyDescent="0.25">
      <c r="B37" s="2"/>
      <c r="C37" s="2"/>
      <c r="D37" s="2"/>
      <c r="E37" s="101"/>
      <c r="F37" s="26"/>
      <c r="G37" s="102"/>
      <c r="H37" s="103"/>
      <c r="I37" s="103"/>
      <c r="J37" s="2"/>
      <c r="K37" s="98">
        <v>10804</v>
      </c>
      <c r="L37" s="9" t="s">
        <v>133</v>
      </c>
      <c r="M37" s="16" t="s">
        <v>148</v>
      </c>
    </row>
    <row r="38" spans="2:13" ht="15.75" x14ac:dyDescent="0.25">
      <c r="B38" s="2"/>
      <c r="C38" s="2"/>
      <c r="D38" s="2"/>
      <c r="E38" s="101"/>
      <c r="F38" s="26"/>
      <c r="G38" s="102"/>
      <c r="H38" s="103"/>
      <c r="I38" s="103"/>
      <c r="J38" s="2"/>
      <c r="K38" s="98">
        <v>10832</v>
      </c>
      <c r="L38" s="9" t="s">
        <v>135</v>
      </c>
      <c r="M38" s="16" t="s">
        <v>148</v>
      </c>
    </row>
    <row r="39" spans="2:13" ht="15.75" x14ac:dyDescent="0.25">
      <c r="B39" s="2"/>
      <c r="C39" s="2"/>
      <c r="D39" s="2"/>
      <c r="E39" s="101"/>
      <c r="F39" s="26"/>
      <c r="G39" s="102"/>
      <c r="H39" s="103"/>
      <c r="I39" s="103"/>
      <c r="J39" s="2"/>
      <c r="K39" s="98">
        <v>10838</v>
      </c>
      <c r="L39" s="9" t="s">
        <v>133</v>
      </c>
      <c r="M39" s="16" t="s">
        <v>148</v>
      </c>
    </row>
    <row r="40" spans="2:13" ht="15.75" x14ac:dyDescent="0.25">
      <c r="B40" s="2"/>
      <c r="C40" s="2"/>
      <c r="D40" s="2"/>
      <c r="E40" s="101"/>
      <c r="F40" s="26"/>
      <c r="G40" s="102"/>
      <c r="H40" s="103"/>
      <c r="I40" s="103"/>
      <c r="J40" s="2"/>
      <c r="K40" s="98">
        <v>10799</v>
      </c>
      <c r="L40" s="9" t="s">
        <v>139</v>
      </c>
      <c r="M40" s="16" t="s">
        <v>148</v>
      </c>
    </row>
    <row r="41" spans="2:13" ht="15.75" x14ac:dyDescent="0.25">
      <c r="B41" s="2"/>
      <c r="C41" s="2"/>
      <c r="D41" s="2"/>
      <c r="E41" s="101"/>
      <c r="F41" s="26"/>
      <c r="G41" s="102"/>
      <c r="H41" s="103"/>
      <c r="I41" s="103"/>
      <c r="J41" s="2"/>
      <c r="K41" s="98">
        <v>10798</v>
      </c>
      <c r="L41" s="9" t="s">
        <v>133</v>
      </c>
      <c r="M41" s="16" t="s">
        <v>148</v>
      </c>
    </row>
    <row r="42" spans="2:13" ht="15" x14ac:dyDescent="0.25">
      <c r="B42" s="2"/>
      <c r="C42" s="2"/>
      <c r="E42" s="32"/>
    </row>
    <row r="43" spans="2:13" ht="15" x14ac:dyDescent="0.25">
      <c r="B43" s="2"/>
      <c r="C43" s="2"/>
      <c r="E43" s="114" t="s">
        <v>28</v>
      </c>
      <c r="F43" s="114"/>
      <c r="G43" s="114"/>
      <c r="H43" s="114"/>
      <c r="I43" s="114"/>
      <c r="K43" s="115" t="s">
        <v>12</v>
      </c>
      <c r="L43" s="116"/>
      <c r="M43" s="117"/>
    </row>
    <row r="44" spans="2:13" ht="15" x14ac:dyDescent="0.25">
      <c r="E44" s="10" t="s">
        <v>23</v>
      </c>
      <c r="F44" s="10" t="s">
        <v>15</v>
      </c>
      <c r="G44" s="11" t="s">
        <v>16</v>
      </c>
      <c r="H44" s="12" t="s">
        <v>29</v>
      </c>
      <c r="I44" s="13" t="s">
        <v>30</v>
      </c>
      <c r="K44" s="14" t="s">
        <v>23</v>
      </c>
      <c r="L44" s="6" t="s">
        <v>31</v>
      </c>
      <c r="M44" s="15" t="s">
        <v>32</v>
      </c>
    </row>
    <row r="45" spans="2:13" ht="15.75" x14ac:dyDescent="0.25">
      <c r="E45" s="90">
        <v>10125</v>
      </c>
      <c r="F45" s="24" t="s">
        <v>238</v>
      </c>
      <c r="G45" s="25" t="s">
        <v>10</v>
      </c>
      <c r="H45" s="8">
        <v>66.5</v>
      </c>
      <c r="I45" s="8" t="s">
        <v>44</v>
      </c>
      <c r="K45" s="98"/>
      <c r="L45" s="40"/>
      <c r="M45" s="16"/>
    </row>
    <row r="46" spans="2:13" ht="15.75" x14ac:dyDescent="0.25">
      <c r="E46" s="94">
        <v>10360</v>
      </c>
      <c r="F46" s="24" t="s">
        <v>240</v>
      </c>
      <c r="G46" s="25" t="s">
        <v>6</v>
      </c>
      <c r="H46" s="8">
        <v>84</v>
      </c>
      <c r="I46" s="8" t="s">
        <v>46</v>
      </c>
      <c r="K46" s="98"/>
      <c r="L46" s="40"/>
      <c r="M46" s="16"/>
    </row>
    <row r="47" spans="2:13" ht="15.75" x14ac:dyDescent="0.25">
      <c r="E47" s="90">
        <v>9936</v>
      </c>
      <c r="F47" s="24" t="s">
        <v>241</v>
      </c>
      <c r="G47" s="25" t="s">
        <v>8</v>
      </c>
      <c r="H47" s="8">
        <v>69.45</v>
      </c>
      <c r="I47" s="8" t="s">
        <v>37</v>
      </c>
      <c r="K47" s="98"/>
      <c r="L47" s="40"/>
      <c r="M47" s="16"/>
    </row>
    <row r="48" spans="2:13" ht="15.75" x14ac:dyDescent="0.25">
      <c r="E48" s="90"/>
      <c r="F48" s="24"/>
      <c r="G48" s="25"/>
      <c r="H48" s="8"/>
      <c r="I48" s="8"/>
      <c r="K48" s="98"/>
      <c r="L48" s="40"/>
      <c r="M48" s="16"/>
    </row>
    <row r="49" spans="5:18" ht="15.75" x14ac:dyDescent="0.25">
      <c r="E49" s="90"/>
      <c r="F49" s="38"/>
      <c r="G49" s="25"/>
      <c r="H49" s="8"/>
      <c r="I49" s="8"/>
      <c r="K49" s="98"/>
      <c r="L49" s="40"/>
      <c r="M49" s="16"/>
    </row>
    <row r="50" spans="5:18" ht="15.75" x14ac:dyDescent="0.25">
      <c r="E50" s="92"/>
      <c r="F50" s="35"/>
      <c r="G50" s="36"/>
      <c r="H50" s="17"/>
      <c r="I50" s="8"/>
      <c r="K50" s="99"/>
      <c r="L50" s="41"/>
      <c r="M50" s="39"/>
      <c r="Q50" s="1" t="s">
        <v>36</v>
      </c>
      <c r="R50" s="1">
        <f>SUM(R6:R21)</f>
        <v>11</v>
      </c>
    </row>
    <row r="51" spans="5:18" ht="15.75" x14ac:dyDescent="0.25">
      <c r="E51" s="93"/>
      <c r="F51" s="38"/>
      <c r="G51" s="25"/>
      <c r="H51" s="8"/>
      <c r="I51" s="8"/>
      <c r="K51" s="98"/>
      <c r="L51" s="40"/>
      <c r="M51" s="39"/>
    </row>
  </sheetData>
  <mergeCells count="9">
    <mergeCell ref="E24:I24"/>
    <mergeCell ref="E43:I43"/>
    <mergeCell ref="K43:M4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45:L51" xr:uid="{23E708D8-CE05-4F3E-91DE-80C9C11E79AB}">
      <formula1>"1,2,3,4,5,6,7,8,9,10"</formula1>
    </dataValidation>
    <dataValidation type="list" allowBlank="1" showInputMessage="1" showErrorMessage="1" sqref="M15:M4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G26:G41 G45:G51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I45:I51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L15:L41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E26:E41 E45:E51 K45:K51 K15:K41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3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45760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IF(vend13[[#This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6" zoomScale="90" zoomScaleNormal="90" workbookViewId="0">
      <selection activeCell="E12" sqref="E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45761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1020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1020</v>
      </c>
      <c r="D6" s="2"/>
      <c r="E6" s="90">
        <v>10839</v>
      </c>
      <c r="F6" s="24" t="s">
        <v>250</v>
      </c>
      <c r="G6" s="43" t="s">
        <v>7</v>
      </c>
      <c r="H6" s="8">
        <v>600</v>
      </c>
      <c r="I6" s="8">
        <v>600</v>
      </c>
      <c r="J6" s="2"/>
      <c r="K6" s="24" t="s">
        <v>249</v>
      </c>
      <c r="L6" s="9" t="s">
        <v>10</v>
      </c>
      <c r="M6" s="16">
        <v>2.75</v>
      </c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2.75</v>
      </c>
      <c r="D7" s="2"/>
      <c r="E7" s="90">
        <v>10840</v>
      </c>
      <c r="F7" s="24" t="s">
        <v>250</v>
      </c>
      <c r="G7" s="43" t="s">
        <v>49</v>
      </c>
      <c r="H7" s="8"/>
      <c r="I7" s="8"/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1022.75</v>
      </c>
      <c r="D8" s="2"/>
      <c r="E8" s="90">
        <v>10842</v>
      </c>
      <c r="F8" s="24" t="s">
        <v>251</v>
      </c>
      <c r="G8" s="25" t="s">
        <v>8</v>
      </c>
      <c r="H8" s="8">
        <v>30</v>
      </c>
      <c r="I8" s="8">
        <v>30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90">
        <v>10843</v>
      </c>
      <c r="F9" s="24" t="s">
        <v>192</v>
      </c>
      <c r="G9" s="25" t="s">
        <v>39</v>
      </c>
      <c r="H9" s="8"/>
      <c r="I9" s="8"/>
      <c r="J9" s="2"/>
      <c r="K9" s="24"/>
      <c r="L9" s="9"/>
      <c r="M9" s="16"/>
      <c r="R9" s="1">
        <f>IF(vend14[[#This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10844</v>
      </c>
      <c r="F10" s="24" t="s">
        <v>252</v>
      </c>
      <c r="G10" s="25" t="s">
        <v>39</v>
      </c>
      <c r="H10" s="8"/>
      <c r="I10" s="8"/>
      <c r="J10" s="2"/>
      <c r="K10" s="24"/>
      <c r="L10" s="9"/>
      <c r="M10" s="16"/>
      <c r="R10" s="1">
        <f>IF(vend14[[#This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10481</v>
      </c>
      <c r="F11" s="24" t="s">
        <v>254</v>
      </c>
      <c r="G11" s="25" t="s">
        <v>10</v>
      </c>
      <c r="H11" s="8">
        <v>390</v>
      </c>
      <c r="I11" s="8">
        <v>390</v>
      </c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600</v>
      </c>
      <c r="D12" s="2"/>
      <c r="E12" s="90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30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390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1020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IF(vend14[[#This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1020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3" zoomScale="90" zoomScaleNormal="9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'14'!B1+1</f>
        <v>45762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679.9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1424.4699999999998</v>
      </c>
      <c r="D6" s="2"/>
      <c r="E6" s="90">
        <v>10848</v>
      </c>
      <c r="F6" s="24" t="s">
        <v>255</v>
      </c>
      <c r="G6" s="43" t="s">
        <v>10</v>
      </c>
      <c r="H6" s="8">
        <v>160</v>
      </c>
      <c r="I6" s="8">
        <v>160</v>
      </c>
      <c r="J6" s="2"/>
      <c r="K6" s="104" t="s">
        <v>57</v>
      </c>
      <c r="L6" s="105" t="s">
        <v>7</v>
      </c>
      <c r="M6" s="46">
        <v>10.98</v>
      </c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10.98</v>
      </c>
      <c r="D7" s="2"/>
      <c r="E7" s="90">
        <v>10847</v>
      </c>
      <c r="F7" s="24" t="s">
        <v>256</v>
      </c>
      <c r="G7" s="43" t="s">
        <v>7</v>
      </c>
      <c r="H7" s="8">
        <v>450</v>
      </c>
      <c r="I7" s="8">
        <v>450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1435.4499999999998</v>
      </c>
      <c r="D8" s="2"/>
      <c r="E8" s="90">
        <v>10846</v>
      </c>
      <c r="F8" s="24" t="s">
        <v>304</v>
      </c>
      <c r="G8" s="25" t="s">
        <v>10</v>
      </c>
      <c r="H8" s="8">
        <v>69.900000000000006</v>
      </c>
      <c r="I8" s="8">
        <v>69.900000000000006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90">
        <v>10845</v>
      </c>
      <c r="F9" s="24" t="s">
        <v>257</v>
      </c>
      <c r="G9" s="25" t="s">
        <v>39</v>
      </c>
      <c r="H9" s="8"/>
      <c r="I9" s="8"/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166.66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736.25</v>
      </c>
      <c r="D12" s="2"/>
      <c r="E12" s="90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521.55999999999995</v>
      </c>
      <c r="D15" s="2"/>
      <c r="E15" s="90"/>
      <c r="F15" s="24"/>
      <c r="G15" s="25"/>
      <c r="H15" s="8"/>
      <c r="I15" s="8"/>
      <c r="J15" s="2"/>
      <c r="K15" s="98">
        <v>10818</v>
      </c>
      <c r="L15" s="9" t="s">
        <v>133</v>
      </c>
      <c r="M15" s="63" t="s">
        <v>148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1424.4699999999998</v>
      </c>
      <c r="D16" s="2"/>
      <c r="E16" s="90"/>
      <c r="F16" s="24"/>
      <c r="G16" s="25"/>
      <c r="H16" s="8"/>
      <c r="I16" s="8"/>
      <c r="J16" s="2"/>
      <c r="K16" s="98">
        <v>10818</v>
      </c>
      <c r="L16" s="9" t="s">
        <v>133</v>
      </c>
      <c r="M16" s="16" t="s">
        <v>148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8932</v>
      </c>
      <c r="L17" s="9" t="s">
        <v>135</v>
      </c>
      <c r="M17" s="16" t="s">
        <v>148</v>
      </c>
      <c r="R17" s="1">
        <f>IF(vend15[[#This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10784</v>
      </c>
      <c r="L18" s="9" t="s">
        <v>135</v>
      </c>
      <c r="M18" s="16" t="s">
        <v>148</v>
      </c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0"/>
      <c r="F19" s="24"/>
      <c r="G19" s="25"/>
      <c r="H19" s="8"/>
      <c r="I19" s="8"/>
      <c r="J19" s="2"/>
      <c r="K19" s="98">
        <v>10822</v>
      </c>
      <c r="L19" s="9" t="s">
        <v>133</v>
      </c>
      <c r="M19" s="63" t="s">
        <v>148</v>
      </c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10848</v>
      </c>
      <c r="L20" s="9" t="s">
        <v>135</v>
      </c>
      <c r="M20" s="16" t="s">
        <v>148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10846</v>
      </c>
      <c r="L21" s="9" t="s">
        <v>135</v>
      </c>
      <c r="M21" s="16" t="s">
        <v>148</v>
      </c>
    </row>
    <row r="22" spans="2:18" ht="15.75" x14ac:dyDescent="0.25">
      <c r="B22" s="27" t="s">
        <v>26</v>
      </c>
      <c r="C22" s="31">
        <f>C5</f>
        <v>679.9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9764</v>
      </c>
      <c r="F35" s="24" t="s">
        <v>253</v>
      </c>
      <c r="G35" s="25" t="s">
        <v>6</v>
      </c>
      <c r="H35" s="8">
        <v>166.66</v>
      </c>
      <c r="I35" s="8" t="s">
        <v>58</v>
      </c>
      <c r="K35" s="98"/>
      <c r="L35" s="40"/>
      <c r="M35" s="16"/>
    </row>
    <row r="36" spans="2:18" ht="15.75" x14ac:dyDescent="0.25">
      <c r="E36" s="94">
        <v>9746</v>
      </c>
      <c r="F36" s="24" t="s">
        <v>150</v>
      </c>
      <c r="G36" s="25" t="s">
        <v>7</v>
      </c>
      <c r="H36" s="8">
        <v>61.25</v>
      </c>
      <c r="I36" s="8" t="s">
        <v>50</v>
      </c>
      <c r="K36" s="98"/>
      <c r="L36" s="40"/>
      <c r="M36" s="16"/>
    </row>
    <row r="37" spans="2:18" ht="15.75" x14ac:dyDescent="0.25">
      <c r="E37" s="90">
        <v>9686</v>
      </c>
      <c r="F37" s="24" t="s">
        <v>150</v>
      </c>
      <c r="G37" s="25" t="s">
        <v>7</v>
      </c>
      <c r="H37" s="8">
        <v>225</v>
      </c>
      <c r="I37" s="8" t="s">
        <v>50</v>
      </c>
      <c r="K37" s="98"/>
      <c r="L37" s="40"/>
      <c r="M37" s="16"/>
    </row>
    <row r="38" spans="2:18" ht="15.75" x14ac:dyDescent="0.25">
      <c r="E38" s="90">
        <v>9816</v>
      </c>
      <c r="F38" s="24" t="s">
        <v>258</v>
      </c>
      <c r="G38" s="25" t="s">
        <v>10</v>
      </c>
      <c r="H38" s="8">
        <v>156.66</v>
      </c>
      <c r="I38" s="8" t="s">
        <v>58</v>
      </c>
      <c r="K38" s="98"/>
      <c r="L38" s="40"/>
      <c r="M38" s="16"/>
    </row>
    <row r="39" spans="2:18" ht="15.75" x14ac:dyDescent="0.25">
      <c r="E39" s="90">
        <v>10500</v>
      </c>
      <c r="F39" s="38" t="s">
        <v>259</v>
      </c>
      <c r="G39" s="25" t="s">
        <v>10</v>
      </c>
      <c r="H39" s="8">
        <v>135</v>
      </c>
      <c r="I39" s="8" t="s">
        <v>66</v>
      </c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'15'!B1+1</f>
        <v>45763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2370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2413.5700000000002</v>
      </c>
      <c r="D6" s="2"/>
      <c r="E6" s="90">
        <v>10849</v>
      </c>
      <c r="F6" s="24" t="s">
        <v>261</v>
      </c>
      <c r="G6" s="43" t="s">
        <v>6</v>
      </c>
      <c r="H6" s="8">
        <v>40</v>
      </c>
      <c r="I6" s="8">
        <v>40</v>
      </c>
      <c r="J6" s="2"/>
      <c r="K6" s="24" t="s">
        <v>264</v>
      </c>
      <c r="L6" s="9" t="s">
        <v>10</v>
      </c>
      <c r="M6" s="16">
        <v>1.92</v>
      </c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1.92</v>
      </c>
      <c r="D7" s="2"/>
      <c r="E7" s="90">
        <v>10850</v>
      </c>
      <c r="F7" s="24" t="s">
        <v>229</v>
      </c>
      <c r="G7" s="43" t="s">
        <v>39</v>
      </c>
      <c r="H7" s="8"/>
      <c r="I7" s="8"/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2415.4900000000002</v>
      </c>
      <c r="D8" s="2"/>
      <c r="E8" s="90">
        <v>10851</v>
      </c>
      <c r="F8" s="24" t="s">
        <v>162</v>
      </c>
      <c r="G8" s="25"/>
      <c r="H8" s="8">
        <v>150</v>
      </c>
      <c r="I8" s="8"/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0">
        <v>10852</v>
      </c>
      <c r="F9" s="24" t="s">
        <v>262</v>
      </c>
      <c r="G9" s="25" t="s">
        <v>8</v>
      </c>
      <c r="H9" s="8">
        <v>600</v>
      </c>
      <c r="I9" s="8">
        <v>600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10853</v>
      </c>
      <c r="F10" s="24" t="s">
        <v>262</v>
      </c>
      <c r="G10" s="25" t="s">
        <v>8</v>
      </c>
      <c r="H10" s="8">
        <v>600</v>
      </c>
      <c r="I10" s="8">
        <v>600</v>
      </c>
      <c r="J10" s="2"/>
      <c r="K10" s="24"/>
      <c r="L10" s="9"/>
      <c r="M10" s="16"/>
      <c r="R10" s="1">
        <f>IF(vend16[[#This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40</v>
      </c>
      <c r="D11" s="2"/>
      <c r="E11" s="90">
        <v>10854</v>
      </c>
      <c r="F11" s="24" t="s">
        <v>263</v>
      </c>
      <c r="G11" s="25" t="s">
        <v>39</v>
      </c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298.57</v>
      </c>
      <c r="D12" s="2"/>
      <c r="E12" s="90">
        <v>10855</v>
      </c>
      <c r="F12" s="24" t="s">
        <v>265</v>
      </c>
      <c r="G12" s="25" t="s">
        <v>8</v>
      </c>
      <c r="H12" s="8">
        <v>800</v>
      </c>
      <c r="I12" s="8">
        <v>800</v>
      </c>
      <c r="J12" s="2"/>
      <c r="R12" s="1">
        <f>IF(vend16[[#This Row],[Nº Venda]]&gt;1,1,0)</f>
        <v>1</v>
      </c>
    </row>
    <row r="13" spans="2:18" ht="15.75" x14ac:dyDescent="0.25">
      <c r="B13" s="29" t="s">
        <v>8</v>
      </c>
      <c r="C13" s="30">
        <f t="shared" si="0"/>
        <v>2000</v>
      </c>
      <c r="D13" s="2"/>
      <c r="E13" s="91">
        <v>10856</v>
      </c>
      <c r="F13" s="24" t="s">
        <v>267</v>
      </c>
      <c r="G13" s="25" t="s">
        <v>10</v>
      </c>
      <c r="H13" s="8">
        <v>150</v>
      </c>
      <c r="I13" s="8">
        <v>75</v>
      </c>
      <c r="J13" s="2"/>
      <c r="K13" s="115" t="s">
        <v>22</v>
      </c>
      <c r="L13" s="116"/>
      <c r="M13" s="117"/>
      <c r="R13" s="1">
        <f>IF(vend16[[#This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>
        <v>10857</v>
      </c>
      <c r="F14" s="24" t="s">
        <v>178</v>
      </c>
      <c r="G14" s="25" t="s">
        <v>7</v>
      </c>
      <c r="H14" s="8">
        <v>30</v>
      </c>
      <c r="I14" s="8">
        <v>30</v>
      </c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1</v>
      </c>
    </row>
    <row r="15" spans="2:18" ht="15.75" x14ac:dyDescent="0.25">
      <c r="B15" s="29" t="s">
        <v>10</v>
      </c>
      <c r="C15" s="30">
        <f t="shared" si="0"/>
        <v>75</v>
      </c>
      <c r="D15" s="2"/>
      <c r="E15" s="90"/>
      <c r="F15" s="24"/>
      <c r="G15" s="25"/>
      <c r="H15" s="8"/>
      <c r="I15" s="8"/>
      <c r="J15" s="2"/>
      <c r="K15" s="98">
        <v>10720</v>
      </c>
      <c r="L15" s="9" t="s">
        <v>133</v>
      </c>
      <c r="M15" s="16" t="s">
        <v>148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2413.5700000000002</v>
      </c>
      <c r="D16" s="2"/>
      <c r="E16" s="90"/>
      <c r="F16" s="24"/>
      <c r="G16" s="25"/>
      <c r="H16" s="8"/>
      <c r="I16" s="8"/>
      <c r="J16" s="2"/>
      <c r="K16" s="98">
        <v>10719</v>
      </c>
      <c r="L16" s="9" t="s">
        <v>133</v>
      </c>
      <c r="M16" s="16" t="s">
        <v>148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10774</v>
      </c>
      <c r="L17" s="9" t="s">
        <v>133</v>
      </c>
      <c r="M17" s="63" t="s">
        <v>148</v>
      </c>
      <c r="R17" s="1">
        <f>IF(vend16[[#This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10816</v>
      </c>
      <c r="L18" s="9" t="s">
        <v>135</v>
      </c>
      <c r="M18" s="16" t="s">
        <v>148</v>
      </c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0"/>
      <c r="F19" s="24"/>
      <c r="G19" s="25"/>
      <c r="H19" s="8"/>
      <c r="I19" s="8"/>
      <c r="J19" s="2"/>
      <c r="K19" s="98">
        <v>10745</v>
      </c>
      <c r="L19" s="9" t="s">
        <v>135</v>
      </c>
      <c r="M19" s="16" t="s">
        <v>170</v>
      </c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10844</v>
      </c>
      <c r="L20" s="9" t="s">
        <v>133</v>
      </c>
      <c r="M20" s="16" t="s">
        <v>148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10857</v>
      </c>
      <c r="L21" s="9" t="s">
        <v>135</v>
      </c>
      <c r="M21" s="16" t="s">
        <v>148</v>
      </c>
    </row>
    <row r="22" spans="2:18" ht="15.75" x14ac:dyDescent="0.25">
      <c r="B22" s="27" t="s">
        <v>26</v>
      </c>
      <c r="C22" s="31">
        <f>C5</f>
        <v>2370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10745</v>
      </c>
      <c r="F26" s="24" t="s">
        <v>266</v>
      </c>
      <c r="G26" s="43" t="s">
        <v>7</v>
      </c>
      <c r="H26" s="8">
        <v>150</v>
      </c>
      <c r="I26" s="8">
        <v>150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9894</v>
      </c>
      <c r="F35" s="24" t="s">
        <v>260</v>
      </c>
      <c r="G35" s="25" t="s">
        <v>7</v>
      </c>
      <c r="H35" s="8">
        <v>118.57</v>
      </c>
      <c r="I35" s="8" t="s">
        <v>59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8" zoomScale="90" zoomScaleNormal="90" workbookViewId="0">
      <selection activeCell="E36" sqref="E36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45764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1394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864</v>
      </c>
      <c r="D6" s="2"/>
      <c r="E6" s="90">
        <v>10858</v>
      </c>
      <c r="F6" s="24" t="s">
        <v>270</v>
      </c>
      <c r="G6" s="25" t="s">
        <v>6</v>
      </c>
      <c r="H6" s="8">
        <v>879</v>
      </c>
      <c r="I6" s="8">
        <v>200</v>
      </c>
      <c r="J6" s="2"/>
      <c r="K6" s="24" t="s">
        <v>268</v>
      </c>
      <c r="L6" s="9" t="s">
        <v>10</v>
      </c>
      <c r="M6" s="16">
        <v>2.75</v>
      </c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2.75</v>
      </c>
      <c r="D7" s="2"/>
      <c r="E7" s="90">
        <v>10859</v>
      </c>
      <c r="F7" s="24" t="s">
        <v>272</v>
      </c>
      <c r="G7" s="25" t="s">
        <v>10</v>
      </c>
      <c r="H7" s="8">
        <v>50</v>
      </c>
      <c r="I7" s="8">
        <v>50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866.75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664</v>
      </c>
      <c r="D15" s="2"/>
      <c r="E15" s="90"/>
      <c r="F15" s="24"/>
      <c r="G15" s="25"/>
      <c r="H15" s="8"/>
      <c r="I15" s="8"/>
      <c r="J15" s="2"/>
      <c r="K15" s="98">
        <v>10629</v>
      </c>
      <c r="L15" s="9" t="s">
        <v>128</v>
      </c>
      <c r="M15" s="16" t="s">
        <v>148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864</v>
      </c>
      <c r="D16" s="2"/>
      <c r="E16" s="90"/>
      <c r="F16" s="24"/>
      <c r="G16" s="25"/>
      <c r="H16" s="8"/>
      <c r="I16" s="8"/>
      <c r="J16" s="2"/>
      <c r="K16" s="98">
        <v>10757</v>
      </c>
      <c r="L16" s="9" t="s">
        <v>135</v>
      </c>
      <c r="M16" s="16" t="s">
        <v>170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10843</v>
      </c>
      <c r="L17" s="9" t="s">
        <v>133</v>
      </c>
      <c r="M17" s="16" t="s">
        <v>148</v>
      </c>
      <c r="R17" s="1">
        <f>IF(vend17[[#This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10859</v>
      </c>
      <c r="L18" s="9" t="s">
        <v>133</v>
      </c>
      <c r="M18" s="16" t="s">
        <v>148</v>
      </c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0"/>
      <c r="F19" s="24"/>
      <c r="G19" s="25"/>
      <c r="H19" s="8"/>
      <c r="I19" s="8"/>
      <c r="J19" s="2"/>
      <c r="K19" s="98">
        <v>10856</v>
      </c>
      <c r="L19" s="9" t="s">
        <v>135</v>
      </c>
      <c r="M19" s="16" t="s">
        <v>148</v>
      </c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10699</v>
      </c>
      <c r="L20" s="9" t="s">
        <v>135</v>
      </c>
      <c r="M20" s="16" t="s">
        <v>148</v>
      </c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1394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10629</v>
      </c>
      <c r="F26" s="24" t="s">
        <v>269</v>
      </c>
      <c r="G26" s="25" t="s">
        <v>10</v>
      </c>
      <c r="H26" s="8">
        <v>390</v>
      </c>
      <c r="I26" s="8">
        <v>390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10856</v>
      </c>
      <c r="F27" s="24" t="s">
        <v>267</v>
      </c>
      <c r="G27" s="25" t="s">
        <v>10</v>
      </c>
      <c r="H27" s="8">
        <v>75</v>
      </c>
      <c r="I27" s="8">
        <v>75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10500</v>
      </c>
      <c r="F35" s="24" t="s">
        <v>271</v>
      </c>
      <c r="G35" s="25" t="s">
        <v>10</v>
      </c>
      <c r="H35" s="8">
        <v>149</v>
      </c>
      <c r="I35" s="8" t="s">
        <v>68</v>
      </c>
      <c r="K35" s="98"/>
      <c r="L35" s="40"/>
      <c r="M35" s="16"/>
    </row>
    <row r="36" spans="2:18" ht="15" x14ac:dyDescent="0.25">
      <c r="K36" s="98"/>
      <c r="L36" s="40"/>
      <c r="M36" s="16"/>
    </row>
    <row r="37" spans="2:18" ht="15" x14ac:dyDescent="0.25"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 G38:G41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K15:K31 K35:K41 E35 E38:E41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I38:I41 I35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3" zoomScale="90" zoomScaleNormal="9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'17'!B1+1</f>
        <v>45765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55"/>
      <c r="G6" s="82"/>
      <c r="H6" s="66"/>
      <c r="I6" s="66"/>
      <c r="J6" s="2"/>
      <c r="K6" s="24"/>
      <c r="L6" s="61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IF(vend18[[#This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59"/>
      <c r="F23" s="59"/>
      <c r="G23" s="59"/>
      <c r="H23" s="60"/>
      <c r="I23" s="60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7">
        <f>'18'!B1+1</f>
        <v>45766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6738.9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7837.9</v>
      </c>
      <c r="D6" s="2"/>
      <c r="E6" s="90">
        <v>10860</v>
      </c>
      <c r="F6" s="24" t="s">
        <v>274</v>
      </c>
      <c r="G6" s="25" t="s">
        <v>7</v>
      </c>
      <c r="H6" s="8">
        <v>800</v>
      </c>
      <c r="I6" s="8">
        <v>800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10861</v>
      </c>
      <c r="F7" s="53" t="s">
        <v>276</v>
      </c>
      <c r="G7" s="53" t="s">
        <v>7</v>
      </c>
      <c r="H7" s="44">
        <v>220</v>
      </c>
      <c r="I7" s="44">
        <v>220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7837.9</v>
      </c>
      <c r="D8" s="2"/>
      <c r="E8" s="90">
        <v>10862</v>
      </c>
      <c r="F8" s="24" t="s">
        <v>277</v>
      </c>
      <c r="G8" s="25" t="s">
        <v>7</v>
      </c>
      <c r="H8" s="8">
        <v>700</v>
      </c>
      <c r="I8" s="8">
        <v>700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0">
        <v>10863</v>
      </c>
      <c r="F9" s="55" t="s">
        <v>278</v>
      </c>
      <c r="G9" s="82" t="s">
        <v>10</v>
      </c>
      <c r="H9" s="66">
        <v>1190</v>
      </c>
      <c r="I9" s="66">
        <v>1000</v>
      </c>
      <c r="J9" s="2"/>
      <c r="K9" s="24"/>
      <c r="L9" s="9"/>
      <c r="M9" s="16"/>
      <c r="R9" s="1">
        <f>IF(vend19[[#This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10863</v>
      </c>
      <c r="F10" s="55" t="s">
        <v>278</v>
      </c>
      <c r="G10" s="25" t="s">
        <v>8</v>
      </c>
      <c r="H10" s="8"/>
      <c r="I10" s="8">
        <v>190</v>
      </c>
      <c r="J10" s="2"/>
      <c r="K10" s="24"/>
      <c r="L10" s="9"/>
      <c r="M10" s="16"/>
      <c r="R10" s="1">
        <f>IF(vend19[[#This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10864</v>
      </c>
      <c r="F11" s="24" t="s">
        <v>278</v>
      </c>
      <c r="G11" s="25" t="s">
        <v>8</v>
      </c>
      <c r="H11" s="8">
        <v>400</v>
      </c>
      <c r="I11" s="8">
        <v>400</v>
      </c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2759.9</v>
      </c>
      <c r="D12" s="2"/>
      <c r="E12" s="90">
        <v>10865</v>
      </c>
      <c r="F12" s="24" t="s">
        <v>279</v>
      </c>
      <c r="G12" s="25" t="s">
        <v>7</v>
      </c>
      <c r="H12" s="8">
        <v>2218</v>
      </c>
      <c r="I12" s="8">
        <v>1000</v>
      </c>
      <c r="J12" s="2"/>
      <c r="R12" s="1">
        <f>IF(vend19[[#This Row],[Nº Venda]]&gt;1,1,0)</f>
        <v>1</v>
      </c>
    </row>
    <row r="13" spans="2:18" ht="15.75" x14ac:dyDescent="0.25">
      <c r="B13" s="29" t="s">
        <v>8</v>
      </c>
      <c r="C13" s="30">
        <f t="shared" si="0"/>
        <v>2979</v>
      </c>
      <c r="D13" s="2"/>
      <c r="E13" s="90">
        <v>10865</v>
      </c>
      <c r="F13" s="24" t="s">
        <v>279</v>
      </c>
      <c r="G13" s="25" t="s">
        <v>8</v>
      </c>
      <c r="H13" s="8"/>
      <c r="I13" s="8">
        <v>1218</v>
      </c>
      <c r="J13" s="2"/>
      <c r="K13" s="115" t="s">
        <v>22</v>
      </c>
      <c r="L13" s="116"/>
      <c r="M13" s="117"/>
      <c r="R13" s="1">
        <f>IF(vend19[[#This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>
        <v>10866</v>
      </c>
      <c r="F14" s="53" t="s">
        <v>279</v>
      </c>
      <c r="G14" s="53" t="s">
        <v>8</v>
      </c>
      <c r="H14" s="44">
        <v>572</v>
      </c>
      <c r="I14" s="44">
        <v>572</v>
      </c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1</v>
      </c>
    </row>
    <row r="15" spans="2:18" ht="15.75" x14ac:dyDescent="0.25">
      <c r="B15" s="29" t="s">
        <v>10</v>
      </c>
      <c r="C15" s="30">
        <f t="shared" si="0"/>
        <v>2099</v>
      </c>
      <c r="D15" s="2"/>
      <c r="E15" s="90">
        <v>10867</v>
      </c>
      <c r="F15" s="24" t="s">
        <v>283</v>
      </c>
      <c r="G15" s="25" t="s">
        <v>8</v>
      </c>
      <c r="H15" s="8">
        <v>599</v>
      </c>
      <c r="I15" s="8">
        <v>599</v>
      </c>
      <c r="J15" s="2"/>
      <c r="K15" s="98">
        <v>10861</v>
      </c>
      <c r="L15" s="9" t="s">
        <v>139</v>
      </c>
      <c r="M15" s="16" t="s">
        <v>148</v>
      </c>
      <c r="R15" s="1">
        <f>IF(vend19[[#This Row],[Nº Venda]]&gt;1,1,0)</f>
        <v>1</v>
      </c>
    </row>
    <row r="16" spans="2:18" ht="15.75" x14ac:dyDescent="0.25">
      <c r="B16" s="27" t="s">
        <v>11</v>
      </c>
      <c r="C16" s="31">
        <f>SUM(C11:C15)</f>
        <v>7837.9</v>
      </c>
      <c r="D16" s="2"/>
      <c r="E16" s="90">
        <v>10868</v>
      </c>
      <c r="F16" s="24" t="s">
        <v>275</v>
      </c>
      <c r="G16" s="25" t="s">
        <v>7</v>
      </c>
      <c r="H16" s="62">
        <v>39.9</v>
      </c>
      <c r="I16" s="8">
        <v>39.9</v>
      </c>
      <c r="J16" s="2"/>
      <c r="K16" s="98">
        <v>10868</v>
      </c>
      <c r="L16" s="9" t="s">
        <v>135</v>
      </c>
      <c r="M16" s="16" t="s">
        <v>148</v>
      </c>
      <c r="R16" s="1">
        <f>IF(vend19[[#This Row],[Nº Venda]]&gt;1,1,0)</f>
        <v>1</v>
      </c>
    </row>
    <row r="17" spans="2:22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10840</v>
      </c>
      <c r="L17" s="9" t="s">
        <v>133</v>
      </c>
      <c r="M17" s="16" t="s">
        <v>148</v>
      </c>
      <c r="R17" s="1">
        <f>IF(vend19[[#This Row],[Nº Venda]]&gt;1,1,0)</f>
        <v>0</v>
      </c>
    </row>
    <row r="18" spans="2:22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10851</v>
      </c>
      <c r="L18" s="9" t="s">
        <v>133</v>
      </c>
      <c r="M18" s="16" t="s">
        <v>148</v>
      </c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0"/>
      <c r="F19" s="24"/>
      <c r="G19" s="25"/>
      <c r="H19" s="8"/>
      <c r="I19" s="8"/>
      <c r="J19" s="2"/>
      <c r="K19" s="98">
        <v>10861</v>
      </c>
      <c r="L19" s="9" t="s">
        <v>133</v>
      </c>
      <c r="M19" s="16" t="s">
        <v>148</v>
      </c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10780</v>
      </c>
      <c r="L20" s="9" t="s">
        <v>133</v>
      </c>
      <c r="M20" s="16" t="s">
        <v>148</v>
      </c>
      <c r="R20" s="1">
        <f>IF(vend19[[#This Row],[Nº Venda]]&gt;1,1,0)</f>
        <v>0</v>
      </c>
      <c r="V20" s="1" t="s">
        <v>57</v>
      </c>
    </row>
    <row r="21" spans="2:22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22" ht="15.75" x14ac:dyDescent="0.25">
      <c r="B22" s="27" t="s">
        <v>26</v>
      </c>
      <c r="C22" s="31">
        <f>C5</f>
        <v>6738.9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22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22" ht="15.75" x14ac:dyDescent="0.25">
      <c r="B26" s="2"/>
      <c r="C26" s="2"/>
      <c r="D26" s="2"/>
      <c r="E26" s="90"/>
      <c r="F26" s="38"/>
      <c r="G26" s="25"/>
      <c r="H26" s="8"/>
      <c r="I26" s="8"/>
      <c r="J26" s="2"/>
      <c r="K26" s="98"/>
      <c r="L26" s="9"/>
      <c r="M26" s="16"/>
    </row>
    <row r="27" spans="2:22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22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22" ht="15.75" x14ac:dyDescent="0.25">
      <c r="B29" s="2"/>
      <c r="C29" s="2"/>
      <c r="D29" s="2"/>
      <c r="E29" s="90"/>
      <c r="F29" s="24"/>
      <c r="G29" s="83"/>
      <c r="H29" s="25"/>
      <c r="I29" s="8"/>
      <c r="J29" s="2"/>
      <c r="K29" s="98"/>
      <c r="L29" s="9"/>
      <c r="M29" s="16"/>
    </row>
    <row r="30" spans="2:22" ht="15.75" x14ac:dyDescent="0.25">
      <c r="B30" s="2"/>
      <c r="C30" s="2"/>
      <c r="D30" s="2"/>
      <c r="E30" s="90"/>
      <c r="F30" s="24"/>
      <c r="G30" s="25"/>
      <c r="H30" s="8"/>
      <c r="I30" s="8"/>
      <c r="J30" s="2"/>
      <c r="K30" s="98"/>
      <c r="L30" s="9"/>
      <c r="M30" s="16"/>
    </row>
    <row r="31" spans="2:22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9565</v>
      </c>
      <c r="F35" s="24" t="s">
        <v>273</v>
      </c>
      <c r="G35" s="25" t="s">
        <v>10</v>
      </c>
      <c r="H35" s="8">
        <v>100</v>
      </c>
      <c r="I35" s="8" t="s">
        <v>50</v>
      </c>
      <c r="K35" s="98"/>
      <c r="L35" s="40"/>
      <c r="M35" s="16"/>
    </row>
    <row r="36" spans="2:18" ht="15.75" x14ac:dyDescent="0.25">
      <c r="E36" s="94">
        <v>10071</v>
      </c>
      <c r="F36" s="106" t="s">
        <v>280</v>
      </c>
      <c r="G36" s="83" t="s">
        <v>10</v>
      </c>
      <c r="H36" s="85">
        <v>135</v>
      </c>
      <c r="I36" s="8" t="s">
        <v>44</v>
      </c>
      <c r="K36" s="98"/>
      <c r="L36" s="40"/>
      <c r="M36" s="16"/>
    </row>
    <row r="37" spans="2:18" ht="15.75" x14ac:dyDescent="0.25">
      <c r="E37" s="94">
        <v>10071</v>
      </c>
      <c r="F37" s="106" t="s">
        <v>280</v>
      </c>
      <c r="G37" s="83" t="s">
        <v>10</v>
      </c>
      <c r="H37" s="85">
        <v>135</v>
      </c>
      <c r="I37" s="8" t="s">
        <v>79</v>
      </c>
      <c r="K37" s="98"/>
      <c r="L37" s="40"/>
      <c r="M37" s="16"/>
    </row>
    <row r="38" spans="2:18" ht="15.75" x14ac:dyDescent="0.25">
      <c r="E38" s="90">
        <v>9750</v>
      </c>
      <c r="F38" s="24" t="s">
        <v>281</v>
      </c>
      <c r="G38" s="25" t="s">
        <v>10</v>
      </c>
      <c r="H38" s="8">
        <v>189.5</v>
      </c>
      <c r="I38" s="8" t="s">
        <v>97</v>
      </c>
      <c r="K38" s="98"/>
      <c r="L38" s="40"/>
      <c r="M38" s="16"/>
    </row>
    <row r="39" spans="2:18" ht="15.75" x14ac:dyDescent="0.25">
      <c r="E39" s="90">
        <v>10105</v>
      </c>
      <c r="F39" s="38" t="s">
        <v>282</v>
      </c>
      <c r="G39" s="25" t="s">
        <v>10</v>
      </c>
      <c r="H39" s="8">
        <v>350</v>
      </c>
      <c r="I39" s="8" t="s">
        <v>95</v>
      </c>
      <c r="K39" s="98"/>
      <c r="L39" s="40"/>
      <c r="M39" s="16"/>
    </row>
    <row r="40" spans="2:18" ht="15.75" x14ac:dyDescent="0.25">
      <c r="E40" s="90">
        <v>9750</v>
      </c>
      <c r="F40" s="24" t="s">
        <v>281</v>
      </c>
      <c r="G40" s="25" t="s">
        <v>10</v>
      </c>
      <c r="H40" s="8">
        <v>189.5</v>
      </c>
      <c r="I40" s="8" t="s">
        <v>98</v>
      </c>
      <c r="K40" s="99"/>
      <c r="L40" s="41"/>
      <c r="M40" s="39"/>
      <c r="Q40" s="1" t="s">
        <v>36</v>
      </c>
      <c r="R40" s="1">
        <f>SUM(R6:R21)</f>
        <v>11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G30:G31 H29 G26:G28 G35:G41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K15:K31 E26:E31 E6:E22 K35:K41 E35:E41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 G8:G13 G15:G22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3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'19'!B1+1</f>
        <v>45767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63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IF(vend20[[#This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63"/>
    </row>
    <row r="36" spans="2:18" ht="15.75" x14ac:dyDescent="0.25">
      <c r="E36" s="94"/>
      <c r="F36" s="24"/>
      <c r="G36" s="25"/>
      <c r="H36" s="8"/>
      <c r="I36" s="8"/>
      <c r="K36" s="98"/>
      <c r="L36" s="64"/>
      <c r="M36" s="63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6" zoomScale="90" zoomScaleNormal="9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45768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1980</v>
      </c>
      <c r="D6" s="2"/>
      <c r="E6" s="90">
        <v>10869</v>
      </c>
      <c r="F6" s="24" t="s">
        <v>284</v>
      </c>
      <c r="G6" s="25" t="s">
        <v>8</v>
      </c>
      <c r="H6" s="8">
        <v>799</v>
      </c>
      <c r="I6" s="8">
        <v>799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10870</v>
      </c>
      <c r="F7" s="24" t="s">
        <v>284</v>
      </c>
      <c r="G7" s="25" t="s">
        <v>8</v>
      </c>
      <c r="H7" s="8">
        <v>182</v>
      </c>
      <c r="I7" s="8">
        <v>182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1980</v>
      </c>
      <c r="D8" s="2"/>
      <c r="E8" s="90">
        <v>10871</v>
      </c>
      <c r="F8" s="24" t="s">
        <v>285</v>
      </c>
      <c r="G8" s="25" t="s">
        <v>8</v>
      </c>
      <c r="H8" s="8">
        <v>799</v>
      </c>
      <c r="I8" s="8">
        <v>799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90">
        <v>10872</v>
      </c>
      <c r="F9" s="24" t="s">
        <v>285</v>
      </c>
      <c r="G9" s="25" t="s">
        <v>8</v>
      </c>
      <c r="H9" s="8">
        <v>200</v>
      </c>
      <c r="I9" s="8">
        <v>200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1980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1980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IF(vend21[[#This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1980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3" zoomScale="90" zoomScaleNormal="9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45769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7931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3191</v>
      </c>
      <c r="D6" s="2"/>
      <c r="E6" s="90">
        <v>10873</v>
      </c>
      <c r="F6" s="24" t="s">
        <v>286</v>
      </c>
      <c r="G6" s="25" t="s">
        <v>10</v>
      </c>
      <c r="H6" s="8">
        <v>800</v>
      </c>
      <c r="I6" s="8">
        <v>800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10876</v>
      </c>
      <c r="F7" s="24" t="s">
        <v>287</v>
      </c>
      <c r="G7" s="25" t="s">
        <v>8</v>
      </c>
      <c r="H7" s="8">
        <v>552</v>
      </c>
      <c r="I7" s="8">
        <v>552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3191</v>
      </c>
      <c r="D8" s="2"/>
      <c r="E8" s="90">
        <v>10877</v>
      </c>
      <c r="F8" s="24" t="s">
        <v>288</v>
      </c>
      <c r="G8" s="25" t="s">
        <v>7</v>
      </c>
      <c r="H8" s="8">
        <v>3640</v>
      </c>
      <c r="I8" s="8">
        <v>400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90">
        <v>10878</v>
      </c>
      <c r="F9" s="24" t="s">
        <v>288</v>
      </c>
      <c r="G9" s="25" t="s">
        <v>7</v>
      </c>
      <c r="H9" s="8">
        <v>159</v>
      </c>
      <c r="I9" s="8">
        <v>59</v>
      </c>
      <c r="J9" s="2"/>
      <c r="K9" s="24"/>
      <c r="L9" s="9"/>
      <c r="M9" s="16"/>
      <c r="R9" s="1">
        <f>IF(vend22[[#This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10874</v>
      </c>
      <c r="F10" s="24" t="s">
        <v>289</v>
      </c>
      <c r="G10" s="25" t="s">
        <v>10</v>
      </c>
      <c r="H10" s="8">
        <v>2400</v>
      </c>
      <c r="I10" s="8">
        <v>1000</v>
      </c>
      <c r="J10" s="2"/>
      <c r="K10" s="24"/>
      <c r="L10" s="9"/>
      <c r="M10" s="16"/>
      <c r="R10" s="1">
        <f>IF(vend22[[#This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10875</v>
      </c>
      <c r="F11" s="24" t="s">
        <v>290</v>
      </c>
      <c r="G11" s="25" t="s">
        <v>8</v>
      </c>
      <c r="H11" s="8">
        <v>380</v>
      </c>
      <c r="I11" s="8">
        <v>380</v>
      </c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459</v>
      </c>
      <c r="D12" s="2"/>
      <c r="E12" s="90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932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1800</v>
      </c>
      <c r="D15" s="2"/>
      <c r="E15" s="90"/>
      <c r="F15" s="24"/>
      <c r="G15" s="25"/>
      <c r="H15" s="8"/>
      <c r="I15" s="8"/>
      <c r="J15" s="2"/>
      <c r="K15" s="98">
        <v>10673</v>
      </c>
      <c r="L15" s="9" t="s">
        <v>128</v>
      </c>
      <c r="M15" s="16" t="s">
        <v>148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3191</v>
      </c>
      <c r="D16" s="2"/>
      <c r="E16" s="90"/>
      <c r="F16" s="24"/>
      <c r="G16" s="25"/>
      <c r="H16" s="8"/>
      <c r="I16" s="8"/>
      <c r="J16" s="2"/>
      <c r="K16" s="98">
        <v>10850</v>
      </c>
      <c r="L16" s="9" t="s">
        <v>133</v>
      </c>
      <c r="M16" s="16" t="s">
        <v>148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IF(vend22[[#This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7931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" zoomScale="90" zoomScaleNormal="9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45770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1446.5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1446.5</v>
      </c>
      <c r="D6" s="2"/>
      <c r="E6" s="90">
        <v>10881</v>
      </c>
      <c r="F6" s="24" t="s">
        <v>291</v>
      </c>
      <c r="G6" s="25" t="s">
        <v>8</v>
      </c>
      <c r="H6" s="8">
        <v>170</v>
      </c>
      <c r="I6" s="8">
        <v>170</v>
      </c>
      <c r="J6" s="2"/>
      <c r="K6" s="24" t="s">
        <v>264</v>
      </c>
      <c r="L6" s="9" t="s">
        <v>10</v>
      </c>
      <c r="M6" s="16">
        <v>2.7</v>
      </c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2.7</v>
      </c>
      <c r="D7" s="2"/>
      <c r="E7" s="90">
        <v>10880</v>
      </c>
      <c r="F7" s="24" t="s">
        <v>292</v>
      </c>
      <c r="G7" s="25" t="s">
        <v>8</v>
      </c>
      <c r="H7" s="8">
        <v>700</v>
      </c>
      <c r="I7" s="8">
        <v>700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21</v>
      </c>
      <c r="C8" s="28">
        <f>SUM(C6:C7)</f>
        <v>1449.2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(SUMIF($G$2:$G$31,B11,$I$2:$I$31))+(SUMIF($G$35:$G$44,B11,$H$35:$H$44))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(SUMIF($G$2:$G$31,B12,$I$2:$I$31))+(SUMIF($G$35:$G$44,B12,$H$35:$H$44))</f>
        <v>76.5</v>
      </c>
      <c r="D12" s="2"/>
      <c r="E12" s="90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(SUMIF($G$2:$G$31,B13,$I$2:$I$31))+(SUMIF($G$35:$G$44,B13,$H$35:$H$44))</f>
        <v>1370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IF(vend23[[#This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(SUMIF($G$2:$G$31,B14,$I$2:$I$31))+(SUMIF($G$35:$G$44,B14,$H$35:$H$44))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(SUMIF($G$2:$G$31,B15,$I$2:$I$31))+(SUMIF($G$35:$G$44,B15,$H$35:$H$44))</f>
        <v>0</v>
      </c>
      <c r="D15" s="2"/>
      <c r="E15" s="90"/>
      <c r="F15" s="24"/>
      <c r="G15" s="25"/>
      <c r="H15" s="8"/>
      <c r="I15" s="8"/>
      <c r="J15" s="2"/>
      <c r="K15" s="98">
        <v>10834</v>
      </c>
      <c r="L15" s="9" t="s">
        <v>133</v>
      </c>
      <c r="M15" s="16" t="s">
        <v>148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1446.5</v>
      </c>
      <c r="D16" s="2"/>
      <c r="E16" s="90"/>
      <c r="F16" s="24"/>
      <c r="G16" s="25"/>
      <c r="H16" s="8"/>
      <c r="I16" s="8"/>
      <c r="J16" s="2"/>
      <c r="K16" s="98">
        <v>10700</v>
      </c>
      <c r="L16" s="9" t="s">
        <v>135</v>
      </c>
      <c r="M16" s="16" t="s">
        <v>148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10701</v>
      </c>
      <c r="L17" s="9" t="s">
        <v>135</v>
      </c>
      <c r="M17" s="16" t="s">
        <v>148</v>
      </c>
      <c r="R17" s="1">
        <f>IF(vend23[[#This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10881</v>
      </c>
      <c r="L18" s="9" t="s">
        <v>139</v>
      </c>
      <c r="M18" s="16" t="s">
        <v>148</v>
      </c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0"/>
      <c r="F19" s="24"/>
      <c r="G19" s="25"/>
      <c r="H19" s="8"/>
      <c r="I19" s="8"/>
      <c r="J19" s="2"/>
      <c r="K19" s="98">
        <v>10796</v>
      </c>
      <c r="L19" s="9" t="s">
        <v>139</v>
      </c>
      <c r="M19" s="16" t="s">
        <v>148</v>
      </c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1446.5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10835</v>
      </c>
      <c r="F26" s="24" t="s">
        <v>246</v>
      </c>
      <c r="G26" s="25" t="s">
        <v>8</v>
      </c>
      <c r="H26" s="8">
        <v>100</v>
      </c>
      <c r="I26" s="8">
        <v>100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10834</v>
      </c>
      <c r="F27" s="24" t="s">
        <v>246</v>
      </c>
      <c r="G27" s="25" t="s">
        <v>8</v>
      </c>
      <c r="H27" s="8">
        <v>400</v>
      </c>
      <c r="I27" s="8">
        <v>400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>
        <v>10796</v>
      </c>
      <c r="F28" s="24" t="s">
        <v>183</v>
      </c>
      <c r="G28" s="25" t="s">
        <v>7</v>
      </c>
      <c r="H28" s="8">
        <v>76.5</v>
      </c>
      <c r="I28" s="8">
        <v>76.5</v>
      </c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5"/>
      <c r="F41" s="38"/>
      <c r="G41" s="25"/>
      <c r="H41" s="8"/>
      <c r="I41" s="8"/>
      <c r="K41" s="98"/>
      <c r="L41" s="40"/>
      <c r="M41" s="39"/>
    </row>
    <row r="42" spans="2:18" ht="15.75" x14ac:dyDescent="0.25">
      <c r="E42" s="86"/>
      <c r="F42" s="71"/>
      <c r="G42" s="72"/>
      <c r="H42" s="73"/>
      <c r="I42" s="17"/>
    </row>
    <row r="43" spans="2:18" ht="15.75" x14ac:dyDescent="0.25">
      <c r="E43" s="86"/>
      <c r="F43" s="84"/>
      <c r="G43" s="83"/>
      <c r="H43" s="85"/>
      <c r="I43" s="8"/>
    </row>
    <row r="44" spans="2:18" ht="15.75" x14ac:dyDescent="0.25">
      <c r="E44" s="87"/>
      <c r="F44" s="71"/>
      <c r="G44" s="72"/>
      <c r="H44" s="73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G35:G44 G26:G31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45771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3423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2596.33</v>
      </c>
      <c r="D6" s="2"/>
      <c r="E6" s="90">
        <v>10882</v>
      </c>
      <c r="F6" s="24" t="s">
        <v>294</v>
      </c>
      <c r="G6" s="25" t="s">
        <v>7</v>
      </c>
      <c r="H6" s="8">
        <v>1500</v>
      </c>
      <c r="I6" s="8">
        <v>1500</v>
      </c>
      <c r="J6" s="2"/>
      <c r="K6" s="24" t="s">
        <v>264</v>
      </c>
      <c r="L6" s="9" t="s">
        <v>10</v>
      </c>
      <c r="M6" s="16">
        <v>2.64</v>
      </c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2.64</v>
      </c>
      <c r="D7" s="2"/>
      <c r="E7" s="90">
        <v>10883</v>
      </c>
      <c r="F7" s="24" t="s">
        <v>294</v>
      </c>
      <c r="G7" s="25" t="s">
        <v>7</v>
      </c>
      <c r="H7" s="8">
        <v>299</v>
      </c>
      <c r="I7" s="8">
        <v>299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2598.9699999999998</v>
      </c>
      <c r="D8" s="2"/>
      <c r="E8" s="90">
        <v>10884</v>
      </c>
      <c r="F8" s="24" t="s">
        <v>295</v>
      </c>
      <c r="G8" s="25" t="s">
        <v>7</v>
      </c>
      <c r="H8" s="8">
        <v>55</v>
      </c>
      <c r="I8" s="8">
        <v>55</v>
      </c>
      <c r="J8" s="2"/>
      <c r="K8" s="24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90">
        <v>10885</v>
      </c>
      <c r="F9" s="24" t="s">
        <v>296</v>
      </c>
      <c r="G9" s="25" t="s">
        <v>8</v>
      </c>
      <c r="H9" s="8">
        <v>400</v>
      </c>
      <c r="I9" s="8">
        <v>400</v>
      </c>
      <c r="J9" s="2"/>
      <c r="K9" s="24"/>
      <c r="L9" s="9"/>
      <c r="M9" s="16"/>
      <c r="R9" s="1">
        <f>IF(vend24[[#This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10886</v>
      </c>
      <c r="F10" s="24" t="s">
        <v>296</v>
      </c>
      <c r="G10" s="25" t="s">
        <v>8</v>
      </c>
      <c r="H10" s="8">
        <v>99</v>
      </c>
      <c r="I10" s="8">
        <v>99</v>
      </c>
      <c r="J10" s="2"/>
      <c r="K10" s="24"/>
      <c r="L10" s="9"/>
      <c r="M10" s="16"/>
      <c r="R10" s="1">
        <f>IF(vend24[[#This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140</v>
      </c>
      <c r="D11" s="2"/>
      <c r="E11" s="90">
        <v>10887</v>
      </c>
      <c r="F11" s="24" t="s">
        <v>297</v>
      </c>
      <c r="G11" s="25" t="s">
        <v>39</v>
      </c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1854</v>
      </c>
      <c r="D12" s="2"/>
      <c r="E12" s="90">
        <v>10888</v>
      </c>
      <c r="F12" s="24" t="s">
        <v>161</v>
      </c>
      <c r="G12" s="25" t="s">
        <v>8</v>
      </c>
      <c r="H12" s="8">
        <v>305.2</v>
      </c>
      <c r="I12" s="8">
        <v>0</v>
      </c>
      <c r="J12" s="2"/>
      <c r="R12" s="1">
        <f>IF(vend24[[#This Row],[Nº Venda]]&gt;1,1,0)</f>
        <v>1</v>
      </c>
    </row>
    <row r="13" spans="2:18" ht="15.75" x14ac:dyDescent="0.25">
      <c r="B13" s="29" t="s">
        <v>8</v>
      </c>
      <c r="C13" s="30">
        <f t="shared" si="0"/>
        <v>499</v>
      </c>
      <c r="D13" s="2"/>
      <c r="E13" s="91">
        <v>10889</v>
      </c>
      <c r="F13" s="24" t="s">
        <v>298</v>
      </c>
      <c r="G13" s="25" t="s">
        <v>6</v>
      </c>
      <c r="H13" s="8">
        <v>120</v>
      </c>
      <c r="I13" s="8">
        <v>120</v>
      </c>
      <c r="J13" s="2"/>
      <c r="K13" s="115" t="s">
        <v>22</v>
      </c>
      <c r="L13" s="116"/>
      <c r="M13" s="117"/>
      <c r="R13" s="1">
        <f>IF(vend24[[#This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>
        <v>10891</v>
      </c>
      <c r="F14" s="24" t="s">
        <v>299</v>
      </c>
      <c r="G14" s="25" t="s">
        <v>6</v>
      </c>
      <c r="H14" s="8">
        <v>950</v>
      </c>
      <c r="I14" s="8">
        <v>20</v>
      </c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1</v>
      </c>
    </row>
    <row r="15" spans="2:18" ht="15.75" x14ac:dyDescent="0.25">
      <c r="B15" s="29" t="s">
        <v>10</v>
      </c>
      <c r="C15" s="30">
        <f t="shared" si="0"/>
        <v>103.33</v>
      </c>
      <c r="D15" s="2"/>
      <c r="E15" s="90"/>
      <c r="F15" s="24"/>
      <c r="G15" s="25"/>
      <c r="H15" s="8"/>
      <c r="I15" s="8"/>
      <c r="J15" s="2"/>
      <c r="K15" s="98">
        <v>10839</v>
      </c>
      <c r="L15" s="9" t="s">
        <v>133</v>
      </c>
      <c r="M15" s="16" t="s">
        <v>148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2596.33</v>
      </c>
      <c r="D16" s="2"/>
      <c r="E16" s="90"/>
      <c r="F16" s="24"/>
      <c r="G16" s="25"/>
      <c r="H16" s="8"/>
      <c r="I16" s="8"/>
      <c r="J16" s="2"/>
      <c r="K16" s="98">
        <v>10829</v>
      </c>
      <c r="L16" s="9" t="s">
        <v>135</v>
      </c>
      <c r="M16" s="16" t="s">
        <v>148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10830</v>
      </c>
      <c r="L17" s="9" t="s">
        <v>135</v>
      </c>
      <c r="M17" s="16" t="s">
        <v>148</v>
      </c>
      <c r="R17" s="1">
        <f>IF(vend24[[#This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10837</v>
      </c>
      <c r="L18" s="9" t="s">
        <v>133</v>
      </c>
      <c r="M18" s="16" t="s">
        <v>148</v>
      </c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0"/>
      <c r="F19" s="24"/>
      <c r="G19" s="25"/>
      <c r="H19" s="8"/>
      <c r="I19" s="8"/>
      <c r="J19" s="2"/>
      <c r="K19" s="98">
        <v>10762</v>
      </c>
      <c r="L19" s="9" t="s">
        <v>135</v>
      </c>
      <c r="M19" s="16" t="s">
        <v>148</v>
      </c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3423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9973</v>
      </c>
      <c r="F35" s="24" t="s">
        <v>293</v>
      </c>
      <c r="G35" s="25" t="s">
        <v>10</v>
      </c>
      <c r="H35" s="8">
        <v>103.33</v>
      </c>
      <c r="I35" s="8" t="s">
        <v>80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45772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310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310</v>
      </c>
      <c r="D6" s="2"/>
      <c r="E6" s="90">
        <v>10892</v>
      </c>
      <c r="F6" s="24" t="s">
        <v>300</v>
      </c>
      <c r="G6" s="25" t="s">
        <v>39</v>
      </c>
      <c r="H6" s="8"/>
      <c r="I6" s="8"/>
      <c r="J6" s="2"/>
      <c r="K6" s="24" t="s">
        <v>264</v>
      </c>
      <c r="L6" s="9" t="s">
        <v>10</v>
      </c>
      <c r="M6" s="16">
        <v>2.84</v>
      </c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2.84</v>
      </c>
      <c r="D7" s="2"/>
      <c r="E7" s="90">
        <v>10893</v>
      </c>
      <c r="F7" s="24" t="s">
        <v>301</v>
      </c>
      <c r="G7" s="25" t="s">
        <v>8</v>
      </c>
      <c r="H7" s="8">
        <v>310</v>
      </c>
      <c r="I7" s="8">
        <v>310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 ca="1">SUM(C6:C7)</f>
        <v>312.83999999999997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90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310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90"/>
      <c r="F15" s="24"/>
      <c r="G15" s="25"/>
      <c r="H15" s="8"/>
      <c r="I15" s="8"/>
      <c r="J15" s="2"/>
      <c r="K15" s="98">
        <v>10821</v>
      </c>
      <c r="L15" s="9" t="s">
        <v>135</v>
      </c>
      <c r="M15" s="16" t="s">
        <v>170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310</v>
      </c>
      <c r="D16" s="2"/>
      <c r="E16" s="90"/>
      <c r="F16" s="24"/>
      <c r="G16" s="25"/>
      <c r="H16" s="8"/>
      <c r="I16" s="8"/>
      <c r="J16" s="2"/>
      <c r="K16" s="98">
        <v>10887</v>
      </c>
      <c r="L16" s="9" t="s">
        <v>133</v>
      </c>
      <c r="M16" s="16" t="s">
        <v>148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IF(vend25[[#This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1</v>
      </c>
      <c r="C19" s="30">
        <f>SUM(entr_carn25[Valor Total])</f>
        <v>349.3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349.3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310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68"/>
      <c r="I35" s="8"/>
      <c r="K35" s="98">
        <v>10821</v>
      </c>
      <c r="L35" s="40">
        <v>7</v>
      </c>
      <c r="M35" s="16">
        <v>349.3</v>
      </c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140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45773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4109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3432.7799999999997</v>
      </c>
      <c r="D6" s="2"/>
      <c r="E6" s="90">
        <v>10894</v>
      </c>
      <c r="F6" s="24" t="s">
        <v>302</v>
      </c>
      <c r="G6" s="25" t="s">
        <v>7</v>
      </c>
      <c r="H6" s="8">
        <v>1200</v>
      </c>
      <c r="I6" s="8">
        <v>200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10895</v>
      </c>
      <c r="F7" s="24" t="s">
        <v>179</v>
      </c>
      <c r="G7" s="25" t="s">
        <v>39</v>
      </c>
      <c r="H7" s="8">
        <v>0</v>
      </c>
      <c r="I7" s="8">
        <v>0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21</v>
      </c>
      <c r="C8" s="28">
        <f>SUM(C6:C7)</f>
        <v>3432.7799999999997</v>
      </c>
      <c r="D8" s="2"/>
      <c r="E8" s="90">
        <v>10896</v>
      </c>
      <c r="F8" s="24" t="s">
        <v>254</v>
      </c>
      <c r="G8" s="25" t="s">
        <v>6</v>
      </c>
      <c r="H8" s="8">
        <v>10</v>
      </c>
      <c r="I8" s="8">
        <v>10</v>
      </c>
      <c r="J8" s="2"/>
      <c r="K8" s="24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90">
        <v>10897</v>
      </c>
      <c r="F9" s="24" t="s">
        <v>306</v>
      </c>
      <c r="G9" s="25" t="s">
        <v>8</v>
      </c>
      <c r="H9" s="8">
        <v>1799</v>
      </c>
      <c r="I9" s="8">
        <v>1799</v>
      </c>
      <c r="J9" s="2"/>
      <c r="K9" s="24"/>
      <c r="L9" s="9"/>
      <c r="M9" s="16"/>
      <c r="R9" s="1">
        <f>IF(vend26[[#This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10898</v>
      </c>
      <c r="F10" s="24" t="s">
        <v>306</v>
      </c>
      <c r="G10" s="25" t="s">
        <v>49</v>
      </c>
      <c r="H10" s="8"/>
      <c r="I10" s="8"/>
      <c r="J10" s="2"/>
      <c r="K10" s="24"/>
      <c r="L10" s="9"/>
      <c r="M10" s="16"/>
      <c r="R10" s="1">
        <f>IF(vend26[[#This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10</v>
      </c>
      <c r="D11" s="2"/>
      <c r="E11" s="90">
        <v>10899</v>
      </c>
      <c r="F11" s="24" t="s">
        <v>307</v>
      </c>
      <c r="G11" s="25" t="s">
        <v>10</v>
      </c>
      <c r="H11" s="8">
        <v>1100</v>
      </c>
      <c r="I11" s="8">
        <v>1100</v>
      </c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90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1799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1423.78</v>
      </c>
      <c r="D15" s="2"/>
      <c r="E15" s="90"/>
      <c r="F15" s="24"/>
      <c r="G15" s="25"/>
      <c r="H15" s="8"/>
      <c r="I15" s="8"/>
      <c r="J15" s="2"/>
      <c r="K15" s="98">
        <v>10723</v>
      </c>
      <c r="L15" s="9" t="s">
        <v>135</v>
      </c>
      <c r="M15" s="16" t="s">
        <v>148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3432.7799999999997</v>
      </c>
      <c r="D16" s="2"/>
      <c r="E16" s="90"/>
      <c r="F16" s="24"/>
      <c r="G16" s="25"/>
      <c r="H16" s="8"/>
      <c r="I16" s="8"/>
      <c r="J16" s="2"/>
      <c r="K16" s="98">
        <v>10893</v>
      </c>
      <c r="L16" s="9" t="s">
        <v>133</v>
      </c>
      <c r="M16" s="16" t="s">
        <v>148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10896</v>
      </c>
      <c r="L17" s="9" t="s">
        <v>133</v>
      </c>
      <c r="M17" s="16" t="s">
        <v>148</v>
      </c>
      <c r="R17" s="1">
        <f>IF(vend26[[#This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10841</v>
      </c>
      <c r="L18" s="9" t="s">
        <v>133</v>
      </c>
      <c r="M18" s="16" t="s">
        <v>148</v>
      </c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0"/>
      <c r="F19" s="24"/>
      <c r="G19" s="25"/>
      <c r="H19" s="8" t="s">
        <v>57</v>
      </c>
      <c r="I19" s="8"/>
      <c r="J19" s="2"/>
      <c r="K19" s="98">
        <v>10788</v>
      </c>
      <c r="L19" s="9" t="s">
        <v>135</v>
      </c>
      <c r="M19" s="16" t="s">
        <v>148</v>
      </c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4109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10495</v>
      </c>
      <c r="F35" s="24" t="s">
        <v>303</v>
      </c>
      <c r="G35" s="25" t="s">
        <v>10</v>
      </c>
      <c r="H35" s="8">
        <v>124.12</v>
      </c>
      <c r="I35" s="8" t="s">
        <v>34</v>
      </c>
      <c r="K35" s="98"/>
      <c r="L35" s="40"/>
      <c r="M35" s="16"/>
    </row>
    <row r="36" spans="2:18" ht="15.75" x14ac:dyDescent="0.25">
      <c r="E36" s="94">
        <v>10301</v>
      </c>
      <c r="F36" s="24" t="s">
        <v>305</v>
      </c>
      <c r="G36" s="25" t="s">
        <v>10</v>
      </c>
      <c r="H36" s="8">
        <v>199.66</v>
      </c>
      <c r="I36" s="8" t="s">
        <v>33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45774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IF(vend27[[#This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abSelected="1" topLeftCell="A4" zoomScale="90" zoomScaleNormal="90" workbookViewId="0">
      <selection activeCell="E38" sqref="E38:I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45775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1430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1263.7</v>
      </c>
      <c r="D6" s="2"/>
      <c r="E6" s="90">
        <v>10900</v>
      </c>
      <c r="F6" s="24" t="s">
        <v>308</v>
      </c>
      <c r="G6" s="25" t="s">
        <v>7</v>
      </c>
      <c r="H6" s="8">
        <v>40</v>
      </c>
      <c r="I6" s="8">
        <v>40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10901</v>
      </c>
      <c r="F7" s="24" t="s">
        <v>309</v>
      </c>
      <c r="G7" s="25" t="s">
        <v>8</v>
      </c>
      <c r="H7" s="8">
        <v>320</v>
      </c>
      <c r="I7" s="8">
        <v>320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1263.7</v>
      </c>
      <c r="D8" s="2"/>
      <c r="E8" s="90">
        <v>10902</v>
      </c>
      <c r="F8" s="24" t="s">
        <v>310</v>
      </c>
      <c r="G8" s="25" t="s">
        <v>10</v>
      </c>
      <c r="H8" s="8">
        <v>400</v>
      </c>
      <c r="I8" s="8">
        <v>75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90">
        <v>10903</v>
      </c>
      <c r="F9" s="24" t="s">
        <v>310</v>
      </c>
      <c r="G9" s="25" t="s">
        <v>10</v>
      </c>
      <c r="H9" s="8">
        <v>500</v>
      </c>
      <c r="I9" s="8">
        <v>75</v>
      </c>
      <c r="J9" s="2"/>
      <c r="K9" s="24"/>
      <c r="L9" s="9"/>
      <c r="M9" s="16"/>
      <c r="R9" s="1">
        <f>IF(vend28[[#This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10904</v>
      </c>
      <c r="F10" s="24" t="s">
        <v>311</v>
      </c>
      <c r="G10" s="25" t="s">
        <v>39</v>
      </c>
      <c r="H10" s="8"/>
      <c r="I10" s="8"/>
      <c r="J10" s="2"/>
      <c r="K10" s="24"/>
      <c r="L10" s="9"/>
      <c r="M10" s="16"/>
      <c r="R10" s="1">
        <f>IF(vend28[[#This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10905</v>
      </c>
      <c r="F11" s="24" t="s">
        <v>312</v>
      </c>
      <c r="G11" s="25" t="s">
        <v>8</v>
      </c>
      <c r="H11" s="8">
        <v>170</v>
      </c>
      <c r="I11" s="8">
        <v>170</v>
      </c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90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490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733.7</v>
      </c>
      <c r="D15" s="2"/>
      <c r="E15" s="90"/>
      <c r="F15" s="24"/>
      <c r="G15" s="25"/>
      <c r="H15" s="8"/>
      <c r="I15" s="8"/>
      <c r="J15" s="2"/>
      <c r="K15" s="98">
        <v>10854</v>
      </c>
      <c r="L15" s="9" t="s">
        <v>133</v>
      </c>
      <c r="M15" s="16" t="s">
        <v>148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1263.7</v>
      </c>
      <c r="D16" s="2"/>
      <c r="E16" s="90"/>
      <c r="F16" s="24"/>
      <c r="G16" s="25"/>
      <c r="H16" s="8"/>
      <c r="I16" s="8"/>
      <c r="J16" s="2"/>
      <c r="K16" s="98">
        <v>10811</v>
      </c>
      <c r="L16" s="9" t="s">
        <v>139</v>
      </c>
      <c r="M16" s="16" t="s">
        <v>170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10817</v>
      </c>
      <c r="L17" s="9" t="s">
        <v>135</v>
      </c>
      <c r="M17" s="16" t="s">
        <v>148</v>
      </c>
      <c r="R17" s="1">
        <f>IF(vend28[[#This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10905</v>
      </c>
      <c r="L18" s="9" t="s">
        <v>139</v>
      </c>
      <c r="M18" s="16" t="s">
        <v>148</v>
      </c>
      <c r="R18" s="1">
        <f>IF(vend28[[#This Row],[Nº Venda]]&gt;1,1,0)</f>
        <v>0</v>
      </c>
    </row>
    <row r="19" spans="2:18" ht="15.75" x14ac:dyDescent="0.25">
      <c r="B19" s="29">
        <f>COUNT(entr_carn28[OS])</f>
        <v>1</v>
      </c>
      <c r="C19" s="30">
        <f>SUM(entr_carn28[Valor Total])</f>
        <v>804.3</v>
      </c>
      <c r="D19" s="2"/>
      <c r="E19" s="90"/>
      <c r="F19" s="24"/>
      <c r="G19" s="25"/>
      <c r="H19" s="8"/>
      <c r="I19" s="8"/>
      <c r="J19" s="2"/>
      <c r="K19" s="98">
        <v>10899</v>
      </c>
      <c r="L19" s="9" t="s">
        <v>139</v>
      </c>
      <c r="M19" s="16" t="s">
        <v>148</v>
      </c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804.3</v>
      </c>
      <c r="D20" s="2"/>
      <c r="E20" s="90"/>
      <c r="F20" s="25"/>
      <c r="G20" s="25"/>
      <c r="H20" s="8"/>
      <c r="I20" s="8"/>
      <c r="J20" s="2"/>
      <c r="K20" s="98">
        <v>10900</v>
      </c>
      <c r="L20" s="9" t="s">
        <v>133</v>
      </c>
      <c r="M20" s="16" t="s">
        <v>148</v>
      </c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1430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10811</v>
      </c>
      <c r="F26" s="24" t="s">
        <v>313</v>
      </c>
      <c r="G26" s="25" t="s">
        <v>10</v>
      </c>
      <c r="H26" s="8"/>
      <c r="I26" s="8">
        <v>244.7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9681</v>
      </c>
      <c r="F35" s="24" t="s">
        <v>314</v>
      </c>
      <c r="G35" s="25" t="s">
        <v>10</v>
      </c>
      <c r="H35" s="8">
        <v>89</v>
      </c>
      <c r="I35" s="8" t="s">
        <v>55</v>
      </c>
      <c r="K35" s="98">
        <v>10811</v>
      </c>
      <c r="L35" s="40">
        <v>6</v>
      </c>
      <c r="M35" s="16">
        <v>804.3</v>
      </c>
    </row>
    <row r="36" spans="2:18" ht="15.75" x14ac:dyDescent="0.25">
      <c r="E36" s="92">
        <v>9960</v>
      </c>
      <c r="F36" s="38" t="s">
        <v>317</v>
      </c>
      <c r="G36" s="25" t="s">
        <v>10</v>
      </c>
      <c r="H36" s="8">
        <v>100</v>
      </c>
      <c r="I36" s="8" t="s">
        <v>37</v>
      </c>
      <c r="K36" s="98"/>
      <c r="L36" s="40"/>
      <c r="M36" s="16"/>
    </row>
    <row r="37" spans="2:18" ht="15.75" x14ac:dyDescent="0.25">
      <c r="E37" s="95">
        <v>10085</v>
      </c>
      <c r="F37" s="24" t="s">
        <v>315</v>
      </c>
      <c r="G37" s="25" t="s">
        <v>10</v>
      </c>
      <c r="H37" s="8">
        <v>100</v>
      </c>
      <c r="I37" s="8" t="s">
        <v>78</v>
      </c>
      <c r="K37" s="98"/>
      <c r="L37" s="40"/>
      <c r="M37" s="16"/>
    </row>
    <row r="38" spans="2:18" ht="15.75" x14ac:dyDescent="0.25">
      <c r="E38" s="90">
        <v>10513</v>
      </c>
      <c r="F38" s="24" t="s">
        <v>316</v>
      </c>
      <c r="G38" s="25" t="s">
        <v>10</v>
      </c>
      <c r="H38" s="8">
        <v>50</v>
      </c>
      <c r="I38" s="8" t="s">
        <v>53</v>
      </c>
      <c r="K38" s="98"/>
      <c r="L38" s="40"/>
      <c r="M38" s="16"/>
    </row>
    <row r="39" spans="2:18" ht="15.75" x14ac:dyDescent="0.25">
      <c r="E39" s="109"/>
      <c r="F39" s="110"/>
      <c r="G39" s="111"/>
      <c r="H39" s="112"/>
      <c r="I39" s="112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view="pageBreakPreview" zoomScale="60" zoomScaleNormal="90" workbookViewId="0">
      <selection activeCell="AB23" sqref="AB23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6">
        <f>'28'!B1+1</f>
        <v>45776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1118.9000000000001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1516.9</v>
      </c>
      <c r="D6" s="2"/>
      <c r="E6" s="90">
        <v>10905</v>
      </c>
      <c r="F6" s="24" t="s">
        <v>320</v>
      </c>
      <c r="G6" s="25" t="s">
        <v>49</v>
      </c>
      <c r="H6" s="8"/>
      <c r="I6" s="8"/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10906</v>
      </c>
      <c r="F7" s="24" t="s">
        <v>318</v>
      </c>
      <c r="G7" s="25" t="s">
        <v>39</v>
      </c>
      <c r="H7" s="8"/>
      <c r="I7" s="8"/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21</v>
      </c>
      <c r="C8" s="28">
        <f>SUM(C6:C7)</f>
        <v>1516.9</v>
      </c>
      <c r="D8" s="2"/>
      <c r="E8" s="90">
        <v>10907</v>
      </c>
      <c r="F8" s="24" t="s">
        <v>319</v>
      </c>
      <c r="G8" s="25" t="s">
        <v>10</v>
      </c>
      <c r="H8" s="8">
        <v>990</v>
      </c>
      <c r="I8" s="8">
        <v>990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90">
        <v>10908</v>
      </c>
      <c r="F9" s="24" t="s">
        <v>285</v>
      </c>
      <c r="G9" s="25" t="s">
        <v>7</v>
      </c>
      <c r="H9" s="8">
        <v>29.9</v>
      </c>
      <c r="I9" s="8">
        <v>29.9</v>
      </c>
      <c r="J9" s="2"/>
      <c r="K9" s="24"/>
      <c r="L9" s="9"/>
      <c r="M9" s="16"/>
      <c r="R9" s="1">
        <f>IF(vend29[[#This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10909</v>
      </c>
      <c r="F10" s="24" t="s">
        <v>321</v>
      </c>
      <c r="G10" s="25" t="s">
        <v>7</v>
      </c>
      <c r="H10" s="44">
        <v>99</v>
      </c>
      <c r="I10" s="8">
        <v>99</v>
      </c>
      <c r="J10" s="2"/>
      <c r="K10" s="24"/>
      <c r="L10" s="9"/>
      <c r="M10" s="16"/>
      <c r="R10" s="1">
        <f>IF(vend29[[#This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215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128.9</v>
      </c>
      <c r="D12" s="2"/>
      <c r="E12" s="90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1173</v>
      </c>
      <c r="D15" s="2"/>
      <c r="E15" s="90"/>
      <c r="F15" s="24"/>
      <c r="G15" s="25"/>
      <c r="H15" s="8"/>
      <c r="I15" s="8"/>
      <c r="J15" s="2"/>
      <c r="K15" s="98">
        <v>10797</v>
      </c>
      <c r="L15" s="9" t="s">
        <v>133</v>
      </c>
      <c r="M15" s="16" t="s">
        <v>148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1516.9</v>
      </c>
      <c r="D16" s="2"/>
      <c r="E16" s="90"/>
      <c r="F16" s="24"/>
      <c r="G16" s="25"/>
      <c r="H16" s="8"/>
      <c r="I16" s="8"/>
      <c r="J16" s="2"/>
      <c r="K16" s="98">
        <v>10798</v>
      </c>
      <c r="L16" s="9" t="s">
        <v>133</v>
      </c>
      <c r="M16" s="16" t="s">
        <v>148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10852</v>
      </c>
      <c r="L17" s="9" t="s">
        <v>133</v>
      </c>
      <c r="M17" s="16" t="s">
        <v>148</v>
      </c>
      <c r="R17" s="1">
        <f>IF(vend29[[#This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10853</v>
      </c>
      <c r="L18" s="9" t="s">
        <v>133</v>
      </c>
      <c r="M18" s="16" t="s">
        <v>148</v>
      </c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0"/>
      <c r="F19" s="24"/>
      <c r="G19" s="25"/>
      <c r="H19" s="8"/>
      <c r="I19" s="8"/>
      <c r="J19" s="2"/>
      <c r="K19" s="98">
        <v>10867</v>
      </c>
      <c r="L19" s="9" t="s">
        <v>135</v>
      </c>
      <c r="M19" s="16" t="s">
        <v>148</v>
      </c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10870</v>
      </c>
      <c r="L20" s="9" t="s">
        <v>135</v>
      </c>
      <c r="M20" s="16" t="s">
        <v>148</v>
      </c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10871</v>
      </c>
      <c r="L21" s="9" t="s">
        <v>135</v>
      </c>
      <c r="M21" s="16" t="s">
        <v>148</v>
      </c>
    </row>
    <row r="22" spans="2:18" ht="15.75" x14ac:dyDescent="0.25">
      <c r="B22" s="27" t="s">
        <v>26</v>
      </c>
      <c r="C22" s="31">
        <f>C5</f>
        <v>1118.9000000000001</v>
      </c>
      <c r="D22" s="2"/>
      <c r="E22" s="90"/>
      <c r="F22" s="24"/>
      <c r="G22" s="25"/>
      <c r="H22" s="8"/>
      <c r="I22" s="8"/>
      <c r="J22" s="2"/>
      <c r="K22" s="98">
        <v>10872</v>
      </c>
      <c r="L22" s="9" t="s">
        <v>135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98">
        <v>10899</v>
      </c>
      <c r="L23" s="9" t="s">
        <v>139</v>
      </c>
      <c r="M23" s="16" t="s">
        <v>148</v>
      </c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>
        <v>10905</v>
      </c>
      <c r="L24" s="9" t="s">
        <v>135</v>
      </c>
      <c r="M24" s="16" t="s">
        <v>148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>
        <v>10908</v>
      </c>
      <c r="L25" s="9" t="s">
        <v>135</v>
      </c>
      <c r="M25" s="16" t="s">
        <v>148</v>
      </c>
    </row>
    <row r="26" spans="2:18" ht="15.75" x14ac:dyDescent="0.25">
      <c r="B26" s="2"/>
      <c r="C26" s="2"/>
      <c r="D26" s="2"/>
      <c r="E26" s="90">
        <v>10891</v>
      </c>
      <c r="F26" s="24" t="s">
        <v>299</v>
      </c>
      <c r="G26" s="25" t="s">
        <v>6</v>
      </c>
      <c r="H26" s="8"/>
      <c r="I26" s="8">
        <v>115</v>
      </c>
      <c r="J26" s="2"/>
      <c r="K26" s="98">
        <v>10909</v>
      </c>
      <c r="L26" s="9" t="s">
        <v>135</v>
      </c>
      <c r="M26" s="16" t="s">
        <v>148</v>
      </c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10664</v>
      </c>
      <c r="F35" s="24" t="s">
        <v>322</v>
      </c>
      <c r="G35" s="25" t="s">
        <v>10</v>
      </c>
      <c r="H35" s="8">
        <v>183</v>
      </c>
      <c r="I35" s="8" t="s">
        <v>41</v>
      </c>
      <c r="K35" s="98"/>
      <c r="L35" s="40"/>
      <c r="M35" s="16"/>
    </row>
    <row r="36" spans="2:18" ht="15.75" x14ac:dyDescent="0.25">
      <c r="E36" s="94">
        <v>9942</v>
      </c>
      <c r="F36" s="24" t="s">
        <v>323</v>
      </c>
      <c r="G36" s="25" t="s">
        <v>6</v>
      </c>
      <c r="H36" s="8">
        <v>100</v>
      </c>
      <c r="I36" s="8" t="s">
        <v>43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90" zoomScaleNormal="90" workbookViewId="0">
      <selection activeCell="C21" sqref="C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45777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3541.2000000000003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2258.6800000000003</v>
      </c>
      <c r="D6" s="2"/>
      <c r="E6" s="90">
        <v>10910</v>
      </c>
      <c r="F6" s="24" t="s">
        <v>324</v>
      </c>
      <c r="G6" s="25" t="s">
        <v>10</v>
      </c>
      <c r="H6" s="8">
        <v>120</v>
      </c>
      <c r="I6" s="8">
        <v>120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10911</v>
      </c>
      <c r="F7" s="24" t="s">
        <v>325</v>
      </c>
      <c r="G7" s="25" t="s">
        <v>8</v>
      </c>
      <c r="H7" s="8">
        <v>1207</v>
      </c>
      <c r="I7" s="8">
        <v>1207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21</v>
      </c>
      <c r="C8" s="28">
        <f>SUM(C6:C7)</f>
        <v>2258.6800000000003</v>
      </c>
      <c r="D8" s="2"/>
      <c r="E8" s="90">
        <v>10912</v>
      </c>
      <c r="F8" s="24" t="s">
        <v>325</v>
      </c>
      <c r="G8" s="25" t="s">
        <v>8</v>
      </c>
      <c r="H8" s="8">
        <v>396</v>
      </c>
      <c r="I8" s="8">
        <v>396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90">
        <v>10913</v>
      </c>
      <c r="F9" s="24" t="s">
        <v>325</v>
      </c>
      <c r="G9" s="25" t="s">
        <v>49</v>
      </c>
      <c r="H9" s="8"/>
      <c r="I9" s="8"/>
      <c r="J9" s="2"/>
      <c r="K9" s="24"/>
      <c r="L9" s="9"/>
      <c r="M9" s="16"/>
      <c r="R9" s="1">
        <f>IF(vend30[[#This Row],[Nº Venda]]&gt;1,1,0)</f>
        <v>1</v>
      </c>
    </row>
    <row r="10" spans="2:18" ht="15.75" x14ac:dyDescent="0.25">
      <c r="B10" s="113" t="s">
        <v>5</v>
      </c>
      <c r="C10" s="113"/>
      <c r="D10" s="2"/>
      <c r="E10" s="90">
        <v>10914</v>
      </c>
      <c r="F10" s="24" t="s">
        <v>326</v>
      </c>
      <c r="G10" s="25" t="s">
        <v>10</v>
      </c>
      <c r="H10" s="8">
        <v>499</v>
      </c>
      <c r="I10" s="8">
        <v>30</v>
      </c>
      <c r="J10" s="2"/>
      <c r="K10" s="24"/>
      <c r="L10" s="9"/>
      <c r="M10" s="16"/>
      <c r="R10" s="1">
        <f>IF(vend30[[#This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165.78</v>
      </c>
      <c r="D11" s="2"/>
      <c r="E11" s="90">
        <v>10915</v>
      </c>
      <c r="F11" s="24" t="s">
        <v>327</v>
      </c>
      <c r="G11" s="25" t="s">
        <v>10</v>
      </c>
      <c r="H11" s="8">
        <v>1279.3</v>
      </c>
      <c r="I11" s="8">
        <v>100</v>
      </c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239.9</v>
      </c>
      <c r="D12" s="2"/>
      <c r="E12" s="90">
        <v>10916</v>
      </c>
      <c r="F12" s="24" t="s">
        <v>331</v>
      </c>
      <c r="G12" s="25" t="s">
        <v>7</v>
      </c>
      <c r="H12" s="8">
        <v>39.9</v>
      </c>
      <c r="I12" s="8">
        <v>39.9</v>
      </c>
      <c r="J12" s="2"/>
      <c r="R12" s="1">
        <f>IF(vend30[[#This Row],[Nº Venda]]&gt;1,1,0)</f>
        <v>1</v>
      </c>
    </row>
    <row r="13" spans="2:18" ht="15.75" x14ac:dyDescent="0.25">
      <c r="B13" s="29" t="s">
        <v>8</v>
      </c>
      <c r="C13" s="30">
        <f t="shared" si="0"/>
        <v>1603</v>
      </c>
      <c r="D13" s="2"/>
      <c r="E13" s="91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250</v>
      </c>
      <c r="D15" s="2"/>
      <c r="E15" s="90"/>
      <c r="F15" s="24"/>
      <c r="G15" s="25"/>
      <c r="H15" s="8"/>
      <c r="I15" s="8"/>
      <c r="J15" s="2"/>
      <c r="K15" s="98">
        <v>10906</v>
      </c>
      <c r="L15" s="9" t="s">
        <v>135</v>
      </c>
      <c r="M15" s="16" t="s">
        <v>148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2258.6800000000003</v>
      </c>
      <c r="D16" s="2"/>
      <c r="E16" s="90"/>
      <c r="F16" s="24"/>
      <c r="G16" s="25"/>
      <c r="H16" s="8"/>
      <c r="I16" s="8"/>
      <c r="J16" s="2"/>
      <c r="K16" s="98">
        <v>10910</v>
      </c>
      <c r="L16" s="9" t="s">
        <v>139</v>
      </c>
      <c r="M16" s="16" t="s">
        <v>148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10847</v>
      </c>
      <c r="L17" s="9" t="s">
        <v>133</v>
      </c>
      <c r="M17" s="16" t="s">
        <v>148</v>
      </c>
      <c r="R17" s="1">
        <f>IF(vend30[[#This Row],[Nº Venda]]&gt;1,1,0)</f>
        <v>0</v>
      </c>
    </row>
    <row r="18" spans="2:22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>
        <v>10873</v>
      </c>
      <c r="L18" s="9" t="s">
        <v>133</v>
      </c>
      <c r="M18" s="16" t="s">
        <v>148</v>
      </c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90"/>
      <c r="F19" s="24"/>
      <c r="G19" s="25"/>
      <c r="H19" s="8"/>
      <c r="I19" s="8"/>
      <c r="J19" s="2"/>
      <c r="K19" s="98">
        <v>10748</v>
      </c>
      <c r="L19" s="9" t="s">
        <v>133</v>
      </c>
      <c r="M19" s="16" t="s">
        <v>148</v>
      </c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>
        <v>10876</v>
      </c>
      <c r="L20" s="9" t="s">
        <v>135</v>
      </c>
      <c r="M20" s="16" t="s">
        <v>148</v>
      </c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10746</v>
      </c>
      <c r="L21" s="9" t="s">
        <v>133</v>
      </c>
      <c r="M21" s="16" t="s">
        <v>148</v>
      </c>
      <c r="V21" s="1" t="s">
        <v>125</v>
      </c>
    </row>
    <row r="22" spans="2:22" ht="15.75" x14ac:dyDescent="0.25">
      <c r="B22" s="27" t="s">
        <v>26</v>
      </c>
      <c r="C22" s="31">
        <f>C5</f>
        <v>3541.2000000000003</v>
      </c>
      <c r="D22" s="2"/>
      <c r="E22" s="90"/>
      <c r="F22" s="24"/>
      <c r="G22" s="25"/>
      <c r="H22" s="8"/>
      <c r="I22" s="8"/>
      <c r="J22" s="2"/>
      <c r="K22" s="98">
        <v>10855</v>
      </c>
      <c r="L22" s="9" t="s">
        <v>133</v>
      </c>
      <c r="M22" s="16" t="s">
        <v>148</v>
      </c>
    </row>
    <row r="23" spans="2:22" ht="15" x14ac:dyDescent="0.25">
      <c r="B23" s="2"/>
      <c r="C23" s="2"/>
      <c r="D23" s="2"/>
      <c r="E23" s="32"/>
      <c r="H23" s="7"/>
      <c r="J23" s="2"/>
      <c r="K23" s="98">
        <v>10916</v>
      </c>
      <c r="L23" s="9" t="s">
        <v>135</v>
      </c>
      <c r="M23" s="16" t="s">
        <v>148</v>
      </c>
    </row>
    <row r="24" spans="2:22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22" ht="15.75" x14ac:dyDescent="0.25">
      <c r="B26" s="2"/>
      <c r="C26" s="2"/>
      <c r="D26" s="2"/>
      <c r="E26" s="90">
        <v>10878</v>
      </c>
      <c r="F26" s="24" t="s">
        <v>328</v>
      </c>
      <c r="G26" s="25" t="s">
        <v>7</v>
      </c>
      <c r="H26" s="8"/>
      <c r="I26" s="8">
        <v>100</v>
      </c>
      <c r="J26" s="2"/>
      <c r="K26" s="98"/>
      <c r="L26" s="9"/>
      <c r="M26" s="16"/>
    </row>
    <row r="27" spans="2:22" ht="15.75" x14ac:dyDescent="0.25">
      <c r="B27" s="2"/>
      <c r="C27" s="2"/>
      <c r="D27" s="2"/>
      <c r="E27" s="90">
        <v>10877</v>
      </c>
      <c r="F27" s="24" t="s">
        <v>328</v>
      </c>
      <c r="G27" s="25" t="s">
        <v>7</v>
      </c>
      <c r="H27" s="8"/>
      <c r="I27" s="8">
        <v>100</v>
      </c>
      <c r="J27" s="2"/>
      <c r="K27" s="98"/>
      <c r="L27" s="9"/>
      <c r="M27" s="16"/>
    </row>
    <row r="28" spans="2:22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22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22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22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10336</v>
      </c>
      <c r="F35" s="24" t="s">
        <v>329</v>
      </c>
      <c r="G35" s="25" t="s">
        <v>6</v>
      </c>
      <c r="H35" s="8">
        <v>114.28</v>
      </c>
      <c r="I35" s="8" t="s">
        <v>48</v>
      </c>
      <c r="K35" s="98"/>
      <c r="L35" s="40"/>
      <c r="M35" s="16"/>
    </row>
    <row r="36" spans="2:18" ht="15.75" x14ac:dyDescent="0.25">
      <c r="E36" s="94">
        <v>10620</v>
      </c>
      <c r="F36" s="24" t="s">
        <v>330</v>
      </c>
      <c r="G36" s="25" t="s">
        <v>6</v>
      </c>
      <c r="H36" s="8">
        <v>51.5</v>
      </c>
      <c r="I36" s="8" t="s">
        <v>80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45778</v>
      </c>
    </row>
    <row r="2" spans="2:18" ht="18.75" x14ac:dyDescent="0.2">
      <c r="B2" s="118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21" t="s">
        <v>1</v>
      </c>
      <c r="F4" s="121"/>
      <c r="G4" s="121"/>
      <c r="H4" s="121"/>
      <c r="I4" s="121"/>
      <c r="J4" s="21"/>
      <c r="K4" s="115" t="s">
        <v>3</v>
      </c>
      <c r="L4" s="116"/>
      <c r="M4" s="11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13" t="s">
        <v>5</v>
      </c>
      <c r="C10" s="11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15" t="s">
        <v>22</v>
      </c>
      <c r="L13" s="116"/>
      <c r="M13" s="117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IF(vend31[[#This Row],[Nº Venda]]&gt;1,1,0)</f>
        <v>0</v>
      </c>
    </row>
    <row r="18" spans="2:18" ht="15.75" x14ac:dyDescent="0.25">
      <c r="B18" s="113" t="s">
        <v>12</v>
      </c>
      <c r="C18" s="11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14" t="s">
        <v>27</v>
      </c>
      <c r="F24" s="114"/>
      <c r="G24" s="114"/>
      <c r="H24" s="114"/>
      <c r="I24" s="11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4" t="s">
        <v>28</v>
      </c>
      <c r="F33" s="114"/>
      <c r="G33" s="114"/>
      <c r="H33" s="114"/>
      <c r="I33" s="114"/>
      <c r="K33" s="115" t="s">
        <v>12</v>
      </c>
      <c r="L33" s="116"/>
      <c r="M33" s="11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sheetPr codeName="Planilha34"/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61</v>
      </c>
      <c r="B1" s="37" t="s">
        <v>62</v>
      </c>
      <c r="E1" s="37" t="s">
        <v>63</v>
      </c>
    </row>
    <row r="2" spans="1:5" x14ac:dyDescent="0.2">
      <c r="A2" s="37" t="s">
        <v>6</v>
      </c>
      <c r="B2" s="37" t="s">
        <v>64</v>
      </c>
      <c r="E2" t="s">
        <v>45</v>
      </c>
    </row>
    <row r="3" spans="1:5" x14ac:dyDescent="0.2">
      <c r="A3" s="37" t="s">
        <v>7</v>
      </c>
      <c r="B3" s="37" t="s">
        <v>65</v>
      </c>
      <c r="E3" t="s">
        <v>66</v>
      </c>
    </row>
    <row r="4" spans="1:5" x14ac:dyDescent="0.2">
      <c r="A4" s="37" t="s">
        <v>8</v>
      </c>
      <c r="B4" s="37" t="s">
        <v>67</v>
      </c>
      <c r="E4" t="s">
        <v>68</v>
      </c>
    </row>
    <row r="5" spans="1:5" x14ac:dyDescent="0.2">
      <c r="A5" s="37" t="s">
        <v>9</v>
      </c>
      <c r="B5" s="37" t="s">
        <v>69</v>
      </c>
      <c r="E5" t="s">
        <v>70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49</v>
      </c>
      <c r="B7" s="37" t="s">
        <v>71</v>
      </c>
      <c r="E7" t="s">
        <v>72</v>
      </c>
    </row>
    <row r="8" spans="1:5" x14ac:dyDescent="0.2">
      <c r="A8" t="s">
        <v>25</v>
      </c>
      <c r="B8" t="s">
        <v>73</v>
      </c>
      <c r="E8" t="s">
        <v>51</v>
      </c>
    </row>
    <row r="9" spans="1:5" x14ac:dyDescent="0.2">
      <c r="A9" s="37" t="s">
        <v>39</v>
      </c>
      <c r="B9" s="37" t="s">
        <v>74</v>
      </c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38</v>
      </c>
    </row>
    <row r="13" spans="1:5" x14ac:dyDescent="0.2">
      <c r="E13" t="s">
        <v>52</v>
      </c>
    </row>
    <row r="14" spans="1:5" x14ac:dyDescent="0.2">
      <c r="E14" t="s">
        <v>46</v>
      </c>
    </row>
    <row r="15" spans="1:5" x14ac:dyDescent="0.2">
      <c r="E15" t="s">
        <v>78</v>
      </c>
    </row>
    <row r="16" spans="1:5" x14ac:dyDescent="0.2">
      <c r="E16" t="s">
        <v>47</v>
      </c>
    </row>
    <row r="17" spans="5:5" x14ac:dyDescent="0.2">
      <c r="E17" t="s">
        <v>41</v>
      </c>
    </row>
    <row r="18" spans="5:5" x14ac:dyDescent="0.2">
      <c r="E18" t="s">
        <v>53</v>
      </c>
    </row>
    <row r="19" spans="5:5" x14ac:dyDescent="0.2">
      <c r="E19" t="s">
        <v>44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58</v>
      </c>
    </row>
    <row r="23" spans="5:5" x14ac:dyDescent="0.2">
      <c r="E23" t="s">
        <v>35</v>
      </c>
    </row>
    <row r="24" spans="5:5" x14ac:dyDescent="0.2">
      <c r="E24" t="s">
        <v>54</v>
      </c>
    </row>
    <row r="25" spans="5:5" x14ac:dyDescent="0.2">
      <c r="E25" t="s">
        <v>48</v>
      </c>
    </row>
    <row r="26" spans="5:5" x14ac:dyDescent="0.2">
      <c r="E26" t="s">
        <v>40</v>
      </c>
    </row>
    <row r="27" spans="5:5" x14ac:dyDescent="0.2">
      <c r="E27" t="s">
        <v>43</v>
      </c>
    </row>
    <row r="28" spans="5:5" x14ac:dyDescent="0.2">
      <c r="E28" t="s">
        <v>59</v>
      </c>
    </row>
    <row r="29" spans="5:5" x14ac:dyDescent="0.2">
      <c r="E29" t="s">
        <v>60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56</v>
      </c>
    </row>
    <row r="34" spans="5:5" x14ac:dyDescent="0.2">
      <c r="E34" t="s">
        <v>37</v>
      </c>
    </row>
    <row r="35" spans="5:5" x14ac:dyDescent="0.2">
      <c r="E35" t="s">
        <v>55</v>
      </c>
    </row>
    <row r="36" spans="5:5" x14ac:dyDescent="0.2">
      <c r="E36" t="s">
        <v>42</v>
      </c>
    </row>
    <row r="37" spans="5:5" x14ac:dyDescent="0.2">
      <c r="E37" t="s">
        <v>50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2025-04-30T21:20:01Z</cp:lastPrinted>
  <dcterms:created xsi:type="dcterms:W3CDTF">2004-04-07T20:43:43Z</dcterms:created>
  <dcterms:modified xsi:type="dcterms:W3CDTF">2025-10-09T13:40:38Z</dcterms:modified>
  <cp:category/>
  <cp:contentStatus/>
</cp:coreProperties>
</file>