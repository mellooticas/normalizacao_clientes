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2497" documentId="13_ncr:1_{0402BA61-346E-4614-9EF8-32644BD0418E}" xr6:coauthVersionLast="47" xr6:coauthVersionMax="47" xr10:uidLastSave="{EC9E465B-3F11-4972-8E1C-2207BA1828D1}"/>
  <bookViews>
    <workbookView xWindow="-120" yWindow="-120" windowWidth="20730" windowHeight="11310" tabRatio="895" firstSheet="4" activeTab="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7" sheetId="103" r:id="rId7"/>
    <sheet name="06" sheetId="170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6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5" l="1"/>
  <c r="C13" i="183"/>
  <c r="C12" i="183"/>
  <c r="C11" i="183"/>
  <c r="C14" i="183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7"/>
  <c r="C11" i="176"/>
  <c r="C11" i="180"/>
  <c r="C11" i="182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1" l="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<sst xmlns="http://schemas.openxmlformats.org/spreadsheetml/2006/main" count="2538" uniqueCount="356">
  <si>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</si>
  <si>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</si>
  <si>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</si>
  <si>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</si>
  <si>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</si>
  <si>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</si>
  <si>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</si>
  <si>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</si>
  <si>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</si>
  <si>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</si>
  <si>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</si>
  <si>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</si>
  <si>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</si>
  <si>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</si>
  <si>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</si>
  <si>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</si>
  <si>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</si>
  <si>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</si>
  <si>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</si>
  <si>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</si>
  <si>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</si>
  <si>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</si>
  <si>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</si>
  <si>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</si>
  <si>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</si>
  <si>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</si>
  <si>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</si>
  <si>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</si>
  <si>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</si>
  <si>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</si>
  <si>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</si>
  <si>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</si>
  <si>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</si>
  <si>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</si>
  <si>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</si>
  <si>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</si>
  <si>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</si>
  <si>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</si>
  <si>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</si>
  <si>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</si>
  <si>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</si>
  <si>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</si>
  <si>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</si>
  <si>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</si>
  <si>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</si>
  <si>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</si>
  <si>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</si>
  <si>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</si>
  <si>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</si>
  <si>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</si>
  <si>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</si>
  <si>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</si>
  <si>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</si>
  <si>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</si>
  <si>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</si>
  <si>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</si>
  <si>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</si>
  <si>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</si>
  <si>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</si>
  <si>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</si>
  <si>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</si>
  <si>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</si>
  <si>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</si>
  <si>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</si>
  <si>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</si>
  <si>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</si>
  <si>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</si>
  <si>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</si>
  <si>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</si>
  <si>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</si>
  <si>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</si>
  <si>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</si>
  <si>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</si>
  <si>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</si>
  <si>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</si>
  <si>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</si>
  <si>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</si>
  <si>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</si>
  <si>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</si>
  <si>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</si>
  <si>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</si>
  <si>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</si>
  <si>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</si>
  <si>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</si>
  <si>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</si>
  <si>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</si>
  <si>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</si>
  <si>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</si>
  <si>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</si>
  <si>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</si>
  <si>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</si>
  <si>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</si>
  <si>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</si>
  <si>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</si>
  <si>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</si>
  <si>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</si>
  <si>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</si>
  <si>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</si>
  <si>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</si>
  <si>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</si>
  <si>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</si>
  <si>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</si>
  <si>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</si>
  <si>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</si>
  <si>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</si>
  <si>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</si>
  <si>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</si>
  <si>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</si>
  <si>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</si>
  <si>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</si>
  <si>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</si>
  <si>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</si>
  <si>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</si>
  <si>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</si>
  <si>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</si>
  <si>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</si>
  <si>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</si>
  <si>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</si>
  <si>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</si>
  <si>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</si>
  <si>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</si>
  <si>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</si>
  <si>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</si>
  <si>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</si>
  <si>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</si>
  <si>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</si>
  <si>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</si>
  <si>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</si>
  <si>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</si>
  <si>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</si>
  <si>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</si>
  <si>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</si>
  <si>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</si>
  <si>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</si>
  <si>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</si>
  <si>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</si>
  <si>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</si>
  <si>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</si>
  <si>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</si>
  <si>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</si>
  <si>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</si>
  <si>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alvoro rodrigues</t>
  </si>
  <si>
    <t>marina lucia</t>
  </si>
  <si>
    <t>marinalva beserra</t>
  </si>
  <si>
    <t>ana maria</t>
  </si>
  <si>
    <t>lilian david</t>
  </si>
  <si>
    <t>simone rodrigues</t>
  </si>
  <si>
    <t>ailton barbosa</t>
  </si>
  <si>
    <t>Não</t>
  </si>
  <si>
    <t>jaqueline dos santos</t>
  </si>
  <si>
    <t>bruna dos santos</t>
  </si>
  <si>
    <t>paulo do carmo</t>
  </si>
  <si>
    <t>minalda de fatima</t>
  </si>
  <si>
    <t>lilian pereira</t>
  </si>
  <si>
    <t>THAIS HELENA</t>
  </si>
  <si>
    <t>RITA DE CASSIA</t>
  </si>
  <si>
    <t xml:space="preserve">MARIA ALVES </t>
  </si>
  <si>
    <t>UEIDE DE SOUZA</t>
  </si>
  <si>
    <t>CARLOS APARECIDO</t>
  </si>
  <si>
    <t>LILIAN CRISTINA</t>
  </si>
  <si>
    <t>SELMA DA SILVA</t>
  </si>
  <si>
    <t>FERNANDO JOAO</t>
  </si>
  <si>
    <t>SILVANA REGANE</t>
  </si>
  <si>
    <t>CAROLINA SETTI</t>
  </si>
  <si>
    <t>DIOGO FERREIRA</t>
  </si>
  <si>
    <t>ILDA SOPARES</t>
  </si>
  <si>
    <t>Sim</t>
  </si>
  <si>
    <t>luiza jaqueline</t>
  </si>
  <si>
    <t>cicero francisco</t>
  </si>
  <si>
    <t>sara de quadros</t>
  </si>
  <si>
    <t>ilda soares</t>
  </si>
  <si>
    <t>marisa de araujo</t>
  </si>
  <si>
    <t>JOSIMAR FERNANDO</t>
  </si>
  <si>
    <t>JOSE DONIZETE</t>
  </si>
  <si>
    <t>gilvanison jacinto</t>
  </si>
  <si>
    <t>emidio francisco</t>
  </si>
  <si>
    <t>rosa maria</t>
  </si>
  <si>
    <t>shirlei facunde</t>
  </si>
  <si>
    <t>ivaldo carvalho</t>
  </si>
  <si>
    <t>jose carlos</t>
  </si>
  <si>
    <t>quezia de almeida</t>
  </si>
  <si>
    <t>edneusa aparecida</t>
  </si>
  <si>
    <t xml:space="preserve">martinha de jesus </t>
  </si>
  <si>
    <t>monica magalhoes</t>
  </si>
  <si>
    <t>hellen vitoria</t>
  </si>
  <si>
    <t>silvia maria</t>
  </si>
  <si>
    <t>pagamento debora</t>
  </si>
  <si>
    <t>dinheiro</t>
  </si>
  <si>
    <t>pagamento joci</t>
  </si>
  <si>
    <t>neusa lima</t>
  </si>
  <si>
    <t>aparecida maria</t>
  </si>
  <si>
    <t>jose santos</t>
  </si>
  <si>
    <t>pricila goncalves</t>
  </si>
  <si>
    <t>alercio serafim</t>
  </si>
  <si>
    <t>stefany aparecida</t>
  </si>
  <si>
    <t>silvana rejane</t>
  </si>
  <si>
    <t>rita de cassia</t>
  </si>
  <si>
    <t>maria ivani</t>
  </si>
  <si>
    <t>iris dos santos</t>
  </si>
  <si>
    <t>andrea alves</t>
  </si>
  <si>
    <t>julcimara aparecida</t>
  </si>
  <si>
    <t>josimar fernando</t>
  </si>
  <si>
    <t>larissa segura</t>
  </si>
  <si>
    <t>TATY RETIROU</t>
  </si>
  <si>
    <t>DINHEIRO</t>
  </si>
  <si>
    <t xml:space="preserve">neusa lima de souza </t>
  </si>
  <si>
    <t>fabiana de souza</t>
  </si>
  <si>
    <t>sandra fernandes</t>
  </si>
  <si>
    <t xml:space="preserve">simara luciano </t>
  </si>
  <si>
    <t>carlos alberto</t>
  </si>
  <si>
    <t>cleide josefa</t>
  </si>
  <si>
    <t>edson ferreira</t>
  </si>
  <si>
    <t>jaidinhilda martins</t>
  </si>
  <si>
    <t>NÃO</t>
  </si>
  <si>
    <t>FABIANA ALVES</t>
  </si>
  <si>
    <t>ELLEN CRISTINA</t>
  </si>
  <si>
    <t>ROZILEIDE BRITO</t>
  </si>
  <si>
    <t>maria da conceição</t>
  </si>
  <si>
    <t>samuel de melo</t>
  </si>
  <si>
    <t>gilmar lopes</t>
  </si>
  <si>
    <t>fernando cardoso</t>
  </si>
  <si>
    <t>renata paula</t>
  </si>
  <si>
    <t>julio cesar</t>
  </si>
  <si>
    <t>gilvanilson jacinto</t>
  </si>
  <si>
    <t>cleide ana melo</t>
  </si>
  <si>
    <t>maria aparecida</t>
  </si>
  <si>
    <t>welber anderson</t>
  </si>
  <si>
    <t>izabel dos santos</t>
  </si>
  <si>
    <t>simone ignacio</t>
  </si>
  <si>
    <t xml:space="preserve">papel contact </t>
  </si>
  <si>
    <t xml:space="preserve">marilu candida </t>
  </si>
  <si>
    <t>valdineia molina</t>
  </si>
  <si>
    <t>silas diego</t>
  </si>
  <si>
    <t>arlete vieira</t>
  </si>
  <si>
    <t>julia gomes</t>
  </si>
  <si>
    <t>everaldo  serafim</t>
  </si>
  <si>
    <t>ana celia</t>
  </si>
  <si>
    <t>su yo ting</t>
  </si>
  <si>
    <t>mariana rosa</t>
  </si>
  <si>
    <t>thaynara de jesus</t>
  </si>
  <si>
    <t>ELAINE CRISTINA</t>
  </si>
  <si>
    <t>RAIMUNDO OLIVEIRA</t>
  </si>
  <si>
    <t>GERALDA APARECIDA</t>
  </si>
  <si>
    <t>ISRAEL COSME</t>
  </si>
  <si>
    <t>SHEILA RIBEIRO</t>
  </si>
  <si>
    <t>SINARA GOMES</t>
  </si>
  <si>
    <t>JOSE DE ARAUJO</t>
  </si>
  <si>
    <t>ELENICE ALVES</t>
  </si>
  <si>
    <t>ELIANE DA SILVA</t>
  </si>
  <si>
    <t>LUIZ DE ARAUJO</t>
  </si>
  <si>
    <t>FABIO GOMES</t>
  </si>
  <si>
    <t>maria do carmo</t>
  </si>
  <si>
    <t>sarah regina</t>
  </si>
  <si>
    <t>pedro vieira</t>
  </si>
  <si>
    <t>rogerio alves</t>
  </si>
  <si>
    <t>luiz garcia</t>
  </si>
  <si>
    <t>diogoo ferreira</t>
  </si>
  <si>
    <t>diogo ferreira</t>
  </si>
  <si>
    <t>bianca candida</t>
  </si>
  <si>
    <t>VERA LUCIA</t>
  </si>
  <si>
    <t>SUZETE LOPES</t>
  </si>
  <si>
    <t>VERONICA</t>
  </si>
  <si>
    <t>MANUEL</t>
  </si>
  <si>
    <t>DAVID R MACRE</t>
  </si>
  <si>
    <t>BIANCA CANDIDA</t>
  </si>
  <si>
    <t>helena aparecida</t>
  </si>
  <si>
    <t>aurivaldo antonio</t>
  </si>
  <si>
    <t>aline cunha</t>
  </si>
  <si>
    <t>claudionor</t>
  </si>
  <si>
    <t>silvia regina</t>
  </si>
  <si>
    <t>wesley da silva</t>
  </si>
  <si>
    <t>ires dos santos</t>
  </si>
  <si>
    <t>fatima esmeralda</t>
  </si>
  <si>
    <t>shirley facunde</t>
  </si>
  <si>
    <t>robert roland</t>
  </si>
  <si>
    <t>vagner ribeiro</t>
  </si>
  <si>
    <t>berenice damares</t>
  </si>
  <si>
    <t xml:space="preserve">maria rsangela </t>
  </si>
  <si>
    <t>ariani dias</t>
  </si>
  <si>
    <t>vivian dantas</t>
  </si>
  <si>
    <t>valvi costa</t>
  </si>
  <si>
    <t>maria rosa</t>
  </si>
  <si>
    <t>SULFIT</t>
  </si>
  <si>
    <t>helington oliveira</t>
  </si>
  <si>
    <t>zenilda augusta</t>
  </si>
  <si>
    <t>claudemberg silva</t>
  </si>
  <si>
    <t>su yo</t>
  </si>
  <si>
    <t>andreia avila</t>
  </si>
  <si>
    <t>zenilva augusto</t>
  </si>
  <si>
    <t>rosimeire farias</t>
  </si>
  <si>
    <t>liliani coelho</t>
  </si>
  <si>
    <t>rosangela dos santos</t>
  </si>
  <si>
    <t>maria alves</t>
  </si>
  <si>
    <t>francinelda irene</t>
  </si>
  <si>
    <t xml:space="preserve">jose roberto dos santos </t>
  </si>
  <si>
    <t>jose carlos furnielles</t>
  </si>
  <si>
    <t xml:space="preserve">joão vitor dos santos </t>
  </si>
  <si>
    <t xml:space="preserve">alexandre magno </t>
  </si>
  <si>
    <t xml:space="preserve">bruno matos </t>
  </si>
  <si>
    <t>cicero jose ferreira</t>
  </si>
  <si>
    <t xml:space="preserve">carla cristina </t>
  </si>
  <si>
    <t xml:space="preserve">renilza da silva </t>
  </si>
  <si>
    <t>edvania carvalho</t>
  </si>
  <si>
    <t>franciely suelen</t>
  </si>
  <si>
    <t>iverlaine cristina</t>
  </si>
  <si>
    <t>valdenice dias</t>
  </si>
  <si>
    <t>catia carvalhp</t>
  </si>
  <si>
    <t>maria sandra</t>
  </si>
  <si>
    <t>ligia abranches</t>
  </si>
  <si>
    <t>selma da silva</t>
  </si>
  <si>
    <t>helena rodriigues</t>
  </si>
  <si>
    <t>carolina setti</t>
  </si>
  <si>
    <t>cristina lopes</t>
  </si>
  <si>
    <t>andrea galerani</t>
  </si>
  <si>
    <t>antonio romualdo</t>
  </si>
  <si>
    <t>francisco marinho</t>
  </si>
  <si>
    <t>vitoria nhoque</t>
  </si>
  <si>
    <t>glaucia neves</t>
  </si>
  <si>
    <t xml:space="preserve">veridiana vicente </t>
  </si>
  <si>
    <t>patricia de motas</t>
  </si>
  <si>
    <t>benedito aparecido</t>
  </si>
  <si>
    <t>julio cesar jardim</t>
  </si>
  <si>
    <t>ligia  aranches</t>
  </si>
  <si>
    <t>elaine cristina</t>
  </si>
  <si>
    <t>maia  cecilia</t>
  </si>
  <si>
    <t>gilvania noguera</t>
  </si>
  <si>
    <t>francisca pereira</t>
  </si>
  <si>
    <t>erick assis</t>
  </si>
  <si>
    <t>everaldo serafim</t>
  </si>
  <si>
    <t>pix</t>
  </si>
  <si>
    <t>rosinete tavares</t>
  </si>
  <si>
    <t>MARIA DAS GRACAS</t>
  </si>
  <si>
    <t>GERGINA MARIA</t>
  </si>
  <si>
    <t>MILEIDE CRISTINA</t>
  </si>
  <si>
    <t>AIRTON ACACIO</t>
  </si>
  <si>
    <t>MARIA DE LURDES</t>
  </si>
  <si>
    <t>ELIAS DA CRUZ</t>
  </si>
  <si>
    <t>BRUNA DOS SANTOS</t>
  </si>
  <si>
    <t>PATRICIA BORGES</t>
  </si>
  <si>
    <t>ERICK ASSIS</t>
  </si>
  <si>
    <t>FABIANA DE CASSIA</t>
  </si>
  <si>
    <t>JAQUELINA</t>
  </si>
  <si>
    <t>VIVIANE MARIA</t>
  </si>
  <si>
    <t>SAMUEL DE MELO</t>
  </si>
  <si>
    <t>VERACI ELOISA</t>
  </si>
  <si>
    <t>MARIA DO CARMO</t>
  </si>
  <si>
    <t>SILVIA PECEGUEIRO</t>
  </si>
  <si>
    <t>ELZA DE PAULA</t>
  </si>
  <si>
    <t>FABIANA DE SOUZA</t>
  </si>
  <si>
    <t>MARILU SIZIAL</t>
  </si>
  <si>
    <t>LUIZA JAQUELINE</t>
  </si>
  <si>
    <t>JOICE SILVA</t>
  </si>
  <si>
    <t>Elaine Aparecida Oliveira Defante</t>
  </si>
  <si>
    <t>elaine aparecida</t>
  </si>
  <si>
    <t>NEUZA MARIA</t>
  </si>
  <si>
    <t>izildinha aparecida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</si>
</sst>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4" fontId="41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74" dataCellStyle="Moeda"/>
    <tableColumn id="5" xr3:uid="{00000000-0010-0000-0900-000005000000}" name="Cliente" dataDxfId="1373" dataCellStyle="Moeda"/>
    <tableColumn id="2" xr3:uid="{00000000-0010-0000-0900-000002000000}" name="Forma de Pgto" dataDxfId="1372" dataCellStyle="Moeda"/>
    <tableColumn id="3" xr3:uid="{00000000-0010-0000-0900-000003000000}" name="Valor Venda" dataDxfId="1371" dataCellStyle="Porcentagem"/>
    <tableColumn id="4" xr3:uid="{00000000-0010-0000-0900-000004000000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00000000-0010-0000-0A00-000001000000}" name="Descrição" dataDxfId="1364"/>
    <tableColumn id="2" xr3:uid="{00000000-0010-0000-0A00-000002000000}" name="Tipo de Pagto" dataDxfId="1363"/>
    <tableColumn id="3" xr3:uid="{00000000-0010-0000-0A00-000003000000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56"/>
    <tableColumn id="2" xr3:uid="{00000000-0010-0000-0B00-000002000000}" name="Cliente" dataDxfId="1355"/>
    <tableColumn id="3" xr3:uid="{00000000-0010-0000-0B00-000003000000}" name="Forma de Pgto" dataDxfId="1354" dataCellStyle="Moeda"/>
    <tableColumn id="4" xr3:uid="{00000000-0010-0000-0B00-000004000000}" name="Valor Venda" dataDxfId="1353" dataCellStyle="Porcentagem"/>
    <tableColumn id="5" xr3:uid="{00000000-0010-0000-0B00-000005000000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5EB8AC8-7F8E-49D1-A903-14124A5BA1B1}" name="OS" dataDxfId="1346"/>
    <tableColumn id="2" xr3:uid="{E1794679-294A-42ED-9D8F-4C0874170BFA}" name="Vendedor" dataDxfId="1345"/>
    <tableColumn id="3" xr3:uid="{CB411C23-941D-4548-984D-68460932D683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38"/>
    <tableColumn id="2" xr3:uid="{430FE27E-32BC-43B0-BB6E-CCBAB36B2A5A}" name="Cliente" dataDxfId="1337"/>
    <tableColumn id="3" xr3:uid="{568CECCF-BE0A-4266-A7C7-9359F722EA0F}" name="Forma de Pgto" dataDxfId="1336" dataCellStyle="Moeda"/>
    <tableColumn id="4" xr3:uid="{9CF4291A-8808-43DB-9F83-A7EB463C5F4A}" name="Valor Parcela" dataDxfId="1335" dataCellStyle="Porcentagem"/>
    <tableColumn id="5" xr3:uid="{736EA743-97FA-4800-BEDD-5C07EEB144A8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33" headerRowBorderDxfId="1332" tableBorderDxfId="1331" totalsRowBorderDxfId="1330">
  <autoFilter ref="K34:M41" xr:uid="{1B8643D4-6AC3-4029-882A-C62E9D7CB225}"/>
  <tableColumns count="3">
    <tableColumn id="1" xr3:uid="{132FEC50-51B3-4AAA-BF48-63FA39ED861C}" name="OS" dataDxfId="1329"/>
    <tableColumn id="2" xr3:uid="{11276640-1C63-48D7-BE0B-1FE7C736A1A8}" name="Parcelas" dataDxfId="1328"/>
    <tableColumn id="3" xr3:uid="{96591591-9F74-40A6-B0B9-BA6D2106107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21" dataCellStyle="Moeda"/>
    <tableColumn id="5" xr3:uid="{FF96847D-D5C5-4F73-905C-E549112972E1}" name="Cliente" dataDxfId="1320" dataCellStyle="Moeda"/>
    <tableColumn id="2" xr3:uid="{1B47815A-C2E2-4886-9A6F-B2A7307F901E}" name="Forma de Pgto" dataDxfId="1319" dataCellStyle="Moeda"/>
    <tableColumn id="3" xr3:uid="{FD86C99A-4E69-452A-8D71-B939B84F2B55}" name="Valor Venda" dataDxfId="1318" dataCellStyle="Porcentagem"/>
    <tableColumn id="4" xr3:uid="{49ECBAAC-14EE-43F3-BE6F-974EF5F3E156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5236D397-E61A-4AA1-B99C-AD40093239F9}" name="Descrição" dataDxfId="1311"/>
    <tableColumn id="2" xr3:uid="{3341FC2A-819A-41AF-B8A9-B5A195B8D597}" name="Tipo de Pagto" dataDxfId="1310"/>
    <tableColumn id="3" xr3:uid="{D568CA16-B32B-4F86-9DE5-B8B3E9825745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7" totalsRowShown="0" headerRowDxfId="1308" dataDxfId="1306" headerRowBorderDxfId="1307" tableBorderDxfId="1305" totalsRowBorderDxfId="1304">
  <autoFilter ref="E25:I37" xr:uid="{00000000-0009-0000-0100-000016000000}"/>
  <sortState xmlns:xlrd2="http://schemas.microsoft.com/office/spreadsheetml/2017/richdata2" ref="E26:I37">
    <sortCondition ref="E25:E37"/>
  </sortState>
  <tableColumns count="5">
    <tableColumn id="1" xr3:uid="{94F29A83-77DE-4876-B5BA-0C37305F26FD}" name="Nº Venda" dataDxfId="1303"/>
    <tableColumn id="2" xr3:uid="{DEEB020C-2BC4-4E77-9557-B0FDBCF683E9}" name="Cliente" dataDxfId="1302"/>
    <tableColumn id="3" xr3:uid="{FC27FDBE-5194-4E32-AFD1-DB754ECCEF38}" name="Forma de Pgto" dataDxfId="1301" dataCellStyle="Moeda"/>
    <tableColumn id="4" xr3:uid="{489A4CE9-C3F1-4322-9639-D01F0935FB0E}" name="Valor Venda" dataDxfId="1300" dataCellStyle="Porcentagem"/>
    <tableColumn id="5" xr3:uid="{07E5F22F-7782-466E-98DB-48416B35B9C4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4926A1A-00A9-4844-90B1-E36D53050FAD}" name="OS" dataDxfId="1293"/>
    <tableColumn id="2" xr3:uid="{CFC62C38-9887-48E6-A3B8-42586D1EC066}" name="Vendedor" dataDxfId="1292"/>
    <tableColumn id="3" xr3:uid="{32577275-2002-496E-8AD4-5FE489DBC179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40:I47" totalsRowShown="0" headerRowDxfId="1290" dataDxfId="1288" headerRowBorderDxfId="1289" tableBorderDxfId="1287" totalsRowBorderDxfId="1286">
  <autoFilter ref="E40:I47" xr:uid="{B9E2F984-8588-4F2C-9FB9-680284154679}"/>
  <sortState xmlns:xlrd2="http://schemas.microsoft.com/office/spreadsheetml/2017/richdata2" ref="E41:I46">
    <sortCondition ref="E25:E37"/>
  </sortState>
  <tableColumns count="5">
    <tableColumn id="1" xr3:uid="{1A64D11F-1787-4162-AB12-8DBDD9C5C297}" name="OS" dataDxfId="1285"/>
    <tableColumn id="2" xr3:uid="{19438CD0-86D0-4CC4-9B41-5D756AC61E4D}" name="Cliente" dataDxfId="1284"/>
    <tableColumn id="3" xr3:uid="{59621200-4821-4583-9D35-A2EA6C27B52D}" name="Forma de Pgto" dataDxfId="1283" dataCellStyle="Moeda"/>
    <tableColumn id="4" xr3:uid="{35A817E7-6B21-48A7-863E-225DFEDD8B2A}" name="Valor Parcela" dataDxfId="1282" dataCellStyle="Porcentagem"/>
    <tableColumn id="5" xr3:uid="{77D80430-C5F8-4582-B3DF-9A9A9350F565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80" headerRowBorderDxfId="1279" tableBorderDxfId="1278" totalsRowBorderDxfId="1277">
  <autoFilter ref="K34:M41" xr:uid="{1B8643D4-6AC3-4029-882A-C62E9D7CB225}"/>
  <tableColumns count="3">
    <tableColumn id="1" xr3:uid="{503F9F70-E540-4505-B65D-D233FCB88D5F}" name="OS" dataDxfId="1276"/>
    <tableColumn id="2" xr3:uid="{6A2B4927-D830-4C18-8831-6FE23BFAD877}" name="Parcelas" dataDxfId="1275"/>
    <tableColumn id="3" xr3:uid="{8E06E94A-FF62-4D13-8B11-C6CE2990FCD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9" totalsRowShown="0" headerRowDxfId="1131" dataDxfId="1129" headerRowBorderDxfId="1130" tableBorderDxfId="1128" totalsRowBorderDxfId="1127">
  <autoFilter ref="E35:I49" xr:uid="{B9E2F984-8588-4F2C-9FB9-680284154679}"/>
  <sortState xmlns:xlrd2="http://schemas.microsoft.com/office/spreadsheetml/2017/richdata2" ref="E36:I48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7" totalsRowShown="0" headerRowDxfId="990" dataDxfId="988" headerRowBorderDxfId="989" tableBorderDxfId="987" totalsRowBorderDxfId="986">
  <autoFilter ref="E25:I37" xr:uid="{00000000-0009-0000-0100-000016000000}"/>
  <sortState xmlns:xlrd2="http://schemas.microsoft.com/office/spreadsheetml/2017/richdata2" ref="E26:I37">
    <sortCondition ref="E25:E37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40:I47" totalsRowShown="0" headerRowDxfId="972" dataDxfId="970" headerRowBorderDxfId="971" tableBorderDxfId="969" totalsRowBorderDxfId="968">
  <autoFilter ref="E40:I47" xr:uid="{B9E2F984-8588-4F2C-9FB9-680284154679}"/>
  <sortState xmlns:xlrd2="http://schemas.microsoft.com/office/spreadsheetml/2017/richdata2" ref="E41:I46">
    <sortCondition ref="E25:E37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8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86581.98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76493.5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1691.3</v>
      </c>
      <c r="P5" t="s">
        <v>132</v>
      </c>
    </row>
    <row r="6" spans="1:16" ht="15.75" x14ac:dyDescent="0.25">
      <c r="A6" s="28" t="s">
        <v>4</v>
      </c>
      <c r="B6" s="29">
        <f>SUM(B4:B5)</f>
        <v>78184.800000000003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9" t="s">
        <v>5</v>
      </c>
      <c r="B8" s="109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7908.07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10272.750000000002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39866.99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27231.33</v>
      </c>
      <c r="P13" t="s">
        <v>140</v>
      </c>
    </row>
    <row r="14" spans="1:16" ht="15.75" x14ac:dyDescent="0.25">
      <c r="A14" s="28" t="s">
        <v>11</v>
      </c>
      <c r="B14" s="79">
        <f ca="1">SUM(B9:B13)</f>
        <v>85279.14</v>
      </c>
    </row>
    <row r="15" spans="1:16" ht="15" x14ac:dyDescent="0.25">
      <c r="A15" s="2"/>
      <c r="B15" s="2"/>
    </row>
    <row r="16" spans="1:16" ht="15" x14ac:dyDescent="0.2">
      <c r="A16" s="109" t="s">
        <v>12</v>
      </c>
      <c r="B16" s="109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11196.6</v>
      </c>
    </row>
    <row r="18" spans="1:2" ht="15.75" x14ac:dyDescent="0.25">
      <c r="A18" s="28" t="s">
        <v>11</v>
      </c>
      <c r="B18" s="79">
        <f>SUM(B17:B17)</f>
        <v>11196.6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5" zoomScale="79" zoomScaleNormal="79" workbookViewId="0">
      <selection activeCell="E37" sqref="E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v>45474</v>
      </c>
    </row>
    <row r="2" spans="2:18" ht="18.75" x14ac:dyDescent="0.2">
      <c r="B2" s="114" t="s">
        <v>127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1394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857</v>
      </c>
      <c r="D6" s="2"/>
      <c r="E6" s="18">
        <v>9445</v>
      </c>
      <c r="F6" s="25" t="s">
        <v>141</v>
      </c>
      <c r="G6" s="26" t="s">
        <v>8</v>
      </c>
      <c r="H6" s="8">
        <v>400</v>
      </c>
      <c r="I6" s="8">
        <v>400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9446</v>
      </c>
      <c r="F7" s="25" t="s">
        <v>142</v>
      </c>
      <c r="G7" s="26" t="s">
        <v>6</v>
      </c>
      <c r="H7" s="8">
        <v>40</v>
      </c>
      <c r="I7" s="8">
        <v>40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21</v>
      </c>
      <c r="C8" s="29">
        <f>SUM(C6:C7)</f>
        <v>857</v>
      </c>
      <c r="D8" s="2"/>
      <c r="E8" s="18">
        <v>9447</v>
      </c>
      <c r="F8" s="25" t="s">
        <v>143</v>
      </c>
      <c r="G8" s="26" t="s">
        <v>6</v>
      </c>
      <c r="H8" s="8">
        <v>160</v>
      </c>
      <c r="I8" s="8">
        <v>2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9448</v>
      </c>
      <c r="F9" s="25" t="s">
        <v>144</v>
      </c>
      <c r="G9" s="26" t="s">
        <v>6</v>
      </c>
      <c r="H9" s="8">
        <v>499</v>
      </c>
      <c r="I9" s="8">
        <v>120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9449</v>
      </c>
      <c r="F10" s="25" t="s">
        <v>145</v>
      </c>
      <c r="G10" s="26" t="s">
        <v>8</v>
      </c>
      <c r="H10" s="8">
        <v>45</v>
      </c>
      <c r="I10" s="8">
        <v>45</v>
      </c>
      <c r="J10" s="2"/>
      <c r="K10" s="25"/>
      <c r="L10" s="9"/>
      <c r="M10" s="16"/>
      <c r="R10" s="1">
        <f>IF(vend1[[#This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530.08000000000004</v>
      </c>
      <c r="D11" s="2"/>
      <c r="E11" s="18">
        <v>9450</v>
      </c>
      <c r="F11" s="25" t="s">
        <v>146</v>
      </c>
      <c r="G11" s="26" t="s">
        <v>10</v>
      </c>
      <c r="H11" s="8">
        <v>250</v>
      </c>
      <c r="I11" s="8">
        <v>250</v>
      </c>
      <c r="J11" s="2"/>
      <c r="K11" s="27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445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>
        <v>9340</v>
      </c>
      <c r="L15" s="9" t="s">
        <v>134</v>
      </c>
      <c r="M15" s="16" t="s">
        <v>148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1295.08</v>
      </c>
      <c r="D16" s="2"/>
      <c r="E16" s="18"/>
      <c r="F16" s="25"/>
      <c r="G16" s="26"/>
      <c r="H16" s="8"/>
      <c r="I16" s="8"/>
      <c r="J16" s="2"/>
      <c r="K16" s="25">
        <v>9352</v>
      </c>
      <c r="L16" s="9" t="s">
        <v>130</v>
      </c>
      <c r="M16" s="16" t="s">
        <v>148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9221</v>
      </c>
      <c r="L17" s="9" t="s">
        <v>136</v>
      </c>
      <c r="M17" s="16" t="s">
        <v>148</v>
      </c>
      <c r="R17" s="1">
        <f>IF(vend1[[#This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1394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8624</v>
      </c>
      <c r="F35" s="25" t="s">
        <v>143</v>
      </c>
      <c r="G35" s="26" t="s">
        <v>6</v>
      </c>
      <c r="H35" s="8">
        <v>41.42</v>
      </c>
      <c r="I35" s="8" t="s">
        <v>44</v>
      </c>
      <c r="K35" s="25"/>
      <c r="L35" s="41"/>
      <c r="M35" s="16"/>
    </row>
    <row r="36" spans="2:18" ht="15.75" x14ac:dyDescent="0.25">
      <c r="E36" s="18">
        <v>8328</v>
      </c>
      <c r="F36" s="25" t="s">
        <v>143</v>
      </c>
      <c r="G36" s="26" t="s">
        <v>6</v>
      </c>
      <c r="H36" s="8">
        <v>50</v>
      </c>
      <c r="I36" s="8" t="s">
        <v>56</v>
      </c>
      <c r="K36" s="25"/>
      <c r="L36" s="41"/>
      <c r="M36" s="16"/>
    </row>
    <row r="37" spans="2:18" ht="15.75" x14ac:dyDescent="0.25">
      <c r="E37" s="18">
        <v>9330</v>
      </c>
      <c r="F37" s="25" t="s">
        <v>143</v>
      </c>
      <c r="G37" s="26" t="s">
        <v>6</v>
      </c>
      <c r="H37" s="8">
        <v>50</v>
      </c>
      <c r="I37" s="8" t="s">
        <v>42</v>
      </c>
      <c r="K37" s="25"/>
      <c r="L37" s="41"/>
      <c r="M37" s="16"/>
    </row>
    <row r="38" spans="2:18" ht="15.75" x14ac:dyDescent="0.25">
      <c r="E38" s="18">
        <v>8999</v>
      </c>
      <c r="F38" s="25" t="s">
        <v>143</v>
      </c>
      <c r="G38" s="26" t="s">
        <v>6</v>
      </c>
      <c r="H38" s="8">
        <v>60</v>
      </c>
      <c r="I38" s="8" t="s">
        <v>49</v>
      </c>
      <c r="K38" s="25"/>
      <c r="L38" s="41"/>
      <c r="M38" s="16"/>
    </row>
    <row r="39" spans="2:18" ht="15.75" x14ac:dyDescent="0.25">
      <c r="E39" s="18">
        <v>9305</v>
      </c>
      <c r="F39" s="39" t="s">
        <v>147</v>
      </c>
      <c r="G39" s="26" t="s">
        <v>7</v>
      </c>
      <c r="H39" s="8">
        <v>70</v>
      </c>
      <c r="I39" s="8" t="s">
        <v>42</v>
      </c>
      <c r="K39" s="25"/>
      <c r="L39" s="41"/>
      <c r="M39" s="16"/>
    </row>
    <row r="40" spans="2:18" ht="15.75" x14ac:dyDescent="0.25">
      <c r="E40" s="35">
        <v>9308</v>
      </c>
      <c r="F40" s="36" t="s">
        <v>149</v>
      </c>
      <c r="G40" s="37" t="s">
        <v>6</v>
      </c>
      <c r="H40" s="17">
        <v>166.66</v>
      </c>
      <c r="I40" s="8" t="s">
        <v>42</v>
      </c>
      <c r="K40" s="36"/>
      <c r="L40" s="42"/>
      <c r="M40" s="40"/>
      <c r="Q40" s="1" t="s">
        <v>36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8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'01'!B1+1</f>
        <v>45475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350</v>
      </c>
      <c r="D6" s="2"/>
      <c r="E6" s="18">
        <v>9451</v>
      </c>
      <c r="F6" s="25" t="s">
        <v>150</v>
      </c>
      <c r="G6" s="46" t="s">
        <v>6</v>
      </c>
      <c r="H6" s="8">
        <v>600</v>
      </c>
      <c r="I6" s="8">
        <v>50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688.56999999999994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6"/>
      <c r="F13" s="63"/>
      <c r="G13" s="97"/>
      <c r="H13" s="74"/>
      <c r="I13" s="74"/>
      <c r="J13" s="2"/>
      <c r="K13" s="111" t="s">
        <v>22</v>
      </c>
      <c r="L13" s="112"/>
      <c r="M13" s="113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6"/>
      <c r="F14" s="63"/>
      <c r="G14" s="97"/>
      <c r="H14" s="74"/>
      <c r="I14" s="7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9449</v>
      </c>
      <c r="L15" s="9" t="s">
        <v>130</v>
      </c>
      <c r="M15" s="16" t="s">
        <v>148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688.56999999999994</v>
      </c>
      <c r="D16" s="2"/>
      <c r="E16" s="18"/>
      <c r="F16" s="25"/>
      <c r="G16" s="26"/>
      <c r="H16" s="8"/>
      <c r="I16" s="8"/>
      <c r="J16" s="2"/>
      <c r="K16" s="25">
        <v>9281</v>
      </c>
      <c r="L16" s="9" t="s">
        <v>130</v>
      </c>
      <c r="M16" s="16" t="s">
        <v>148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9114</v>
      </c>
      <c r="L17" s="9" t="s">
        <v>130</v>
      </c>
      <c r="M17" s="16" t="s">
        <v>148</v>
      </c>
      <c r="R17" s="1">
        <f>IF(vend2[[#This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9371</v>
      </c>
      <c r="L18" s="9" t="s">
        <v>130</v>
      </c>
      <c r="M18" s="16" t="s">
        <v>148</v>
      </c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>
        <v>9439</v>
      </c>
      <c r="L19" s="9" t="s">
        <v>130</v>
      </c>
      <c r="M19" s="16" t="s">
        <v>148</v>
      </c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9440</v>
      </c>
      <c r="L20" s="9" t="s">
        <v>130</v>
      </c>
      <c r="M20" s="16" t="s">
        <v>148</v>
      </c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9390</v>
      </c>
      <c r="F26" s="25" t="s">
        <v>151</v>
      </c>
      <c r="G26" s="26" t="s">
        <v>6</v>
      </c>
      <c r="H26" s="8">
        <v>0</v>
      </c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>
        <v>8703</v>
      </c>
      <c r="F35" s="25" t="s">
        <v>152</v>
      </c>
      <c r="G35" s="26" t="s">
        <v>6</v>
      </c>
      <c r="H35" s="8">
        <v>110</v>
      </c>
      <c r="I35" s="8" t="s">
        <v>45</v>
      </c>
      <c r="K35" s="25"/>
      <c r="L35" s="41"/>
      <c r="M35" s="16"/>
    </row>
    <row r="36" spans="2:21" ht="15.75" x14ac:dyDescent="0.25">
      <c r="E36" s="18">
        <v>8703</v>
      </c>
      <c r="F36" s="25" t="s">
        <v>152</v>
      </c>
      <c r="G36" s="26" t="s">
        <v>6</v>
      </c>
      <c r="H36" s="8">
        <v>110</v>
      </c>
      <c r="I36" s="8" t="s">
        <v>80</v>
      </c>
      <c r="K36" s="25"/>
      <c r="L36" s="41"/>
      <c r="M36" s="16"/>
    </row>
    <row r="37" spans="2:21" ht="15.75" x14ac:dyDescent="0.25">
      <c r="E37" s="18">
        <v>8214</v>
      </c>
      <c r="F37" s="25" t="s">
        <v>153</v>
      </c>
      <c r="G37" s="26" t="s">
        <v>6</v>
      </c>
      <c r="H37" s="8">
        <v>118.57</v>
      </c>
      <c r="I37" s="8" t="s">
        <v>51</v>
      </c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8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'02'!B1+1</f>
        <v>45476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2011</v>
      </c>
      <c r="D6" s="2"/>
      <c r="E6" s="18">
        <v>9452</v>
      </c>
      <c r="F6" s="25" t="s">
        <v>154</v>
      </c>
      <c r="G6" s="46" t="s">
        <v>6</v>
      </c>
      <c r="H6" s="8">
        <v>600</v>
      </c>
      <c r="I6" s="8">
        <v>200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9453</v>
      </c>
      <c r="F7" s="25" t="s">
        <v>155</v>
      </c>
      <c r="G7" s="26" t="s">
        <v>6</v>
      </c>
      <c r="H7" s="8">
        <v>400</v>
      </c>
      <c r="I7" s="8">
        <v>1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2011</v>
      </c>
      <c r="D8" s="2"/>
      <c r="E8" s="18">
        <v>9454</v>
      </c>
      <c r="F8" s="25" t="s">
        <v>155</v>
      </c>
      <c r="G8" s="26" t="s">
        <v>10</v>
      </c>
      <c r="H8" s="8">
        <v>350</v>
      </c>
      <c r="I8" s="8">
        <v>20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419.75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106.25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2310</v>
      </c>
      <c r="D15" s="2"/>
      <c r="E15" s="18"/>
      <c r="F15" s="25"/>
      <c r="G15" s="26"/>
      <c r="H15" s="8"/>
      <c r="I15" s="8"/>
      <c r="J15" s="2"/>
      <c r="K15" s="25">
        <v>9373</v>
      </c>
      <c r="L15" s="9" t="s">
        <v>136</v>
      </c>
      <c r="M15" s="16" t="s">
        <v>148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2836</v>
      </c>
      <c r="D16" s="2"/>
      <c r="E16" s="18"/>
      <c r="F16" s="25"/>
      <c r="G16" s="26"/>
      <c r="H16" s="8"/>
      <c r="I16" s="8"/>
      <c r="J16" s="2"/>
      <c r="K16" s="25">
        <v>9392</v>
      </c>
      <c r="L16" s="9" t="s">
        <v>130</v>
      </c>
      <c r="M16" s="16" t="s">
        <v>148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9353</v>
      </c>
      <c r="L17" s="9" t="s">
        <v>129</v>
      </c>
      <c r="M17" s="16" t="s">
        <v>148</v>
      </c>
      <c r="R17" s="1">
        <f>IF(vend3[[#This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9407</v>
      </c>
      <c r="L18" s="9" t="s">
        <v>134</v>
      </c>
      <c r="M18" s="16" t="s">
        <v>148</v>
      </c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>
        <v>9406</v>
      </c>
      <c r="L19" s="9" t="s">
        <v>134</v>
      </c>
      <c r="M19" s="16" t="s">
        <v>148</v>
      </c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9403</v>
      </c>
      <c r="L20" s="9" t="s">
        <v>136</v>
      </c>
      <c r="M20" s="16" t="s">
        <v>148</v>
      </c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9405</v>
      </c>
      <c r="L21" s="9" t="s">
        <v>136</v>
      </c>
      <c r="M21" s="16" t="s">
        <v>148</v>
      </c>
    </row>
    <row r="22" spans="2:18" ht="15.75" x14ac:dyDescent="0.25">
      <c r="B22" s="28" t="s">
        <v>26</v>
      </c>
      <c r="C22" s="32">
        <f>C5</f>
        <v>1350</v>
      </c>
      <c r="D22" s="2"/>
      <c r="E22" s="18"/>
      <c r="F22" s="25"/>
      <c r="G22" s="26"/>
      <c r="H22" s="8"/>
      <c r="I22" s="8"/>
      <c r="J22" s="2"/>
      <c r="K22" s="25">
        <v>9446</v>
      </c>
      <c r="L22" s="9" t="s">
        <v>134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>
        <v>9363</v>
      </c>
      <c r="L23" s="9" t="s">
        <v>134</v>
      </c>
      <c r="M23" s="16" t="s">
        <v>148</v>
      </c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9392</v>
      </c>
      <c r="F26" s="25" t="s">
        <v>156</v>
      </c>
      <c r="G26" s="46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9357</v>
      </c>
      <c r="F27" s="25" t="s">
        <v>157</v>
      </c>
      <c r="G27" s="26" t="s">
        <v>10</v>
      </c>
      <c r="H27" s="8">
        <v>0</v>
      </c>
      <c r="I27" s="8">
        <v>1690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8619</v>
      </c>
      <c r="F35" s="25" t="s">
        <v>158</v>
      </c>
      <c r="G35" s="26" t="s">
        <v>7</v>
      </c>
      <c r="H35" s="8">
        <v>106.25</v>
      </c>
      <c r="I35" s="8" t="s">
        <v>83</v>
      </c>
      <c r="K35" s="25"/>
      <c r="L35" s="41"/>
      <c r="M35" s="16"/>
    </row>
    <row r="36" spans="2:18" ht="15.75" x14ac:dyDescent="0.25">
      <c r="E36" s="18">
        <v>9118</v>
      </c>
      <c r="F36" s="25" t="s">
        <v>159</v>
      </c>
      <c r="G36" s="26" t="s">
        <v>6</v>
      </c>
      <c r="H36" s="8">
        <v>118.75</v>
      </c>
      <c r="I36" s="8" t="s">
        <v>34</v>
      </c>
      <c r="K36" s="25"/>
      <c r="L36" s="41"/>
      <c r="M36" s="16"/>
    </row>
    <row r="37" spans="2:18" ht="15.75" x14ac:dyDescent="0.25">
      <c r="E37" s="18">
        <v>8754</v>
      </c>
      <c r="F37" s="25" t="s">
        <v>160</v>
      </c>
      <c r="G37" s="26" t="s">
        <v>10</v>
      </c>
      <c r="H37" s="8">
        <v>237.5</v>
      </c>
      <c r="I37" s="8" t="s">
        <v>34</v>
      </c>
      <c r="K37" s="25"/>
      <c r="L37" s="41"/>
      <c r="M37" s="16"/>
    </row>
    <row r="38" spans="2:18" ht="15.75" x14ac:dyDescent="0.25">
      <c r="E38" s="18">
        <v>8754</v>
      </c>
      <c r="F38" s="25" t="s">
        <v>160</v>
      </c>
      <c r="G38" s="26" t="s">
        <v>10</v>
      </c>
      <c r="H38" s="8">
        <v>237.5</v>
      </c>
      <c r="I38" s="8" t="s">
        <v>83</v>
      </c>
      <c r="K38" s="25"/>
      <c r="L38" s="41"/>
      <c r="M38" s="16"/>
    </row>
    <row r="39" spans="2:18" ht="15.75" x14ac:dyDescent="0.25">
      <c r="E39" s="18">
        <v>9068</v>
      </c>
      <c r="F39" s="39" t="s">
        <v>161</v>
      </c>
      <c r="G39" s="26" t="s">
        <v>10</v>
      </c>
      <c r="H39" s="8">
        <v>125</v>
      </c>
      <c r="I39" s="8" t="s">
        <v>55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abSelected="1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'03'!B1+1</f>
        <v>45477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669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1119</v>
      </c>
      <c r="D6" s="2"/>
      <c r="E6" s="18">
        <v>9455</v>
      </c>
      <c r="F6" s="25" t="s">
        <v>162</v>
      </c>
      <c r="G6" s="46" t="s">
        <v>6</v>
      </c>
      <c r="H6" s="8">
        <v>400</v>
      </c>
      <c r="I6" s="8">
        <v>80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9456</v>
      </c>
      <c r="F7" s="25" t="s">
        <v>163</v>
      </c>
      <c r="G7" s="46" t="s">
        <v>10</v>
      </c>
      <c r="H7" s="8">
        <v>39</v>
      </c>
      <c r="I7" s="8">
        <v>39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1119</v>
      </c>
      <c r="D8" s="2"/>
      <c r="E8" s="18">
        <v>9457</v>
      </c>
      <c r="F8" s="25" t="s">
        <v>164</v>
      </c>
      <c r="G8" s="46" t="s">
        <v>50</v>
      </c>
      <c r="H8" s="8"/>
      <c r="I8" s="8"/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9458</v>
      </c>
      <c r="F9" s="25" t="s">
        <v>165</v>
      </c>
      <c r="G9" s="46" t="s">
        <v>40</v>
      </c>
      <c r="H9" s="8"/>
      <c r="I9" s="8"/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9459</v>
      </c>
      <c r="F10" s="25" t="s">
        <v>165</v>
      </c>
      <c r="G10" s="26" t="s">
        <v>40</v>
      </c>
      <c r="H10" s="8"/>
      <c r="I10" s="8"/>
      <c r="J10" s="2"/>
      <c r="K10" s="25"/>
      <c r="L10" s="9"/>
      <c r="M10" s="16"/>
      <c r="R10" s="1">
        <f>IF(vend4[[#This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180</v>
      </c>
      <c r="D11" s="2"/>
      <c r="E11" s="18">
        <v>9460</v>
      </c>
      <c r="F11" s="25" t="s">
        <v>172</v>
      </c>
      <c r="G11" s="26" t="s">
        <v>50</v>
      </c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700</v>
      </c>
      <c r="D12" s="2"/>
      <c r="E12" s="18">
        <v>9461</v>
      </c>
      <c r="F12" s="25" t="s">
        <v>173</v>
      </c>
      <c r="G12" s="26" t="s">
        <v>7</v>
      </c>
      <c r="H12" s="8">
        <v>230</v>
      </c>
      <c r="I12" s="8">
        <v>230</v>
      </c>
      <c r="J12" s="2"/>
      <c r="R12" s="1">
        <f>IF(vend4[[#This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239</v>
      </c>
      <c r="D15" s="2"/>
      <c r="E15" s="18"/>
      <c r="F15" s="25"/>
      <c r="G15" s="26"/>
      <c r="H15" s="8"/>
      <c r="I15" s="8"/>
      <c r="J15" s="2"/>
      <c r="K15" s="59">
        <v>9375</v>
      </c>
      <c r="L15" s="9" t="s">
        <v>130</v>
      </c>
      <c r="M15" s="60" t="s">
        <v>166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1119</v>
      </c>
      <c r="D16" s="2"/>
      <c r="E16" s="18"/>
      <c r="F16" s="25"/>
      <c r="G16" s="26"/>
      <c r="H16" s="8"/>
      <c r="I16" s="8"/>
      <c r="J16" s="2"/>
      <c r="K16" s="61">
        <v>9372</v>
      </c>
      <c r="L16" s="9" t="s">
        <v>130</v>
      </c>
      <c r="M16" s="60" t="s">
        <v>166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59">
        <v>9436</v>
      </c>
      <c r="L17" s="9" t="s">
        <v>136</v>
      </c>
      <c r="M17" s="60" t="s">
        <v>166</v>
      </c>
      <c r="R17" s="1">
        <f>IF(vend4[[#This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9426</v>
      </c>
      <c r="L18" s="9" t="s">
        <v>134</v>
      </c>
      <c r="M18" s="16" t="s">
        <v>148</v>
      </c>
      <c r="R18" s="1">
        <f>IF(vend4[[#This Row],[Nº Venda]]&gt;1,1,0)</f>
        <v>0</v>
      </c>
    </row>
    <row r="19" spans="2:18" ht="15.75" x14ac:dyDescent="0.25">
      <c r="B19" s="30">
        <f>COUNT(entr_carn4[OS])</f>
        <v>5</v>
      </c>
      <c r="C19" s="31">
        <f>SUM(entr_carn4[Valor Total])</f>
        <v>3720</v>
      </c>
      <c r="D19" s="2"/>
      <c r="E19" s="18"/>
      <c r="F19" s="25"/>
      <c r="G19" s="26"/>
      <c r="H19" s="8"/>
      <c r="I19" s="8"/>
      <c r="J19" s="2"/>
      <c r="K19" s="25">
        <v>9418</v>
      </c>
      <c r="L19" s="9" t="s">
        <v>134</v>
      </c>
      <c r="M19" s="16" t="s">
        <v>148</v>
      </c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3720</v>
      </c>
      <c r="D20" s="2"/>
      <c r="E20" s="18"/>
      <c r="F20" s="26"/>
      <c r="G20" s="26"/>
      <c r="H20" s="8"/>
      <c r="I20" s="8"/>
      <c r="J20" s="2"/>
      <c r="K20" s="25">
        <v>9428</v>
      </c>
      <c r="L20" s="9" t="s">
        <v>136</v>
      </c>
      <c r="M20" s="16" t="s">
        <v>148</v>
      </c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9374</v>
      </c>
      <c r="L21" s="9" t="s">
        <v>136</v>
      </c>
      <c r="M21" s="16" t="s">
        <v>166</v>
      </c>
    </row>
    <row r="22" spans="2:18" ht="15.75" x14ac:dyDescent="0.25">
      <c r="B22" s="28" t="s">
        <v>26</v>
      </c>
      <c r="C22" s="32">
        <f>C5</f>
        <v>669</v>
      </c>
      <c r="D22" s="2"/>
      <c r="E22" s="18"/>
      <c r="F22" s="25"/>
      <c r="G22" s="26"/>
      <c r="H22" s="8"/>
      <c r="I22" s="8"/>
      <c r="J22" s="2"/>
      <c r="K22" s="25">
        <v>9456</v>
      </c>
      <c r="L22" s="9" t="s">
        <v>130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>
        <v>9370</v>
      </c>
      <c r="L23" s="9" t="s">
        <v>136</v>
      </c>
      <c r="M23" s="16" t="s">
        <v>166</v>
      </c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>
        <v>9461</v>
      </c>
      <c r="L24" s="9" t="s">
        <v>130</v>
      </c>
      <c r="M24" s="16" t="s">
        <v>148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9436</v>
      </c>
      <c r="F26" s="25" t="s">
        <v>167</v>
      </c>
      <c r="G26" s="46" t="s">
        <v>7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9428</v>
      </c>
      <c r="F27" s="25" t="s">
        <v>168</v>
      </c>
      <c r="G27" s="46" t="s">
        <v>7</v>
      </c>
      <c r="H27" s="8">
        <v>0</v>
      </c>
      <c r="I27" s="8">
        <v>170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9374</v>
      </c>
      <c r="F28" s="25" t="s">
        <v>169</v>
      </c>
      <c r="G28" s="46" t="s">
        <v>6</v>
      </c>
      <c r="H28" s="8">
        <v>0</v>
      </c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9018</v>
      </c>
      <c r="F29" s="25" t="s">
        <v>170</v>
      </c>
      <c r="G29" s="26" t="s">
        <v>7</v>
      </c>
      <c r="H29" s="8">
        <v>0</v>
      </c>
      <c r="I29" s="8">
        <v>100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9370</v>
      </c>
      <c r="F30" s="39" t="s">
        <v>171</v>
      </c>
      <c r="G30" s="26" t="s">
        <v>10</v>
      </c>
      <c r="H30" s="8">
        <v>0</v>
      </c>
      <c r="I30" s="8">
        <v>200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9375</v>
      </c>
      <c r="L35" s="41">
        <v>8</v>
      </c>
      <c r="M35" s="16">
        <v>881</v>
      </c>
    </row>
    <row r="36" spans="2:18" ht="15.75" x14ac:dyDescent="0.25">
      <c r="E36" s="18"/>
      <c r="F36" s="25"/>
      <c r="G36" s="26"/>
      <c r="H36" s="8"/>
      <c r="I36" s="8"/>
      <c r="K36" s="25">
        <v>9372</v>
      </c>
      <c r="L36" s="41">
        <v>1</v>
      </c>
      <c r="M36" s="16">
        <v>900</v>
      </c>
    </row>
    <row r="37" spans="2:18" ht="15.75" x14ac:dyDescent="0.25">
      <c r="E37" s="18"/>
      <c r="F37" s="25"/>
      <c r="G37" s="26"/>
      <c r="H37" s="8"/>
      <c r="I37" s="8"/>
      <c r="K37" s="25">
        <v>9436</v>
      </c>
      <c r="L37" s="41">
        <v>8</v>
      </c>
      <c r="M37" s="16">
        <v>999</v>
      </c>
    </row>
    <row r="38" spans="2:18" ht="15.75" x14ac:dyDescent="0.25">
      <c r="E38" s="18"/>
      <c r="F38" s="25"/>
      <c r="G38" s="26"/>
      <c r="H38" s="8"/>
      <c r="I38" s="8"/>
      <c r="K38" s="25">
        <v>9374</v>
      </c>
      <c r="L38" s="41">
        <v>6</v>
      </c>
      <c r="M38" s="16">
        <v>290</v>
      </c>
    </row>
    <row r="39" spans="2:18" ht="15.75" x14ac:dyDescent="0.25">
      <c r="E39" s="18"/>
      <c r="F39" s="39"/>
      <c r="G39" s="26"/>
      <c r="H39" s="8"/>
      <c r="I39" s="8"/>
      <c r="K39" s="25">
        <v>9370</v>
      </c>
      <c r="L39" s="41">
        <v>6</v>
      </c>
      <c r="M39" s="16">
        <v>650</v>
      </c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7" zoomScale="80" zoomScaleNormal="80" workbookViewId="0">
      <selection activeCell="E17" sqref="E1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3.140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'04'!B1+1</f>
        <v>45478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9299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9479</v>
      </c>
      <c r="D6" s="2"/>
      <c r="E6" s="18">
        <v>9462</v>
      </c>
      <c r="F6" s="25" t="s">
        <v>175</v>
      </c>
      <c r="G6" s="46" t="s">
        <v>7</v>
      </c>
      <c r="H6" s="8">
        <v>3150</v>
      </c>
      <c r="I6" s="8">
        <v>1575</v>
      </c>
      <c r="J6" s="2"/>
      <c r="K6" s="25" t="s">
        <v>186</v>
      </c>
      <c r="L6" s="9" t="s">
        <v>187</v>
      </c>
      <c r="M6" s="16">
        <v>1056.53</v>
      </c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1549</v>
      </c>
      <c r="D7" s="2"/>
      <c r="E7" s="18"/>
      <c r="F7" s="25"/>
      <c r="G7" s="46" t="s">
        <v>8</v>
      </c>
      <c r="H7" s="8">
        <v>0</v>
      </c>
      <c r="I7" s="8">
        <v>1575</v>
      </c>
      <c r="J7" s="2"/>
      <c r="K7" s="25" t="s">
        <v>188</v>
      </c>
      <c r="L7" s="9" t="s">
        <v>187</v>
      </c>
      <c r="M7" s="16">
        <v>492.47</v>
      </c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11028</v>
      </c>
      <c r="D8" s="2"/>
      <c r="E8" s="18">
        <v>9463</v>
      </c>
      <c r="F8" s="25" t="s">
        <v>175</v>
      </c>
      <c r="G8" s="46" t="s">
        <v>8</v>
      </c>
      <c r="H8" s="8">
        <v>150</v>
      </c>
      <c r="I8" s="8">
        <v>75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 t="s">
        <v>7</v>
      </c>
      <c r="H9" s="8">
        <v>0</v>
      </c>
      <c r="I9" s="8">
        <v>75</v>
      </c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09" t="s">
        <v>5</v>
      </c>
      <c r="C10" s="109"/>
      <c r="D10" s="2"/>
      <c r="E10" s="18">
        <v>9464</v>
      </c>
      <c r="F10" s="25" t="s">
        <v>176</v>
      </c>
      <c r="G10" s="46" t="s">
        <v>7</v>
      </c>
      <c r="H10" s="8">
        <v>450</v>
      </c>
      <c r="I10" s="8">
        <v>225</v>
      </c>
      <c r="J10" s="2"/>
      <c r="K10" s="25"/>
      <c r="L10" s="9"/>
      <c r="M10" s="16"/>
      <c r="R10" s="1">
        <f>IF(vend5[[#This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1549</v>
      </c>
      <c r="D11" s="2"/>
      <c r="E11" s="18"/>
      <c r="F11" s="25"/>
      <c r="G11" s="46" t="s">
        <v>8</v>
      </c>
      <c r="H11" s="8">
        <v>0</v>
      </c>
      <c r="I11" s="8">
        <v>225</v>
      </c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1875</v>
      </c>
      <c r="D12" s="2"/>
      <c r="E12" s="18">
        <v>9465</v>
      </c>
      <c r="F12" s="25" t="s">
        <v>174</v>
      </c>
      <c r="G12" s="46" t="s">
        <v>10</v>
      </c>
      <c r="H12" s="8">
        <v>600</v>
      </c>
      <c r="I12" s="8">
        <v>30</v>
      </c>
      <c r="J12" s="2"/>
      <c r="R12" s="1">
        <f>IF(vend5[[#This Row],[Nº Venda]]&gt;1,1,0)</f>
        <v>1</v>
      </c>
    </row>
    <row r="13" spans="2:18" ht="15.75" x14ac:dyDescent="0.25">
      <c r="B13" s="30" t="s">
        <v>8</v>
      </c>
      <c r="C13" s="31">
        <f t="shared" si="0"/>
        <v>3875</v>
      </c>
      <c r="D13" s="2"/>
      <c r="E13" s="18">
        <v>9466</v>
      </c>
      <c r="F13" s="25" t="s">
        <v>182</v>
      </c>
      <c r="G13" s="26" t="s">
        <v>8</v>
      </c>
      <c r="H13" s="8">
        <v>2599</v>
      </c>
      <c r="I13" s="8">
        <v>2000</v>
      </c>
      <c r="J13" s="2"/>
      <c r="K13" s="111" t="s">
        <v>22</v>
      </c>
      <c r="L13" s="112"/>
      <c r="M13" s="113"/>
      <c r="R13" s="1">
        <f>IF(vend5[[#This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 t="s">
        <v>6</v>
      </c>
      <c r="H14" s="8">
        <v>0</v>
      </c>
      <c r="I14" s="8">
        <v>599</v>
      </c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2664.51</v>
      </c>
      <c r="D15" s="2"/>
      <c r="E15" s="18">
        <v>9467</v>
      </c>
      <c r="F15" s="25" t="s">
        <v>182</v>
      </c>
      <c r="G15" s="26" t="s">
        <v>50</v>
      </c>
      <c r="H15" s="8">
        <v>0</v>
      </c>
      <c r="I15" s="8">
        <v>0</v>
      </c>
      <c r="J15" s="2"/>
      <c r="K15" s="25">
        <v>9275</v>
      </c>
      <c r="L15" s="9" t="s">
        <v>130</v>
      </c>
      <c r="M15" s="66" t="s">
        <v>148</v>
      </c>
      <c r="N15" s="16"/>
      <c r="R15" s="1">
        <f>IF(vend5[[#This Row],[Nº Venda]]&gt;1,1,0)</f>
        <v>1</v>
      </c>
    </row>
    <row r="16" spans="2:18" ht="15.75" x14ac:dyDescent="0.25">
      <c r="B16" s="28" t="s">
        <v>11</v>
      </c>
      <c r="C16" s="32">
        <f>SUM(C11:C15)</f>
        <v>9963.51</v>
      </c>
      <c r="D16" s="2"/>
      <c r="E16" s="18">
        <v>9468</v>
      </c>
      <c r="F16" s="25" t="s">
        <v>183</v>
      </c>
      <c r="G16" s="26" t="s">
        <v>10</v>
      </c>
      <c r="H16" s="8">
        <v>900</v>
      </c>
      <c r="I16" s="8">
        <v>900</v>
      </c>
      <c r="J16" s="2"/>
      <c r="K16" s="25">
        <v>9385</v>
      </c>
      <c r="L16" s="9" t="s">
        <v>134</v>
      </c>
      <c r="M16" s="65" t="s">
        <v>148</v>
      </c>
      <c r="N16" s="16"/>
      <c r="R16" s="1">
        <f>IF(vend5[[#This Row],[Nº Venda]]&gt;1,1,0)</f>
        <v>1</v>
      </c>
    </row>
    <row r="17" spans="2:18" ht="15.75" x14ac:dyDescent="0.25">
      <c r="B17" s="2"/>
      <c r="C17" s="2"/>
      <c r="D17" s="2"/>
      <c r="E17" s="18">
        <v>9469</v>
      </c>
      <c r="F17" s="25" t="s">
        <v>183</v>
      </c>
      <c r="G17" s="26" t="s">
        <v>10</v>
      </c>
      <c r="H17" s="8">
        <v>1450</v>
      </c>
      <c r="I17" s="8">
        <v>1450</v>
      </c>
      <c r="J17" s="2"/>
      <c r="K17" s="25">
        <v>9065</v>
      </c>
      <c r="L17" s="9" t="s">
        <v>130</v>
      </c>
      <c r="M17" s="16" t="s">
        <v>148</v>
      </c>
      <c r="R17" s="1">
        <f>IF(vend5[[#This Row],[Nº Venda]]&gt;1,1,0)</f>
        <v>1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9409</v>
      </c>
      <c r="L18" s="9" t="s">
        <v>130</v>
      </c>
      <c r="M18" s="16" t="s">
        <v>148</v>
      </c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>
        <v>9398</v>
      </c>
      <c r="L19" s="9" t="s">
        <v>130</v>
      </c>
      <c r="M19" s="16" t="s">
        <v>148</v>
      </c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9299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9385</v>
      </c>
      <c r="F26" s="25" t="s">
        <v>177</v>
      </c>
      <c r="G26" s="46" t="s">
        <v>6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9398</v>
      </c>
      <c r="F27" s="25" t="s">
        <v>178</v>
      </c>
      <c r="G27" s="46" t="s">
        <v>6</v>
      </c>
      <c r="H27" s="8"/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8907</v>
      </c>
      <c r="F35" s="25" t="s">
        <v>179</v>
      </c>
      <c r="G35" s="26" t="s">
        <v>6</v>
      </c>
      <c r="H35" s="8">
        <v>50</v>
      </c>
      <c r="I35" s="8" t="s">
        <v>77</v>
      </c>
      <c r="K35" s="25"/>
      <c r="L35" s="41"/>
      <c r="M35" s="16"/>
    </row>
    <row r="36" spans="2:18" ht="15.75" x14ac:dyDescent="0.25">
      <c r="E36" s="18">
        <v>9222</v>
      </c>
      <c r="F36" s="25" t="s">
        <v>180</v>
      </c>
      <c r="G36" s="26" t="s">
        <v>6</v>
      </c>
      <c r="H36" s="8">
        <v>150</v>
      </c>
      <c r="I36" s="8" t="s">
        <v>33</v>
      </c>
      <c r="K36" s="25"/>
      <c r="L36" s="41"/>
      <c r="M36" s="16"/>
    </row>
    <row r="37" spans="2:18" ht="15.75" x14ac:dyDescent="0.25">
      <c r="E37" s="93">
        <v>9307</v>
      </c>
      <c r="F37" s="92" t="s">
        <v>181</v>
      </c>
      <c r="G37" s="94" t="s">
        <v>10</v>
      </c>
      <c r="H37" s="95">
        <v>116.66</v>
      </c>
      <c r="I37" s="95" t="s">
        <v>42</v>
      </c>
      <c r="K37" s="25"/>
      <c r="L37" s="41"/>
      <c r="M37" s="16"/>
    </row>
    <row r="38" spans="2:18" ht="15.75" x14ac:dyDescent="0.25">
      <c r="E38" s="18">
        <v>9285</v>
      </c>
      <c r="F38" s="25" t="s">
        <v>184</v>
      </c>
      <c r="G38" s="26" t="s">
        <v>10</v>
      </c>
      <c r="H38" s="8">
        <v>92.85</v>
      </c>
      <c r="I38" s="8" t="s">
        <v>44</v>
      </c>
      <c r="K38" s="25"/>
      <c r="L38" s="41"/>
      <c r="M38" s="16"/>
    </row>
    <row r="39" spans="2:18" ht="15.75" x14ac:dyDescent="0.25">
      <c r="E39" s="18">
        <v>9262</v>
      </c>
      <c r="F39" s="39" t="s">
        <v>185</v>
      </c>
      <c r="G39" s="26" t="s">
        <v>10</v>
      </c>
      <c r="H39" s="8">
        <v>75</v>
      </c>
      <c r="I39" s="8" t="s">
        <v>42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9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6">
        <f>'06'!B1+1</f>
        <v>45480</v>
      </c>
    </row>
    <row r="2" spans="2:21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4"/>
      <c r="G6" s="84"/>
      <c r="H6" s="85"/>
      <c r="I6" s="85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49"/>
      <c r="L15" s="9"/>
      <c r="M15" s="50"/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5"/>
      <c r="F26" s="62"/>
      <c r="G26" s="76"/>
      <c r="H26" s="77"/>
      <c r="I26" s="77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7"/>
  <sheetViews>
    <sheetView showGridLines="0" topLeftCell="A26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'05'!B1+1</f>
        <v>45479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SUMIF(I6:I36,"&gt;0",H6:H36)</f>
        <v>3857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SUM(I6:I47)</f>
        <v>3868</v>
      </c>
      <c r="D6" s="2"/>
      <c r="E6" s="18">
        <v>9470</v>
      </c>
      <c r="F6" s="25" t="s">
        <v>189</v>
      </c>
      <c r="G6" s="26" t="s">
        <v>7</v>
      </c>
      <c r="H6" s="8">
        <v>790</v>
      </c>
      <c r="I6" s="8">
        <v>20</v>
      </c>
      <c r="J6" s="2"/>
      <c r="K6" s="25" t="s">
        <v>203</v>
      </c>
      <c r="L6" s="9" t="s">
        <v>204</v>
      </c>
      <c r="M6" s="16">
        <v>100</v>
      </c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100</v>
      </c>
      <c r="D7" s="2"/>
      <c r="E7" s="18">
        <v>9471</v>
      </c>
      <c r="F7" s="25" t="s">
        <v>197</v>
      </c>
      <c r="G7" s="26" t="s">
        <v>7</v>
      </c>
      <c r="H7" s="8">
        <v>899</v>
      </c>
      <c r="I7" s="8">
        <v>50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3968</v>
      </c>
      <c r="D8" s="2"/>
      <c r="E8" s="18">
        <v>9472</v>
      </c>
      <c r="F8" s="25" t="s">
        <v>170</v>
      </c>
      <c r="G8" s="26" t="s">
        <v>6</v>
      </c>
      <c r="H8" s="8">
        <v>400</v>
      </c>
      <c r="I8" s="8">
        <v>50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9473</v>
      </c>
      <c r="F9" s="25" t="s">
        <v>202</v>
      </c>
      <c r="G9" s="26" t="s">
        <v>10</v>
      </c>
      <c r="H9" s="8">
        <v>569</v>
      </c>
      <c r="I9" s="8">
        <v>569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9474</v>
      </c>
      <c r="F10" s="58" t="s">
        <v>202</v>
      </c>
      <c r="G10" s="26" t="s">
        <v>10</v>
      </c>
      <c r="H10" s="8">
        <v>200</v>
      </c>
      <c r="I10" s="8">
        <v>200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(SUMIF($G$2:$G$36,B11,$I$2:$I$36))+(SUMIF($G$41:$G$47,B11,$H$41:$H$47))</f>
        <v>540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>(SUMIF($G$2:$G$36,B12,$I$2:$I$36))+(SUMIF($G$41:$G$47,B12,$H$41:$H$47))</f>
        <v>390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>(SUMIF($G$2:$G$36,B13,$I$2:$I$36))+(SUMIF($G$41:$G$47,B13,$H$41:$H$47))</f>
        <v>1099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>(SUMIF($G$2:$G$36,B14,$I$2:$I$36))+(SUMIF($G$41:$G$47,B14,$H$41:$H$47))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>(SUMIF($G$2:$G$36,B15,$I$2:$I$36))+(SUMIF($G$41:$G$47,B15,$H$41:$H$47))</f>
        <v>2040.42</v>
      </c>
      <c r="D15" s="2"/>
      <c r="E15" s="18"/>
      <c r="F15" s="25"/>
      <c r="G15" s="26"/>
      <c r="H15" s="8"/>
      <c r="I15" s="8"/>
      <c r="J15" s="2"/>
      <c r="K15" s="18">
        <v>9396</v>
      </c>
      <c r="L15" s="9" t="s">
        <v>130</v>
      </c>
      <c r="M15" s="16" t="s">
        <v>166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4069.42</v>
      </c>
      <c r="D16" s="2"/>
      <c r="E16" s="18"/>
      <c r="F16" s="25"/>
      <c r="G16" s="26"/>
      <c r="H16" s="8"/>
      <c r="I16" s="8"/>
      <c r="J16" s="2"/>
      <c r="K16" s="25">
        <v>9435</v>
      </c>
      <c r="L16" s="9" t="s">
        <v>130</v>
      </c>
      <c r="M16" s="16" t="s">
        <v>148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9444</v>
      </c>
      <c r="L17" s="9" t="s">
        <v>136</v>
      </c>
      <c r="M17" s="16" t="s">
        <v>148</v>
      </c>
      <c r="R17" s="1">
        <f>IF(vend[[#This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9417</v>
      </c>
      <c r="L18" s="9" t="s">
        <v>134</v>
      </c>
      <c r="M18" s="16" t="s">
        <v>148</v>
      </c>
      <c r="R18" s="1">
        <f>IF(vend[[#This Row],[Nº Venda]]&gt;1,1,0)</f>
        <v>0</v>
      </c>
    </row>
    <row r="19" spans="2:18" ht="15.75" x14ac:dyDescent="0.25">
      <c r="B19" s="30">
        <f>COUNT(entr_carn6[OS])</f>
        <v>3</v>
      </c>
      <c r="C19" s="31">
        <f>SUM(entr_carn6[Valor Total])</f>
        <v>1578.6</v>
      </c>
      <c r="D19" s="2"/>
      <c r="E19" s="18"/>
      <c r="F19" s="25"/>
      <c r="G19" s="26"/>
      <c r="H19" s="8"/>
      <c r="I19" s="8"/>
      <c r="J19" s="2"/>
      <c r="K19" s="25">
        <v>9450</v>
      </c>
      <c r="L19" s="9" t="s">
        <v>130</v>
      </c>
      <c r="M19" s="16" t="s">
        <v>148</v>
      </c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1578.6</v>
      </c>
      <c r="D20" s="2"/>
      <c r="E20" s="18"/>
      <c r="F20" s="26"/>
      <c r="G20" s="26"/>
      <c r="H20" s="8"/>
      <c r="I20" s="8"/>
      <c r="J20" s="2"/>
      <c r="K20" s="25">
        <v>9410</v>
      </c>
      <c r="L20" s="9" t="s">
        <v>134</v>
      </c>
      <c r="M20" s="16" t="s">
        <v>148</v>
      </c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9289</v>
      </c>
      <c r="L21" s="9" t="s">
        <v>134</v>
      </c>
      <c r="M21" s="16" t="s">
        <v>166</v>
      </c>
    </row>
    <row r="22" spans="2:18" ht="15.75" x14ac:dyDescent="0.25">
      <c r="B22" s="28" t="s">
        <v>26</v>
      </c>
      <c r="C22" s="32">
        <f>C5</f>
        <v>3857</v>
      </c>
      <c r="D22" s="2"/>
      <c r="E22" s="18"/>
      <c r="F22" s="25"/>
      <c r="G22" s="26"/>
      <c r="H22" s="8"/>
      <c r="I22" s="8"/>
      <c r="J22" s="2"/>
      <c r="K22" s="25">
        <v>9425</v>
      </c>
      <c r="L22" s="9" t="s">
        <v>134</v>
      </c>
      <c r="M22" s="16" t="s">
        <v>166</v>
      </c>
    </row>
    <row r="23" spans="2:18" ht="15" x14ac:dyDescent="0.25">
      <c r="B23" s="2"/>
      <c r="C23" s="2"/>
      <c r="D23" s="2"/>
      <c r="E23" s="33"/>
      <c r="H23" s="7"/>
      <c r="J23" s="2"/>
      <c r="K23" s="25">
        <v>9437</v>
      </c>
      <c r="L23" s="9" t="s">
        <v>136</v>
      </c>
      <c r="M23" s="16" t="s">
        <v>166</v>
      </c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9018</v>
      </c>
      <c r="F26" s="25" t="s">
        <v>170</v>
      </c>
      <c r="G26" s="26" t="s">
        <v>6</v>
      </c>
      <c r="H26" s="8">
        <v>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8957</v>
      </c>
      <c r="F27" s="25" t="s">
        <v>192</v>
      </c>
      <c r="G27" s="26" t="s">
        <v>10</v>
      </c>
      <c r="H27" s="8">
        <v>0</v>
      </c>
      <c r="I27" s="8">
        <v>270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9396</v>
      </c>
      <c r="F28" s="25" t="s">
        <v>193</v>
      </c>
      <c r="G28" s="26" t="s">
        <v>10</v>
      </c>
      <c r="H28" s="8">
        <v>0</v>
      </c>
      <c r="I28" s="8">
        <v>300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9435</v>
      </c>
      <c r="F29" s="25" t="s">
        <v>194</v>
      </c>
      <c r="G29" s="26" t="s">
        <v>10</v>
      </c>
      <c r="H29" s="8">
        <v>300</v>
      </c>
      <c r="I29" s="8">
        <v>300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9455</v>
      </c>
      <c r="F30" s="39" t="s">
        <v>195</v>
      </c>
      <c r="G30" s="26" t="s">
        <v>7</v>
      </c>
      <c r="H30" s="8">
        <v>0</v>
      </c>
      <c r="I30" s="8">
        <v>320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9453</v>
      </c>
      <c r="F31" s="36" t="s">
        <v>196</v>
      </c>
      <c r="G31" s="37" t="s">
        <v>8</v>
      </c>
      <c r="H31" s="17">
        <v>0</v>
      </c>
      <c r="I31" s="17">
        <v>400</v>
      </c>
      <c r="J31" s="2"/>
      <c r="K31" s="25"/>
      <c r="L31" s="9"/>
      <c r="M31" s="16"/>
    </row>
    <row r="32" spans="2:18" ht="15.75" x14ac:dyDescent="0.25">
      <c r="B32" s="2"/>
      <c r="C32" s="2"/>
      <c r="E32" s="104">
        <v>9026</v>
      </c>
      <c r="F32" s="99" t="s">
        <v>198</v>
      </c>
      <c r="G32" s="98" t="s">
        <v>6</v>
      </c>
      <c r="H32" s="100">
        <v>0</v>
      </c>
      <c r="I32" s="100">
        <v>140</v>
      </c>
    </row>
    <row r="33" spans="2:18" ht="15.75" x14ac:dyDescent="0.25">
      <c r="B33" s="2"/>
      <c r="C33" s="2"/>
      <c r="E33" s="104">
        <v>9425</v>
      </c>
      <c r="F33" s="99" t="s">
        <v>199</v>
      </c>
      <c r="G33" s="98" t="s">
        <v>10</v>
      </c>
      <c r="H33" s="100">
        <v>0</v>
      </c>
      <c r="I33" s="100">
        <v>200</v>
      </c>
      <c r="K33" s="111" t="s">
        <v>12</v>
      </c>
      <c r="L33" s="112"/>
      <c r="M33" s="113"/>
    </row>
    <row r="34" spans="2:18" ht="15.75" x14ac:dyDescent="0.25">
      <c r="E34" s="104">
        <v>9289</v>
      </c>
      <c r="F34" s="99" t="s">
        <v>200</v>
      </c>
      <c r="G34" s="98" t="s">
        <v>6</v>
      </c>
      <c r="H34" s="100">
        <v>0</v>
      </c>
      <c r="I34" s="100">
        <v>300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04">
        <v>9460</v>
      </c>
      <c r="F35" s="99" t="s">
        <v>201</v>
      </c>
      <c r="G35" s="98" t="s">
        <v>8</v>
      </c>
      <c r="H35" s="100">
        <v>699</v>
      </c>
      <c r="I35" s="100">
        <v>699</v>
      </c>
      <c r="K35" s="25">
        <v>9396</v>
      </c>
      <c r="L35" s="41">
        <v>1</v>
      </c>
      <c r="M35" s="16">
        <v>400</v>
      </c>
    </row>
    <row r="36" spans="2:18" ht="15.75" x14ac:dyDescent="0.25">
      <c r="E36" s="104"/>
      <c r="F36" s="99"/>
      <c r="G36" s="98"/>
      <c r="H36" s="100"/>
      <c r="I36" s="100"/>
      <c r="K36" s="25">
        <v>9289</v>
      </c>
      <c r="L36" s="41">
        <v>6</v>
      </c>
      <c r="M36" s="16">
        <v>549.6</v>
      </c>
    </row>
    <row r="37" spans="2:18" ht="15.75" x14ac:dyDescent="0.25">
      <c r="E37" s="102"/>
      <c r="F37" s="80"/>
      <c r="G37" s="81"/>
      <c r="H37" s="82"/>
      <c r="I37" s="82"/>
      <c r="K37" s="25">
        <v>9425</v>
      </c>
      <c r="L37" s="41">
        <v>6</v>
      </c>
      <c r="M37" s="16">
        <v>629</v>
      </c>
    </row>
    <row r="38" spans="2:18" ht="15" x14ac:dyDescent="0.25">
      <c r="E38" s="33"/>
      <c r="K38" s="25"/>
      <c r="L38" s="41"/>
      <c r="M38" s="16"/>
    </row>
    <row r="39" spans="2:18" ht="15" x14ac:dyDescent="0.25">
      <c r="E39" s="110" t="s">
        <v>28</v>
      </c>
      <c r="F39" s="110"/>
      <c r="G39" s="110"/>
      <c r="H39" s="110"/>
      <c r="I39" s="110"/>
      <c r="K39" s="25"/>
      <c r="L39" s="41"/>
      <c r="M39" s="16"/>
    </row>
    <row r="40" spans="2:18" ht="15" x14ac:dyDescent="0.25">
      <c r="E40" s="10" t="s">
        <v>23</v>
      </c>
      <c r="F40" s="10" t="s">
        <v>15</v>
      </c>
      <c r="G40" s="11" t="s">
        <v>16</v>
      </c>
      <c r="H40" s="12" t="s">
        <v>29</v>
      </c>
      <c r="I40" s="13" t="s">
        <v>30</v>
      </c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18">
        <v>9857</v>
      </c>
      <c r="F41" s="25" t="s">
        <v>190</v>
      </c>
      <c r="G41" s="26" t="s">
        <v>10</v>
      </c>
      <c r="H41" s="8">
        <v>98.57</v>
      </c>
      <c r="I41" s="8" t="s">
        <v>44</v>
      </c>
      <c r="K41" s="44"/>
      <c r="L41" s="41"/>
      <c r="M41" s="40"/>
    </row>
    <row r="42" spans="2:18" ht="15.75" x14ac:dyDescent="0.25">
      <c r="E42" s="18">
        <v>8847</v>
      </c>
      <c r="F42" s="25" t="s">
        <v>191</v>
      </c>
      <c r="G42" s="26" t="s">
        <v>10</v>
      </c>
      <c r="H42" s="8">
        <v>102.85</v>
      </c>
      <c r="I42" s="8" t="s">
        <v>49</v>
      </c>
    </row>
    <row r="43" spans="2:18" ht="15.75" x14ac:dyDescent="0.25">
      <c r="E43" s="18"/>
      <c r="F43" s="25"/>
      <c r="G43" s="26"/>
      <c r="H43" s="8"/>
      <c r="I43" s="8"/>
    </row>
    <row r="44" spans="2:18" ht="15.75" x14ac:dyDescent="0.25">
      <c r="E44" s="18"/>
      <c r="F44" s="25"/>
      <c r="G44" s="26"/>
      <c r="H44" s="8"/>
      <c r="I44" s="8"/>
    </row>
    <row r="45" spans="2:18" ht="15.75" x14ac:dyDescent="0.25">
      <c r="E45" s="18"/>
      <c r="F45" s="39"/>
      <c r="G45" s="26"/>
      <c r="H45" s="8"/>
      <c r="I45" s="8"/>
    </row>
    <row r="46" spans="2:18" ht="15.75" x14ac:dyDescent="0.25">
      <c r="E46" s="35"/>
      <c r="F46" s="36"/>
      <c r="G46" s="37"/>
      <c r="H46" s="17"/>
      <c r="I46" s="8"/>
    </row>
    <row r="47" spans="2:18" ht="15.75" x14ac:dyDescent="0.25">
      <c r="E47" s="43"/>
      <c r="F47" s="39"/>
      <c r="G47" s="26"/>
      <c r="H47" s="8"/>
      <c r="I47" s="8"/>
    </row>
  </sheetData>
  <mergeCells count="9">
    <mergeCell ref="E24:I24"/>
    <mergeCell ref="E39:I39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G41:G47 G26:G36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I41:I47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9" zoomScale="80" zoomScaleNormal="80" workbookViewId="0">
      <selection activeCell="H9" sqref="H9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'07'!B1+1</f>
        <v>45481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770</v>
      </c>
      <c r="D6" s="2"/>
      <c r="E6" s="87">
        <v>9475</v>
      </c>
      <c r="F6" s="8" t="s">
        <v>208</v>
      </c>
      <c r="G6" s="8" t="s">
        <v>50</v>
      </c>
      <c r="H6" s="8">
        <v>40</v>
      </c>
      <c r="I6" s="8"/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7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770</v>
      </c>
      <c r="D8" s="2"/>
      <c r="E8" s="87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7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(SUMIF($G$2:$G$31,B13,$I$2:$I$31))+(SUMIF($G$35:$G$42,B13,$H$35:$H$42))</f>
        <v>770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IF(vend8[[#This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(SUMIF($G$2:$G$31,B15,$I$2:$I$31))+(SUMIF($G$35:$G$42,B15,$H$35:$H$42))</f>
        <v>163.80000000000001</v>
      </c>
      <c r="D15" s="2"/>
      <c r="E15" s="18"/>
      <c r="F15" s="25"/>
      <c r="G15" s="26"/>
      <c r="H15" s="8"/>
      <c r="I15" s="8"/>
      <c r="J15" s="2"/>
      <c r="K15" s="25">
        <v>9431</v>
      </c>
      <c r="L15" s="9" t="s">
        <v>130</v>
      </c>
      <c r="M15" s="16" t="s">
        <v>148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933.8</v>
      </c>
      <c r="D16" s="2"/>
      <c r="E16" s="18"/>
      <c r="F16" s="25"/>
      <c r="G16" s="26"/>
      <c r="H16" s="8"/>
      <c r="I16" s="8"/>
      <c r="J16" s="2"/>
      <c r="K16" s="25">
        <v>8957</v>
      </c>
      <c r="L16" s="9" t="s">
        <v>134</v>
      </c>
      <c r="M16" s="16" t="s">
        <v>148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8">
        <v>9470</v>
      </c>
      <c r="F26" s="89" t="s">
        <v>205</v>
      </c>
      <c r="G26" s="90" t="s">
        <v>8</v>
      </c>
      <c r="H26" s="91"/>
      <c r="I26" s="91">
        <v>770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9104</v>
      </c>
      <c r="F35" s="25" t="s">
        <v>206</v>
      </c>
      <c r="G35" s="26" t="s">
        <v>10</v>
      </c>
      <c r="H35" s="8">
        <v>57.14</v>
      </c>
      <c r="I35" s="8" t="s">
        <v>55</v>
      </c>
      <c r="K35" s="25"/>
      <c r="L35" s="41"/>
      <c r="M35" s="16"/>
    </row>
    <row r="36" spans="2:18" ht="15.75" x14ac:dyDescent="0.25">
      <c r="E36" s="18">
        <v>8669</v>
      </c>
      <c r="F36" s="25" t="s">
        <v>207</v>
      </c>
      <c r="G36" s="26" t="s">
        <v>10</v>
      </c>
      <c r="H36" s="8">
        <v>106.66</v>
      </c>
      <c r="I36" s="8" t="s">
        <v>81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80"/>
      <c r="G42" s="81"/>
      <c r="H42" s="82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21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7">
        <f>'08'!B1+1</f>
        <v>45482</v>
      </c>
    </row>
    <row r="2" spans="2:22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9"/>
  <sheetViews>
    <sheetView showGridLines="0" topLeftCell="A24" zoomScale="80" zoomScaleNormal="80" workbookViewId="0">
      <selection activeCell="K22" sqref="K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'09'!B1+1</f>
        <v>45483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SUMIF(I6:I32,"&gt;0",H6:H32)</f>
        <v>4460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SUM(I6:I49)</f>
        <v>5580</v>
      </c>
      <c r="D6" s="2"/>
      <c r="E6" s="18">
        <v>9476</v>
      </c>
      <c r="F6" s="25" t="s">
        <v>210</v>
      </c>
      <c r="G6" s="46" t="s">
        <v>7</v>
      </c>
      <c r="H6" s="8">
        <v>700</v>
      </c>
      <c r="I6" s="8">
        <v>700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9477</v>
      </c>
      <c r="F7" s="25" t="s">
        <v>211</v>
      </c>
      <c r="G7" s="46" t="s">
        <v>8</v>
      </c>
      <c r="H7" s="8">
        <v>490</v>
      </c>
      <c r="I7" s="8">
        <v>490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5580</v>
      </c>
      <c r="D8" s="2"/>
      <c r="E8" s="18">
        <v>9478</v>
      </c>
      <c r="F8" s="25" t="s">
        <v>212</v>
      </c>
      <c r="G8" s="26" t="s">
        <v>8</v>
      </c>
      <c r="H8" s="8">
        <v>2600</v>
      </c>
      <c r="I8" s="8">
        <v>2600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9479</v>
      </c>
      <c r="F9" s="25" t="s">
        <v>219</v>
      </c>
      <c r="G9" s="26" t="s">
        <v>6</v>
      </c>
      <c r="H9" s="8">
        <v>600</v>
      </c>
      <c r="I9" s="8">
        <v>20</v>
      </c>
      <c r="J9" s="2"/>
      <c r="K9" s="25"/>
      <c r="L9" s="9" t="s">
        <v>58</v>
      </c>
      <c r="M9" s="16"/>
      <c r="R9" s="1">
        <f>IF(vend10[[#This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9480</v>
      </c>
      <c r="F10" s="25" t="s">
        <v>172</v>
      </c>
      <c r="G10" s="26" t="s">
        <v>7</v>
      </c>
      <c r="H10" s="8">
        <v>70</v>
      </c>
      <c r="I10" s="8">
        <v>70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(SUMIF($G$2:$G$32,B11,$I$2:$I$32))+(SUMIF($G$36:$G$49,B11,$H$36:$H$49))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(SUMIF($G$2:$G$32,B12,$I$2:$I$32))+(SUMIF($G$36:$G$49,B12,$H$36:$H$49))</f>
        <v>1220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(SUMIF($G$2:$G$32,B13,$I$2:$I$32))+(SUMIF($G$36:$G$49,B13,$H$36:$H$49))</f>
        <v>4340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(SUMIF($G$2:$G$32,B14,$I$2:$I$32))+(SUMIF($G$36:$G$49,B14,$H$36:$H$49))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(SUMIF($G$2:$G$32,B15,$I$2:$I$32))+(SUMIF($G$36:$G$49,B15,$H$36:$H$49))</f>
        <v>795.99000000000012</v>
      </c>
      <c r="D15" s="2"/>
      <c r="E15" s="18"/>
      <c r="F15" s="25"/>
      <c r="G15" s="26"/>
      <c r="H15" s="8"/>
      <c r="I15" s="8"/>
      <c r="J15" s="2"/>
      <c r="K15" s="25">
        <v>9394</v>
      </c>
      <c r="L15" s="9" t="s">
        <v>136</v>
      </c>
      <c r="M15" s="16" t="s">
        <v>148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6375.99</v>
      </c>
      <c r="D16" s="2"/>
      <c r="E16" s="18"/>
      <c r="F16" s="25"/>
      <c r="G16" s="26"/>
      <c r="H16" s="8"/>
      <c r="I16" s="8"/>
      <c r="J16" s="2"/>
      <c r="K16" s="25">
        <v>9283</v>
      </c>
      <c r="L16" s="9" t="s">
        <v>134</v>
      </c>
      <c r="M16" s="65" t="s">
        <v>213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9473</v>
      </c>
      <c r="L17" s="9" t="s">
        <v>136</v>
      </c>
      <c r="M17" s="16" t="s">
        <v>148</v>
      </c>
      <c r="R17" s="1">
        <f>IF(vend10[[#This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9284</v>
      </c>
      <c r="L18" s="9" t="s">
        <v>134</v>
      </c>
      <c r="M18" s="16" t="s">
        <v>148</v>
      </c>
      <c r="R18" s="1">
        <f>IF(vend10[[#This Row],[Nº Venda]]&gt;1,1,0)</f>
        <v>0</v>
      </c>
    </row>
    <row r="19" spans="2:18" ht="15.75" x14ac:dyDescent="0.25">
      <c r="B19" s="30">
        <f>COUNT(entr_carn10[OS])</f>
        <v>2</v>
      </c>
      <c r="C19" s="31">
        <f>SUM(entr_carn10[Valor Total])</f>
        <v>3850</v>
      </c>
      <c r="D19" s="2"/>
      <c r="E19" s="18"/>
      <c r="F19" s="25"/>
      <c r="G19" s="26"/>
      <c r="H19" s="8"/>
      <c r="I19" s="8"/>
      <c r="J19" s="2"/>
      <c r="K19" s="25">
        <v>9391</v>
      </c>
      <c r="L19" s="9" t="s">
        <v>130</v>
      </c>
      <c r="M19" s="16" t="s">
        <v>148</v>
      </c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3850</v>
      </c>
      <c r="D20" s="2"/>
      <c r="E20" s="18"/>
      <c r="F20" s="26"/>
      <c r="G20" s="26"/>
      <c r="H20" s="8"/>
      <c r="I20" s="8"/>
      <c r="J20" s="2"/>
      <c r="K20" s="25">
        <v>9393</v>
      </c>
      <c r="L20" s="9" t="s">
        <v>130</v>
      </c>
      <c r="M20" s="16" t="s">
        <v>166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9438</v>
      </c>
      <c r="L21" s="9" t="s">
        <v>136</v>
      </c>
      <c r="M21" s="16" t="s">
        <v>148</v>
      </c>
    </row>
    <row r="22" spans="2:18" ht="15.75" x14ac:dyDescent="0.25">
      <c r="B22" s="28" t="s">
        <v>26</v>
      </c>
      <c r="C22" s="32">
        <f>C5</f>
        <v>4460</v>
      </c>
      <c r="D22" s="2"/>
      <c r="E22" s="18"/>
      <c r="F22" s="25"/>
      <c r="G22" s="26"/>
      <c r="H22" s="8"/>
      <c r="I22" s="8"/>
      <c r="J22" s="2"/>
      <c r="K22" s="25">
        <v>9328</v>
      </c>
      <c r="L22" s="9" t="s">
        <v>130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>
        <v>9441</v>
      </c>
      <c r="L23" s="9" t="s">
        <v>130</v>
      </c>
      <c r="M23" s="16" t="s">
        <v>166</v>
      </c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>
        <v>9442</v>
      </c>
      <c r="L24" s="9" t="s">
        <v>130</v>
      </c>
      <c r="M24" s="16" t="s">
        <v>148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9480</v>
      </c>
      <c r="L25" s="9" t="s">
        <v>130</v>
      </c>
      <c r="M25" s="16" t="s">
        <v>148</v>
      </c>
    </row>
    <row r="26" spans="2:18" ht="15.75" x14ac:dyDescent="0.25">
      <c r="B26" s="2"/>
      <c r="C26" s="2"/>
      <c r="D26" s="2"/>
      <c r="E26" s="18">
        <v>9394</v>
      </c>
      <c r="F26" s="25" t="s">
        <v>209</v>
      </c>
      <c r="G26" s="46" t="s">
        <v>8</v>
      </c>
      <c r="H26" s="8">
        <v>0</v>
      </c>
      <c r="I26" s="8">
        <v>1099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9395</v>
      </c>
      <c r="F27" s="25" t="s">
        <v>209</v>
      </c>
      <c r="G27" s="46" t="s">
        <v>8</v>
      </c>
      <c r="H27" s="8">
        <v>0</v>
      </c>
      <c r="I27" s="8">
        <v>151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9441</v>
      </c>
      <c r="F28" s="25" t="s">
        <v>219</v>
      </c>
      <c r="G28" s="46" t="s">
        <v>7</v>
      </c>
      <c r="H28" s="8">
        <v>0</v>
      </c>
      <c r="I28" s="8">
        <v>450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111" t="s">
        <v>12</v>
      </c>
      <c r="L33" s="112"/>
      <c r="M33" s="113"/>
    </row>
    <row r="34" spans="2:18" ht="15" x14ac:dyDescent="0.25">
      <c r="E34" s="110" t="s">
        <v>28</v>
      </c>
      <c r="F34" s="110"/>
      <c r="G34" s="110"/>
      <c r="H34" s="110"/>
      <c r="I34" s="110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>
        <v>9393</v>
      </c>
      <c r="L35" s="41">
        <v>8</v>
      </c>
      <c r="M35" s="16">
        <v>1000</v>
      </c>
    </row>
    <row r="36" spans="2:18" ht="15.75" x14ac:dyDescent="0.25">
      <c r="E36" s="18">
        <v>9342</v>
      </c>
      <c r="F36" s="25" t="s">
        <v>214</v>
      </c>
      <c r="G36" s="26" t="s">
        <v>10</v>
      </c>
      <c r="H36" s="8">
        <v>58.33</v>
      </c>
      <c r="I36" s="8" t="s">
        <v>42</v>
      </c>
      <c r="K36" s="25">
        <v>9441</v>
      </c>
      <c r="L36" s="41">
        <v>8</v>
      </c>
      <c r="M36" s="16">
        <v>2850</v>
      </c>
    </row>
    <row r="37" spans="2:18" ht="15.75" x14ac:dyDescent="0.25">
      <c r="E37" s="18">
        <v>9102</v>
      </c>
      <c r="F37" s="25" t="s">
        <v>215</v>
      </c>
      <c r="G37" s="26" t="s">
        <v>10</v>
      </c>
      <c r="H37" s="8">
        <v>60</v>
      </c>
      <c r="I37" s="8" t="s">
        <v>53</v>
      </c>
      <c r="K37" s="25"/>
      <c r="L37" s="41"/>
      <c r="M37" s="16"/>
    </row>
    <row r="38" spans="2:18" ht="15.75" x14ac:dyDescent="0.25">
      <c r="E38" s="18">
        <v>8781</v>
      </c>
      <c r="F38" s="25" t="s">
        <v>216</v>
      </c>
      <c r="G38" s="26" t="s">
        <v>10</v>
      </c>
      <c r="H38" s="8">
        <v>99.83</v>
      </c>
      <c r="I38" s="8" t="s">
        <v>45</v>
      </c>
      <c r="K38" s="25"/>
      <c r="L38" s="41"/>
      <c r="M38" s="16"/>
    </row>
    <row r="39" spans="2:18" ht="15.75" x14ac:dyDescent="0.25">
      <c r="E39" s="18">
        <v>8781</v>
      </c>
      <c r="F39" s="25" t="s">
        <v>216</v>
      </c>
      <c r="G39" s="26" t="s">
        <v>10</v>
      </c>
      <c r="H39" s="8">
        <v>99.83</v>
      </c>
      <c r="I39" s="8" t="s">
        <v>80</v>
      </c>
      <c r="K39" s="25"/>
      <c r="L39" s="41"/>
      <c r="M39" s="16"/>
    </row>
    <row r="40" spans="2:18" ht="15.75" x14ac:dyDescent="0.25">
      <c r="E40" s="104">
        <v>8660</v>
      </c>
      <c r="F40" s="105" t="s">
        <v>217</v>
      </c>
      <c r="G40" s="98" t="s">
        <v>10</v>
      </c>
      <c r="H40" s="100">
        <v>55.6</v>
      </c>
      <c r="I40" s="8" t="s">
        <v>39</v>
      </c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104">
        <v>8660</v>
      </c>
      <c r="F41" s="105" t="s">
        <v>217</v>
      </c>
      <c r="G41" s="98" t="s">
        <v>10</v>
      </c>
      <c r="H41" s="100">
        <v>55.6</v>
      </c>
      <c r="I41" s="8" t="s">
        <v>53</v>
      </c>
      <c r="K41" s="44"/>
      <c r="L41" s="41"/>
      <c r="M41" s="40"/>
    </row>
    <row r="42" spans="2:18" ht="15.75" x14ac:dyDescent="0.25">
      <c r="E42" s="104">
        <v>8660</v>
      </c>
      <c r="F42" s="105" t="s">
        <v>217</v>
      </c>
      <c r="G42" s="98" t="s">
        <v>10</v>
      </c>
      <c r="H42" s="100">
        <v>55.6</v>
      </c>
      <c r="I42" s="8" t="s">
        <v>47</v>
      </c>
    </row>
    <row r="43" spans="2:18" ht="15.75" x14ac:dyDescent="0.25">
      <c r="E43" s="104">
        <v>8660</v>
      </c>
      <c r="F43" s="105" t="s">
        <v>217</v>
      </c>
      <c r="G43" s="98" t="s">
        <v>10</v>
      </c>
      <c r="H43" s="100">
        <v>55.6</v>
      </c>
      <c r="I43" s="8" t="s">
        <v>79</v>
      </c>
    </row>
    <row r="44" spans="2:18" ht="15.75" x14ac:dyDescent="0.25">
      <c r="E44" s="104">
        <v>8660</v>
      </c>
      <c r="F44" s="105" t="s">
        <v>217</v>
      </c>
      <c r="G44" s="98" t="s">
        <v>10</v>
      </c>
      <c r="H44" s="100">
        <v>55.6</v>
      </c>
      <c r="I44" s="8" t="s">
        <v>48</v>
      </c>
    </row>
    <row r="45" spans="2:18" ht="15.75" x14ac:dyDescent="0.25">
      <c r="E45" s="104">
        <v>8943</v>
      </c>
      <c r="F45" s="105" t="s">
        <v>218</v>
      </c>
      <c r="G45" s="98" t="s">
        <v>10</v>
      </c>
      <c r="H45" s="100">
        <v>200</v>
      </c>
      <c r="I45" s="8" t="s">
        <v>84</v>
      </c>
    </row>
    <row r="46" spans="2:18" ht="15.75" x14ac:dyDescent="0.25">
      <c r="E46" s="104"/>
      <c r="F46" s="105"/>
      <c r="G46" s="98"/>
      <c r="H46" s="100"/>
      <c r="I46" s="8"/>
    </row>
    <row r="47" spans="2:18" ht="15.75" x14ac:dyDescent="0.25">
      <c r="E47" s="18"/>
      <c r="F47" s="39"/>
      <c r="G47" s="26"/>
      <c r="H47" s="8"/>
      <c r="I47" s="8"/>
    </row>
    <row r="48" spans="2:18" ht="15.75" x14ac:dyDescent="0.25">
      <c r="E48" s="35"/>
      <c r="F48" s="36"/>
      <c r="G48" s="37"/>
      <c r="H48" s="17"/>
      <c r="I48" s="8"/>
    </row>
    <row r="49" spans="5:9" ht="15.75" x14ac:dyDescent="0.25">
      <c r="E49" s="43"/>
      <c r="F49" s="39"/>
      <c r="G49" s="26"/>
      <c r="H49" s="8"/>
      <c r="I49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G36:G49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4" zoomScale="80" zoomScaleNormal="80" workbookViewId="0">
      <selection activeCell="K44" sqref="K44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'10'!B1+1</f>
        <v>45484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2675</v>
      </c>
      <c r="D6" s="2"/>
      <c r="E6" s="18">
        <v>9481</v>
      </c>
      <c r="F6" s="25" t="s">
        <v>221</v>
      </c>
      <c r="G6" s="26" t="s">
        <v>40</v>
      </c>
      <c r="H6" s="8"/>
      <c r="I6" s="8"/>
      <c r="J6" s="2"/>
      <c r="K6" s="25" t="s">
        <v>229</v>
      </c>
      <c r="L6" s="9" t="s">
        <v>187</v>
      </c>
      <c r="M6" s="16">
        <v>27</v>
      </c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27</v>
      </c>
      <c r="D7" s="2"/>
      <c r="E7" s="18">
        <v>9482</v>
      </c>
      <c r="F7" s="25" t="s">
        <v>220</v>
      </c>
      <c r="G7" s="26" t="s">
        <v>10</v>
      </c>
      <c r="H7" s="8">
        <v>1600</v>
      </c>
      <c r="I7" s="8">
        <v>1500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2702</v>
      </c>
      <c r="D8" s="2"/>
      <c r="E8" s="18">
        <v>9483</v>
      </c>
      <c r="F8" s="25" t="s">
        <v>200</v>
      </c>
      <c r="G8" s="26" t="s">
        <v>40</v>
      </c>
      <c r="H8" s="8"/>
      <c r="I8" s="8"/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>
        <v>9484</v>
      </c>
      <c r="F9" s="25" t="s">
        <v>222</v>
      </c>
      <c r="G9" s="26" t="s">
        <v>10</v>
      </c>
      <c r="H9" s="8">
        <v>550</v>
      </c>
      <c r="I9" s="8">
        <v>275</v>
      </c>
      <c r="J9" s="2"/>
      <c r="K9" s="25"/>
      <c r="L9" s="9"/>
      <c r="M9" s="16"/>
      <c r="R9" s="1">
        <f>IF(vend11[[#This Row],[Nº Venda]]&gt;1,1,0)</f>
        <v>1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431.5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570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2079</v>
      </c>
      <c r="D15" s="2"/>
      <c r="E15" s="18"/>
      <c r="F15" s="25"/>
      <c r="G15" s="26"/>
      <c r="H15" s="8"/>
      <c r="I15" s="8"/>
      <c r="J15" s="2"/>
      <c r="K15" s="25">
        <v>9454</v>
      </c>
      <c r="L15" s="9" t="s">
        <v>130</v>
      </c>
      <c r="M15" s="16" t="s">
        <v>148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3200.5</v>
      </c>
      <c r="D16" s="2"/>
      <c r="E16" s="18"/>
      <c r="F16" s="25"/>
      <c r="G16" s="26"/>
      <c r="H16" s="8"/>
      <c r="I16" s="8"/>
      <c r="J16" s="2"/>
      <c r="K16" s="25">
        <v>9402</v>
      </c>
      <c r="L16" s="9" t="s">
        <v>136</v>
      </c>
      <c r="M16" s="16" t="s">
        <v>148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9365</v>
      </c>
      <c r="L17" s="9" t="s">
        <v>130</v>
      </c>
      <c r="M17" s="16" t="s">
        <v>148</v>
      </c>
      <c r="R17" s="1">
        <f>IF(vend11[[#This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9429</v>
      </c>
      <c r="L18" s="9" t="s">
        <v>134</v>
      </c>
      <c r="M18" s="16" t="s">
        <v>148</v>
      </c>
      <c r="R18" s="1">
        <f>IF(vend11[[#This Row],[Nº Venda]]&gt;1,1,0)</f>
        <v>0</v>
      </c>
    </row>
    <row r="19" spans="2:18" ht="15.75" x14ac:dyDescent="0.25">
      <c r="B19" s="30">
        <f>COUNT(entr_carn11[OS])</f>
        <v>1</v>
      </c>
      <c r="C19" s="31">
        <f>SUM(entr_carn11[Valor Total])</f>
        <v>400</v>
      </c>
      <c r="D19" s="2"/>
      <c r="E19" s="18"/>
      <c r="F19" s="25"/>
      <c r="G19" s="26"/>
      <c r="H19" s="8"/>
      <c r="I19" s="8"/>
      <c r="J19" s="2"/>
      <c r="K19" s="25">
        <v>9430</v>
      </c>
      <c r="L19" s="9" t="s">
        <v>134</v>
      </c>
      <c r="M19" s="16" t="s">
        <v>148</v>
      </c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18"/>
      <c r="F20" s="26"/>
      <c r="G20" s="26"/>
      <c r="H20" s="8"/>
      <c r="I20" s="8"/>
      <c r="J20" s="2"/>
      <c r="K20" s="25">
        <v>9452</v>
      </c>
      <c r="L20" s="9" t="s">
        <v>134</v>
      </c>
      <c r="M20" s="16" t="s">
        <v>166</v>
      </c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8967</v>
      </c>
      <c r="L21" s="9" t="s">
        <v>130</v>
      </c>
      <c r="M21" s="16" t="s">
        <v>148</v>
      </c>
    </row>
    <row r="22" spans="2:18" ht="15.75" x14ac:dyDescent="0.25">
      <c r="B22" s="28" t="s">
        <v>26</v>
      </c>
      <c r="C22" s="32">
        <f>C5</f>
        <v>2150</v>
      </c>
      <c r="D22" s="2"/>
      <c r="E22" s="18"/>
      <c r="F22" s="25"/>
      <c r="G22" s="26"/>
      <c r="H22" s="8"/>
      <c r="I22" s="8"/>
      <c r="J22" s="2"/>
      <c r="K22" s="25">
        <v>9224</v>
      </c>
      <c r="L22" s="9" t="s">
        <v>134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9465</v>
      </c>
      <c r="F26" s="25" t="s">
        <v>223</v>
      </c>
      <c r="G26" s="46" t="s">
        <v>8</v>
      </c>
      <c r="H26" s="8">
        <v>0</v>
      </c>
      <c r="I26" s="8">
        <v>570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9454</v>
      </c>
      <c r="F27" s="25" t="s">
        <v>196</v>
      </c>
      <c r="G27" s="26" t="s">
        <v>6</v>
      </c>
      <c r="H27" s="8">
        <v>0</v>
      </c>
      <c r="I27" s="8">
        <v>210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9454</v>
      </c>
      <c r="F28" s="25" t="s">
        <v>196</v>
      </c>
      <c r="G28" s="26" t="s">
        <v>7</v>
      </c>
      <c r="H28" s="8">
        <v>0</v>
      </c>
      <c r="I28" s="8">
        <v>120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8985</v>
      </c>
      <c r="F35" s="25" t="s">
        <v>224</v>
      </c>
      <c r="G35" s="26" t="s">
        <v>10</v>
      </c>
      <c r="H35" s="8">
        <v>100</v>
      </c>
      <c r="I35" s="8" t="s">
        <v>76</v>
      </c>
      <c r="K35" s="25">
        <v>9452</v>
      </c>
      <c r="L35" s="41">
        <v>6</v>
      </c>
      <c r="M35" s="16">
        <v>400</v>
      </c>
    </row>
    <row r="36" spans="2:18" ht="15.75" x14ac:dyDescent="0.25">
      <c r="E36" s="18">
        <v>8790</v>
      </c>
      <c r="F36" s="25" t="s">
        <v>225</v>
      </c>
      <c r="G36" s="26" t="s">
        <v>6</v>
      </c>
      <c r="H36" s="8">
        <v>55</v>
      </c>
      <c r="I36" s="8" t="s">
        <v>41</v>
      </c>
      <c r="K36" s="25"/>
      <c r="L36" s="41"/>
      <c r="M36" s="16"/>
    </row>
    <row r="37" spans="2:18" ht="15.75" x14ac:dyDescent="0.25">
      <c r="E37" s="18">
        <v>8260</v>
      </c>
      <c r="F37" s="25" t="s">
        <v>226</v>
      </c>
      <c r="G37" s="26" t="s">
        <v>6</v>
      </c>
      <c r="H37" s="8">
        <v>100</v>
      </c>
      <c r="I37" s="8" t="s">
        <v>61</v>
      </c>
      <c r="K37" s="25"/>
      <c r="L37" s="41"/>
      <c r="M37" s="16"/>
    </row>
    <row r="38" spans="2:18" ht="15.75" x14ac:dyDescent="0.25">
      <c r="E38" s="18">
        <v>8504</v>
      </c>
      <c r="F38" s="25" t="s">
        <v>227</v>
      </c>
      <c r="G38" s="26" t="s">
        <v>10</v>
      </c>
      <c r="H38" s="8">
        <v>115</v>
      </c>
      <c r="I38" s="8" t="s">
        <v>59</v>
      </c>
      <c r="K38" s="25"/>
      <c r="L38" s="41"/>
      <c r="M38" s="16"/>
    </row>
    <row r="39" spans="2:18" ht="15.75" x14ac:dyDescent="0.25">
      <c r="E39" s="18">
        <v>9156</v>
      </c>
      <c r="F39" s="39" t="s">
        <v>228</v>
      </c>
      <c r="G39" s="26" t="s">
        <v>6</v>
      </c>
      <c r="H39" s="8">
        <v>66.5</v>
      </c>
      <c r="I39" s="8" t="s">
        <v>54</v>
      </c>
      <c r="K39" s="25"/>
      <c r="L39" s="41"/>
      <c r="M39" s="16"/>
    </row>
    <row r="40" spans="2:18" ht="15.75" x14ac:dyDescent="0.25">
      <c r="E40" s="35">
        <v>9166</v>
      </c>
      <c r="F40" s="36" t="s">
        <v>355</v>
      </c>
      <c r="G40" s="37" t="s">
        <v>10</v>
      </c>
      <c r="H40" s="17">
        <v>89</v>
      </c>
      <c r="I40" s="8" t="s">
        <v>34</v>
      </c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21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'11'!B1+1</f>
        <v>45485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7390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3909.5</v>
      </c>
      <c r="D6" s="2"/>
      <c r="E6" s="103">
        <v>9485</v>
      </c>
      <c r="F6" s="51" t="s">
        <v>236</v>
      </c>
      <c r="G6" s="51" t="s">
        <v>8</v>
      </c>
      <c r="H6" s="52">
        <v>450</v>
      </c>
      <c r="I6" s="52">
        <v>450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9486</v>
      </c>
      <c r="F7" s="53" t="s">
        <v>236</v>
      </c>
      <c r="G7" s="53" t="s">
        <v>8</v>
      </c>
      <c r="H7" s="54">
        <v>350</v>
      </c>
      <c r="I7" s="54">
        <v>350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3909.5</v>
      </c>
      <c r="D8" s="2"/>
      <c r="E8" s="18">
        <v>9487</v>
      </c>
      <c r="F8" s="25" t="s">
        <v>236</v>
      </c>
      <c r="G8" s="26" t="s">
        <v>8</v>
      </c>
      <c r="H8" s="8">
        <v>450</v>
      </c>
      <c r="I8" s="8">
        <v>450</v>
      </c>
      <c r="J8" s="2"/>
      <c r="K8" s="25"/>
      <c r="L8" s="9"/>
      <c r="M8" s="16"/>
      <c r="R8" s="1">
        <f>IF(vend12[[#This Row],[Nº Venda]]&gt;1,1,0)</f>
        <v>1</v>
      </c>
    </row>
    <row r="9" spans="2:18" ht="15" x14ac:dyDescent="0.25">
      <c r="B9" s="2"/>
      <c r="C9" s="2"/>
      <c r="D9" s="2"/>
      <c r="E9" s="56">
        <v>9488</v>
      </c>
      <c r="F9" s="53" t="s">
        <v>234</v>
      </c>
      <c r="G9" s="53" t="s">
        <v>8</v>
      </c>
      <c r="H9" s="54">
        <v>350</v>
      </c>
      <c r="I9" s="54">
        <v>350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9489</v>
      </c>
      <c r="F10" s="25" t="s">
        <v>237</v>
      </c>
      <c r="G10" s="26" t="s">
        <v>6</v>
      </c>
      <c r="H10" s="8">
        <v>250</v>
      </c>
      <c r="I10" s="8">
        <v>20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259.5</v>
      </c>
      <c r="D11" s="2"/>
      <c r="E11" s="18">
        <v>9490</v>
      </c>
      <c r="F11" s="25" t="s">
        <v>235</v>
      </c>
      <c r="G11" s="26" t="s">
        <v>10</v>
      </c>
      <c r="H11" s="8">
        <v>1900</v>
      </c>
      <c r="I11" s="8">
        <v>900</v>
      </c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125.72</v>
      </c>
      <c r="D12" s="2"/>
      <c r="E12" s="18">
        <v>9491</v>
      </c>
      <c r="F12" s="25" t="s">
        <v>235</v>
      </c>
      <c r="G12" s="26" t="s">
        <v>10</v>
      </c>
      <c r="H12" s="8">
        <v>100</v>
      </c>
      <c r="I12" s="8">
        <v>100</v>
      </c>
      <c r="J12" s="2"/>
      <c r="R12" s="1">
        <f>IF(vend12[[#This Row],[Nº Venda]]&gt;1,1,0)</f>
        <v>1</v>
      </c>
    </row>
    <row r="13" spans="2:18" ht="15.75" x14ac:dyDescent="0.25">
      <c r="B13" s="30" t="s">
        <v>8</v>
      </c>
      <c r="C13" s="31">
        <f t="shared" si="0"/>
        <v>1650</v>
      </c>
      <c r="D13" s="2"/>
      <c r="E13" s="18">
        <v>9492</v>
      </c>
      <c r="F13" s="25" t="s">
        <v>235</v>
      </c>
      <c r="G13" s="26" t="s">
        <v>10</v>
      </c>
      <c r="H13" s="8">
        <v>1690</v>
      </c>
      <c r="I13" s="8">
        <v>900</v>
      </c>
      <c r="J13" s="2"/>
      <c r="K13" s="111" t="s">
        <v>22</v>
      </c>
      <c r="L13" s="112"/>
      <c r="M13" s="113"/>
      <c r="R13" s="1">
        <f>IF(vend12[[#This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9493</v>
      </c>
      <c r="F14" s="25" t="s">
        <v>235</v>
      </c>
      <c r="G14" s="26" t="s">
        <v>10</v>
      </c>
      <c r="H14" s="8">
        <v>100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1</v>
      </c>
    </row>
    <row r="15" spans="2:18" ht="15.75" x14ac:dyDescent="0.25">
      <c r="B15" s="30" t="s">
        <v>10</v>
      </c>
      <c r="C15" s="31">
        <f t="shared" si="0"/>
        <v>2443.33</v>
      </c>
      <c r="D15" s="2"/>
      <c r="E15" s="18">
        <v>9494</v>
      </c>
      <c r="F15" s="25" t="s">
        <v>238</v>
      </c>
      <c r="G15" s="26" t="s">
        <v>6</v>
      </c>
      <c r="H15" s="8">
        <v>1200</v>
      </c>
      <c r="I15" s="8">
        <v>50</v>
      </c>
      <c r="J15" s="2"/>
      <c r="K15" s="25">
        <v>9427</v>
      </c>
      <c r="L15" s="9" t="s">
        <v>134</v>
      </c>
      <c r="M15" s="16" t="s">
        <v>148</v>
      </c>
      <c r="R15" s="1">
        <f>IF(vend12[[#This Row],[Nº Venda]]&gt;1,1,0)</f>
        <v>1</v>
      </c>
    </row>
    <row r="16" spans="2:18" ht="15.75" x14ac:dyDescent="0.25">
      <c r="B16" s="28" t="s">
        <v>11</v>
      </c>
      <c r="C16" s="32">
        <f>SUM(C11:C15)</f>
        <v>4478.55</v>
      </c>
      <c r="D16" s="2"/>
      <c r="E16" s="18">
        <v>9495</v>
      </c>
      <c r="F16" s="25" t="s">
        <v>239</v>
      </c>
      <c r="G16" s="26" t="s">
        <v>8</v>
      </c>
      <c r="H16" s="8">
        <v>550</v>
      </c>
      <c r="I16" s="8">
        <v>50</v>
      </c>
      <c r="J16" s="2"/>
      <c r="K16" s="25"/>
      <c r="L16" s="9"/>
      <c r="M16" s="16"/>
      <c r="R16" s="1">
        <f>IF(vend12[[#This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9448</v>
      </c>
      <c r="F26" s="55" t="s">
        <v>144</v>
      </c>
      <c r="G26" s="46" t="s">
        <v>6</v>
      </c>
      <c r="H26" s="8">
        <v>0</v>
      </c>
      <c r="I26" s="8">
        <v>189.5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9072</v>
      </c>
      <c r="F35" s="25" t="s">
        <v>230</v>
      </c>
      <c r="G35" s="26" t="s">
        <v>10</v>
      </c>
      <c r="H35" s="8">
        <v>168.33</v>
      </c>
      <c r="I35" s="8" t="s">
        <v>54</v>
      </c>
      <c r="K35" s="25"/>
      <c r="L35" s="41"/>
      <c r="M35" s="16"/>
    </row>
    <row r="36" spans="2:18" ht="15.75" x14ac:dyDescent="0.25">
      <c r="E36" s="18">
        <v>8153</v>
      </c>
      <c r="F36" s="25" t="s">
        <v>231</v>
      </c>
      <c r="G36" s="26" t="s">
        <v>10</v>
      </c>
      <c r="H36" s="8">
        <v>50</v>
      </c>
      <c r="I36" s="8" t="s">
        <v>43</v>
      </c>
      <c r="K36" s="25"/>
      <c r="L36" s="41"/>
      <c r="M36" s="16"/>
    </row>
    <row r="37" spans="2:18" ht="15.75" x14ac:dyDescent="0.25">
      <c r="E37" s="18">
        <v>9012</v>
      </c>
      <c r="F37" s="25" t="s">
        <v>232</v>
      </c>
      <c r="G37" s="26" t="s">
        <v>10</v>
      </c>
      <c r="H37" s="8">
        <v>225</v>
      </c>
      <c r="I37" s="8" t="s">
        <v>34</v>
      </c>
      <c r="K37" s="25"/>
      <c r="L37" s="41"/>
      <c r="M37" s="16"/>
    </row>
    <row r="38" spans="2:18" ht="15.75" x14ac:dyDescent="0.25">
      <c r="E38" s="18">
        <v>8472</v>
      </c>
      <c r="F38" s="25" t="s">
        <v>233</v>
      </c>
      <c r="G38" s="26" t="s">
        <v>7</v>
      </c>
      <c r="H38" s="8">
        <v>125.72</v>
      </c>
      <c r="I38" s="8" t="s">
        <v>60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7"/>
  <sheetViews>
    <sheetView showGridLines="0" topLeftCell="A24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'12'!B1+1</f>
        <v>45486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SUMIF(I6:I36,"&gt;0",H6:H36)</f>
        <v>6188.98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SUM(I6:I47)</f>
        <v>7465</v>
      </c>
      <c r="D6" s="2"/>
      <c r="E6" s="18">
        <v>9496</v>
      </c>
      <c r="F6" s="25" t="s">
        <v>240</v>
      </c>
      <c r="G6" s="26" t="s">
        <v>6</v>
      </c>
      <c r="H6" s="8">
        <v>89</v>
      </c>
      <c r="I6" s="8">
        <v>40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9497</v>
      </c>
      <c r="F7" s="25" t="s">
        <v>241</v>
      </c>
      <c r="G7" s="26" t="s">
        <v>8</v>
      </c>
      <c r="H7" s="8">
        <v>148</v>
      </c>
      <c r="I7" s="8">
        <v>148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7465</v>
      </c>
      <c r="D8" s="2"/>
      <c r="E8" s="18">
        <v>9498</v>
      </c>
      <c r="F8" s="25" t="s">
        <v>241</v>
      </c>
      <c r="G8" s="26" t="s">
        <v>8</v>
      </c>
      <c r="H8" s="8">
        <v>851.99</v>
      </c>
      <c r="I8" s="8">
        <v>851.99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9499</v>
      </c>
      <c r="F9" s="25" t="s">
        <v>242</v>
      </c>
      <c r="G9" s="26" t="s">
        <v>8</v>
      </c>
      <c r="H9" s="8">
        <v>899.99</v>
      </c>
      <c r="I9" s="8">
        <v>899.99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9500</v>
      </c>
      <c r="F10" s="25" t="s">
        <v>250</v>
      </c>
      <c r="G10" s="26" t="s">
        <v>8</v>
      </c>
      <c r="H10" s="8">
        <v>2000</v>
      </c>
      <c r="I10" s="8">
        <v>2000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(SUMIF($G$2:$G$37,B11,$I$2:$I$37))+(SUMIF($G$41:$G$47,B11,$H$41:$H$47))</f>
        <v>66</v>
      </c>
      <c r="D11" s="2"/>
      <c r="E11" s="18">
        <v>9501</v>
      </c>
      <c r="F11" s="25" t="s">
        <v>243</v>
      </c>
      <c r="G11" s="26" t="s">
        <v>8</v>
      </c>
      <c r="H11" s="8">
        <v>600</v>
      </c>
      <c r="I11" s="8">
        <v>600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>(SUMIF($G$2:$G$37,B12,$I$2:$I$37))+(SUMIF($G$41:$G$47,B12,$H$41:$H$47))</f>
        <v>1311.25</v>
      </c>
      <c r="D12" s="2"/>
      <c r="E12" s="18">
        <v>9502</v>
      </c>
      <c r="F12" s="25" t="s">
        <v>243</v>
      </c>
      <c r="G12" s="26" t="s">
        <v>8</v>
      </c>
      <c r="H12" s="8">
        <v>600</v>
      </c>
      <c r="I12" s="8">
        <v>400</v>
      </c>
      <c r="J12" s="2"/>
      <c r="R12" s="1">
        <f>IF(vend13[[#This Row],[Nº Venda]]&gt;1,1,0)</f>
        <v>1</v>
      </c>
    </row>
    <row r="13" spans="2:18" ht="15.75" x14ac:dyDescent="0.25">
      <c r="B13" s="30" t="s">
        <v>8</v>
      </c>
      <c r="C13" s="31">
        <f>(SUMIF($G$2:$G$37,B13,$I$2:$I$37))+(SUMIF($G$41:$G$47,B13,$H$41:$H$47))</f>
        <v>6200</v>
      </c>
      <c r="D13" s="2"/>
      <c r="E13" s="18">
        <v>9502</v>
      </c>
      <c r="F13" s="25" t="s">
        <v>243</v>
      </c>
      <c r="G13" s="26" t="s">
        <v>7</v>
      </c>
      <c r="H13" s="8">
        <v>200</v>
      </c>
      <c r="I13" s="8">
        <v>200</v>
      </c>
      <c r="J13" s="2"/>
      <c r="K13" s="111" t="s">
        <v>22</v>
      </c>
      <c r="L13" s="112"/>
      <c r="M13" s="113"/>
      <c r="R13" s="1">
        <f>IF(vend13[[#This Row],[Nº Venda]]&gt;1,1,0)</f>
        <v>1</v>
      </c>
    </row>
    <row r="14" spans="2:18" ht="15.75" x14ac:dyDescent="0.25">
      <c r="B14" s="30" t="s">
        <v>9</v>
      </c>
      <c r="C14" s="31">
        <f>(SUMIF($G$2:$G$37,B14,$I$2:$I$37))+(SUMIF($G$41:$G$47,B14,$H$41:$H$47))</f>
        <v>0</v>
      </c>
      <c r="D14" s="2"/>
      <c r="E14" s="18">
        <v>9503</v>
      </c>
      <c r="F14" s="25" t="s">
        <v>244</v>
      </c>
      <c r="G14" s="26" t="s">
        <v>50</v>
      </c>
      <c r="H14" s="8">
        <v>99</v>
      </c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1</v>
      </c>
    </row>
    <row r="15" spans="2:18" ht="15.75" x14ac:dyDescent="0.25">
      <c r="B15" s="30" t="s">
        <v>10</v>
      </c>
      <c r="C15" s="31">
        <f>(SUMIF($G$2:$G$36,B15,$I$2:$I$36))+(SUMIF($G$41:$G$47,B15,$H$41:$H$47))</f>
        <v>49</v>
      </c>
      <c r="D15" s="2"/>
      <c r="E15" s="18">
        <v>9504</v>
      </c>
      <c r="F15" s="25" t="s">
        <v>245</v>
      </c>
      <c r="G15" s="26" t="s">
        <v>7</v>
      </c>
      <c r="H15" s="8">
        <v>600</v>
      </c>
      <c r="I15" s="8">
        <v>600</v>
      </c>
      <c r="J15" s="2"/>
      <c r="K15" s="25">
        <v>9356</v>
      </c>
      <c r="L15" s="9" t="s">
        <v>130</v>
      </c>
      <c r="M15" s="16" t="s">
        <v>148</v>
      </c>
      <c r="R15" s="1">
        <f>IF(vend13[[#This Row],[Nº Venda]]&gt;1,1,0)</f>
        <v>1</v>
      </c>
    </row>
    <row r="16" spans="2:18" ht="15.75" x14ac:dyDescent="0.25">
      <c r="B16" s="28" t="s">
        <v>11</v>
      </c>
      <c r="C16" s="32">
        <f>SUM(C11:C15)</f>
        <v>7626.25</v>
      </c>
      <c r="D16" s="2"/>
      <c r="E16" s="18">
        <v>9505</v>
      </c>
      <c r="F16" s="25" t="s">
        <v>250</v>
      </c>
      <c r="G16" s="26" t="s">
        <v>8</v>
      </c>
      <c r="H16" s="8">
        <v>100</v>
      </c>
      <c r="I16" s="8">
        <v>100</v>
      </c>
      <c r="J16" s="2"/>
      <c r="K16" s="25">
        <v>9496</v>
      </c>
      <c r="L16" s="9" t="s">
        <v>136</v>
      </c>
      <c r="M16" s="16" t="s">
        <v>148</v>
      </c>
      <c r="R16" s="1">
        <f>IF(vend13[[#This Row],[Nº Venda]]&gt;1,1,0)</f>
        <v>1</v>
      </c>
    </row>
    <row r="17" spans="2:18" ht="15.75" x14ac:dyDescent="0.25">
      <c r="B17" s="2"/>
      <c r="C17" s="2"/>
      <c r="D17" s="2"/>
      <c r="E17" s="18">
        <v>9506</v>
      </c>
      <c r="F17" s="25" t="s">
        <v>250</v>
      </c>
      <c r="G17" s="26" t="s">
        <v>8</v>
      </c>
      <c r="H17" s="8">
        <v>100</v>
      </c>
      <c r="I17" s="8">
        <v>100</v>
      </c>
      <c r="J17" s="2"/>
      <c r="K17" s="25">
        <v>9481</v>
      </c>
      <c r="L17" s="9" t="s">
        <v>134</v>
      </c>
      <c r="M17" s="16" t="s">
        <v>148</v>
      </c>
      <c r="R17" s="1">
        <f>IF(vend13[[#This Row],[Nº Venda]]&gt;1,1,0)</f>
        <v>1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9291</v>
      </c>
      <c r="L18" s="9" t="s">
        <v>134</v>
      </c>
      <c r="M18" s="16" t="s">
        <v>148</v>
      </c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>
        <v>9292</v>
      </c>
      <c r="L19" s="9" t="s">
        <v>134</v>
      </c>
      <c r="M19" s="16" t="s">
        <v>148</v>
      </c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9293</v>
      </c>
      <c r="L20" s="9" t="s">
        <v>134</v>
      </c>
      <c r="M20" s="16" t="s">
        <v>148</v>
      </c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9378</v>
      </c>
      <c r="L21" s="9" t="s">
        <v>134</v>
      </c>
      <c r="M21" s="16" t="s">
        <v>148</v>
      </c>
    </row>
    <row r="22" spans="2:18" ht="15.75" x14ac:dyDescent="0.25">
      <c r="B22" s="28" t="s">
        <v>26</v>
      </c>
      <c r="C22" s="32">
        <f>C5</f>
        <v>6188.98</v>
      </c>
      <c r="D22" s="2"/>
      <c r="E22" s="18"/>
      <c r="F22" s="25"/>
      <c r="G22" s="26"/>
      <c r="H22" s="8"/>
      <c r="I22" s="8"/>
      <c r="J22" s="2"/>
      <c r="K22" s="25">
        <v>9473</v>
      </c>
      <c r="L22" s="9" t="s">
        <v>136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9496</v>
      </c>
      <c r="F26" s="25" t="s">
        <v>240</v>
      </c>
      <c r="G26" s="26" t="s">
        <v>10</v>
      </c>
      <c r="H26" s="8">
        <v>0</v>
      </c>
      <c r="I26" s="8">
        <v>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9356</v>
      </c>
      <c r="F27" s="25" t="s">
        <v>247</v>
      </c>
      <c r="G27" s="26" t="s">
        <v>7</v>
      </c>
      <c r="H27" s="8">
        <v>0</v>
      </c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9291</v>
      </c>
      <c r="F28" s="25" t="s">
        <v>248</v>
      </c>
      <c r="G28" s="26" t="s">
        <v>8</v>
      </c>
      <c r="H28" s="8">
        <v>0</v>
      </c>
      <c r="I28" s="8">
        <v>965.34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9292</v>
      </c>
      <c r="F29" s="25" t="s">
        <v>248</v>
      </c>
      <c r="G29" s="26" t="s">
        <v>8</v>
      </c>
      <c r="H29" s="8">
        <v>0</v>
      </c>
      <c r="I29" s="8">
        <v>80.34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9293</v>
      </c>
      <c r="F30" s="39" t="s">
        <v>248</v>
      </c>
      <c r="G30" s="26" t="s">
        <v>8</v>
      </c>
      <c r="H30" s="8">
        <v>0</v>
      </c>
      <c r="I30" s="8">
        <v>54.34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9293</v>
      </c>
      <c r="F31" s="36" t="s">
        <v>248</v>
      </c>
      <c r="G31" s="37" t="s">
        <v>6</v>
      </c>
      <c r="H31" s="17">
        <v>0</v>
      </c>
      <c r="I31" s="17">
        <v>26</v>
      </c>
      <c r="J31" s="2"/>
      <c r="K31" s="25"/>
      <c r="L31" s="9"/>
      <c r="M31" s="16"/>
    </row>
    <row r="32" spans="2:18" ht="15.75" x14ac:dyDescent="0.25">
      <c r="B32" s="2"/>
      <c r="C32" s="2"/>
      <c r="E32" s="18">
        <v>9378</v>
      </c>
      <c r="F32" s="25" t="s">
        <v>249</v>
      </c>
      <c r="G32" s="26" t="s">
        <v>7</v>
      </c>
      <c r="H32" s="8">
        <v>0</v>
      </c>
      <c r="I32" s="8">
        <v>200</v>
      </c>
    </row>
    <row r="33" spans="2:18" ht="15.75" x14ac:dyDescent="0.25">
      <c r="B33" s="2"/>
      <c r="C33" s="2"/>
      <c r="E33" s="18"/>
      <c r="F33" s="25"/>
      <c r="G33" s="26"/>
      <c r="H33" s="8"/>
      <c r="I33" s="8"/>
      <c r="K33" s="111" t="s">
        <v>12</v>
      </c>
      <c r="L33" s="112"/>
      <c r="M33" s="113"/>
    </row>
    <row r="34" spans="2:18" ht="15.75" x14ac:dyDescent="0.25">
      <c r="E34" s="18"/>
      <c r="F34" s="25"/>
      <c r="G34" s="26"/>
      <c r="H34" s="8"/>
      <c r="I34" s="8"/>
      <c r="K34" s="14" t="s">
        <v>23</v>
      </c>
      <c r="L34" s="6" t="s">
        <v>31</v>
      </c>
      <c r="M34" s="15" t="s">
        <v>32</v>
      </c>
    </row>
    <row r="35" spans="2:18" ht="15.75" x14ac:dyDescent="0.25">
      <c r="E35" s="43"/>
      <c r="F35" s="39"/>
      <c r="G35" s="26"/>
      <c r="H35" s="8"/>
      <c r="I35" s="8"/>
      <c r="K35" s="25"/>
      <c r="L35" s="41"/>
      <c r="M35" s="16"/>
    </row>
    <row r="36" spans="2:18" ht="15.75" x14ac:dyDescent="0.25">
      <c r="E36" s="18"/>
      <c r="F36" s="39"/>
      <c r="G36" s="26"/>
      <c r="H36" s="8"/>
      <c r="I36" s="8"/>
      <c r="K36" s="25"/>
      <c r="L36" s="41"/>
      <c r="M36" s="16"/>
    </row>
    <row r="37" spans="2:18" ht="15.75" x14ac:dyDescent="0.25">
      <c r="E37" s="107"/>
      <c r="F37" s="106"/>
      <c r="G37" s="37"/>
      <c r="H37" s="17"/>
      <c r="I37" s="17"/>
      <c r="K37" s="25"/>
      <c r="L37" s="41"/>
      <c r="M37" s="16"/>
    </row>
    <row r="38" spans="2:18" ht="15" x14ac:dyDescent="0.25">
      <c r="E38" s="33"/>
      <c r="K38" s="25"/>
      <c r="L38" s="41"/>
      <c r="M38" s="16"/>
    </row>
    <row r="39" spans="2:18" ht="15" x14ac:dyDescent="0.25">
      <c r="E39" s="110" t="s">
        <v>28</v>
      </c>
      <c r="F39" s="110"/>
      <c r="G39" s="110"/>
      <c r="H39" s="110"/>
      <c r="I39" s="110"/>
      <c r="K39" s="25"/>
      <c r="L39" s="41"/>
      <c r="M39" s="16"/>
    </row>
    <row r="40" spans="2:18" ht="15" x14ac:dyDescent="0.25">
      <c r="E40" s="10" t="s">
        <v>23</v>
      </c>
      <c r="F40" s="10" t="s">
        <v>15</v>
      </c>
      <c r="G40" s="11" t="s">
        <v>16</v>
      </c>
      <c r="H40" s="12" t="s">
        <v>29</v>
      </c>
      <c r="I40" s="13" t="s">
        <v>30</v>
      </c>
      <c r="K40" s="36"/>
      <c r="L40" s="42"/>
      <c r="M40" s="40"/>
      <c r="Q40" s="1" t="s">
        <v>36</v>
      </c>
      <c r="R40" s="1">
        <f>SUM(R6:R21)</f>
        <v>12</v>
      </c>
    </row>
    <row r="41" spans="2:18" ht="15.75" x14ac:dyDescent="0.25">
      <c r="E41" s="18">
        <v>9116</v>
      </c>
      <c r="F41" s="25" t="s">
        <v>246</v>
      </c>
      <c r="G41" s="26" t="s">
        <v>7</v>
      </c>
      <c r="H41" s="8">
        <v>161.25</v>
      </c>
      <c r="I41" s="8" t="s">
        <v>34</v>
      </c>
      <c r="K41" s="44"/>
      <c r="L41" s="41"/>
      <c r="M41" s="40"/>
    </row>
    <row r="42" spans="2:18" ht="15.75" x14ac:dyDescent="0.25">
      <c r="E42" s="18"/>
      <c r="F42" s="25"/>
      <c r="G42" s="26"/>
      <c r="H42" s="8"/>
      <c r="I42" s="8"/>
    </row>
    <row r="43" spans="2:18" ht="15.75" x14ac:dyDescent="0.25">
      <c r="E43" s="18"/>
      <c r="F43" s="25"/>
      <c r="G43" s="26"/>
      <c r="H43" s="8"/>
      <c r="I43" s="8"/>
    </row>
    <row r="44" spans="2:18" ht="15.75" x14ac:dyDescent="0.25">
      <c r="E44" s="18"/>
      <c r="F44" s="25"/>
      <c r="G44" s="26"/>
      <c r="H44" s="8"/>
      <c r="I44" s="8"/>
    </row>
    <row r="45" spans="2:18" ht="15.75" x14ac:dyDescent="0.25">
      <c r="E45" s="18"/>
      <c r="F45" s="39"/>
      <c r="G45" s="26"/>
      <c r="H45" s="8"/>
      <c r="I45" s="8"/>
    </row>
    <row r="46" spans="2:18" ht="15.75" x14ac:dyDescent="0.25">
      <c r="E46" s="35"/>
      <c r="F46" s="36"/>
      <c r="G46" s="37"/>
      <c r="H46" s="17"/>
      <c r="I46" s="8"/>
    </row>
    <row r="47" spans="2:18" ht="15.75" x14ac:dyDescent="0.25">
      <c r="E47" s="43"/>
      <c r="F47" s="39"/>
      <c r="G47" s="26"/>
      <c r="H47" s="8"/>
      <c r="I47" s="8"/>
    </row>
  </sheetData>
  <mergeCells count="9">
    <mergeCell ref="E24:I24"/>
    <mergeCell ref="E39:I39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G41:G47 G26:G34 G36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I41:I47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33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'13'!B1+1</f>
        <v>45487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8" zoomScale="80" zoomScaleNormal="80" workbookViewId="0">
      <selection activeCell="E15" sqref="E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6.28515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'14'!B1+1</f>
        <v>45488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7159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5640</v>
      </c>
      <c r="D6" s="2"/>
      <c r="E6" s="18">
        <v>9507</v>
      </c>
      <c r="F6" s="25" t="s">
        <v>251</v>
      </c>
      <c r="G6" s="46" t="s">
        <v>10</v>
      </c>
      <c r="H6" s="8">
        <v>530</v>
      </c>
      <c r="I6" s="8">
        <v>30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9508</v>
      </c>
      <c r="F7" s="25" t="s">
        <v>252</v>
      </c>
      <c r="G7" s="46" t="s">
        <v>6</v>
      </c>
      <c r="H7" s="8">
        <v>499</v>
      </c>
      <c r="I7" s="8">
        <v>20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5640</v>
      </c>
      <c r="D8" s="2"/>
      <c r="E8" s="18">
        <v>9508</v>
      </c>
      <c r="F8" s="25" t="s">
        <v>252</v>
      </c>
      <c r="G8" s="26" t="s">
        <v>7</v>
      </c>
      <c r="H8" s="8"/>
      <c r="I8" s="8">
        <v>10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9509</v>
      </c>
      <c r="F9" s="25" t="s">
        <v>253</v>
      </c>
      <c r="G9" s="26" t="s">
        <v>40</v>
      </c>
      <c r="H9" s="8"/>
      <c r="I9" s="8"/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9510</v>
      </c>
      <c r="F10" s="25" t="s">
        <v>255</v>
      </c>
      <c r="G10" s="26" t="s">
        <v>8</v>
      </c>
      <c r="H10" s="8">
        <v>1600</v>
      </c>
      <c r="I10" s="8">
        <v>1600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>
        <v>9511</v>
      </c>
      <c r="F11" s="25" t="s">
        <v>255</v>
      </c>
      <c r="G11" s="26" t="s">
        <v>40</v>
      </c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</v>
      </c>
      <c r="D12" s="2"/>
      <c r="E12" s="18">
        <v>9512</v>
      </c>
      <c r="F12" s="25" t="s">
        <v>254</v>
      </c>
      <c r="G12" s="26" t="s">
        <v>10</v>
      </c>
      <c r="H12" s="8">
        <v>2500</v>
      </c>
      <c r="I12" s="8">
        <v>2500</v>
      </c>
      <c r="J12" s="2"/>
      <c r="R12" s="1">
        <f>IF(vend15[[#This Row],[Nº Venda]]&gt;1,1,0)</f>
        <v>1</v>
      </c>
    </row>
    <row r="13" spans="2:18" ht="15.75" x14ac:dyDescent="0.25">
      <c r="B13" s="30" t="s">
        <v>8</v>
      </c>
      <c r="C13" s="31">
        <f t="shared" si="0"/>
        <v>1600</v>
      </c>
      <c r="D13" s="2"/>
      <c r="E13" s="18">
        <v>9513</v>
      </c>
      <c r="F13" s="25" t="s">
        <v>254</v>
      </c>
      <c r="G13" s="26" t="s">
        <v>50</v>
      </c>
      <c r="H13" s="8"/>
      <c r="I13" s="8"/>
      <c r="J13" s="2"/>
      <c r="K13" s="111" t="s">
        <v>22</v>
      </c>
      <c r="L13" s="112"/>
      <c r="M13" s="113"/>
      <c r="R13" s="1">
        <f>IF(vend15[[#This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9514</v>
      </c>
      <c r="F14" s="25" t="s">
        <v>254</v>
      </c>
      <c r="G14" s="26" t="s">
        <v>10</v>
      </c>
      <c r="H14" s="8">
        <v>1400</v>
      </c>
      <c r="I14" s="8">
        <v>1400</v>
      </c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1</v>
      </c>
    </row>
    <row r="15" spans="2:18" ht="15.75" x14ac:dyDescent="0.25">
      <c r="B15" s="30" t="s">
        <v>10</v>
      </c>
      <c r="C15" s="31">
        <f t="shared" si="0"/>
        <v>4010</v>
      </c>
      <c r="D15" s="2"/>
      <c r="E15" s="18">
        <v>9515</v>
      </c>
      <c r="F15" s="25" t="s">
        <v>254</v>
      </c>
      <c r="G15" s="26" t="s">
        <v>50</v>
      </c>
      <c r="H15" s="8"/>
      <c r="I15" s="8"/>
      <c r="J15" s="2"/>
      <c r="K15" s="63">
        <v>9457</v>
      </c>
      <c r="L15" s="9" t="s">
        <v>130</v>
      </c>
      <c r="M15" s="71" t="s">
        <v>148</v>
      </c>
      <c r="R15" s="1">
        <f>IF(vend15[[#This Row],[Nº Venda]]&gt;1,1,0)</f>
        <v>1</v>
      </c>
    </row>
    <row r="16" spans="2:18" ht="15.75" x14ac:dyDescent="0.25">
      <c r="B16" s="28" t="s">
        <v>11</v>
      </c>
      <c r="C16" s="32">
        <f>SUM(C11:C15)</f>
        <v>5640</v>
      </c>
      <c r="D16" s="2"/>
      <c r="E16" s="18">
        <v>9516</v>
      </c>
      <c r="F16" s="25" t="s">
        <v>256</v>
      </c>
      <c r="G16" s="26" t="s">
        <v>10</v>
      </c>
      <c r="H16" s="8">
        <v>590</v>
      </c>
      <c r="I16" s="8">
        <v>40</v>
      </c>
      <c r="J16" s="2"/>
      <c r="K16" s="25">
        <v>9497</v>
      </c>
      <c r="L16" s="9" t="s">
        <v>136</v>
      </c>
      <c r="M16" s="16" t="s">
        <v>148</v>
      </c>
      <c r="R16" s="1">
        <f>IF(vend15[[#This Row],[Nº Venda]]&gt;1,1,0)</f>
        <v>1</v>
      </c>
    </row>
    <row r="17" spans="2:18" ht="15.75" x14ac:dyDescent="0.25">
      <c r="B17" s="2"/>
      <c r="C17" s="2"/>
      <c r="D17" s="2"/>
      <c r="E17" s="18">
        <v>9517</v>
      </c>
      <c r="F17" s="25" t="s">
        <v>258</v>
      </c>
      <c r="G17" s="26" t="s">
        <v>50</v>
      </c>
      <c r="H17" s="8">
        <v>1000</v>
      </c>
      <c r="I17" s="8"/>
      <c r="J17" s="2"/>
      <c r="K17" s="25"/>
      <c r="L17" s="9"/>
      <c r="M17" s="16"/>
      <c r="R17" s="1">
        <f>IF(vend15[[#This Row],[Nº Venda]]&gt;1,1,0)</f>
        <v>1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/>
      <c r="L19" s="9"/>
      <c r="M19" s="71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7159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9457</v>
      </c>
      <c r="F26" s="25" t="s">
        <v>257</v>
      </c>
      <c r="G26" s="46" t="s">
        <v>10</v>
      </c>
      <c r="H26" s="8">
        <v>40</v>
      </c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31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'15'!B1+1</f>
        <v>45489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2287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1317</v>
      </c>
      <c r="D6" s="2"/>
      <c r="E6" s="18">
        <v>9518</v>
      </c>
      <c r="F6" s="25" t="s">
        <v>259</v>
      </c>
      <c r="G6" s="46" t="s">
        <v>8</v>
      </c>
      <c r="H6" s="8">
        <v>99</v>
      </c>
      <c r="I6" s="8">
        <v>99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9519</v>
      </c>
      <c r="F7" s="25" t="s">
        <v>260</v>
      </c>
      <c r="G7" s="46" t="s">
        <v>8</v>
      </c>
      <c r="H7" s="8">
        <v>800</v>
      </c>
      <c r="I7" s="8">
        <v>800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1317</v>
      </c>
      <c r="D8" s="2"/>
      <c r="E8" s="18">
        <v>9520</v>
      </c>
      <c r="F8" s="25" t="s">
        <v>261</v>
      </c>
      <c r="G8" s="26" t="s">
        <v>7</v>
      </c>
      <c r="H8" s="8">
        <v>199</v>
      </c>
      <c r="I8" s="8">
        <v>199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>
        <v>9521</v>
      </c>
      <c r="F9" s="25" t="s">
        <v>262</v>
      </c>
      <c r="G9" s="26" t="s">
        <v>40</v>
      </c>
      <c r="H9" s="8"/>
      <c r="I9" s="8"/>
      <c r="J9" s="2"/>
      <c r="K9" s="25"/>
      <c r="L9" s="9"/>
      <c r="M9" s="16"/>
      <c r="R9" s="1">
        <f>IF(vend16[[#This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9522</v>
      </c>
      <c r="F10" s="25" t="s">
        <v>263</v>
      </c>
      <c r="G10" s="26" t="s">
        <v>10</v>
      </c>
      <c r="H10" s="8">
        <v>90</v>
      </c>
      <c r="I10" s="8">
        <v>90</v>
      </c>
      <c r="J10" s="2"/>
      <c r="K10" s="25"/>
      <c r="L10" s="9"/>
      <c r="M10" s="16"/>
      <c r="R10" s="1">
        <f>IF(vend16[[#This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199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998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>
        <v>9503</v>
      </c>
      <c r="L15" s="9" t="s">
        <v>136</v>
      </c>
      <c r="M15" s="16" t="s">
        <v>166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1317</v>
      </c>
      <c r="D16" s="2"/>
      <c r="E16" s="18"/>
      <c r="F16" s="25"/>
      <c r="G16" s="26"/>
      <c r="H16" s="8"/>
      <c r="I16" s="8"/>
      <c r="J16" s="2"/>
      <c r="K16" s="25">
        <v>9387</v>
      </c>
      <c r="L16" s="9" t="s">
        <v>130</v>
      </c>
      <c r="M16" s="16" t="s">
        <v>166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71"/>
      <c r="R17" s="1">
        <f>IF(vend16[[#This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2287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9517</v>
      </c>
      <c r="F26" s="25" t="s">
        <v>264</v>
      </c>
      <c r="G26" s="46" t="s">
        <v>10</v>
      </c>
      <c r="H26" s="8">
        <v>1000</v>
      </c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9503</v>
      </c>
      <c r="F27" s="25" t="s">
        <v>244</v>
      </c>
      <c r="G27" s="26" t="s">
        <v>8</v>
      </c>
      <c r="H27" s="8">
        <v>99</v>
      </c>
      <c r="I27" s="8">
        <v>99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7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'16'!B1+1</f>
        <v>45490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4290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4360</v>
      </c>
      <c r="D6" s="2"/>
      <c r="E6" s="18">
        <v>9523</v>
      </c>
      <c r="F6" s="25" t="s">
        <v>265</v>
      </c>
      <c r="G6" s="26" t="s">
        <v>8</v>
      </c>
      <c r="H6" s="8">
        <v>890</v>
      </c>
      <c r="I6" s="8">
        <v>890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9524</v>
      </c>
      <c r="F7" s="25" t="s">
        <v>266</v>
      </c>
      <c r="G7" s="26" t="s">
        <v>8</v>
      </c>
      <c r="H7" s="8">
        <v>3400</v>
      </c>
      <c r="I7" s="8">
        <v>3400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4360</v>
      </c>
      <c r="D8" s="2"/>
      <c r="E8" s="18">
        <v>9525</v>
      </c>
      <c r="F8" s="25" t="s">
        <v>266</v>
      </c>
      <c r="G8" s="26" t="s">
        <v>50</v>
      </c>
      <c r="H8" s="8"/>
      <c r="I8" s="8"/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4290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9447</v>
      </c>
      <c r="L15" s="9" t="s">
        <v>130</v>
      </c>
      <c r="M15" s="16" t="s">
        <v>166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4360</v>
      </c>
      <c r="D16" s="2"/>
      <c r="E16" s="18"/>
      <c r="F16" s="25"/>
      <c r="G16" s="26"/>
      <c r="H16" s="8"/>
      <c r="I16" s="8"/>
      <c r="J16" s="2"/>
      <c r="K16" s="25">
        <v>9018</v>
      </c>
      <c r="L16" s="9" t="s">
        <v>134</v>
      </c>
      <c r="M16" s="16" t="s">
        <v>166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9477</v>
      </c>
      <c r="L17" s="9" t="s">
        <v>134</v>
      </c>
      <c r="M17" s="16" t="s">
        <v>148</v>
      </c>
      <c r="R17" s="1">
        <f>IF(vend17[[#This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9462</v>
      </c>
      <c r="L18" s="9" t="s">
        <v>130</v>
      </c>
      <c r="M18" s="16" t="s">
        <v>148</v>
      </c>
      <c r="R18" s="1">
        <f>IF(vend17[[#This Row],[Nº Venda]]&gt;1,1,0)</f>
        <v>0</v>
      </c>
    </row>
    <row r="19" spans="2:18" ht="15.75" x14ac:dyDescent="0.25">
      <c r="B19" s="30">
        <f>COUNT(entr_carn17[OS])</f>
        <v>2</v>
      </c>
      <c r="C19" s="31">
        <f>SUM(entr_carn17[Valor Total])</f>
        <v>640</v>
      </c>
      <c r="D19" s="2"/>
      <c r="E19" s="18"/>
      <c r="F19" s="25"/>
      <c r="G19" s="26"/>
      <c r="H19" s="8"/>
      <c r="I19" s="8"/>
      <c r="J19" s="2"/>
      <c r="K19" s="25">
        <v>9468</v>
      </c>
      <c r="L19" s="9" t="s">
        <v>130</v>
      </c>
      <c r="M19" s="16" t="s">
        <v>148</v>
      </c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640</v>
      </c>
      <c r="D20" s="2"/>
      <c r="E20" s="18"/>
      <c r="F20" s="26"/>
      <c r="G20" s="26"/>
      <c r="H20" s="8"/>
      <c r="I20" s="8"/>
      <c r="J20" s="2"/>
      <c r="K20" s="25">
        <v>9459</v>
      </c>
      <c r="L20" s="9" t="s">
        <v>134</v>
      </c>
      <c r="M20" s="16" t="s">
        <v>148</v>
      </c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9458</v>
      </c>
      <c r="L21" s="9" t="s">
        <v>134</v>
      </c>
      <c r="M21" s="16" t="s">
        <v>148</v>
      </c>
    </row>
    <row r="22" spans="2:18" ht="15.75" x14ac:dyDescent="0.25">
      <c r="B22" s="28" t="s">
        <v>26</v>
      </c>
      <c r="C22" s="32">
        <f>C5</f>
        <v>4290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9447</v>
      </c>
      <c r="F26" s="25" t="s">
        <v>143</v>
      </c>
      <c r="G26" s="26" t="s">
        <v>6</v>
      </c>
      <c r="H26" s="8">
        <v>0</v>
      </c>
      <c r="I26" s="8">
        <v>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9018</v>
      </c>
      <c r="F28" s="25" t="s">
        <v>170</v>
      </c>
      <c r="G28" s="26" t="s">
        <v>7</v>
      </c>
      <c r="H28" s="8">
        <v>0</v>
      </c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9447</v>
      </c>
      <c r="L35" s="41">
        <v>7</v>
      </c>
      <c r="M35" s="16">
        <v>140</v>
      </c>
    </row>
    <row r="36" spans="2:18" ht="15.75" x14ac:dyDescent="0.25">
      <c r="E36" s="18"/>
      <c r="F36" s="25"/>
      <c r="G36" s="26"/>
      <c r="H36" s="8"/>
      <c r="I36" s="8"/>
      <c r="K36" s="25">
        <v>9018</v>
      </c>
      <c r="L36" s="41">
        <v>5</v>
      </c>
      <c r="M36" s="16">
        <v>500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9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'17'!B1+1</f>
        <v>45491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2980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1900</v>
      </c>
      <c r="D6" s="2"/>
      <c r="E6" s="96">
        <v>9526</v>
      </c>
      <c r="F6" s="63" t="s">
        <v>267</v>
      </c>
      <c r="G6" s="97" t="s">
        <v>10</v>
      </c>
      <c r="H6" s="74">
        <v>300</v>
      </c>
      <c r="I6" s="74">
        <v>300</v>
      </c>
      <c r="J6" s="2"/>
      <c r="K6" s="25"/>
      <c r="L6" s="6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9527</v>
      </c>
      <c r="F7" s="25" t="s">
        <v>270</v>
      </c>
      <c r="G7" s="26" t="s">
        <v>10</v>
      </c>
      <c r="H7" s="8">
        <v>2500</v>
      </c>
      <c r="I7" s="8">
        <v>600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1900</v>
      </c>
      <c r="D8" s="2"/>
      <c r="E8" s="18">
        <v>9528</v>
      </c>
      <c r="F8" s="25" t="s">
        <v>268</v>
      </c>
      <c r="G8" s="26" t="s">
        <v>10</v>
      </c>
      <c r="H8" s="8">
        <v>180</v>
      </c>
      <c r="I8" s="8">
        <v>50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700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1200</v>
      </c>
      <c r="D15" s="2"/>
      <c r="E15" s="18"/>
      <c r="F15" s="25"/>
      <c r="G15" s="26"/>
      <c r="H15" s="8"/>
      <c r="I15" s="8"/>
      <c r="J15" s="2"/>
      <c r="K15" s="25">
        <v>9401</v>
      </c>
      <c r="L15" s="9" t="s">
        <v>134</v>
      </c>
      <c r="M15" s="16" t="s">
        <v>148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1900</v>
      </c>
      <c r="D16" s="2"/>
      <c r="E16" s="18"/>
      <c r="F16" s="25"/>
      <c r="G16" s="26"/>
      <c r="H16" s="8"/>
      <c r="I16" s="8"/>
      <c r="J16" s="2"/>
      <c r="K16" s="25">
        <v>9299</v>
      </c>
      <c r="L16" s="9" t="s">
        <v>134</v>
      </c>
      <c r="M16" s="16" t="s">
        <v>148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9453</v>
      </c>
      <c r="L17" s="9" t="s">
        <v>130</v>
      </c>
      <c r="M17" s="16" t="s">
        <v>148</v>
      </c>
      <c r="R17" s="1">
        <f>IF(vend18[[#This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9455</v>
      </c>
      <c r="L18" s="9" t="s">
        <v>134</v>
      </c>
      <c r="M18" s="16" t="s">
        <v>148</v>
      </c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>
        <v>9026</v>
      </c>
      <c r="L19" s="9" t="s">
        <v>130</v>
      </c>
      <c r="M19" s="16" t="s">
        <v>148</v>
      </c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2980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7"/>
      <c r="F23" s="67"/>
      <c r="G23" s="67"/>
      <c r="H23" s="68"/>
      <c r="I23" s="68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9401</v>
      </c>
      <c r="F26" s="25" t="s">
        <v>269</v>
      </c>
      <c r="G26" s="26" t="s">
        <v>8</v>
      </c>
      <c r="H26" s="8"/>
      <c r="I26" s="8">
        <v>700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9471</v>
      </c>
      <c r="F27" s="25" t="s">
        <v>197</v>
      </c>
      <c r="G27" s="26" t="s">
        <v>10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9026</v>
      </c>
      <c r="F28" s="25" t="s">
        <v>271</v>
      </c>
      <c r="G28" s="26" t="s">
        <v>10</v>
      </c>
      <c r="H28" s="8"/>
      <c r="I28" s="8">
        <v>100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6" zoomScale="80" zoomScaleNormal="80" zoomScaleSheetLayoutView="7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6">
        <f>'18'!B1+1</f>
        <v>45492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4249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2709</v>
      </c>
      <c r="D6" s="2"/>
      <c r="E6" s="18">
        <v>9529</v>
      </c>
      <c r="F6" s="25" t="s">
        <v>272</v>
      </c>
      <c r="G6" s="26" t="s">
        <v>6</v>
      </c>
      <c r="H6" s="8">
        <v>80</v>
      </c>
      <c r="I6" s="8">
        <v>40</v>
      </c>
      <c r="J6" s="2"/>
      <c r="K6" s="25" t="s">
        <v>282</v>
      </c>
      <c r="L6" s="9" t="s">
        <v>204</v>
      </c>
      <c r="M6" s="16">
        <v>15.3</v>
      </c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15.3</v>
      </c>
      <c r="D7" s="2"/>
      <c r="E7" s="18">
        <v>9530</v>
      </c>
      <c r="F7" s="25" t="s">
        <v>273</v>
      </c>
      <c r="G7" s="26" t="s">
        <v>40</v>
      </c>
      <c r="H7" s="70"/>
      <c r="I7" s="8"/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2724.3</v>
      </c>
      <c r="D8" s="2"/>
      <c r="E8" s="18">
        <v>9531</v>
      </c>
      <c r="F8" s="25" t="s">
        <v>274</v>
      </c>
      <c r="G8" s="26" t="s">
        <v>7</v>
      </c>
      <c r="H8" s="8">
        <v>380</v>
      </c>
      <c r="I8" s="8">
        <v>200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6">
        <v>9531</v>
      </c>
      <c r="F9" s="63" t="s">
        <v>274</v>
      </c>
      <c r="G9" s="97" t="s">
        <v>8</v>
      </c>
      <c r="H9" s="74"/>
      <c r="I9" s="74">
        <v>180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9532</v>
      </c>
      <c r="F10" s="25" t="s">
        <v>275</v>
      </c>
      <c r="G10" s="26" t="s">
        <v>10</v>
      </c>
      <c r="H10" s="8">
        <v>800</v>
      </c>
      <c r="I10" s="8">
        <v>400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140</v>
      </c>
      <c r="D11" s="2"/>
      <c r="E11" s="18">
        <v>9533</v>
      </c>
      <c r="F11" s="25" t="s">
        <v>276</v>
      </c>
      <c r="G11" s="26" t="s">
        <v>8</v>
      </c>
      <c r="H11" s="8">
        <v>1099</v>
      </c>
      <c r="I11" s="8">
        <v>1099</v>
      </c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1300</v>
      </c>
      <c r="D12" s="2"/>
      <c r="E12" s="18">
        <v>9534</v>
      </c>
      <c r="F12" s="25" t="s">
        <v>277</v>
      </c>
      <c r="G12" s="26" t="s">
        <v>8</v>
      </c>
      <c r="H12" s="8">
        <v>490</v>
      </c>
      <c r="I12" s="8">
        <v>490</v>
      </c>
      <c r="J12" s="2"/>
      <c r="R12" s="1">
        <f>IF(vend19[[#This Row],[Nº Venda]]&gt;1,1,0)</f>
        <v>1</v>
      </c>
    </row>
    <row r="13" spans="2:18" ht="15.75" x14ac:dyDescent="0.25">
      <c r="B13" s="30" t="s">
        <v>8</v>
      </c>
      <c r="C13" s="31">
        <f t="shared" si="0"/>
        <v>1769</v>
      </c>
      <c r="D13" s="2"/>
      <c r="E13" s="18">
        <v>9535</v>
      </c>
      <c r="F13" s="25" t="s">
        <v>278</v>
      </c>
      <c r="G13" s="26" t="s">
        <v>40</v>
      </c>
      <c r="H13" s="8"/>
      <c r="I13" s="8"/>
      <c r="J13" s="2"/>
      <c r="K13" s="111" t="s">
        <v>22</v>
      </c>
      <c r="L13" s="112"/>
      <c r="M13" s="113"/>
      <c r="R13" s="1">
        <f>IF(vend19[[#This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9536</v>
      </c>
      <c r="F14" s="25" t="s">
        <v>279</v>
      </c>
      <c r="G14" s="26" t="s">
        <v>10</v>
      </c>
      <c r="H14" s="8">
        <v>1400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1</v>
      </c>
    </row>
    <row r="15" spans="2:18" ht="15.75" x14ac:dyDescent="0.25">
      <c r="B15" s="30" t="s">
        <v>10</v>
      </c>
      <c r="C15" s="31">
        <f t="shared" si="0"/>
        <v>500</v>
      </c>
      <c r="D15" s="2"/>
      <c r="E15" s="18"/>
      <c r="F15" s="25"/>
      <c r="G15" s="26"/>
      <c r="H15" s="8"/>
      <c r="I15" s="8"/>
      <c r="J15" s="2"/>
      <c r="K15" s="25">
        <v>9390</v>
      </c>
      <c r="L15" s="9" t="s">
        <v>136</v>
      </c>
      <c r="M15" s="16" t="s">
        <v>148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3709</v>
      </c>
      <c r="D16" s="2"/>
      <c r="E16" s="18"/>
      <c r="F16" s="25"/>
      <c r="G16" s="26"/>
      <c r="H16" s="8"/>
      <c r="I16" s="8"/>
      <c r="J16" s="2"/>
      <c r="K16" s="25">
        <v>9476</v>
      </c>
      <c r="L16" s="9" t="s">
        <v>134</v>
      </c>
      <c r="M16" s="16" t="s">
        <v>148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9525</v>
      </c>
      <c r="L17" s="9" t="s">
        <v>134</v>
      </c>
      <c r="M17" s="16" t="s">
        <v>148</v>
      </c>
      <c r="R17" s="1">
        <f>IF(vend19[[#This Row],[Nº Venda]]&gt;1,1,0)</f>
        <v>0</v>
      </c>
    </row>
    <row r="18" spans="2:22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4249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9390</v>
      </c>
      <c r="F26" s="39" t="s">
        <v>151</v>
      </c>
      <c r="G26" s="26" t="s">
        <v>7</v>
      </c>
      <c r="H26" s="8">
        <v>0</v>
      </c>
      <c r="I26" s="8">
        <v>200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98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9372</v>
      </c>
      <c r="F35" s="25" t="s">
        <v>280</v>
      </c>
      <c r="G35" s="26" t="s">
        <v>7</v>
      </c>
      <c r="H35" s="8">
        <v>900</v>
      </c>
      <c r="I35" s="8" t="s">
        <v>46</v>
      </c>
      <c r="K35" s="25"/>
      <c r="L35" s="41"/>
      <c r="M35" s="16"/>
    </row>
    <row r="36" spans="2:18" ht="15.75" x14ac:dyDescent="0.25">
      <c r="E36" s="18">
        <v>8765</v>
      </c>
      <c r="F36" s="25" t="s">
        <v>281</v>
      </c>
      <c r="G36" s="26" t="s">
        <v>6</v>
      </c>
      <c r="H36" s="8">
        <v>100</v>
      </c>
      <c r="I36" s="8" t="s">
        <v>80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V41"/>
  <sheetViews>
    <sheetView showGridLines="0" topLeftCell="A17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3">
        <f>'19'!B1+1</f>
        <v>45493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3159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2629</v>
      </c>
      <c r="D6" s="2"/>
      <c r="E6" s="18">
        <v>9537</v>
      </c>
      <c r="F6" s="25" t="s">
        <v>283</v>
      </c>
      <c r="G6" s="26" t="s">
        <v>10</v>
      </c>
      <c r="H6" s="8">
        <v>200</v>
      </c>
      <c r="I6" s="8">
        <v>200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9538</v>
      </c>
      <c r="F7" s="25" t="s">
        <v>284</v>
      </c>
      <c r="G7" s="26" t="s">
        <v>50</v>
      </c>
      <c r="H7" s="8"/>
      <c r="I7" s="8"/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2629</v>
      </c>
      <c r="D8" s="2"/>
      <c r="E8" s="18">
        <v>9539</v>
      </c>
      <c r="F8" s="25" t="s">
        <v>285</v>
      </c>
      <c r="G8" s="26" t="s">
        <v>10</v>
      </c>
      <c r="H8" s="8">
        <v>590</v>
      </c>
      <c r="I8" s="8">
        <v>590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9540</v>
      </c>
      <c r="F9" s="25" t="s">
        <v>287</v>
      </c>
      <c r="G9" s="26" t="s">
        <v>6</v>
      </c>
      <c r="H9" s="8">
        <v>449</v>
      </c>
      <c r="I9" s="8">
        <v>449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9541</v>
      </c>
      <c r="F10" s="25" t="s">
        <v>291</v>
      </c>
      <c r="G10" s="26" t="s">
        <v>10</v>
      </c>
      <c r="H10" s="8">
        <v>800</v>
      </c>
      <c r="I10" s="8">
        <v>100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924</v>
      </c>
      <c r="D11" s="2"/>
      <c r="E11" s="18">
        <v>9542</v>
      </c>
      <c r="F11" s="25" t="s">
        <v>291</v>
      </c>
      <c r="G11" s="26" t="s">
        <v>10</v>
      </c>
      <c r="H11" s="8">
        <v>1000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>
        <v>9543</v>
      </c>
      <c r="F12" s="25" t="s">
        <v>293</v>
      </c>
      <c r="G12" s="26" t="s">
        <v>8</v>
      </c>
      <c r="H12" s="8">
        <v>120</v>
      </c>
      <c r="I12" s="8">
        <v>120</v>
      </c>
      <c r="J12" s="2"/>
      <c r="R12" s="1">
        <f>IF(vend20[[#This Row],[Nº Venda]]&gt;1,1,0)</f>
        <v>1</v>
      </c>
    </row>
    <row r="13" spans="2:18" ht="15.75" x14ac:dyDescent="0.25">
      <c r="B13" s="30" t="s">
        <v>8</v>
      </c>
      <c r="C13" s="31">
        <f t="shared" si="0"/>
        <v>1040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1075</v>
      </c>
      <c r="D15" s="2"/>
      <c r="E15" s="18"/>
      <c r="F15" s="25"/>
      <c r="G15" s="26"/>
      <c r="H15" s="8"/>
      <c r="I15" s="8"/>
      <c r="J15" s="2"/>
      <c r="K15" s="63">
        <v>9133</v>
      </c>
      <c r="L15" s="9" t="s">
        <v>130</v>
      </c>
      <c r="M15" s="16" t="s">
        <v>148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3189</v>
      </c>
      <c r="D16" s="2"/>
      <c r="E16" s="18"/>
      <c r="F16" s="25"/>
      <c r="G16" s="26"/>
      <c r="H16" s="8"/>
      <c r="I16" s="8"/>
      <c r="J16" s="2"/>
      <c r="K16" s="63">
        <v>9470</v>
      </c>
      <c r="L16" s="9" t="s">
        <v>130</v>
      </c>
      <c r="M16" s="71" t="s">
        <v>148</v>
      </c>
      <c r="R16" s="1">
        <f>IF(vend20[[#This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9529</v>
      </c>
      <c r="L17" s="9" t="s">
        <v>134</v>
      </c>
      <c r="M17" s="16" t="s">
        <v>148</v>
      </c>
      <c r="R17" s="1">
        <f>IF(vend20[[#This Row],[Nº Venda]]&gt;1,1,0)</f>
        <v>0</v>
      </c>
    </row>
    <row r="18" spans="2:22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9543</v>
      </c>
      <c r="L18" s="9" t="s">
        <v>130</v>
      </c>
      <c r="M18" s="16" t="s">
        <v>148</v>
      </c>
      <c r="R18" s="1">
        <f>IF(vend20[[#This Row],[Nº Venda]]&gt;1,1,0)</f>
        <v>0</v>
      </c>
    </row>
    <row r="19" spans="2:22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3159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  <c r="V23" s="1" t="s">
        <v>58</v>
      </c>
    </row>
    <row r="24" spans="2:22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9489</v>
      </c>
      <c r="F26" s="25" t="s">
        <v>286</v>
      </c>
      <c r="G26" s="26" t="s">
        <v>8</v>
      </c>
      <c r="H26" s="8"/>
      <c r="I26" s="8">
        <v>230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9451</v>
      </c>
      <c r="F27" s="25" t="s">
        <v>150</v>
      </c>
      <c r="G27" s="26" t="s">
        <v>7</v>
      </c>
      <c r="H27" s="8"/>
      <c r="I27" s="8">
        <v>150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>
        <v>9295</v>
      </c>
      <c r="F28" s="25" t="s">
        <v>293</v>
      </c>
      <c r="G28" s="26" t="s">
        <v>8</v>
      </c>
      <c r="H28" s="8"/>
      <c r="I28" s="8">
        <v>690</v>
      </c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8885</v>
      </c>
      <c r="F35" s="25" t="s">
        <v>288</v>
      </c>
      <c r="G35" s="26" t="s">
        <v>6</v>
      </c>
      <c r="H35" s="8">
        <v>300</v>
      </c>
      <c r="I35" s="8" t="s">
        <v>47</v>
      </c>
      <c r="K35" s="25"/>
      <c r="L35" s="41"/>
      <c r="M35" s="71"/>
    </row>
    <row r="36" spans="2:18" ht="15.75" x14ac:dyDescent="0.25">
      <c r="E36" s="18">
        <v>8729</v>
      </c>
      <c r="F36" s="25" t="s">
        <v>289</v>
      </c>
      <c r="G36" s="26" t="s">
        <v>6</v>
      </c>
      <c r="H36" s="8">
        <v>50</v>
      </c>
      <c r="I36" s="8" t="s">
        <v>41</v>
      </c>
      <c r="K36" s="63"/>
      <c r="L36" s="72"/>
      <c r="M36" s="71"/>
    </row>
    <row r="37" spans="2:18" ht="15.75" x14ac:dyDescent="0.25">
      <c r="E37" s="18">
        <v>8468</v>
      </c>
      <c r="F37" s="25" t="s">
        <v>290</v>
      </c>
      <c r="G37" s="26" t="s">
        <v>10</v>
      </c>
      <c r="H37" s="8">
        <v>85</v>
      </c>
      <c r="I37" s="8" t="s">
        <v>59</v>
      </c>
      <c r="K37" s="25"/>
      <c r="L37" s="41"/>
      <c r="M37" s="16"/>
    </row>
    <row r="38" spans="2:18" ht="15.75" x14ac:dyDescent="0.25">
      <c r="E38" s="18">
        <v>9393</v>
      </c>
      <c r="F38" s="25" t="s">
        <v>292</v>
      </c>
      <c r="G38" s="26" t="s">
        <v>6</v>
      </c>
      <c r="H38" s="8">
        <v>125</v>
      </c>
      <c r="I38" s="8" t="s">
        <v>82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7" zoomScale="80" zoomScaleNormal="80" workbookViewId="0">
      <selection activeCell="L15" sqref="L15:L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'20'!B1+1</f>
        <v>45494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4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'21'!B1+1</f>
        <v>45495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4149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3317</v>
      </c>
      <c r="D6" s="2"/>
      <c r="E6" s="18">
        <v>9544</v>
      </c>
      <c r="F6" s="25" t="s">
        <v>294</v>
      </c>
      <c r="G6" s="26" t="s">
        <v>40</v>
      </c>
      <c r="H6" s="8"/>
      <c r="I6" s="8"/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9545</v>
      </c>
      <c r="F7" s="25" t="s">
        <v>295</v>
      </c>
      <c r="G7" s="26" t="s">
        <v>6</v>
      </c>
      <c r="H7" s="8">
        <v>129</v>
      </c>
      <c r="I7" s="8">
        <v>129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3317</v>
      </c>
      <c r="D8" s="2"/>
      <c r="E8" s="18">
        <v>9546</v>
      </c>
      <c r="F8" s="25" t="s">
        <v>296</v>
      </c>
      <c r="G8" s="26" t="s">
        <v>10</v>
      </c>
      <c r="H8" s="8">
        <v>799</v>
      </c>
      <c r="I8" s="8">
        <v>166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9547</v>
      </c>
      <c r="F9" s="25" t="s">
        <v>297</v>
      </c>
      <c r="G9" s="26" t="s">
        <v>8</v>
      </c>
      <c r="H9" s="8">
        <v>1570</v>
      </c>
      <c r="I9" s="8">
        <v>1470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9547</v>
      </c>
      <c r="F10" s="25" t="s">
        <v>297</v>
      </c>
      <c r="G10" s="26" t="s">
        <v>10</v>
      </c>
      <c r="H10" s="8"/>
      <c r="I10" s="8">
        <v>100</v>
      </c>
      <c r="J10" s="2"/>
      <c r="K10" s="25"/>
      <c r="L10" s="9"/>
      <c r="M10" s="1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729</v>
      </c>
      <c r="D11" s="2"/>
      <c r="E11" s="18">
        <v>9548</v>
      </c>
      <c r="F11" s="25" t="s">
        <v>298</v>
      </c>
      <c r="G11" s="26" t="s">
        <v>8</v>
      </c>
      <c r="H11" s="8">
        <v>294</v>
      </c>
      <c r="I11" s="8">
        <v>294</v>
      </c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9549</v>
      </c>
      <c r="F12" s="25" t="s">
        <v>297</v>
      </c>
      <c r="G12" s="26" t="s">
        <v>8</v>
      </c>
      <c r="H12" s="8">
        <v>129</v>
      </c>
      <c r="I12" s="8">
        <v>129</v>
      </c>
      <c r="J12" s="2"/>
      <c r="R12" s="1">
        <f>IF(vend22[[#This Row],[Nº Venda]]&gt;1,1,0)</f>
        <v>1</v>
      </c>
    </row>
    <row r="13" spans="2:18" ht="15.75" x14ac:dyDescent="0.25">
      <c r="B13" s="30" t="s">
        <v>8</v>
      </c>
      <c r="C13" s="31">
        <f t="shared" si="0"/>
        <v>2322</v>
      </c>
      <c r="D13" s="2"/>
      <c r="E13" s="18">
        <v>9550</v>
      </c>
      <c r="F13" s="25" t="s">
        <v>299</v>
      </c>
      <c r="G13" s="26" t="s">
        <v>6</v>
      </c>
      <c r="H13" s="8">
        <v>799</v>
      </c>
      <c r="I13" s="8">
        <v>600</v>
      </c>
      <c r="J13" s="2"/>
      <c r="K13" s="111" t="s">
        <v>22</v>
      </c>
      <c r="L13" s="112"/>
      <c r="M13" s="113"/>
      <c r="R13" s="1">
        <f>IF(vend22[[#This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9551</v>
      </c>
      <c r="F14" s="25" t="s">
        <v>300</v>
      </c>
      <c r="G14" s="26" t="s">
        <v>8</v>
      </c>
      <c r="H14" s="8">
        <v>360</v>
      </c>
      <c r="I14" s="8">
        <v>360</v>
      </c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1</v>
      </c>
    </row>
    <row r="15" spans="2:18" ht="15.75" x14ac:dyDescent="0.25">
      <c r="B15" s="30" t="s">
        <v>10</v>
      </c>
      <c r="C15" s="31">
        <f t="shared" si="0"/>
        <v>266</v>
      </c>
      <c r="D15" s="2"/>
      <c r="E15" s="18">
        <v>9552</v>
      </c>
      <c r="F15" s="25" t="s">
        <v>294</v>
      </c>
      <c r="G15" s="26" t="s">
        <v>8</v>
      </c>
      <c r="H15" s="8">
        <v>69</v>
      </c>
      <c r="I15" s="8">
        <v>69</v>
      </c>
      <c r="J15" s="2"/>
      <c r="K15" s="25">
        <v>9544</v>
      </c>
      <c r="L15" s="9" t="s">
        <v>136</v>
      </c>
      <c r="M15" s="16" t="s">
        <v>148</v>
      </c>
      <c r="R15" s="1">
        <f>IF(vend22[[#This Row],[Nº Venda]]&gt;1,1,0)</f>
        <v>1</v>
      </c>
    </row>
    <row r="16" spans="2:18" ht="15.75" x14ac:dyDescent="0.25">
      <c r="B16" s="28" t="s">
        <v>11</v>
      </c>
      <c r="C16" s="32">
        <f>SUM(C11:C15)</f>
        <v>3317</v>
      </c>
      <c r="D16" s="2"/>
      <c r="E16" s="18"/>
      <c r="F16" s="25"/>
      <c r="G16" s="26"/>
      <c r="H16" s="8"/>
      <c r="I16" s="8"/>
      <c r="J16" s="2"/>
      <c r="K16" s="25">
        <v>9139</v>
      </c>
      <c r="L16" s="9" t="s">
        <v>129</v>
      </c>
      <c r="M16" s="16" t="s">
        <v>148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9488</v>
      </c>
      <c r="L17" s="9" t="s">
        <v>130</v>
      </c>
      <c r="M17" s="16" t="s">
        <v>148</v>
      </c>
      <c r="R17" s="1">
        <f>IF(vend22[[#This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4149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4" zoomScale="80" zoomScaleNormal="80" workbookViewId="0">
      <selection activeCell="M17" sqref="M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'22'!B1+1</f>
        <v>45496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2540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2705</v>
      </c>
      <c r="D6" s="2"/>
      <c r="E6" s="18">
        <v>9553</v>
      </c>
      <c r="F6" s="25" t="s">
        <v>302</v>
      </c>
      <c r="G6" s="26" t="s">
        <v>10</v>
      </c>
      <c r="H6" s="8">
        <v>2300</v>
      </c>
      <c r="I6" s="8">
        <v>1000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9553</v>
      </c>
      <c r="F7" s="25" t="s">
        <v>302</v>
      </c>
      <c r="G7" s="26" t="s">
        <v>8</v>
      </c>
      <c r="H7" s="8"/>
      <c r="I7" s="8">
        <v>1300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2705</v>
      </c>
      <c r="D8" s="2"/>
      <c r="E8" s="18">
        <v>9554</v>
      </c>
      <c r="F8" s="25" t="s">
        <v>302</v>
      </c>
      <c r="G8" s="26" t="s">
        <v>8</v>
      </c>
      <c r="H8" s="8">
        <v>200</v>
      </c>
      <c r="I8" s="8">
        <v>200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9555</v>
      </c>
      <c r="F9" s="25" t="s">
        <v>302</v>
      </c>
      <c r="G9" s="26" t="s">
        <v>6</v>
      </c>
      <c r="H9" s="8">
        <v>40</v>
      </c>
      <c r="I9" s="8">
        <v>40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83">
        <f>(SUMIF($G$2:$G$31,B11,$I$2:$I$31))+(SUMIF($G$35:$G$44,B11,$H$35:$H$44))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3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3">
        <f>(SUMIF($G$2:$G$31,B13,$I$2:$I$31))+(SUMIF($G$35:$G$44,B13,$H$35:$H$44))</f>
        <v>1500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IF(vend23[[#This Row],[Nº Venda]]&gt;1,1,0)</f>
        <v>0</v>
      </c>
    </row>
    <row r="14" spans="2:18" ht="15.75" x14ac:dyDescent="0.25">
      <c r="B14" s="30" t="s">
        <v>9</v>
      </c>
      <c r="C14" s="83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83">
        <f>(SUMIF($G$2:$G$31,B15,$I$2:$I$31))+(SUMIF($G$35:$G$44,B15,$H$35:$H$44))</f>
        <v>1125</v>
      </c>
      <c r="D15" s="2"/>
      <c r="E15" s="18"/>
      <c r="F15" s="25"/>
      <c r="G15" s="26"/>
      <c r="H15" s="8"/>
      <c r="I15" s="8"/>
      <c r="J15" s="2"/>
      <c r="K15" s="25">
        <v>9552</v>
      </c>
      <c r="L15" s="9" t="s">
        <v>136</v>
      </c>
      <c r="M15" s="16" t="s">
        <v>148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2705</v>
      </c>
      <c r="D16" s="2"/>
      <c r="E16" s="18"/>
      <c r="F16" s="25"/>
      <c r="G16" s="26"/>
      <c r="H16" s="8"/>
      <c r="I16" s="8"/>
      <c r="J16" s="2"/>
      <c r="K16" s="25">
        <v>9548</v>
      </c>
      <c r="L16" s="9" t="s">
        <v>136</v>
      </c>
      <c r="M16" s="16" t="s">
        <v>148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9555</v>
      </c>
      <c r="L17" s="9" t="s">
        <v>134</v>
      </c>
      <c r="M17" s="16" t="s">
        <v>148</v>
      </c>
      <c r="R17" s="1">
        <f>IF(vend23[[#This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9028</v>
      </c>
      <c r="F26" s="25" t="s">
        <v>301</v>
      </c>
      <c r="G26" s="26" t="s">
        <v>10</v>
      </c>
      <c r="H26" s="8">
        <v>0</v>
      </c>
      <c r="I26" s="8">
        <v>125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9529</v>
      </c>
      <c r="F27" s="25" t="s">
        <v>272</v>
      </c>
      <c r="G27" s="26" t="s">
        <v>6</v>
      </c>
      <c r="H27" s="8">
        <v>0</v>
      </c>
      <c r="I27" s="8">
        <v>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2:18" ht="15.75" x14ac:dyDescent="0.25">
      <c r="E42" s="101"/>
      <c r="F42" s="80"/>
      <c r="G42" s="81"/>
      <c r="H42" s="82"/>
      <c r="I42" s="17"/>
    </row>
    <row r="43" spans="2:18" ht="15.75" x14ac:dyDescent="0.25">
      <c r="E43" s="101"/>
      <c r="F43" s="99"/>
      <c r="G43" s="98"/>
      <c r="H43" s="100"/>
      <c r="I43" s="8"/>
    </row>
    <row r="44" spans="2:18" ht="15.75" x14ac:dyDescent="0.25">
      <c r="E44" s="102"/>
      <c r="F44" s="80"/>
      <c r="G44" s="81"/>
      <c r="H44" s="82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7" zoomScale="80" zoomScaleNormal="8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'23'!B1+1</f>
        <v>45497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430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290</v>
      </c>
      <c r="D6" s="2"/>
      <c r="E6" s="18">
        <v>9556</v>
      </c>
      <c r="F6" s="25" t="s">
        <v>303</v>
      </c>
      <c r="G6" s="26" t="s">
        <v>6</v>
      </c>
      <c r="H6" s="8">
        <v>390</v>
      </c>
      <c r="I6" s="8">
        <v>250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9557</v>
      </c>
      <c r="F7" s="25" t="s">
        <v>304</v>
      </c>
      <c r="G7" s="26" t="s">
        <v>6</v>
      </c>
      <c r="H7" s="8">
        <v>40</v>
      </c>
      <c r="I7" s="8">
        <v>40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290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733.56999999999994</v>
      </c>
      <c r="D15" s="2"/>
      <c r="E15" s="18"/>
      <c r="F15" s="25"/>
      <c r="G15" s="26"/>
      <c r="H15" s="8"/>
      <c r="I15" s="8"/>
      <c r="J15" s="2"/>
      <c r="K15" s="25">
        <v>9466</v>
      </c>
      <c r="L15" s="9" t="s">
        <v>136</v>
      </c>
      <c r="M15" s="16" t="s">
        <v>148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1023.5699999999999</v>
      </c>
      <c r="D16" s="2"/>
      <c r="E16" s="18"/>
      <c r="F16" s="25"/>
      <c r="G16" s="26"/>
      <c r="H16" s="8"/>
      <c r="I16" s="8"/>
      <c r="J16" s="2"/>
      <c r="K16" s="25">
        <v>9522</v>
      </c>
      <c r="L16" s="9" t="s">
        <v>134</v>
      </c>
      <c r="M16" s="16" t="s">
        <v>148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9486</v>
      </c>
      <c r="L17" s="9" t="s">
        <v>134</v>
      </c>
      <c r="M17" s="16" t="s">
        <v>148</v>
      </c>
      <c r="R17" s="1">
        <f>IF(vend24[[#This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9465</v>
      </c>
      <c r="L18" s="9" t="s">
        <v>136</v>
      </c>
      <c r="M18" s="16" t="s">
        <v>148</v>
      </c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>
        <v>9411</v>
      </c>
      <c r="L19" s="9" t="s">
        <v>130</v>
      </c>
      <c r="M19" s="16" t="s">
        <v>148</v>
      </c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9413</v>
      </c>
      <c r="L20" s="9" t="s">
        <v>130</v>
      </c>
      <c r="M20" s="16" t="s">
        <v>148</v>
      </c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9241</v>
      </c>
      <c r="L21" s="9" t="s">
        <v>130</v>
      </c>
      <c r="M21" s="16" t="s">
        <v>148</v>
      </c>
    </row>
    <row r="22" spans="2:18" ht="15.75" x14ac:dyDescent="0.25">
      <c r="B22" s="28" t="s">
        <v>26</v>
      </c>
      <c r="C22" s="32">
        <f>C5</f>
        <v>430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8337</v>
      </c>
      <c r="F35" s="25" t="s">
        <v>305</v>
      </c>
      <c r="G35" s="26" t="s">
        <v>10</v>
      </c>
      <c r="H35" s="8">
        <v>100</v>
      </c>
      <c r="I35" s="8" t="s">
        <v>78</v>
      </c>
      <c r="K35" s="25"/>
      <c r="L35" s="41"/>
      <c r="M35" s="16"/>
    </row>
    <row r="36" spans="2:18" ht="15.75" x14ac:dyDescent="0.25">
      <c r="E36" s="18">
        <v>8817</v>
      </c>
      <c r="F36" s="25" t="s">
        <v>306</v>
      </c>
      <c r="G36" s="26" t="s">
        <v>10</v>
      </c>
      <c r="H36" s="8">
        <v>175</v>
      </c>
      <c r="I36" s="8" t="s">
        <v>83</v>
      </c>
      <c r="K36" s="25"/>
      <c r="L36" s="41"/>
      <c r="M36" s="16"/>
    </row>
    <row r="37" spans="2:18" ht="15.75" x14ac:dyDescent="0.25">
      <c r="E37" s="18">
        <v>8817</v>
      </c>
      <c r="F37" s="25" t="s">
        <v>306</v>
      </c>
      <c r="G37" s="26" t="s">
        <v>10</v>
      </c>
      <c r="H37" s="8">
        <v>180</v>
      </c>
      <c r="I37" s="8" t="s">
        <v>57</v>
      </c>
      <c r="K37" s="25"/>
      <c r="L37" s="41"/>
      <c r="M37" s="16"/>
    </row>
    <row r="38" spans="2:18" ht="15.75" x14ac:dyDescent="0.25">
      <c r="E38" s="18">
        <v>9189</v>
      </c>
      <c r="F38" s="25" t="s">
        <v>307</v>
      </c>
      <c r="G38" s="26" t="s">
        <v>10</v>
      </c>
      <c r="H38" s="8">
        <v>100</v>
      </c>
      <c r="I38" s="8" t="s">
        <v>35</v>
      </c>
      <c r="K38" s="25"/>
      <c r="L38" s="41"/>
      <c r="M38" s="16"/>
    </row>
    <row r="39" spans="2:18" ht="15.75" x14ac:dyDescent="0.25">
      <c r="E39" s="18">
        <v>9189</v>
      </c>
      <c r="F39" s="39" t="s">
        <v>307</v>
      </c>
      <c r="G39" s="26" t="s">
        <v>10</v>
      </c>
      <c r="H39" s="8">
        <v>100</v>
      </c>
      <c r="I39" s="8" t="s">
        <v>55</v>
      </c>
      <c r="K39" s="25"/>
      <c r="L39" s="41"/>
      <c r="M39" s="16"/>
    </row>
    <row r="40" spans="2:18" ht="15.75" x14ac:dyDescent="0.25">
      <c r="E40" s="35">
        <v>8571</v>
      </c>
      <c r="F40" s="36" t="s">
        <v>308</v>
      </c>
      <c r="G40" s="37" t="s">
        <v>10</v>
      </c>
      <c r="H40" s="17">
        <v>78.569999999999993</v>
      </c>
      <c r="I40" s="8" t="s">
        <v>44</v>
      </c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9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'24'!B1+1</f>
        <v>45498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1302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884</v>
      </c>
      <c r="D6" s="2"/>
      <c r="E6" s="18">
        <v>9558</v>
      </c>
      <c r="F6" s="25" t="s">
        <v>311</v>
      </c>
      <c r="G6" s="26" t="s">
        <v>8</v>
      </c>
      <c r="H6" s="8">
        <v>100</v>
      </c>
      <c r="I6" s="8">
        <v>100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9559</v>
      </c>
      <c r="F7" s="25" t="s">
        <v>311</v>
      </c>
      <c r="G7" s="26" t="s">
        <v>8</v>
      </c>
      <c r="H7" s="8">
        <v>100</v>
      </c>
      <c r="I7" s="8">
        <v>100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884</v>
      </c>
      <c r="D8" s="2"/>
      <c r="E8" s="18">
        <v>9560</v>
      </c>
      <c r="F8" s="25" t="s">
        <v>312</v>
      </c>
      <c r="G8" s="26" t="s">
        <v>7</v>
      </c>
      <c r="H8" s="8">
        <v>400</v>
      </c>
      <c r="I8" s="8">
        <v>400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9561</v>
      </c>
      <c r="F9" s="25" t="s">
        <v>313</v>
      </c>
      <c r="G9" s="26" t="s">
        <v>10</v>
      </c>
      <c r="H9" s="8">
        <v>300</v>
      </c>
      <c r="I9" s="8">
        <v>150</v>
      </c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196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534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200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346</v>
      </c>
      <c r="D15" s="2"/>
      <c r="E15" s="18"/>
      <c r="F15" s="25"/>
      <c r="G15" s="26"/>
      <c r="H15" s="8"/>
      <c r="I15" s="8"/>
      <c r="J15" s="2"/>
      <c r="K15" s="25">
        <v>9485</v>
      </c>
      <c r="L15" s="9" t="s">
        <v>134</v>
      </c>
      <c r="M15" s="16" t="s">
        <v>148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1276</v>
      </c>
      <c r="D16" s="2"/>
      <c r="E16" s="18"/>
      <c r="F16" s="25"/>
      <c r="G16" s="26"/>
      <c r="H16" s="8"/>
      <c r="I16" s="8"/>
      <c r="J16" s="2"/>
      <c r="K16" s="25">
        <v>9530</v>
      </c>
      <c r="L16" s="9" t="s">
        <v>134</v>
      </c>
      <c r="M16" s="16" t="s">
        <v>148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8445</v>
      </c>
      <c r="L17" s="9" t="s">
        <v>130</v>
      </c>
      <c r="M17" s="16" t="s">
        <v>148</v>
      </c>
      <c r="R17" s="1">
        <f>IF(vend25[[#This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9526</v>
      </c>
      <c r="L18" s="9" t="s">
        <v>134</v>
      </c>
      <c r="M18" s="16" t="s">
        <v>148</v>
      </c>
      <c r="R18" s="1">
        <f>IF(vend25[[#This Row],[Nº Venda]]&gt;1,1,0)</f>
        <v>0</v>
      </c>
    </row>
    <row r="19" spans="2:18" ht="15.75" x14ac:dyDescent="0.25">
      <c r="B19" s="30">
        <f>COUNT(entr_carn25[OS])</f>
        <v>1</v>
      </c>
      <c r="C19" s="31">
        <f>SUM(entr_carn25[Valor Total])</f>
        <v>268</v>
      </c>
      <c r="D19" s="2"/>
      <c r="E19" s="18"/>
      <c r="F19" s="25"/>
      <c r="G19" s="26"/>
      <c r="H19" s="8"/>
      <c r="I19" s="8"/>
      <c r="J19" s="2"/>
      <c r="K19" s="25">
        <v>9493</v>
      </c>
      <c r="L19" s="9" t="s">
        <v>136</v>
      </c>
      <c r="M19" s="16" t="s">
        <v>148</v>
      </c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268</v>
      </c>
      <c r="D20" s="2"/>
      <c r="E20" s="18"/>
      <c r="F20" s="26"/>
      <c r="G20" s="26"/>
      <c r="H20" s="8"/>
      <c r="I20" s="8"/>
      <c r="J20" s="2"/>
      <c r="K20" s="25">
        <v>9538</v>
      </c>
      <c r="L20" s="9" t="s">
        <v>130</v>
      </c>
      <c r="M20" s="16" t="s">
        <v>166</v>
      </c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1302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9538</v>
      </c>
      <c r="F26" s="25" t="s">
        <v>284</v>
      </c>
      <c r="G26" s="26" t="s">
        <v>7</v>
      </c>
      <c r="H26" s="8">
        <v>402</v>
      </c>
      <c r="I26" s="8">
        <v>134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8754</v>
      </c>
      <c r="F35" s="25" t="s">
        <v>309</v>
      </c>
      <c r="G35" s="26" t="s">
        <v>10</v>
      </c>
      <c r="H35" s="77">
        <v>239</v>
      </c>
      <c r="I35" s="8" t="s">
        <v>57</v>
      </c>
      <c r="K35" s="25">
        <v>9538</v>
      </c>
      <c r="L35" s="41">
        <v>2</v>
      </c>
      <c r="M35" s="16">
        <v>268</v>
      </c>
    </row>
    <row r="36" spans="2:18" ht="15.75" x14ac:dyDescent="0.25">
      <c r="E36" s="18">
        <v>9042</v>
      </c>
      <c r="F36" s="25" t="s">
        <v>310</v>
      </c>
      <c r="G36" s="26" t="s">
        <v>6</v>
      </c>
      <c r="H36" s="8">
        <v>196</v>
      </c>
      <c r="I36" s="8" t="s">
        <v>76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view="pageBreakPreview" topLeftCell="A9" zoomScale="6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'25'!B1+1</f>
        <v>45499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5035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3760</v>
      </c>
      <c r="D6" s="2"/>
      <c r="E6" s="18">
        <v>9562</v>
      </c>
      <c r="F6" s="25" t="s">
        <v>314</v>
      </c>
      <c r="G6" s="26" t="s">
        <v>7</v>
      </c>
      <c r="H6" s="8">
        <v>490</v>
      </c>
      <c r="I6" s="8">
        <v>150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9563</v>
      </c>
      <c r="F7" s="25" t="s">
        <v>315</v>
      </c>
      <c r="G7" s="26" t="s">
        <v>8</v>
      </c>
      <c r="H7" s="8">
        <v>700</v>
      </c>
      <c r="I7" s="8">
        <v>700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3760</v>
      </c>
      <c r="D8" s="2"/>
      <c r="E8" s="18">
        <v>9564</v>
      </c>
      <c r="F8" s="25" t="s">
        <v>316</v>
      </c>
      <c r="G8" s="26" t="s">
        <v>10</v>
      </c>
      <c r="H8" s="8">
        <v>1200</v>
      </c>
      <c r="I8" s="8">
        <v>140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9565</v>
      </c>
      <c r="F9" s="25" t="s">
        <v>317</v>
      </c>
      <c r="G9" s="26" t="s">
        <v>8</v>
      </c>
      <c r="H9" s="8">
        <v>350</v>
      </c>
      <c r="I9" s="8">
        <v>350</v>
      </c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9566</v>
      </c>
      <c r="F10" s="25" t="s">
        <v>318</v>
      </c>
      <c r="G10" s="26" t="s">
        <v>7</v>
      </c>
      <c r="H10" s="8">
        <v>80</v>
      </c>
      <c r="I10" s="8">
        <v>80</v>
      </c>
      <c r="J10" s="2"/>
      <c r="K10" s="25"/>
      <c r="L10" s="9"/>
      <c r="M10" s="16"/>
      <c r="R10" s="1">
        <f>IF(vend26[[#This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91.66</v>
      </c>
      <c r="D11" s="2"/>
      <c r="E11" s="18">
        <v>9567</v>
      </c>
      <c r="F11" s="25" t="s">
        <v>319</v>
      </c>
      <c r="G11" s="26" t="s">
        <v>8</v>
      </c>
      <c r="H11" s="8">
        <v>590</v>
      </c>
      <c r="I11" s="8">
        <v>590</v>
      </c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965</v>
      </c>
      <c r="D12" s="2"/>
      <c r="E12" s="18">
        <v>9568</v>
      </c>
      <c r="F12" s="25" t="s">
        <v>319</v>
      </c>
      <c r="G12" s="26" t="s">
        <v>8</v>
      </c>
      <c r="H12" s="8">
        <v>590</v>
      </c>
      <c r="I12" s="8">
        <v>590</v>
      </c>
      <c r="J12" s="2"/>
      <c r="R12" s="1">
        <f>IF(vend26[[#This Row],[Nº Venda]]&gt;1,1,0)</f>
        <v>1</v>
      </c>
    </row>
    <row r="13" spans="2:18" ht="15.75" x14ac:dyDescent="0.25">
      <c r="B13" s="30" t="s">
        <v>8</v>
      </c>
      <c r="C13" s="31">
        <f t="shared" si="0"/>
        <v>2230</v>
      </c>
      <c r="D13" s="2"/>
      <c r="E13" s="18">
        <v>9569</v>
      </c>
      <c r="F13" s="25" t="s">
        <v>320</v>
      </c>
      <c r="G13" s="26" t="s">
        <v>7</v>
      </c>
      <c r="H13" s="8">
        <v>800</v>
      </c>
      <c r="I13" s="8">
        <v>500</v>
      </c>
      <c r="J13" s="2"/>
      <c r="K13" s="111" t="s">
        <v>22</v>
      </c>
      <c r="L13" s="112"/>
      <c r="M13" s="113"/>
      <c r="R13" s="1">
        <f>IF(vend26[[#This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9570</v>
      </c>
      <c r="F14" s="25" t="s">
        <v>323</v>
      </c>
      <c r="G14" s="26" t="s">
        <v>7</v>
      </c>
      <c r="H14" s="8">
        <v>117.5</v>
      </c>
      <c r="I14" s="8">
        <v>117.5</v>
      </c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1</v>
      </c>
    </row>
    <row r="15" spans="2:18" ht="15.75" x14ac:dyDescent="0.25">
      <c r="B15" s="30" t="s">
        <v>10</v>
      </c>
      <c r="C15" s="31">
        <f t="shared" si="0"/>
        <v>643.56999999999994</v>
      </c>
      <c r="D15" s="2"/>
      <c r="E15" s="18">
        <v>9571</v>
      </c>
      <c r="F15" s="25" t="s">
        <v>323</v>
      </c>
      <c r="G15" s="26" t="s">
        <v>7</v>
      </c>
      <c r="H15" s="8">
        <v>117.5</v>
      </c>
      <c r="I15" s="8">
        <v>117.5</v>
      </c>
      <c r="J15" s="2"/>
      <c r="K15" s="25">
        <v>9499</v>
      </c>
      <c r="L15" s="9" t="s">
        <v>136</v>
      </c>
      <c r="M15" s="16" t="s">
        <v>148</v>
      </c>
      <c r="R15" s="1">
        <f>IF(vend26[[#This Row],[Nº Venda]]&gt;1,1,0)</f>
        <v>1</v>
      </c>
    </row>
    <row r="16" spans="2:18" ht="15.75" x14ac:dyDescent="0.25">
      <c r="B16" s="28" t="s">
        <v>11</v>
      </c>
      <c r="C16" s="32">
        <f>SUM(C11:C15)</f>
        <v>3930.2299999999996</v>
      </c>
      <c r="D16" s="2"/>
      <c r="E16" s="18"/>
      <c r="F16" s="25"/>
      <c r="G16" s="26"/>
      <c r="H16" s="8"/>
      <c r="I16" s="8"/>
      <c r="J16" s="2"/>
      <c r="K16" s="25">
        <v>9484</v>
      </c>
      <c r="L16" s="9" t="s">
        <v>134</v>
      </c>
      <c r="M16" s="16" t="s">
        <v>148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9531</v>
      </c>
      <c r="L17" s="9" t="s">
        <v>130</v>
      </c>
      <c r="M17" s="16" t="s">
        <v>148</v>
      </c>
      <c r="R17" s="1">
        <f>IF(vend26[[#This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9474</v>
      </c>
      <c r="L18" s="9" t="s">
        <v>136</v>
      </c>
      <c r="M18" s="16" t="s">
        <v>148</v>
      </c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>
        <v>9570</v>
      </c>
      <c r="L19" s="9" t="s">
        <v>136</v>
      </c>
      <c r="M19" s="16" t="s">
        <v>148</v>
      </c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9561</v>
      </c>
      <c r="L20" s="9" t="s">
        <v>130</v>
      </c>
      <c r="M20" s="16" t="s">
        <v>148</v>
      </c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9571</v>
      </c>
      <c r="L21" s="9" t="s">
        <v>136</v>
      </c>
      <c r="M21" s="16" t="s">
        <v>148</v>
      </c>
    </row>
    <row r="22" spans="2:18" ht="15.75" x14ac:dyDescent="0.25">
      <c r="B22" s="28" t="s">
        <v>26</v>
      </c>
      <c r="C22" s="32">
        <f>C5</f>
        <v>5035</v>
      </c>
      <c r="D22" s="2"/>
      <c r="E22" s="18"/>
      <c r="F22" s="25"/>
      <c r="G22" s="26"/>
      <c r="H22" s="8"/>
      <c r="I22" s="8"/>
      <c r="J22" s="2"/>
      <c r="K22" s="25">
        <v>9478</v>
      </c>
      <c r="L22" s="9" t="s">
        <v>134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>
        <v>9521</v>
      </c>
      <c r="L23" s="9" t="s">
        <v>134</v>
      </c>
      <c r="M23" s="16" t="s">
        <v>148</v>
      </c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9484</v>
      </c>
      <c r="F26" s="25" t="s">
        <v>321</v>
      </c>
      <c r="G26" s="26" t="s">
        <v>10</v>
      </c>
      <c r="H26" s="8">
        <v>0</v>
      </c>
      <c r="I26" s="8">
        <v>275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9561</v>
      </c>
      <c r="F27" s="25" t="s">
        <v>313</v>
      </c>
      <c r="G27" s="26" t="s">
        <v>10</v>
      </c>
      <c r="H27" s="8">
        <v>0</v>
      </c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9289</v>
      </c>
      <c r="F35" s="25" t="s">
        <v>200</v>
      </c>
      <c r="G35" s="26" t="s">
        <v>6</v>
      </c>
      <c r="H35" s="8">
        <v>91.66</v>
      </c>
      <c r="I35" s="8" t="s">
        <v>42</v>
      </c>
      <c r="K35" s="25"/>
      <c r="L35" s="41"/>
      <c r="M35" s="16"/>
    </row>
    <row r="36" spans="2:18" ht="15.75" x14ac:dyDescent="0.25">
      <c r="E36" s="18">
        <v>8571</v>
      </c>
      <c r="F36" s="25" t="s">
        <v>322</v>
      </c>
      <c r="G36" s="26" t="s">
        <v>10</v>
      </c>
      <c r="H36" s="8">
        <v>78.569999999999993</v>
      </c>
      <c r="I36" s="8" t="s">
        <v>60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4" zoomScale="80" zoomScaleNormal="8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'26'!B1+1</f>
        <v>45500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1980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3470</v>
      </c>
      <c r="D6" s="2"/>
      <c r="E6" s="18">
        <v>9572</v>
      </c>
      <c r="F6" s="25" t="s">
        <v>324</v>
      </c>
      <c r="G6" s="26" t="s">
        <v>8</v>
      </c>
      <c r="H6" s="8">
        <v>430</v>
      </c>
      <c r="I6" s="8">
        <v>130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9573</v>
      </c>
      <c r="F7" s="25" t="s">
        <v>326</v>
      </c>
      <c r="G7" s="26" t="s">
        <v>8</v>
      </c>
      <c r="H7" s="8">
        <v>1100</v>
      </c>
      <c r="I7" s="8">
        <v>1100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21</v>
      </c>
      <c r="C8" s="29">
        <f>SUM(C6:C7)</f>
        <v>3470</v>
      </c>
      <c r="D8" s="2"/>
      <c r="E8" s="18">
        <v>9574</v>
      </c>
      <c r="F8" s="25" t="s">
        <v>325</v>
      </c>
      <c r="G8" s="26" t="s">
        <v>7</v>
      </c>
      <c r="H8" s="8">
        <v>300</v>
      </c>
      <c r="I8" s="8">
        <v>300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9575</v>
      </c>
      <c r="F9" s="25" t="s">
        <v>327</v>
      </c>
      <c r="G9" s="26" t="s">
        <v>7</v>
      </c>
      <c r="H9" s="8">
        <v>150</v>
      </c>
      <c r="I9" s="8">
        <v>150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566.66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1230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2190</v>
      </c>
      <c r="D15" s="2"/>
      <c r="E15" s="18"/>
      <c r="F15" s="25"/>
      <c r="G15" s="26"/>
      <c r="H15" s="8"/>
      <c r="I15" s="8"/>
      <c r="J15" s="2"/>
      <c r="K15" s="25">
        <v>9490</v>
      </c>
      <c r="L15" s="9" t="s">
        <v>136</v>
      </c>
      <c r="M15" s="16" t="s">
        <v>148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3986.66</v>
      </c>
      <c r="D16" s="2"/>
      <c r="E16" s="18"/>
      <c r="F16" s="25"/>
      <c r="G16" s="26"/>
      <c r="H16" s="8"/>
      <c r="I16" s="8"/>
      <c r="J16" s="2"/>
      <c r="K16" s="25">
        <v>9492</v>
      </c>
      <c r="L16" s="9" t="s">
        <v>136</v>
      </c>
      <c r="M16" s="16" t="s">
        <v>148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9491</v>
      </c>
      <c r="L17" s="9" t="s">
        <v>136</v>
      </c>
      <c r="M17" s="16" t="s">
        <v>148</v>
      </c>
      <c r="R17" s="1">
        <f>IF(vend27[[#This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9469</v>
      </c>
      <c r="L18" s="9" t="s">
        <v>130</v>
      </c>
      <c r="M18" s="16" t="s">
        <v>148</v>
      </c>
      <c r="R18" s="1">
        <f>IF(vend27[[#This Row],[Nº Venda]]&gt;1,1,0)</f>
        <v>0</v>
      </c>
    </row>
    <row r="19" spans="2:18" ht="15.75" x14ac:dyDescent="0.25">
      <c r="B19" s="30">
        <f>COUNT(entr_carn27[OS])</f>
        <v>1</v>
      </c>
      <c r="C19" s="31">
        <f>SUM(entr_carn27[Valor Total])</f>
        <v>350</v>
      </c>
      <c r="D19" s="2"/>
      <c r="E19" s="18"/>
      <c r="F19" s="25"/>
      <c r="G19" s="26"/>
      <c r="H19" s="8"/>
      <c r="I19" s="8"/>
      <c r="J19" s="2"/>
      <c r="K19" s="25">
        <v>9472</v>
      </c>
      <c r="L19" s="9" t="s">
        <v>136</v>
      </c>
      <c r="M19" s="16" t="s">
        <v>166</v>
      </c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350</v>
      </c>
      <c r="D20" s="2"/>
      <c r="E20" s="18"/>
      <c r="F20" s="26"/>
      <c r="G20" s="26"/>
      <c r="H20" s="8"/>
      <c r="I20" s="8"/>
      <c r="J20" s="2"/>
      <c r="K20" s="25">
        <v>9367</v>
      </c>
      <c r="L20" s="9" t="s">
        <v>134</v>
      </c>
      <c r="M20" s="16" t="s">
        <v>148</v>
      </c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9279</v>
      </c>
      <c r="L21" s="9" t="s">
        <v>134</v>
      </c>
      <c r="M21" s="16" t="s">
        <v>148</v>
      </c>
    </row>
    <row r="22" spans="2:18" ht="15.75" x14ac:dyDescent="0.25">
      <c r="B22" s="28" t="s">
        <v>26</v>
      </c>
      <c r="C22" s="32">
        <f>C5</f>
        <v>1980</v>
      </c>
      <c r="D22" s="2"/>
      <c r="E22" s="18"/>
      <c r="F22" s="25"/>
      <c r="G22" s="26"/>
      <c r="H22" s="8"/>
      <c r="I22" s="8"/>
      <c r="J22" s="2"/>
      <c r="K22" s="25">
        <v>9500</v>
      </c>
      <c r="L22" s="9" t="s">
        <v>136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>
        <v>9506</v>
      </c>
      <c r="L23" s="9" t="s">
        <v>136</v>
      </c>
      <c r="M23" s="16" t="s">
        <v>148</v>
      </c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>
        <v>9575</v>
      </c>
      <c r="L24" s="9" t="s">
        <v>130</v>
      </c>
      <c r="M24" s="16" t="s">
        <v>148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9504</v>
      </c>
      <c r="L25" s="9" t="s">
        <v>130</v>
      </c>
      <c r="M25" s="16" t="s">
        <v>148</v>
      </c>
    </row>
    <row r="26" spans="2:18" ht="15.75" x14ac:dyDescent="0.25">
      <c r="B26" s="2"/>
      <c r="C26" s="2"/>
      <c r="D26" s="2"/>
      <c r="E26" s="18">
        <v>9490</v>
      </c>
      <c r="F26" s="25" t="s">
        <v>328</v>
      </c>
      <c r="G26" s="108" t="s">
        <v>329</v>
      </c>
      <c r="H26" s="26"/>
      <c r="I26" s="8">
        <v>1000</v>
      </c>
      <c r="J26" s="2"/>
      <c r="K26" s="25">
        <v>9519</v>
      </c>
      <c r="L26" s="9" t="s">
        <v>134</v>
      </c>
      <c r="M26" s="16" t="s">
        <v>148</v>
      </c>
    </row>
    <row r="27" spans="2:18" ht="15.75" x14ac:dyDescent="0.25">
      <c r="B27" s="2"/>
      <c r="C27" s="2"/>
      <c r="D27" s="2"/>
      <c r="E27" s="18">
        <v>9492</v>
      </c>
      <c r="F27" s="25" t="s">
        <v>328</v>
      </c>
      <c r="G27" s="26" t="s">
        <v>10</v>
      </c>
      <c r="H27" s="8"/>
      <c r="I27" s="8">
        <v>790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9091</v>
      </c>
      <c r="F35" s="25" t="s">
        <v>330</v>
      </c>
      <c r="G35" s="26" t="s">
        <v>7</v>
      </c>
      <c r="H35" s="8">
        <v>116.66</v>
      </c>
      <c r="I35" s="8" t="s">
        <v>54</v>
      </c>
      <c r="K35" s="25">
        <v>9472</v>
      </c>
      <c r="L35" s="41">
        <v>5</v>
      </c>
      <c r="M35" s="16">
        <v>350</v>
      </c>
    </row>
    <row r="36" spans="2:18" ht="15.75" x14ac:dyDescent="0.25">
      <c r="E36" s="18">
        <v>9396</v>
      </c>
      <c r="F36" s="25" t="s">
        <v>193</v>
      </c>
      <c r="G36" s="26" t="s">
        <v>10</v>
      </c>
      <c r="H36" s="8">
        <v>400</v>
      </c>
      <c r="I36" s="8" t="s">
        <v>46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G35:G41 H26 G27:G31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6" zoomScale="80" zoomScaleNormal="8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'27'!B1+1</f>
        <v>45501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2" zoomScale="80" zoomScaleNormal="80" workbookViewId="0">
      <selection activeCell="M23" sqref="M23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4">
        <f>'28'!B1+1</f>
        <v>45502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3899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3359</v>
      </c>
      <c r="D6" s="2"/>
      <c r="E6" s="18">
        <v>9576</v>
      </c>
      <c r="F6" s="25" t="s">
        <v>331</v>
      </c>
      <c r="G6" s="26" t="s">
        <v>8</v>
      </c>
      <c r="H6" s="8">
        <v>1600</v>
      </c>
      <c r="I6" s="8">
        <v>1600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9577</v>
      </c>
      <c r="F7" s="25" t="s">
        <v>332</v>
      </c>
      <c r="G7" s="26" t="s">
        <v>8</v>
      </c>
      <c r="H7" s="8">
        <v>1200</v>
      </c>
      <c r="I7" s="8">
        <v>500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3359</v>
      </c>
      <c r="D8" s="2"/>
      <c r="E8" s="18">
        <v>9578</v>
      </c>
      <c r="F8" s="25" t="s">
        <v>332</v>
      </c>
      <c r="G8" s="26" t="s">
        <v>50</v>
      </c>
      <c r="H8" s="8"/>
      <c r="I8" s="8"/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9579</v>
      </c>
      <c r="F9" s="25" t="s">
        <v>333</v>
      </c>
      <c r="G9" s="26" t="s">
        <v>40</v>
      </c>
      <c r="H9" s="8"/>
      <c r="I9" s="8"/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9580</v>
      </c>
      <c r="F10" s="25" t="s">
        <v>334</v>
      </c>
      <c r="G10" s="26" t="s">
        <v>7</v>
      </c>
      <c r="H10" s="8">
        <v>199</v>
      </c>
      <c r="I10" s="8">
        <v>100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9580</v>
      </c>
      <c r="F11" s="25" t="s">
        <v>334</v>
      </c>
      <c r="G11" s="26" t="s">
        <v>8</v>
      </c>
      <c r="H11" s="8"/>
      <c r="I11" s="8">
        <v>99</v>
      </c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>
        <v>9581</v>
      </c>
      <c r="F12" s="25" t="s">
        <v>335</v>
      </c>
      <c r="G12" s="26" t="s">
        <v>8</v>
      </c>
      <c r="H12" s="8">
        <v>300</v>
      </c>
      <c r="I12" s="8">
        <v>200</v>
      </c>
      <c r="J12" s="2"/>
      <c r="R12" s="1">
        <f>IF(vend29[[#This Row],[Nº Venda]]&gt;1,1,0)</f>
        <v>1</v>
      </c>
    </row>
    <row r="13" spans="2:18" ht="15.75" x14ac:dyDescent="0.25">
      <c r="B13" s="30" t="s">
        <v>8</v>
      </c>
      <c r="C13" s="31">
        <f t="shared" si="0"/>
        <v>2999</v>
      </c>
      <c r="D13" s="2"/>
      <c r="E13" s="18">
        <v>9581</v>
      </c>
      <c r="F13" s="25" t="s">
        <v>335</v>
      </c>
      <c r="G13" s="26" t="s">
        <v>7</v>
      </c>
      <c r="H13" s="8"/>
      <c r="I13" s="8">
        <v>100</v>
      </c>
      <c r="J13" s="2"/>
      <c r="K13" s="111" t="s">
        <v>22</v>
      </c>
      <c r="L13" s="112"/>
      <c r="M13" s="113"/>
      <c r="R13" s="1">
        <f>IF(vend29[[#This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9582</v>
      </c>
      <c r="F14" s="25" t="s">
        <v>352</v>
      </c>
      <c r="G14" s="26" t="s">
        <v>50</v>
      </c>
      <c r="H14" s="8">
        <v>35</v>
      </c>
      <c r="I14" s="8">
        <v>0</v>
      </c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1</v>
      </c>
    </row>
    <row r="15" spans="2:18" ht="15.75" x14ac:dyDescent="0.25">
      <c r="B15" s="30" t="s">
        <v>10</v>
      </c>
      <c r="C15" s="31">
        <f t="shared" si="0"/>
        <v>160</v>
      </c>
      <c r="D15" s="2"/>
      <c r="E15" s="18">
        <v>9583</v>
      </c>
      <c r="F15" s="25" t="s">
        <v>336</v>
      </c>
      <c r="G15" s="26" t="s">
        <v>8</v>
      </c>
      <c r="H15" s="8">
        <v>600</v>
      </c>
      <c r="I15" s="8">
        <v>600</v>
      </c>
      <c r="J15" s="2"/>
      <c r="K15" s="25">
        <v>9557</v>
      </c>
      <c r="L15" s="9" t="s">
        <v>130</v>
      </c>
      <c r="M15" s="16" t="s">
        <v>148</v>
      </c>
      <c r="R15" s="1">
        <f>IF(vend29[[#This Row],[Nº Venda]]&gt;1,1,0)</f>
        <v>1</v>
      </c>
    </row>
    <row r="16" spans="2:18" ht="15.75" x14ac:dyDescent="0.25">
      <c r="B16" s="28" t="s">
        <v>11</v>
      </c>
      <c r="C16" s="32">
        <f>SUM(C11:C15)</f>
        <v>3359</v>
      </c>
      <c r="D16" s="2"/>
      <c r="E16" s="18"/>
      <c r="F16" s="25"/>
      <c r="G16" s="26"/>
      <c r="H16" s="8"/>
      <c r="I16" s="8"/>
      <c r="J16" s="2"/>
      <c r="K16" s="25">
        <v>9516</v>
      </c>
      <c r="L16" s="9" t="s">
        <v>134</v>
      </c>
      <c r="M16" s="16" t="s">
        <v>166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 t="s">
        <v>58</v>
      </c>
      <c r="G17" s="26"/>
      <c r="H17" s="8"/>
      <c r="I17" s="8"/>
      <c r="J17" s="2"/>
      <c r="K17" s="25">
        <v>9580</v>
      </c>
      <c r="L17" s="9" t="s">
        <v>134</v>
      </c>
      <c r="M17" s="16" t="s">
        <v>148</v>
      </c>
      <c r="R17" s="1">
        <f>IF(vend29[[#This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9295</v>
      </c>
      <c r="L18" s="9" t="s">
        <v>134</v>
      </c>
      <c r="M18" s="16" t="s">
        <v>148</v>
      </c>
      <c r="R18" s="1">
        <f>IF(vend29[[#This Row],[Nº Venda]]&gt;1,1,0)</f>
        <v>0</v>
      </c>
    </row>
    <row r="19" spans="2:18" ht="15.75" x14ac:dyDescent="0.25">
      <c r="B19" s="30">
        <f>COUNT(entr_carn29[OS])</f>
        <v>1</v>
      </c>
      <c r="C19" s="31">
        <f>SUM(entr_carn29[Valor Total])</f>
        <v>390</v>
      </c>
      <c r="D19" s="2"/>
      <c r="E19" s="18"/>
      <c r="F19" s="25"/>
      <c r="G19" s="26"/>
      <c r="H19" s="8"/>
      <c r="I19" s="8"/>
      <c r="J19" s="2"/>
      <c r="K19" s="25">
        <v>9560</v>
      </c>
      <c r="L19" s="9" t="s">
        <v>130</v>
      </c>
      <c r="M19" s="16" t="s">
        <v>148</v>
      </c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390</v>
      </c>
      <c r="D20" s="2"/>
      <c r="E20" s="18"/>
      <c r="F20" s="26"/>
      <c r="G20" s="26"/>
      <c r="H20" s="8"/>
      <c r="I20" s="8"/>
      <c r="J20" s="2"/>
      <c r="K20" s="25">
        <v>9523</v>
      </c>
      <c r="L20" s="9" t="s">
        <v>134</v>
      </c>
      <c r="M20" s="16" t="s">
        <v>148</v>
      </c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9539</v>
      </c>
      <c r="L21" s="9" t="s">
        <v>136</v>
      </c>
      <c r="M21" s="16" t="s">
        <v>148</v>
      </c>
    </row>
    <row r="22" spans="2:18" ht="15.75" x14ac:dyDescent="0.25">
      <c r="B22" s="28" t="s">
        <v>26</v>
      </c>
      <c r="C22" s="32">
        <f>C5</f>
        <v>3899</v>
      </c>
      <c r="D22" s="2"/>
      <c r="E22" s="18"/>
      <c r="F22" s="25"/>
      <c r="G22" s="26"/>
      <c r="H22" s="8"/>
      <c r="I22" s="8"/>
      <c r="J22" s="2"/>
      <c r="K22" s="25">
        <v>9579</v>
      </c>
      <c r="L22" s="9" t="s">
        <v>130</v>
      </c>
      <c r="M22" s="16" t="s">
        <v>148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9516</v>
      </c>
      <c r="F26" s="25" t="s">
        <v>164</v>
      </c>
      <c r="G26" s="26" t="s">
        <v>10</v>
      </c>
      <c r="H26" s="8">
        <v>0</v>
      </c>
      <c r="I26" s="8">
        <v>160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9516</v>
      </c>
      <c r="L35" s="41">
        <v>6</v>
      </c>
      <c r="M35" s="16">
        <v>390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G35:G41 G26:G31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7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'29'!B1+1</f>
        <v>45503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780</v>
      </c>
      <c r="D6" s="2"/>
      <c r="E6" s="18">
        <v>9584</v>
      </c>
      <c r="F6" s="25" t="s">
        <v>337</v>
      </c>
      <c r="G6" s="26" t="s">
        <v>40</v>
      </c>
      <c r="H6" s="8"/>
      <c r="I6" s="8"/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9585</v>
      </c>
      <c r="F7" s="25" t="s">
        <v>339</v>
      </c>
      <c r="G7" s="26" t="s">
        <v>40</v>
      </c>
      <c r="H7" s="8"/>
      <c r="I7" s="8"/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780</v>
      </c>
      <c r="D8" s="2"/>
      <c r="E8" s="18">
        <v>9586</v>
      </c>
      <c r="F8" s="25" t="s">
        <v>340</v>
      </c>
      <c r="G8" s="26" t="s">
        <v>40</v>
      </c>
      <c r="H8" s="8"/>
      <c r="I8" s="8"/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9587</v>
      </c>
      <c r="F9" s="25" t="s">
        <v>338</v>
      </c>
      <c r="G9" s="26" t="s">
        <v>40</v>
      </c>
      <c r="H9" s="8"/>
      <c r="I9" s="8"/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109" t="s">
        <v>5</v>
      </c>
      <c r="C10" s="109"/>
      <c r="D10" s="2"/>
      <c r="E10" s="18">
        <v>9589</v>
      </c>
      <c r="F10" s="25" t="s">
        <v>341</v>
      </c>
      <c r="G10" s="26" t="s">
        <v>6</v>
      </c>
      <c r="H10" s="8">
        <v>600</v>
      </c>
      <c r="I10" s="8">
        <v>80</v>
      </c>
      <c r="J10" s="2"/>
      <c r="K10" s="25"/>
      <c r="L10" s="9"/>
      <c r="M10" s="16"/>
      <c r="R10" s="1">
        <f>IF(vend30[[#This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598.01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39.99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9482</v>
      </c>
      <c r="L15" s="9" t="s">
        <v>134</v>
      </c>
      <c r="M15" s="16" t="s">
        <v>148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1038</v>
      </c>
      <c r="D16" s="2"/>
      <c r="E16" s="18"/>
      <c r="F16" s="25"/>
      <c r="G16" s="26"/>
      <c r="H16" s="8"/>
      <c r="I16" s="8"/>
      <c r="J16" s="2"/>
      <c r="K16" s="25">
        <v>9463</v>
      </c>
      <c r="L16" s="9" t="s">
        <v>130</v>
      </c>
      <c r="M16" s="16" t="s">
        <v>148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9464</v>
      </c>
      <c r="L17" s="9" t="s">
        <v>130</v>
      </c>
      <c r="M17" s="16" t="s">
        <v>148</v>
      </c>
      <c r="R17" s="1">
        <f>IF(vend30[[#This Row],[Nº Venda]]&gt;1,1,0)</f>
        <v>0</v>
      </c>
    </row>
    <row r="18" spans="2:22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>
        <v>9505</v>
      </c>
      <c r="L18" s="9" t="s">
        <v>136</v>
      </c>
      <c r="M18" s="16" t="s">
        <v>148</v>
      </c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>
        <v>9507</v>
      </c>
      <c r="L19" s="9" t="s">
        <v>134</v>
      </c>
      <c r="M19" s="16" t="s">
        <v>148</v>
      </c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600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>
        <v>9264</v>
      </c>
      <c r="F26" s="25" t="s">
        <v>342</v>
      </c>
      <c r="G26" s="26" t="s">
        <v>7</v>
      </c>
      <c r="H26" s="8">
        <v>0</v>
      </c>
      <c r="I26" s="8">
        <v>200</v>
      </c>
      <c r="J26" s="2"/>
      <c r="K26" s="25"/>
      <c r="L26" s="9"/>
      <c r="M26" s="16"/>
    </row>
    <row r="27" spans="2:22" ht="15.75" x14ac:dyDescent="0.25">
      <c r="B27" s="2"/>
      <c r="C27" s="2"/>
      <c r="D27" s="2"/>
      <c r="E27" s="18">
        <v>9507</v>
      </c>
      <c r="F27" s="25" t="s">
        <v>345</v>
      </c>
      <c r="G27" s="26" t="s">
        <v>6</v>
      </c>
      <c r="H27" s="8"/>
      <c r="I27" s="8">
        <v>460.01</v>
      </c>
      <c r="J27" s="2"/>
      <c r="K27" s="25"/>
      <c r="L27" s="9"/>
      <c r="M27" s="16"/>
    </row>
    <row r="28" spans="2:22" ht="15.75" x14ac:dyDescent="0.25">
      <c r="B28" s="2"/>
      <c r="C28" s="2"/>
      <c r="D28" s="2"/>
      <c r="E28" s="18">
        <v>9507</v>
      </c>
      <c r="F28" s="25" t="s">
        <v>345</v>
      </c>
      <c r="G28" s="26" t="s">
        <v>8</v>
      </c>
      <c r="H28" s="8"/>
      <c r="I28" s="8">
        <v>39.99</v>
      </c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8943</v>
      </c>
      <c r="F35" s="25" t="s">
        <v>343</v>
      </c>
      <c r="G35" s="26" t="s">
        <v>10</v>
      </c>
      <c r="H35" s="8">
        <v>200</v>
      </c>
      <c r="I35" s="8" t="s">
        <v>85</v>
      </c>
      <c r="K35" s="25"/>
      <c r="L35" s="41"/>
      <c r="M35" s="16"/>
    </row>
    <row r="36" spans="2:18" ht="15.75" x14ac:dyDescent="0.25">
      <c r="E36" s="18">
        <v>9093</v>
      </c>
      <c r="F36" s="25" t="s">
        <v>344</v>
      </c>
      <c r="G36" s="26" t="s">
        <v>6</v>
      </c>
      <c r="H36" s="8">
        <v>58</v>
      </c>
      <c r="I36" s="8" t="s">
        <v>45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7" zoomScale="80" zoomScaleNormal="80" workbookViewId="0">
      <selection activeCell="G31" sqref="G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7">
        <f>'30'!B1+1</f>
        <v>45504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17" t="s">
        <v>1</v>
      </c>
      <c r="F4" s="117"/>
      <c r="G4" s="117"/>
      <c r="H4" s="117"/>
      <c r="I4" s="117"/>
      <c r="J4" s="22"/>
      <c r="K4" s="111" t="s">
        <v>3</v>
      </c>
      <c r="L4" s="112"/>
      <c r="M4" s="113"/>
    </row>
    <row r="5" spans="2:18" ht="15" x14ac:dyDescent="0.25">
      <c r="B5" s="23" t="s">
        <v>1</v>
      </c>
      <c r="C5" s="24">
        <f>SUMIF(I6:I31,"&gt;0",H6:H31)</f>
        <v>5165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1290</v>
      </c>
      <c r="D6" s="2"/>
      <c r="E6" s="18">
        <v>9590</v>
      </c>
      <c r="F6" s="25" t="s">
        <v>346</v>
      </c>
      <c r="G6" s="26" t="s">
        <v>6</v>
      </c>
      <c r="H6" s="8">
        <v>780</v>
      </c>
      <c r="I6" s="8">
        <v>100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9591</v>
      </c>
      <c r="F7" s="25" t="s">
        <v>351</v>
      </c>
      <c r="G7" s="26" t="s">
        <v>7</v>
      </c>
      <c r="H7" s="8">
        <v>550</v>
      </c>
      <c r="I7" s="8">
        <v>55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1290</v>
      </c>
      <c r="D8" s="2"/>
      <c r="E8" s="18">
        <v>9592</v>
      </c>
      <c r="F8" s="25" t="s">
        <v>354</v>
      </c>
      <c r="G8" s="26" t="s">
        <v>10</v>
      </c>
      <c r="H8" s="8">
        <v>3300</v>
      </c>
      <c r="I8" s="8">
        <v>500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9593</v>
      </c>
      <c r="F9" s="25" t="s">
        <v>354</v>
      </c>
      <c r="G9" s="26" t="s">
        <v>10</v>
      </c>
      <c r="H9" s="8">
        <v>500</v>
      </c>
      <c r="I9" s="8">
        <v>500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109" t="s">
        <v>5</v>
      </c>
      <c r="C10" s="10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179.87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11" t="s">
        <v>22</v>
      </c>
      <c r="L13" s="112"/>
      <c r="M13" s="113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1627.1399999999999</v>
      </c>
      <c r="D15" s="2"/>
      <c r="E15" s="18"/>
      <c r="F15" s="25"/>
      <c r="G15" s="26"/>
      <c r="H15" s="8"/>
      <c r="I15" s="8"/>
      <c r="J15" s="2"/>
      <c r="K15" s="25">
        <v>9540</v>
      </c>
      <c r="L15" s="9" t="s">
        <v>136</v>
      </c>
      <c r="M15" s="16" t="s">
        <v>148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1942.0099999999998</v>
      </c>
      <c r="D16" s="2"/>
      <c r="E16" s="18"/>
      <c r="F16" s="25"/>
      <c r="G16" s="26"/>
      <c r="H16" s="8"/>
      <c r="I16" s="8"/>
      <c r="J16" s="2"/>
      <c r="K16" s="25">
        <v>9582</v>
      </c>
      <c r="L16" s="9" t="s">
        <v>134</v>
      </c>
      <c r="M16" s="16" t="s">
        <v>148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09" t="s">
        <v>12</v>
      </c>
      <c r="C18" s="10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5165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9482</v>
      </c>
      <c r="F26" s="25" t="s">
        <v>220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9582</v>
      </c>
      <c r="F27" s="25" t="s">
        <v>353</v>
      </c>
      <c r="G27" s="26" t="s">
        <v>6</v>
      </c>
      <c r="H27" s="8">
        <v>35</v>
      </c>
      <c r="I27" s="8">
        <v>35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9150</v>
      </c>
      <c r="F35" s="25" t="s">
        <v>347</v>
      </c>
      <c r="G35" s="26" t="s">
        <v>10</v>
      </c>
      <c r="H35" s="8">
        <v>130</v>
      </c>
      <c r="I35" s="8" t="s">
        <v>47</v>
      </c>
      <c r="K35" s="25"/>
      <c r="L35" s="41"/>
      <c r="M35" s="16"/>
    </row>
    <row r="36" spans="2:18" ht="15.75" x14ac:dyDescent="0.25">
      <c r="E36" s="18">
        <v>9104</v>
      </c>
      <c r="F36" s="25" t="s">
        <v>348</v>
      </c>
      <c r="G36" s="26" t="s">
        <v>10</v>
      </c>
      <c r="H36" s="8">
        <v>57.14</v>
      </c>
      <c r="I36" s="8" t="s">
        <v>49</v>
      </c>
      <c r="K36" s="25"/>
      <c r="L36" s="41"/>
      <c r="M36" s="16"/>
    </row>
    <row r="37" spans="2:18" ht="15.75" x14ac:dyDescent="0.25">
      <c r="E37" s="18">
        <v>8104</v>
      </c>
      <c r="F37" s="25" t="s">
        <v>349</v>
      </c>
      <c r="G37" s="26" t="s">
        <v>10</v>
      </c>
      <c r="H37" s="8">
        <v>170</v>
      </c>
      <c r="I37" s="8" t="s">
        <v>55</v>
      </c>
      <c r="K37" s="25"/>
      <c r="L37" s="41"/>
      <c r="M37" s="16"/>
    </row>
    <row r="38" spans="2:18" ht="15.75" x14ac:dyDescent="0.25">
      <c r="E38" s="18">
        <v>8104</v>
      </c>
      <c r="F38" s="25" t="s">
        <v>349</v>
      </c>
      <c r="G38" s="26" t="s">
        <v>10</v>
      </c>
      <c r="H38" s="8">
        <v>170</v>
      </c>
      <c r="I38" s="8" t="s">
        <v>49</v>
      </c>
      <c r="K38" s="25"/>
      <c r="L38" s="41"/>
      <c r="M38" s="16"/>
    </row>
    <row r="39" spans="2:18" ht="15.75" x14ac:dyDescent="0.25">
      <c r="E39" s="18">
        <v>9436</v>
      </c>
      <c r="F39" s="39" t="s">
        <v>350</v>
      </c>
      <c r="G39" s="26" t="s">
        <v>7</v>
      </c>
      <c r="H39" s="8">
        <v>124.87</v>
      </c>
      <c r="I39" s="8" t="s">
        <v>82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07</vt:lpstr>
      <vt:lpstr>06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2024-08-01T13:10:05Z</cp:lastPrinted>
  <dcterms:created xsi:type="dcterms:W3CDTF">2004-04-07T20:43:43Z</dcterms:created>
  <dcterms:modified xsi:type="dcterms:W3CDTF">2025-09-10T14:26:31Z</dcterms:modified>
  <cp:category/>
  <cp:contentStatus/>
</cp:coreProperties>
</file>