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2355" documentId="8_{EEFC199E-FB0F-4344-9C3C-9C5A3DF63E50}" xr6:coauthVersionLast="47" xr6:coauthVersionMax="47" xr10:uidLastSave="{82ECF4EA-290D-448F-B276-76BED6F27034}"/>
  <bookViews>
    <workbookView xWindow="-120" yWindow="-120" windowWidth="20730" windowHeight="11310" tabRatio="895" firstSheet="12" activeTab="2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6">'06'!$A$1:$M$44</definedName>
    <definedName name="_xlnm.Print_Area" localSheetId="7">'07'!$A$1:$M$43</definedName>
    <definedName name="_xlnm.Print_Area" localSheetId="8">'08'!$A$1:$M$45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03" l="1"/>
  <c r="C13" i="103"/>
  <c r="C14" i="103"/>
  <c r="C15" i="103"/>
  <c r="C11" i="103"/>
  <c r="C6" i="200"/>
  <c r="C6" i="182"/>
  <c r="C6" i="187"/>
  <c r="C6" i="194"/>
  <c r="C6" i="199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87"/>
  <c r="C8" i="194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4" l="1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C16" i="188"/>
  <c r="C16" i="185"/>
  <c r="C8" i="198"/>
  <c r="C8" i="182"/>
  <c r="C16" i="198"/>
  <c r="O11" i="198" s="1"/>
  <c r="C16" i="199"/>
  <c r="O11" i="199" s="1"/>
  <c r="C16" i="192"/>
  <c r="C16" i="197"/>
  <c r="C16" i="194"/>
  <c r="O11" i="194" s="1"/>
  <c r="C16" i="195"/>
  <c r="C6" i="195" s="1"/>
  <c r="C16" i="193"/>
  <c r="C16" i="191"/>
  <c r="C16" i="190"/>
  <c r="C16" i="187"/>
  <c r="O11" i="187" s="1"/>
  <c r="C16" i="186"/>
  <c r="C16" i="184"/>
  <c r="C16" i="179"/>
  <c r="C16" i="181"/>
  <c r="C16" i="183"/>
  <c r="C16" i="182"/>
  <c r="O11" i="182" s="1"/>
  <c r="C16" i="180"/>
  <c r="C16" i="176"/>
  <c r="C16" i="177"/>
  <c r="C16" i="178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2" l="1"/>
  <c r="C6" i="192"/>
  <c r="C8" i="192" s="1"/>
  <c r="O11" i="196"/>
  <c r="C6" i="196"/>
  <c r="C8" i="196" s="1"/>
  <c r="O11" i="197"/>
  <c r="C6" i="197"/>
  <c r="C8" i="197" s="1"/>
  <c r="O11" i="193"/>
  <c r="C6" i="193"/>
  <c r="C8" i="193" s="1"/>
  <c r="O11" i="191"/>
  <c r="C6" i="191"/>
  <c r="C8" i="191" s="1"/>
  <c r="O11" i="190"/>
  <c r="C6" i="190"/>
  <c r="C8" i="190" s="1"/>
  <c r="O11" i="189"/>
  <c r="C6" i="189"/>
  <c r="C8" i="189" s="1"/>
  <c r="O11" i="185"/>
  <c r="C6" i="185"/>
  <c r="C8" i="185" s="1"/>
  <c r="O11" i="186"/>
  <c r="C6" i="186"/>
  <c r="C8" i="186" s="1"/>
  <c r="O11" i="184"/>
  <c r="C6" i="184"/>
  <c r="C8" i="184" s="1"/>
  <c r="O11" i="179"/>
  <c r="C6" i="179"/>
  <c r="C8" i="179" s="1"/>
  <c r="O11" i="181"/>
  <c r="C6" i="181"/>
  <c r="C8" i="181" s="1"/>
  <c r="O11" i="183"/>
  <c r="C6" i="183"/>
  <c r="C8" i="183" s="1"/>
  <c r="O11" i="180"/>
  <c r="C6" i="180"/>
  <c r="C8" i="180" s="1"/>
  <c r="O11" i="177"/>
  <c r="C6" i="177"/>
  <c r="C8" i="177" s="1"/>
  <c r="O11" i="170"/>
  <c r="C6" i="170"/>
  <c r="C8" i="170" s="1"/>
  <c r="O11" i="172"/>
  <c r="C6" i="172"/>
  <c r="C8" i="172" s="1"/>
  <c r="O11" i="173"/>
  <c r="C6" i="173"/>
  <c r="C8" i="173" s="1"/>
  <c r="O11" i="174"/>
  <c r="C6" i="174"/>
  <c r="C8" i="174" s="1"/>
  <c r="O11" i="178"/>
  <c r="C6" i="178"/>
  <c r="C8" i="178" s="1"/>
  <c r="O11" i="176"/>
  <c r="C6" i="176"/>
  <c r="C8" i="176" s="1"/>
  <c r="O11" i="171"/>
  <c r="C6" i="171"/>
  <c r="C8" i="171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<sst xmlns="http://schemas.openxmlformats.org/spreadsheetml/2006/main" count="2632" uniqueCount="398">
  <si>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</si>
  <si>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</si>
  <si>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</si>
  <si>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</si>
  <si>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</si>
  <si>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</si>
  <si>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</si>
  <si>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</si>
  <si>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</si>
  <si>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</si>
  <si>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</si>
  <si>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</si>
  <si>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</si>
  <si>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</si>
  <si>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</si>
  <si>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</si>
  <si>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</si>
  <si>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</si>
  <si>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</si>
  <si>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</si>
  <si>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</si>
  <si>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</si>
  <si>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</si>
  <si>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</si>
  <si>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</si>
  <si>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</si>
  <si>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</si>
  <si>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</si>
  <si>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</si>
  <si>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</si>
  <si>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</si>
  <si>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</si>
  <si>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</si>
  <si>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</si>
  <si>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</si>
  <si>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</si>
  <si>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</si>
  <si>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</si>
  <si>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</si>
  <si>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</si>
  <si>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</si>
  <si>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</si>
  <si>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</si>
  <si>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</si>
  <si>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</si>
  <si>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</si>
  <si>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</si>
  <si>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</si>
  <si>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</si>
  <si>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</si>
  <si>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</si>
  <si>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</si>
  <si>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</si>
  <si>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</si>
  <si>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</si>
  <si>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</si>
  <si>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</si>
  <si>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</si>
  <si>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</si>
  <si>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</si>
  <si>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</si>
  <si>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</si>
  <si>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</si>
  <si>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</si>
  <si>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</si>
  <si>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</si>
  <si>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</si>
  <si>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</si>
  <si>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</si>
  <si>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</si>
  <si>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</si>
  <si>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</si>
  <si>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</si>
  <si>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</si>
  <si>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</si>
  <si>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</si>
  <si>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</si>
  <si>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</si>
  <si>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</si>
  <si>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</si>
  <si>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</si>
  <si>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</si>
  <si>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</si>
  <si>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</si>
  <si>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</si>
  <si>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</si>
  <si>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</si>
  <si>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</si>
  <si>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</si>
  <si>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</si>
  <si>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</si>
  <si>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</si>
  <si>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</si>
  <si>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</si>
  <si>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</si>
  <si>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</si>
  <si>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</si>
  <si>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</si>
  <si>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</si>
  <si>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</si>
  <si>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</si>
  <si>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</si>
  <si>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</si>
  <si>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</si>
  <si>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</si>
  <si>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</si>
  <si>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</si>
  <si>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</si>
  <si>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</si>
  <si>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</si>
  <si>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</si>
  <si>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</si>
  <si>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</si>
  <si>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</si>
  <si>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</si>
  <si>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</si>
  <si>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</si>
  <si>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</si>
  <si>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</si>
  <si>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</si>
  <si>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</si>
  <si>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</si>
  <si>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</si>
  <si>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</si>
  <si>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</si>
  <si>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</si>
  <si>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</si>
  <si>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</si>
  <si>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</si>
  <si>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</si>
  <si>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</si>
  <si>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</si>
  <si>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</si>
  <si>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</si>
  <si>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</si>
  <si>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</si>
  <si>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</si>
  <si>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</si>
  <si>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</si>
  <si>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</si>
  <si>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</si>
  <si>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</si>
  <si>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</si>
  <si>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1</t>
  </si>
  <si>
    <t>CAROLINY RIBEIRO DE ANDRADE</t>
  </si>
  <si>
    <t>DOMINGOS DE JESUS</t>
  </si>
  <si>
    <t>CAMILA APARECIDA BERTELLE</t>
  </si>
  <si>
    <t>JOSÉ CARLOS</t>
  </si>
  <si>
    <t>Não</t>
  </si>
  <si>
    <t xml:space="preserve">MAURO ROBERTO </t>
  </si>
  <si>
    <t xml:space="preserve">depósito em conta </t>
  </si>
  <si>
    <t>dn</t>
  </si>
  <si>
    <t>PAULO HENRIQUE DIAS FRANCISCO</t>
  </si>
  <si>
    <t>SONIA APARECIDA DOS SANTOS</t>
  </si>
  <si>
    <t xml:space="preserve">LUIZ FERNANDO FERREIRA </t>
  </si>
  <si>
    <t>heroildes mello de matos</t>
  </si>
  <si>
    <t>TEREZINHA DE JESUS LEANDRO</t>
  </si>
  <si>
    <t xml:space="preserve">MARGARETE CRISTINA SILVA </t>
  </si>
  <si>
    <t>DIONE FREDERICO DA SILVA</t>
  </si>
  <si>
    <t>edecarlos paulo de freitas</t>
  </si>
  <si>
    <t>Sim</t>
  </si>
  <si>
    <t>PAULO ROBERTO PEREIRA</t>
  </si>
  <si>
    <t xml:space="preserve">RITA DE CASSIA </t>
  </si>
  <si>
    <t xml:space="preserve">TEREZINHA DE JESUS LEANDRO </t>
  </si>
  <si>
    <t>DEPÓDITO EM CONTA</t>
  </si>
  <si>
    <t>MARCELA DA COSTA SIQUEIRA</t>
  </si>
  <si>
    <t>EDUARDA CINDRA BARBOSA</t>
  </si>
  <si>
    <t>JOSÉ ALFREDO FILHO</t>
  </si>
  <si>
    <t>MARCIA DE OLIVEIRA FIGUEIREDO</t>
  </si>
  <si>
    <t>ROSINEIDE SANTOS LIMA SEVERINO</t>
  </si>
  <si>
    <t>ROSANGELA CREMES DOS SANTOS CAMARGO</t>
  </si>
  <si>
    <t>LEONIA PAULA RODRIGUES MANO</t>
  </si>
  <si>
    <t>SANDRO APARECIDO</t>
  </si>
  <si>
    <t>LUIZ FERNANDO FERREIRA RAMOS</t>
  </si>
  <si>
    <t>ELINE GUERRA CUNHA BORGES</t>
  </si>
  <si>
    <t>EVA MARIA</t>
  </si>
  <si>
    <t>JANE PEREIRA ANGELO</t>
  </si>
  <si>
    <t>KARINA LIMA SANTOS</t>
  </si>
  <si>
    <t>MARGARETH DE OLIVEIRA LIMA</t>
  </si>
  <si>
    <t>LEONARDO MEDEIROS</t>
  </si>
  <si>
    <t>JAMILSON ALVES DA SILVA</t>
  </si>
  <si>
    <t>ANA PAULA RAMOS NOGUEIRA</t>
  </si>
  <si>
    <t>KEVEN MICHAEL ENGELHARDT GOMES</t>
  </si>
  <si>
    <t>ALMOÇO TATY</t>
  </si>
  <si>
    <t>PAPEL HIGIÊNICO</t>
  </si>
  <si>
    <t>CLEUSA DOS SANTOS</t>
  </si>
  <si>
    <t>ANA FLÁVIA FERREIRA DE CASTRO SANTOS</t>
  </si>
  <si>
    <t>ANA FLAVIA FERREIRA DE CASTRO SANTOS</t>
  </si>
  <si>
    <t>ANA CRISTINA FRANÇA SOUZA</t>
  </si>
  <si>
    <t>SERAFIM LIMA</t>
  </si>
  <si>
    <t>CONDUÇÃO TATY</t>
  </si>
  <si>
    <t xml:space="preserve">orlando francisco bezerra </t>
  </si>
  <si>
    <t>VAGNER GONÇALVES DE ARAUJO</t>
  </si>
  <si>
    <t>JULIO DOS SANTOS JUNIOR</t>
  </si>
  <si>
    <t>CLAUMIDIO MARTINS</t>
  </si>
  <si>
    <t>NATALI DOS SANTOS MENEZES</t>
  </si>
  <si>
    <t>ELZA THEREZINHA DE SOUZA</t>
  </si>
  <si>
    <t>CLAUDEMIR DE OLIVEIRA</t>
  </si>
  <si>
    <t>JOSÉ LUIZ DA SILVA</t>
  </si>
  <si>
    <t xml:space="preserve">AGATHA SABRINA SIQUEIRA </t>
  </si>
  <si>
    <t xml:space="preserve">ADRIANA APARECIDA </t>
  </si>
  <si>
    <t xml:space="preserve">LAURA DIAS FERNANDES </t>
  </si>
  <si>
    <t xml:space="preserve">VALQUIRIA DIAS SIMÃO COLOMBO </t>
  </si>
  <si>
    <t>PAULO DA PAIXÃO SILVA</t>
  </si>
  <si>
    <t>ROSA TAKAHASHI</t>
  </si>
  <si>
    <t>ELIEL</t>
  </si>
  <si>
    <t>JEOVANAH MYLENA PESSOA CORREA</t>
  </si>
  <si>
    <t>JOSEANE PEREIRA DA SILVA</t>
  </si>
  <si>
    <t>GIOVANNA SILVA DE SOUZA</t>
  </si>
  <si>
    <t>BENEDITA CANDIDA DOS SANTOS QUINTELA</t>
  </si>
  <si>
    <t>MARIA DE LOURDES LEITE</t>
  </si>
  <si>
    <t xml:space="preserve">KETTELYN ARAUJO DE OLIVEIRA </t>
  </si>
  <si>
    <t>DIEGO SILVA VIANNA</t>
  </si>
  <si>
    <t>GILMAR LOPES</t>
  </si>
  <si>
    <t>MARCIO FAVERO</t>
  </si>
  <si>
    <t>LAURA DIAS FERNANDES CARDOZO</t>
  </si>
  <si>
    <t>ELIETE CAVALCANTI</t>
  </si>
  <si>
    <t xml:space="preserve">DEPÓSITO EM CONTA </t>
  </si>
  <si>
    <t>WELLINGTON DA SILVA MATOS</t>
  </si>
  <si>
    <t>LOURDES RODRIGUES DA SILVA</t>
  </si>
  <si>
    <t>LUCILENE GOMES DA ROCHA SOUZA</t>
  </si>
  <si>
    <t xml:space="preserve">MARIA DAS GRAÇAS MATHIAS MARIANO </t>
  </si>
  <si>
    <t>JOSÉ ALESSANDRO RODRIGO DA SILVA</t>
  </si>
  <si>
    <t xml:space="preserve">SANDRA FERNANDES </t>
  </si>
  <si>
    <t>LUCIANO BITTENCOURT TEIXEIRA</t>
  </si>
  <si>
    <t>TALITA FREITAS</t>
  </si>
  <si>
    <t>JOSÉ ELAIS DE MORAES</t>
  </si>
  <si>
    <t>WALDETE ALVES DOS SANTOS</t>
  </si>
  <si>
    <t>EDILSON DA CONCEIÇÃO</t>
  </si>
  <si>
    <t>SIMONE IGNACIO</t>
  </si>
  <si>
    <t>ARILDISON RIBEIRO DE SOUZA</t>
  </si>
  <si>
    <t>DEBORA MAGALHÃES DA SILVA</t>
  </si>
  <si>
    <t>MARCOS ANTONIO DO NASCIMENTO</t>
  </si>
  <si>
    <t>EDUARDO ADRIANO</t>
  </si>
  <si>
    <t>VALDEMICE BATISTA DOS SANTOS</t>
  </si>
  <si>
    <t xml:space="preserve">deposito </t>
  </si>
  <si>
    <t>PATRICIA PAULINO DOS SANTOS</t>
  </si>
  <si>
    <t>AGOSTINHO GOMES DE ORNELAS</t>
  </si>
  <si>
    <t>NATALI DE LIMA SANTOS NAVAIS</t>
  </si>
  <si>
    <t xml:space="preserve">JEANE CRISTINA SANTOS LIMA </t>
  </si>
  <si>
    <t>RUBIA VALERIA BATISTA</t>
  </si>
  <si>
    <t>MARTA VAZ DA SILVA</t>
  </si>
  <si>
    <t xml:space="preserve">KATIA DE OLIVEIRA MOURA </t>
  </si>
  <si>
    <t>DEPOSITO</t>
  </si>
  <si>
    <t xml:space="preserve">DN </t>
  </si>
  <si>
    <t xml:space="preserve">CLEUSA DAMACENO </t>
  </si>
  <si>
    <t>VALDELICE RODRIGUES</t>
  </si>
  <si>
    <t>JANAINA APARECIDA DE OLIVEIRA</t>
  </si>
  <si>
    <t xml:space="preserve">LEONILDA SIQUEIRA </t>
  </si>
  <si>
    <t>VALERIA DE OLIVEIRA BRAGA</t>
  </si>
  <si>
    <t>LUCIANA NASCIMENTO RABELO</t>
  </si>
  <si>
    <t>IRIS ROCERO SANTOS</t>
  </si>
  <si>
    <t xml:space="preserve">ANTONIA ALVES FERREIRA </t>
  </si>
  <si>
    <t xml:space="preserve">NIDINALVA ALVES </t>
  </si>
  <si>
    <t xml:space="preserve">MARCIA REGINA DA SILVA </t>
  </si>
  <si>
    <t>VITORIA NHOQUE JACINTO</t>
  </si>
  <si>
    <t xml:space="preserve">DEPOSITO </t>
  </si>
  <si>
    <t>JOSÉ LUIZ DA SILVA GOMES</t>
  </si>
  <si>
    <t>IRENE MARIA FERREIRA</t>
  </si>
  <si>
    <t>RAQUEL PIRES DA SILVA</t>
  </si>
  <si>
    <t>NATALIA NATSUMI KOGA</t>
  </si>
  <si>
    <t>EDUARDO JOSÉ DA SILVA</t>
  </si>
  <si>
    <t>CARLA CRISTINA GONZAGA VALDO</t>
  </si>
  <si>
    <t xml:space="preserve">WILLAIM ALVES DE SOUZA </t>
  </si>
  <si>
    <t xml:space="preserve">AMANDA YASMIN CABRAL </t>
  </si>
  <si>
    <t>VALQUIRIA DIAS SIMÃO</t>
  </si>
  <si>
    <t>ERRO MEDICO</t>
  </si>
  <si>
    <t>DEISE</t>
  </si>
  <si>
    <t>CARLA CRISTINA GONZADA</t>
  </si>
  <si>
    <t xml:space="preserve">IRENE MARIA FERREIRA </t>
  </si>
  <si>
    <t>JUSCELINO DE SOUZA SILVA</t>
  </si>
  <si>
    <t xml:space="preserve">PÃO </t>
  </si>
  <si>
    <t>ANGELA MARIA DA GAMA</t>
  </si>
  <si>
    <t>FLORIANA PEREIRA DA S GOMES</t>
  </si>
  <si>
    <t>MARCIA REGINA</t>
  </si>
  <si>
    <t>EUFRASIA DE SOUZA SILVA</t>
  </si>
  <si>
    <t>CLAUDIA EUNICE CURGATO</t>
  </si>
  <si>
    <t>IVONE PEREIRA AZEVEDO</t>
  </si>
  <si>
    <t>JOSÉ FERREIRA DA SILVA</t>
  </si>
  <si>
    <t>MARIA MESSIAS BARROS DOS SANTOS</t>
  </si>
  <si>
    <t xml:space="preserve">MARICA REGINA DA SILVA </t>
  </si>
  <si>
    <t>MIGUEL PEZZUOL COSTA</t>
  </si>
  <si>
    <t>ALAOR SALES DE OLIVEIRA</t>
  </si>
  <si>
    <t>ELEN PEREIRA DE ARAUJO</t>
  </si>
  <si>
    <t>WANTUIR GADELHA DOS SANTOS</t>
  </si>
  <si>
    <t>CLEUSA SOARES DA SILVA</t>
  </si>
  <si>
    <t>ANTÔNIO CARLOS REIS</t>
  </si>
  <si>
    <t>DEISE CRISTINA DOS SANTOS</t>
  </si>
  <si>
    <t>DEPÓSITO</t>
  </si>
  <si>
    <t>GENILDA SOARES DE LIMA MARCELINO</t>
  </si>
  <si>
    <t xml:space="preserve">GENILDA SOARES DE LIMA </t>
  </si>
  <si>
    <t>MAYCON SANTOS PEREIRA</t>
  </si>
  <si>
    <t>SOLANGE APARECIDA VIEIRA SOARES</t>
  </si>
  <si>
    <t>GIOVANA CALAZANS MIRANDA</t>
  </si>
  <si>
    <t>ARI JOSE DOS REIS</t>
  </si>
  <si>
    <t>ÓCULOS</t>
  </si>
  <si>
    <t>SIRLEI BUENO BORGES</t>
  </si>
  <si>
    <t>LEONILDA SIQUEIRA DA SILVA</t>
  </si>
  <si>
    <t xml:space="preserve">EDIMILSON DE ALMEIDA </t>
  </si>
  <si>
    <t>ANA PAULA RAMOS</t>
  </si>
  <si>
    <t xml:space="preserve">CLEUSA DAMASCENO </t>
  </si>
  <si>
    <t>TEREZINHA QUERIDO PEREIRA</t>
  </si>
  <si>
    <t>SILAS RODRIGUES FARNEZI JUNIOR</t>
  </si>
  <si>
    <t>LONDES LINS DA SILVA</t>
  </si>
  <si>
    <t xml:space="preserve">pão </t>
  </si>
  <si>
    <t xml:space="preserve">ITAMARA LUZ VITORIANO </t>
  </si>
  <si>
    <t xml:space="preserve">FLORISVALDO ROCHA </t>
  </si>
  <si>
    <t>BEATRIZ DA SILVA RAMALHO</t>
  </si>
  <si>
    <t>EDILAINE CRISTINA ANZOATEGUI</t>
  </si>
  <si>
    <t>JULIA PRADO SANTOS</t>
  </si>
  <si>
    <t>SIMONICA DE ALMEIDA</t>
  </si>
  <si>
    <t>MARIA DAS GRAÇAS MATHIAS</t>
  </si>
  <si>
    <t xml:space="preserve">MARCELA DA COSTA </t>
  </si>
  <si>
    <t>EDILAINE CRISTINA</t>
  </si>
  <si>
    <t>ISABELE VICTORIA DA SILVA</t>
  </si>
  <si>
    <t>Edilaine cristina</t>
  </si>
  <si>
    <t xml:space="preserve">JOSÉ FERREIRA </t>
  </si>
  <si>
    <t xml:space="preserve">MIGUEL PEZZUOL COSTA </t>
  </si>
  <si>
    <t>PÃO</t>
  </si>
  <si>
    <t xml:space="preserve">Maria raimunda </t>
  </si>
  <si>
    <t xml:space="preserve">NICÁLIA DOS SANTOS </t>
  </si>
  <si>
    <t xml:space="preserve">REGINA DA CONCEIÇÃO BERNADO </t>
  </si>
  <si>
    <t xml:space="preserve">FLAVIANA PEREIRA </t>
  </si>
  <si>
    <t xml:space="preserve">TEREZINHA QUERIDO PEREIRA </t>
  </si>
  <si>
    <t>RAISSA MILENA SIQUEIRA</t>
  </si>
  <si>
    <t>JOSECLEIA DE JESUS</t>
  </si>
  <si>
    <t xml:space="preserve">VERONICE UMBELINA DOS ANJOS </t>
  </si>
  <si>
    <t xml:space="preserve">MARIA DE FATIMA SOARES </t>
  </si>
  <si>
    <t xml:space="preserve">SIDILAINE APARECIDA </t>
  </si>
  <si>
    <t>GABRIEL SOUZA XAVIER</t>
  </si>
  <si>
    <t>MISLAINE FELIPE SILVA</t>
  </si>
  <si>
    <t xml:space="preserve">ANA PAULA RAMOS </t>
  </si>
  <si>
    <t>ITAMARA LUZ VITORIANO</t>
  </si>
  <si>
    <t>deposito</t>
  </si>
  <si>
    <t>QUEREN SANTOS DE MELLO</t>
  </si>
  <si>
    <t xml:space="preserve">MARIA DEUZIMAR ROCHA </t>
  </si>
  <si>
    <t>SIMONE VALERIA ANACLETO</t>
  </si>
  <si>
    <t>GILMAR LOPES MARINHO</t>
  </si>
  <si>
    <t xml:space="preserve">ANA MARIA GAMARRA </t>
  </si>
  <si>
    <t>THIAGO VINICIUS ANDRADE</t>
  </si>
  <si>
    <t>MARY SAITO</t>
  </si>
  <si>
    <t>ELIZANGELA DANTAS DE ALMEIDA</t>
  </si>
  <si>
    <t xml:space="preserve">RICARDO HENRIQUE </t>
  </si>
  <si>
    <t>MARIA DAS GRAÇAS ALCANTARA</t>
  </si>
  <si>
    <t xml:space="preserve">SIMONICA DE ALMEIDA </t>
  </si>
  <si>
    <t xml:space="preserve">DAIANA DA SILVA MOREIRA </t>
  </si>
  <si>
    <t>MARCO ANTONIO CONSTANTINO</t>
  </si>
  <si>
    <t xml:space="preserve">CAMILA LOPES DE ANDRADE </t>
  </si>
  <si>
    <t>RONIELIA DA SILVA FERREIRA</t>
  </si>
  <si>
    <t>WILLIAM ALVES DE SOUZA</t>
  </si>
  <si>
    <t xml:space="preserve">LUIZ HENRIQUE ALVES PEREIRA </t>
  </si>
  <si>
    <t>REGINALDO CORDEIRO DA SILVA</t>
  </si>
  <si>
    <t>MARIA DE LOURDES KAMADA</t>
  </si>
  <si>
    <t>MARIA DE FATIMA SOARES</t>
  </si>
  <si>
    <t>THAMYRES LOPES</t>
  </si>
  <si>
    <t>JEANE CRISTINA SANTOS</t>
  </si>
  <si>
    <t xml:space="preserve">MARIA EUNICE DE LIMA </t>
  </si>
  <si>
    <t>FATIMA TINOCO SALAROLI BARBOZA</t>
  </si>
  <si>
    <t xml:space="preserve">ILZA DE MESSIAS </t>
  </si>
  <si>
    <t>THAWANY RAMALHO</t>
  </si>
  <si>
    <t xml:space="preserve">REGINALDO DE OLIVEIRA </t>
  </si>
  <si>
    <t>GABRIEL MARQUES DE MEDEIROS</t>
  </si>
  <si>
    <t>MARCIA QUEIROZ</t>
  </si>
  <si>
    <t>LUCI APARECIDA MASETTO</t>
  </si>
  <si>
    <t>CLAUDETE DE FÁTIMA DOS SANTOS</t>
  </si>
  <si>
    <t xml:space="preserve">EDILAINE CRISTINA </t>
  </si>
  <si>
    <t xml:space="preserve">IVANILDA ALVES SANTANA </t>
  </si>
  <si>
    <t>NIVALDA RABELO</t>
  </si>
  <si>
    <t>GILSON TELES GOMES</t>
  </si>
  <si>
    <t>FLAVIA MARAIA CRISTINA DA SILVA</t>
  </si>
  <si>
    <t>DAMIÃO SILVA DO NASCIMENTO</t>
  </si>
  <si>
    <t>JOSÉ DO CARMO SIQUEIRA</t>
  </si>
  <si>
    <t>BRUNA DE OLIVEIRA</t>
  </si>
  <si>
    <t>DHAYLLANE CARDOSO BORGES</t>
  </si>
  <si>
    <t>LUCIMEIRE DE MORAES</t>
  </si>
  <si>
    <t>JOSELINA APARECIDA DE SOUZA</t>
  </si>
  <si>
    <t>CRISTINE ANDARDE OSAKA</t>
  </si>
  <si>
    <t>FRANCISCO GOMES DE OLIVEIRA</t>
  </si>
  <si>
    <t>MARISA DO VALE FREITAS</t>
  </si>
  <si>
    <t xml:space="preserve">MARILIA DO VALES FREITAS </t>
  </si>
  <si>
    <t>LEONIA PAULA PEREIRA</t>
  </si>
  <si>
    <t>MARCIA REGINA TEIXEIRA</t>
  </si>
  <si>
    <t>EZEQUIAS LEONARDO DA SILVA</t>
  </si>
  <si>
    <t>FATIMA TINOCO</t>
  </si>
  <si>
    <t>DEPÓSITO EM CONTA</t>
  </si>
  <si>
    <t>SACOLAS</t>
  </si>
  <si>
    <t>ALESSANDRA JOSÉ LEITE DE MELLO</t>
  </si>
  <si>
    <t>HELENA RODRIGUES PINTO</t>
  </si>
  <si>
    <t xml:space="preserve">ROSINEIDE DA SILVA </t>
  </si>
  <si>
    <t xml:space="preserve">CARLA CRISTINA GONZAGA </t>
  </si>
  <si>
    <t>ALAN SANTOS ROCHA</t>
  </si>
  <si>
    <t>mantimentos</t>
  </si>
  <si>
    <t>NEILA LIMA DA SILVA</t>
  </si>
  <si>
    <t>SUELLY PEREIRA DA SILVA SANTOS</t>
  </si>
  <si>
    <t>PÃO/MARGARINA</t>
  </si>
  <si>
    <t>GEORGE JACINTO</t>
  </si>
  <si>
    <t>REGIANE DIAS PEREIRA</t>
  </si>
  <si>
    <t>QUEREEN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</si>
</sst>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7" fillId="6" borderId="5" xfId="0" applyFont="1" applyFill="1" applyBorder="1" applyAlignment="1">
      <alignment horizontal="center" vertical="center"/>
    </xf>
    <xf numFmtId="165" fontId="37" fillId="6" borderId="12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5" borderId="2" xfId="0" applyFont="1" applyFill="1" applyBorder="1" applyAlignment="1">
      <alignment horizontal="center"/>
    </xf>
    <xf numFmtId="165" fontId="37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8" fillId="7" borderId="6" xfId="0" applyFont="1" applyFill="1" applyBorder="1" applyAlignment="1">
      <alignment horizontal="center"/>
    </xf>
    <xf numFmtId="165" fontId="38" fillId="7" borderId="8" xfId="0" applyNumberFormat="1" applyFont="1" applyFill="1" applyBorder="1" applyAlignment="1">
      <alignment horizontal="center"/>
    </xf>
    <xf numFmtId="165" fontId="39" fillId="0" borderId="0" xfId="0" applyNumberFormat="1" applyFont="1" applyAlignment="1">
      <alignment horizontal="center"/>
    </xf>
    <xf numFmtId="164" fontId="38" fillId="7" borderId="6" xfId="2" applyFont="1" applyFill="1" applyBorder="1" applyAlignment="1">
      <alignment horizontal="center"/>
    </xf>
    <xf numFmtId="164" fontId="39" fillId="0" borderId="0" xfId="2" applyFont="1" applyFill="1" applyBorder="1" applyAlignment="1">
      <alignment horizontal="center"/>
    </xf>
    <xf numFmtId="165" fontId="39" fillId="0" borderId="11" xfId="4" applyNumberFormat="1" applyFont="1" applyFill="1" applyBorder="1" applyAlignment="1">
      <alignment horizontal="center"/>
    </xf>
    <xf numFmtId="165" fontId="39" fillId="0" borderId="0" xfId="4" applyNumberFormat="1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165" fontId="39" fillId="0" borderId="13" xfId="0" applyNumberFormat="1" applyFont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165" fontId="39" fillId="0" borderId="3" xfId="4" applyNumberFormat="1" applyFont="1" applyFill="1" applyBorder="1" applyAlignment="1">
      <alignment horizontal="center"/>
    </xf>
    <xf numFmtId="165" fontId="39" fillId="0" borderId="6" xfId="0" applyNumberFormat="1" applyFont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44" fontId="39" fillId="0" borderId="13" xfId="39" applyFont="1" applyFill="1" applyBorder="1" applyAlignment="1">
      <alignment horizontal="center"/>
    </xf>
    <xf numFmtId="165" fontId="39" fillId="0" borderId="13" xfId="4" applyNumberFormat="1" applyFont="1" applyFill="1" applyBorder="1" applyAlignment="1">
      <alignment horizontal="center"/>
    </xf>
    <xf numFmtId="44" fontId="39" fillId="0" borderId="17" xfId="39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39" fillId="0" borderId="9" xfId="0" applyNumberFormat="1" applyFont="1" applyBorder="1" applyAlignment="1">
      <alignment horizontal="center"/>
    </xf>
    <xf numFmtId="0" fontId="40" fillId="0" borderId="0" xfId="0" applyFont="1"/>
    <xf numFmtId="0" fontId="39" fillId="0" borderId="0" xfId="0" applyFont="1"/>
    <xf numFmtId="164" fontId="38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4" fontId="39" fillId="0" borderId="12" xfId="2" applyFont="1" applyFill="1" applyBorder="1" applyAlignment="1">
      <alignment horizontal="center"/>
    </xf>
    <xf numFmtId="0" fontId="39" fillId="0" borderId="2" xfId="0" applyFont="1" applyBorder="1"/>
    <xf numFmtId="0" fontId="40" fillId="0" borderId="2" xfId="0" applyFont="1" applyBorder="1"/>
    <xf numFmtId="0" fontId="40" fillId="0" borderId="11" xfId="0" applyFont="1" applyBorder="1"/>
    <xf numFmtId="0" fontId="39" fillId="0" borderId="11" xfId="0" applyFont="1" applyBorder="1"/>
    <xf numFmtId="0" fontId="39" fillId="0" borderId="19" xfId="0" applyFont="1" applyBorder="1"/>
    <xf numFmtId="165" fontId="37" fillId="5" borderId="3" xfId="0" applyNumberFormat="1" applyFont="1" applyFill="1" applyBorder="1" applyAlignment="1">
      <alignment horizontal="center"/>
    </xf>
    <xf numFmtId="165" fontId="37" fillId="5" borderId="19" xfId="0" applyNumberFormat="1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164" fontId="37" fillId="5" borderId="11" xfId="2" applyFont="1" applyFill="1" applyBorder="1" applyAlignment="1">
      <alignment horizontal="center"/>
    </xf>
    <xf numFmtId="164" fontId="38" fillId="7" borderId="17" xfId="2" applyFont="1" applyFill="1" applyBorder="1" applyAlignment="1">
      <alignment horizontal="center"/>
    </xf>
    <xf numFmtId="164" fontId="40" fillId="5" borderId="11" xfId="2" applyFont="1" applyFill="1" applyBorder="1" applyAlignment="1">
      <alignment horizontal="center"/>
    </xf>
    <xf numFmtId="0" fontId="40" fillId="0" borderId="12" xfId="0" applyFont="1" applyBorder="1"/>
    <xf numFmtId="0" fontId="40" fillId="0" borderId="10" xfId="0" applyFont="1" applyBorder="1"/>
    <xf numFmtId="0" fontId="40" fillId="0" borderId="9" xfId="0" applyFont="1" applyBorder="1"/>
    <xf numFmtId="1" fontId="39" fillId="0" borderId="17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1" fontId="39" fillId="0" borderId="3" xfId="0" applyNumberFormat="1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164" fontId="39" fillId="0" borderId="13" xfId="2" applyFont="1" applyFill="1" applyBorder="1" applyAlignment="1">
      <alignment horizontal="center"/>
    </xf>
    <xf numFmtId="0" fontId="39" fillId="0" borderId="13" xfId="0" applyFont="1" applyBorder="1" applyAlignment="1">
      <alignment horizontal="center"/>
    </xf>
    <xf numFmtId="1" fontId="39" fillId="0" borderId="17" xfId="2" applyNumberFormat="1" applyFont="1" applyFill="1" applyBorder="1" applyAlignment="1">
      <alignment horizontal="center"/>
    </xf>
    <xf numFmtId="1" fontId="39" fillId="0" borderId="3" xfId="2" applyNumberFormat="1" applyFont="1" applyBorder="1" applyAlignment="1">
      <alignment horizontal="center"/>
    </xf>
    <xf numFmtId="1" fontId="39" fillId="0" borderId="17" xfId="2" applyNumberFormat="1" applyFont="1" applyBorder="1" applyAlignment="1">
      <alignment horizontal="center"/>
    </xf>
    <xf numFmtId="1" fontId="39" fillId="5" borderId="10" xfId="2" applyNumberFormat="1" applyFont="1" applyFill="1" applyBorder="1" applyAlignment="1">
      <alignment horizontal="center"/>
    </xf>
    <xf numFmtId="164" fontId="39" fillId="5" borderId="10" xfId="2" applyFont="1" applyFill="1" applyBorder="1" applyAlignment="1">
      <alignment horizontal="center"/>
    </xf>
    <xf numFmtId="164" fontId="39" fillId="5" borderId="13" xfId="2" applyFont="1" applyFill="1" applyBorder="1" applyAlignment="1">
      <alignment horizontal="center"/>
    </xf>
    <xf numFmtId="165" fontId="39" fillId="5" borderId="13" xfId="4" applyNumberFormat="1" applyFont="1" applyFill="1" applyBorder="1" applyAlignment="1">
      <alignment horizontal="center"/>
    </xf>
    <xf numFmtId="165" fontId="39" fillId="5" borderId="9" xfId="4" applyNumberFormat="1" applyFont="1" applyFill="1" applyBorder="1" applyAlignment="1">
      <alignment horizontal="center"/>
    </xf>
    <xf numFmtId="1" fontId="39" fillId="0" borderId="3" xfId="2" applyNumberFormat="1" applyFont="1" applyFill="1" applyBorder="1" applyAlignment="1">
      <alignment horizontal="center"/>
    </xf>
    <xf numFmtId="165" fontId="39" fillId="0" borderId="17" xfId="0" applyNumberFormat="1" applyFont="1" applyBorder="1" applyAlignment="1">
      <alignment horizontal="center"/>
    </xf>
    <xf numFmtId="165" fontId="39" fillId="0" borderId="3" xfId="0" applyNumberFormat="1" applyFont="1" applyBorder="1" applyAlignment="1">
      <alignment horizontal="center"/>
    </xf>
    <xf numFmtId="1" fontId="39" fillId="0" borderId="0" xfId="2" applyNumberFormat="1" applyFont="1" applyFill="1" applyBorder="1" applyAlignment="1">
      <alignment horizontal="center"/>
    </xf>
    <xf numFmtId="164" fontId="0" fillId="5" borderId="11" xfId="2" applyFont="1" applyFill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37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7" fillId="6" borderId="5" xfId="0" applyFont="1" applyFill="1" applyBorder="1" applyAlignment="1">
      <alignment horizontal="center" vertical="center"/>
    </xf>
    <xf numFmtId="0" fontId="37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sortState xmlns:xlrd2="http://schemas.microsoft.com/office/spreadsheetml/2017/richdata2" ref="K15:M31">
    <sortCondition ref="K14:K31"/>
  </sortState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4" totalsRowShown="0" headerRowDxfId="1513" dataDxfId="1511" headerRowBorderDxfId="1512" tableBorderDxfId="1510" totalsRowBorderDxfId="1509">
  <autoFilter ref="E5:I24" xr:uid="{00000000-0009-0000-0100-000014000000}"/>
  <sortState xmlns:xlrd2="http://schemas.microsoft.com/office/spreadsheetml/2017/richdata2" ref="E6:I24">
    <sortCondition ref="E5:E24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7:I33" totalsRowShown="0" headerRowDxfId="1495" dataDxfId="1493" headerRowBorderDxfId="1494" tableBorderDxfId="1492" totalsRowBorderDxfId="1491">
  <autoFilter ref="E27:I33" xr:uid="{00000000-0009-0000-0100-000016000000}"/>
  <sortState xmlns:xlrd2="http://schemas.microsoft.com/office/spreadsheetml/2017/richdata2" ref="E28:I33">
    <sortCondition ref="E27:E33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6:I41" totalsRowShown="0" headerRowDxfId="1477" dataDxfId="1475" headerRowBorderDxfId="1476" tableBorderDxfId="1474" totalsRowBorderDxfId="1473">
  <autoFilter ref="E36:I41" xr:uid="{B9E2F984-8588-4F2C-9FB9-680284154679}"/>
  <sortState xmlns:xlrd2="http://schemas.microsoft.com/office/spreadsheetml/2017/richdata2" ref="E37:I41">
    <sortCondition ref="E27:E33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3" totalsRowShown="0" headerRowDxfId="1369" dataDxfId="1367" headerRowBorderDxfId="1368" tableBorderDxfId="1366" totalsRowBorderDxfId="1365">
  <autoFilter ref="E34:I43" xr:uid="{B9E2F984-8588-4F2C-9FB9-680284154679}"/>
  <sortState xmlns:xlrd2="http://schemas.microsoft.com/office/spreadsheetml/2017/richdata2" ref="E35:I42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2" totalsRowShown="0" headerRowDxfId="1315" dataDxfId="1313" headerRowBorderDxfId="1314" tableBorderDxfId="1312" totalsRowBorderDxfId="1311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29" totalsRowShown="0" headerRowDxfId="1279" dataDxfId="1277" headerRowBorderDxfId="1278" tableBorderDxfId="1276" totalsRowBorderDxfId="1275">
  <autoFilter ref="E25:I29" xr:uid="{00000000-0009-0000-0100-000016000000}"/>
  <sortState xmlns:xlrd2="http://schemas.microsoft.com/office/spreadsheetml/2017/richdata2" ref="E26:I29">
    <sortCondition ref="E25:E29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29" totalsRowShown="0" headerRowDxfId="1269" dataDxfId="1267" headerRowBorderDxfId="1268" tableBorderDxfId="1266" totalsRowBorderDxfId="1265">
  <autoFilter ref="K14:M29" xr:uid="{C83FE64B-E221-4DAA-89EA-5307A7BC98B3}"/>
  <sortState xmlns:xlrd2="http://schemas.microsoft.com/office/spreadsheetml/2017/richdata2" ref="K15:M29">
    <sortCondition ref="K14:K29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2:I45" totalsRowShown="0" headerRowDxfId="1261" dataDxfId="1259" headerRowBorderDxfId="1260" tableBorderDxfId="1258" totalsRowBorderDxfId="1257">
  <autoFilter ref="E32:I45" xr:uid="{B9E2F984-8588-4F2C-9FB9-680284154679}"/>
  <sortState xmlns:xlrd2="http://schemas.microsoft.com/office/spreadsheetml/2017/richdata2" ref="E33:I45">
    <sortCondition ref="E32:E45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2:M45" totalsRowShown="0" headerRowDxfId="1251" dataDxfId="1249" headerRowBorderDxfId="1250" tableBorderDxfId="1248" totalsRowBorderDxfId="1247">
  <autoFilter ref="K32:M45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5" totalsRowShown="0" headerRowDxfId="1189" dataDxfId="1187" headerRowBorderDxfId="1188" tableBorderDxfId="1186" totalsRowBorderDxfId="1185">
  <autoFilter ref="E5:I25" xr:uid="{00000000-0009-0000-0100-000014000000}"/>
  <sortState xmlns:xlrd2="http://schemas.microsoft.com/office/spreadsheetml/2017/richdata2" ref="E6:I25">
    <sortCondition ref="E5:E25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8:I31" totalsRowShown="0" headerRowDxfId="1171" dataDxfId="1169" headerRowBorderDxfId="1170" tableBorderDxfId="1168" totalsRowBorderDxfId="1167">
  <autoFilter ref="E28:I31" xr:uid="{00000000-0009-0000-0100-000016000000}"/>
  <sortState xmlns:xlrd2="http://schemas.microsoft.com/office/spreadsheetml/2017/richdata2" ref="E29:I31">
    <sortCondition ref="E28:E31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0" totalsRowShown="0" headerRowDxfId="1153" dataDxfId="1151" headerRowBorderDxfId="1152" tableBorderDxfId="1150" totalsRowBorderDxfId="1149">
  <autoFilter ref="E34:I40" xr:uid="{B9E2F984-8588-4F2C-9FB9-680284154679}"/>
  <sortState xmlns:xlrd2="http://schemas.microsoft.com/office/spreadsheetml/2017/richdata2" ref="E35:I40">
    <sortCondition ref="E34:E40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0" totalsRowShown="0" headerRowDxfId="1143" dataDxfId="1141" headerRowBorderDxfId="1142" tableBorderDxfId="1140" totalsRowBorderDxfId="1139">
  <autoFilter ref="K34:M40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view="pageBreakPreview" zoomScale="60" zoomScaleNormal="100" workbookViewId="0">
      <selection activeCell="B2" sqref="B2:M2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90"/>
      <c r="C1" s="90"/>
      <c r="L1" s="91" t="s">
        <v>143</v>
      </c>
      <c r="M1" s="91"/>
      <c r="P1" t="s">
        <v>122</v>
      </c>
    </row>
    <row r="2" spans="1:16" ht="15" x14ac:dyDescent="0.2">
      <c r="A2" s="7" t="s">
        <v>0</v>
      </c>
      <c r="B2" s="14">
        <v>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123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68614.48000000001</v>
      </c>
      <c r="P3" t="s">
        <v>124</v>
      </c>
    </row>
    <row r="4" spans="1:16" ht="15" x14ac:dyDescent="0.25">
      <c r="A4" s="8" t="s">
        <v>2</v>
      </c>
      <c r="B4" s="27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70113.590000000011</v>
      </c>
      <c r="C4" s="49"/>
      <c r="D4" s="50"/>
      <c r="E4" s="49" t="s">
        <v>136</v>
      </c>
      <c r="F4" s="49"/>
      <c r="G4" s="49"/>
      <c r="H4" s="49"/>
      <c r="I4" s="49"/>
      <c r="J4" s="50"/>
      <c r="K4" s="49" t="s">
        <v>137</v>
      </c>
      <c r="L4" s="49"/>
      <c r="M4" s="49"/>
      <c r="P4" t="s">
        <v>125</v>
      </c>
    </row>
    <row r="5" spans="1:16" ht="15" x14ac:dyDescent="0.25">
      <c r="A5" s="8" t="s">
        <v>3</v>
      </c>
      <c r="B5" s="27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4407.18</v>
      </c>
      <c r="C5" s="49"/>
      <c r="D5" s="50"/>
      <c r="E5" s="50"/>
      <c r="F5" s="50"/>
      <c r="G5" s="50"/>
      <c r="H5" s="50"/>
      <c r="I5" s="50"/>
      <c r="J5" s="50"/>
      <c r="K5" s="50"/>
      <c r="L5" s="50"/>
      <c r="M5" s="50"/>
      <c r="P5" t="s">
        <v>126</v>
      </c>
    </row>
    <row r="6" spans="1:16" ht="15.75" x14ac:dyDescent="0.25">
      <c r="A6" s="10" t="s">
        <v>4</v>
      </c>
      <c r="B6" s="30">
        <f ca="1">SUM(B4:B5)</f>
        <v>74520.770000000019</v>
      </c>
      <c r="C6" s="49">
        <f>C16</f>
        <v>0</v>
      </c>
      <c r="D6" s="50"/>
      <c r="E6" s="50"/>
      <c r="F6" s="50"/>
      <c r="G6" s="50"/>
      <c r="H6" s="50"/>
      <c r="I6" s="50"/>
      <c r="J6" s="50"/>
      <c r="K6" s="50"/>
      <c r="L6" s="50"/>
      <c r="M6" s="50"/>
      <c r="P6" t="s">
        <v>127</v>
      </c>
    </row>
    <row r="7" spans="1:16" ht="15" x14ac:dyDescent="0.25">
      <c r="A7" s="2"/>
      <c r="B7" s="25"/>
      <c r="C7" s="49"/>
      <c r="D7" s="50"/>
      <c r="E7" s="50"/>
      <c r="F7" s="50"/>
      <c r="G7" s="50"/>
      <c r="H7" s="50"/>
      <c r="I7" s="50"/>
      <c r="J7" s="50"/>
      <c r="K7" s="50"/>
      <c r="L7" s="50"/>
      <c r="M7" s="50"/>
      <c r="P7" t="s">
        <v>128</v>
      </c>
    </row>
    <row r="8" spans="1:16" ht="15" x14ac:dyDescent="0.25">
      <c r="A8" s="87" t="s">
        <v>5</v>
      </c>
      <c r="B8" s="88"/>
      <c r="C8" s="49"/>
      <c r="D8" s="50"/>
      <c r="E8" s="50"/>
      <c r="F8" s="50"/>
      <c r="G8" s="50"/>
      <c r="H8" s="50"/>
      <c r="I8" s="50"/>
      <c r="J8" s="50"/>
      <c r="K8" s="50"/>
      <c r="L8" s="50"/>
      <c r="M8" s="50"/>
      <c r="P8" t="s">
        <v>129</v>
      </c>
    </row>
    <row r="9" spans="1:16" ht="15" x14ac:dyDescent="0.25">
      <c r="A9" s="11" t="s">
        <v>6</v>
      </c>
      <c r="B9" s="27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9247.42</v>
      </c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P9" t="s">
        <v>130</v>
      </c>
    </row>
    <row r="10" spans="1:16" ht="15" x14ac:dyDescent="0.25">
      <c r="A10" s="11" t="s">
        <v>7</v>
      </c>
      <c r="B10" s="59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9509.68</v>
      </c>
      <c r="C10" s="65"/>
      <c r="D10" s="50"/>
      <c r="E10" s="50"/>
      <c r="F10" s="50"/>
      <c r="G10" s="50"/>
      <c r="H10" s="50"/>
      <c r="I10" s="50"/>
      <c r="J10" s="50"/>
      <c r="K10" s="50"/>
      <c r="L10" s="50"/>
      <c r="M10" s="50"/>
      <c r="P10" t="s">
        <v>131</v>
      </c>
    </row>
    <row r="11" spans="1:16" ht="15" x14ac:dyDescent="0.25">
      <c r="A11" s="11" t="s">
        <v>8</v>
      </c>
      <c r="B11" s="60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38973.490000000005</v>
      </c>
      <c r="C11" s="56"/>
      <c r="D11" s="50"/>
      <c r="E11" s="50"/>
      <c r="F11" s="50"/>
      <c r="G11" s="50"/>
      <c r="H11" s="50"/>
      <c r="I11" s="50"/>
      <c r="J11" s="50"/>
      <c r="K11" s="50"/>
      <c r="L11" s="50"/>
      <c r="M11" s="50"/>
      <c r="P11" t="s">
        <v>132</v>
      </c>
    </row>
    <row r="12" spans="1:16" ht="15" x14ac:dyDescent="0.25">
      <c r="A12" s="11" t="s">
        <v>9</v>
      </c>
      <c r="B12" s="60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56"/>
      <c r="D12" s="50"/>
      <c r="E12" s="50"/>
      <c r="F12" s="50"/>
      <c r="G12" s="50"/>
      <c r="H12" s="50"/>
      <c r="I12" s="50"/>
      <c r="J12" s="50"/>
      <c r="K12" s="50"/>
      <c r="L12" s="50"/>
      <c r="M12" s="50"/>
      <c r="P12" t="s">
        <v>133</v>
      </c>
    </row>
    <row r="13" spans="1:16" ht="15" x14ac:dyDescent="0.25">
      <c r="A13" s="11" t="s">
        <v>10</v>
      </c>
      <c r="B13" s="60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12383</v>
      </c>
      <c r="C13" s="56"/>
      <c r="D13" s="50"/>
      <c r="E13" s="50"/>
      <c r="F13" s="50"/>
      <c r="G13" s="50"/>
      <c r="H13" s="50"/>
      <c r="I13" s="50"/>
      <c r="J13" s="50"/>
      <c r="K13" s="49" t="s">
        <v>141</v>
      </c>
      <c r="L13" s="49"/>
      <c r="M13" s="49"/>
      <c r="P13" t="s">
        <v>134</v>
      </c>
    </row>
    <row r="14" spans="1:16" ht="15.75" x14ac:dyDescent="0.25">
      <c r="A14" s="10" t="s">
        <v>11</v>
      </c>
      <c r="B14" s="51">
        <f ca="1">SUM(B9:B13)</f>
        <v>70113.59</v>
      </c>
      <c r="C14" s="56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16" ht="15" x14ac:dyDescent="0.25">
      <c r="A15" s="2"/>
      <c r="B15" s="61"/>
      <c r="C15" s="56"/>
      <c r="D15" s="50"/>
      <c r="E15" s="50"/>
      <c r="F15" s="50"/>
      <c r="G15" s="50"/>
      <c r="H15" s="50"/>
      <c r="I15" s="50"/>
      <c r="J15" s="50"/>
      <c r="K15" s="50"/>
      <c r="L15" s="50"/>
      <c r="M15" s="50"/>
    </row>
    <row r="16" spans="1:16" ht="15" x14ac:dyDescent="0.25">
      <c r="A16" s="87" t="s">
        <v>12</v>
      </c>
      <c r="B16" s="89"/>
      <c r="C16" s="66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13" ht="15" x14ac:dyDescent="0.25">
      <c r="A17" s="11">
        <f>COUNT(#REF!)</f>
        <v>0</v>
      </c>
      <c r="B17" s="27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5247.96</v>
      </c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</row>
    <row r="18" spans="1:13" ht="15.75" x14ac:dyDescent="0.25">
      <c r="A18" s="10" t="s">
        <v>11</v>
      </c>
      <c r="B18" s="51">
        <f>SUM(B17:B17)</f>
        <v>5247.96</v>
      </c>
      <c r="C18" s="65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 spans="1:13" ht="13.5" x14ac:dyDescent="0.25">
      <c r="B19" s="55"/>
      <c r="C19" s="56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1:13" ht="13.5" x14ac:dyDescent="0.25">
      <c r="B20" s="67"/>
      <c r="C20" s="66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 spans="1:13" ht="13.5" x14ac:dyDescent="0.25">
      <c r="B21" s="49"/>
      <c r="C21" s="49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 spans="1:13" ht="13.5" x14ac:dyDescent="0.25">
      <c r="B22" s="49"/>
      <c r="C22" s="49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13" ht="13.5" x14ac:dyDescent="0.25"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</row>
    <row r="24" spans="1:13" ht="13.5" x14ac:dyDescent="0.25">
      <c r="B24" s="50"/>
      <c r="C24" s="50"/>
      <c r="D24" s="50"/>
      <c r="E24" s="55" t="s">
        <v>138</v>
      </c>
      <c r="F24" s="49"/>
      <c r="G24" s="49"/>
      <c r="H24" s="49"/>
      <c r="I24" s="56"/>
      <c r="J24" s="50"/>
      <c r="K24" s="50"/>
      <c r="L24" s="50"/>
      <c r="M24" s="50"/>
    </row>
    <row r="25" spans="1:13" ht="13.5" x14ac:dyDescent="0.25">
      <c r="B25" s="50"/>
      <c r="C25" s="50"/>
      <c r="D25" s="50"/>
      <c r="E25" s="54"/>
      <c r="F25" s="50"/>
      <c r="G25" s="50"/>
      <c r="H25" s="50"/>
      <c r="I25" s="57"/>
      <c r="J25" s="50"/>
      <c r="K25" s="50"/>
      <c r="L25" s="50"/>
      <c r="M25" s="50"/>
    </row>
    <row r="26" spans="1:13" ht="13.5" x14ac:dyDescent="0.25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</row>
    <row r="27" spans="1:13" ht="13.5" x14ac:dyDescent="0.25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</row>
    <row r="28" spans="1:13" ht="13.5" x14ac:dyDescent="0.25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spans="1:13" ht="13.5" x14ac:dyDescent="0.25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 spans="1:13" ht="13.5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 spans="1:13" ht="13.5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13" ht="13.5" x14ac:dyDescent="0.25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 spans="2:13" ht="13.5" x14ac:dyDescent="0.25">
      <c r="B33" s="50"/>
      <c r="C33" s="50"/>
      <c r="D33" s="50"/>
      <c r="E33" s="55" t="s">
        <v>139</v>
      </c>
      <c r="F33" s="49"/>
      <c r="G33" s="49"/>
      <c r="H33" s="49"/>
      <c r="I33" s="56"/>
      <c r="J33" s="50"/>
      <c r="K33" s="55" t="s">
        <v>140</v>
      </c>
      <c r="L33" s="49"/>
      <c r="M33" s="56"/>
    </row>
    <row r="34" spans="2:13" ht="13.5" x14ac:dyDescent="0.25">
      <c r="B34" s="50"/>
      <c r="C34" s="50"/>
      <c r="D34" s="50"/>
      <c r="E34" s="54"/>
      <c r="F34" s="50"/>
      <c r="G34" s="50"/>
      <c r="H34" s="50"/>
      <c r="I34" s="57"/>
      <c r="J34" s="50"/>
      <c r="K34" s="58"/>
      <c r="L34" s="50"/>
      <c r="M34" s="57"/>
    </row>
    <row r="35" spans="2:13" ht="16.5" customHeight="1" x14ac:dyDescent="0.25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7"/>
    </row>
    <row r="36" spans="2:13" ht="16.5" customHeight="1" x14ac:dyDescent="0.2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7"/>
    </row>
    <row r="37" spans="2:13" ht="16.5" customHeight="1" x14ac:dyDescent="0.25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7"/>
    </row>
    <row r="38" spans="2:13" ht="16.5" customHeight="1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7"/>
    </row>
    <row r="39" spans="2:13" ht="16.5" customHeight="1" x14ac:dyDescent="0.25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7"/>
    </row>
    <row r="40" spans="2:13" ht="16.5" customHeight="1" x14ac:dyDescent="0.25"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7"/>
    </row>
    <row r="41" spans="2:13" ht="16.5" customHeight="1" x14ac:dyDescent="0.25"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7"/>
    </row>
    <row r="42" spans="2:13" ht="13.5" x14ac:dyDescent="0.25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 spans="2:13" ht="13.5" x14ac:dyDescent="0.25"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 spans="2:13" ht="13.5" x14ac:dyDescent="0.25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2:13" ht="13.5" x14ac:dyDescent="0.25"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view="pageBreakPreview" topLeftCell="B1" zoomScale="89" zoomScaleNormal="90" zoomScaleSheetLayoutView="89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v>45931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2194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2194</v>
      </c>
      <c r="D6" s="28"/>
      <c r="E6" s="68">
        <v>11931</v>
      </c>
      <c r="F6" s="69" t="s">
        <v>144</v>
      </c>
      <c r="G6" s="47" t="s">
        <v>6</v>
      </c>
      <c r="H6" s="37">
        <v>100</v>
      </c>
      <c r="I6" s="37">
        <v>100</v>
      </c>
      <c r="J6" s="28"/>
      <c r="K6" s="69" t="s">
        <v>150</v>
      </c>
      <c r="L6" s="83" t="s">
        <v>151</v>
      </c>
      <c r="M6" s="41">
        <v>100</v>
      </c>
      <c r="R6" s="1">
        <f>IF(vend1[[#This Row],[Nº Venda]]&gt;1,1,0)</f>
        <v>1</v>
      </c>
    </row>
    <row r="7" spans="2:18" ht="16.5" x14ac:dyDescent="0.3">
      <c r="B7" s="26" t="s">
        <v>3</v>
      </c>
      <c r="C7" s="27">
        <f>SUM(M6:M11)</f>
        <v>100</v>
      </c>
      <c r="D7" s="28"/>
      <c r="E7" s="68">
        <v>11932</v>
      </c>
      <c r="F7" s="69" t="s">
        <v>145</v>
      </c>
      <c r="G7" s="47" t="s">
        <v>8</v>
      </c>
      <c r="H7" s="37">
        <v>169</v>
      </c>
      <c r="I7" s="37">
        <v>169</v>
      </c>
      <c r="J7" s="28"/>
      <c r="K7" s="69"/>
      <c r="L7" s="83"/>
      <c r="M7" s="41"/>
      <c r="R7" s="1">
        <f>IF(vend1[[#This Row],[Nº Venda]]&gt;1,1,0)</f>
        <v>1</v>
      </c>
    </row>
    <row r="8" spans="2:18" ht="16.5" x14ac:dyDescent="0.3">
      <c r="B8" s="29" t="s">
        <v>20</v>
      </c>
      <c r="C8" s="30">
        <f>SUM(C6:C7)</f>
        <v>2294</v>
      </c>
      <c r="D8" s="28"/>
      <c r="E8" s="68">
        <v>11933</v>
      </c>
      <c r="F8" s="69" t="s">
        <v>146</v>
      </c>
      <c r="G8" s="47" t="s">
        <v>8</v>
      </c>
      <c r="H8" s="37">
        <v>1200</v>
      </c>
      <c r="I8" s="37">
        <v>1200</v>
      </c>
      <c r="J8" s="28"/>
      <c r="K8" s="69"/>
      <c r="L8" s="83"/>
      <c r="M8" s="41"/>
      <c r="R8" s="1">
        <f>IF(vend1[[#This Row],[Nº Venda]]&gt;1,1,0)</f>
        <v>1</v>
      </c>
    </row>
    <row r="9" spans="2:18" ht="16.5" x14ac:dyDescent="0.3">
      <c r="B9" s="25"/>
      <c r="C9" s="25"/>
      <c r="D9" s="28"/>
      <c r="E9" s="68">
        <v>11934</v>
      </c>
      <c r="F9" s="69" t="s">
        <v>146</v>
      </c>
      <c r="G9" s="47" t="s">
        <v>8</v>
      </c>
      <c r="H9" s="37">
        <v>690</v>
      </c>
      <c r="I9" s="37">
        <v>690</v>
      </c>
      <c r="J9" s="28"/>
      <c r="K9" s="69"/>
      <c r="L9" s="83"/>
      <c r="M9" s="41"/>
      <c r="R9" s="1">
        <f>IF(vend1[[#This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11935</v>
      </c>
      <c r="F10" s="69" t="s">
        <v>147</v>
      </c>
      <c r="G10" s="47" t="s">
        <v>45</v>
      </c>
      <c r="H10" s="37">
        <v>45</v>
      </c>
      <c r="I10" s="37">
        <v>0</v>
      </c>
      <c r="J10" s="28"/>
      <c r="K10" s="69"/>
      <c r="L10" s="83"/>
      <c r="M10" s="41"/>
      <c r="R10" s="1">
        <f>IF(vend1[[#This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100</v>
      </c>
      <c r="D11" s="28"/>
      <c r="E11" s="68">
        <v>11936</v>
      </c>
      <c r="F11" s="69" t="s">
        <v>147</v>
      </c>
      <c r="G11" s="47" t="s">
        <v>45</v>
      </c>
      <c r="H11" s="37">
        <v>10</v>
      </c>
      <c r="I11" s="37">
        <v>0</v>
      </c>
      <c r="J11" s="28"/>
      <c r="K11" s="36"/>
      <c r="L11" s="83"/>
      <c r="M11" s="41"/>
      <c r="O11" s="1">
        <f>IF(C16=0,0,1)</f>
        <v>1</v>
      </c>
      <c r="R11" s="1">
        <f>IF(vend1[[#This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IF(vend1[[#This Row],[Nº Venda]]&gt;1,1,0)</f>
        <v>0</v>
      </c>
    </row>
    <row r="13" spans="2:18" ht="16.5" x14ac:dyDescent="0.3">
      <c r="B13" s="26" t="s">
        <v>8</v>
      </c>
      <c r="C13" s="62">
        <f t="shared" si="0"/>
        <v>2059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IF(vend1[[#This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IF(vend1[[#This Row],[Nº Venda]]&gt;1,1,0)</f>
        <v>0</v>
      </c>
    </row>
    <row r="15" spans="2:18" ht="16.5" x14ac:dyDescent="0.3">
      <c r="B15" s="26" t="s">
        <v>10</v>
      </c>
      <c r="C15" s="62">
        <f t="shared" si="0"/>
        <v>35</v>
      </c>
      <c r="D15" s="28"/>
      <c r="E15" s="68"/>
      <c r="F15" s="69"/>
      <c r="G15" s="47"/>
      <c r="H15" s="37"/>
      <c r="I15" s="37"/>
      <c r="J15" s="28"/>
      <c r="K15" s="68">
        <v>11831</v>
      </c>
      <c r="L15" s="83" t="s">
        <v>130</v>
      </c>
      <c r="M15" s="41" t="s">
        <v>148</v>
      </c>
      <c r="R15" s="1">
        <f>IF(vend1[[#This Row],[Nº Venda]]&gt;1,1,0)</f>
        <v>0</v>
      </c>
    </row>
    <row r="16" spans="2:18" ht="16.5" x14ac:dyDescent="0.3">
      <c r="B16" s="29" t="s">
        <v>11</v>
      </c>
      <c r="C16" s="63">
        <f>SUM(C11:C15)</f>
        <v>2194</v>
      </c>
      <c r="D16" s="28"/>
      <c r="E16" s="68"/>
      <c r="F16" s="69"/>
      <c r="G16" s="47"/>
      <c r="H16" s="37"/>
      <c r="I16" s="37"/>
      <c r="J16" s="28"/>
      <c r="K16" s="68">
        <v>11858</v>
      </c>
      <c r="L16" s="83" t="s">
        <v>130</v>
      </c>
      <c r="M16" s="41" t="s">
        <v>148</v>
      </c>
      <c r="R16" s="1">
        <f>IF(vend1[[#This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11886</v>
      </c>
      <c r="L17" s="83" t="s">
        <v>128</v>
      </c>
      <c r="M17" s="41" t="s">
        <v>148</v>
      </c>
      <c r="R17" s="1">
        <f>IF(vend1[[#This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11916</v>
      </c>
      <c r="L18" s="83" t="s">
        <v>130</v>
      </c>
      <c r="M18" s="41" t="s">
        <v>148</v>
      </c>
      <c r="R18" s="1">
        <f>IF(vend1[[#This Row],[Nº Venda]]&gt;1,1,0)</f>
        <v>0</v>
      </c>
    </row>
    <row r="19" spans="2:18" ht="16.5" x14ac:dyDescent="0.3">
      <c r="B19" s="26">
        <f>COUNT(entr_carn1[OS])</f>
        <v>0</v>
      </c>
      <c r="C19" s="62">
        <f>SUM(entr_carn1[Valor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IF(vend1[[#This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IF(vend1[[#This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2194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11916</v>
      </c>
      <c r="F26" s="69" t="s">
        <v>149</v>
      </c>
      <c r="G26" s="47" t="s">
        <v>10</v>
      </c>
      <c r="H26" s="37">
        <v>35</v>
      </c>
      <c r="I26" s="37">
        <v>35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68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6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view="pageBreakPreview" zoomScale="93" zoomScaleNormal="90" zoomScaleSheetLayoutView="93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'01'!B1+1</f>
        <v>45932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2393.9899999999998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2545.9899999999998</v>
      </c>
      <c r="D6" s="28"/>
      <c r="E6" s="68">
        <v>11937</v>
      </c>
      <c r="F6" s="69" t="s">
        <v>152</v>
      </c>
      <c r="G6" s="46" t="s">
        <v>7</v>
      </c>
      <c r="H6" s="37">
        <v>250</v>
      </c>
      <c r="I6" s="37">
        <v>250</v>
      </c>
      <c r="J6" s="28"/>
      <c r="K6" s="69" t="s">
        <v>164</v>
      </c>
      <c r="L6" s="83" t="s">
        <v>6</v>
      </c>
      <c r="M6" s="41">
        <v>425</v>
      </c>
      <c r="R6" s="1">
        <f>IF(vend2[[#This Row],[Nº Venda]]&gt;1,1,0)</f>
        <v>1</v>
      </c>
    </row>
    <row r="7" spans="2:18" ht="16.5" x14ac:dyDescent="0.3">
      <c r="B7" s="26" t="s">
        <v>3</v>
      </c>
      <c r="C7" s="27">
        <f>SUM(M6:M11)</f>
        <v>425</v>
      </c>
      <c r="D7" s="28"/>
      <c r="E7" s="68">
        <v>11938</v>
      </c>
      <c r="F7" s="69" t="s">
        <v>153</v>
      </c>
      <c r="G7" s="46" t="s">
        <v>45</v>
      </c>
      <c r="H7" s="37">
        <v>35</v>
      </c>
      <c r="I7" s="37">
        <v>0</v>
      </c>
      <c r="J7" s="28"/>
      <c r="K7" s="69"/>
      <c r="L7" s="83"/>
      <c r="M7" s="41"/>
      <c r="R7" s="1">
        <f>IF(vend2[[#This Row],[Nº Venda]]&gt;1,1,0)</f>
        <v>1</v>
      </c>
    </row>
    <row r="8" spans="2:18" ht="16.5" x14ac:dyDescent="0.3">
      <c r="B8" s="29" t="s">
        <v>20</v>
      </c>
      <c r="C8" s="30">
        <f>SUM(C6:C7)</f>
        <v>2970.99</v>
      </c>
      <c r="D8" s="28"/>
      <c r="E8" s="68">
        <v>11939</v>
      </c>
      <c r="F8" s="69" t="s">
        <v>154</v>
      </c>
      <c r="G8" s="47" t="s">
        <v>45</v>
      </c>
      <c r="H8" s="37">
        <v>49</v>
      </c>
      <c r="I8" s="37">
        <v>0</v>
      </c>
      <c r="J8" s="28"/>
      <c r="K8" s="69"/>
      <c r="L8" s="83"/>
      <c r="M8" s="41"/>
      <c r="R8" s="1">
        <f>IF(vend2[[#This Row],[Nº Venda]]&gt;1,1,0)</f>
        <v>1</v>
      </c>
    </row>
    <row r="9" spans="2:18" ht="16.5" x14ac:dyDescent="0.3">
      <c r="B9" s="25"/>
      <c r="C9" s="25"/>
      <c r="D9" s="28"/>
      <c r="E9" s="68">
        <v>11940</v>
      </c>
      <c r="F9" s="69" t="s">
        <v>156</v>
      </c>
      <c r="G9" s="47" t="s">
        <v>6</v>
      </c>
      <c r="H9" s="37">
        <v>119</v>
      </c>
      <c r="I9" s="37">
        <v>21</v>
      </c>
      <c r="J9" s="28"/>
      <c r="K9" s="69"/>
      <c r="L9" s="83"/>
      <c r="M9" s="41"/>
      <c r="R9" s="1">
        <f>IF(vend2[[#This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11941</v>
      </c>
      <c r="F10" s="69" t="s">
        <v>155</v>
      </c>
      <c r="G10" s="47" t="s">
        <v>6</v>
      </c>
      <c r="H10" s="37">
        <v>115</v>
      </c>
      <c r="I10" s="37">
        <v>115</v>
      </c>
      <c r="J10" s="28"/>
      <c r="K10" s="69"/>
      <c r="L10" s="83"/>
      <c r="M10" s="41"/>
      <c r="R10" s="1">
        <f>IF(vend2[[#This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326</v>
      </c>
      <c r="D11" s="28"/>
      <c r="E11" s="68">
        <v>11942</v>
      </c>
      <c r="F11" s="69" t="s">
        <v>157</v>
      </c>
      <c r="G11" s="47" t="s">
        <v>8</v>
      </c>
      <c r="H11" s="37">
        <v>1290</v>
      </c>
      <c r="I11" s="37">
        <v>1290</v>
      </c>
      <c r="J11" s="28"/>
      <c r="K11" s="36"/>
      <c r="L11" s="83"/>
      <c r="M11" s="41"/>
      <c r="O11" s="1">
        <f>IF(C16=0,0,1)</f>
        <v>1</v>
      </c>
      <c r="R11" s="1">
        <f>IF(vend2[[#This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310</v>
      </c>
      <c r="D12" s="28"/>
      <c r="E12" s="68">
        <v>11943</v>
      </c>
      <c r="F12" s="69" t="s">
        <v>158</v>
      </c>
      <c r="G12" s="47" t="s">
        <v>8</v>
      </c>
      <c r="H12" s="37">
        <v>580</v>
      </c>
      <c r="I12" s="37">
        <v>580</v>
      </c>
      <c r="J12" s="28"/>
      <c r="K12" s="31"/>
      <c r="L12" s="31"/>
      <c r="M12" s="31"/>
      <c r="R12" s="1">
        <f>IF(vend2[[#This Row],[Nº Venda]]&gt;1,1,0)</f>
        <v>1</v>
      </c>
    </row>
    <row r="13" spans="2:18" ht="16.5" x14ac:dyDescent="0.3">
      <c r="B13" s="26" t="s">
        <v>8</v>
      </c>
      <c r="C13" s="62">
        <f t="shared" si="0"/>
        <v>1909.99</v>
      </c>
      <c r="D13" s="28"/>
      <c r="E13" s="68">
        <v>11944</v>
      </c>
      <c r="F13" s="69" t="s">
        <v>159</v>
      </c>
      <c r="G13" s="47" t="s">
        <v>35</v>
      </c>
      <c r="H13" s="37">
        <v>0</v>
      </c>
      <c r="I13" s="37">
        <v>0</v>
      </c>
      <c r="J13" s="28"/>
      <c r="K13" s="96" t="s">
        <v>141</v>
      </c>
      <c r="L13" s="97"/>
      <c r="M13" s="98"/>
      <c r="R13" s="1">
        <f>IF(vend2[[#This Row],[Nº Venda]]&gt;1,1,0)</f>
        <v>1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>
        <v>11945</v>
      </c>
      <c r="F14" s="69" t="s">
        <v>159</v>
      </c>
      <c r="G14" s="47" t="s">
        <v>8</v>
      </c>
      <c r="H14" s="37">
        <v>39.99</v>
      </c>
      <c r="I14" s="37">
        <v>39.99</v>
      </c>
      <c r="J14" s="28"/>
      <c r="K14" s="20" t="s">
        <v>21</v>
      </c>
      <c r="L14" s="21" t="s">
        <v>22</v>
      </c>
      <c r="M14" s="22" t="s">
        <v>23</v>
      </c>
      <c r="R14" s="1">
        <f>IF(vend2[[#This Row],[Nº Venda]]&gt;1,1,0)</f>
        <v>1</v>
      </c>
    </row>
    <row r="15" spans="2:18" ht="16.5" x14ac:dyDescent="0.3">
      <c r="B15" s="26" t="s">
        <v>10</v>
      </c>
      <c r="C15" s="62">
        <f t="shared" si="0"/>
        <v>0</v>
      </c>
      <c r="D15" s="28"/>
      <c r="E15" s="68"/>
      <c r="F15" s="69"/>
      <c r="G15" s="47"/>
      <c r="H15" s="37"/>
      <c r="I15" s="37"/>
      <c r="J15" s="28"/>
      <c r="K15" s="68">
        <v>11841</v>
      </c>
      <c r="L15" s="83" t="s">
        <v>128</v>
      </c>
      <c r="M15" s="41" t="s">
        <v>148</v>
      </c>
      <c r="R15" s="1">
        <f>IF(vend2[[#This Row],[Nº Venda]]&gt;1,1,0)</f>
        <v>0</v>
      </c>
    </row>
    <row r="16" spans="2:18" ht="16.5" x14ac:dyDescent="0.3">
      <c r="B16" s="29" t="s">
        <v>11</v>
      </c>
      <c r="C16" s="63">
        <f>SUM(C11:C15)</f>
        <v>2545.9899999999998</v>
      </c>
      <c r="D16" s="28"/>
      <c r="E16" s="68"/>
      <c r="F16" s="69"/>
      <c r="G16" s="47"/>
      <c r="H16" s="37"/>
      <c r="I16" s="37"/>
      <c r="J16" s="28"/>
      <c r="K16" s="68">
        <v>11859</v>
      </c>
      <c r="L16" s="83" t="s">
        <v>128</v>
      </c>
      <c r="M16" s="41" t="s">
        <v>148</v>
      </c>
      <c r="R16" s="1">
        <f>IF(vend2[[#This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11872</v>
      </c>
      <c r="L17" s="83" t="s">
        <v>128</v>
      </c>
      <c r="M17" s="41" t="s">
        <v>148</v>
      </c>
      <c r="R17" s="1">
        <f>IF(vend2[[#This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11912</v>
      </c>
      <c r="L18" s="83" t="s">
        <v>128</v>
      </c>
      <c r="M18" s="41" t="s">
        <v>148</v>
      </c>
      <c r="R18" s="1">
        <f>IF(vend2[[#This Row],[Nº Venda]]&gt;1,1,0)</f>
        <v>0</v>
      </c>
    </row>
    <row r="19" spans="2:18" ht="16.5" x14ac:dyDescent="0.3">
      <c r="B19" s="26">
        <f>COUNT(entr_carn2[OS])</f>
        <v>1</v>
      </c>
      <c r="C19" s="62">
        <f>SUM(entr_carn2[Valor Total])</f>
        <v>98</v>
      </c>
      <c r="D19" s="28"/>
      <c r="E19" s="68"/>
      <c r="F19" s="69"/>
      <c r="G19" s="47"/>
      <c r="H19" s="37"/>
      <c r="I19" s="37"/>
      <c r="J19" s="28"/>
      <c r="K19" s="68">
        <v>11913</v>
      </c>
      <c r="L19" s="83" t="s">
        <v>128</v>
      </c>
      <c r="M19" s="41" t="s">
        <v>148</v>
      </c>
      <c r="R19" s="1">
        <f>IF(vend2[[#This Row],[Nº Venda]]&gt;1,1,0)</f>
        <v>0</v>
      </c>
    </row>
    <row r="20" spans="2:18" ht="16.5" x14ac:dyDescent="0.3">
      <c r="B20" s="29" t="s">
        <v>11</v>
      </c>
      <c r="C20" s="63">
        <f>SUM(C19:C19)</f>
        <v>98</v>
      </c>
      <c r="D20" s="28"/>
      <c r="E20" s="68"/>
      <c r="F20" s="47"/>
      <c r="G20" s="47"/>
      <c r="H20" s="37"/>
      <c r="I20" s="37"/>
      <c r="J20" s="28"/>
      <c r="K20" s="68">
        <v>11927</v>
      </c>
      <c r="L20" s="83" t="s">
        <v>128</v>
      </c>
      <c r="M20" s="41" t="s">
        <v>148</v>
      </c>
      <c r="R20" s="1">
        <f>IF(vend2[[#This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11931</v>
      </c>
      <c r="L21" s="83" t="s">
        <v>128</v>
      </c>
      <c r="M21" s="41" t="s">
        <v>148</v>
      </c>
    </row>
    <row r="22" spans="2:18" ht="16.5" x14ac:dyDescent="0.3">
      <c r="B22" s="29" t="s">
        <v>24</v>
      </c>
      <c r="C22" s="32">
        <f>C5</f>
        <v>2393.9899999999998</v>
      </c>
      <c r="D22" s="28"/>
      <c r="E22" s="70"/>
      <c r="F22" s="69"/>
      <c r="G22" s="47"/>
      <c r="H22" s="37"/>
      <c r="I22" s="37"/>
      <c r="J22" s="28"/>
      <c r="K22" s="68">
        <v>11932</v>
      </c>
      <c r="L22" s="83" t="s">
        <v>130</v>
      </c>
      <c r="M22" s="41" t="s">
        <v>148</v>
      </c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>
        <v>11940</v>
      </c>
      <c r="L23" s="83" t="s">
        <v>130</v>
      </c>
      <c r="M23" s="41" t="s">
        <v>160</v>
      </c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>
        <v>11945</v>
      </c>
      <c r="L24" s="83" t="s">
        <v>128</v>
      </c>
      <c r="M24" s="41" t="s">
        <v>148</v>
      </c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/>
      <c r="F26" s="69"/>
      <c r="G26" s="47"/>
      <c r="H26" s="37"/>
      <c r="I26" s="37"/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10942</v>
      </c>
      <c r="F35" s="69" t="s">
        <v>162</v>
      </c>
      <c r="G35" s="47" t="s">
        <v>7</v>
      </c>
      <c r="H35" s="37">
        <v>60</v>
      </c>
      <c r="I35" s="37" t="s">
        <v>43</v>
      </c>
      <c r="J35" s="36"/>
      <c r="K35" s="68">
        <v>11940</v>
      </c>
      <c r="L35" s="68">
        <v>4</v>
      </c>
      <c r="M35" s="83">
        <v>98</v>
      </c>
    </row>
    <row r="36" spans="2:18" ht="16.5" customHeight="1" x14ac:dyDescent="0.25">
      <c r="B36" s="36"/>
      <c r="C36" s="36"/>
      <c r="D36" s="36"/>
      <c r="E36" s="68">
        <v>11007</v>
      </c>
      <c r="F36" s="69" t="s">
        <v>161</v>
      </c>
      <c r="G36" s="47" t="s">
        <v>6</v>
      </c>
      <c r="H36" s="37">
        <v>92</v>
      </c>
      <c r="I36" s="37" t="s">
        <v>39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>
        <v>11940</v>
      </c>
      <c r="F37" s="69" t="s">
        <v>163</v>
      </c>
      <c r="G37" s="47" t="s">
        <v>6</v>
      </c>
      <c r="H37" s="37">
        <v>24.5</v>
      </c>
      <c r="I37" s="37" t="s">
        <v>47</v>
      </c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>
        <v>11940</v>
      </c>
      <c r="F38" s="69" t="s">
        <v>163</v>
      </c>
      <c r="G38" s="47" t="s">
        <v>6</v>
      </c>
      <c r="H38" s="37">
        <v>24.5</v>
      </c>
      <c r="I38" s="37" t="s">
        <v>71</v>
      </c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>
        <v>11940</v>
      </c>
      <c r="F39" s="47" t="s">
        <v>163</v>
      </c>
      <c r="G39" s="47" t="s">
        <v>6</v>
      </c>
      <c r="H39" s="37">
        <v>24.5</v>
      </c>
      <c r="I39" s="37" t="s">
        <v>72</v>
      </c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>
        <v>11940</v>
      </c>
      <c r="F40" s="71" t="s">
        <v>163</v>
      </c>
      <c r="G40" s="39" t="s">
        <v>6</v>
      </c>
      <c r="H40" s="40">
        <v>24.5</v>
      </c>
      <c r="I40" s="37" t="s">
        <v>73</v>
      </c>
      <c r="J40" s="36"/>
      <c r="K40" s="70"/>
      <c r="L40" s="70"/>
      <c r="M40" s="84"/>
      <c r="Q40" s="1" t="s">
        <v>32</v>
      </c>
      <c r="R40" s="1">
        <f>SUM(R6:R21)</f>
        <v>9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view="pageBreakPreview" zoomScaleNormal="90" zoomScaleSheetLayoutView="10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3.140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'02'!B1+1</f>
        <v>45933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2709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2769</v>
      </c>
      <c r="D6" s="28"/>
      <c r="E6" s="68">
        <v>11946</v>
      </c>
      <c r="F6" s="69" t="s">
        <v>165</v>
      </c>
      <c r="G6" s="46" t="s">
        <v>10</v>
      </c>
      <c r="H6" s="37">
        <v>590</v>
      </c>
      <c r="I6" s="37">
        <v>100</v>
      </c>
      <c r="J6" s="28"/>
      <c r="K6" s="69" t="s">
        <v>183</v>
      </c>
      <c r="L6" s="83" t="s">
        <v>6</v>
      </c>
      <c r="M6" s="41">
        <v>19</v>
      </c>
      <c r="R6" s="1">
        <f>IF(vend3[[#This Row],[Nº Venda]]&gt;1,1,0)</f>
        <v>1</v>
      </c>
    </row>
    <row r="7" spans="2:18" ht="16.5" x14ac:dyDescent="0.3">
      <c r="B7" s="26" t="s">
        <v>3</v>
      </c>
      <c r="C7" s="27">
        <f>SUM(M6:M11)</f>
        <v>31</v>
      </c>
      <c r="D7" s="28"/>
      <c r="E7" s="68">
        <v>11947</v>
      </c>
      <c r="F7" s="69" t="s">
        <v>166</v>
      </c>
      <c r="G7" s="47" t="s">
        <v>10</v>
      </c>
      <c r="H7" s="37">
        <v>179</v>
      </c>
      <c r="I7" s="37">
        <v>179</v>
      </c>
      <c r="J7" s="28"/>
      <c r="K7" s="69" t="s">
        <v>190</v>
      </c>
      <c r="L7" s="83" t="s">
        <v>6</v>
      </c>
      <c r="M7" s="41">
        <v>12</v>
      </c>
      <c r="R7" s="1">
        <f>IF(vend3[[#This Row],[Nº Venda]]&gt;1,1,0)</f>
        <v>1</v>
      </c>
    </row>
    <row r="8" spans="2:18" ht="16.5" x14ac:dyDescent="0.3">
      <c r="B8" s="29" t="s">
        <v>20</v>
      </c>
      <c r="C8" s="30">
        <f>SUM(C6:C7)</f>
        <v>2800</v>
      </c>
      <c r="D8" s="28"/>
      <c r="E8" s="68">
        <v>11948</v>
      </c>
      <c r="F8" s="69" t="s">
        <v>167</v>
      </c>
      <c r="G8" s="47" t="s">
        <v>7</v>
      </c>
      <c r="H8" s="37">
        <v>120</v>
      </c>
      <c r="I8" s="37">
        <v>50</v>
      </c>
      <c r="J8" s="28"/>
      <c r="K8" s="69"/>
      <c r="L8" s="83"/>
      <c r="M8" s="41"/>
      <c r="R8" s="1">
        <f>IF(vend3[[#This Row],[Nº Venda]]&gt;1,1,0)</f>
        <v>1</v>
      </c>
    </row>
    <row r="9" spans="2:18" ht="16.5" x14ac:dyDescent="0.3">
      <c r="B9" s="25"/>
      <c r="C9" s="25"/>
      <c r="D9" s="28"/>
      <c r="E9" s="68">
        <v>11949</v>
      </c>
      <c r="F9" s="69" t="s">
        <v>168</v>
      </c>
      <c r="G9" s="47" t="s">
        <v>45</v>
      </c>
      <c r="H9" s="37">
        <v>35</v>
      </c>
      <c r="I9" s="37"/>
      <c r="J9" s="28"/>
      <c r="K9" s="69"/>
      <c r="L9" s="83"/>
      <c r="M9" s="41"/>
      <c r="R9" s="1">
        <f>IF(vend3[[#This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11950</v>
      </c>
      <c r="F10" s="69" t="s">
        <v>169</v>
      </c>
      <c r="G10" s="47" t="s">
        <v>8</v>
      </c>
      <c r="H10" s="37">
        <v>1200</v>
      </c>
      <c r="I10" s="37">
        <v>1200</v>
      </c>
      <c r="J10" s="28"/>
      <c r="K10" s="69"/>
      <c r="L10" s="83"/>
      <c r="M10" s="41"/>
      <c r="R10" s="1">
        <f>IF(vend3[[#This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120</v>
      </c>
      <c r="D11" s="28"/>
      <c r="E11" s="68">
        <v>11951</v>
      </c>
      <c r="F11" s="69" t="s">
        <v>170</v>
      </c>
      <c r="G11" s="47" t="s">
        <v>8</v>
      </c>
      <c r="H11" s="37">
        <v>620</v>
      </c>
      <c r="I11" s="37">
        <v>620</v>
      </c>
      <c r="J11" s="28"/>
      <c r="K11" s="36"/>
      <c r="L11" s="83"/>
      <c r="M11" s="41"/>
      <c r="O11" s="1">
        <f>IF(C16=0,0,1)</f>
        <v>1</v>
      </c>
      <c r="R11" s="1">
        <f>IF(vend3[[#This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50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IF(vend3[[#This Row],[Nº Venda]]&gt;1,1,0)</f>
        <v>0</v>
      </c>
    </row>
    <row r="13" spans="2:18" ht="16.5" x14ac:dyDescent="0.3">
      <c r="B13" s="26" t="s">
        <v>8</v>
      </c>
      <c r="C13" s="62">
        <f t="shared" si="0"/>
        <v>2320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IF(vend3[[#This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IF(vend3[[#This Row],[Nº Venda]]&gt;1,1,0)</f>
        <v>0</v>
      </c>
    </row>
    <row r="15" spans="2:18" ht="16.5" x14ac:dyDescent="0.3">
      <c r="B15" s="26" t="s">
        <v>10</v>
      </c>
      <c r="C15" s="62">
        <f t="shared" si="0"/>
        <v>279</v>
      </c>
      <c r="D15" s="28"/>
      <c r="E15" s="68"/>
      <c r="F15" s="69"/>
      <c r="G15" s="47"/>
      <c r="H15" s="37"/>
      <c r="I15" s="37"/>
      <c r="J15" s="28"/>
      <c r="K15" s="68">
        <v>11944</v>
      </c>
      <c r="L15" s="83" t="s">
        <v>128</v>
      </c>
      <c r="M15" s="41" t="s">
        <v>148</v>
      </c>
      <c r="R15" s="1">
        <f>IF(vend3[[#This Row],[Nº Venda]]&gt;1,1,0)</f>
        <v>0</v>
      </c>
    </row>
    <row r="16" spans="2:18" ht="16.5" x14ac:dyDescent="0.3">
      <c r="B16" s="29" t="s">
        <v>11</v>
      </c>
      <c r="C16" s="63">
        <f>SUM(C11:C15)</f>
        <v>2769</v>
      </c>
      <c r="D16" s="28"/>
      <c r="E16" s="68"/>
      <c r="F16" s="69"/>
      <c r="G16" s="47"/>
      <c r="H16" s="37"/>
      <c r="I16" s="37"/>
      <c r="J16" s="28"/>
      <c r="K16" s="68">
        <v>11941</v>
      </c>
      <c r="L16" s="83" t="s">
        <v>128</v>
      </c>
      <c r="M16" s="41" t="s">
        <v>148</v>
      </c>
      <c r="R16" s="1">
        <f>IF(vend3[[#This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11929</v>
      </c>
      <c r="L17" s="83" t="s">
        <v>130</v>
      </c>
      <c r="M17" s="41" t="s">
        <v>148</v>
      </c>
      <c r="R17" s="1">
        <f>IF(vend3[[#This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11780</v>
      </c>
      <c r="L18" s="83" t="s">
        <v>128</v>
      </c>
      <c r="M18" s="41" t="s">
        <v>148</v>
      </c>
      <c r="R18" s="1">
        <f>IF(vend3[[#This Row],[Nº Venda]]&gt;1,1,0)</f>
        <v>0</v>
      </c>
    </row>
    <row r="19" spans="2:18" ht="16.5" x14ac:dyDescent="0.3">
      <c r="B19" s="26">
        <f>COUNT(entr_carn3[OS])</f>
        <v>2</v>
      </c>
      <c r="C19" s="62">
        <f>SUM(entr_carn3[Valor Total])</f>
        <v>389</v>
      </c>
      <c r="D19" s="28"/>
      <c r="E19" s="68"/>
      <c r="F19" s="69"/>
      <c r="G19" s="47"/>
      <c r="H19" s="37"/>
      <c r="I19" s="37"/>
      <c r="J19" s="28"/>
      <c r="K19" s="68">
        <v>11809</v>
      </c>
      <c r="L19" s="83" t="s">
        <v>128</v>
      </c>
      <c r="M19" s="41" t="s">
        <v>148</v>
      </c>
      <c r="R19" s="1">
        <f>IF(vend3[[#This Row],[Nº Venda]]&gt;1,1,0)</f>
        <v>0</v>
      </c>
    </row>
    <row r="20" spans="2:18" ht="16.5" x14ac:dyDescent="0.3">
      <c r="B20" s="29" t="s">
        <v>11</v>
      </c>
      <c r="C20" s="63">
        <f>SUM(C19:C19)</f>
        <v>389</v>
      </c>
      <c r="D20" s="28"/>
      <c r="E20" s="68"/>
      <c r="F20" s="47"/>
      <c r="G20" s="47"/>
      <c r="H20" s="37"/>
      <c r="I20" s="37"/>
      <c r="J20" s="28"/>
      <c r="K20" s="68">
        <v>11894</v>
      </c>
      <c r="L20" s="83" t="s">
        <v>128</v>
      </c>
      <c r="M20" s="41" t="s">
        <v>148</v>
      </c>
      <c r="R20" s="1">
        <f>IF(vend3[[#This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11937</v>
      </c>
      <c r="L21" s="83" t="s">
        <v>128</v>
      </c>
      <c r="M21" s="41" t="s">
        <v>148</v>
      </c>
    </row>
    <row r="22" spans="2:18" ht="16.5" x14ac:dyDescent="0.3">
      <c r="B22" s="29" t="s">
        <v>24</v>
      </c>
      <c r="C22" s="32">
        <f>C5</f>
        <v>2709</v>
      </c>
      <c r="D22" s="28"/>
      <c r="E22" s="70"/>
      <c r="F22" s="69"/>
      <c r="G22" s="47"/>
      <c r="H22" s="37"/>
      <c r="I22" s="37"/>
      <c r="J22" s="28"/>
      <c r="K22" s="68">
        <v>11948</v>
      </c>
      <c r="L22" s="83" t="s">
        <v>130</v>
      </c>
      <c r="M22" s="41" t="s">
        <v>160</v>
      </c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>
        <v>11801</v>
      </c>
      <c r="L23" s="83" t="s">
        <v>128</v>
      </c>
      <c r="M23" s="41" t="s">
        <v>148</v>
      </c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>
        <v>11844</v>
      </c>
      <c r="L24" s="83" t="s">
        <v>128</v>
      </c>
      <c r="M24" s="41" t="s">
        <v>148</v>
      </c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11844</v>
      </c>
      <c r="F26" s="69" t="s">
        <v>171</v>
      </c>
      <c r="G26" s="46" t="s">
        <v>6</v>
      </c>
      <c r="H26" s="37"/>
      <c r="I26" s="37">
        <v>120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11801</v>
      </c>
      <c r="F27" s="69" t="s">
        <v>172</v>
      </c>
      <c r="G27" s="47" t="s">
        <v>8</v>
      </c>
      <c r="H27" s="37"/>
      <c r="I27" s="37">
        <v>500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>
        <v>11844</v>
      </c>
      <c r="L35" s="68">
        <v>4</v>
      </c>
      <c r="M35" s="83">
        <v>319</v>
      </c>
    </row>
    <row r="36" spans="2:18" ht="16.5" customHeight="1" x14ac:dyDescent="0.25">
      <c r="B36" s="36"/>
      <c r="C36" s="36"/>
      <c r="D36" s="36"/>
      <c r="E36" s="68"/>
      <c r="F36" s="69"/>
      <c r="G36" s="47"/>
      <c r="H36" s="37"/>
      <c r="I36" s="37"/>
      <c r="J36" s="36"/>
      <c r="K36" s="68">
        <v>11948</v>
      </c>
      <c r="L36" s="68">
        <v>2</v>
      </c>
      <c r="M36" s="83">
        <v>70</v>
      </c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6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view="pageBreakPreview" topLeftCell="A6" zoomScale="106" zoomScaleNormal="90" zoomScaleSheetLayoutView="106" workbookViewId="0">
      <selection activeCell="F29" sqref="F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0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'03'!B1+1</f>
        <v>45934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SUMIF(I6:I33,"&gt;0",H6:H33)</f>
        <v>6047.9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6472.9</v>
      </c>
      <c r="D6" s="28"/>
      <c r="E6" s="68">
        <v>11952</v>
      </c>
      <c r="F6" s="69" t="s">
        <v>349</v>
      </c>
      <c r="G6" s="47" t="s">
        <v>45</v>
      </c>
      <c r="H6" s="37">
        <v>120</v>
      </c>
      <c r="I6" s="37">
        <v>0</v>
      </c>
      <c r="J6" s="28"/>
      <c r="K6" s="69" t="s">
        <v>183</v>
      </c>
      <c r="L6" s="83" t="s">
        <v>6</v>
      </c>
      <c r="M6" s="41">
        <v>19.600000000000001</v>
      </c>
      <c r="R6" s="1">
        <f>IF(vend4[[#This Row],[Nº Venda]]&gt;1,1,0)</f>
        <v>1</v>
      </c>
    </row>
    <row r="7" spans="2:18" ht="16.5" x14ac:dyDescent="0.3">
      <c r="B7" s="26" t="s">
        <v>3</v>
      </c>
      <c r="C7" s="27">
        <f>SUM(M6:M11)</f>
        <v>31.090000000000003</v>
      </c>
      <c r="D7" s="28"/>
      <c r="E7" s="68">
        <v>11953</v>
      </c>
      <c r="F7" s="69" t="s">
        <v>174</v>
      </c>
      <c r="G7" s="46" t="s">
        <v>8</v>
      </c>
      <c r="H7" s="37">
        <v>800</v>
      </c>
      <c r="I7" s="37">
        <v>400</v>
      </c>
      <c r="J7" s="28"/>
      <c r="K7" s="69" t="s">
        <v>184</v>
      </c>
      <c r="L7" s="83" t="s">
        <v>6</v>
      </c>
      <c r="M7" s="41">
        <v>11.49</v>
      </c>
      <c r="R7" s="1">
        <f>IF(vend4[[#This Row],[Nº Venda]]&gt;1,1,0)</f>
        <v>1</v>
      </c>
    </row>
    <row r="8" spans="2:18" ht="16.5" x14ac:dyDescent="0.3">
      <c r="B8" s="29" t="s">
        <v>20</v>
      </c>
      <c r="C8" s="30">
        <f>SUM(C6:C7)</f>
        <v>6503.99</v>
      </c>
      <c r="D8" s="28"/>
      <c r="E8" s="68">
        <v>11953</v>
      </c>
      <c r="F8" s="69" t="s">
        <v>174</v>
      </c>
      <c r="G8" s="46" t="s">
        <v>10</v>
      </c>
      <c r="H8" s="37">
        <v>0</v>
      </c>
      <c r="I8" s="37">
        <v>400</v>
      </c>
      <c r="J8" s="28"/>
      <c r="K8" s="69"/>
      <c r="L8" s="83"/>
      <c r="M8" s="41"/>
      <c r="R8" s="1">
        <f>IF(vend4[[#This Row],[Nº Venda]]&gt;1,1,0)</f>
        <v>1</v>
      </c>
    </row>
    <row r="9" spans="2:18" ht="16.5" x14ac:dyDescent="0.3">
      <c r="B9" s="25"/>
      <c r="C9" s="25"/>
      <c r="D9" s="28"/>
      <c r="E9" s="68">
        <v>11954</v>
      </c>
      <c r="F9" s="69" t="s">
        <v>176</v>
      </c>
      <c r="G9" s="46" t="s">
        <v>35</v>
      </c>
      <c r="H9" s="37">
        <v>0</v>
      </c>
      <c r="I9" s="37">
        <v>0</v>
      </c>
      <c r="J9" s="28"/>
      <c r="K9" s="69"/>
      <c r="L9" s="83"/>
      <c r="M9" s="41"/>
      <c r="R9" s="1">
        <f>IF(vend4[[#This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11955</v>
      </c>
      <c r="F10" s="69" t="s">
        <v>177</v>
      </c>
      <c r="G10" s="47" t="s">
        <v>8</v>
      </c>
      <c r="H10" s="37">
        <v>250</v>
      </c>
      <c r="I10" s="37">
        <v>200</v>
      </c>
      <c r="J10" s="28"/>
      <c r="K10" s="69"/>
      <c r="L10" s="83"/>
      <c r="M10" s="41"/>
      <c r="R10" s="1">
        <f>IF(vend4[[#This Row],[Nº Venda]]&gt;1,1,0)</f>
        <v>1</v>
      </c>
    </row>
    <row r="11" spans="2:18" ht="16.5" x14ac:dyDescent="0.3">
      <c r="B11" s="26" t="s">
        <v>6</v>
      </c>
      <c r="C11" s="62">
        <f>(SUMIF($G$2:$G$33,B11,$I$2:$I$33))+(SUMIF($G$37:$G$41,B11,$H$37:$H$41))</f>
        <v>50</v>
      </c>
      <c r="D11" s="28"/>
      <c r="E11" s="68">
        <v>11955</v>
      </c>
      <c r="F11" s="69" t="s">
        <v>177</v>
      </c>
      <c r="G11" s="47" t="s">
        <v>10</v>
      </c>
      <c r="H11" s="37">
        <v>0</v>
      </c>
      <c r="I11" s="37">
        <v>50</v>
      </c>
      <c r="J11" s="28"/>
      <c r="K11" s="36"/>
      <c r="L11" s="83"/>
      <c r="M11" s="41"/>
      <c r="O11" s="1">
        <f>IF(C16=0,0,1)</f>
        <v>1</v>
      </c>
      <c r="R11" s="1">
        <f>IF(vend4[[#This Row],[Nº Venda]]&gt;1,1,0)</f>
        <v>1</v>
      </c>
    </row>
    <row r="12" spans="2:18" ht="16.5" x14ac:dyDescent="0.3">
      <c r="B12" s="26" t="s">
        <v>7</v>
      </c>
      <c r="C12" s="62">
        <f>(SUMIF($G$2:$G$33,B12,$I$2:$I$33))+(SUMIF($G$37:$G$41,B12,$H$37:$H$41))</f>
        <v>595</v>
      </c>
      <c r="D12" s="28"/>
      <c r="E12" s="68">
        <v>11956</v>
      </c>
      <c r="F12" s="69" t="s">
        <v>176</v>
      </c>
      <c r="G12" s="46" t="s">
        <v>35</v>
      </c>
      <c r="H12" s="37">
        <v>0</v>
      </c>
      <c r="I12" s="37">
        <v>0</v>
      </c>
      <c r="J12" s="28"/>
      <c r="K12" s="31"/>
      <c r="L12" s="31"/>
      <c r="M12" s="31"/>
      <c r="R12" s="1">
        <f>IF(vend4[[#This Row],[Nº Venda]]&gt;1,1,0)</f>
        <v>1</v>
      </c>
    </row>
    <row r="13" spans="2:18" ht="16.5" x14ac:dyDescent="0.3">
      <c r="B13" s="26" t="s">
        <v>8</v>
      </c>
      <c r="C13" s="62">
        <f>(SUMIF($G$2:$G$33,B13,$I$2:$I$33))+(SUMIF($G$37:$G$41,B13,$H$37:$H$41))</f>
        <v>5377.9</v>
      </c>
      <c r="D13" s="28"/>
      <c r="E13" s="68">
        <v>11957</v>
      </c>
      <c r="F13" s="69" t="s">
        <v>176</v>
      </c>
      <c r="G13" s="47" t="s">
        <v>35</v>
      </c>
      <c r="H13" s="37">
        <v>0</v>
      </c>
      <c r="I13" s="37">
        <v>0</v>
      </c>
      <c r="J13" s="28"/>
      <c r="K13" s="96" t="s">
        <v>141</v>
      </c>
      <c r="L13" s="97"/>
      <c r="M13" s="98"/>
      <c r="R13" s="1">
        <f>IF(vend4[[#This Row],[Nº Venda]]&gt;1,1,0)</f>
        <v>1</v>
      </c>
    </row>
    <row r="14" spans="2:18" ht="16.5" x14ac:dyDescent="0.3">
      <c r="B14" s="26" t="s">
        <v>9</v>
      </c>
      <c r="C14" s="62">
        <f>(SUMIF($G$2:$G$33,B14,$I$2:$I$33))+(SUMIF($G$37:$G$41,B14,$H$37:$H$41))</f>
        <v>0</v>
      </c>
      <c r="D14" s="28"/>
      <c r="E14" s="68">
        <v>11958</v>
      </c>
      <c r="F14" s="69" t="s">
        <v>179</v>
      </c>
      <c r="G14" s="47" t="s">
        <v>8</v>
      </c>
      <c r="H14" s="37">
        <v>210</v>
      </c>
      <c r="I14" s="37">
        <v>210</v>
      </c>
      <c r="J14" s="28"/>
      <c r="K14" s="20" t="s">
        <v>21</v>
      </c>
      <c r="L14" s="21" t="s">
        <v>22</v>
      </c>
      <c r="M14" s="22" t="s">
        <v>23</v>
      </c>
      <c r="R14" s="1">
        <f>IF(vend4[[#This Row],[Nº Venda]]&gt;1,1,0)</f>
        <v>1</v>
      </c>
    </row>
    <row r="15" spans="2:18" ht="16.5" x14ac:dyDescent="0.3">
      <c r="B15" s="26" t="s">
        <v>10</v>
      </c>
      <c r="C15" s="62">
        <f>(SUMIF($G$2:$G$33,B15,$I$2:$I$33))+(SUMIF($G$37:$G$41,B15,$H$37:$H$41))</f>
        <v>450</v>
      </c>
      <c r="D15" s="28"/>
      <c r="E15" s="68">
        <v>11959</v>
      </c>
      <c r="F15" s="69" t="s">
        <v>178</v>
      </c>
      <c r="G15" s="47" t="s">
        <v>8</v>
      </c>
      <c r="H15" s="37">
        <v>999</v>
      </c>
      <c r="I15" s="37">
        <v>999</v>
      </c>
      <c r="J15" s="28"/>
      <c r="K15" s="68">
        <v>11655</v>
      </c>
      <c r="L15" s="83" t="s">
        <v>130</v>
      </c>
      <c r="M15" s="41" t="s">
        <v>148</v>
      </c>
      <c r="R15" s="1">
        <f>IF(vend4[[#This Row],[Nº Venda]]&gt;1,1,0)</f>
        <v>1</v>
      </c>
    </row>
    <row r="16" spans="2:18" ht="16.5" x14ac:dyDescent="0.3">
      <c r="B16" s="29" t="s">
        <v>11</v>
      </c>
      <c r="C16" s="63">
        <f>SUM(C11:C15)</f>
        <v>6472.9</v>
      </c>
      <c r="D16" s="28"/>
      <c r="E16" s="68">
        <v>11960</v>
      </c>
      <c r="F16" s="69" t="s">
        <v>177</v>
      </c>
      <c r="G16" s="47" t="s">
        <v>8</v>
      </c>
      <c r="H16" s="37">
        <v>80</v>
      </c>
      <c r="I16" s="37">
        <v>80</v>
      </c>
      <c r="J16" s="28"/>
      <c r="K16" s="68">
        <v>11798</v>
      </c>
      <c r="L16" s="83" t="s">
        <v>130</v>
      </c>
      <c r="M16" s="41" t="s">
        <v>148</v>
      </c>
      <c r="R16" s="1">
        <f>IF(vend4[[#This Row],[Nº Venda]]&gt;1,1,0)</f>
        <v>1</v>
      </c>
    </row>
    <row r="17" spans="2:18" ht="16.5" x14ac:dyDescent="0.3">
      <c r="B17" s="25"/>
      <c r="C17" s="25"/>
      <c r="D17" s="28"/>
      <c r="E17" s="68">
        <v>11961</v>
      </c>
      <c r="F17" s="69" t="s">
        <v>180</v>
      </c>
      <c r="G17" s="47" t="s">
        <v>8</v>
      </c>
      <c r="H17" s="37">
        <v>990</v>
      </c>
      <c r="I17" s="37">
        <v>990</v>
      </c>
      <c r="J17" s="28"/>
      <c r="K17" s="68">
        <v>11868</v>
      </c>
      <c r="L17" s="83" t="s">
        <v>130</v>
      </c>
      <c r="M17" s="41" t="s">
        <v>148</v>
      </c>
      <c r="R17" s="1">
        <f>IF(vend4[[#This Row],[Nº Venda]]&gt;1,1,0)</f>
        <v>1</v>
      </c>
    </row>
    <row r="18" spans="2:18" ht="16.5" x14ac:dyDescent="0.3">
      <c r="B18" s="103" t="s">
        <v>12</v>
      </c>
      <c r="C18" s="104"/>
      <c r="D18" s="28"/>
      <c r="E18" s="68">
        <v>11962</v>
      </c>
      <c r="F18" s="69" t="s">
        <v>180</v>
      </c>
      <c r="G18" s="47" t="s">
        <v>8</v>
      </c>
      <c r="H18" s="37">
        <v>990</v>
      </c>
      <c r="I18" s="37">
        <v>990</v>
      </c>
      <c r="J18" s="28"/>
      <c r="K18" s="68">
        <v>11879</v>
      </c>
      <c r="L18" s="83" t="s">
        <v>130</v>
      </c>
      <c r="M18" s="41" t="s">
        <v>148</v>
      </c>
      <c r="R18" s="1">
        <f>IF(vend4[[#This Row],[Nº Venda]]&gt;1,1,0)</f>
        <v>1</v>
      </c>
    </row>
    <row r="19" spans="2:18" ht="16.5" x14ac:dyDescent="0.3">
      <c r="B19" s="26">
        <f>COUNT(entr_carn4[OS])</f>
        <v>0</v>
      </c>
      <c r="C19" s="62">
        <f>SUM(entr_carn4[Valor Total])</f>
        <v>0</v>
      </c>
      <c r="D19" s="28"/>
      <c r="E19" s="68">
        <v>11963</v>
      </c>
      <c r="F19" s="69" t="s">
        <v>182</v>
      </c>
      <c r="G19" s="47" t="s">
        <v>7</v>
      </c>
      <c r="H19" s="37">
        <v>550</v>
      </c>
      <c r="I19" s="37">
        <v>550</v>
      </c>
      <c r="J19" s="28"/>
      <c r="K19" s="68">
        <v>11928</v>
      </c>
      <c r="L19" s="83" t="s">
        <v>130</v>
      </c>
      <c r="M19" s="41" t="s">
        <v>148</v>
      </c>
      <c r="R19" s="1">
        <f>IF(vend4[[#This Row],[Nº Venda]]&gt;1,1,0)</f>
        <v>1</v>
      </c>
    </row>
    <row r="20" spans="2:18" ht="16.5" x14ac:dyDescent="0.3">
      <c r="B20" s="29" t="s">
        <v>11</v>
      </c>
      <c r="C20" s="63">
        <f>SUM(C19:C19)</f>
        <v>0</v>
      </c>
      <c r="D20" s="28"/>
      <c r="E20" s="68">
        <v>11964</v>
      </c>
      <c r="F20" s="69" t="s">
        <v>181</v>
      </c>
      <c r="G20" s="47" t="s">
        <v>8</v>
      </c>
      <c r="H20" s="37">
        <v>999.9</v>
      </c>
      <c r="I20" s="37">
        <v>999.9</v>
      </c>
      <c r="J20" s="28"/>
      <c r="K20" s="68">
        <v>11935</v>
      </c>
      <c r="L20" s="83" t="s">
        <v>130</v>
      </c>
      <c r="M20" s="41" t="s">
        <v>148</v>
      </c>
      <c r="R20" s="1">
        <f>IF(vend4[[#This Row],[Nº Venda]]&gt;1,1,0)</f>
        <v>1</v>
      </c>
    </row>
    <row r="21" spans="2:18" ht="16.5" x14ac:dyDescent="0.3">
      <c r="B21" s="25"/>
      <c r="C21" s="25"/>
      <c r="D21" s="28"/>
      <c r="E21" s="68">
        <v>11965</v>
      </c>
      <c r="F21" s="47" t="s">
        <v>185</v>
      </c>
      <c r="G21" s="47" t="s">
        <v>35</v>
      </c>
      <c r="H21" s="37">
        <v>0</v>
      </c>
      <c r="I21" s="37">
        <v>0</v>
      </c>
      <c r="J21" s="28"/>
      <c r="K21" s="68">
        <v>11936</v>
      </c>
      <c r="L21" s="83" t="s">
        <v>130</v>
      </c>
      <c r="M21" s="41" t="s">
        <v>148</v>
      </c>
    </row>
    <row r="22" spans="2:18" ht="16.5" x14ac:dyDescent="0.3">
      <c r="B22" s="29" t="s">
        <v>24</v>
      </c>
      <c r="C22" s="32">
        <f>C5</f>
        <v>6047.9</v>
      </c>
      <c r="D22" s="28"/>
      <c r="E22" s="74">
        <v>11966</v>
      </c>
      <c r="F22" s="47" t="s">
        <v>186</v>
      </c>
      <c r="G22" s="47" t="s">
        <v>8</v>
      </c>
      <c r="H22" s="37">
        <v>50</v>
      </c>
      <c r="I22" s="37">
        <v>50</v>
      </c>
      <c r="J22" s="28"/>
      <c r="K22" s="68">
        <v>11939</v>
      </c>
      <c r="L22" s="83" t="s">
        <v>128</v>
      </c>
      <c r="M22" s="41" t="s">
        <v>148</v>
      </c>
    </row>
    <row r="23" spans="2:18" ht="16.5" x14ac:dyDescent="0.3">
      <c r="B23" s="28"/>
      <c r="C23" s="28"/>
      <c r="D23" s="28"/>
      <c r="E23" s="74">
        <v>11967</v>
      </c>
      <c r="F23" s="47" t="s">
        <v>188</v>
      </c>
      <c r="G23" s="47" t="s">
        <v>8</v>
      </c>
      <c r="H23" s="37">
        <v>35</v>
      </c>
      <c r="I23" s="37">
        <v>35</v>
      </c>
      <c r="J23" s="28"/>
      <c r="K23" s="68">
        <v>11960</v>
      </c>
      <c r="L23" s="83" t="s">
        <v>130</v>
      </c>
      <c r="M23" s="41" t="s">
        <v>148</v>
      </c>
    </row>
    <row r="24" spans="2:18" ht="16.5" x14ac:dyDescent="0.3">
      <c r="B24" s="28"/>
      <c r="C24" s="28"/>
      <c r="D24" s="28"/>
      <c r="E24" s="70">
        <v>11968</v>
      </c>
      <c r="F24" s="69" t="s">
        <v>189</v>
      </c>
      <c r="G24" s="47" t="s">
        <v>45</v>
      </c>
      <c r="H24" s="37">
        <v>49</v>
      </c>
      <c r="I24" s="37">
        <v>0</v>
      </c>
      <c r="J24" s="28"/>
      <c r="K24" s="68">
        <v>11966</v>
      </c>
      <c r="L24" s="83" t="s">
        <v>130</v>
      </c>
      <c r="M24" s="41" t="s">
        <v>148</v>
      </c>
    </row>
    <row r="25" spans="2:18" ht="16.5" x14ac:dyDescent="0.3">
      <c r="B25" s="28"/>
      <c r="C25" s="28"/>
      <c r="D25" s="28"/>
      <c r="E25" s="33"/>
      <c r="F25" s="33"/>
      <c r="G25" s="33"/>
      <c r="H25" s="34"/>
      <c r="I25" s="35"/>
      <c r="J25" s="28"/>
      <c r="K25" s="68"/>
      <c r="L25" s="83"/>
      <c r="M25" s="41"/>
    </row>
    <row r="26" spans="2:18" ht="16.5" x14ac:dyDescent="0.3">
      <c r="B26" s="28"/>
      <c r="C26" s="28"/>
      <c r="D26" s="28"/>
      <c r="E26" s="94" t="s">
        <v>138</v>
      </c>
      <c r="F26" s="95"/>
      <c r="G26" s="95"/>
      <c r="H26" s="95"/>
      <c r="I26" s="95"/>
      <c r="J26" s="28"/>
      <c r="K26" s="68"/>
      <c r="L26" s="83"/>
      <c r="M26" s="41"/>
    </row>
    <row r="27" spans="2:18" ht="16.5" x14ac:dyDescent="0.3">
      <c r="B27" s="28"/>
      <c r="C27" s="28"/>
      <c r="D27" s="28"/>
      <c r="E27" s="17" t="s">
        <v>13</v>
      </c>
      <c r="F27" s="16" t="s">
        <v>14</v>
      </c>
      <c r="G27" s="17" t="s">
        <v>15</v>
      </c>
      <c r="H27" s="18" t="s">
        <v>16</v>
      </c>
      <c r="I27" s="18" t="s">
        <v>2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>
        <v>11655</v>
      </c>
      <c r="F28" s="69" t="s">
        <v>187</v>
      </c>
      <c r="G28" s="46" t="s">
        <v>8</v>
      </c>
      <c r="H28" s="37">
        <v>0</v>
      </c>
      <c r="I28" s="37">
        <v>50</v>
      </c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>
        <v>11655</v>
      </c>
      <c r="F29" s="69" t="s">
        <v>187</v>
      </c>
      <c r="G29" s="47" t="s">
        <v>8</v>
      </c>
      <c r="H29" s="37">
        <v>0</v>
      </c>
      <c r="I29" s="37">
        <v>325</v>
      </c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>
        <v>11935</v>
      </c>
      <c r="F30" s="69" t="s">
        <v>147</v>
      </c>
      <c r="G30" s="46" t="s">
        <v>7</v>
      </c>
      <c r="H30" s="37">
        <v>45</v>
      </c>
      <c r="I30" s="37">
        <v>45</v>
      </c>
      <c r="J30" s="28"/>
      <c r="K30" s="68"/>
      <c r="L30" s="83"/>
      <c r="M30" s="41"/>
    </row>
    <row r="31" spans="2:18" ht="16.5" x14ac:dyDescent="0.3">
      <c r="B31" s="28"/>
      <c r="C31" s="28"/>
      <c r="D31" s="28"/>
      <c r="E31" s="68">
        <v>11939</v>
      </c>
      <c r="F31" s="69" t="s">
        <v>173</v>
      </c>
      <c r="G31" s="46" t="s">
        <v>8</v>
      </c>
      <c r="H31" s="37">
        <v>49</v>
      </c>
      <c r="I31" s="37">
        <v>49</v>
      </c>
      <c r="J31" s="28"/>
      <c r="K31" s="68"/>
      <c r="L31" s="83"/>
      <c r="M31" s="41"/>
    </row>
    <row r="32" spans="2:18" ht="16.5" x14ac:dyDescent="0.3">
      <c r="B32" s="28"/>
      <c r="C32" s="28"/>
      <c r="D32" s="36"/>
      <c r="E32" s="68"/>
      <c r="F32" s="47"/>
      <c r="G32" s="47"/>
      <c r="H32" s="37"/>
      <c r="I32" s="37"/>
      <c r="J32" s="36"/>
      <c r="K32" s="31"/>
      <c r="L32" s="31"/>
      <c r="M32" s="31"/>
    </row>
    <row r="33" spans="2:18" ht="16.5" x14ac:dyDescent="0.3">
      <c r="B33" s="28"/>
      <c r="C33" s="28"/>
      <c r="D33" s="36"/>
      <c r="E33" s="70"/>
      <c r="F33" s="71"/>
      <c r="G33" s="39"/>
      <c r="H33" s="40"/>
      <c r="I33" s="40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33"/>
      <c r="F34" s="33"/>
      <c r="G34" s="33"/>
      <c r="H34" s="35"/>
      <c r="I34" s="35"/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94" t="s">
        <v>139</v>
      </c>
      <c r="F35" s="95"/>
      <c r="G35" s="95"/>
      <c r="H35" s="95"/>
      <c r="I35" s="95"/>
      <c r="J35" s="36"/>
      <c r="K35" s="68"/>
      <c r="L35" s="68"/>
      <c r="M35" s="83"/>
    </row>
    <row r="36" spans="2:18" ht="16.5" customHeight="1" x14ac:dyDescent="0.3">
      <c r="B36" s="36"/>
      <c r="C36" s="36"/>
      <c r="D36" s="36"/>
      <c r="E36" s="17" t="s">
        <v>21</v>
      </c>
      <c r="F36" s="16" t="s">
        <v>14</v>
      </c>
      <c r="G36" s="17" t="s">
        <v>15</v>
      </c>
      <c r="H36" s="18" t="s">
        <v>25</v>
      </c>
      <c r="I36" s="18" t="s">
        <v>26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>
        <v>11854</v>
      </c>
      <c r="F37" s="69" t="s">
        <v>175</v>
      </c>
      <c r="G37" s="47" t="s">
        <v>6</v>
      </c>
      <c r="H37" s="37">
        <v>50</v>
      </c>
      <c r="I37" s="37" t="s">
        <v>37</v>
      </c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69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68"/>
      <c r="F40" s="69"/>
      <c r="G40" s="47"/>
      <c r="H40" s="37"/>
      <c r="I40" s="37"/>
      <c r="J40" s="36"/>
      <c r="K40" s="70"/>
      <c r="L40" s="70"/>
      <c r="M40" s="84"/>
      <c r="Q40" s="1" t="s">
        <v>32</v>
      </c>
      <c r="R40" s="1">
        <f>SUM(R6:R21)</f>
        <v>15</v>
      </c>
    </row>
    <row r="41" spans="2:18" ht="16.5" customHeight="1" x14ac:dyDescent="0.25">
      <c r="B41" s="36"/>
      <c r="C41" s="36"/>
      <c r="D41" s="36"/>
      <c r="E41" s="68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6:I26"/>
    <mergeCell ref="E35:I35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G28:G33 G37:G41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I37:I41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E28:E33 E37:E41 K35:K41 K15:K31 E6:E24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6.28515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'04'!B1+1</f>
        <v>45935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0</v>
      </c>
      <c r="D6" s="28"/>
      <c r="E6" s="68"/>
      <c r="F6" s="69"/>
      <c r="G6" s="46"/>
      <c r="H6" s="37"/>
      <c r="I6" s="37"/>
      <c r="J6" s="28"/>
      <c r="K6" s="69"/>
      <c r="L6" s="83"/>
      <c r="M6" s="41"/>
      <c r="R6" s="1">
        <f>IF(vend5[[#This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68"/>
      <c r="F7" s="69"/>
      <c r="G7" s="46"/>
      <c r="H7" s="37"/>
      <c r="I7" s="37"/>
      <c r="J7" s="28"/>
      <c r="K7" s="69"/>
      <c r="L7" s="83"/>
      <c r="M7" s="41"/>
      <c r="R7" s="1">
        <f>IF(vend5[[#This Row],[Nº Venda]]&gt;1,1,0)</f>
        <v>0</v>
      </c>
    </row>
    <row r="8" spans="2:18" ht="16.5" x14ac:dyDescent="0.3">
      <c r="B8" s="29" t="s">
        <v>20</v>
      </c>
      <c r="C8" s="30">
        <f>SUM(C6:C7)</f>
        <v>0</v>
      </c>
      <c r="D8" s="28"/>
      <c r="E8" s="68"/>
      <c r="F8" s="69"/>
      <c r="G8" s="46"/>
      <c r="H8" s="37"/>
      <c r="I8" s="37"/>
      <c r="J8" s="28"/>
      <c r="K8" s="69"/>
      <c r="L8" s="83"/>
      <c r="M8" s="41"/>
      <c r="R8" s="1">
        <f>IF(vend5[[#This Row],[Nº Venda]]&gt;1,1,0)</f>
        <v>0</v>
      </c>
    </row>
    <row r="9" spans="2:18" ht="16.5" x14ac:dyDescent="0.3">
      <c r="B9" s="25"/>
      <c r="C9" s="25"/>
      <c r="D9" s="28"/>
      <c r="E9" s="68"/>
      <c r="F9" s="69"/>
      <c r="G9" s="46"/>
      <c r="H9" s="37"/>
      <c r="I9" s="37"/>
      <c r="J9" s="28"/>
      <c r="K9" s="69"/>
      <c r="L9" s="83"/>
      <c r="M9" s="41"/>
      <c r="R9" s="1">
        <f>IF(vend5[[#This Row],[Nº Venda]]&gt;1,1,0)</f>
        <v>0</v>
      </c>
    </row>
    <row r="10" spans="2:18" ht="16.5" x14ac:dyDescent="0.3">
      <c r="B10" s="103" t="s">
        <v>5</v>
      </c>
      <c r="C10" s="104"/>
      <c r="D10" s="28"/>
      <c r="E10" s="68"/>
      <c r="F10" s="69"/>
      <c r="G10" s="46"/>
      <c r="H10" s="37"/>
      <c r="I10" s="37"/>
      <c r="J10" s="28"/>
      <c r="K10" s="69"/>
      <c r="L10" s="83"/>
      <c r="M10" s="41"/>
      <c r="R10" s="1">
        <f>IF(vend5[[#This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0</v>
      </c>
      <c r="D11" s="28"/>
      <c r="E11" s="68"/>
      <c r="F11" s="69"/>
      <c r="G11" s="46"/>
      <c r="H11" s="37"/>
      <c r="I11" s="37"/>
      <c r="J11" s="28"/>
      <c r="K11" s="36"/>
      <c r="L11" s="83"/>
      <c r="M11" s="41"/>
      <c r="O11" s="1">
        <f>IF(C16=0,0,1)</f>
        <v>0</v>
      </c>
      <c r="R11" s="1">
        <f>IF(vend5[[#This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IF(vend5[[#This Row],[Nº Venda]]&gt;1,1,0)</f>
        <v>0</v>
      </c>
    </row>
    <row r="13" spans="2:18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IF(vend5[[#This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IF(vend5[[#This Row],[Nº Venda]]&gt;1,1,0)</f>
        <v>0</v>
      </c>
    </row>
    <row r="15" spans="2:18" ht="16.5" x14ac:dyDescent="0.3">
      <c r="B15" s="26" t="s">
        <v>10</v>
      </c>
      <c r="C15" s="62">
        <f t="shared" si="0"/>
        <v>0</v>
      </c>
      <c r="D15" s="28"/>
      <c r="E15" s="68"/>
      <c r="F15" s="69"/>
      <c r="G15" s="47"/>
      <c r="H15" s="37"/>
      <c r="I15" s="37"/>
      <c r="J15" s="28"/>
      <c r="K15" s="68"/>
      <c r="L15" s="83"/>
      <c r="M15" s="48"/>
      <c r="N15" s="6"/>
      <c r="R15" s="1">
        <f>IF(vend5[[#This Row],[Nº Venda]]&gt;1,1,0)</f>
        <v>0</v>
      </c>
    </row>
    <row r="16" spans="2:18" ht="16.5" x14ac:dyDescent="0.3">
      <c r="B16" s="29" t="s">
        <v>11</v>
      </c>
      <c r="C16" s="63">
        <f>SUM(C11:C15)</f>
        <v>0</v>
      </c>
      <c r="D16" s="28"/>
      <c r="E16" s="68"/>
      <c r="F16" s="69"/>
      <c r="G16" s="47"/>
      <c r="H16" s="37"/>
      <c r="I16" s="37"/>
      <c r="J16" s="28"/>
      <c r="K16" s="68"/>
      <c r="L16" s="83"/>
      <c r="M16" s="41"/>
      <c r="N16" s="6"/>
      <c r="R16" s="1">
        <f>IF(vend5[[#This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/>
      <c r="L17" s="83"/>
      <c r="M17" s="41"/>
      <c r="R17" s="1">
        <f>IF(vend5[[#This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IF(vend5[[#This Row],[Nº Venda]]&gt;1,1,0)</f>
        <v>0</v>
      </c>
    </row>
    <row r="19" spans="2:18" ht="16.5" x14ac:dyDescent="0.3">
      <c r="B19" s="26">
        <f>COUNT(entr_carn5[OS])</f>
        <v>0</v>
      </c>
      <c r="C19" s="62">
        <f>SUM(entr_carn5[Valor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IF(vend5[[#This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IF(vend5[[#This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/>
      <c r="F26" s="69"/>
      <c r="G26" s="46"/>
      <c r="H26" s="37"/>
      <c r="I26" s="37"/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6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6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82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8"/>
  <sheetViews>
    <sheetView showGridLines="0" view="pageBreakPreview" topLeftCell="A3" zoomScale="95" zoomScaleNormal="90" zoomScaleSheetLayoutView="95" workbookViewId="0">
      <selection activeCell="H39" sqref="H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'05'!B1+1</f>
        <v>45936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2580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3957.85</v>
      </c>
      <c r="D6" s="28"/>
      <c r="E6" s="68">
        <v>11969</v>
      </c>
      <c r="F6" s="69" t="s">
        <v>191</v>
      </c>
      <c r="G6" s="47" t="s">
        <v>8</v>
      </c>
      <c r="H6" s="37">
        <v>1000</v>
      </c>
      <c r="I6" s="37">
        <v>1000</v>
      </c>
      <c r="J6" s="28"/>
      <c r="K6" s="69"/>
      <c r="L6" s="83"/>
      <c r="M6" s="41"/>
      <c r="R6" s="1">
        <f>IF(vend[[#This Row],[Nº Venda]]&gt;1,1,0)</f>
        <v>1</v>
      </c>
    </row>
    <row r="7" spans="2:18" ht="16.5" x14ac:dyDescent="0.3">
      <c r="B7" s="26" t="s">
        <v>3</v>
      </c>
      <c r="C7" s="27">
        <f>SUM(M6:M11)</f>
        <v>0</v>
      </c>
      <c r="D7" s="28"/>
      <c r="E7" s="68">
        <v>11970</v>
      </c>
      <c r="F7" s="69" t="s">
        <v>191</v>
      </c>
      <c r="G7" s="47" t="s">
        <v>8</v>
      </c>
      <c r="H7" s="37">
        <v>1430</v>
      </c>
      <c r="I7" s="37">
        <v>215</v>
      </c>
      <c r="J7" s="28"/>
      <c r="K7" s="69"/>
      <c r="L7" s="83"/>
      <c r="M7" s="41"/>
      <c r="R7" s="1">
        <f>IF(vend[[#This Row],[Nº Venda]]&gt;1,1,0)</f>
        <v>1</v>
      </c>
    </row>
    <row r="8" spans="2:18" ht="16.5" x14ac:dyDescent="0.3">
      <c r="B8" s="29" t="s">
        <v>20</v>
      </c>
      <c r="C8" s="30">
        <f>SUM(C6:C7)</f>
        <v>3957.85</v>
      </c>
      <c r="D8" s="28"/>
      <c r="E8" s="68">
        <v>11970</v>
      </c>
      <c r="F8" s="69" t="s">
        <v>191</v>
      </c>
      <c r="G8" s="47" t="s">
        <v>8</v>
      </c>
      <c r="H8" s="37"/>
      <c r="I8" s="37">
        <v>1215</v>
      </c>
      <c r="J8" s="28"/>
      <c r="K8" s="69"/>
      <c r="L8" s="83"/>
      <c r="M8" s="41"/>
      <c r="R8" s="1">
        <f>IF(vend[[#This Row],[Nº Venda]]&gt;1,1,0)</f>
        <v>1</v>
      </c>
    </row>
    <row r="9" spans="2:18" ht="16.5" x14ac:dyDescent="0.3">
      <c r="B9" s="25"/>
      <c r="C9" s="25"/>
      <c r="D9" s="28"/>
      <c r="E9" s="68">
        <v>11971</v>
      </c>
      <c r="F9" s="69" t="s">
        <v>192</v>
      </c>
      <c r="G9" s="47" t="s">
        <v>8</v>
      </c>
      <c r="H9" s="37">
        <v>115</v>
      </c>
      <c r="I9" s="37">
        <v>115</v>
      </c>
      <c r="J9" s="28"/>
      <c r="K9" s="69"/>
      <c r="L9" s="83"/>
      <c r="M9" s="41"/>
      <c r="R9" s="1">
        <f>IF(vend[[#This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11972</v>
      </c>
      <c r="F10" s="47" t="s">
        <v>202</v>
      </c>
      <c r="G10" s="47" t="s">
        <v>35</v>
      </c>
      <c r="H10" s="37">
        <v>0</v>
      </c>
      <c r="I10" s="37">
        <v>0</v>
      </c>
      <c r="J10" s="28"/>
      <c r="K10" s="69"/>
      <c r="L10" s="83"/>
      <c r="M10" s="41"/>
      <c r="R10" s="1">
        <f>IF(vend[[#This Row],[Nº Venda]]&gt;1,1,0)</f>
        <v>1</v>
      </c>
    </row>
    <row r="11" spans="2:18" ht="16.5" x14ac:dyDescent="0.3">
      <c r="B11" s="26" t="s">
        <v>6</v>
      </c>
      <c r="C11" s="64">
        <f>(SUMIF($G$2:$G$31,B11,$I$2:$I$31))+(SUMIF($G$35:$G$45,B11,$H$35:$H$45))</f>
        <v>115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IF(vend[[#This Row],[Nº Venda]]&gt;1,1,0)</f>
        <v>0</v>
      </c>
    </row>
    <row r="12" spans="2:18" ht="16.5" x14ac:dyDescent="0.3">
      <c r="B12" s="26" t="s">
        <v>7</v>
      </c>
      <c r="C12" s="64">
        <f>(SUMIF($G$2:$G$31,B12,$I$2:$I$31))+(SUMIF($G$35:$G$45,B12,$H$35:$H$45))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IF(vend[[#This Row],[Nº Venda]]&gt;1,1,0)</f>
        <v>0</v>
      </c>
    </row>
    <row r="13" spans="2:18" ht="16.5" x14ac:dyDescent="0.3">
      <c r="B13" s="26" t="s">
        <v>8</v>
      </c>
      <c r="C13" s="64">
        <f>(SUMIF($G$2:$G$31,B13,$I$2:$I$31))+(SUMIF($G$35:$G$45,B13,$H$35:$H$45))</f>
        <v>2994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IF(vend[[#This Row],[Nº Venda]]&gt;1,1,0)</f>
        <v>0</v>
      </c>
    </row>
    <row r="14" spans="2:18" ht="16.5" x14ac:dyDescent="0.3">
      <c r="B14" s="26" t="s">
        <v>9</v>
      </c>
      <c r="C14" s="64">
        <f>(SUMIF($G$2:$G$31,B14,$I$2:$I$31))+(SUMIF($G$35:$G$45,B14,$H$35:$H$45))</f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IF(vend[[#This Row],[Nº Venda]]&gt;1,1,0)</f>
        <v>0</v>
      </c>
    </row>
    <row r="15" spans="2:18" ht="16.5" x14ac:dyDescent="0.3">
      <c r="B15" s="26" t="s">
        <v>10</v>
      </c>
      <c r="C15" s="64">
        <f>(SUMIF($G$2:$G$31,B15,$I$2:$I$31))+(SUMIF($G$35:$G$45,B15,$H$35:$H$45))</f>
        <v>848.84999999999991</v>
      </c>
      <c r="D15" s="28"/>
      <c r="E15" s="68"/>
      <c r="F15" s="69"/>
      <c r="G15" s="47"/>
      <c r="H15" s="37"/>
      <c r="I15" s="37"/>
      <c r="J15" s="28"/>
      <c r="K15" s="68">
        <v>11938</v>
      </c>
      <c r="L15" s="83" t="s">
        <v>128</v>
      </c>
      <c r="M15" s="41" t="s">
        <v>148</v>
      </c>
      <c r="R15" s="1">
        <f>IF(vend[[#This Row],[Nº Venda]]&gt;1,1,0)</f>
        <v>0</v>
      </c>
    </row>
    <row r="16" spans="2:18" ht="16.5" x14ac:dyDescent="0.3">
      <c r="B16" s="29" t="s">
        <v>11</v>
      </c>
      <c r="C16" s="63">
        <f>SUM(C11:C15)</f>
        <v>3957.85</v>
      </c>
      <c r="D16" s="28"/>
      <c r="E16" s="68"/>
      <c r="F16" s="69"/>
      <c r="G16" s="47"/>
      <c r="H16" s="37"/>
      <c r="I16" s="37"/>
      <c r="J16" s="28"/>
      <c r="K16" s="68">
        <v>11811</v>
      </c>
      <c r="L16" s="83" t="s">
        <v>130</v>
      </c>
      <c r="M16" s="41" t="s">
        <v>148</v>
      </c>
      <c r="R16" s="1">
        <f>IF(vend[[#This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11957</v>
      </c>
      <c r="L17" s="83" t="s">
        <v>128</v>
      </c>
      <c r="M17" s="41" t="s">
        <v>148</v>
      </c>
      <c r="R17" s="1">
        <f>IF(vend[[#This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IF(vend[[#This Row],[Nº Venda]]&gt;1,1,0)</f>
        <v>0</v>
      </c>
    </row>
    <row r="19" spans="2:18" ht="16.5" x14ac:dyDescent="0.3">
      <c r="B19" s="26">
        <f>COUNT(entr_carn6[OS])</f>
        <v>0</v>
      </c>
      <c r="C19" s="62">
        <f>SUM(entr_carn6[Valor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2580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11938</v>
      </c>
      <c r="F26" s="69" t="s">
        <v>153</v>
      </c>
      <c r="G26" s="47" t="s">
        <v>10</v>
      </c>
      <c r="H26" s="37">
        <v>35</v>
      </c>
      <c r="I26" s="37">
        <v>35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11811</v>
      </c>
      <c r="F27" s="69" t="s">
        <v>193</v>
      </c>
      <c r="G27" s="47" t="s">
        <v>8</v>
      </c>
      <c r="H27" s="37"/>
      <c r="I27" s="37">
        <v>449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>
        <v>11821</v>
      </c>
      <c r="F28" s="69" t="s">
        <v>201</v>
      </c>
      <c r="G28" s="47" t="s">
        <v>10</v>
      </c>
      <c r="H28" s="37"/>
      <c r="I28" s="37">
        <v>50</v>
      </c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11251</v>
      </c>
      <c r="F35" s="69" t="s">
        <v>194</v>
      </c>
      <c r="G35" s="47" t="s">
        <v>6</v>
      </c>
      <c r="H35" s="37">
        <v>115</v>
      </c>
      <c r="I35" s="37" t="s">
        <v>36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>
        <v>11590</v>
      </c>
      <c r="F36" s="69" t="s">
        <v>195</v>
      </c>
      <c r="G36" s="47" t="s">
        <v>10</v>
      </c>
      <c r="H36" s="37">
        <v>50</v>
      </c>
      <c r="I36" s="37" t="s">
        <v>49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>
        <v>11245</v>
      </c>
      <c r="F37" s="69" t="s">
        <v>196</v>
      </c>
      <c r="G37" s="47" t="s">
        <v>10</v>
      </c>
      <c r="H37" s="37">
        <v>79.849999999999994</v>
      </c>
      <c r="I37" s="37" t="s">
        <v>36</v>
      </c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>
        <v>11127</v>
      </c>
      <c r="F38" s="69" t="s">
        <v>197</v>
      </c>
      <c r="G38" s="47" t="s">
        <v>10</v>
      </c>
      <c r="H38" s="37">
        <v>71.42</v>
      </c>
      <c r="I38" s="37" t="s">
        <v>36</v>
      </c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>
        <v>10202</v>
      </c>
      <c r="F39" s="47" t="s">
        <v>198</v>
      </c>
      <c r="G39" s="47" t="s">
        <v>10</v>
      </c>
      <c r="H39" s="37">
        <v>156.25</v>
      </c>
      <c r="I39" s="37" t="s">
        <v>46</v>
      </c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>
        <v>11852</v>
      </c>
      <c r="F40" s="47" t="s">
        <v>199</v>
      </c>
      <c r="G40" s="47" t="s">
        <v>10</v>
      </c>
      <c r="H40" s="37">
        <v>266.33</v>
      </c>
      <c r="I40" s="37" t="s">
        <v>66</v>
      </c>
      <c r="J40" s="36"/>
      <c r="K40" s="70"/>
      <c r="L40" s="70"/>
      <c r="M40" s="84"/>
      <c r="Q40" s="1" t="s">
        <v>32</v>
      </c>
      <c r="R40" s="1">
        <f>SUM(R6:R21)</f>
        <v>5</v>
      </c>
    </row>
    <row r="41" spans="2:18" ht="16.5" customHeight="1" x14ac:dyDescent="0.25">
      <c r="B41" s="36"/>
      <c r="C41" s="36"/>
      <c r="D41" s="36"/>
      <c r="E41" s="70">
        <v>10915</v>
      </c>
      <c r="F41" s="47" t="s">
        <v>200</v>
      </c>
      <c r="G41" s="47" t="s">
        <v>10</v>
      </c>
      <c r="H41" s="37">
        <v>140</v>
      </c>
      <c r="I41" s="37" t="s">
        <v>76</v>
      </c>
      <c r="J41" s="36"/>
      <c r="K41" s="68"/>
      <c r="L41" s="68"/>
      <c r="M41" s="84"/>
    </row>
    <row r="42" spans="2:18" ht="13.5" x14ac:dyDescent="0.25">
      <c r="B42" s="36"/>
      <c r="C42" s="36"/>
      <c r="E42" s="70">
        <v>11407</v>
      </c>
      <c r="F42" s="70"/>
      <c r="G42" s="70"/>
      <c r="H42" s="70"/>
      <c r="I42" s="70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82"/>
      <c r="F43" s="82"/>
      <c r="G43" s="82"/>
      <c r="H43" s="82"/>
      <c r="I43" s="82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82"/>
      <c r="F44" s="85"/>
      <c r="G44" s="85"/>
      <c r="H44" s="85"/>
      <c r="I44" s="8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6"/>
      <c r="F45" s="36"/>
      <c r="G45" s="36"/>
      <c r="H45" s="36"/>
      <c r="I45" s="36"/>
      <c r="J45" s="36"/>
      <c r="K45" s="31"/>
      <c r="L45" s="31"/>
      <c r="M45" s="31"/>
    </row>
    <row r="47" spans="2:18" ht="13.5" x14ac:dyDescent="0.25">
      <c r="E47" s="33"/>
      <c r="F47" s="33"/>
      <c r="G47" s="33"/>
      <c r="H47" s="35"/>
      <c r="I47" s="35"/>
    </row>
    <row r="48" spans="2:18" ht="13.5" x14ac:dyDescent="0.25">
      <c r="E48" s="33"/>
      <c r="F48" s="33"/>
      <c r="G48" s="33"/>
      <c r="H48" s="35"/>
      <c r="I48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K35:K41 K15:K31 F42:I42 E35:E42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6"/>
  <sheetViews>
    <sheetView showGridLines="0" view="pageBreakPreview" zoomScale="80" zoomScaleNormal="90" zoomScaleSheetLayoutView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92">
        <f>'06'!B1+1</f>
        <v>45937</v>
      </c>
      <c r="C1" s="92"/>
      <c r="L1" s="93" t="s">
        <v>143</v>
      </c>
      <c r="M1" s="93"/>
    </row>
    <row r="2" spans="2:21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  <c r="U4" s="1">
        <v>0</v>
      </c>
    </row>
    <row r="5" spans="2:21" ht="16.5" x14ac:dyDescent="0.3">
      <c r="B5" s="26" t="s">
        <v>1</v>
      </c>
      <c r="C5" s="27">
        <f>SUMIF(I6:I31,"&gt;0",H6:H31)</f>
        <v>1200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21" ht="16.5" x14ac:dyDescent="0.3">
      <c r="B6" s="26" t="s">
        <v>2</v>
      </c>
      <c r="C6" s="27">
        <f>C16</f>
        <v>2166.3000000000002</v>
      </c>
      <c r="D6" s="28"/>
      <c r="E6" s="68">
        <v>11973</v>
      </c>
      <c r="F6" s="44" t="s">
        <v>203</v>
      </c>
      <c r="G6" s="44" t="s">
        <v>8</v>
      </c>
      <c r="H6" s="45">
        <v>180</v>
      </c>
      <c r="I6" s="45">
        <v>180</v>
      </c>
      <c r="J6" s="28"/>
      <c r="K6" s="69" t="s">
        <v>217</v>
      </c>
      <c r="L6" s="83" t="s">
        <v>6</v>
      </c>
      <c r="M6" s="41">
        <v>170</v>
      </c>
      <c r="R6" s="1">
        <f>IF(vend7[[#This Row],[Nº Venda]]&gt;1,1,0)</f>
        <v>1</v>
      </c>
    </row>
    <row r="7" spans="2:21" ht="16.5" x14ac:dyDescent="0.3">
      <c r="B7" s="26" t="s">
        <v>3</v>
      </c>
      <c r="C7" s="27">
        <f>SUM(M6:M11)</f>
        <v>170</v>
      </c>
      <c r="D7" s="28"/>
      <c r="E7" s="68">
        <v>11974</v>
      </c>
      <c r="F7" s="46" t="s">
        <v>203</v>
      </c>
      <c r="G7" s="46" t="s">
        <v>8</v>
      </c>
      <c r="H7" s="37">
        <v>390</v>
      </c>
      <c r="I7" s="37">
        <v>390</v>
      </c>
      <c r="J7" s="28"/>
      <c r="K7" s="69"/>
      <c r="L7" s="83"/>
      <c r="M7" s="41"/>
      <c r="R7" s="1">
        <f>IF(vend7[[#This Row],[Nº Venda]]&gt;1,1,0)</f>
        <v>1</v>
      </c>
    </row>
    <row r="8" spans="2:21" ht="16.5" x14ac:dyDescent="0.3">
      <c r="B8" s="29" t="s">
        <v>20</v>
      </c>
      <c r="C8" s="30">
        <f>SUM(C6:C7)</f>
        <v>2336.3000000000002</v>
      </c>
      <c r="D8" s="28"/>
      <c r="E8" s="68">
        <v>11975</v>
      </c>
      <c r="F8" s="69" t="s">
        <v>204</v>
      </c>
      <c r="G8" s="47" t="s">
        <v>6</v>
      </c>
      <c r="H8" s="37">
        <v>25</v>
      </c>
      <c r="I8" s="37">
        <v>25</v>
      </c>
      <c r="J8" s="28"/>
      <c r="K8" s="69"/>
      <c r="L8" s="83"/>
      <c r="M8" s="41"/>
      <c r="R8" s="1">
        <f>IF(vend7[[#This Row],[Nº Venda]]&gt;1,1,0)</f>
        <v>1</v>
      </c>
    </row>
    <row r="9" spans="2:21" ht="16.5" x14ac:dyDescent="0.3">
      <c r="B9" s="25"/>
      <c r="C9" s="25"/>
      <c r="D9" s="28"/>
      <c r="E9" s="68">
        <v>11976</v>
      </c>
      <c r="F9" s="69" t="s">
        <v>205</v>
      </c>
      <c r="G9" s="47" t="s">
        <v>6</v>
      </c>
      <c r="H9" s="37">
        <v>20</v>
      </c>
      <c r="I9" s="37">
        <v>20</v>
      </c>
      <c r="J9" s="28"/>
      <c r="K9" s="69"/>
      <c r="L9" s="83"/>
      <c r="M9" s="41"/>
      <c r="R9" s="1">
        <f>IF(vend7[[#This Row],[Nº Venda]]&gt;1,1,0)</f>
        <v>1</v>
      </c>
    </row>
    <row r="10" spans="2:21" ht="16.5" x14ac:dyDescent="0.3">
      <c r="B10" s="103" t="s">
        <v>5</v>
      </c>
      <c r="C10" s="104"/>
      <c r="D10" s="28"/>
      <c r="E10" s="68">
        <v>11977</v>
      </c>
      <c r="F10" s="69" t="s">
        <v>203</v>
      </c>
      <c r="G10" s="47" t="s">
        <v>45</v>
      </c>
      <c r="H10" s="37">
        <v>0</v>
      </c>
      <c r="I10" s="37">
        <v>0</v>
      </c>
      <c r="J10" s="28"/>
      <c r="K10" s="69"/>
      <c r="L10" s="83"/>
      <c r="M10" s="41"/>
      <c r="R10" s="1">
        <f>IF(vend7[[#This Row],[Nº Venda]]&gt;1,1,0)</f>
        <v>1</v>
      </c>
    </row>
    <row r="11" spans="2:21" ht="16.5" x14ac:dyDescent="0.3">
      <c r="B11" s="26" t="s">
        <v>6</v>
      </c>
      <c r="C11" s="86">
        <f>(SUMIF($G$2:$G$31,B11,$I$2:$I$31))+(SUMIF($G$35:$G$42,B11,$H$35:$H$42))</f>
        <v>170</v>
      </c>
      <c r="D11" s="28"/>
      <c r="E11" s="68">
        <v>11978</v>
      </c>
      <c r="F11" s="69" t="s">
        <v>206</v>
      </c>
      <c r="G11" s="47" t="s">
        <v>10</v>
      </c>
      <c r="H11" s="37">
        <v>550</v>
      </c>
      <c r="I11" s="37">
        <v>20</v>
      </c>
      <c r="J11" s="28"/>
      <c r="K11" s="36"/>
      <c r="L11" s="83"/>
      <c r="M11" s="41"/>
      <c r="O11" s="1">
        <f>IF(C16=0,0,1)</f>
        <v>1</v>
      </c>
      <c r="R11" s="1">
        <f>IF(vend7[[#This Row],[Nº Venda]]&gt;1,1,0)</f>
        <v>1</v>
      </c>
    </row>
    <row r="12" spans="2:21" ht="16.5" x14ac:dyDescent="0.3">
      <c r="B12" s="26" t="s">
        <v>7</v>
      </c>
      <c r="C12" s="86">
        <f>(SUMIF($G$2:$G$31,B12,$I$2:$I$31))+(SUMIF($G$35:$G$42,B12,$H$35:$H$42))</f>
        <v>528.02</v>
      </c>
      <c r="D12" s="28"/>
      <c r="E12" s="68">
        <v>11979</v>
      </c>
      <c r="F12" s="69" t="s">
        <v>207</v>
      </c>
      <c r="G12" s="47" t="s">
        <v>45</v>
      </c>
      <c r="H12" s="37">
        <v>0</v>
      </c>
      <c r="I12" s="37">
        <v>0</v>
      </c>
      <c r="J12" s="28"/>
      <c r="K12" s="31"/>
      <c r="L12" s="31"/>
      <c r="M12" s="31"/>
      <c r="R12" s="1">
        <f>IF(vend7[[#This Row],[Nº Venda]]&gt;1,1,0)</f>
        <v>1</v>
      </c>
    </row>
    <row r="13" spans="2:21" ht="16.5" x14ac:dyDescent="0.3">
      <c r="B13" s="26" t="s">
        <v>8</v>
      </c>
      <c r="C13" s="86">
        <f>(SUMIF($G$2:$G$31,B13,$I$2:$I$31))+(SUMIF($G$35:$G$42,B13,$H$35:$H$42))</f>
        <v>570</v>
      </c>
      <c r="D13" s="28"/>
      <c r="E13" s="68">
        <v>11980</v>
      </c>
      <c r="F13" s="69" t="s">
        <v>203</v>
      </c>
      <c r="G13" s="47" t="s">
        <v>45</v>
      </c>
      <c r="H13" s="37">
        <v>0</v>
      </c>
      <c r="I13" s="37">
        <v>0</v>
      </c>
      <c r="J13" s="28"/>
      <c r="K13" s="96" t="s">
        <v>141</v>
      </c>
      <c r="L13" s="97"/>
      <c r="M13" s="98"/>
      <c r="R13" s="1">
        <f>IF(vend7[[#This Row],[Nº Venda]]&gt;1,1,0)</f>
        <v>1</v>
      </c>
    </row>
    <row r="14" spans="2:21" ht="16.5" x14ac:dyDescent="0.3">
      <c r="B14" s="26" t="s">
        <v>9</v>
      </c>
      <c r="C14" s="86">
        <f>(SUMIF($G$2:$G$31,B14,$I$2:$I$31))+(SUMIF($G$35:$G$42,B14,$H$35:$H$42))</f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IF(vend7[[#This Row],[Nº Venda]]&gt;1,1,0)</f>
        <v>0</v>
      </c>
    </row>
    <row r="15" spans="2:21" ht="16.5" x14ac:dyDescent="0.3">
      <c r="B15" s="26" t="s">
        <v>10</v>
      </c>
      <c r="C15" s="86">
        <f>(SUMIF($G$2:$G$31,B15,$I$2:$I$31))+(SUMIF($G$35:$G$42,B15,$H$35:$H$42))</f>
        <v>898.28</v>
      </c>
      <c r="D15" s="28"/>
      <c r="E15" s="68"/>
      <c r="F15" s="69"/>
      <c r="G15" s="47"/>
      <c r="H15" s="37"/>
      <c r="I15" s="37"/>
      <c r="J15" s="28"/>
      <c r="K15" s="68">
        <v>11975</v>
      </c>
      <c r="L15" s="83" t="s">
        <v>128</v>
      </c>
      <c r="M15" s="48" t="s">
        <v>148</v>
      </c>
      <c r="R15" s="1">
        <f>IF(vend7[[#This Row],[Nº Venda]]&gt;1,1,0)</f>
        <v>0</v>
      </c>
    </row>
    <row r="16" spans="2:21" ht="16.5" x14ac:dyDescent="0.3">
      <c r="B16" s="29" t="s">
        <v>11</v>
      </c>
      <c r="C16" s="63">
        <f>SUM(C11:C15)</f>
        <v>2166.3000000000002</v>
      </c>
      <c r="D16" s="28"/>
      <c r="E16" s="68"/>
      <c r="F16" s="69"/>
      <c r="G16" s="47"/>
      <c r="H16" s="37"/>
      <c r="I16" s="37"/>
      <c r="J16" s="28"/>
      <c r="K16" s="68">
        <v>11949</v>
      </c>
      <c r="L16" s="83" t="s">
        <v>130</v>
      </c>
      <c r="M16" s="41" t="s">
        <v>148</v>
      </c>
      <c r="R16" s="1">
        <f>IF(vend7[[#This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11704</v>
      </c>
      <c r="L17" s="83" t="s">
        <v>128</v>
      </c>
      <c r="M17" s="41" t="s">
        <v>148</v>
      </c>
      <c r="R17" s="1">
        <f>IF(vend7[[#This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11839</v>
      </c>
      <c r="L18" s="83" t="s">
        <v>130</v>
      </c>
      <c r="M18" s="41" t="s">
        <v>148</v>
      </c>
      <c r="R18" s="1">
        <f>IF(vend7[[#This Row],[Nº Venda]]&gt;1,1,0)</f>
        <v>0</v>
      </c>
    </row>
    <row r="19" spans="2:18" ht="16.5" x14ac:dyDescent="0.3">
      <c r="B19" s="26">
        <f>COUNT(entr_carn7[OS])</f>
        <v>0</v>
      </c>
      <c r="C19" s="62">
        <f>SUM(entr_carn7[Valor Total])</f>
        <v>0</v>
      </c>
      <c r="D19" s="28"/>
      <c r="E19" s="68"/>
      <c r="F19" s="69"/>
      <c r="G19" s="47"/>
      <c r="H19" s="37"/>
      <c r="I19" s="37"/>
      <c r="J19" s="28"/>
      <c r="K19" s="68">
        <v>11910</v>
      </c>
      <c r="L19" s="83" t="s">
        <v>128</v>
      </c>
      <c r="M19" s="41" t="s">
        <v>148</v>
      </c>
      <c r="R19" s="1">
        <f>IF(vend7[[#This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>
        <v>11568</v>
      </c>
      <c r="L20" s="83" t="s">
        <v>128</v>
      </c>
      <c r="M20" s="41" t="s">
        <v>148</v>
      </c>
      <c r="R20" s="1">
        <f>IF(vend7[[#This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1200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11949</v>
      </c>
      <c r="F26" s="73" t="s">
        <v>168</v>
      </c>
      <c r="G26" s="44" t="s">
        <v>10</v>
      </c>
      <c r="H26" s="45">
        <v>35</v>
      </c>
      <c r="I26" s="45">
        <v>35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11910</v>
      </c>
      <c r="F27" s="69" t="s">
        <v>208</v>
      </c>
      <c r="G27" s="47" t="s">
        <v>7</v>
      </c>
      <c r="H27" s="37">
        <v>0</v>
      </c>
      <c r="I27" s="37">
        <v>239.99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11151</v>
      </c>
      <c r="F35" s="69" t="s">
        <v>209</v>
      </c>
      <c r="G35" s="47" t="s">
        <v>7</v>
      </c>
      <c r="H35" s="37">
        <v>93.75</v>
      </c>
      <c r="I35" s="37" t="s">
        <v>52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>
        <v>11407</v>
      </c>
      <c r="F36" s="69" t="s">
        <v>210</v>
      </c>
      <c r="G36" s="47" t="s">
        <v>7</v>
      </c>
      <c r="H36" s="37">
        <v>194.28</v>
      </c>
      <c r="I36" s="37" t="s">
        <v>44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>
        <v>11443</v>
      </c>
      <c r="F37" s="69" t="s">
        <v>211</v>
      </c>
      <c r="G37" s="47" t="s">
        <v>10</v>
      </c>
      <c r="H37" s="37">
        <v>145</v>
      </c>
      <c r="I37" s="37" t="s">
        <v>81</v>
      </c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>
        <v>10966</v>
      </c>
      <c r="F38" s="69" t="s">
        <v>212</v>
      </c>
      <c r="G38" s="47" t="s">
        <v>10</v>
      </c>
      <c r="H38" s="37">
        <v>127.33</v>
      </c>
      <c r="I38" s="37" t="s">
        <v>39</v>
      </c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>
        <v>11163</v>
      </c>
      <c r="F39" s="47" t="s">
        <v>213</v>
      </c>
      <c r="G39" s="47" t="s">
        <v>10</v>
      </c>
      <c r="H39" s="37">
        <v>262.5</v>
      </c>
      <c r="I39" s="37" t="s">
        <v>52</v>
      </c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>
        <v>10985</v>
      </c>
      <c r="F40" s="71" t="s">
        <v>214</v>
      </c>
      <c r="G40" s="39" t="s">
        <v>10</v>
      </c>
      <c r="H40" s="40">
        <v>178.45</v>
      </c>
      <c r="I40" s="37" t="s">
        <v>39</v>
      </c>
      <c r="J40" s="36"/>
      <c r="K40" s="70"/>
      <c r="L40" s="70"/>
      <c r="M40" s="84"/>
      <c r="Q40" s="1" t="s">
        <v>32</v>
      </c>
      <c r="R40" s="1">
        <f>SUM(R6:R21)</f>
        <v>8</v>
      </c>
    </row>
    <row r="41" spans="2:18" ht="16.5" customHeight="1" x14ac:dyDescent="0.25">
      <c r="B41" s="36"/>
      <c r="C41" s="36"/>
      <c r="D41" s="36"/>
      <c r="E41" s="74">
        <v>11821</v>
      </c>
      <c r="F41" s="47" t="s">
        <v>215</v>
      </c>
      <c r="G41" s="47" t="s">
        <v>10</v>
      </c>
      <c r="H41" s="37">
        <v>130</v>
      </c>
      <c r="I41" s="37" t="s">
        <v>47</v>
      </c>
      <c r="J41" s="36"/>
      <c r="K41" s="68"/>
      <c r="L41" s="68"/>
      <c r="M41" s="84"/>
    </row>
    <row r="42" spans="2:18" ht="17.25" customHeight="1" x14ac:dyDescent="0.25">
      <c r="B42" s="36"/>
      <c r="C42" s="36"/>
      <c r="D42" s="36"/>
      <c r="E42" s="82">
        <v>11712</v>
      </c>
      <c r="F42" s="47" t="s">
        <v>216</v>
      </c>
      <c r="G42" s="47" t="s">
        <v>6</v>
      </c>
      <c r="H42" s="37">
        <v>125</v>
      </c>
      <c r="I42" s="37" t="s">
        <v>30</v>
      </c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  <row r="46" spans="2:18" ht="13.5" x14ac:dyDescent="0.25">
      <c r="E46" s="33"/>
      <c r="F46" s="33"/>
      <c r="G46" s="33"/>
      <c r="H46" s="35"/>
      <c r="I46" s="35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G35:G42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I35:I42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K35:K41 K15:K31 E35:E42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9"/>
  <sheetViews>
    <sheetView showGridLines="0" view="pageBreakPreview" topLeftCell="C1" zoomScale="87" zoomScaleNormal="90" zoomScaleSheetLayoutView="87" workbookViewId="0">
      <selection activeCell="L22" sqref="L22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8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'07'!B1+1</f>
        <v>45938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SUMIF(I6:I29,"&gt;0",H6:H29)</f>
        <v>2639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3676.96</v>
      </c>
      <c r="D6" s="28"/>
      <c r="E6" s="68">
        <v>11981</v>
      </c>
      <c r="F6" s="37" t="s">
        <v>219</v>
      </c>
      <c r="G6" s="37" t="s">
        <v>6</v>
      </c>
      <c r="H6" s="37">
        <v>850</v>
      </c>
      <c r="I6" s="37">
        <v>600</v>
      </c>
      <c r="J6" s="28"/>
      <c r="K6" s="69" t="s">
        <v>235</v>
      </c>
      <c r="L6" s="83" t="s">
        <v>151</v>
      </c>
      <c r="M6" s="41">
        <v>1054</v>
      </c>
      <c r="R6" s="1">
        <f>IF(vend8[[#This Row],[Nº Venda]]&gt;1,1,0)</f>
        <v>1</v>
      </c>
    </row>
    <row r="7" spans="2:18" ht="16.5" x14ac:dyDescent="0.3">
      <c r="B7" s="26" t="s">
        <v>3</v>
      </c>
      <c r="C7" s="27">
        <f>SUM(M6:M11)</f>
        <v>1054</v>
      </c>
      <c r="D7" s="28"/>
      <c r="E7" s="68">
        <v>11982</v>
      </c>
      <c r="F7" s="37" t="s">
        <v>220</v>
      </c>
      <c r="G7" s="37" t="s">
        <v>45</v>
      </c>
      <c r="H7" s="37">
        <v>0</v>
      </c>
      <c r="I7" s="37">
        <v>0</v>
      </c>
      <c r="J7" s="28"/>
      <c r="K7" s="69"/>
      <c r="L7" s="83"/>
      <c r="M7" s="41"/>
      <c r="R7" s="1">
        <f>IF(vend8[[#This Row],[Nº Venda]]&gt;1,1,0)</f>
        <v>1</v>
      </c>
    </row>
    <row r="8" spans="2:18" ht="16.5" x14ac:dyDescent="0.3">
      <c r="B8" s="29" t="s">
        <v>20</v>
      </c>
      <c r="C8" s="30">
        <f>SUM(C6:C7)</f>
        <v>4730.96</v>
      </c>
      <c r="D8" s="28"/>
      <c r="E8" s="68">
        <v>11983</v>
      </c>
      <c r="F8" s="37" t="s">
        <v>221</v>
      </c>
      <c r="G8" s="37" t="s">
        <v>6</v>
      </c>
      <c r="H8" s="37">
        <v>1049</v>
      </c>
      <c r="I8" s="37">
        <v>50</v>
      </c>
      <c r="J8" s="28"/>
      <c r="K8" s="69"/>
      <c r="L8" s="83"/>
      <c r="M8" s="41"/>
      <c r="R8" s="1">
        <f>IF(vend8[[#This Row],[Nº Venda]]&gt;1,1,0)</f>
        <v>1</v>
      </c>
    </row>
    <row r="9" spans="2:18" ht="16.5" x14ac:dyDescent="0.3">
      <c r="B9" s="25"/>
      <c r="C9" s="25"/>
      <c r="D9" s="28"/>
      <c r="E9" s="68">
        <v>11984</v>
      </c>
      <c r="F9" s="37" t="s">
        <v>222</v>
      </c>
      <c r="G9" s="37" t="s">
        <v>8</v>
      </c>
      <c r="H9" s="37">
        <v>450</v>
      </c>
      <c r="I9" s="37">
        <v>450</v>
      </c>
      <c r="J9" s="28"/>
      <c r="K9" s="69"/>
      <c r="L9" s="83"/>
      <c r="M9" s="41"/>
      <c r="R9" s="1">
        <f>IF(vend8[[#This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11985</v>
      </c>
      <c r="F10" s="69" t="s">
        <v>222</v>
      </c>
      <c r="G10" s="47" t="s">
        <v>8</v>
      </c>
      <c r="H10" s="37">
        <v>290</v>
      </c>
      <c r="I10" s="37">
        <v>290</v>
      </c>
      <c r="J10" s="28"/>
      <c r="K10" s="69"/>
      <c r="L10" s="83"/>
      <c r="M10" s="41"/>
      <c r="R10" s="1">
        <f>IF(vend8[[#This Row],[Nº Venda]]&gt;1,1,0)</f>
        <v>1</v>
      </c>
    </row>
    <row r="11" spans="2:18" ht="16.5" x14ac:dyDescent="0.3">
      <c r="B11" s="26" t="s">
        <v>6</v>
      </c>
      <c r="C11" s="64">
        <f>(SUMIF($G$2:$G$29,B11,$I$2:$I$29))+(SUMIF($G$33:$G$45,B11,$H$33:$H$45))</f>
        <v>1054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IF(vend8[[#This Row],[Nº Venda]]&gt;1,1,0)</f>
        <v>0</v>
      </c>
    </row>
    <row r="12" spans="2:18" ht="16.5" x14ac:dyDescent="0.3">
      <c r="B12" s="26" t="s">
        <v>7</v>
      </c>
      <c r="C12" s="64">
        <f>(SUMIF($G$2:$G$29,B12,$I$2:$I$29))+(SUMIF($G$33:$G$45,B12,$H$33:$H$45))</f>
        <v>50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IF(vend8[[#This Row],[Nº Venda]]&gt;1,1,0)</f>
        <v>0</v>
      </c>
    </row>
    <row r="13" spans="2:18" ht="16.5" x14ac:dyDescent="0.3">
      <c r="B13" s="26" t="s">
        <v>8</v>
      </c>
      <c r="C13" s="64">
        <f>(SUMIF($G$2:$G$29,B13,$I$2:$I$29))+(SUMIF($G$33:$G$45,B13,$H$33:$H$45))</f>
        <v>740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IF(vend8[[#This Row],[Nº Venda]]&gt;1,1,0)</f>
        <v>0</v>
      </c>
    </row>
    <row r="14" spans="2:18" ht="16.5" x14ac:dyDescent="0.3">
      <c r="B14" s="26" t="s">
        <v>9</v>
      </c>
      <c r="C14" s="64">
        <f>(SUMIF($G$2:$G$29,B14,$I$2:$I$29))+(SUMIF($G$33:$G$45,B14,$H$33:$H$45))</f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IF(vend8[[#This Row],[Nº Venda]]&gt;1,1,0)</f>
        <v>0</v>
      </c>
    </row>
    <row r="15" spans="2:18" ht="16.5" x14ac:dyDescent="0.3">
      <c r="B15" s="26" t="s">
        <v>10</v>
      </c>
      <c r="C15" s="64">
        <f>(SUMIF($G$2:$G$29,B15,$I$2:$I$29))+(SUMIF($G$33:$G$45,B15,$H$33:$H$45))</f>
        <v>1832.96</v>
      </c>
      <c r="D15" s="28"/>
      <c r="E15" s="68"/>
      <c r="F15" s="69"/>
      <c r="G15" s="47"/>
      <c r="H15" s="37"/>
      <c r="I15" s="37"/>
      <c r="J15" s="28"/>
      <c r="K15" s="68">
        <v>11853</v>
      </c>
      <c r="L15" s="83" t="s">
        <v>130</v>
      </c>
      <c r="M15" s="41" t="s">
        <v>160</v>
      </c>
      <c r="R15" s="1">
        <f>IF(vend8[[#This Row],[Nº Venda]]&gt;1,1,0)</f>
        <v>0</v>
      </c>
    </row>
    <row r="16" spans="2:18" ht="16.5" x14ac:dyDescent="0.3">
      <c r="B16" s="29" t="s">
        <v>11</v>
      </c>
      <c r="C16" s="63">
        <f>SUM(C11:C15)</f>
        <v>3676.96</v>
      </c>
      <c r="D16" s="28"/>
      <c r="E16" s="68"/>
      <c r="F16" s="69"/>
      <c r="G16" s="47"/>
      <c r="H16" s="37"/>
      <c r="I16" s="37"/>
      <c r="J16" s="28"/>
      <c r="K16" s="68">
        <v>11878</v>
      </c>
      <c r="L16" s="83" t="s">
        <v>128</v>
      </c>
      <c r="M16" s="41" t="s">
        <v>148</v>
      </c>
      <c r="R16" s="1">
        <f>IF(vend8[[#This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11880</v>
      </c>
      <c r="L17" s="83" t="s">
        <v>128</v>
      </c>
      <c r="M17" s="41" t="s">
        <v>148</v>
      </c>
      <c r="R17" s="1">
        <f>IF(vend8[[#This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11902</v>
      </c>
      <c r="L18" s="83" t="s">
        <v>130</v>
      </c>
      <c r="M18" s="41" t="s">
        <v>148</v>
      </c>
      <c r="R18" s="1">
        <f>IF(vend8[[#This Row],[Nº Venda]]&gt;1,1,0)</f>
        <v>0</v>
      </c>
    </row>
    <row r="19" spans="2:18" ht="16.5" x14ac:dyDescent="0.3">
      <c r="B19" s="26">
        <f>COUNT(entr_carn8[OS])</f>
        <v>1</v>
      </c>
      <c r="C19" s="62">
        <f>SUM(entr_carn8[Valor Total])</f>
        <v>949</v>
      </c>
      <c r="D19" s="28"/>
      <c r="E19" s="68"/>
      <c r="F19" s="69"/>
      <c r="G19" s="47"/>
      <c r="H19" s="37"/>
      <c r="I19" s="37"/>
      <c r="J19" s="28"/>
      <c r="K19" s="68">
        <v>11917</v>
      </c>
      <c r="L19" s="83" t="s">
        <v>130</v>
      </c>
      <c r="M19" s="41" t="s">
        <v>148</v>
      </c>
      <c r="R19" s="1">
        <f>IF(vend8[[#This Row],[Nº Venda]]&gt;1,1,0)</f>
        <v>0</v>
      </c>
    </row>
    <row r="20" spans="2:18" ht="16.5" x14ac:dyDescent="0.3">
      <c r="B20" s="29" t="s">
        <v>11</v>
      </c>
      <c r="C20" s="63">
        <f>SUM(C19:C19)</f>
        <v>949</v>
      </c>
      <c r="D20" s="28"/>
      <c r="E20" s="68"/>
      <c r="F20" s="47"/>
      <c r="G20" s="47"/>
      <c r="H20" s="37"/>
      <c r="I20" s="37"/>
      <c r="J20" s="28"/>
      <c r="K20" s="68">
        <v>11920</v>
      </c>
      <c r="L20" s="83" t="s">
        <v>130</v>
      </c>
      <c r="M20" s="41" t="s">
        <v>148</v>
      </c>
      <c r="R20" s="1">
        <f>IF(vend8[[#This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11922</v>
      </c>
      <c r="L21" s="83" t="s">
        <v>128</v>
      </c>
      <c r="M21" s="41" t="s">
        <v>148</v>
      </c>
    </row>
    <row r="22" spans="2:18" ht="16.5" x14ac:dyDescent="0.3">
      <c r="B22" s="29" t="s">
        <v>24</v>
      </c>
      <c r="C22" s="32">
        <f>C5</f>
        <v>2639</v>
      </c>
      <c r="D22" s="28"/>
      <c r="E22" s="70"/>
      <c r="F22" s="69"/>
      <c r="G22" s="47"/>
      <c r="H22" s="37"/>
      <c r="I22" s="37"/>
      <c r="J22" s="28"/>
      <c r="K22" s="68">
        <v>11943</v>
      </c>
      <c r="L22" s="83" t="s">
        <v>128</v>
      </c>
      <c r="M22" s="41" t="s">
        <v>148</v>
      </c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>
        <v>11976</v>
      </c>
      <c r="L23" s="83" t="s">
        <v>128</v>
      </c>
      <c r="M23" s="41" t="s">
        <v>148</v>
      </c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11746</v>
      </c>
      <c r="F26" s="69" t="s">
        <v>218</v>
      </c>
      <c r="G26" s="72" t="s">
        <v>7</v>
      </c>
      <c r="H26" s="45">
        <v>0</v>
      </c>
      <c r="I26" s="45">
        <v>50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11795</v>
      </c>
      <c r="F27" s="69" t="s">
        <v>234</v>
      </c>
      <c r="G27" s="46" t="s">
        <v>6</v>
      </c>
      <c r="H27" s="37">
        <v>0</v>
      </c>
      <c r="I27" s="37">
        <v>200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>
        <v>11853</v>
      </c>
      <c r="F28" s="69" t="s">
        <v>232</v>
      </c>
      <c r="G28" s="46" t="s">
        <v>10</v>
      </c>
      <c r="H28" s="37">
        <v>0</v>
      </c>
      <c r="I28" s="37">
        <v>250</v>
      </c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6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33"/>
      <c r="F30" s="33"/>
      <c r="G30" s="33"/>
      <c r="H30" s="35"/>
      <c r="I30" s="35"/>
      <c r="J30" s="28"/>
      <c r="K30" s="31"/>
      <c r="L30" s="31"/>
      <c r="M30" s="31"/>
    </row>
    <row r="31" spans="2:18" ht="16.5" x14ac:dyDescent="0.3">
      <c r="B31" s="28"/>
      <c r="C31" s="28"/>
      <c r="D31" s="28"/>
      <c r="E31" s="94" t="s">
        <v>139</v>
      </c>
      <c r="F31" s="95"/>
      <c r="G31" s="95"/>
      <c r="H31" s="95"/>
      <c r="I31" s="95"/>
      <c r="J31" s="28"/>
      <c r="K31" s="96" t="s">
        <v>140</v>
      </c>
      <c r="L31" s="97"/>
      <c r="M31" s="98"/>
    </row>
    <row r="32" spans="2:18" ht="16.5" x14ac:dyDescent="0.3">
      <c r="B32" s="28"/>
      <c r="C32" s="28"/>
      <c r="D32" s="36"/>
      <c r="E32" s="17" t="s">
        <v>21</v>
      </c>
      <c r="F32" s="16" t="s">
        <v>14</v>
      </c>
      <c r="G32" s="17" t="s">
        <v>15</v>
      </c>
      <c r="H32" s="18" t="s">
        <v>25</v>
      </c>
      <c r="I32" s="18" t="s">
        <v>26</v>
      </c>
      <c r="J32" s="36"/>
      <c r="K32" s="21" t="s">
        <v>21</v>
      </c>
      <c r="L32" s="20" t="s">
        <v>27</v>
      </c>
      <c r="M32" s="21" t="s">
        <v>28</v>
      </c>
    </row>
    <row r="33" spans="2:18" ht="16.5" x14ac:dyDescent="0.3">
      <c r="B33" s="28"/>
      <c r="C33" s="28"/>
      <c r="D33" s="36"/>
      <c r="E33" s="68">
        <v>10495</v>
      </c>
      <c r="F33" s="47" t="s">
        <v>233</v>
      </c>
      <c r="G33" s="47" t="s">
        <v>10</v>
      </c>
      <c r="H33" s="37">
        <v>124.12</v>
      </c>
      <c r="I33" s="37" t="s">
        <v>46</v>
      </c>
      <c r="J33" s="36"/>
      <c r="K33" s="68">
        <v>11853</v>
      </c>
      <c r="L33" s="68">
        <v>7</v>
      </c>
      <c r="M33" s="83">
        <v>949</v>
      </c>
    </row>
    <row r="34" spans="2:18" ht="13.5" x14ac:dyDescent="0.25">
      <c r="B34" s="36"/>
      <c r="C34" s="36"/>
      <c r="D34" s="36"/>
      <c r="E34" s="70">
        <v>10664</v>
      </c>
      <c r="F34" s="69" t="s">
        <v>225</v>
      </c>
      <c r="G34" s="47" t="s">
        <v>10</v>
      </c>
      <c r="H34" s="37">
        <v>183.33</v>
      </c>
      <c r="I34" s="37" t="s">
        <v>75</v>
      </c>
      <c r="J34" s="36"/>
      <c r="K34" s="70"/>
      <c r="L34" s="68"/>
      <c r="M34" s="83"/>
    </row>
    <row r="35" spans="2:18" ht="16.5" customHeight="1" x14ac:dyDescent="0.25">
      <c r="B35" s="36"/>
      <c r="C35" s="36"/>
      <c r="D35" s="36"/>
      <c r="E35" s="68">
        <v>10664</v>
      </c>
      <c r="F35" s="69" t="s">
        <v>225</v>
      </c>
      <c r="G35" s="47" t="s">
        <v>10</v>
      </c>
      <c r="H35" s="37">
        <v>183.33</v>
      </c>
      <c r="I35" s="37" t="s">
        <v>76</v>
      </c>
      <c r="J35" s="36"/>
      <c r="K35" s="70"/>
      <c r="L35" s="68"/>
      <c r="M35" s="83"/>
    </row>
    <row r="36" spans="2:18" ht="16.5" customHeight="1" x14ac:dyDescent="0.25">
      <c r="B36" s="36"/>
      <c r="C36" s="36"/>
      <c r="D36" s="36"/>
      <c r="E36" s="68">
        <v>10664</v>
      </c>
      <c r="F36" s="69" t="s">
        <v>225</v>
      </c>
      <c r="G36" s="47" t="s">
        <v>10</v>
      </c>
      <c r="H36" s="37">
        <v>183.33</v>
      </c>
      <c r="I36" s="37" t="s">
        <v>54</v>
      </c>
      <c r="J36" s="36"/>
      <c r="K36" s="70"/>
      <c r="L36" s="68"/>
      <c r="M36" s="83"/>
    </row>
    <row r="37" spans="2:18" ht="16.5" customHeight="1" x14ac:dyDescent="0.25">
      <c r="B37" s="36"/>
      <c r="C37" s="36"/>
      <c r="D37" s="36"/>
      <c r="E37" s="68">
        <v>11003</v>
      </c>
      <c r="F37" s="69" t="s">
        <v>223</v>
      </c>
      <c r="G37" s="47" t="s">
        <v>10</v>
      </c>
      <c r="H37" s="37">
        <v>102.85</v>
      </c>
      <c r="I37" s="37" t="s">
        <v>39</v>
      </c>
      <c r="J37" s="36"/>
      <c r="K37" s="70"/>
      <c r="L37" s="68"/>
      <c r="M37" s="83"/>
    </row>
    <row r="38" spans="2:18" ht="16.5" customHeight="1" x14ac:dyDescent="0.25">
      <c r="B38" s="36"/>
      <c r="C38" s="36"/>
      <c r="D38" s="36"/>
      <c r="E38" s="68">
        <v>11025</v>
      </c>
      <c r="F38" s="69" t="s">
        <v>228</v>
      </c>
      <c r="G38" s="47" t="s">
        <v>10</v>
      </c>
      <c r="H38" s="37">
        <v>137</v>
      </c>
      <c r="I38" s="37" t="s">
        <v>30</v>
      </c>
      <c r="J38" s="36"/>
      <c r="K38" s="70"/>
      <c r="L38" s="68"/>
      <c r="M38" s="83"/>
    </row>
    <row r="39" spans="2:18" ht="16.5" customHeight="1" x14ac:dyDescent="0.25">
      <c r="B39" s="36"/>
      <c r="C39" s="36"/>
      <c r="D39" s="36"/>
      <c r="E39" s="68">
        <v>11075</v>
      </c>
      <c r="F39" s="47" t="s">
        <v>230</v>
      </c>
      <c r="G39" s="47" t="s">
        <v>10</v>
      </c>
      <c r="H39" s="37">
        <v>101</v>
      </c>
      <c r="I39" s="37" t="s">
        <v>73</v>
      </c>
      <c r="J39" s="36"/>
      <c r="K39" s="70"/>
      <c r="L39" s="68"/>
      <c r="M39" s="83"/>
    </row>
    <row r="40" spans="2:18" ht="16.5" customHeight="1" x14ac:dyDescent="0.25">
      <c r="B40" s="36"/>
      <c r="C40" s="36"/>
      <c r="D40" s="36"/>
      <c r="E40" s="68">
        <v>11119</v>
      </c>
      <c r="F40" s="69" t="s">
        <v>229</v>
      </c>
      <c r="G40" s="47" t="s">
        <v>6</v>
      </c>
      <c r="H40" s="37">
        <v>85</v>
      </c>
      <c r="I40" s="37" t="s">
        <v>44</v>
      </c>
      <c r="J40" s="36"/>
      <c r="K40" s="68"/>
      <c r="L40" s="68"/>
      <c r="M40" s="83"/>
      <c r="Q40" s="1" t="s">
        <v>32</v>
      </c>
      <c r="R40" s="1">
        <f>SUM(R6:R21)</f>
        <v>5</v>
      </c>
    </row>
    <row r="41" spans="2:18" ht="16.5" customHeight="1" x14ac:dyDescent="0.25">
      <c r="B41" s="36"/>
      <c r="C41" s="36"/>
      <c r="D41" s="36"/>
      <c r="E41" s="68">
        <v>11210</v>
      </c>
      <c r="F41" s="69" t="s">
        <v>227</v>
      </c>
      <c r="G41" s="47" t="s">
        <v>10</v>
      </c>
      <c r="H41" s="37">
        <v>161</v>
      </c>
      <c r="I41" s="37" t="s">
        <v>97</v>
      </c>
      <c r="J41" s="36"/>
      <c r="K41" s="68"/>
      <c r="L41" s="68"/>
      <c r="M41" s="83"/>
    </row>
    <row r="42" spans="2:18" ht="16.5" customHeight="1" x14ac:dyDescent="0.25">
      <c r="B42" s="36"/>
      <c r="C42" s="36"/>
      <c r="D42" s="36"/>
      <c r="E42" s="76">
        <v>11254</v>
      </c>
      <c r="F42" s="69" t="s">
        <v>224</v>
      </c>
      <c r="G42" s="47" t="s">
        <v>10</v>
      </c>
      <c r="H42" s="37">
        <v>252</v>
      </c>
      <c r="I42" s="37" t="s">
        <v>52</v>
      </c>
      <c r="J42" s="36"/>
      <c r="K42" s="68"/>
      <c r="L42" s="68"/>
      <c r="M42" s="83"/>
    </row>
    <row r="43" spans="2:18" ht="16.5" customHeight="1" x14ac:dyDescent="0.25">
      <c r="B43" s="36"/>
      <c r="C43" s="36"/>
      <c r="D43" s="36"/>
      <c r="E43" s="68">
        <v>11346</v>
      </c>
      <c r="F43" s="69" t="s">
        <v>226</v>
      </c>
      <c r="G43" s="47" t="s">
        <v>6</v>
      </c>
      <c r="H43" s="37">
        <v>119</v>
      </c>
      <c r="I43" s="37" t="s">
        <v>81</v>
      </c>
      <c r="J43" s="36"/>
      <c r="K43" s="68"/>
      <c r="L43" s="68"/>
      <c r="M43" s="83"/>
    </row>
    <row r="44" spans="2:18" ht="16.5" customHeight="1" x14ac:dyDescent="0.25">
      <c r="B44" s="36"/>
      <c r="C44" s="36"/>
      <c r="D44" s="36"/>
      <c r="E44" s="68">
        <v>11606</v>
      </c>
      <c r="F44" s="47" t="s">
        <v>232</v>
      </c>
      <c r="G44" s="47" t="s">
        <v>10</v>
      </c>
      <c r="H44" s="37">
        <v>105</v>
      </c>
      <c r="I44" s="37" t="s">
        <v>37</v>
      </c>
      <c r="J44" s="36"/>
      <c r="K44" s="70"/>
      <c r="L44" s="70"/>
      <c r="M44" s="84"/>
    </row>
    <row r="45" spans="2:18" ht="16.5" customHeight="1" x14ac:dyDescent="0.25">
      <c r="B45" s="36"/>
      <c r="C45" s="36"/>
      <c r="D45" s="36"/>
      <c r="E45" s="68">
        <v>11941</v>
      </c>
      <c r="F45" s="47" t="s">
        <v>231</v>
      </c>
      <c r="G45" s="47" t="s">
        <v>10</v>
      </c>
      <c r="H45" s="37">
        <v>50</v>
      </c>
      <c r="I45" s="37" t="s">
        <v>75</v>
      </c>
      <c r="J45" s="36"/>
      <c r="K45" s="68"/>
      <c r="L45" s="68"/>
      <c r="M45" s="84"/>
    </row>
    <row r="46" spans="2:18" ht="13.5" x14ac:dyDescent="0.25">
      <c r="E46" s="33"/>
      <c r="F46" s="33"/>
      <c r="G46" s="33"/>
      <c r="H46" s="35"/>
      <c r="I46" s="35"/>
      <c r="K46" s="31"/>
      <c r="L46" s="31"/>
      <c r="M46" s="31"/>
    </row>
    <row r="47" spans="2:18" ht="13.5" x14ac:dyDescent="0.25">
      <c r="E47" s="33"/>
      <c r="F47" s="33"/>
      <c r="G47" s="33"/>
      <c r="H47" s="35"/>
      <c r="I47" s="35"/>
      <c r="K47" s="31"/>
      <c r="L47" s="31"/>
      <c r="M47" s="31"/>
    </row>
    <row r="48" spans="2:18" ht="13.5" x14ac:dyDescent="0.25">
      <c r="E48" s="33"/>
      <c r="F48" s="33"/>
      <c r="G48" s="33"/>
      <c r="H48" s="35"/>
      <c r="I48" s="35"/>
      <c r="K48" s="31"/>
      <c r="L48" s="31"/>
      <c r="M48" s="31"/>
    </row>
    <row r="49" spans="11:13" ht="13.5" x14ac:dyDescent="0.25">
      <c r="K49" s="31"/>
      <c r="L49" s="31"/>
      <c r="M49" s="31"/>
    </row>
  </sheetData>
  <mergeCells count="11">
    <mergeCell ref="B1:C1"/>
    <mergeCell ref="L1:M1"/>
    <mergeCell ref="E24:I24"/>
    <mergeCell ref="E31:I31"/>
    <mergeCell ref="K31:M31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29" xr:uid="{2A95B0A3-6616-4703-9FA4-E213CFB16A2D}">
      <formula1>"Sim, Não"</formula1>
    </dataValidation>
    <dataValidation type="list" allowBlank="1" showInputMessage="1" showErrorMessage="1" sqref="L33:L45" xr:uid="{5AE2389F-542B-43B9-B8E9-B9CA57CC5548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G26:G29 G33:G45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L15:L29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E26:E29 K15:K29 K33:K45 E33:E45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I33:I45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view="pageBreakPreview" zoomScale="95" zoomScaleNormal="90" zoomScaleSheetLayoutView="95" workbookViewId="0">
      <selection activeCell="M7" sqref="M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92">
        <f>'08'!B1+1</f>
        <v>45939</v>
      </c>
      <c r="C1" s="92"/>
      <c r="L1" s="93" t="s">
        <v>143</v>
      </c>
      <c r="M1" s="93"/>
    </row>
    <row r="2" spans="2:22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22" ht="16.5" x14ac:dyDescent="0.3">
      <c r="B5" s="26" t="s">
        <v>1</v>
      </c>
      <c r="C5" s="27">
        <f>SUMIF(I6:I31,"&gt;0",H6:H31)</f>
        <v>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22" ht="16.5" x14ac:dyDescent="0.3">
      <c r="B6" s="26" t="s">
        <v>2</v>
      </c>
      <c r="C6" s="27">
        <f>C16</f>
        <v>1110.1199999999999</v>
      </c>
      <c r="D6" s="28"/>
      <c r="E6" s="68">
        <v>11986</v>
      </c>
      <c r="F6" s="69" t="s">
        <v>238</v>
      </c>
      <c r="G6" s="47" t="s">
        <v>45</v>
      </c>
      <c r="H6" s="37">
        <v>45</v>
      </c>
      <c r="I6" s="37">
        <v>0</v>
      </c>
      <c r="J6" s="28"/>
      <c r="K6" s="69" t="s">
        <v>243</v>
      </c>
      <c r="L6" s="83" t="s">
        <v>244</v>
      </c>
      <c r="M6" s="41">
        <v>336</v>
      </c>
      <c r="R6" s="1">
        <f>IF(vend9[[#This Row],[Nº Venda]]&gt;1,1,0)</f>
        <v>1</v>
      </c>
    </row>
    <row r="7" spans="2:22" ht="16.5" x14ac:dyDescent="0.3">
      <c r="B7" s="26" t="s">
        <v>3</v>
      </c>
      <c r="C7" s="27">
        <f>SUM(M6:M11)</f>
        <v>336</v>
      </c>
      <c r="D7" s="28"/>
      <c r="E7" s="68"/>
      <c r="F7" s="69"/>
      <c r="G7" s="46"/>
      <c r="H7" s="37"/>
      <c r="I7" s="37"/>
      <c r="J7" s="28"/>
      <c r="K7" s="69"/>
      <c r="L7" s="83"/>
      <c r="M7" s="41"/>
      <c r="R7" s="1">
        <f>IF(vend9[[#This Row],[Nº Venda]]&gt;1,1,0)</f>
        <v>0</v>
      </c>
    </row>
    <row r="8" spans="2:22" ht="16.5" x14ac:dyDescent="0.3">
      <c r="B8" s="29" t="s">
        <v>20</v>
      </c>
      <c r="C8" s="30">
        <f>SUM(C6:C7)</f>
        <v>1446.12</v>
      </c>
      <c r="D8" s="28"/>
      <c r="E8" s="68"/>
      <c r="F8" s="69"/>
      <c r="G8" s="46"/>
      <c r="H8" s="37"/>
      <c r="I8" s="37"/>
      <c r="J8" s="28"/>
      <c r="K8" s="69"/>
      <c r="L8" s="83"/>
      <c r="M8" s="41"/>
      <c r="R8" s="1">
        <f>IF(vend9[[#This Row],[Nº Venda]]&gt;1,1,0)</f>
        <v>0</v>
      </c>
    </row>
    <row r="9" spans="2:22" ht="16.5" x14ac:dyDescent="0.3">
      <c r="B9" s="25"/>
      <c r="C9" s="25"/>
      <c r="D9" s="28"/>
      <c r="E9" s="68"/>
      <c r="F9" s="69"/>
      <c r="G9" s="47"/>
      <c r="H9" s="37"/>
      <c r="I9" s="37"/>
      <c r="J9" s="28"/>
      <c r="K9" s="69"/>
      <c r="L9" s="83"/>
      <c r="M9" s="41"/>
      <c r="R9" s="1">
        <f>IF(vend9[[#This Row],[Nº Venda]]&gt;1,1,0)</f>
        <v>0</v>
      </c>
    </row>
    <row r="10" spans="2:22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IF(vend9[[#This Row],[Nº Venda]]&gt;1,1,0)</f>
        <v>0</v>
      </c>
    </row>
    <row r="11" spans="2:22" ht="16.5" x14ac:dyDescent="0.3">
      <c r="B11" s="26" t="s">
        <v>6</v>
      </c>
      <c r="C11" s="62">
        <f>(SUMIF($G$2:$G$31,B11,$I$2:$I$31))+(SUMIF($G$35:$G$41,B11,$H$35:$H$41))</f>
        <v>336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IF(vend9[[#This Row],[Nº Venda]]&gt;1,1,0)</f>
        <v>0</v>
      </c>
    </row>
    <row r="12" spans="2:22" ht="16.5" x14ac:dyDescent="0.3">
      <c r="B12" s="26" t="s">
        <v>7</v>
      </c>
      <c r="C12" s="62">
        <f t="shared" ref="C12:C15" si="0">(SUMIF($G$2:$G$31,B12,$I$2:$I$31))+(SUMIF($G$35:$G$41,B12,$H$35:$H$41))</f>
        <v>100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IF(vend9[[#This Row],[Nº Venda]]&gt;1,1,0)</f>
        <v>0</v>
      </c>
      <c r="V12" s="1">
        <v>0</v>
      </c>
    </row>
    <row r="13" spans="2:22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IF(vend9[[#This Row],[Nº Venda]]&gt;1,1,0)</f>
        <v>0</v>
      </c>
    </row>
    <row r="14" spans="2:22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IF(vend9[[#This Row],[Nº Venda]]&gt;1,1,0)</f>
        <v>0</v>
      </c>
    </row>
    <row r="15" spans="2:22" ht="16.5" x14ac:dyDescent="0.3">
      <c r="B15" s="26" t="s">
        <v>10</v>
      </c>
      <c r="C15" s="62">
        <f t="shared" si="0"/>
        <v>674.12</v>
      </c>
      <c r="D15" s="28"/>
      <c r="E15" s="68"/>
      <c r="F15" s="69"/>
      <c r="G15" s="47"/>
      <c r="H15" s="37"/>
      <c r="I15" s="37"/>
      <c r="J15" s="28"/>
      <c r="K15" s="68">
        <v>11816</v>
      </c>
      <c r="L15" s="83" t="s">
        <v>128</v>
      </c>
      <c r="M15" s="41" t="s">
        <v>148</v>
      </c>
      <c r="R15" s="1">
        <f>IF(vend9[[#This Row],[Nº Venda]]&gt;1,1,0)</f>
        <v>0</v>
      </c>
    </row>
    <row r="16" spans="2:22" ht="16.5" x14ac:dyDescent="0.3">
      <c r="B16" s="29" t="s">
        <v>11</v>
      </c>
      <c r="C16" s="63">
        <f>SUM(C11:C15)</f>
        <v>1110.1199999999999</v>
      </c>
      <c r="D16" s="28"/>
      <c r="E16" s="68"/>
      <c r="F16" s="69"/>
      <c r="G16" s="47"/>
      <c r="H16" s="37"/>
      <c r="I16" s="37"/>
      <c r="J16" s="28"/>
      <c r="K16" s="68">
        <v>11865</v>
      </c>
      <c r="L16" s="83" t="s">
        <v>130</v>
      </c>
      <c r="M16" s="41" t="s">
        <v>148</v>
      </c>
      <c r="R16" s="1">
        <f>IF(vend9[[#This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/>
      <c r="L17" s="83"/>
      <c r="M17" s="41"/>
      <c r="R17" s="1">
        <f>IF(vend9[[#This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IF(vend9[[#This Row],[Nº Venda]]&gt;1,1,0)</f>
        <v>0</v>
      </c>
    </row>
    <row r="19" spans="2:18" ht="16.5" x14ac:dyDescent="0.3">
      <c r="B19" s="26">
        <f>COUNT(entr_carn9[OS])</f>
        <v>0</v>
      </c>
      <c r="C19" s="62">
        <f>SUM(entr_carn9[Valor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IF(vend9[[#This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69"/>
      <c r="G20" s="47"/>
      <c r="H20" s="37"/>
      <c r="I20" s="37"/>
      <c r="J20" s="28"/>
      <c r="K20" s="68"/>
      <c r="L20" s="83"/>
      <c r="M20" s="41"/>
      <c r="R20" s="1">
        <f>IF(vend9[[#This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11911</v>
      </c>
      <c r="F26" s="69" t="s">
        <v>237</v>
      </c>
      <c r="G26" s="46" t="s">
        <v>6</v>
      </c>
      <c r="H26" s="37">
        <v>0</v>
      </c>
      <c r="I26" s="37">
        <v>310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10192</v>
      </c>
      <c r="F35" s="47" t="s">
        <v>241</v>
      </c>
      <c r="G35" s="47" t="s">
        <v>10</v>
      </c>
      <c r="H35" s="37">
        <v>150</v>
      </c>
      <c r="I35" s="37" t="s">
        <v>54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0">
        <v>10337</v>
      </c>
      <c r="F36" s="69" t="s">
        <v>241</v>
      </c>
      <c r="G36" s="47" t="s">
        <v>10</v>
      </c>
      <c r="H36" s="37">
        <v>136.12</v>
      </c>
      <c r="I36" s="37" t="s">
        <v>46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>
        <v>10442</v>
      </c>
      <c r="F37" s="69" t="s">
        <v>242</v>
      </c>
      <c r="G37" s="47" t="s">
        <v>10</v>
      </c>
      <c r="H37" s="37">
        <v>125.5</v>
      </c>
      <c r="I37" s="37" t="s">
        <v>95</v>
      </c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>
        <v>11479</v>
      </c>
      <c r="F38" s="69" t="s">
        <v>240</v>
      </c>
      <c r="G38" s="47" t="s">
        <v>10</v>
      </c>
      <c r="H38" s="37">
        <v>262.5</v>
      </c>
      <c r="I38" s="37" t="s">
        <v>78</v>
      </c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>
        <v>11605</v>
      </c>
      <c r="F39" s="69" t="s">
        <v>239</v>
      </c>
      <c r="G39" s="47" t="s">
        <v>7</v>
      </c>
      <c r="H39" s="37">
        <v>100</v>
      </c>
      <c r="I39" s="37" t="s">
        <v>30</v>
      </c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5">
        <v>11605</v>
      </c>
      <c r="F40" s="71" t="s">
        <v>239</v>
      </c>
      <c r="G40" s="39" t="s">
        <v>6</v>
      </c>
      <c r="H40" s="40">
        <v>26</v>
      </c>
      <c r="I40" s="37" t="s">
        <v>30</v>
      </c>
      <c r="J40" s="36"/>
      <c r="K40" s="70"/>
      <c r="L40" s="70"/>
      <c r="M40" s="84"/>
      <c r="Q40" s="1" t="s">
        <v>32</v>
      </c>
      <c r="R40" s="1">
        <f>SUM(R6:R21)</f>
        <v>1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view="pageBreakPreview" topLeftCell="A4" zoomScale="95" zoomScaleNormal="90" zoomScaleSheetLayoutView="95" workbookViewId="0">
      <selection activeCell="K23" sqref="K22:K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'09'!B1+1</f>
        <v>45940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1723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1561.9</v>
      </c>
      <c r="D6" s="28"/>
      <c r="E6" s="68">
        <v>11987</v>
      </c>
      <c r="F6" s="69" t="s">
        <v>247</v>
      </c>
      <c r="G6" s="46" t="s">
        <v>10</v>
      </c>
      <c r="H6" s="37">
        <v>550</v>
      </c>
      <c r="I6" s="37">
        <v>550</v>
      </c>
      <c r="J6" s="28"/>
      <c r="K6" s="69" t="s">
        <v>256</v>
      </c>
      <c r="L6" s="83">
        <v>79.900000000000006</v>
      </c>
      <c r="M6" s="41" t="s">
        <v>244</v>
      </c>
      <c r="R6" s="1">
        <f>IF(vend10[[#This Row],[Nº Venda]]&gt;1,1,0)</f>
        <v>1</v>
      </c>
    </row>
    <row r="7" spans="2:18" ht="16.5" x14ac:dyDescent="0.3">
      <c r="B7" s="26" t="s">
        <v>3</v>
      </c>
      <c r="C7" s="27">
        <f>SUM(M6:M11)</f>
        <v>0</v>
      </c>
      <c r="D7" s="28"/>
      <c r="E7" s="68">
        <v>11988</v>
      </c>
      <c r="F7" s="69" t="s">
        <v>248</v>
      </c>
      <c r="G7" s="46" t="s">
        <v>35</v>
      </c>
      <c r="H7" s="37">
        <v>0</v>
      </c>
      <c r="I7" s="37">
        <v>0</v>
      </c>
      <c r="J7" s="28"/>
      <c r="K7" s="69"/>
      <c r="L7" s="83"/>
      <c r="M7" s="41"/>
      <c r="R7" s="1">
        <f>IF(vend10[[#This Row],[Nº Venda]]&gt;1,1,0)</f>
        <v>1</v>
      </c>
    </row>
    <row r="8" spans="2:18" ht="16.5" x14ac:dyDescent="0.3">
      <c r="B8" s="29" t="s">
        <v>20</v>
      </c>
      <c r="C8" s="30">
        <f>SUM(C6:C7)</f>
        <v>1561.9</v>
      </c>
      <c r="D8" s="28"/>
      <c r="E8" s="68">
        <v>11989</v>
      </c>
      <c r="F8" s="69" t="s">
        <v>249</v>
      </c>
      <c r="G8" s="47" t="s">
        <v>10</v>
      </c>
      <c r="H8" s="37">
        <v>39</v>
      </c>
      <c r="I8" s="37">
        <v>39</v>
      </c>
      <c r="J8" s="28"/>
      <c r="K8" s="69"/>
      <c r="L8" s="83"/>
      <c r="M8" s="41"/>
      <c r="R8" s="1">
        <f>IF(vend10[[#This Row],[Nº Venda]]&gt;1,1,0)</f>
        <v>1</v>
      </c>
    </row>
    <row r="9" spans="2:18" ht="16.5" x14ac:dyDescent="0.3">
      <c r="B9" s="25"/>
      <c r="C9" s="25"/>
      <c r="D9" s="28"/>
      <c r="E9" s="68">
        <v>11990</v>
      </c>
      <c r="F9" s="69" t="s">
        <v>250</v>
      </c>
      <c r="G9" s="47" t="s">
        <v>7</v>
      </c>
      <c r="H9" s="37">
        <v>290</v>
      </c>
      <c r="I9" s="37">
        <v>20</v>
      </c>
      <c r="J9" s="28"/>
      <c r="K9" s="69"/>
      <c r="L9" s="83"/>
      <c r="M9" s="41"/>
      <c r="R9" s="1">
        <f>IF(vend10[[#This Row],[Nº Venda]]&gt;1,1,0)</f>
        <v>1</v>
      </c>
    </row>
    <row r="10" spans="2:18" ht="16.5" x14ac:dyDescent="0.3">
      <c r="B10" s="103" t="s">
        <v>5</v>
      </c>
      <c r="C10" s="104"/>
      <c r="D10" s="28"/>
      <c r="E10" s="74">
        <v>11991</v>
      </c>
      <c r="F10" s="47" t="s">
        <v>355</v>
      </c>
      <c r="G10" s="47" t="s">
        <v>6</v>
      </c>
      <c r="H10" s="37">
        <v>20</v>
      </c>
      <c r="I10" s="37">
        <v>20</v>
      </c>
      <c r="J10" s="28"/>
      <c r="K10" s="69"/>
      <c r="L10" s="83"/>
      <c r="M10" s="41"/>
      <c r="R10" s="1">
        <f>IF(vend10[[#This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(SUMIF($G$2:$G$31,B11,$I$2:$I$31))+(SUMIF($G$35:$G$40,B11,$H$35:$H$40))</f>
        <v>79.900000000000006</v>
      </c>
      <c r="D11" s="28"/>
      <c r="E11" s="74">
        <v>11992</v>
      </c>
      <c r="F11" s="47" t="s">
        <v>236</v>
      </c>
      <c r="G11" s="47" t="s">
        <v>10</v>
      </c>
      <c r="H11" s="37">
        <v>99</v>
      </c>
      <c r="I11" s="37">
        <v>5</v>
      </c>
      <c r="J11" s="28"/>
      <c r="K11" s="36"/>
      <c r="L11" s="83"/>
      <c r="M11" s="41"/>
      <c r="O11" s="1">
        <f>IF(C16=0,0,1)</f>
        <v>1</v>
      </c>
      <c r="R11" s="1">
        <f>IF(vend10[[#This Row],[Nº Venda]]&gt;1,1,0)</f>
        <v>1</v>
      </c>
    </row>
    <row r="12" spans="2:18" ht="16.5" x14ac:dyDescent="0.3">
      <c r="B12" s="26" t="s">
        <v>7</v>
      </c>
      <c r="C12" s="62">
        <f>(SUMIF($G$2:$G$31,B12,$I$2:$I$31))+(SUMIF($G$35:$G$40,B12,$H$35:$H$40))</f>
        <v>220</v>
      </c>
      <c r="D12" s="28"/>
      <c r="E12" s="74">
        <v>11993</v>
      </c>
      <c r="F12" s="47" t="s">
        <v>236</v>
      </c>
      <c r="G12" s="47" t="s">
        <v>10</v>
      </c>
      <c r="H12" s="37">
        <v>250</v>
      </c>
      <c r="I12" s="37">
        <v>5</v>
      </c>
      <c r="J12" s="28"/>
      <c r="K12" s="31"/>
      <c r="L12" s="31"/>
      <c r="M12" s="31"/>
      <c r="R12" s="1">
        <f>IF(vend10[[#This Row],[Nº Venda]]&gt;1,1,0)</f>
        <v>1</v>
      </c>
    </row>
    <row r="13" spans="2:18" ht="16.5" x14ac:dyDescent="0.3">
      <c r="B13" s="26" t="s">
        <v>8</v>
      </c>
      <c r="C13" s="62">
        <f>(SUMIF($G$2:$G$31,B13,$I$2:$I$31))+(SUMIF($G$35:$G$40,B13,$H$35:$H$40))</f>
        <v>0</v>
      </c>
      <c r="D13" s="28"/>
      <c r="E13" s="68">
        <v>11994</v>
      </c>
      <c r="F13" s="69" t="s">
        <v>251</v>
      </c>
      <c r="G13" s="47" t="s">
        <v>10</v>
      </c>
      <c r="H13" s="37">
        <v>85</v>
      </c>
      <c r="I13" s="37">
        <v>85</v>
      </c>
      <c r="J13" s="28"/>
      <c r="K13" s="96" t="s">
        <v>141</v>
      </c>
      <c r="L13" s="97"/>
      <c r="M13" s="98"/>
      <c r="R13" s="1">
        <f>IF(vend10[[#This Row],[Nº Venda]]&gt;1,1,0)</f>
        <v>1</v>
      </c>
    </row>
    <row r="14" spans="2:18" ht="16.5" x14ac:dyDescent="0.3">
      <c r="B14" s="26" t="s">
        <v>9</v>
      </c>
      <c r="C14" s="62">
        <f>(SUMIF($G$2:$G$31,B14,$I$2:$I$31))+(SUMIF($G$35:$G$40,B14,$H$35:$H$40))</f>
        <v>0</v>
      </c>
      <c r="D14" s="28"/>
      <c r="E14" s="68">
        <v>11995</v>
      </c>
      <c r="F14" s="69" t="s">
        <v>252</v>
      </c>
      <c r="G14" s="47" t="s">
        <v>35</v>
      </c>
      <c r="H14" s="37">
        <v>0</v>
      </c>
      <c r="I14" s="37">
        <v>0</v>
      </c>
      <c r="J14" s="28"/>
      <c r="K14" s="20" t="s">
        <v>21</v>
      </c>
      <c r="L14" s="21" t="s">
        <v>22</v>
      </c>
      <c r="M14" s="22" t="s">
        <v>23</v>
      </c>
      <c r="R14" s="1">
        <f>IF(vend10[[#This Row],[Nº Venda]]&gt;1,1,0)</f>
        <v>1</v>
      </c>
    </row>
    <row r="15" spans="2:18" ht="16.5" x14ac:dyDescent="0.3">
      <c r="B15" s="26" t="s">
        <v>10</v>
      </c>
      <c r="C15" s="62">
        <f>(SUMIF($G$2:$G$31,B15,$I$2:$I$31))+(SUMIF($G$35:$G$40,B15,$H$35:$H$40))</f>
        <v>1262</v>
      </c>
      <c r="D15" s="28"/>
      <c r="E15" s="68">
        <v>11996</v>
      </c>
      <c r="F15" s="69" t="s">
        <v>207</v>
      </c>
      <c r="G15" s="47" t="s">
        <v>7</v>
      </c>
      <c r="H15" s="37">
        <v>390</v>
      </c>
      <c r="I15" s="37">
        <v>200</v>
      </c>
      <c r="J15" s="28"/>
      <c r="K15" s="68">
        <v>11820</v>
      </c>
      <c r="L15" s="83" t="s">
        <v>130</v>
      </c>
      <c r="M15" s="41" t="s">
        <v>148</v>
      </c>
      <c r="R15" s="1">
        <f>IF(vend10[[#This Row],[Nº Venda]]&gt;1,1,0)</f>
        <v>1</v>
      </c>
    </row>
    <row r="16" spans="2:18" ht="16.5" x14ac:dyDescent="0.3">
      <c r="B16" s="29" t="s">
        <v>11</v>
      </c>
      <c r="C16" s="63">
        <f>SUM(C11:C15)</f>
        <v>1561.9</v>
      </c>
      <c r="D16" s="28"/>
      <c r="E16" s="68">
        <v>11997</v>
      </c>
      <c r="F16" s="69" t="s">
        <v>253</v>
      </c>
      <c r="G16" s="47" t="s">
        <v>35</v>
      </c>
      <c r="H16" s="37">
        <v>0</v>
      </c>
      <c r="I16" s="37">
        <v>0</v>
      </c>
      <c r="J16" s="28"/>
      <c r="K16" s="68">
        <v>11914</v>
      </c>
      <c r="L16" s="83" t="s">
        <v>130</v>
      </c>
      <c r="M16" s="41" t="s">
        <v>148</v>
      </c>
      <c r="R16" s="1">
        <f>IF(vend10[[#This Row],[Nº Venda]]&gt;1,1,0)</f>
        <v>1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11963</v>
      </c>
      <c r="L17" s="83" t="s">
        <v>130</v>
      </c>
      <c r="M17" s="41" t="s">
        <v>148</v>
      </c>
      <c r="R17" s="1">
        <f>IF(vend10[[#This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11979</v>
      </c>
      <c r="L18" s="83" t="s">
        <v>128</v>
      </c>
      <c r="M18" s="41" t="s">
        <v>148</v>
      </c>
      <c r="R18" s="1">
        <f>IF(vend10[[#This Row],[Nº Venda]]&gt;1,1,0)</f>
        <v>0</v>
      </c>
    </row>
    <row r="19" spans="2:18" ht="16.5" x14ac:dyDescent="0.3">
      <c r="B19" s="26">
        <f>COUNT(entr_carn10[OS])</f>
        <v>0</v>
      </c>
      <c r="C19" s="62">
        <f>SUM(entr_carn10[Valor Total])</f>
        <v>0</v>
      </c>
      <c r="D19" s="28"/>
      <c r="E19" s="68"/>
      <c r="F19" s="69"/>
      <c r="G19" s="47"/>
      <c r="H19" s="37"/>
      <c r="I19" s="37"/>
      <c r="J19" s="28"/>
      <c r="K19" s="68">
        <v>11989</v>
      </c>
      <c r="L19" s="83" t="s">
        <v>130</v>
      </c>
      <c r="M19" s="41" t="s">
        <v>148</v>
      </c>
      <c r="R19" s="1">
        <f>IF(vend10[[#This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69"/>
      <c r="G20" s="47"/>
      <c r="H20" s="37"/>
      <c r="I20" s="37"/>
      <c r="J20" s="28"/>
      <c r="K20" s="68">
        <v>11991</v>
      </c>
      <c r="L20" s="83" t="s">
        <v>130</v>
      </c>
      <c r="M20" s="41" t="s">
        <v>148</v>
      </c>
      <c r="R20" s="1">
        <f>IF(vend10[[#This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11994</v>
      </c>
      <c r="L21" s="83" t="s">
        <v>130</v>
      </c>
      <c r="M21" s="41" t="s">
        <v>148</v>
      </c>
    </row>
    <row r="22" spans="2:18" ht="16.5" x14ac:dyDescent="0.3">
      <c r="B22" s="29" t="s">
        <v>24</v>
      </c>
      <c r="C22" s="32">
        <f>C5</f>
        <v>1723</v>
      </c>
      <c r="D22" s="28"/>
      <c r="E22" s="68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68"/>
      <c r="F23" s="47"/>
      <c r="G23" s="47"/>
      <c r="H23" s="37"/>
      <c r="I23" s="37"/>
      <c r="J23" s="28"/>
      <c r="K23" s="68"/>
      <c r="L23" s="83"/>
      <c r="M23" s="41"/>
    </row>
    <row r="24" spans="2:18" ht="16.5" x14ac:dyDescent="0.3">
      <c r="B24" s="28"/>
      <c r="C24" s="28"/>
      <c r="D24" s="28"/>
      <c r="E24" s="68"/>
      <c r="F24" s="69"/>
      <c r="G24" s="47"/>
      <c r="H24" s="37"/>
      <c r="I24" s="37"/>
      <c r="J24" s="28"/>
      <c r="K24" s="68"/>
      <c r="L24" s="83"/>
      <c r="M24" s="41"/>
    </row>
    <row r="25" spans="2:18" ht="16.5" x14ac:dyDescent="0.3">
      <c r="B25" s="28"/>
      <c r="C25" s="28"/>
      <c r="D25" s="28"/>
      <c r="E25" s="70"/>
      <c r="F25" s="69"/>
      <c r="G25" s="47"/>
      <c r="H25" s="37"/>
      <c r="I25" s="37"/>
      <c r="J25" s="28"/>
      <c r="K25" s="68"/>
      <c r="L25" s="83"/>
      <c r="M25" s="41"/>
    </row>
    <row r="26" spans="2:18" ht="16.5" x14ac:dyDescent="0.3">
      <c r="B26" s="28"/>
      <c r="C26" s="28"/>
      <c r="D26" s="28"/>
      <c r="E26" s="33"/>
      <c r="F26" s="33"/>
      <c r="G26" s="33"/>
      <c r="H26" s="34"/>
      <c r="I26" s="35"/>
      <c r="J26" s="28"/>
      <c r="K26" s="68"/>
      <c r="L26" s="83"/>
      <c r="M26" s="41"/>
    </row>
    <row r="27" spans="2:18" ht="16.5" x14ac:dyDescent="0.3">
      <c r="B27" s="28"/>
      <c r="C27" s="28"/>
      <c r="D27" s="28"/>
      <c r="E27" s="94" t="s">
        <v>138</v>
      </c>
      <c r="F27" s="95"/>
      <c r="G27" s="95"/>
      <c r="H27" s="95"/>
      <c r="I27" s="95"/>
      <c r="J27" s="28"/>
      <c r="K27" s="68"/>
      <c r="L27" s="83"/>
      <c r="M27" s="41"/>
    </row>
    <row r="28" spans="2:18" ht="16.5" x14ac:dyDescent="0.3">
      <c r="B28" s="28"/>
      <c r="C28" s="28"/>
      <c r="D28" s="28"/>
      <c r="E28" s="17" t="s">
        <v>13</v>
      </c>
      <c r="F28" s="16" t="s">
        <v>14</v>
      </c>
      <c r="G28" s="17" t="s">
        <v>15</v>
      </c>
      <c r="H28" s="18" t="s">
        <v>16</v>
      </c>
      <c r="I28" s="18" t="s">
        <v>2</v>
      </c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>
        <v>11875</v>
      </c>
      <c r="F29" s="69" t="s">
        <v>245</v>
      </c>
      <c r="G29" s="46" t="s">
        <v>10</v>
      </c>
      <c r="H29" s="37">
        <v>0</v>
      </c>
      <c r="I29" s="37">
        <v>250</v>
      </c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69"/>
      <c r="G30" s="46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68"/>
      <c r="F31" s="69"/>
      <c r="G31" s="46"/>
      <c r="H31" s="37"/>
      <c r="I31" s="37"/>
      <c r="J31" s="28"/>
      <c r="K31" s="68"/>
      <c r="L31" s="83"/>
      <c r="M31" s="41"/>
    </row>
    <row r="32" spans="2:18" ht="16.5" x14ac:dyDescent="0.3">
      <c r="B32" s="28"/>
      <c r="C32" s="28"/>
      <c r="D32" s="36"/>
      <c r="E32" s="42"/>
      <c r="F32" s="42"/>
      <c r="G32" s="42"/>
      <c r="H32" s="43"/>
      <c r="I32" s="43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142</v>
      </c>
      <c r="F33" s="94"/>
      <c r="G33" s="94"/>
      <c r="H33" s="94"/>
      <c r="I33" s="94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77" t="s">
        <v>21</v>
      </c>
      <c r="F34" s="78" t="s">
        <v>14</v>
      </c>
      <c r="G34" s="79" t="s">
        <v>15</v>
      </c>
      <c r="H34" s="80" t="s">
        <v>25</v>
      </c>
      <c r="I34" s="81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11373</v>
      </c>
      <c r="F35" s="69" t="s">
        <v>246</v>
      </c>
      <c r="G35" s="47" t="s">
        <v>6</v>
      </c>
      <c r="H35" s="37">
        <v>59.9</v>
      </c>
      <c r="I35" s="37" t="s">
        <v>90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>
        <v>11519</v>
      </c>
      <c r="F36" s="69" t="s">
        <v>254</v>
      </c>
      <c r="G36" s="47" t="s">
        <v>10</v>
      </c>
      <c r="H36" s="37">
        <v>60</v>
      </c>
      <c r="I36" s="37" t="s">
        <v>71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>
        <v>11555</v>
      </c>
      <c r="F37" s="69" t="s">
        <v>255</v>
      </c>
      <c r="G37" s="47" t="s">
        <v>10</v>
      </c>
      <c r="H37" s="37">
        <v>134</v>
      </c>
      <c r="I37" s="37" t="s">
        <v>88</v>
      </c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>
        <v>11555</v>
      </c>
      <c r="F38" s="69" t="s">
        <v>255</v>
      </c>
      <c r="G38" s="47" t="s">
        <v>10</v>
      </c>
      <c r="H38" s="37">
        <v>134</v>
      </c>
      <c r="I38" s="37" t="s">
        <v>89</v>
      </c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11</v>
      </c>
    </row>
    <row r="41" spans="2:18" ht="16.5" customHeight="1" x14ac:dyDescent="0.25">
      <c r="B41" s="36"/>
      <c r="C41" s="36"/>
      <c r="D41" s="36"/>
      <c r="E41" s="33"/>
      <c r="F41" s="33"/>
      <c r="G41" s="33"/>
      <c r="H41" s="35"/>
      <c r="I41" s="35"/>
      <c r="J41" s="36"/>
      <c r="K41" s="31"/>
      <c r="L41" s="31"/>
      <c r="M41" s="31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J44" s="36"/>
      <c r="K44" s="31"/>
      <c r="L44" s="31"/>
      <c r="M44" s="31"/>
    </row>
    <row r="45" spans="2:18" ht="13.5" x14ac:dyDescent="0.25">
      <c r="B45" s="36"/>
      <c r="C45" s="36"/>
      <c r="D45" s="36"/>
      <c r="J45" s="36"/>
    </row>
  </sheetData>
  <mergeCells count="11">
    <mergeCell ref="B1:C1"/>
    <mergeCell ref="L1:M1"/>
    <mergeCell ref="E27:I27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0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0BA27C-92FA-4E44-B45B-142D61BB934F}">
          <x14:formula1>
            <xm:f>base!$A$2:$A$6</xm:f>
          </x14:formula1>
          <xm:sqref>G29:G31 G35:G40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I35:I40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E29:E31 E34:E40 K35:K40 K15:K31 E6:E25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view="pageBreakPreview" topLeftCell="A2" zoomScaleNormal="90" zoomScaleSheetLayoutView="10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'10'!B1+1</f>
        <v>45941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5303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5903.9099999999989</v>
      </c>
      <c r="D6" s="28"/>
      <c r="E6" s="68">
        <v>11998</v>
      </c>
      <c r="F6" s="69" t="s">
        <v>257</v>
      </c>
      <c r="G6" s="47" t="s">
        <v>10</v>
      </c>
      <c r="H6" s="37">
        <v>190</v>
      </c>
      <c r="I6" s="37">
        <v>190</v>
      </c>
      <c r="J6" s="28"/>
      <c r="K6" s="69" t="s">
        <v>271</v>
      </c>
      <c r="L6" s="83" t="s">
        <v>10</v>
      </c>
      <c r="M6" s="41">
        <v>4.3600000000000003</v>
      </c>
      <c r="R6" s="1">
        <f>IF(vend11[[#This Row],[Nº Venda]]&gt;1,1,0)</f>
        <v>1</v>
      </c>
    </row>
    <row r="7" spans="2:18" ht="16.5" x14ac:dyDescent="0.3">
      <c r="B7" s="26" t="s">
        <v>3</v>
      </c>
      <c r="C7" s="27">
        <f>SUM(M6:M11)</f>
        <v>4.3600000000000003</v>
      </c>
      <c r="D7" s="28"/>
      <c r="E7" s="68">
        <v>11999</v>
      </c>
      <c r="F7" s="69" t="s">
        <v>258</v>
      </c>
      <c r="G7" s="47" t="s">
        <v>6</v>
      </c>
      <c r="H7" s="37">
        <v>39</v>
      </c>
      <c r="I7" s="37">
        <v>39</v>
      </c>
      <c r="J7" s="28"/>
      <c r="K7" s="69"/>
      <c r="L7" s="83"/>
      <c r="M7" s="41"/>
      <c r="R7" s="1">
        <f>IF(vend11[[#This Row],[Nº Venda]]&gt;1,1,0)</f>
        <v>1</v>
      </c>
    </row>
    <row r="8" spans="2:18" ht="16.5" x14ac:dyDescent="0.3">
      <c r="B8" s="29" t="s">
        <v>20</v>
      </c>
      <c r="C8" s="30">
        <f>SUM(C6:C7)</f>
        <v>5908.2699999999986</v>
      </c>
      <c r="D8" s="28"/>
      <c r="E8" s="68">
        <v>12000</v>
      </c>
      <c r="F8" s="69" t="s">
        <v>259</v>
      </c>
      <c r="G8" s="47" t="s">
        <v>45</v>
      </c>
      <c r="H8" s="37">
        <v>110</v>
      </c>
      <c r="I8" s="37"/>
      <c r="J8" s="28"/>
      <c r="K8" s="69"/>
      <c r="L8" s="83"/>
      <c r="M8" s="41"/>
      <c r="R8" s="1">
        <f>IF(vend11[[#This Row],[Nº Venda]]&gt;1,1,0)</f>
        <v>1</v>
      </c>
    </row>
    <row r="9" spans="2:18" ht="16.5" x14ac:dyDescent="0.3">
      <c r="B9" s="25"/>
      <c r="C9" s="25"/>
      <c r="D9" s="28"/>
      <c r="E9" s="68">
        <v>12001</v>
      </c>
      <c r="F9" s="69" t="s">
        <v>260</v>
      </c>
      <c r="G9" s="47" t="s">
        <v>8</v>
      </c>
      <c r="H9" s="37">
        <v>890</v>
      </c>
      <c r="I9" s="37">
        <v>890</v>
      </c>
      <c r="J9" s="28"/>
      <c r="K9" s="69"/>
      <c r="L9" s="83"/>
      <c r="M9" s="41"/>
      <c r="R9" s="1">
        <f>IF(vend11[[#This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12002</v>
      </c>
      <c r="F10" s="69" t="s">
        <v>261</v>
      </c>
      <c r="G10" s="47" t="s">
        <v>8</v>
      </c>
      <c r="H10" s="37">
        <v>1299</v>
      </c>
      <c r="I10" s="37">
        <v>1299</v>
      </c>
      <c r="J10" s="28"/>
      <c r="K10" s="69"/>
      <c r="L10" s="83"/>
      <c r="M10" s="41"/>
      <c r="R10" s="1">
        <f>IF(vend11[[#This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1195.1099999999999</v>
      </c>
      <c r="D11" s="28"/>
      <c r="E11" s="68">
        <v>12003</v>
      </c>
      <c r="F11" s="69" t="s">
        <v>262</v>
      </c>
      <c r="G11" s="47" t="s">
        <v>8</v>
      </c>
      <c r="H11" s="37">
        <v>790</v>
      </c>
      <c r="I11" s="37">
        <v>790</v>
      </c>
      <c r="J11" s="28"/>
      <c r="K11" s="36"/>
      <c r="L11" s="83"/>
      <c r="M11" s="41"/>
      <c r="O11" s="1">
        <f>IF(C16=0,0,1)</f>
        <v>1</v>
      </c>
      <c r="R11" s="1">
        <f>IF(vend11[[#This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>
        <v>12004</v>
      </c>
      <c r="F12" s="69" t="s">
        <v>264</v>
      </c>
      <c r="G12" s="47" t="s">
        <v>8</v>
      </c>
      <c r="H12" s="37">
        <v>690</v>
      </c>
      <c r="I12" s="37">
        <v>690</v>
      </c>
      <c r="J12" s="28"/>
      <c r="K12" s="31"/>
      <c r="L12" s="31"/>
      <c r="M12" s="31"/>
      <c r="R12" s="1">
        <f>IF(vend11[[#This Row],[Nº Venda]]&gt;1,1,0)</f>
        <v>1</v>
      </c>
    </row>
    <row r="13" spans="2:18" ht="16.5" x14ac:dyDescent="0.3">
      <c r="B13" s="26" t="s">
        <v>8</v>
      </c>
      <c r="C13" s="62">
        <f t="shared" si="0"/>
        <v>4518.7999999999993</v>
      </c>
      <c r="D13" s="28"/>
      <c r="E13" s="68">
        <v>12005</v>
      </c>
      <c r="F13" s="69" t="s">
        <v>264</v>
      </c>
      <c r="G13" s="47" t="s">
        <v>45</v>
      </c>
      <c r="H13" s="37"/>
      <c r="I13" s="37"/>
      <c r="J13" s="28"/>
      <c r="K13" s="96" t="s">
        <v>141</v>
      </c>
      <c r="L13" s="97"/>
      <c r="M13" s="98"/>
      <c r="R13" s="1">
        <f>IF(vend11[[#This Row],[Nº Venda]]&gt;1,1,0)</f>
        <v>1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>
        <v>12006</v>
      </c>
      <c r="F14" s="69" t="s">
        <v>265</v>
      </c>
      <c r="G14" s="47" t="s">
        <v>35</v>
      </c>
      <c r="H14" s="37" t="s">
        <v>266</v>
      </c>
      <c r="I14" s="37"/>
      <c r="J14" s="28"/>
      <c r="K14" s="20" t="s">
        <v>21</v>
      </c>
      <c r="L14" s="21" t="s">
        <v>22</v>
      </c>
      <c r="M14" s="22" t="s">
        <v>23</v>
      </c>
      <c r="R14" s="1">
        <f>IF(vend11[[#This Row],[Nº Venda]]&gt;1,1,0)</f>
        <v>1</v>
      </c>
    </row>
    <row r="15" spans="2:18" ht="16.5" x14ac:dyDescent="0.3">
      <c r="B15" s="26" t="s">
        <v>10</v>
      </c>
      <c r="C15" s="62">
        <f t="shared" si="0"/>
        <v>190</v>
      </c>
      <c r="D15" s="28"/>
      <c r="E15" s="68">
        <v>12007</v>
      </c>
      <c r="F15" s="69" t="s">
        <v>267</v>
      </c>
      <c r="G15" s="47" t="s">
        <v>8</v>
      </c>
      <c r="H15" s="37">
        <v>250</v>
      </c>
      <c r="I15" s="37">
        <v>250</v>
      </c>
      <c r="J15" s="28"/>
      <c r="K15" s="68">
        <v>11924</v>
      </c>
      <c r="L15" s="83" t="s">
        <v>130</v>
      </c>
      <c r="M15" s="41" t="s">
        <v>148</v>
      </c>
      <c r="R15" s="1">
        <f>IF(vend11[[#This Row],[Nº Venda]]&gt;1,1,0)</f>
        <v>1</v>
      </c>
    </row>
    <row r="16" spans="2:18" ht="16.5" x14ac:dyDescent="0.3">
      <c r="B16" s="29" t="s">
        <v>11</v>
      </c>
      <c r="C16" s="63">
        <f>SUM(C11:C15)</f>
        <v>5903.9099999999989</v>
      </c>
      <c r="D16" s="28"/>
      <c r="E16" s="68">
        <v>12008</v>
      </c>
      <c r="F16" s="69" t="s">
        <v>270</v>
      </c>
      <c r="G16" s="47" t="s">
        <v>6</v>
      </c>
      <c r="H16" s="37">
        <v>990</v>
      </c>
      <c r="I16" s="37">
        <v>990</v>
      </c>
      <c r="J16" s="28"/>
      <c r="K16" s="68">
        <v>11925</v>
      </c>
      <c r="L16" s="83" t="s">
        <v>130</v>
      </c>
      <c r="M16" s="41" t="s">
        <v>148</v>
      </c>
      <c r="R16" s="1">
        <f>IF(vend11[[#This Row],[Nº Venda]]&gt;1,1,0)</f>
        <v>1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11837</v>
      </c>
      <c r="L17" s="83" t="s">
        <v>130</v>
      </c>
      <c r="M17" s="41" t="s">
        <v>148</v>
      </c>
      <c r="R17" s="1">
        <f>IF(vend11[[#This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11952</v>
      </c>
      <c r="L18" s="83" t="s">
        <v>128</v>
      </c>
      <c r="M18" s="41" t="s">
        <v>148</v>
      </c>
      <c r="R18" s="1">
        <f>IF(vend11[[#This Row],[Nº Venda]]&gt;1,1,0)</f>
        <v>0</v>
      </c>
    </row>
    <row r="19" spans="2:18" ht="16.5" x14ac:dyDescent="0.3">
      <c r="B19" s="26">
        <f>COUNT(entr_carn11[OS])</f>
        <v>0</v>
      </c>
      <c r="C19" s="62">
        <f>SUM(entr_carn11[Valor Total])</f>
        <v>0</v>
      </c>
      <c r="D19" s="28"/>
      <c r="E19" s="68"/>
      <c r="F19" s="69"/>
      <c r="G19" s="47"/>
      <c r="H19" s="37"/>
      <c r="I19" s="37"/>
      <c r="J19" s="28"/>
      <c r="K19" s="68">
        <v>11901</v>
      </c>
      <c r="L19" s="83" t="s">
        <v>130</v>
      </c>
      <c r="M19" s="41" t="s">
        <v>148</v>
      </c>
      <c r="R19" s="1">
        <f>IF(vend11[[#This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>
        <v>11998</v>
      </c>
      <c r="L20" s="83" t="s">
        <v>128</v>
      </c>
      <c r="M20" s="41" t="s">
        <v>148</v>
      </c>
      <c r="R20" s="1">
        <f>IF(vend11[[#This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11972</v>
      </c>
      <c r="L21" s="83" t="s">
        <v>130</v>
      </c>
      <c r="M21" s="41" t="s">
        <v>148</v>
      </c>
    </row>
    <row r="22" spans="2:18" ht="16.5" x14ac:dyDescent="0.3">
      <c r="B22" s="29" t="s">
        <v>24</v>
      </c>
      <c r="C22" s="32">
        <f>C5</f>
        <v>5303</v>
      </c>
      <c r="D22" s="28"/>
      <c r="E22" s="70"/>
      <c r="F22" s="69"/>
      <c r="G22" s="47"/>
      <c r="H22" s="37"/>
      <c r="I22" s="37"/>
      <c r="J22" s="28"/>
      <c r="K22" s="68">
        <v>11864</v>
      </c>
      <c r="L22" s="83" t="s">
        <v>128</v>
      </c>
      <c r="M22" s="41" t="s">
        <v>148</v>
      </c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>
        <v>11895</v>
      </c>
      <c r="L23" s="83" t="s">
        <v>130</v>
      </c>
      <c r="M23" s="41" t="s">
        <v>148</v>
      </c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>
        <v>11986</v>
      </c>
      <c r="L24" s="83" t="s">
        <v>130</v>
      </c>
      <c r="M24" s="41" t="s">
        <v>148</v>
      </c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>
        <v>11959</v>
      </c>
      <c r="L25" s="83" t="s">
        <v>130</v>
      </c>
      <c r="M25" s="41" t="s">
        <v>148</v>
      </c>
    </row>
    <row r="26" spans="2:18" ht="16.5" x14ac:dyDescent="0.3">
      <c r="B26" s="28"/>
      <c r="C26" s="28"/>
      <c r="D26" s="28"/>
      <c r="E26" s="68">
        <v>11986</v>
      </c>
      <c r="F26" s="69" t="s">
        <v>238</v>
      </c>
      <c r="G26" s="46" t="s">
        <v>6</v>
      </c>
      <c r="H26" s="37">
        <v>45</v>
      </c>
      <c r="I26" s="37">
        <v>45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11952</v>
      </c>
      <c r="F27" s="69" t="s">
        <v>263</v>
      </c>
      <c r="G27" s="47" t="s">
        <v>8</v>
      </c>
      <c r="H27" s="37">
        <v>120</v>
      </c>
      <c r="I27" s="37">
        <v>120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>
        <v>11837</v>
      </c>
      <c r="F28" s="69" t="s">
        <v>263</v>
      </c>
      <c r="G28" s="47" t="s">
        <v>8</v>
      </c>
      <c r="H28" s="37"/>
      <c r="I28" s="37">
        <v>130</v>
      </c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>
        <v>11895</v>
      </c>
      <c r="F29" s="69" t="s">
        <v>268</v>
      </c>
      <c r="G29" s="47" t="s">
        <v>8</v>
      </c>
      <c r="H29" s="37"/>
      <c r="I29" s="37">
        <v>174.9</v>
      </c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>
        <v>11896</v>
      </c>
      <c r="F30" s="47" t="s">
        <v>268</v>
      </c>
      <c r="G30" s="47" t="s">
        <v>8</v>
      </c>
      <c r="H30" s="37"/>
      <c r="I30" s="37">
        <v>174.9</v>
      </c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11434</v>
      </c>
      <c r="F35" s="69" t="s">
        <v>269</v>
      </c>
      <c r="G35" s="47" t="s">
        <v>6</v>
      </c>
      <c r="H35" s="37">
        <v>121.11</v>
      </c>
      <c r="I35" s="37" t="s">
        <v>49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11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'11'!B1+1</f>
        <v>45942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0</v>
      </c>
      <c r="D6" s="28"/>
      <c r="E6" s="68"/>
      <c r="F6" s="44"/>
      <c r="G6" s="44"/>
      <c r="H6" s="45"/>
      <c r="I6" s="45"/>
      <c r="J6" s="28"/>
      <c r="K6" s="69"/>
      <c r="L6" s="83"/>
      <c r="M6" s="41"/>
      <c r="R6" s="1">
        <f>IF(vend12[[#This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68"/>
      <c r="F7" s="46"/>
      <c r="G7" s="46"/>
      <c r="H7" s="37"/>
      <c r="I7" s="37"/>
      <c r="J7" s="28"/>
      <c r="K7" s="69"/>
      <c r="L7" s="83"/>
      <c r="M7" s="41"/>
      <c r="R7" s="1">
        <f>IF(vend12[[#This Row],[Nº Venda]]&gt;1,1,0)</f>
        <v>0</v>
      </c>
    </row>
    <row r="8" spans="2:18" ht="16.5" x14ac:dyDescent="0.3">
      <c r="B8" s="29" t="s">
        <v>20</v>
      </c>
      <c r="C8" s="30">
        <f>SUM(C6:C7)</f>
        <v>0</v>
      </c>
      <c r="D8" s="28"/>
      <c r="E8" s="68"/>
      <c r="F8" s="46"/>
      <c r="G8" s="46"/>
      <c r="H8" s="37"/>
      <c r="I8" s="37"/>
      <c r="J8" s="28"/>
      <c r="K8" s="69"/>
      <c r="L8" s="83"/>
      <c r="M8" s="41"/>
      <c r="R8" s="1">
        <f>IF(vend12[[#This Row],[Nº Venda]]&gt;1,1,0)</f>
        <v>0</v>
      </c>
    </row>
    <row r="9" spans="2:18" ht="16.5" x14ac:dyDescent="0.3">
      <c r="B9" s="25"/>
      <c r="C9" s="25"/>
      <c r="D9" s="28"/>
      <c r="E9" s="68"/>
      <c r="F9" s="69"/>
      <c r="G9" s="47"/>
      <c r="H9" s="37"/>
      <c r="I9" s="37"/>
      <c r="J9" s="28"/>
      <c r="K9" s="69"/>
      <c r="L9" s="83"/>
      <c r="M9" s="41"/>
      <c r="R9" s="1">
        <f>IF(vend12[[#This Row],[Nº Venda]]&gt;1,1,0)</f>
        <v>0</v>
      </c>
    </row>
    <row r="10" spans="2:18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IF(vend12[[#This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0</v>
      </c>
      <c r="R11" s="1">
        <f>IF(vend12[[#This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IF(vend12[[#This Row],[Nº Venda]]&gt;1,1,0)</f>
        <v>0</v>
      </c>
    </row>
    <row r="13" spans="2:18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IF(vend12[[#This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IF(vend12[[#This Row],[Nº Venda]]&gt;1,1,0)</f>
        <v>0</v>
      </c>
    </row>
    <row r="15" spans="2:18" ht="16.5" x14ac:dyDescent="0.3">
      <c r="B15" s="26" t="s">
        <v>10</v>
      </c>
      <c r="C15" s="62">
        <f t="shared" si="0"/>
        <v>0</v>
      </c>
      <c r="D15" s="28"/>
      <c r="E15" s="68"/>
      <c r="F15" s="69"/>
      <c r="G15" s="47"/>
      <c r="H15" s="37"/>
      <c r="I15" s="37"/>
      <c r="J15" s="28"/>
      <c r="K15" s="68"/>
      <c r="L15" s="83"/>
      <c r="M15" s="41"/>
      <c r="R15" s="1">
        <f>IF(vend12[[#This Row],[Nº Venda]]&gt;1,1,0)</f>
        <v>0</v>
      </c>
    </row>
    <row r="16" spans="2:18" ht="16.5" x14ac:dyDescent="0.3">
      <c r="B16" s="29" t="s">
        <v>11</v>
      </c>
      <c r="C16" s="63">
        <f>SUM(C11:C15)</f>
        <v>0</v>
      </c>
      <c r="D16" s="28"/>
      <c r="E16" s="68"/>
      <c r="F16" s="69"/>
      <c r="G16" s="47"/>
      <c r="H16" s="37"/>
      <c r="I16" s="37"/>
      <c r="J16" s="28"/>
      <c r="K16" s="68"/>
      <c r="L16" s="83"/>
      <c r="M16" s="41"/>
      <c r="R16" s="1">
        <f>IF(vend12[[#This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/>
      <c r="L17" s="83"/>
      <c r="M17" s="41"/>
      <c r="R17" s="1">
        <f>IF(vend12[[#This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IF(vend12[[#This Row],[Nº Venda]]&gt;1,1,0)</f>
        <v>0</v>
      </c>
    </row>
    <row r="19" spans="2:18" ht="16.5" x14ac:dyDescent="0.3">
      <c r="B19" s="26">
        <f>COUNT(entr_carn12[OS])</f>
        <v>0</v>
      </c>
      <c r="C19" s="62">
        <f>SUM(entr_carn12[Valor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IF(vend12[[#This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IF(vend12[[#This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/>
      <c r="F26" s="46"/>
      <c r="G26" s="46"/>
      <c r="H26" s="37"/>
      <c r="I26" s="37"/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view="pageBreakPreview" topLeftCell="A2" zoomScaleNormal="90" zoomScaleSheetLayoutView="10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'12'!B1+1</f>
        <v>45943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1028.9000000000001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462.55999999999995</v>
      </c>
      <c r="D6" s="28"/>
      <c r="E6" s="68">
        <v>12009</v>
      </c>
      <c r="F6" s="69" t="s">
        <v>272</v>
      </c>
      <c r="G6" s="47" t="s">
        <v>7</v>
      </c>
      <c r="H6" s="37">
        <v>99</v>
      </c>
      <c r="I6" s="37">
        <v>99</v>
      </c>
      <c r="J6" s="28"/>
      <c r="K6" s="69" t="s">
        <v>235</v>
      </c>
      <c r="L6" s="83" t="s">
        <v>151</v>
      </c>
      <c r="M6" s="41">
        <v>220</v>
      </c>
      <c r="R6" s="1">
        <f>IF(vend13[[#This Row],[Nº Venda]]&gt;1,1,0)</f>
        <v>1</v>
      </c>
    </row>
    <row r="7" spans="2:18" ht="16.5" x14ac:dyDescent="0.3">
      <c r="B7" s="26" t="s">
        <v>3</v>
      </c>
      <c r="C7" s="27">
        <f>SUM(M6:M11)</f>
        <v>220</v>
      </c>
      <c r="D7" s="28"/>
      <c r="E7" s="68">
        <v>12010</v>
      </c>
      <c r="F7" s="69" t="s">
        <v>273</v>
      </c>
      <c r="G7" s="47" t="s">
        <v>6</v>
      </c>
      <c r="H7" s="37">
        <v>890</v>
      </c>
      <c r="I7" s="37">
        <v>100</v>
      </c>
      <c r="J7" s="28"/>
      <c r="K7" s="69"/>
      <c r="L7" s="83"/>
      <c r="M7" s="41"/>
      <c r="R7" s="1">
        <f>IF(vend13[[#This Row],[Nº Venda]]&gt;1,1,0)</f>
        <v>1</v>
      </c>
    </row>
    <row r="8" spans="2:18" ht="16.5" x14ac:dyDescent="0.3">
      <c r="B8" s="29" t="s">
        <v>20</v>
      </c>
      <c r="C8" s="30">
        <f>SUM(C6:C7)</f>
        <v>682.56</v>
      </c>
      <c r="D8" s="28"/>
      <c r="E8" s="68">
        <v>12012</v>
      </c>
      <c r="F8" s="69" t="s">
        <v>274</v>
      </c>
      <c r="G8" s="47" t="s">
        <v>8</v>
      </c>
      <c r="H8" s="37">
        <v>39.9</v>
      </c>
      <c r="I8" s="37">
        <v>39.9</v>
      </c>
      <c r="J8" s="28"/>
      <c r="K8" s="69"/>
      <c r="L8" s="83"/>
      <c r="M8" s="41"/>
      <c r="R8" s="1">
        <f>IF(vend13[[#This Row],[Nº Venda]]&gt;1,1,0)</f>
        <v>1</v>
      </c>
    </row>
    <row r="9" spans="2:18" ht="16.5" x14ac:dyDescent="0.3">
      <c r="B9" s="25"/>
      <c r="C9" s="25"/>
      <c r="D9" s="28"/>
      <c r="E9" s="68"/>
      <c r="F9" s="69"/>
      <c r="G9" s="47"/>
      <c r="H9" s="37"/>
      <c r="I9" s="37"/>
      <c r="J9" s="28"/>
      <c r="K9" s="69"/>
      <c r="L9" s="83"/>
      <c r="M9" s="41"/>
      <c r="R9" s="1">
        <f>IF(vend13[[#This Row],[Nº Venda]]&gt;1,1,0)</f>
        <v>0</v>
      </c>
    </row>
    <row r="10" spans="2:18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IF(vend13[[#This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220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IF(vend13[[#This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99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IF(vend13[[#This Row],[Nº Venda]]&gt;1,1,0)</f>
        <v>0</v>
      </c>
    </row>
    <row r="13" spans="2:18" ht="16.5" x14ac:dyDescent="0.3">
      <c r="B13" s="26" t="s">
        <v>8</v>
      </c>
      <c r="C13" s="62">
        <f t="shared" si="0"/>
        <v>39.9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IF(vend13[[#This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IF(vend13[[#This Row],[Nº Venda]]&gt;1,1,0)</f>
        <v>0</v>
      </c>
    </row>
    <row r="15" spans="2:18" ht="16.5" x14ac:dyDescent="0.3">
      <c r="B15" s="26" t="s">
        <v>10</v>
      </c>
      <c r="C15" s="62">
        <f t="shared" si="0"/>
        <v>103.66</v>
      </c>
      <c r="D15" s="28"/>
      <c r="E15" s="68"/>
      <c r="F15" s="69"/>
      <c r="G15" s="47"/>
      <c r="H15" s="37"/>
      <c r="I15" s="37"/>
      <c r="J15" s="28"/>
      <c r="K15" s="68">
        <v>11953</v>
      </c>
      <c r="L15" s="83" t="s">
        <v>130</v>
      </c>
      <c r="M15" s="41" t="s">
        <v>148</v>
      </c>
      <c r="R15" s="1">
        <f>IF(vend13[[#This Row],[Nº Venda]]&gt;1,1,0)</f>
        <v>0</v>
      </c>
    </row>
    <row r="16" spans="2:18" ht="16.5" x14ac:dyDescent="0.3">
      <c r="B16" s="29" t="s">
        <v>11</v>
      </c>
      <c r="C16" s="63">
        <f>SUM(C11:C15)</f>
        <v>462.55999999999995</v>
      </c>
      <c r="D16" s="28"/>
      <c r="E16" s="68"/>
      <c r="F16" s="69"/>
      <c r="G16" s="47"/>
      <c r="H16" s="37"/>
      <c r="I16" s="37"/>
      <c r="J16" s="28"/>
      <c r="K16" s="68">
        <v>11911</v>
      </c>
      <c r="L16" s="83" t="s">
        <v>128</v>
      </c>
      <c r="M16" s="41" t="s">
        <v>160</v>
      </c>
      <c r="R16" s="1">
        <f>IF(vend13[[#This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12012</v>
      </c>
      <c r="L17" s="83" t="s">
        <v>128</v>
      </c>
      <c r="M17" s="41" t="s">
        <v>148</v>
      </c>
      <c r="R17" s="1">
        <f>IF(vend13[[#This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IF(vend13[[#This Row],[Nº Venda]]&gt;1,1,0)</f>
        <v>0</v>
      </c>
    </row>
    <row r="19" spans="2:18" ht="16.5" x14ac:dyDescent="0.3">
      <c r="B19" s="26">
        <f>COUNT(entr_carn13[OS])</f>
        <v>1</v>
      </c>
      <c r="C19" s="62">
        <f>SUM(entr_carn13[Valor Total])</f>
        <v>540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IF(vend13[[#This Row],[Nº Venda]]&gt;1,1,0)</f>
        <v>0</v>
      </c>
    </row>
    <row r="20" spans="2:18" ht="16.5" x14ac:dyDescent="0.3">
      <c r="B20" s="29" t="s">
        <v>11</v>
      </c>
      <c r="C20" s="63">
        <f>SUM(C19:C19)</f>
        <v>540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IF(vend13[[#This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1028.9000000000001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11432</v>
      </c>
      <c r="F26" s="69" t="s">
        <v>275</v>
      </c>
      <c r="G26" s="47" t="s">
        <v>6</v>
      </c>
      <c r="H26" s="37"/>
      <c r="I26" s="37">
        <v>120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11791</v>
      </c>
      <c r="F35" s="69" t="s">
        <v>276</v>
      </c>
      <c r="G35" s="47" t="s">
        <v>10</v>
      </c>
      <c r="H35" s="37">
        <v>51.66</v>
      </c>
      <c r="I35" s="37" t="s">
        <v>37</v>
      </c>
      <c r="J35" s="36"/>
      <c r="K35" s="68">
        <v>11911</v>
      </c>
      <c r="L35" s="68">
        <v>4</v>
      </c>
      <c r="M35" s="83">
        <v>540</v>
      </c>
    </row>
    <row r="36" spans="2:18" ht="16.5" customHeight="1" x14ac:dyDescent="0.25">
      <c r="B36" s="36"/>
      <c r="C36" s="36"/>
      <c r="D36" s="36"/>
      <c r="E36" s="75">
        <v>10922</v>
      </c>
      <c r="F36" s="69" t="s">
        <v>279</v>
      </c>
      <c r="G36" s="47" t="s">
        <v>10</v>
      </c>
      <c r="H36" s="37">
        <v>52</v>
      </c>
      <c r="I36" s="37" t="s">
        <v>92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3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view="pageBreakPreview" zoomScale="80" zoomScaleNormal="90" zoomScaleSheetLayoutView="80" workbookViewId="0">
      <selection activeCell="K7" sqref="K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'13'!B1+1</f>
        <v>45944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4449.99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2008.32</v>
      </c>
      <c r="D6" s="28"/>
      <c r="E6" s="68">
        <v>12011</v>
      </c>
      <c r="F6" s="69" t="s">
        <v>280</v>
      </c>
      <c r="G6" s="47" t="s">
        <v>35</v>
      </c>
      <c r="H6" s="37"/>
      <c r="I6" s="37"/>
      <c r="J6" s="28"/>
      <c r="K6" s="69" t="s">
        <v>288</v>
      </c>
      <c r="L6" s="83" t="s">
        <v>6</v>
      </c>
      <c r="M6" s="41">
        <v>100</v>
      </c>
      <c r="R6" s="1">
        <f>IF(vend14[[#This Row],[Nº Venda]]&gt;1,1,0)</f>
        <v>1</v>
      </c>
    </row>
    <row r="7" spans="2:18" ht="16.5" x14ac:dyDescent="0.3">
      <c r="B7" s="26" t="s">
        <v>3</v>
      </c>
      <c r="C7" s="27">
        <f>SUM(M6:M11)</f>
        <v>100</v>
      </c>
      <c r="D7" s="28"/>
      <c r="E7" s="68">
        <v>12012</v>
      </c>
      <c r="F7" s="69" t="s">
        <v>280</v>
      </c>
      <c r="G7" s="47" t="s">
        <v>7</v>
      </c>
      <c r="H7" s="37">
        <v>39.99</v>
      </c>
      <c r="I7" s="37">
        <v>39.99</v>
      </c>
      <c r="J7" s="28"/>
      <c r="K7" s="69"/>
      <c r="L7" s="83"/>
      <c r="M7" s="41"/>
      <c r="R7" s="1">
        <f>IF(vend14[[#This Row],[Nº Venda]]&gt;1,1,0)</f>
        <v>1</v>
      </c>
    </row>
    <row r="8" spans="2:18" ht="16.5" x14ac:dyDescent="0.3">
      <c r="B8" s="29" t="s">
        <v>20</v>
      </c>
      <c r="C8" s="30">
        <f>SUM(C6:C7)</f>
        <v>2108.3199999999997</v>
      </c>
      <c r="D8" s="28"/>
      <c r="E8" s="68">
        <v>12013</v>
      </c>
      <c r="F8" s="69" t="s">
        <v>277</v>
      </c>
      <c r="G8" s="46" t="s">
        <v>45</v>
      </c>
      <c r="H8" s="37">
        <v>0</v>
      </c>
      <c r="I8" s="37">
        <v>0</v>
      </c>
      <c r="J8" s="28"/>
      <c r="K8" s="69"/>
      <c r="L8" s="83"/>
      <c r="M8" s="41"/>
      <c r="R8" s="1">
        <f>IF(vend14[[#This Row],[Nº Venda]]&gt;1,1,0)</f>
        <v>1</v>
      </c>
    </row>
    <row r="9" spans="2:18" ht="16.5" x14ac:dyDescent="0.3">
      <c r="B9" s="25"/>
      <c r="C9" s="25"/>
      <c r="D9" s="28"/>
      <c r="E9" s="68">
        <v>12014</v>
      </c>
      <c r="F9" s="69" t="s">
        <v>278</v>
      </c>
      <c r="G9" s="46" t="s">
        <v>10</v>
      </c>
      <c r="H9" s="37">
        <v>1000</v>
      </c>
      <c r="I9" s="37">
        <v>200</v>
      </c>
      <c r="J9" s="28"/>
      <c r="K9" s="69"/>
      <c r="L9" s="83"/>
      <c r="M9" s="41"/>
      <c r="R9" s="1">
        <f>IF(vend14[[#This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12015</v>
      </c>
      <c r="F10" s="69" t="s">
        <v>278</v>
      </c>
      <c r="G10" s="47" t="s">
        <v>10</v>
      </c>
      <c r="H10" s="37">
        <v>500</v>
      </c>
      <c r="I10" s="37">
        <v>100</v>
      </c>
      <c r="J10" s="28"/>
      <c r="K10" s="69"/>
      <c r="L10" s="83"/>
      <c r="M10" s="41"/>
      <c r="R10" s="1">
        <f>IF(vend14[[#This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100</v>
      </c>
      <c r="D11" s="28"/>
      <c r="E11" s="68">
        <v>12016</v>
      </c>
      <c r="F11" s="69" t="s">
        <v>281</v>
      </c>
      <c r="G11" s="47" t="s">
        <v>6</v>
      </c>
      <c r="H11" s="37">
        <v>850</v>
      </c>
      <c r="I11" s="37">
        <v>50</v>
      </c>
      <c r="J11" s="28"/>
      <c r="K11" s="36"/>
      <c r="L11" s="83"/>
      <c r="M11" s="41"/>
      <c r="O11" s="1">
        <f>IF(C16=0,0,1)</f>
        <v>1</v>
      </c>
      <c r="R11" s="1">
        <f>IF(vend14[[#This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39.99</v>
      </c>
      <c r="D12" s="28"/>
      <c r="E12" s="68">
        <v>12016</v>
      </c>
      <c r="F12" s="69" t="s">
        <v>281</v>
      </c>
      <c r="G12" s="47" t="s">
        <v>10</v>
      </c>
      <c r="H12" s="37"/>
      <c r="I12" s="37">
        <v>200</v>
      </c>
      <c r="J12" s="28"/>
      <c r="K12" s="31"/>
      <c r="L12" s="31"/>
      <c r="M12" s="31"/>
      <c r="R12" s="1">
        <f>IF(vend14[[#This Row],[Nº Venda]]&gt;1,1,0)</f>
        <v>1</v>
      </c>
    </row>
    <row r="13" spans="2:18" ht="16.5" x14ac:dyDescent="0.3">
      <c r="B13" s="26" t="s">
        <v>8</v>
      </c>
      <c r="C13" s="62">
        <f t="shared" si="0"/>
        <v>280</v>
      </c>
      <c r="D13" s="28"/>
      <c r="E13" s="68">
        <v>12017</v>
      </c>
      <c r="F13" s="69" t="s">
        <v>281</v>
      </c>
      <c r="G13" s="47" t="s">
        <v>6</v>
      </c>
      <c r="H13" s="37">
        <v>150</v>
      </c>
      <c r="I13" s="37">
        <v>50</v>
      </c>
      <c r="J13" s="28"/>
      <c r="K13" s="96" t="s">
        <v>141</v>
      </c>
      <c r="L13" s="97"/>
      <c r="M13" s="98"/>
      <c r="R13" s="1">
        <f>IF(vend14[[#This Row],[Nº Venda]]&gt;1,1,0)</f>
        <v>1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>
        <v>12018</v>
      </c>
      <c r="F14" s="69" t="s">
        <v>282</v>
      </c>
      <c r="G14" s="47" t="s">
        <v>10</v>
      </c>
      <c r="H14" s="37">
        <v>1390</v>
      </c>
      <c r="I14" s="37">
        <v>700</v>
      </c>
      <c r="J14" s="28"/>
      <c r="K14" s="20" t="s">
        <v>21</v>
      </c>
      <c r="L14" s="21" t="s">
        <v>22</v>
      </c>
      <c r="M14" s="22" t="s">
        <v>23</v>
      </c>
      <c r="R14" s="1">
        <f>IF(vend14[[#This Row],[Nº Venda]]&gt;1,1,0)</f>
        <v>1</v>
      </c>
    </row>
    <row r="15" spans="2:18" ht="16.5" x14ac:dyDescent="0.3">
      <c r="B15" s="26" t="s">
        <v>10</v>
      </c>
      <c r="C15" s="62">
        <f t="shared" si="0"/>
        <v>1588.33</v>
      </c>
      <c r="D15" s="28"/>
      <c r="E15" s="68">
        <v>12019</v>
      </c>
      <c r="F15" s="69" t="s">
        <v>282</v>
      </c>
      <c r="G15" s="47" t="s">
        <v>10</v>
      </c>
      <c r="H15" s="37">
        <v>240</v>
      </c>
      <c r="I15" s="37">
        <v>100</v>
      </c>
      <c r="J15" s="28"/>
      <c r="K15" s="68">
        <v>10665</v>
      </c>
      <c r="L15" s="83" t="s">
        <v>130</v>
      </c>
      <c r="M15" s="41" t="s">
        <v>148</v>
      </c>
      <c r="R15" s="1">
        <f>IF(vend14[[#This Row],[Nº Venda]]&gt;1,1,0)</f>
        <v>1</v>
      </c>
    </row>
    <row r="16" spans="2:18" ht="16.5" x14ac:dyDescent="0.3">
      <c r="B16" s="29" t="s">
        <v>11</v>
      </c>
      <c r="C16" s="63">
        <f>SUM(C11:C15)</f>
        <v>2008.32</v>
      </c>
      <c r="D16" s="28"/>
      <c r="E16" s="68">
        <v>12020</v>
      </c>
      <c r="F16" s="69" t="s">
        <v>287</v>
      </c>
      <c r="G16" s="47" t="s">
        <v>8</v>
      </c>
      <c r="H16" s="37">
        <v>280</v>
      </c>
      <c r="I16" s="37">
        <v>280</v>
      </c>
      <c r="J16" s="28"/>
      <c r="K16" s="68"/>
      <c r="L16" s="83"/>
      <c r="M16" s="41"/>
      <c r="R16" s="1">
        <f>IF(vend14[[#This Row],[Nº Venda]]&gt;1,1,0)</f>
        <v>1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/>
      <c r="L17" s="83"/>
      <c r="M17" s="41"/>
      <c r="R17" s="1">
        <f>IF(vend14[[#This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IF(vend14[[#This Row],[Nº Venda]]&gt;1,1,0)</f>
        <v>0</v>
      </c>
    </row>
    <row r="19" spans="2:18" ht="16.5" x14ac:dyDescent="0.3">
      <c r="B19" s="26">
        <f>COUNT(entr_carn14[OS])</f>
        <v>0</v>
      </c>
      <c r="C19" s="62">
        <f>SUM(entr_carn14[Valor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IF(vend14[[#This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IF(vend14[[#This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4449.99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/>
      <c r="F26" s="69"/>
      <c r="G26" s="47"/>
      <c r="H26" s="37"/>
      <c r="I26" s="37"/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11141</v>
      </c>
      <c r="F35" s="69" t="s">
        <v>283</v>
      </c>
      <c r="G35" s="47" t="s">
        <v>10</v>
      </c>
      <c r="H35" s="37">
        <v>230</v>
      </c>
      <c r="I35" s="37" t="s">
        <v>36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/>
      <c r="F36" s="69" t="s">
        <v>283</v>
      </c>
      <c r="G36" s="47" t="s">
        <v>10</v>
      </c>
      <c r="H36" s="37">
        <v>58.33</v>
      </c>
      <c r="I36" s="37" t="s">
        <v>49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11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view="pageBreakPreview" zoomScale="98" zoomScaleNormal="90" zoomScaleSheetLayoutView="98" workbookViewId="0">
      <selection activeCell="K21" sqref="K2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7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'14'!B1+1</f>
        <v>45945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6043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8585</v>
      </c>
      <c r="D6" s="28"/>
      <c r="E6" s="68">
        <v>12021</v>
      </c>
      <c r="F6" s="69" t="s">
        <v>284</v>
      </c>
      <c r="G6" s="46" t="s">
        <v>7</v>
      </c>
      <c r="H6" s="37">
        <v>1675</v>
      </c>
      <c r="I6" s="37">
        <v>1675</v>
      </c>
      <c r="J6" s="28"/>
      <c r="K6" s="69" t="s">
        <v>295</v>
      </c>
      <c r="L6" s="83" t="s">
        <v>6</v>
      </c>
      <c r="M6" s="41">
        <v>100</v>
      </c>
      <c r="R6" s="1">
        <f>IF(vend15[[#This Row],[Nº Venda]]&gt;1,1,0)</f>
        <v>1</v>
      </c>
    </row>
    <row r="7" spans="2:18" ht="16.5" x14ac:dyDescent="0.3">
      <c r="B7" s="26" t="s">
        <v>3</v>
      </c>
      <c r="C7" s="27">
        <f>SUM(M6:M11)</f>
        <v>100</v>
      </c>
      <c r="D7" s="28"/>
      <c r="E7" s="68">
        <v>12022</v>
      </c>
      <c r="F7" s="69" t="s">
        <v>284</v>
      </c>
      <c r="G7" s="46" t="s">
        <v>7</v>
      </c>
      <c r="H7" s="37">
        <v>390</v>
      </c>
      <c r="I7" s="37">
        <v>390</v>
      </c>
      <c r="J7" s="28"/>
      <c r="K7" s="69"/>
      <c r="L7" s="83"/>
      <c r="M7" s="41"/>
      <c r="R7" s="1">
        <f>IF(vend15[[#This Row],[Nº Venda]]&gt;1,1,0)</f>
        <v>1</v>
      </c>
    </row>
    <row r="8" spans="2:18" ht="16.5" x14ac:dyDescent="0.3">
      <c r="B8" s="29" t="s">
        <v>20</v>
      </c>
      <c r="C8" s="30">
        <f>SUM(C6:C7)</f>
        <v>8685</v>
      </c>
      <c r="D8" s="28"/>
      <c r="E8" s="68">
        <v>12023</v>
      </c>
      <c r="F8" s="69" t="s">
        <v>284</v>
      </c>
      <c r="G8" s="46" t="s">
        <v>7</v>
      </c>
      <c r="H8" s="37">
        <v>900</v>
      </c>
      <c r="I8" s="37">
        <v>900</v>
      </c>
      <c r="J8" s="28"/>
      <c r="K8" s="69"/>
      <c r="L8" s="83"/>
      <c r="M8" s="41"/>
      <c r="R8" s="1">
        <f>IF(vend15[[#This Row],[Nº Venda]]&gt;1,1,0)</f>
        <v>1</v>
      </c>
    </row>
    <row r="9" spans="2:18" ht="16.5" x14ac:dyDescent="0.3">
      <c r="B9" s="25"/>
      <c r="C9" s="25"/>
      <c r="D9" s="28"/>
      <c r="E9" s="68">
        <v>12024</v>
      </c>
      <c r="F9" s="69" t="s">
        <v>284</v>
      </c>
      <c r="G9" s="46" t="s">
        <v>7</v>
      </c>
      <c r="H9" s="37">
        <v>150</v>
      </c>
      <c r="I9" s="37">
        <v>150</v>
      </c>
      <c r="J9" s="28"/>
      <c r="K9" s="69"/>
      <c r="L9" s="83"/>
      <c r="M9" s="41"/>
      <c r="R9" s="1">
        <f>IF(vend15[[#This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12025</v>
      </c>
      <c r="F10" s="69" t="s">
        <v>285</v>
      </c>
      <c r="G10" s="47" t="s">
        <v>8</v>
      </c>
      <c r="H10" s="37">
        <v>149</v>
      </c>
      <c r="I10" s="37">
        <v>149</v>
      </c>
      <c r="J10" s="28"/>
      <c r="K10" s="69"/>
      <c r="L10" s="83"/>
      <c r="M10" s="41"/>
      <c r="R10" s="1">
        <f>IF(vend15[[#This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1990</v>
      </c>
      <c r="D11" s="28"/>
      <c r="E11" s="68">
        <v>12026</v>
      </c>
      <c r="F11" s="69" t="s">
        <v>172</v>
      </c>
      <c r="G11" s="47" t="s">
        <v>35</v>
      </c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IF(vend15[[#This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4613</v>
      </c>
      <c r="D12" s="28"/>
      <c r="E12" s="68">
        <v>12027</v>
      </c>
      <c r="F12" s="69" t="s">
        <v>289</v>
      </c>
      <c r="G12" s="47" t="s">
        <v>8</v>
      </c>
      <c r="H12" s="37">
        <v>119</v>
      </c>
      <c r="I12" s="37">
        <v>119</v>
      </c>
      <c r="J12" s="28"/>
      <c r="K12" s="31"/>
      <c r="L12" s="31"/>
      <c r="M12" s="31"/>
      <c r="R12" s="1">
        <f>IF(vend15[[#This Row],[Nº Venda]]&gt;1,1,0)</f>
        <v>1</v>
      </c>
    </row>
    <row r="13" spans="2:18" ht="16.5" x14ac:dyDescent="0.3">
      <c r="B13" s="26" t="s">
        <v>8</v>
      </c>
      <c r="C13" s="62">
        <f t="shared" si="0"/>
        <v>397</v>
      </c>
      <c r="D13" s="28"/>
      <c r="E13" s="68">
        <v>12028</v>
      </c>
      <c r="F13" s="69" t="s">
        <v>292</v>
      </c>
      <c r="G13" s="47" t="s">
        <v>7</v>
      </c>
      <c r="H13" s="37">
        <v>218</v>
      </c>
      <c r="I13" s="37">
        <v>100</v>
      </c>
      <c r="J13" s="28"/>
      <c r="K13" s="96" t="s">
        <v>141</v>
      </c>
      <c r="L13" s="97"/>
      <c r="M13" s="98"/>
      <c r="R13" s="1">
        <f>IF(vend15[[#This Row],[Nº Venda]]&gt;1,1,0)</f>
        <v>1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>
        <v>12029</v>
      </c>
      <c r="F14" s="69" t="s">
        <v>293</v>
      </c>
      <c r="G14" s="47" t="s">
        <v>7</v>
      </c>
      <c r="H14" s="37">
        <v>399</v>
      </c>
      <c r="I14" s="37">
        <v>399</v>
      </c>
      <c r="J14" s="28"/>
      <c r="K14" s="20" t="s">
        <v>21</v>
      </c>
      <c r="L14" s="21" t="s">
        <v>22</v>
      </c>
      <c r="M14" s="22" t="s">
        <v>23</v>
      </c>
      <c r="R14" s="1">
        <f>IF(vend15[[#This Row],[Nº Venda]]&gt;1,1,0)</f>
        <v>1</v>
      </c>
    </row>
    <row r="15" spans="2:18" ht="16.5" x14ac:dyDescent="0.3">
      <c r="B15" s="26" t="s">
        <v>10</v>
      </c>
      <c r="C15" s="62">
        <f t="shared" si="0"/>
        <v>1585</v>
      </c>
      <c r="D15" s="28"/>
      <c r="E15" s="68">
        <v>12030</v>
      </c>
      <c r="F15" s="69" t="s">
        <v>293</v>
      </c>
      <c r="G15" s="47" t="s">
        <v>7</v>
      </c>
      <c r="H15" s="37">
        <v>399</v>
      </c>
      <c r="I15" s="37">
        <v>399</v>
      </c>
      <c r="J15" s="28"/>
      <c r="K15" s="68">
        <v>12025</v>
      </c>
      <c r="L15" s="83" t="s">
        <v>130</v>
      </c>
      <c r="M15" s="41" t="s">
        <v>148</v>
      </c>
      <c r="R15" s="1">
        <f>IF(vend15[[#This Row],[Nº Venda]]&gt;1,1,0)</f>
        <v>1</v>
      </c>
    </row>
    <row r="16" spans="2:18" ht="16.5" x14ac:dyDescent="0.3">
      <c r="B16" s="29" t="s">
        <v>11</v>
      </c>
      <c r="C16" s="63">
        <f>SUM(C11:C15)</f>
        <v>8585</v>
      </c>
      <c r="D16" s="28"/>
      <c r="E16" s="68">
        <v>12031</v>
      </c>
      <c r="F16" s="69" t="s">
        <v>294</v>
      </c>
      <c r="G16" s="47" t="s">
        <v>10</v>
      </c>
      <c r="H16" s="37">
        <v>1515</v>
      </c>
      <c r="I16" s="37">
        <v>1515</v>
      </c>
      <c r="J16" s="28"/>
      <c r="K16" s="68">
        <v>11598</v>
      </c>
      <c r="L16" s="83" t="s">
        <v>128</v>
      </c>
      <c r="M16" s="41" t="s">
        <v>148</v>
      </c>
      <c r="R16" s="1">
        <f>IF(vend15[[#This Row],[Nº Venda]]&gt;1,1,0)</f>
        <v>1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11898</v>
      </c>
      <c r="L17" s="83" t="s">
        <v>128</v>
      </c>
      <c r="M17" s="41" t="s">
        <v>148</v>
      </c>
      <c r="R17" s="1">
        <f>IF(vend15[[#This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11900</v>
      </c>
      <c r="L18" s="83" t="s">
        <v>128</v>
      </c>
      <c r="M18" s="41" t="s">
        <v>148</v>
      </c>
      <c r="R18" s="1">
        <f>IF(vend15[[#This Row],[Nº Venda]]&gt;1,1,0)</f>
        <v>0</v>
      </c>
    </row>
    <row r="19" spans="2:18" ht="16.5" x14ac:dyDescent="0.3">
      <c r="B19" s="26">
        <f>COUNT(entr_carn15[OS])</f>
        <v>1</v>
      </c>
      <c r="C19" s="62">
        <f>SUM(entr_carn15[Valor Total])</f>
        <v>480</v>
      </c>
      <c r="D19" s="28"/>
      <c r="E19" s="68"/>
      <c r="F19" s="69"/>
      <c r="G19" s="47"/>
      <c r="H19" s="37"/>
      <c r="I19" s="37"/>
      <c r="J19" s="28"/>
      <c r="K19" s="68">
        <v>11887</v>
      </c>
      <c r="L19" s="83" t="s">
        <v>130</v>
      </c>
      <c r="M19" s="41" t="s">
        <v>160</v>
      </c>
      <c r="R19" s="1">
        <f>IF(vend15[[#This Row],[Nº Venda]]&gt;1,1,0)</f>
        <v>0</v>
      </c>
    </row>
    <row r="20" spans="2:18" ht="16.5" x14ac:dyDescent="0.3">
      <c r="B20" s="29" t="s">
        <v>11</v>
      </c>
      <c r="C20" s="63">
        <f>SUM(C19:C19)</f>
        <v>480</v>
      </c>
      <c r="D20" s="28"/>
      <c r="E20" s="68"/>
      <c r="F20" s="47"/>
      <c r="G20" s="47"/>
      <c r="H20" s="37"/>
      <c r="I20" s="37"/>
      <c r="J20" s="28"/>
      <c r="K20" s="68">
        <v>11988</v>
      </c>
      <c r="L20" s="83" t="s">
        <v>128</v>
      </c>
      <c r="M20" s="41" t="s">
        <v>148</v>
      </c>
      <c r="R20" s="1">
        <f>IF(vend15[[#This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11599</v>
      </c>
      <c r="L21" s="83" t="s">
        <v>128</v>
      </c>
      <c r="M21" s="41" t="s">
        <v>148</v>
      </c>
    </row>
    <row r="22" spans="2:18" ht="16.5" x14ac:dyDescent="0.3">
      <c r="B22" s="29" t="s">
        <v>24</v>
      </c>
      <c r="C22" s="32">
        <f>C5</f>
        <v>6043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11598</v>
      </c>
      <c r="F26" s="69" t="s">
        <v>286</v>
      </c>
      <c r="G26" s="46" t="s">
        <v>6</v>
      </c>
      <c r="H26" s="37"/>
      <c r="I26" s="37">
        <v>1990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11889</v>
      </c>
      <c r="F27" s="69" t="s">
        <v>290</v>
      </c>
      <c r="G27" s="47" t="s">
        <v>8</v>
      </c>
      <c r="H27" s="37">
        <v>129</v>
      </c>
      <c r="I27" s="37">
        <v>129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>
        <v>11898</v>
      </c>
      <c r="F28" s="69" t="s">
        <v>291</v>
      </c>
      <c r="G28" s="47" t="s">
        <v>7</v>
      </c>
      <c r="H28" s="37"/>
      <c r="I28" s="37">
        <v>590</v>
      </c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>
        <v>11900</v>
      </c>
      <c r="F29" s="69" t="s">
        <v>291</v>
      </c>
      <c r="G29" s="47" t="s">
        <v>7</v>
      </c>
      <c r="H29" s="37"/>
      <c r="I29" s="37">
        <v>10</v>
      </c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11309</v>
      </c>
      <c r="F35" s="69" t="s">
        <v>296</v>
      </c>
      <c r="G35" s="47" t="s">
        <v>10</v>
      </c>
      <c r="H35" s="37">
        <v>70</v>
      </c>
      <c r="I35" s="37" t="s">
        <v>78</v>
      </c>
      <c r="J35" s="36"/>
      <c r="K35" s="68">
        <v>11898</v>
      </c>
      <c r="L35" s="68">
        <v>3</v>
      </c>
      <c r="M35" s="83">
        <v>480</v>
      </c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11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view="pageBreakPreview" zoomScale="96" zoomScaleNormal="90" zoomScaleSheetLayoutView="96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'15'!B1+1</f>
        <v>45946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580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230</v>
      </c>
      <c r="D6" s="28"/>
      <c r="E6" s="68">
        <v>12032</v>
      </c>
      <c r="F6" s="69" t="s">
        <v>297</v>
      </c>
      <c r="G6" s="46" t="s">
        <v>35</v>
      </c>
      <c r="H6" s="37">
        <v>0</v>
      </c>
      <c r="I6" s="37">
        <v>0</v>
      </c>
      <c r="J6" s="28"/>
      <c r="K6" s="69"/>
      <c r="L6" s="83"/>
      <c r="M6" s="41"/>
      <c r="R6" s="1">
        <f>IF(vend16[[#This Row],[Nº Venda]]&gt;1,1,0)</f>
        <v>1</v>
      </c>
    </row>
    <row r="7" spans="2:18" ht="16.5" x14ac:dyDescent="0.3">
      <c r="B7" s="26" t="s">
        <v>3</v>
      </c>
      <c r="C7" s="27">
        <f>SUM(M6:M11)</f>
        <v>0</v>
      </c>
      <c r="D7" s="28"/>
      <c r="E7" s="68">
        <v>12033</v>
      </c>
      <c r="F7" s="69" t="s">
        <v>298</v>
      </c>
      <c r="G7" s="46" t="s">
        <v>6</v>
      </c>
      <c r="H7" s="37">
        <v>400</v>
      </c>
      <c r="I7" s="37">
        <v>50</v>
      </c>
      <c r="J7" s="28"/>
      <c r="K7" s="69"/>
      <c r="L7" s="83"/>
      <c r="M7" s="41"/>
      <c r="R7" s="1">
        <f>IF(vend16[[#This Row],[Nº Venda]]&gt;1,1,0)</f>
        <v>1</v>
      </c>
    </row>
    <row r="8" spans="2:18" ht="16.5" x14ac:dyDescent="0.3">
      <c r="B8" s="29" t="s">
        <v>20</v>
      </c>
      <c r="C8" s="30">
        <f>SUM(C6:C7)</f>
        <v>230</v>
      </c>
      <c r="D8" s="28"/>
      <c r="E8" s="68">
        <v>12033</v>
      </c>
      <c r="F8" s="69" t="s">
        <v>298</v>
      </c>
      <c r="G8" s="47" t="s">
        <v>7</v>
      </c>
      <c r="H8" s="37"/>
      <c r="I8" s="37">
        <v>150</v>
      </c>
      <c r="J8" s="28"/>
      <c r="K8" s="69"/>
      <c r="L8" s="83"/>
      <c r="M8" s="41"/>
      <c r="R8" s="1">
        <f>IF(vend16[[#This Row],[Nº Venda]]&gt;1,1,0)</f>
        <v>1</v>
      </c>
    </row>
    <row r="9" spans="2:18" ht="16.5" x14ac:dyDescent="0.3">
      <c r="B9" s="25"/>
      <c r="C9" s="25"/>
      <c r="D9" s="28"/>
      <c r="E9" s="68">
        <v>12034</v>
      </c>
      <c r="F9" s="69" t="s">
        <v>299</v>
      </c>
      <c r="G9" s="47" t="s">
        <v>45</v>
      </c>
      <c r="H9" s="37">
        <v>45</v>
      </c>
      <c r="I9" s="37">
        <v>0</v>
      </c>
      <c r="J9" s="28"/>
      <c r="K9" s="69"/>
      <c r="L9" s="83"/>
      <c r="M9" s="41"/>
      <c r="R9" s="1">
        <f>IF(vend16[[#This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12035</v>
      </c>
      <c r="F10" s="69" t="s">
        <v>300</v>
      </c>
      <c r="G10" s="47" t="s">
        <v>7</v>
      </c>
      <c r="H10" s="37">
        <v>180</v>
      </c>
      <c r="I10" s="37">
        <v>30</v>
      </c>
      <c r="J10" s="28"/>
      <c r="K10" s="69"/>
      <c r="L10" s="83"/>
      <c r="M10" s="41"/>
      <c r="R10" s="1">
        <f>IF(vend16[[#This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50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IF(vend16[[#This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180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IF(vend16[[#This Row],[Nº Venda]]&gt;1,1,0)</f>
        <v>0</v>
      </c>
    </row>
    <row r="13" spans="2:18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IF(vend16[[#This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IF(vend16[[#This Row],[Nº Venda]]&gt;1,1,0)</f>
        <v>0</v>
      </c>
    </row>
    <row r="15" spans="2:18" ht="16.5" x14ac:dyDescent="0.3">
      <c r="B15" s="26" t="s">
        <v>10</v>
      </c>
      <c r="C15" s="62">
        <f t="shared" si="0"/>
        <v>0</v>
      </c>
      <c r="D15" s="28"/>
      <c r="E15" s="68"/>
      <c r="F15" s="69"/>
      <c r="G15" s="47"/>
      <c r="H15" s="37"/>
      <c r="I15" s="37"/>
      <c r="J15" s="28"/>
      <c r="K15" s="68">
        <v>11875</v>
      </c>
      <c r="L15" s="83" t="s">
        <v>128</v>
      </c>
      <c r="M15" s="41" t="s">
        <v>160</v>
      </c>
      <c r="R15" s="1">
        <f>IF(vend16[[#This Row],[Nº Venda]]&gt;1,1,0)</f>
        <v>0</v>
      </c>
    </row>
    <row r="16" spans="2:18" ht="16.5" x14ac:dyDescent="0.3">
      <c r="B16" s="29" t="s">
        <v>11</v>
      </c>
      <c r="C16" s="63">
        <f>SUM(C11:C15)</f>
        <v>230</v>
      </c>
      <c r="D16" s="28"/>
      <c r="E16" s="68"/>
      <c r="F16" s="69"/>
      <c r="G16" s="47"/>
      <c r="H16" s="37"/>
      <c r="I16" s="37"/>
      <c r="J16" s="28"/>
      <c r="K16" s="68">
        <v>11915</v>
      </c>
      <c r="L16" s="83" t="s">
        <v>128</v>
      </c>
      <c r="M16" s="41" t="s">
        <v>148</v>
      </c>
      <c r="R16" s="1">
        <f>IF(vend16[[#This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1985</v>
      </c>
      <c r="L17" s="83" t="s">
        <v>130</v>
      </c>
      <c r="M17" s="41" t="s">
        <v>148</v>
      </c>
      <c r="R17" s="1">
        <f>IF(vend16[[#This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11984</v>
      </c>
      <c r="L18" s="83" t="s">
        <v>130</v>
      </c>
      <c r="M18" s="41" t="s">
        <v>148</v>
      </c>
      <c r="R18" s="1">
        <f>IF(vend16[[#This Row],[Nº Venda]]&gt;1,1,0)</f>
        <v>0</v>
      </c>
    </row>
    <row r="19" spans="2:18" ht="16.5" x14ac:dyDescent="0.3">
      <c r="B19" s="26">
        <f>COUNT(entr_carn16[OS])</f>
        <v>1</v>
      </c>
      <c r="C19" s="62">
        <f>SUM(entr_carn16[Valor Total])</f>
        <v>840</v>
      </c>
      <c r="D19" s="28"/>
      <c r="E19" s="68"/>
      <c r="F19" s="69"/>
      <c r="G19" s="47"/>
      <c r="H19" s="37"/>
      <c r="I19" s="37"/>
      <c r="J19" s="28"/>
      <c r="K19" s="68">
        <v>11947</v>
      </c>
      <c r="L19" s="83" t="s">
        <v>128</v>
      </c>
      <c r="M19" s="41" t="s">
        <v>148</v>
      </c>
      <c r="R19" s="1">
        <f>IF(vend16[[#This Row],[Nº Venda]]&gt;1,1,0)</f>
        <v>0</v>
      </c>
    </row>
    <row r="20" spans="2:18" ht="16.5" x14ac:dyDescent="0.3">
      <c r="B20" s="29" t="s">
        <v>11</v>
      </c>
      <c r="C20" s="63">
        <f>SUM(C19:C19)</f>
        <v>840</v>
      </c>
      <c r="D20" s="28"/>
      <c r="E20" s="68"/>
      <c r="F20" s="47"/>
      <c r="G20" s="47"/>
      <c r="H20" s="37"/>
      <c r="I20" s="37"/>
      <c r="J20" s="28"/>
      <c r="K20" s="68">
        <v>11951</v>
      </c>
      <c r="L20" s="83" t="s">
        <v>130</v>
      </c>
      <c r="M20" s="41" t="s">
        <v>148</v>
      </c>
      <c r="R20" s="1">
        <f>IF(vend16[[#This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190</v>
      </c>
      <c r="L21" s="83" t="s">
        <v>128</v>
      </c>
      <c r="M21" s="41" t="s">
        <v>148</v>
      </c>
    </row>
    <row r="22" spans="2:18" ht="16.5" x14ac:dyDescent="0.3">
      <c r="B22" s="29" t="s">
        <v>24</v>
      </c>
      <c r="C22" s="32">
        <f>C5</f>
        <v>580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/>
      <c r="F26" s="69"/>
      <c r="G26" s="46"/>
      <c r="H26" s="37"/>
      <c r="I26" s="37"/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>
        <v>11875</v>
      </c>
      <c r="L35" s="68">
        <v>7</v>
      </c>
      <c r="M35" s="83">
        <v>840</v>
      </c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5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view="pageBreakPreview" topLeftCell="A2" zoomScale="91" zoomScaleNormal="90" zoomScaleSheetLayoutView="91" workbookViewId="0">
      <selection activeCell="I30" sqref="I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'16'!B1+1</f>
        <v>45947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2468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2093</v>
      </c>
      <c r="D6" s="28"/>
      <c r="E6" s="68">
        <v>12036</v>
      </c>
      <c r="F6" s="69" t="s">
        <v>305</v>
      </c>
      <c r="G6" s="47" t="s">
        <v>45</v>
      </c>
      <c r="H6" s="37">
        <v>39</v>
      </c>
      <c r="I6" s="37">
        <v>0</v>
      </c>
      <c r="J6" s="28"/>
      <c r="K6" s="69" t="s">
        <v>304</v>
      </c>
      <c r="L6" s="83" t="s">
        <v>10</v>
      </c>
      <c r="M6" s="41">
        <v>4.25</v>
      </c>
      <c r="R6" s="1">
        <f>IF(vend17[[#This Row],[Nº Venda]]&gt;1,1,0)</f>
        <v>1</v>
      </c>
    </row>
    <row r="7" spans="2:18" ht="16.5" x14ac:dyDescent="0.3">
      <c r="B7" s="26" t="s">
        <v>3</v>
      </c>
      <c r="C7" s="27">
        <f>SUM(M6:M11)</f>
        <v>4.25</v>
      </c>
      <c r="D7" s="28"/>
      <c r="E7" s="68">
        <v>12037</v>
      </c>
      <c r="F7" s="69" t="s">
        <v>281</v>
      </c>
      <c r="G7" s="47" t="s">
        <v>45</v>
      </c>
      <c r="H7" s="37">
        <v>45</v>
      </c>
      <c r="I7" s="37">
        <v>0</v>
      </c>
      <c r="J7" s="28"/>
      <c r="K7" s="69"/>
      <c r="L7" s="83"/>
      <c r="M7" s="41"/>
      <c r="R7" s="1">
        <f>IF(vend17[[#This Row],[Nº Venda]]&gt;1,1,0)</f>
        <v>1</v>
      </c>
    </row>
    <row r="8" spans="2:18" ht="16.5" x14ac:dyDescent="0.3">
      <c r="B8" s="29" t="s">
        <v>20</v>
      </c>
      <c r="C8" s="30">
        <f>SUM(C6:C7)</f>
        <v>2097.25</v>
      </c>
      <c r="D8" s="28"/>
      <c r="E8" s="68">
        <v>12038</v>
      </c>
      <c r="F8" s="69" t="s">
        <v>306</v>
      </c>
      <c r="G8" s="47" t="s">
        <v>8</v>
      </c>
      <c r="H8" s="37">
        <v>890</v>
      </c>
      <c r="I8" s="37">
        <v>890</v>
      </c>
      <c r="J8" s="28"/>
      <c r="K8" s="69"/>
      <c r="L8" s="83"/>
      <c r="M8" s="41"/>
      <c r="R8" s="1">
        <f>IF(vend17[[#This Row],[Nº Venda]]&gt;1,1,0)</f>
        <v>1</v>
      </c>
    </row>
    <row r="9" spans="2:18" ht="16.5" x14ac:dyDescent="0.3">
      <c r="B9" s="25"/>
      <c r="C9" s="25"/>
      <c r="D9" s="28"/>
      <c r="E9" s="68">
        <v>12039</v>
      </c>
      <c r="F9" s="69" t="s">
        <v>307</v>
      </c>
      <c r="G9" s="47" t="s">
        <v>8</v>
      </c>
      <c r="H9" s="37">
        <v>80</v>
      </c>
      <c r="I9" s="37">
        <v>80</v>
      </c>
      <c r="J9" s="28"/>
      <c r="K9" s="69"/>
      <c r="L9" s="83"/>
      <c r="M9" s="41"/>
      <c r="R9" s="1">
        <f>IF(vend17[[#This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12040</v>
      </c>
      <c r="F10" s="69" t="s">
        <v>308</v>
      </c>
      <c r="G10" s="47" t="s">
        <v>6</v>
      </c>
      <c r="H10" s="37">
        <v>699</v>
      </c>
      <c r="I10" s="37">
        <v>13</v>
      </c>
      <c r="J10" s="28"/>
      <c r="K10" s="69"/>
      <c r="L10" s="83"/>
      <c r="M10" s="41"/>
      <c r="R10" s="1">
        <f>IF(vend17[[#This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163</v>
      </c>
      <c r="D11" s="28"/>
      <c r="E11" s="68">
        <v>12041</v>
      </c>
      <c r="F11" s="69" t="s">
        <v>309</v>
      </c>
      <c r="G11" s="47" t="s">
        <v>8</v>
      </c>
      <c r="H11" s="37">
        <v>799</v>
      </c>
      <c r="I11" s="37">
        <v>300</v>
      </c>
      <c r="J11" s="28"/>
      <c r="K11" s="36"/>
      <c r="L11" s="83"/>
      <c r="M11" s="41"/>
      <c r="O11" s="1">
        <f>IF(C16=0,0,1)</f>
        <v>1</v>
      </c>
      <c r="R11" s="1">
        <f>IF(vend17[[#This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IF(vend17[[#This Row],[Nº Venda]]&gt;1,1,0)</f>
        <v>0</v>
      </c>
    </row>
    <row r="13" spans="2:18" ht="16.5" x14ac:dyDescent="0.3">
      <c r="B13" s="26" t="s">
        <v>8</v>
      </c>
      <c r="C13" s="62">
        <f t="shared" si="0"/>
        <v>1440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IF(vend17[[#This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IF(vend17[[#This Row],[Nº Venda]]&gt;1,1,0)</f>
        <v>0</v>
      </c>
    </row>
    <row r="15" spans="2:18" ht="16.5" x14ac:dyDescent="0.3">
      <c r="B15" s="26" t="s">
        <v>10</v>
      </c>
      <c r="C15" s="62">
        <f t="shared" si="0"/>
        <v>490</v>
      </c>
      <c r="D15" s="28"/>
      <c r="E15" s="68"/>
      <c r="F15" s="69"/>
      <c r="G15" s="47"/>
      <c r="H15" s="37"/>
      <c r="I15" s="37"/>
      <c r="J15" s="28"/>
      <c r="K15" s="68">
        <v>12039</v>
      </c>
      <c r="L15" s="83" t="s">
        <v>130</v>
      </c>
      <c r="M15" s="41" t="s">
        <v>148</v>
      </c>
      <c r="R15" s="1">
        <f>IF(vend17[[#This Row],[Nº Venda]]&gt;1,1,0)</f>
        <v>0</v>
      </c>
    </row>
    <row r="16" spans="2:18" ht="16.5" x14ac:dyDescent="0.3">
      <c r="B16" s="29" t="s">
        <v>11</v>
      </c>
      <c r="C16" s="63">
        <f>SUM(C11:C15)</f>
        <v>2093</v>
      </c>
      <c r="D16" s="28"/>
      <c r="E16" s="68"/>
      <c r="F16" s="69"/>
      <c r="G16" s="47"/>
      <c r="H16" s="37"/>
      <c r="I16" s="37"/>
      <c r="J16" s="28"/>
      <c r="K16" s="68">
        <v>11958</v>
      </c>
      <c r="L16" s="83" t="s">
        <v>128</v>
      </c>
      <c r="M16" s="41" t="s">
        <v>148</v>
      </c>
      <c r="R16" s="1">
        <f>IF(vend17[[#This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11884</v>
      </c>
      <c r="L17" s="83" t="s">
        <v>130</v>
      </c>
      <c r="M17" s="41" t="s">
        <v>148</v>
      </c>
      <c r="R17" s="1">
        <f>IF(vend17[[#This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11970</v>
      </c>
      <c r="L18" s="83" t="s">
        <v>128</v>
      </c>
      <c r="M18" s="41" t="s">
        <v>148</v>
      </c>
      <c r="R18" s="1">
        <f>IF(vend17[[#This Row],[Nº Venda]]&gt;1,1,0)</f>
        <v>0</v>
      </c>
    </row>
    <row r="19" spans="2:18" ht="16.5" x14ac:dyDescent="0.3">
      <c r="B19" s="26">
        <f>COUNT(entr_carn17[OS])</f>
        <v>2</v>
      </c>
      <c r="C19" s="62">
        <f>SUM(entr_carn17[Valor Total])</f>
        <v>1088.96</v>
      </c>
      <c r="D19" s="28"/>
      <c r="E19" s="68"/>
      <c r="F19" s="69"/>
      <c r="G19" s="47"/>
      <c r="H19" s="37"/>
      <c r="I19" s="37"/>
      <c r="J19" s="28"/>
      <c r="K19" s="68">
        <v>11950</v>
      </c>
      <c r="L19" s="83" t="s">
        <v>130</v>
      </c>
      <c r="M19" s="41" t="s">
        <v>148</v>
      </c>
      <c r="R19" s="1">
        <f>IF(vend17[[#This Row],[Nº Venda]]&gt;1,1,0)</f>
        <v>0</v>
      </c>
    </row>
    <row r="20" spans="2:18" ht="16.5" x14ac:dyDescent="0.3">
      <c r="B20" s="29" t="s">
        <v>11</v>
      </c>
      <c r="C20" s="63">
        <f>SUM(C19:C19)</f>
        <v>1088.96</v>
      </c>
      <c r="D20" s="28"/>
      <c r="E20" s="68"/>
      <c r="F20" s="47"/>
      <c r="G20" s="47"/>
      <c r="H20" s="37"/>
      <c r="I20" s="37"/>
      <c r="J20" s="28"/>
      <c r="K20" s="68">
        <v>11983</v>
      </c>
      <c r="L20" s="83" t="s">
        <v>130</v>
      </c>
      <c r="M20" s="41" t="s">
        <v>148</v>
      </c>
      <c r="R20" s="1">
        <f>IF(vend17[[#This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11933</v>
      </c>
      <c r="L21" s="83" t="s">
        <v>128</v>
      </c>
      <c r="M21" s="41" t="s">
        <v>148</v>
      </c>
    </row>
    <row r="22" spans="2:18" ht="16.5" x14ac:dyDescent="0.3">
      <c r="B22" s="29" t="s">
        <v>24</v>
      </c>
      <c r="C22" s="32">
        <f>C5</f>
        <v>2468</v>
      </c>
      <c r="D22" s="28"/>
      <c r="E22" s="70"/>
      <c r="F22" s="69"/>
      <c r="G22" s="47"/>
      <c r="H22" s="37"/>
      <c r="I22" s="37"/>
      <c r="J22" s="28"/>
      <c r="K22" s="68">
        <v>11934</v>
      </c>
      <c r="L22" s="83" t="s">
        <v>128</v>
      </c>
      <c r="M22" s="41" t="s">
        <v>148</v>
      </c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>
        <v>11969</v>
      </c>
      <c r="L23" s="83" t="s">
        <v>128</v>
      </c>
      <c r="M23" s="41" t="s">
        <v>148</v>
      </c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>
        <v>12019</v>
      </c>
      <c r="L24" s="83" t="s">
        <v>130</v>
      </c>
      <c r="M24" s="41" t="s">
        <v>148</v>
      </c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>
        <v>11946</v>
      </c>
      <c r="L25" s="83" t="s">
        <v>128</v>
      </c>
      <c r="M25" s="41" t="s">
        <v>148</v>
      </c>
    </row>
    <row r="26" spans="2:18" ht="16.5" x14ac:dyDescent="0.3">
      <c r="B26" s="28"/>
      <c r="C26" s="28"/>
      <c r="D26" s="28"/>
      <c r="E26" s="68">
        <v>11958</v>
      </c>
      <c r="F26" s="69" t="s">
        <v>179</v>
      </c>
      <c r="G26" s="47" t="s">
        <v>6</v>
      </c>
      <c r="H26" s="37"/>
      <c r="I26" s="37">
        <v>100</v>
      </c>
      <c r="J26" s="28"/>
      <c r="K26" s="68">
        <v>11866</v>
      </c>
      <c r="L26" s="83" t="s">
        <v>128</v>
      </c>
      <c r="M26" s="41" t="s">
        <v>148</v>
      </c>
    </row>
    <row r="27" spans="2:18" ht="16.5" x14ac:dyDescent="0.3">
      <c r="B27" s="28"/>
      <c r="C27" s="28"/>
      <c r="D27" s="28"/>
      <c r="E27" s="68">
        <v>11884</v>
      </c>
      <c r="F27" s="69" t="s">
        <v>310</v>
      </c>
      <c r="G27" s="47" t="s">
        <v>8</v>
      </c>
      <c r="H27" s="37"/>
      <c r="I27" s="37">
        <v>170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>
        <v>11983</v>
      </c>
      <c r="F28" s="69" t="s">
        <v>311</v>
      </c>
      <c r="G28" s="47" t="s">
        <v>6</v>
      </c>
      <c r="H28" s="37"/>
      <c r="I28" s="37">
        <v>50</v>
      </c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>
        <v>11946</v>
      </c>
      <c r="F29" s="69" t="s">
        <v>312</v>
      </c>
      <c r="G29" s="47" t="s">
        <v>10</v>
      </c>
      <c r="H29" s="37"/>
      <c r="I29" s="37">
        <v>490</v>
      </c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>
        <v>11983</v>
      </c>
      <c r="L35" s="68">
        <v>9</v>
      </c>
      <c r="M35" s="83">
        <v>948.96</v>
      </c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>
        <v>12019</v>
      </c>
      <c r="L36" s="68">
        <v>4</v>
      </c>
      <c r="M36" s="83">
        <v>140</v>
      </c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6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view="pageBreakPreview" zoomScale="96" zoomScaleNormal="90" zoomScaleSheetLayoutView="96" workbookViewId="0">
      <selection activeCell="F30" sqref="F30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5">
        <f>'17'!B1+1</f>
        <v>45948</v>
      </c>
      <c r="C1" s="105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3743.9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1993.9</v>
      </c>
      <c r="D6" s="28"/>
      <c r="E6" s="68">
        <v>12042</v>
      </c>
      <c r="F6" s="69" t="s">
        <v>301</v>
      </c>
      <c r="G6" s="47" t="s">
        <v>6</v>
      </c>
      <c r="H6" s="37">
        <v>2400</v>
      </c>
      <c r="I6" s="37">
        <v>250</v>
      </c>
      <c r="J6" s="28"/>
      <c r="K6" s="69" t="s">
        <v>318</v>
      </c>
      <c r="L6" s="38" t="s">
        <v>10</v>
      </c>
      <c r="M6" s="41">
        <v>4.17</v>
      </c>
      <c r="R6" s="1">
        <f>IF(vend18[[#This Row],[Nº Venda]]&gt;1,1,0)</f>
        <v>1</v>
      </c>
    </row>
    <row r="7" spans="2:18" ht="16.5" x14ac:dyDescent="0.3">
      <c r="B7" s="26" t="s">
        <v>3</v>
      </c>
      <c r="C7" s="27">
        <f>SUM(M6:M11)</f>
        <v>4.17</v>
      </c>
      <c r="D7" s="28"/>
      <c r="E7" s="68">
        <v>12043</v>
      </c>
      <c r="F7" s="69" t="s">
        <v>302</v>
      </c>
      <c r="G7" s="47" t="s">
        <v>6</v>
      </c>
      <c r="H7" s="37">
        <v>329</v>
      </c>
      <c r="I7" s="37">
        <v>329</v>
      </c>
      <c r="J7" s="28"/>
      <c r="K7" s="69"/>
      <c r="L7" s="83"/>
      <c r="M7" s="41"/>
      <c r="R7" s="1">
        <f>IF(vend18[[#This Row],[Nº Venda]]&gt;1,1,0)</f>
        <v>1</v>
      </c>
    </row>
    <row r="8" spans="2:18" ht="16.5" x14ac:dyDescent="0.3">
      <c r="B8" s="29" t="s">
        <v>20</v>
      </c>
      <c r="C8" s="30">
        <f>SUM(C6:C7)</f>
        <v>1998.0700000000002</v>
      </c>
      <c r="D8" s="28"/>
      <c r="E8" s="68">
        <v>12044</v>
      </c>
      <c r="F8" s="69" t="s">
        <v>302</v>
      </c>
      <c r="G8" s="47" t="s">
        <v>6</v>
      </c>
      <c r="H8" s="37">
        <v>329</v>
      </c>
      <c r="I8" s="37">
        <v>71</v>
      </c>
      <c r="J8" s="28"/>
      <c r="K8" s="69"/>
      <c r="L8" s="83"/>
      <c r="M8" s="41"/>
      <c r="R8" s="1">
        <f>IF(vend18[[#This Row],[Nº Venda]]&gt;1,1,0)</f>
        <v>1</v>
      </c>
    </row>
    <row r="9" spans="2:18" ht="16.5" x14ac:dyDescent="0.3">
      <c r="B9" s="25"/>
      <c r="C9" s="25"/>
      <c r="D9" s="28"/>
      <c r="E9" s="68">
        <v>12044</v>
      </c>
      <c r="F9" s="69" t="s">
        <v>302</v>
      </c>
      <c r="G9" s="47" t="s">
        <v>7</v>
      </c>
      <c r="H9" s="37"/>
      <c r="I9" s="37">
        <v>258</v>
      </c>
      <c r="J9" s="28"/>
      <c r="K9" s="69"/>
      <c r="L9" s="83"/>
      <c r="M9" s="41"/>
      <c r="R9" s="1">
        <f>IF(vend18[[#This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12045</v>
      </c>
      <c r="F10" s="69" t="s">
        <v>303</v>
      </c>
      <c r="G10" s="47" t="s">
        <v>7</v>
      </c>
      <c r="H10" s="37">
        <v>22</v>
      </c>
      <c r="I10" s="37">
        <v>22</v>
      </c>
      <c r="J10" s="28"/>
      <c r="K10" s="69"/>
      <c r="L10" s="83"/>
      <c r="M10" s="41"/>
      <c r="R10" s="1">
        <f>IF(vend18[[#This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1100</v>
      </c>
      <c r="D11" s="28"/>
      <c r="E11" s="68">
        <v>12046</v>
      </c>
      <c r="F11" s="69" t="s">
        <v>313</v>
      </c>
      <c r="G11" s="47" t="s">
        <v>6</v>
      </c>
      <c r="H11" s="37">
        <v>50</v>
      </c>
      <c r="I11" s="37">
        <v>50</v>
      </c>
      <c r="J11" s="28"/>
      <c r="K11" s="36"/>
      <c r="L11" s="83"/>
      <c r="M11" s="41"/>
      <c r="O11" s="1">
        <f>IF(C16=0,0,1)</f>
        <v>1</v>
      </c>
      <c r="R11" s="1">
        <f>IF(vend18[[#This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349.9</v>
      </c>
      <c r="D12" s="28"/>
      <c r="E12" s="68">
        <v>12047</v>
      </c>
      <c r="F12" s="69" t="s">
        <v>314</v>
      </c>
      <c r="G12" s="47" t="s">
        <v>8</v>
      </c>
      <c r="H12" s="37">
        <v>499</v>
      </c>
      <c r="I12" s="37">
        <v>499</v>
      </c>
      <c r="J12" s="28"/>
      <c r="K12" s="31"/>
      <c r="L12" s="31"/>
      <c r="M12" s="31"/>
      <c r="R12" s="1">
        <f>IF(vend18[[#This Row],[Nº Venda]]&gt;1,1,0)</f>
        <v>1</v>
      </c>
    </row>
    <row r="13" spans="2:18" ht="16.5" x14ac:dyDescent="0.3">
      <c r="B13" s="26" t="s">
        <v>8</v>
      </c>
      <c r="C13" s="62">
        <f t="shared" si="0"/>
        <v>499</v>
      </c>
      <c r="D13" s="28"/>
      <c r="E13" s="68">
        <v>12048</v>
      </c>
      <c r="F13" s="69" t="s">
        <v>319</v>
      </c>
      <c r="G13" s="47" t="s">
        <v>7</v>
      </c>
      <c r="H13" s="37">
        <v>69.900000000000006</v>
      </c>
      <c r="I13" s="37">
        <v>69.900000000000006</v>
      </c>
      <c r="J13" s="28"/>
      <c r="K13" s="96" t="s">
        <v>141</v>
      </c>
      <c r="L13" s="97"/>
      <c r="M13" s="98"/>
      <c r="R13" s="1">
        <f>IF(vend18[[#This Row],[Nº Venda]]&gt;1,1,0)</f>
        <v>1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IF(vend18[[#This Row],[Nº Venda]]&gt;1,1,0)</f>
        <v>0</v>
      </c>
    </row>
    <row r="15" spans="2:18" ht="16.5" x14ac:dyDescent="0.3">
      <c r="B15" s="26" t="s">
        <v>10</v>
      </c>
      <c r="C15" s="62">
        <f t="shared" si="0"/>
        <v>45</v>
      </c>
      <c r="D15" s="28"/>
      <c r="E15" s="68"/>
      <c r="F15" s="69"/>
      <c r="G15" s="47"/>
      <c r="H15" s="37"/>
      <c r="I15" s="37"/>
      <c r="J15" s="28"/>
      <c r="K15" s="68">
        <v>12004</v>
      </c>
      <c r="L15" s="83" t="s">
        <v>128</v>
      </c>
      <c r="M15" s="41" t="s">
        <v>148</v>
      </c>
      <c r="R15" s="1">
        <f>IF(vend18[[#This Row],[Nº Venda]]&gt;1,1,0)</f>
        <v>0</v>
      </c>
    </row>
    <row r="16" spans="2:18" ht="16.5" x14ac:dyDescent="0.3">
      <c r="B16" s="29" t="s">
        <v>11</v>
      </c>
      <c r="C16" s="63">
        <f>SUM(C11:C15)</f>
        <v>1993.9</v>
      </c>
      <c r="D16" s="28"/>
      <c r="E16" s="68"/>
      <c r="F16" s="69"/>
      <c r="G16" s="47"/>
      <c r="H16" s="37"/>
      <c r="I16" s="37"/>
      <c r="J16" s="28"/>
      <c r="K16" s="68">
        <v>11862</v>
      </c>
      <c r="L16" s="83" t="s">
        <v>130</v>
      </c>
      <c r="M16" s="41" t="s">
        <v>148</v>
      </c>
      <c r="R16" s="1">
        <f>IF(vend18[[#This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11861</v>
      </c>
      <c r="L17" s="83" t="s">
        <v>130</v>
      </c>
      <c r="M17" s="41" t="s">
        <v>148</v>
      </c>
      <c r="R17" s="1">
        <f>IF(vend18[[#This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11942</v>
      </c>
      <c r="L18" s="83" t="s">
        <v>130</v>
      </c>
      <c r="M18" s="41" t="s">
        <v>148</v>
      </c>
      <c r="R18" s="1">
        <f>IF(vend18[[#This Row],[Nº Venda]]&gt;1,1,0)</f>
        <v>0</v>
      </c>
    </row>
    <row r="19" spans="2:18" ht="16.5" x14ac:dyDescent="0.3">
      <c r="B19" s="26">
        <f>COUNT(entr_carn18[OS])</f>
        <v>0</v>
      </c>
      <c r="C19" s="62">
        <f>SUM(entr_carn18[Valor Total])</f>
        <v>0</v>
      </c>
      <c r="D19" s="28"/>
      <c r="E19" s="68"/>
      <c r="F19" s="69"/>
      <c r="G19" s="47"/>
      <c r="H19" s="37"/>
      <c r="I19" s="37"/>
      <c r="J19" s="28"/>
      <c r="K19" s="68">
        <v>12045</v>
      </c>
      <c r="L19" s="83" t="s">
        <v>130</v>
      </c>
      <c r="M19" s="41" t="s">
        <v>148</v>
      </c>
      <c r="R19" s="1">
        <f>IF(vend18[[#This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>
        <v>12027</v>
      </c>
      <c r="L20" s="83" t="s">
        <v>130</v>
      </c>
      <c r="M20" s="41" t="s">
        <v>148</v>
      </c>
      <c r="R20" s="1">
        <f>IF(vend18[[#This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12037</v>
      </c>
      <c r="L21" s="83" t="s">
        <v>128</v>
      </c>
      <c r="M21" s="41" t="s">
        <v>148</v>
      </c>
    </row>
    <row r="22" spans="2:18" ht="16.5" x14ac:dyDescent="0.3">
      <c r="B22" s="29" t="s">
        <v>24</v>
      </c>
      <c r="C22" s="32">
        <f>C5</f>
        <v>3743.9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53"/>
      <c r="G23" s="39"/>
      <c r="H23" s="40"/>
      <c r="I23" s="40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12040</v>
      </c>
      <c r="F26" s="72" t="s">
        <v>315</v>
      </c>
      <c r="G26" s="47" t="s">
        <v>6</v>
      </c>
      <c r="H26" s="37"/>
      <c r="I26" s="37">
        <v>100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12015</v>
      </c>
      <c r="F27" s="69" t="s">
        <v>316</v>
      </c>
      <c r="G27" s="47" t="s">
        <v>6</v>
      </c>
      <c r="H27" s="37"/>
      <c r="I27" s="37">
        <v>300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>
        <v>12037</v>
      </c>
      <c r="F28" s="69" t="s">
        <v>317</v>
      </c>
      <c r="G28" s="47" t="s">
        <v>10</v>
      </c>
      <c r="H28" s="37">
        <v>45</v>
      </c>
      <c r="I28" s="37">
        <v>45</v>
      </c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8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view="pageBreakPreview" zoomScale="70" zoomScaleNormal="90" zoomScaleSheetLayoutView="7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'18'!B1+1</f>
        <v>45949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0</v>
      </c>
      <c r="D6" s="28"/>
      <c r="E6" s="68"/>
      <c r="F6" s="69"/>
      <c r="G6" s="47"/>
      <c r="H6" s="37"/>
      <c r="I6" s="37"/>
      <c r="J6" s="28"/>
      <c r="K6" s="69"/>
      <c r="L6" s="83"/>
      <c r="M6" s="41"/>
      <c r="R6" s="1">
        <f>IF(vend19[[#This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68"/>
      <c r="F7" s="69"/>
      <c r="G7" s="47"/>
      <c r="H7" s="37"/>
      <c r="I7" s="37"/>
      <c r="J7" s="28"/>
      <c r="K7" s="69"/>
      <c r="L7" s="83"/>
      <c r="M7" s="41"/>
      <c r="R7" s="1">
        <f>IF(vend19[[#This Row],[Nº Venda]]&gt;1,1,0)</f>
        <v>0</v>
      </c>
    </row>
    <row r="8" spans="2:18" ht="16.5" x14ac:dyDescent="0.3">
      <c r="B8" s="29" t="s">
        <v>20</v>
      </c>
      <c r="C8" s="30">
        <f>SUM(C6:C7)</f>
        <v>0</v>
      </c>
      <c r="D8" s="28"/>
      <c r="E8" s="68"/>
      <c r="F8" s="69"/>
      <c r="G8" s="47"/>
      <c r="H8" s="37"/>
      <c r="I8" s="37"/>
      <c r="J8" s="28"/>
      <c r="K8" s="69"/>
      <c r="L8" s="83"/>
      <c r="M8" s="41"/>
      <c r="R8" s="1">
        <f>IF(vend19[[#This Row],[Nº Venda]]&gt;1,1,0)</f>
        <v>0</v>
      </c>
    </row>
    <row r="9" spans="2:18" ht="16.5" x14ac:dyDescent="0.3">
      <c r="B9" s="25"/>
      <c r="C9" s="25"/>
      <c r="D9" s="28"/>
      <c r="E9" s="68"/>
      <c r="F9" s="69"/>
      <c r="G9" s="47"/>
      <c r="H9" s="37"/>
      <c r="I9" s="37"/>
      <c r="J9" s="28"/>
      <c r="K9" s="69"/>
      <c r="L9" s="83"/>
      <c r="M9" s="41"/>
      <c r="R9" s="1">
        <f>IF(vend19[[#This Row],[Nº Venda]]&gt;1,1,0)</f>
        <v>0</v>
      </c>
    </row>
    <row r="10" spans="2:18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IF(vend19[[#This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0</v>
      </c>
      <c r="R11" s="1">
        <f>IF(vend19[[#This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IF(vend19[[#This Row],[Nº Venda]]&gt;1,1,0)</f>
        <v>0</v>
      </c>
    </row>
    <row r="13" spans="2:18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IF(vend19[[#This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IF(vend19[[#This Row],[Nº Venda]]&gt;1,1,0)</f>
        <v>0</v>
      </c>
    </row>
    <row r="15" spans="2:18" ht="16.5" x14ac:dyDescent="0.3">
      <c r="B15" s="26" t="s">
        <v>10</v>
      </c>
      <c r="C15" s="62">
        <f t="shared" si="0"/>
        <v>0</v>
      </c>
      <c r="D15" s="28"/>
      <c r="E15" s="68"/>
      <c r="F15" s="69"/>
      <c r="G15" s="47"/>
      <c r="H15" s="37"/>
      <c r="I15" s="37"/>
      <c r="J15" s="28"/>
      <c r="K15" s="68"/>
      <c r="L15" s="83"/>
      <c r="M15" s="41"/>
      <c r="R15" s="1">
        <f>IF(vend19[[#This Row],[Nº Venda]]&gt;1,1,0)</f>
        <v>0</v>
      </c>
    </row>
    <row r="16" spans="2:18" ht="16.5" x14ac:dyDescent="0.3">
      <c r="B16" s="29" t="s">
        <v>11</v>
      </c>
      <c r="C16" s="63">
        <f>SUM(C11:C15)</f>
        <v>0</v>
      </c>
      <c r="D16" s="28"/>
      <c r="E16" s="68"/>
      <c r="F16" s="69"/>
      <c r="G16" s="47"/>
      <c r="H16" s="37"/>
      <c r="I16" s="37"/>
      <c r="J16" s="28"/>
      <c r="K16" s="68"/>
      <c r="L16" s="83"/>
      <c r="M16" s="41"/>
      <c r="R16" s="1">
        <f>IF(vend19[[#This Row],[Nº Venda]]&gt;1,1,0)</f>
        <v>0</v>
      </c>
    </row>
    <row r="17" spans="2:22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/>
      <c r="L17" s="83"/>
      <c r="M17" s="41"/>
      <c r="R17" s="1">
        <f>IF(vend19[[#This Row],[Nº Venda]]&gt;1,1,0)</f>
        <v>0</v>
      </c>
    </row>
    <row r="18" spans="2:22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IF(vend19[[#This Row],[Nº Venda]]&gt;1,1,0)</f>
        <v>0</v>
      </c>
    </row>
    <row r="19" spans="2:22" ht="16.5" x14ac:dyDescent="0.3">
      <c r="B19" s="26">
        <f>COUNT(entr_carn19[OS])</f>
        <v>0</v>
      </c>
      <c r="C19" s="62">
        <f>SUM(entr_carn19[Valor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IF(vend19[[#This Row],[Nº Venda]]&gt;1,1,0)</f>
        <v>0</v>
      </c>
    </row>
    <row r="20" spans="2:22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IF(vend19[[#This Row],[Nº Venda]]&gt;1,1,0)</f>
        <v>0</v>
      </c>
      <c r="V20" s="1" t="s">
        <v>53</v>
      </c>
    </row>
    <row r="21" spans="2:22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22" ht="16.5" x14ac:dyDescent="0.3">
      <c r="B22" s="29" t="s">
        <v>24</v>
      </c>
      <c r="C22" s="32">
        <f>C5</f>
        <v>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22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22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22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22" ht="16.5" x14ac:dyDescent="0.3">
      <c r="B26" s="28"/>
      <c r="C26" s="28"/>
      <c r="D26" s="28"/>
      <c r="E26" s="68"/>
      <c r="F26" s="47"/>
      <c r="G26" s="47"/>
      <c r="H26" s="37"/>
      <c r="I26" s="37"/>
      <c r="J26" s="28"/>
      <c r="K26" s="68"/>
      <c r="L26" s="83"/>
      <c r="M26" s="41"/>
    </row>
    <row r="27" spans="2:22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22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22" ht="16.5" x14ac:dyDescent="0.3">
      <c r="B29" s="28"/>
      <c r="C29" s="28"/>
      <c r="D29" s="28"/>
      <c r="E29" s="68"/>
      <c r="F29" s="69"/>
      <c r="G29" s="47"/>
      <c r="H29" s="47"/>
      <c r="I29" s="37"/>
      <c r="J29" s="28"/>
      <c r="K29" s="68"/>
      <c r="L29" s="83"/>
      <c r="M29" s="41"/>
    </row>
    <row r="30" spans="2:22" ht="16.5" x14ac:dyDescent="0.3">
      <c r="B30" s="28"/>
      <c r="C30" s="28"/>
      <c r="D30" s="28"/>
      <c r="E30" s="68"/>
      <c r="F30" s="69"/>
      <c r="G30" s="47"/>
      <c r="H30" s="37"/>
      <c r="I30" s="37"/>
      <c r="J30" s="28"/>
      <c r="K30" s="68"/>
      <c r="L30" s="83"/>
      <c r="M30" s="41"/>
    </row>
    <row r="31" spans="2:22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22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view="pageBreakPreview" topLeftCell="A4" zoomScale="89" zoomScaleNormal="90" zoomScaleSheetLayoutView="89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5">
        <f>'19'!B1+1</f>
        <v>45950</v>
      </c>
      <c r="C1" s="105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2498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3996</v>
      </c>
      <c r="D6" s="28"/>
      <c r="E6" s="68">
        <v>12049</v>
      </c>
      <c r="F6" s="69" t="s">
        <v>320</v>
      </c>
      <c r="G6" s="47" t="s">
        <v>8</v>
      </c>
      <c r="H6" s="37">
        <v>290</v>
      </c>
      <c r="I6" s="37">
        <v>290</v>
      </c>
      <c r="J6" s="28"/>
      <c r="K6" s="69" t="s">
        <v>333</v>
      </c>
      <c r="L6" s="83" t="s">
        <v>151</v>
      </c>
      <c r="M6" s="41">
        <v>250</v>
      </c>
      <c r="R6" s="1">
        <f>IF(vend20[[#This Row],[Nº Venda]]&gt;1,1,0)</f>
        <v>1</v>
      </c>
    </row>
    <row r="7" spans="2:18" ht="16.5" x14ac:dyDescent="0.3">
      <c r="B7" s="26" t="s">
        <v>3</v>
      </c>
      <c r="C7" s="27">
        <f>SUM(M6:M11)</f>
        <v>250</v>
      </c>
      <c r="D7" s="28"/>
      <c r="E7" s="68">
        <v>12050</v>
      </c>
      <c r="F7" s="69" t="s">
        <v>321</v>
      </c>
      <c r="G7" s="47" t="s">
        <v>8</v>
      </c>
      <c r="H7" s="37">
        <v>1665</v>
      </c>
      <c r="I7" s="37">
        <v>1665</v>
      </c>
      <c r="J7" s="28"/>
      <c r="K7" s="69"/>
      <c r="L7" s="83"/>
      <c r="M7" s="41"/>
      <c r="R7" s="1">
        <f>IF(vend20[[#This Row],[Nº Venda]]&gt;1,1,0)</f>
        <v>1</v>
      </c>
    </row>
    <row r="8" spans="2:18" ht="16.5" x14ac:dyDescent="0.3">
      <c r="B8" s="29" t="s">
        <v>20</v>
      </c>
      <c r="C8" s="30">
        <f>SUM(C6:C7)</f>
        <v>4246</v>
      </c>
      <c r="D8" s="28"/>
      <c r="E8" s="68">
        <v>12051</v>
      </c>
      <c r="F8" s="69" t="s">
        <v>330</v>
      </c>
      <c r="G8" s="47" t="s">
        <v>8</v>
      </c>
      <c r="H8" s="37">
        <v>449</v>
      </c>
      <c r="I8" s="37">
        <v>449</v>
      </c>
      <c r="J8" s="28"/>
      <c r="K8" s="69"/>
      <c r="L8" s="83"/>
      <c r="M8" s="41"/>
      <c r="R8" s="1">
        <f>IF(vend20[[#This Row],[Nº Venda]]&gt;1,1,0)</f>
        <v>1</v>
      </c>
    </row>
    <row r="9" spans="2:18" ht="16.5" x14ac:dyDescent="0.3">
      <c r="B9" s="25"/>
      <c r="C9" s="25"/>
      <c r="D9" s="28"/>
      <c r="E9" s="68">
        <v>12053</v>
      </c>
      <c r="F9" s="69" t="s">
        <v>329</v>
      </c>
      <c r="G9" s="47" t="s">
        <v>35</v>
      </c>
      <c r="H9" s="37"/>
      <c r="I9" s="37"/>
      <c r="J9" s="28"/>
      <c r="K9" s="69"/>
      <c r="L9" s="83"/>
      <c r="M9" s="41"/>
      <c r="R9" s="1">
        <f>IF(vend20[[#This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12054</v>
      </c>
      <c r="F10" s="69" t="s">
        <v>328</v>
      </c>
      <c r="G10" s="47" t="s">
        <v>7</v>
      </c>
      <c r="H10" s="37">
        <v>10</v>
      </c>
      <c r="I10" s="37">
        <v>10</v>
      </c>
      <c r="J10" s="28"/>
      <c r="K10" s="69"/>
      <c r="L10" s="83"/>
      <c r="M10" s="41"/>
      <c r="R10" s="1">
        <f>IF(vend20[[#This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250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IF(vend20[[#This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800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IF(vend20[[#This Row],[Nº Venda]]&gt;1,1,0)</f>
        <v>0</v>
      </c>
    </row>
    <row r="13" spans="2:18" ht="16.5" x14ac:dyDescent="0.3">
      <c r="B13" s="26" t="s">
        <v>8</v>
      </c>
      <c r="C13" s="62">
        <f t="shared" si="0"/>
        <v>2488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IF(vend20[[#This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IF(vend20[[#This Row],[Nº Venda]]&gt;1,1,0)</f>
        <v>0</v>
      </c>
    </row>
    <row r="15" spans="2:18" ht="16.5" x14ac:dyDescent="0.3">
      <c r="B15" s="26" t="s">
        <v>10</v>
      </c>
      <c r="C15" s="62">
        <f t="shared" si="0"/>
        <v>458</v>
      </c>
      <c r="D15" s="28"/>
      <c r="E15" s="68"/>
      <c r="F15" s="69"/>
      <c r="G15" s="47"/>
      <c r="H15" s="37"/>
      <c r="I15" s="37"/>
      <c r="J15" s="28"/>
      <c r="K15" s="68">
        <v>11889</v>
      </c>
      <c r="L15" s="83" t="s">
        <v>128</v>
      </c>
      <c r="M15" s="41" t="s">
        <v>148</v>
      </c>
      <c r="R15" s="1">
        <f>IF(vend20[[#This Row],[Nº Venda]]&gt;1,1,0)</f>
        <v>0</v>
      </c>
    </row>
    <row r="16" spans="2:18" ht="16.5" x14ac:dyDescent="0.3">
      <c r="B16" s="29" t="s">
        <v>11</v>
      </c>
      <c r="C16" s="63">
        <f>SUM(C11:C15)</f>
        <v>3996</v>
      </c>
      <c r="D16" s="28"/>
      <c r="E16" s="68"/>
      <c r="F16" s="69"/>
      <c r="G16" s="47"/>
      <c r="H16" s="37"/>
      <c r="I16" s="37"/>
      <c r="J16" s="28"/>
      <c r="K16" s="68">
        <v>11148</v>
      </c>
      <c r="L16" s="83" t="s">
        <v>128</v>
      </c>
      <c r="M16" s="41" t="s">
        <v>148</v>
      </c>
      <c r="R16" s="1">
        <f>IF(vend20[[#This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11973</v>
      </c>
      <c r="L17" s="83" t="s">
        <v>128</v>
      </c>
      <c r="M17" s="41" t="s">
        <v>148</v>
      </c>
      <c r="R17" s="1">
        <f>IF(vend20[[#This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11974</v>
      </c>
      <c r="L18" s="83" t="s">
        <v>128</v>
      </c>
      <c r="M18" s="41" t="s">
        <v>148</v>
      </c>
      <c r="R18" s="1">
        <f>IF(vend20[[#This Row],[Nº Venda]]&gt;1,1,0)</f>
        <v>0</v>
      </c>
    </row>
    <row r="19" spans="2:18" ht="16.5" x14ac:dyDescent="0.3">
      <c r="B19" s="26">
        <f>COUNT(entr_carn20[OS])</f>
        <v>0</v>
      </c>
      <c r="C19" s="62">
        <f>SUM(entr_carn20[Valor Total])</f>
        <v>0</v>
      </c>
      <c r="D19" s="28"/>
      <c r="E19" s="68"/>
      <c r="F19" s="69"/>
      <c r="G19" s="47"/>
      <c r="H19" s="37"/>
      <c r="I19" s="37"/>
      <c r="J19" s="28"/>
      <c r="K19" s="68">
        <v>12034</v>
      </c>
      <c r="L19" s="83" t="s">
        <v>130</v>
      </c>
      <c r="M19" s="41" t="s">
        <v>148</v>
      </c>
      <c r="R19" s="1">
        <f>IF(vend20[[#This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>
        <v>12036</v>
      </c>
      <c r="L20" s="83" t="s">
        <v>128</v>
      </c>
      <c r="M20" s="41" t="s">
        <v>148</v>
      </c>
      <c r="R20" s="1">
        <f>IF(vend20[[#This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12054</v>
      </c>
      <c r="L21" s="83" t="s">
        <v>130</v>
      </c>
      <c r="M21" s="41" t="s">
        <v>148</v>
      </c>
    </row>
    <row r="22" spans="2:18" ht="16.5" x14ac:dyDescent="0.3">
      <c r="B22" s="29" t="s">
        <v>24</v>
      </c>
      <c r="C22" s="32">
        <f>C5</f>
        <v>2498</v>
      </c>
      <c r="D22" s="28"/>
      <c r="E22" s="70"/>
      <c r="F22" s="69"/>
      <c r="G22" s="47"/>
      <c r="H22" s="37"/>
      <c r="I22" s="37"/>
      <c r="J22" s="28"/>
      <c r="K22" s="68">
        <v>12013</v>
      </c>
      <c r="L22" s="83" t="s">
        <v>128</v>
      </c>
      <c r="M22" s="41" t="s">
        <v>148</v>
      </c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12010</v>
      </c>
      <c r="F26" s="69" t="s">
        <v>322</v>
      </c>
      <c r="G26" s="47" t="s">
        <v>7</v>
      </c>
      <c r="H26" s="37">
        <v>0</v>
      </c>
      <c r="I26" s="37">
        <v>790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12042</v>
      </c>
      <c r="F27" s="69" t="s">
        <v>323</v>
      </c>
      <c r="G27" s="47" t="s">
        <v>6</v>
      </c>
      <c r="H27" s="37"/>
      <c r="I27" s="37">
        <v>250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>
        <v>12034</v>
      </c>
      <c r="F28" s="69" t="s">
        <v>331</v>
      </c>
      <c r="G28" s="47" t="s">
        <v>8</v>
      </c>
      <c r="H28" s="37">
        <v>45</v>
      </c>
      <c r="I28" s="37">
        <v>45</v>
      </c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>
        <v>12036</v>
      </c>
      <c r="F29" s="69" t="s">
        <v>332</v>
      </c>
      <c r="G29" s="47" t="s">
        <v>8</v>
      </c>
      <c r="H29" s="37">
        <v>39</v>
      </c>
      <c r="I29" s="37">
        <v>39</v>
      </c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11043</v>
      </c>
      <c r="F35" s="69" t="s">
        <v>324</v>
      </c>
      <c r="G35" s="47" t="s">
        <v>10</v>
      </c>
      <c r="H35" s="37">
        <v>96.25</v>
      </c>
      <c r="I35" s="37" t="s">
        <v>83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>
        <v>11396</v>
      </c>
      <c r="F36" s="69" t="s">
        <v>325</v>
      </c>
      <c r="G36" s="47" t="s">
        <v>10</v>
      </c>
      <c r="H36" s="37">
        <v>44.99</v>
      </c>
      <c r="I36" s="37" t="s">
        <v>72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>
        <v>11494</v>
      </c>
      <c r="F37" s="69" t="s">
        <v>326</v>
      </c>
      <c r="G37" s="47" t="s">
        <v>10</v>
      </c>
      <c r="H37" s="37">
        <v>167.38</v>
      </c>
      <c r="I37" s="37" t="s">
        <v>77</v>
      </c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>
        <v>10956</v>
      </c>
      <c r="F38" s="69" t="s">
        <v>327</v>
      </c>
      <c r="G38" s="47" t="s">
        <v>10</v>
      </c>
      <c r="H38" s="37">
        <v>149.38</v>
      </c>
      <c r="I38" s="37" t="s">
        <v>43</v>
      </c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5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view="pageBreakPreview" zoomScale="91" zoomScaleNormal="90" zoomScaleSheetLayoutView="91" workbookViewId="0">
      <selection activeCell="L7" sqref="L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.710937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'20'!B1+1</f>
        <v>45951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2847.9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2312.9</v>
      </c>
      <c r="D6" s="28"/>
      <c r="E6" s="68">
        <v>12055</v>
      </c>
      <c r="F6" s="69" t="s">
        <v>334</v>
      </c>
      <c r="G6" s="47" t="s">
        <v>6</v>
      </c>
      <c r="H6" s="37">
        <v>890</v>
      </c>
      <c r="I6" s="37">
        <v>5</v>
      </c>
      <c r="J6" s="28"/>
      <c r="K6" s="69" t="s">
        <v>256</v>
      </c>
      <c r="L6" s="83" t="s">
        <v>6</v>
      </c>
      <c r="M6" s="41">
        <v>455</v>
      </c>
      <c r="R6" s="1">
        <f>IF(vend21[[#This Row],[Nº Venda]]&gt;1,1,0)</f>
        <v>1</v>
      </c>
    </row>
    <row r="7" spans="2:18" ht="16.5" x14ac:dyDescent="0.3">
      <c r="B7" s="26" t="s">
        <v>3</v>
      </c>
      <c r="C7" s="27">
        <f>SUM(M6:M11)</f>
        <v>455</v>
      </c>
      <c r="D7" s="28"/>
      <c r="E7" s="68">
        <v>12056</v>
      </c>
      <c r="F7" s="69" t="s">
        <v>335</v>
      </c>
      <c r="G7" s="47" t="s">
        <v>7</v>
      </c>
      <c r="H7" s="37">
        <v>110</v>
      </c>
      <c r="I7" s="37">
        <v>110</v>
      </c>
      <c r="J7" s="28"/>
      <c r="K7" s="69"/>
      <c r="L7" s="83"/>
      <c r="M7" s="41"/>
      <c r="R7" s="1">
        <f>IF(vend21[[#This Row],[Nº Venda]]&gt;1,1,0)</f>
        <v>1</v>
      </c>
    </row>
    <row r="8" spans="2:18" ht="16.5" x14ac:dyDescent="0.3">
      <c r="B8" s="29" t="s">
        <v>20</v>
      </c>
      <c r="C8" s="30">
        <f>SUM(C6:C7)</f>
        <v>2767.9</v>
      </c>
      <c r="D8" s="28"/>
      <c r="E8" s="68">
        <v>12057</v>
      </c>
      <c r="F8" s="69" t="s">
        <v>336</v>
      </c>
      <c r="G8" s="47" t="s">
        <v>8</v>
      </c>
      <c r="H8" s="37">
        <v>399</v>
      </c>
      <c r="I8" s="37">
        <v>399</v>
      </c>
      <c r="J8" s="28"/>
      <c r="K8" s="69"/>
      <c r="L8" s="83"/>
      <c r="M8" s="41"/>
      <c r="R8" s="1">
        <f>IF(vend21[[#This Row],[Nº Venda]]&gt;1,1,0)</f>
        <v>1</v>
      </c>
    </row>
    <row r="9" spans="2:18" ht="16.5" x14ac:dyDescent="0.3">
      <c r="B9" s="25"/>
      <c r="C9" s="25"/>
      <c r="D9" s="28"/>
      <c r="E9" s="68">
        <v>12058</v>
      </c>
      <c r="F9" s="69" t="s">
        <v>337</v>
      </c>
      <c r="G9" s="47" t="s">
        <v>35</v>
      </c>
      <c r="H9" s="37"/>
      <c r="I9" s="37"/>
      <c r="J9" s="28"/>
      <c r="K9" s="69"/>
      <c r="L9" s="83"/>
      <c r="M9" s="41"/>
      <c r="R9" s="1">
        <f>IF(vend21[[#This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12059</v>
      </c>
      <c r="F10" s="69" t="s">
        <v>338</v>
      </c>
      <c r="G10" s="47" t="s">
        <v>6</v>
      </c>
      <c r="H10" s="37">
        <v>450</v>
      </c>
      <c r="I10" s="37">
        <v>450</v>
      </c>
      <c r="J10" s="28"/>
      <c r="K10" s="69"/>
      <c r="L10" s="83"/>
      <c r="M10" s="41"/>
      <c r="R10" s="1">
        <f>IF(vend21[[#This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455</v>
      </c>
      <c r="D11" s="28"/>
      <c r="E11" s="68">
        <v>12060</v>
      </c>
      <c r="F11" s="69" t="s">
        <v>339</v>
      </c>
      <c r="G11" s="47" t="s">
        <v>7</v>
      </c>
      <c r="H11" s="37">
        <v>29.9</v>
      </c>
      <c r="I11" s="37">
        <v>29.9</v>
      </c>
      <c r="J11" s="28"/>
      <c r="K11" s="36"/>
      <c r="L11" s="83"/>
      <c r="M11" s="41"/>
      <c r="O11" s="1">
        <f>IF(C16=0,0,1)</f>
        <v>1</v>
      </c>
      <c r="R11" s="1">
        <f>IF(vend21[[#This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139.9</v>
      </c>
      <c r="D12" s="28"/>
      <c r="E12" s="68">
        <v>12061</v>
      </c>
      <c r="F12" s="69" t="s">
        <v>340</v>
      </c>
      <c r="G12" s="47" t="s">
        <v>45</v>
      </c>
      <c r="H12" s="37">
        <v>39.9</v>
      </c>
      <c r="I12" s="37"/>
      <c r="J12" s="28"/>
      <c r="K12" s="31"/>
      <c r="L12" s="31"/>
      <c r="M12" s="31"/>
      <c r="R12" s="1">
        <f>IF(vend21[[#This Row],[Nº Venda]]&gt;1,1,0)</f>
        <v>1</v>
      </c>
    </row>
    <row r="13" spans="2:18" ht="16.5" x14ac:dyDescent="0.3">
      <c r="B13" s="26" t="s">
        <v>8</v>
      </c>
      <c r="C13" s="62">
        <f t="shared" si="0"/>
        <v>1368</v>
      </c>
      <c r="D13" s="28"/>
      <c r="E13" s="68">
        <v>12062</v>
      </c>
      <c r="F13" s="69" t="s">
        <v>341</v>
      </c>
      <c r="G13" s="47" t="s">
        <v>8</v>
      </c>
      <c r="H13" s="37">
        <v>600</v>
      </c>
      <c r="I13" s="37">
        <v>600</v>
      </c>
      <c r="J13" s="28"/>
      <c r="K13" s="96" t="s">
        <v>141</v>
      </c>
      <c r="L13" s="97"/>
      <c r="M13" s="98"/>
      <c r="R13" s="1">
        <f>IF(vend21[[#This Row],[Nº Venda]]&gt;1,1,0)</f>
        <v>1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>
        <v>12063</v>
      </c>
      <c r="F14" s="69" t="s">
        <v>341</v>
      </c>
      <c r="G14" s="47" t="s">
        <v>8</v>
      </c>
      <c r="H14" s="37">
        <v>369</v>
      </c>
      <c r="I14" s="37">
        <v>369</v>
      </c>
      <c r="J14" s="28"/>
      <c r="K14" s="20" t="s">
        <v>21</v>
      </c>
      <c r="L14" s="21" t="s">
        <v>22</v>
      </c>
      <c r="M14" s="22" t="s">
        <v>23</v>
      </c>
      <c r="R14" s="1">
        <f>IF(vend21[[#This Row],[Nº Venda]]&gt;1,1,0)</f>
        <v>1</v>
      </c>
    </row>
    <row r="15" spans="2:18" ht="16.5" x14ac:dyDescent="0.3">
      <c r="B15" s="26" t="s">
        <v>10</v>
      </c>
      <c r="C15" s="62">
        <f t="shared" si="0"/>
        <v>350</v>
      </c>
      <c r="D15" s="28"/>
      <c r="E15" s="68"/>
      <c r="F15" s="69"/>
      <c r="G15" s="47"/>
      <c r="H15" s="37"/>
      <c r="I15" s="37"/>
      <c r="J15" s="28"/>
      <c r="K15" s="68">
        <v>11992</v>
      </c>
      <c r="L15" s="83" t="s">
        <v>130</v>
      </c>
      <c r="M15" s="41" t="s">
        <v>160</v>
      </c>
      <c r="R15" s="1">
        <f>IF(vend21[[#This Row],[Nº Venda]]&gt;1,1,0)</f>
        <v>0</v>
      </c>
    </row>
    <row r="16" spans="2:18" ht="16.5" x14ac:dyDescent="0.3">
      <c r="B16" s="29" t="s">
        <v>11</v>
      </c>
      <c r="C16" s="63">
        <f>SUM(C11:C15)</f>
        <v>2312.9</v>
      </c>
      <c r="D16" s="28"/>
      <c r="E16" s="68"/>
      <c r="F16" s="69"/>
      <c r="G16" s="47"/>
      <c r="H16" s="37"/>
      <c r="I16" s="37"/>
      <c r="J16" s="28"/>
      <c r="K16" s="68">
        <v>12047</v>
      </c>
      <c r="L16" s="83" t="s">
        <v>130</v>
      </c>
      <c r="M16" s="41" t="s">
        <v>148</v>
      </c>
      <c r="R16" s="1">
        <f>IF(vend21[[#This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12003</v>
      </c>
      <c r="L17" s="83" t="s">
        <v>128</v>
      </c>
      <c r="M17" s="41" t="s">
        <v>148</v>
      </c>
      <c r="R17" s="1">
        <f>IF(vend21[[#This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12029</v>
      </c>
      <c r="L18" s="83" t="s">
        <v>130</v>
      </c>
      <c r="M18" s="41" t="s">
        <v>148</v>
      </c>
      <c r="R18" s="1">
        <f>IF(vend21[[#This Row],[Nº Venda]]&gt;1,1,0)</f>
        <v>0</v>
      </c>
    </row>
    <row r="19" spans="2:18" ht="16.5" x14ac:dyDescent="0.3">
      <c r="B19" s="26">
        <f>COUNT(entr_carn21[OS])</f>
        <v>2</v>
      </c>
      <c r="C19" s="62">
        <f>SUM(entr_carn21[Valor Total])</f>
        <v>94</v>
      </c>
      <c r="D19" s="28"/>
      <c r="E19" s="68"/>
      <c r="F19" s="69"/>
      <c r="G19" s="47"/>
      <c r="H19" s="37"/>
      <c r="I19" s="37"/>
      <c r="J19" s="28"/>
      <c r="K19" s="68">
        <v>12030</v>
      </c>
      <c r="L19" s="83" t="s">
        <v>130</v>
      </c>
      <c r="M19" s="41" t="s">
        <v>148</v>
      </c>
      <c r="R19" s="1">
        <f>IF(vend21[[#This Row],[Nº Venda]]&gt;1,1,0)</f>
        <v>0</v>
      </c>
    </row>
    <row r="20" spans="2:18" ht="16.5" x14ac:dyDescent="0.3">
      <c r="B20" s="29" t="s">
        <v>11</v>
      </c>
      <c r="C20" s="63">
        <f>SUM(C19:C19)</f>
        <v>94</v>
      </c>
      <c r="D20" s="28"/>
      <c r="E20" s="68"/>
      <c r="F20" s="47"/>
      <c r="G20" s="47"/>
      <c r="H20" s="37"/>
      <c r="I20" s="37"/>
      <c r="J20" s="28"/>
      <c r="K20" s="68">
        <v>12056</v>
      </c>
      <c r="L20" s="83" t="s">
        <v>130</v>
      </c>
      <c r="M20" s="41" t="s">
        <v>148</v>
      </c>
      <c r="R20" s="1">
        <f>IF(vend21[[#This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12060</v>
      </c>
      <c r="L21" s="83" t="s">
        <v>130</v>
      </c>
      <c r="M21" s="41" t="s">
        <v>148</v>
      </c>
    </row>
    <row r="22" spans="2:18" ht="16.5" x14ac:dyDescent="0.3">
      <c r="B22" s="29" t="s">
        <v>24</v>
      </c>
      <c r="C22" s="32">
        <f>C5</f>
        <v>2847.9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/>
      <c r="F26" s="69"/>
      <c r="G26" s="47"/>
      <c r="H26" s="37"/>
      <c r="I26" s="37"/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10105</v>
      </c>
      <c r="F35" s="69" t="s">
        <v>342</v>
      </c>
      <c r="G35" s="47" t="s">
        <v>10</v>
      </c>
      <c r="H35" s="37">
        <v>350</v>
      </c>
      <c r="I35" s="37" t="s">
        <v>97</v>
      </c>
      <c r="J35" s="36"/>
      <c r="K35" s="68">
        <v>11992</v>
      </c>
      <c r="L35" s="68">
        <v>6</v>
      </c>
      <c r="M35" s="83">
        <v>94</v>
      </c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>
        <v>12047</v>
      </c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9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view="pageBreakPreview" topLeftCell="A2" zoomScale="76" zoomScaleNormal="90" zoomScaleSheetLayoutView="76" workbookViewId="0">
      <selection activeCell="F21" sqref="F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'21'!B1+1</f>
        <v>45952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270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646</v>
      </c>
      <c r="D6" s="28"/>
      <c r="E6" s="68">
        <v>12052</v>
      </c>
      <c r="F6" s="69" t="s">
        <v>344</v>
      </c>
      <c r="G6" s="47" t="s">
        <v>35</v>
      </c>
      <c r="H6" s="37"/>
      <c r="I6" s="37"/>
      <c r="J6" s="28"/>
      <c r="K6" s="69" t="s">
        <v>256</v>
      </c>
      <c r="L6" s="83" t="s">
        <v>6</v>
      </c>
      <c r="M6" s="41">
        <v>86</v>
      </c>
      <c r="R6" s="1">
        <f>IF(vend22[[#This Row],[Nº Venda]]&gt;1,1,0)</f>
        <v>1</v>
      </c>
    </row>
    <row r="7" spans="2:18" ht="16.5" x14ac:dyDescent="0.3">
      <c r="B7" s="26" t="s">
        <v>3</v>
      </c>
      <c r="C7" s="27">
        <f>SUM(M6:M11)</f>
        <v>86</v>
      </c>
      <c r="D7" s="28"/>
      <c r="E7" s="68">
        <v>12064</v>
      </c>
      <c r="F7" s="69" t="s">
        <v>345</v>
      </c>
      <c r="G7" s="47" t="s">
        <v>10</v>
      </c>
      <c r="H7" s="37">
        <v>165</v>
      </c>
      <c r="I7" s="37">
        <v>165</v>
      </c>
      <c r="J7" s="28"/>
      <c r="K7" s="69"/>
      <c r="L7" s="83"/>
      <c r="M7" s="41"/>
      <c r="R7" s="1">
        <f>IF(vend22[[#This Row],[Nº Venda]]&gt;1,1,0)</f>
        <v>1</v>
      </c>
    </row>
    <row r="8" spans="2:18" ht="16.5" x14ac:dyDescent="0.3">
      <c r="B8" s="29" t="s">
        <v>20</v>
      </c>
      <c r="C8" s="30">
        <f>SUM(C6:C7)</f>
        <v>732</v>
      </c>
      <c r="D8" s="28"/>
      <c r="E8" s="68">
        <v>12065</v>
      </c>
      <c r="F8" s="69" t="s">
        <v>345</v>
      </c>
      <c r="G8" s="47" t="s">
        <v>8</v>
      </c>
      <c r="H8" s="37">
        <v>6</v>
      </c>
      <c r="I8" s="37">
        <v>6</v>
      </c>
      <c r="J8" s="28"/>
      <c r="K8" s="69"/>
      <c r="L8" s="83"/>
      <c r="M8" s="41"/>
      <c r="R8" s="1">
        <f>IF(vend22[[#This Row],[Nº Venda]]&gt;1,1,0)</f>
        <v>1</v>
      </c>
    </row>
    <row r="9" spans="2:18" ht="16.5" x14ac:dyDescent="0.3">
      <c r="B9" s="25"/>
      <c r="C9" s="25"/>
      <c r="D9" s="28"/>
      <c r="E9" s="68">
        <v>12066</v>
      </c>
      <c r="F9" s="69" t="s">
        <v>346</v>
      </c>
      <c r="G9" s="47" t="s">
        <v>35</v>
      </c>
      <c r="H9" s="37"/>
      <c r="I9" s="37"/>
      <c r="J9" s="28"/>
      <c r="K9" s="69"/>
      <c r="L9" s="83"/>
      <c r="M9" s="41"/>
      <c r="R9" s="1">
        <f>IF(vend22[[#This Row],[Nº Venda]]&gt;1,1,0)</f>
        <v>1</v>
      </c>
    </row>
    <row r="10" spans="2:18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IF(vend22[[#This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86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IF(vend22[[#This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190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IF(vend22[[#This Row],[Nº Venda]]&gt;1,1,0)</f>
        <v>0</v>
      </c>
    </row>
    <row r="13" spans="2:18" ht="16.5" x14ac:dyDescent="0.3">
      <c r="B13" s="26" t="s">
        <v>8</v>
      </c>
      <c r="C13" s="62">
        <f t="shared" si="0"/>
        <v>105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IF(vend22[[#This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IF(vend22[[#This Row],[Nº Venda]]&gt;1,1,0)</f>
        <v>0</v>
      </c>
    </row>
    <row r="15" spans="2:18" ht="16.5" x14ac:dyDescent="0.3">
      <c r="B15" s="26" t="s">
        <v>10</v>
      </c>
      <c r="C15" s="62">
        <f t="shared" si="0"/>
        <v>265</v>
      </c>
      <c r="D15" s="28"/>
      <c r="E15" s="68"/>
      <c r="F15" s="69"/>
      <c r="G15" s="47"/>
      <c r="H15" s="37"/>
      <c r="I15" s="37"/>
      <c r="J15" s="28"/>
      <c r="K15" s="68">
        <v>11860</v>
      </c>
      <c r="L15" s="83" t="s">
        <v>128</v>
      </c>
      <c r="M15" s="41" t="s">
        <v>148</v>
      </c>
      <c r="R15" s="1">
        <f>IF(vend22[[#This Row],[Nº Venda]]&gt;1,1,0)</f>
        <v>0</v>
      </c>
    </row>
    <row r="16" spans="2:18" ht="16.5" x14ac:dyDescent="0.3">
      <c r="B16" s="29" t="s">
        <v>11</v>
      </c>
      <c r="C16" s="63">
        <f>SUM(C11:C15)</f>
        <v>646</v>
      </c>
      <c r="D16" s="28"/>
      <c r="E16" s="68"/>
      <c r="F16" s="69"/>
      <c r="G16" s="47"/>
      <c r="H16" s="37"/>
      <c r="I16" s="37"/>
      <c r="J16" s="28"/>
      <c r="K16" s="68">
        <v>11996</v>
      </c>
      <c r="L16" s="83" t="s">
        <v>130</v>
      </c>
      <c r="M16" s="41" t="s">
        <v>148</v>
      </c>
      <c r="R16" s="1">
        <f>IF(vend22[[#This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11999</v>
      </c>
      <c r="L17" s="83" t="s">
        <v>130</v>
      </c>
      <c r="M17" s="41" t="s">
        <v>148</v>
      </c>
      <c r="R17" s="1">
        <f>IF(vend22[[#This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12065</v>
      </c>
      <c r="L18" s="83" t="s">
        <v>128</v>
      </c>
      <c r="M18" s="41" t="s">
        <v>148</v>
      </c>
      <c r="R18" s="1">
        <f>IF(vend22[[#This Row],[Nº Venda]]&gt;1,1,0)</f>
        <v>0</v>
      </c>
    </row>
    <row r="19" spans="2:18" ht="16.5" x14ac:dyDescent="0.3">
      <c r="B19" s="26">
        <f>COUNT(entr_carn22[OS])</f>
        <v>0</v>
      </c>
      <c r="C19" s="62">
        <f>SUM(entr_carn22[Valor Total])</f>
        <v>0</v>
      </c>
      <c r="D19" s="28"/>
      <c r="E19" s="68"/>
      <c r="F19" s="69"/>
      <c r="G19" s="47"/>
      <c r="H19" s="37"/>
      <c r="I19" s="37"/>
      <c r="J19" s="28"/>
      <c r="K19" s="68">
        <v>12028</v>
      </c>
      <c r="L19" s="83" t="s">
        <v>130</v>
      </c>
      <c r="M19" s="41" t="s">
        <v>148</v>
      </c>
      <c r="R19" s="1">
        <f>IF(vend22[[#This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IF(vend22[[#This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270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11860</v>
      </c>
      <c r="F26" s="69" t="s">
        <v>347</v>
      </c>
      <c r="G26" s="47" t="s">
        <v>8</v>
      </c>
      <c r="H26" s="37">
        <v>99</v>
      </c>
      <c r="I26" s="37">
        <v>99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11996</v>
      </c>
      <c r="F27" s="69" t="s">
        <v>207</v>
      </c>
      <c r="G27" s="47" t="s">
        <v>7</v>
      </c>
      <c r="H27" s="37"/>
      <c r="I27" s="37">
        <v>190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11040</v>
      </c>
      <c r="F35" s="69" t="s">
        <v>343</v>
      </c>
      <c r="G35" s="47" t="s">
        <v>6</v>
      </c>
      <c r="H35" s="37">
        <v>86</v>
      </c>
      <c r="I35" s="37" t="s">
        <v>33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>
        <v>9960</v>
      </c>
      <c r="F36" s="69" t="s">
        <v>348</v>
      </c>
      <c r="G36" s="47" t="s">
        <v>10</v>
      </c>
      <c r="H36" s="37">
        <v>100</v>
      </c>
      <c r="I36" s="37" t="s">
        <v>46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4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zoomScale="90" zoomScaleNormal="90" workbookViewId="0">
      <selection activeCell="M7" sqref="M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'22'!B1+1</f>
        <v>45953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4858.8999999999996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4059.9</v>
      </c>
      <c r="D6" s="28"/>
      <c r="E6" s="68">
        <v>12067</v>
      </c>
      <c r="F6" s="69" t="s">
        <v>350</v>
      </c>
      <c r="G6" s="47" t="s">
        <v>8</v>
      </c>
      <c r="H6" s="37">
        <v>890</v>
      </c>
      <c r="I6" s="37">
        <v>890</v>
      </c>
      <c r="J6" s="28"/>
      <c r="K6" s="69" t="s">
        <v>256</v>
      </c>
      <c r="L6" s="83" t="s">
        <v>6</v>
      </c>
      <c r="M6" s="41">
        <v>270</v>
      </c>
      <c r="R6" s="1">
        <f>IF(vend23[[#This Row],[Nº Venda]]&gt;1,1,0)</f>
        <v>1</v>
      </c>
    </row>
    <row r="7" spans="2:18" ht="16.5" x14ac:dyDescent="0.3">
      <c r="B7" s="26" t="s">
        <v>3</v>
      </c>
      <c r="C7" s="27">
        <f>SUM(M6:M11)</f>
        <v>270</v>
      </c>
      <c r="D7" s="28"/>
      <c r="E7" s="68">
        <v>12068</v>
      </c>
      <c r="F7" s="69" t="s">
        <v>351</v>
      </c>
      <c r="G7" s="47" t="s">
        <v>8</v>
      </c>
      <c r="H7" s="37">
        <v>2000</v>
      </c>
      <c r="I7" s="37">
        <v>2000</v>
      </c>
      <c r="J7" s="28"/>
      <c r="K7" s="69"/>
      <c r="L7" s="83"/>
      <c r="M7" s="41"/>
      <c r="R7" s="1">
        <f>IF(vend23[[#This Row],[Nº Venda]]&gt;1,1,0)</f>
        <v>1</v>
      </c>
    </row>
    <row r="8" spans="2:18" ht="16.5" x14ac:dyDescent="0.3">
      <c r="B8" s="29" t="s">
        <v>20</v>
      </c>
      <c r="C8" s="30">
        <f>SUM(C6:C7)</f>
        <v>4329.8999999999996</v>
      </c>
      <c r="D8" s="28"/>
      <c r="E8" s="68">
        <v>12069</v>
      </c>
      <c r="F8" s="69" t="s">
        <v>352</v>
      </c>
      <c r="G8" s="47" t="s">
        <v>8</v>
      </c>
      <c r="H8" s="37">
        <v>699.9</v>
      </c>
      <c r="I8" s="37">
        <v>699.9</v>
      </c>
      <c r="J8" s="28"/>
      <c r="K8" s="69"/>
      <c r="L8" s="83"/>
      <c r="M8" s="41"/>
      <c r="R8" s="1">
        <f>IF(vend23[[#This Row],[Nº Venda]]&gt;1,1,0)</f>
        <v>1</v>
      </c>
    </row>
    <row r="9" spans="2:18" ht="16.5" x14ac:dyDescent="0.3">
      <c r="B9" s="25"/>
      <c r="C9" s="25"/>
      <c r="D9" s="28"/>
      <c r="E9" s="68">
        <v>12070</v>
      </c>
      <c r="F9" s="69" t="s">
        <v>353</v>
      </c>
      <c r="G9" s="47" t="s">
        <v>8</v>
      </c>
      <c r="H9" s="37">
        <v>800</v>
      </c>
      <c r="I9" s="37">
        <v>100</v>
      </c>
      <c r="J9" s="28"/>
      <c r="K9" s="69"/>
      <c r="L9" s="83"/>
      <c r="M9" s="41"/>
      <c r="R9" s="1">
        <f>IF(vend23[[#This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12071</v>
      </c>
      <c r="F10" s="69" t="s">
        <v>354</v>
      </c>
      <c r="G10" s="47" t="s">
        <v>10</v>
      </c>
      <c r="H10" s="37">
        <v>449</v>
      </c>
      <c r="I10" s="37">
        <v>100</v>
      </c>
      <c r="J10" s="28"/>
      <c r="K10" s="69"/>
      <c r="L10" s="83"/>
      <c r="M10" s="41"/>
      <c r="R10" s="1">
        <f>IF(vend23[[#This Row],[Nº Venda]]&gt;1,1,0)</f>
        <v>1</v>
      </c>
    </row>
    <row r="11" spans="2:18" ht="16.5" x14ac:dyDescent="0.3">
      <c r="B11" s="26" t="s">
        <v>6</v>
      </c>
      <c r="C11" s="64">
        <f>(SUMIF($G$2:$G$31,B11,$I$2:$I$31))+(SUMIF($G$35:$G$41,B11,$H$35:$H$41))</f>
        <v>270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IF(vend23[[#This Row],[Nº Venda]]&gt;1,1,0)</f>
        <v>0</v>
      </c>
    </row>
    <row r="12" spans="2:18" ht="16.5" x14ac:dyDescent="0.3">
      <c r="B12" s="26" t="s">
        <v>7</v>
      </c>
      <c r="C12" s="64">
        <f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IF(vend23[[#This Row],[Nº Venda]]&gt;1,1,0)</f>
        <v>0</v>
      </c>
    </row>
    <row r="13" spans="2:18" ht="16.5" x14ac:dyDescent="0.3">
      <c r="B13" s="26" t="s">
        <v>8</v>
      </c>
      <c r="C13" s="64">
        <f>(SUMIF($G$2:$G$31,B13,$I$2:$I$31))+(SUMIF($G$35:$G$41,B13,$H$35:$H$41))</f>
        <v>3689.9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IF(vend23[[#This Row],[Nº Venda]]&gt;1,1,0)</f>
        <v>0</v>
      </c>
    </row>
    <row r="14" spans="2:18" ht="16.5" x14ac:dyDescent="0.3">
      <c r="B14" s="26" t="s">
        <v>9</v>
      </c>
      <c r="C14" s="64">
        <f>(SUMIF($G$2:$G$31,B14,$I$2:$I$31))+(SUMIF($G$35:$G$41,B14,$H$35:$H$41))</f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IF(vend23[[#This Row],[Nº Venda]]&gt;1,1,0)</f>
        <v>0</v>
      </c>
    </row>
    <row r="15" spans="2:18" ht="16.5" x14ac:dyDescent="0.3">
      <c r="B15" s="26" t="s">
        <v>10</v>
      </c>
      <c r="C15" s="64">
        <f>(SUMIF($G$2:$G$31,B15,$I$2:$I$31))+(SUMIF($G$35:$G$41,B15,$H$35:$H$41))</f>
        <v>100</v>
      </c>
      <c r="D15" s="28"/>
      <c r="E15" s="68"/>
      <c r="F15" s="69"/>
      <c r="G15" s="47"/>
      <c r="H15" s="37"/>
      <c r="I15" s="37"/>
      <c r="J15" s="28"/>
      <c r="K15" s="68">
        <v>12008</v>
      </c>
      <c r="L15" s="83" t="s">
        <v>128</v>
      </c>
      <c r="M15" s="41" t="s">
        <v>148</v>
      </c>
      <c r="R15" s="1">
        <f>IF(vend23[[#This Row],[Nº Venda]]&gt;1,1,0)</f>
        <v>0</v>
      </c>
    </row>
    <row r="16" spans="2:18" ht="16.5" x14ac:dyDescent="0.3">
      <c r="B16" s="29" t="s">
        <v>11</v>
      </c>
      <c r="C16" s="63">
        <f>SUM(C11:C15)</f>
        <v>4059.9</v>
      </c>
      <c r="D16" s="28"/>
      <c r="E16" s="68"/>
      <c r="F16" s="69"/>
      <c r="G16" s="47"/>
      <c r="H16" s="37"/>
      <c r="I16" s="37"/>
      <c r="J16" s="28"/>
      <c r="K16" s="68">
        <v>12061</v>
      </c>
      <c r="L16" s="83" t="s">
        <v>130</v>
      </c>
      <c r="M16" s="41" t="s">
        <v>148</v>
      </c>
      <c r="R16" s="1">
        <f>IF(vend23[[#This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11981</v>
      </c>
      <c r="L17" s="83" t="s">
        <v>128</v>
      </c>
      <c r="M17" s="41" t="s">
        <v>148</v>
      </c>
      <c r="R17" s="1">
        <f>IF(vend23[[#This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IF(vend23[[#This Row],[Nº Venda]]&gt;1,1,0)</f>
        <v>0</v>
      </c>
    </row>
    <row r="19" spans="2:18" ht="16.5" x14ac:dyDescent="0.3">
      <c r="B19" s="26">
        <f>COUNT(entr_carn23[OS])</f>
        <v>0</v>
      </c>
      <c r="C19" s="62">
        <f>SUM(entr_carn23[Valor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IF(vend23[[#This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IF(vend23[[#This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4858.8999999999996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12061</v>
      </c>
      <c r="F26" s="69" t="s">
        <v>340</v>
      </c>
      <c r="G26" s="47" t="s">
        <v>6</v>
      </c>
      <c r="H26" s="37">
        <v>20</v>
      </c>
      <c r="I26" s="37">
        <v>20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11981</v>
      </c>
      <c r="F27" s="69" t="s">
        <v>219</v>
      </c>
      <c r="G27" s="47" t="s">
        <v>6</v>
      </c>
      <c r="H27" s="37"/>
      <c r="I27" s="37">
        <v>250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5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view="pageBreakPreview" zoomScale="89" zoomScaleNormal="90" zoomScaleSheetLayoutView="89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'23'!B1+1</f>
        <v>45954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3968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4064</v>
      </c>
      <c r="D6" s="28"/>
      <c r="E6" s="68">
        <v>12072</v>
      </c>
      <c r="F6" s="69" t="s">
        <v>356</v>
      </c>
      <c r="G6" s="47" t="s">
        <v>35</v>
      </c>
      <c r="H6" s="37">
        <v>0</v>
      </c>
      <c r="I6" s="37">
        <v>0</v>
      </c>
      <c r="J6" s="28"/>
      <c r="K6" s="69" t="s">
        <v>150</v>
      </c>
      <c r="L6" s="83" t="s">
        <v>151</v>
      </c>
      <c r="M6" s="41">
        <v>166</v>
      </c>
      <c r="R6" s="1">
        <f>IF(vend24[[#This Row],[Nº Venda]]&gt;1,1,0)</f>
        <v>1</v>
      </c>
    </row>
    <row r="7" spans="2:18" ht="16.5" x14ac:dyDescent="0.3">
      <c r="B7" s="26" t="s">
        <v>3</v>
      </c>
      <c r="C7" s="27">
        <f>SUM(M6:M11)</f>
        <v>166</v>
      </c>
      <c r="D7" s="28"/>
      <c r="E7" s="68">
        <v>12073</v>
      </c>
      <c r="F7" s="69" t="s">
        <v>357</v>
      </c>
      <c r="G7" s="47" t="s">
        <v>45</v>
      </c>
      <c r="H7" s="37">
        <v>39</v>
      </c>
      <c r="I7" s="37">
        <v>0</v>
      </c>
      <c r="J7" s="28"/>
      <c r="K7" s="69"/>
      <c r="L7" s="83"/>
      <c r="M7" s="41"/>
      <c r="R7" s="1">
        <f>IF(vend24[[#This Row],[Nº Venda]]&gt;1,1,0)</f>
        <v>1</v>
      </c>
    </row>
    <row r="8" spans="2:18" ht="16.5" x14ac:dyDescent="0.3">
      <c r="B8" s="29" t="s">
        <v>20</v>
      </c>
      <c r="C8" s="30">
        <f>SUM(C6:C7)</f>
        <v>4230</v>
      </c>
      <c r="D8" s="28"/>
      <c r="E8" s="68">
        <v>12074</v>
      </c>
      <c r="F8" s="69" t="s">
        <v>358</v>
      </c>
      <c r="G8" s="47" t="s">
        <v>7</v>
      </c>
      <c r="H8" s="37">
        <v>35</v>
      </c>
      <c r="I8" s="37">
        <v>35</v>
      </c>
      <c r="J8" s="28"/>
      <c r="K8" s="69"/>
      <c r="L8" s="83"/>
      <c r="M8" s="41"/>
      <c r="R8" s="1">
        <f>IF(vend24[[#This Row],[Nº Venda]]&gt;1,1,0)</f>
        <v>1</v>
      </c>
    </row>
    <row r="9" spans="2:18" ht="16.5" x14ac:dyDescent="0.3">
      <c r="B9" s="25"/>
      <c r="C9" s="25"/>
      <c r="D9" s="28"/>
      <c r="E9" s="68">
        <v>12075</v>
      </c>
      <c r="F9" s="69" t="s">
        <v>359</v>
      </c>
      <c r="G9" s="47" t="s">
        <v>10</v>
      </c>
      <c r="H9" s="37">
        <v>220</v>
      </c>
      <c r="I9" s="37">
        <v>50</v>
      </c>
      <c r="J9" s="28"/>
      <c r="K9" s="69"/>
      <c r="L9" s="83"/>
      <c r="M9" s="41"/>
      <c r="R9" s="1">
        <f>IF(vend24[[#This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12076</v>
      </c>
      <c r="F10" s="69" t="s">
        <v>360</v>
      </c>
      <c r="G10" s="47" t="s">
        <v>8</v>
      </c>
      <c r="H10" s="37">
        <v>850</v>
      </c>
      <c r="I10" s="37">
        <v>850</v>
      </c>
      <c r="J10" s="28"/>
      <c r="K10" s="69"/>
      <c r="L10" s="83"/>
      <c r="M10" s="41"/>
      <c r="R10" s="1">
        <f>IF(vend24[[#This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166</v>
      </c>
      <c r="D11" s="28"/>
      <c r="E11" s="68">
        <v>12077</v>
      </c>
      <c r="F11" s="69" t="s">
        <v>360</v>
      </c>
      <c r="G11" s="47" t="s">
        <v>45</v>
      </c>
      <c r="H11" s="37">
        <v>0</v>
      </c>
      <c r="I11" s="37">
        <v>0</v>
      </c>
      <c r="J11" s="28"/>
      <c r="K11" s="36"/>
      <c r="L11" s="83"/>
      <c r="M11" s="41"/>
      <c r="O11" s="1">
        <f>IF(C16=0,0,1)</f>
        <v>1</v>
      </c>
      <c r="R11" s="1">
        <f>IF(vend24[[#This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90</v>
      </c>
      <c r="D12" s="28"/>
      <c r="E12" s="68">
        <v>12078</v>
      </c>
      <c r="F12" s="69" t="s">
        <v>361</v>
      </c>
      <c r="G12" s="47" t="s">
        <v>8</v>
      </c>
      <c r="H12" s="37">
        <v>1300</v>
      </c>
      <c r="I12" s="37">
        <v>1300</v>
      </c>
      <c r="J12" s="28"/>
      <c r="K12" s="31"/>
      <c r="L12" s="31"/>
      <c r="M12" s="31"/>
      <c r="R12" s="1">
        <f>IF(vend24[[#This Row],[Nº Venda]]&gt;1,1,0)</f>
        <v>1</v>
      </c>
    </row>
    <row r="13" spans="2:18" ht="16.5" x14ac:dyDescent="0.3">
      <c r="B13" s="26" t="s">
        <v>8</v>
      </c>
      <c r="C13" s="62">
        <f t="shared" si="0"/>
        <v>3658</v>
      </c>
      <c r="D13" s="28"/>
      <c r="E13" s="68">
        <v>12079</v>
      </c>
      <c r="F13" s="69" t="s">
        <v>362</v>
      </c>
      <c r="G13" s="47" t="s">
        <v>8</v>
      </c>
      <c r="H13" s="37">
        <v>110</v>
      </c>
      <c r="I13" s="37">
        <v>110</v>
      </c>
      <c r="J13" s="28"/>
      <c r="K13" s="96" t="s">
        <v>141</v>
      </c>
      <c r="L13" s="97"/>
      <c r="M13" s="98"/>
      <c r="R13" s="1">
        <f>IF(vend24[[#This Row],[Nº Venda]]&gt;1,1,0)</f>
        <v>1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>
        <v>12080</v>
      </c>
      <c r="F14" s="69" t="s">
        <v>363</v>
      </c>
      <c r="G14" s="47" t="s">
        <v>8</v>
      </c>
      <c r="H14" s="37">
        <v>399</v>
      </c>
      <c r="I14" s="37">
        <v>399</v>
      </c>
      <c r="J14" s="28"/>
      <c r="K14" s="20" t="s">
        <v>21</v>
      </c>
      <c r="L14" s="21" t="s">
        <v>22</v>
      </c>
      <c r="M14" s="22" t="s">
        <v>23</v>
      </c>
      <c r="R14" s="1">
        <f>IF(vend24[[#This Row],[Nº Venda]]&gt;1,1,0)</f>
        <v>1</v>
      </c>
    </row>
    <row r="15" spans="2:18" ht="16.5" x14ac:dyDescent="0.3">
      <c r="B15" s="26" t="s">
        <v>10</v>
      </c>
      <c r="C15" s="62">
        <f t="shared" si="0"/>
        <v>150</v>
      </c>
      <c r="D15" s="28"/>
      <c r="E15" s="68">
        <v>12081</v>
      </c>
      <c r="F15" s="69" t="s">
        <v>364</v>
      </c>
      <c r="G15" s="47" t="s">
        <v>8</v>
      </c>
      <c r="H15" s="37">
        <v>600</v>
      </c>
      <c r="I15" s="37">
        <v>600</v>
      </c>
      <c r="J15" s="28"/>
      <c r="K15" s="68">
        <v>12079</v>
      </c>
      <c r="L15" s="83" t="s">
        <v>128</v>
      </c>
      <c r="M15" s="41" t="s">
        <v>148</v>
      </c>
      <c r="R15" s="1">
        <f>IF(vend24[[#This Row],[Nº Venda]]&gt;1,1,0)</f>
        <v>1</v>
      </c>
    </row>
    <row r="16" spans="2:18" ht="16.5" x14ac:dyDescent="0.3">
      <c r="B16" s="29" t="s">
        <v>11</v>
      </c>
      <c r="C16" s="63">
        <f>SUM(C11:C15)</f>
        <v>4064</v>
      </c>
      <c r="D16" s="28"/>
      <c r="E16" s="68">
        <v>12082</v>
      </c>
      <c r="F16" s="69" t="s">
        <v>364</v>
      </c>
      <c r="G16" s="47" t="s">
        <v>8</v>
      </c>
      <c r="H16" s="37">
        <v>399</v>
      </c>
      <c r="I16" s="37">
        <v>399</v>
      </c>
      <c r="J16" s="28"/>
      <c r="K16" s="68">
        <v>12051</v>
      </c>
      <c r="L16" s="83" t="s">
        <v>130</v>
      </c>
      <c r="M16" s="41" t="s">
        <v>148</v>
      </c>
      <c r="R16" s="1">
        <f>IF(vend24[[#This Row],[Nº Venda]]&gt;1,1,0)</f>
        <v>1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12040</v>
      </c>
      <c r="L17" s="83" t="s">
        <v>130</v>
      </c>
      <c r="M17" s="41" t="s">
        <v>160</v>
      </c>
      <c r="R17" s="1">
        <f>IF(vend24[[#This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11987</v>
      </c>
      <c r="L18" s="83" t="s">
        <v>128</v>
      </c>
      <c r="M18" s="41" t="s">
        <v>148</v>
      </c>
      <c r="R18" s="1">
        <f>IF(vend24[[#This Row],[Nº Venda]]&gt;1,1,0)</f>
        <v>0</v>
      </c>
    </row>
    <row r="19" spans="2:18" ht="16.5" x14ac:dyDescent="0.3">
      <c r="B19" s="26">
        <f>COUNT(entr_carn24[OS])</f>
        <v>1</v>
      </c>
      <c r="C19" s="62">
        <f>SUM(entr_carn24[Valor Total])</f>
        <v>420</v>
      </c>
      <c r="D19" s="28"/>
      <c r="E19" s="68"/>
      <c r="F19" s="69"/>
      <c r="G19" s="47"/>
      <c r="H19" s="37"/>
      <c r="I19" s="37"/>
      <c r="J19" s="28"/>
      <c r="K19" s="68">
        <v>11725</v>
      </c>
      <c r="L19" s="83" t="s">
        <v>128</v>
      </c>
      <c r="M19" s="41" t="s">
        <v>148</v>
      </c>
      <c r="R19" s="1">
        <f>IF(vend24[[#This Row],[Nº Venda]]&gt;1,1,0)</f>
        <v>0</v>
      </c>
    </row>
    <row r="20" spans="2:18" ht="16.5" x14ac:dyDescent="0.3">
      <c r="B20" s="29" t="s">
        <v>11</v>
      </c>
      <c r="C20" s="63">
        <f>SUM(C19:C19)</f>
        <v>420</v>
      </c>
      <c r="D20" s="28"/>
      <c r="E20" s="68"/>
      <c r="F20" s="47"/>
      <c r="G20" s="47"/>
      <c r="H20" s="37"/>
      <c r="I20" s="37"/>
      <c r="J20" s="28"/>
      <c r="K20" s="68">
        <v>12010</v>
      </c>
      <c r="L20" s="83" t="s">
        <v>130</v>
      </c>
      <c r="M20" s="41" t="s">
        <v>148</v>
      </c>
      <c r="R20" s="1">
        <f>IF(vend24[[#This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3968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12040</v>
      </c>
      <c r="F26" s="69" t="s">
        <v>365</v>
      </c>
      <c r="G26" s="47" t="s">
        <v>6</v>
      </c>
      <c r="H26" s="37"/>
      <c r="I26" s="37">
        <v>166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11725</v>
      </c>
      <c r="F27" s="69" t="s">
        <v>366</v>
      </c>
      <c r="G27" s="47" t="s">
        <v>7</v>
      </c>
      <c r="H27" s="37">
        <v>55</v>
      </c>
      <c r="I27" s="37">
        <v>55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11130</v>
      </c>
      <c r="F35" s="69" t="s">
        <v>367</v>
      </c>
      <c r="G35" s="47" t="s">
        <v>10</v>
      </c>
      <c r="H35" s="37">
        <v>100</v>
      </c>
      <c r="I35" s="37" t="s">
        <v>75</v>
      </c>
      <c r="J35" s="36"/>
      <c r="K35" s="68">
        <v>12040</v>
      </c>
      <c r="L35" s="68">
        <v>8</v>
      </c>
      <c r="M35" s="83">
        <v>420</v>
      </c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11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view="pageBreakPreview" zoomScaleNormal="90" zoomScaleSheetLayoutView="100" workbookViewId="0">
      <selection activeCell="M10" sqref="M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'24'!B1+1</f>
        <v>45955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4630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 ca="1">C16</f>
        <v>4940</v>
      </c>
      <c r="D6" s="28"/>
      <c r="E6" s="68">
        <v>12083</v>
      </c>
      <c r="F6" s="69" t="s">
        <v>369</v>
      </c>
      <c r="G6" s="47" t="s">
        <v>45</v>
      </c>
      <c r="H6" s="37"/>
      <c r="I6" s="37"/>
      <c r="J6" s="28"/>
      <c r="K6" s="69" t="s">
        <v>217</v>
      </c>
      <c r="L6" s="83" t="s">
        <v>6</v>
      </c>
      <c r="M6" s="41">
        <v>100</v>
      </c>
      <c r="R6" s="1">
        <f>IF(vend25[[#This Row],[Nº Venda]]&gt;1,1,0)</f>
        <v>1</v>
      </c>
    </row>
    <row r="7" spans="2:18" ht="16.5" x14ac:dyDescent="0.3">
      <c r="B7" s="26" t="s">
        <v>3</v>
      </c>
      <c r="C7" s="27">
        <f>SUM(M6:M11)</f>
        <v>100</v>
      </c>
      <c r="D7" s="28"/>
      <c r="E7" s="68">
        <v>12084</v>
      </c>
      <c r="F7" s="69" t="s">
        <v>368</v>
      </c>
      <c r="G7" s="47" t="s">
        <v>7</v>
      </c>
      <c r="H7" s="37">
        <v>420</v>
      </c>
      <c r="I7" s="37">
        <v>420</v>
      </c>
      <c r="J7" s="28"/>
      <c r="K7" s="69"/>
      <c r="L7" s="83"/>
      <c r="M7" s="41"/>
      <c r="R7" s="1">
        <f>IF(vend25[[#This Row],[Nº Venda]]&gt;1,1,0)</f>
        <v>1</v>
      </c>
    </row>
    <row r="8" spans="2:18" ht="16.5" x14ac:dyDescent="0.3">
      <c r="B8" s="29" t="s">
        <v>20</v>
      </c>
      <c r="C8" s="30">
        <f ca="1">SUM(C6:C7)</f>
        <v>5040</v>
      </c>
      <c r="D8" s="28"/>
      <c r="E8" s="68">
        <v>12085</v>
      </c>
      <c r="F8" s="69" t="s">
        <v>370</v>
      </c>
      <c r="G8" s="47" t="s">
        <v>6</v>
      </c>
      <c r="H8" s="37">
        <v>540</v>
      </c>
      <c r="I8" s="37">
        <v>100</v>
      </c>
      <c r="J8" s="28"/>
      <c r="K8" s="69"/>
      <c r="L8" s="83"/>
      <c r="M8" s="41"/>
      <c r="R8" s="1">
        <f>IF(vend25[[#This Row],[Nº Venda]]&gt;1,1,0)</f>
        <v>1</v>
      </c>
    </row>
    <row r="9" spans="2:18" ht="16.5" x14ac:dyDescent="0.3">
      <c r="B9" s="25"/>
      <c r="C9" s="25"/>
      <c r="D9" s="28"/>
      <c r="E9" s="68">
        <v>12086</v>
      </c>
      <c r="F9" s="69" t="s">
        <v>371</v>
      </c>
      <c r="G9" s="47" t="s">
        <v>8</v>
      </c>
      <c r="H9" s="37">
        <v>1190</v>
      </c>
      <c r="I9" s="37">
        <v>50</v>
      </c>
      <c r="J9" s="28"/>
      <c r="K9" s="69"/>
      <c r="L9" s="83"/>
      <c r="M9" s="41"/>
      <c r="R9" s="1">
        <f>IF(vend25[[#This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12087</v>
      </c>
      <c r="F10" s="69" t="s">
        <v>372</v>
      </c>
      <c r="G10" s="47" t="s">
        <v>7</v>
      </c>
      <c r="H10" s="37">
        <v>250</v>
      </c>
      <c r="I10" s="37">
        <v>250</v>
      </c>
      <c r="J10" s="28"/>
      <c r="K10" s="69"/>
      <c r="L10" s="83"/>
      <c r="M10" s="41"/>
      <c r="R10" s="1">
        <f>IF(vend25[[#This Row],[Nº Venda]]&gt;1,1,0)</f>
        <v>1</v>
      </c>
    </row>
    <row r="11" spans="2:18" ht="16.5" x14ac:dyDescent="0.3">
      <c r="B11" s="26" t="s">
        <v>6</v>
      </c>
      <c r="C11" s="62">
        <f ca="1">(SUMIF($G$2:$G$31,B11,$I$2:$I$31))+(SUMIF($G$35:$G$41,B11,$H$36:$H$41))</f>
        <v>100</v>
      </c>
      <c r="D11" s="28"/>
      <c r="E11" s="68">
        <v>12088</v>
      </c>
      <c r="F11" s="69" t="s">
        <v>373</v>
      </c>
      <c r="G11" s="47" t="s">
        <v>8</v>
      </c>
      <c r="H11" s="37">
        <v>250</v>
      </c>
      <c r="I11" s="37">
        <v>250</v>
      </c>
      <c r="J11" s="28"/>
      <c r="K11" s="36"/>
      <c r="L11" s="83"/>
      <c r="M11" s="41"/>
      <c r="O11" s="1">
        <f ca="1">IF(C16=0,0,1)</f>
        <v>1</v>
      </c>
      <c r="R11" s="1">
        <f>IF(vend25[[#This Row],[Nº Venda]]&gt;1,1,0)</f>
        <v>1</v>
      </c>
    </row>
    <row r="12" spans="2:18" ht="16.5" x14ac:dyDescent="0.3">
      <c r="B12" s="26" t="s">
        <v>7</v>
      </c>
      <c r="C12" s="62">
        <f ca="1">(SUMIF($G$2:$G$31,B12,$I$2:$I$31))+(SUMIF($G$35:$G$41,B12,$H$36:$H$41))</f>
        <v>871</v>
      </c>
      <c r="D12" s="28"/>
      <c r="E12" s="68">
        <v>12089</v>
      </c>
      <c r="F12" s="69" t="s">
        <v>374</v>
      </c>
      <c r="G12" s="47" t="s">
        <v>8</v>
      </c>
      <c r="H12" s="37">
        <v>1080</v>
      </c>
      <c r="I12" s="37">
        <v>1080</v>
      </c>
      <c r="J12" s="28"/>
      <c r="K12" s="31"/>
      <c r="L12" s="31"/>
      <c r="M12" s="31"/>
      <c r="R12" s="1">
        <f>IF(vend25[[#This Row],[Nº Venda]]&gt;1,1,0)</f>
        <v>1</v>
      </c>
    </row>
    <row r="13" spans="2:18" ht="16.5" x14ac:dyDescent="0.3">
      <c r="B13" s="26" t="s">
        <v>8</v>
      </c>
      <c r="C13" s="62">
        <f ca="1">(SUMIF($G$2:$G$31,B13,$I$2:$I$31))+(SUMIF($G$35:$G$41,B13,$H$36:$H$41))</f>
        <v>3969</v>
      </c>
      <c r="D13" s="28"/>
      <c r="E13" s="68">
        <v>12091</v>
      </c>
      <c r="F13" s="69" t="s">
        <v>374</v>
      </c>
      <c r="G13" s="47" t="s">
        <v>8</v>
      </c>
      <c r="H13" s="37">
        <v>300</v>
      </c>
      <c r="I13" s="37">
        <v>300</v>
      </c>
      <c r="J13" s="28"/>
      <c r="K13" s="96" t="s">
        <v>141</v>
      </c>
      <c r="L13" s="97"/>
      <c r="M13" s="98"/>
      <c r="R13" s="1">
        <f>IF(vend25[[#This Row],[Nº Venda]]&gt;1,1,0)</f>
        <v>1</v>
      </c>
    </row>
    <row r="14" spans="2:18" ht="16.5" x14ac:dyDescent="0.3">
      <c r="B14" s="26" t="s">
        <v>9</v>
      </c>
      <c r="C14" s="62">
        <f ca="1">(SUMIF($G$2:$G$31,B14,$I$2:$I$31))+(SUMIF($G$35:$G$41,B14,$H$36:$H$41))</f>
        <v>0</v>
      </c>
      <c r="D14" s="28"/>
      <c r="E14" s="68">
        <v>12092</v>
      </c>
      <c r="F14" s="69" t="s">
        <v>374</v>
      </c>
      <c r="G14" s="47" t="s">
        <v>8</v>
      </c>
      <c r="H14" s="37">
        <v>600</v>
      </c>
      <c r="I14" s="37">
        <v>600</v>
      </c>
      <c r="J14" s="28"/>
      <c r="K14" s="20" t="s">
        <v>21</v>
      </c>
      <c r="L14" s="21" t="s">
        <v>22</v>
      </c>
      <c r="M14" s="22" t="s">
        <v>23</v>
      </c>
      <c r="R14" s="1">
        <f>IF(vend25[[#This Row],[Nº Venda]]&gt;1,1,0)</f>
        <v>1</v>
      </c>
    </row>
    <row r="15" spans="2:18" ht="16.5" x14ac:dyDescent="0.3">
      <c r="B15" s="26" t="s">
        <v>10</v>
      </c>
      <c r="C15" s="62">
        <f ca="1">(SUMIF($G$2:$G$31,B15,$I$2:$I$31))+(SUMIF($G$35:$G$41,B15,$H$36:$H$41))</f>
        <v>0</v>
      </c>
      <c r="D15" s="28"/>
      <c r="E15" s="68"/>
      <c r="F15" s="69"/>
      <c r="G15" s="47"/>
      <c r="H15" s="37"/>
      <c r="I15" s="37"/>
      <c r="J15" s="28"/>
      <c r="K15" s="68">
        <v>11930</v>
      </c>
      <c r="L15" s="83" t="s">
        <v>130</v>
      </c>
      <c r="M15" s="41" t="s">
        <v>148</v>
      </c>
      <c r="R15" s="1">
        <f>IF(vend25[[#This Row],[Nº Venda]]&gt;1,1,0)</f>
        <v>0</v>
      </c>
    </row>
    <row r="16" spans="2:18" ht="16.5" x14ac:dyDescent="0.3">
      <c r="B16" s="29" t="s">
        <v>11</v>
      </c>
      <c r="C16" s="63">
        <f ca="1">SUM(C11:C15)</f>
        <v>4940</v>
      </c>
      <c r="D16" s="28"/>
      <c r="E16" s="68"/>
      <c r="F16" s="69"/>
      <c r="G16" s="47"/>
      <c r="H16" s="37"/>
      <c r="I16" s="37"/>
      <c r="J16" s="28"/>
      <c r="K16" s="68">
        <v>12043</v>
      </c>
      <c r="L16" s="83" t="s">
        <v>130</v>
      </c>
      <c r="M16" s="41" t="s">
        <v>148</v>
      </c>
      <c r="R16" s="1">
        <f>IF(vend25[[#This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11995</v>
      </c>
      <c r="L17" s="83" t="s">
        <v>128</v>
      </c>
      <c r="M17" s="41" t="s">
        <v>148</v>
      </c>
      <c r="R17" s="1">
        <f>IF(vend25[[#This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12002</v>
      </c>
      <c r="L18" s="83" t="s">
        <v>130</v>
      </c>
      <c r="M18" s="41" t="s">
        <v>148</v>
      </c>
      <c r="R18" s="1">
        <f>IF(vend25[[#This Row],[Nº Venda]]&gt;1,1,0)</f>
        <v>0</v>
      </c>
    </row>
    <row r="19" spans="2:18" ht="16.5" x14ac:dyDescent="0.3">
      <c r="B19" s="26">
        <f>COUNT(entr_carn25[OS])</f>
        <v>1</v>
      </c>
      <c r="C19" s="62">
        <f>SUM(entr_carn25[Valor Total])</f>
        <v>349</v>
      </c>
      <c r="D19" s="28"/>
      <c r="E19" s="68"/>
      <c r="F19" s="69"/>
      <c r="G19" s="47"/>
      <c r="H19" s="37"/>
      <c r="I19" s="37"/>
      <c r="J19" s="28"/>
      <c r="K19" s="68">
        <v>11795</v>
      </c>
      <c r="L19" s="83" t="s">
        <v>130</v>
      </c>
      <c r="M19" s="41" t="s">
        <v>148</v>
      </c>
      <c r="R19" s="1">
        <f>IF(vend25[[#This Row],[Nº Venda]]&gt;1,1,0)</f>
        <v>0</v>
      </c>
    </row>
    <row r="20" spans="2:18" ht="16.5" x14ac:dyDescent="0.3">
      <c r="B20" s="29" t="s">
        <v>11</v>
      </c>
      <c r="C20" s="63">
        <f>SUM(C19:C19)</f>
        <v>349</v>
      </c>
      <c r="D20" s="28"/>
      <c r="E20" s="68"/>
      <c r="F20" s="47"/>
      <c r="G20" s="47"/>
      <c r="H20" s="37"/>
      <c r="I20" s="37"/>
      <c r="J20" s="28"/>
      <c r="K20" s="68">
        <v>11961</v>
      </c>
      <c r="L20" s="83" t="s">
        <v>128</v>
      </c>
      <c r="M20" s="41" t="s">
        <v>148</v>
      </c>
      <c r="R20" s="1">
        <f>IF(vend25[[#This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>
        <v>11962</v>
      </c>
      <c r="L21" s="83" t="s">
        <v>128</v>
      </c>
      <c r="M21" s="41" t="s">
        <v>148</v>
      </c>
    </row>
    <row r="22" spans="2:18" ht="16.5" x14ac:dyDescent="0.3">
      <c r="B22" s="29" t="s">
        <v>24</v>
      </c>
      <c r="C22" s="32">
        <f>C5</f>
        <v>4630</v>
      </c>
      <c r="D22" s="28"/>
      <c r="E22" s="70"/>
      <c r="F22" s="69"/>
      <c r="G22" s="47"/>
      <c r="H22" s="37"/>
      <c r="I22" s="37"/>
      <c r="J22" s="28"/>
      <c r="K22" s="68">
        <v>12074</v>
      </c>
      <c r="L22" s="83" t="s">
        <v>128</v>
      </c>
      <c r="M22" s="41" t="s">
        <v>148</v>
      </c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>
        <v>11965</v>
      </c>
      <c r="L23" s="83" t="s">
        <v>128</v>
      </c>
      <c r="M23" s="41" t="s">
        <v>148</v>
      </c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>
        <v>12071</v>
      </c>
      <c r="L24" s="83" t="s">
        <v>130</v>
      </c>
      <c r="M24" s="41" t="s">
        <v>160</v>
      </c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>
        <v>12084</v>
      </c>
      <c r="L25" s="83" t="s">
        <v>130</v>
      </c>
      <c r="M25" s="41" t="s">
        <v>148</v>
      </c>
    </row>
    <row r="26" spans="2:18" ht="16.5" x14ac:dyDescent="0.3">
      <c r="B26" s="28"/>
      <c r="C26" s="28"/>
      <c r="D26" s="28"/>
      <c r="E26" s="68">
        <v>11930</v>
      </c>
      <c r="F26" s="69" t="s">
        <v>368</v>
      </c>
      <c r="G26" s="47" t="s">
        <v>8</v>
      </c>
      <c r="H26" s="37"/>
      <c r="I26" s="37">
        <v>1689</v>
      </c>
      <c r="J26" s="28"/>
      <c r="K26" s="68">
        <v>11997</v>
      </c>
      <c r="L26" s="83" t="s">
        <v>130</v>
      </c>
      <c r="M26" s="41" t="s">
        <v>148</v>
      </c>
    </row>
    <row r="27" spans="2:18" ht="16.5" x14ac:dyDescent="0.3">
      <c r="B27" s="28"/>
      <c r="C27" s="28"/>
      <c r="D27" s="28"/>
      <c r="E27" s="68">
        <v>11930</v>
      </c>
      <c r="F27" s="69" t="s">
        <v>368</v>
      </c>
      <c r="G27" s="47" t="s">
        <v>7</v>
      </c>
      <c r="H27" s="37"/>
      <c r="I27" s="37">
        <v>201</v>
      </c>
      <c r="J27" s="28"/>
      <c r="K27" s="68">
        <v>12020</v>
      </c>
      <c r="L27" s="83" t="s">
        <v>130</v>
      </c>
      <c r="M27" s="41" t="s">
        <v>148</v>
      </c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45"/>
      <c r="I35" s="37"/>
      <c r="J35" s="36"/>
      <c r="K35" s="68">
        <v>12071</v>
      </c>
      <c r="L35" s="68">
        <v>1</v>
      </c>
      <c r="M35" s="83">
        <v>349</v>
      </c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9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'25'!B1+1</f>
        <v>45956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0</v>
      </c>
      <c r="D6" s="28"/>
      <c r="E6" s="68"/>
      <c r="F6" s="69"/>
      <c r="G6" s="47"/>
      <c r="H6" s="37"/>
      <c r="I6" s="37"/>
      <c r="J6" s="28"/>
      <c r="K6" s="69"/>
      <c r="L6" s="83"/>
      <c r="M6" s="41"/>
      <c r="R6" s="1">
        <f>IF(vend26[[#This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68"/>
      <c r="F7" s="69"/>
      <c r="G7" s="47"/>
      <c r="H7" s="37"/>
      <c r="I7" s="37"/>
      <c r="J7" s="28"/>
      <c r="K7" s="69"/>
      <c r="L7" s="83"/>
      <c r="M7" s="41"/>
      <c r="R7" s="1">
        <f>IF(vend26[[#This Row],[Nº Venda]]&gt;1,1,0)</f>
        <v>0</v>
      </c>
    </row>
    <row r="8" spans="2:18" ht="16.5" x14ac:dyDescent="0.3">
      <c r="B8" s="29" t="s">
        <v>20</v>
      </c>
      <c r="C8" s="30">
        <f>SUM(C6:C7)</f>
        <v>0</v>
      </c>
      <c r="D8" s="28"/>
      <c r="E8" s="68"/>
      <c r="F8" s="69"/>
      <c r="G8" s="47"/>
      <c r="H8" s="37"/>
      <c r="I8" s="37"/>
      <c r="J8" s="28"/>
      <c r="K8" s="69"/>
      <c r="L8" s="83"/>
      <c r="M8" s="41"/>
      <c r="R8" s="1">
        <f>IF(vend26[[#This Row],[Nº Venda]]&gt;1,1,0)</f>
        <v>0</v>
      </c>
    </row>
    <row r="9" spans="2:18" ht="16.5" x14ac:dyDescent="0.3">
      <c r="B9" s="25"/>
      <c r="C9" s="25"/>
      <c r="D9" s="28"/>
      <c r="E9" s="68"/>
      <c r="F9" s="69"/>
      <c r="G9" s="47"/>
      <c r="H9" s="37"/>
      <c r="I9" s="37"/>
      <c r="J9" s="28"/>
      <c r="K9" s="69"/>
      <c r="L9" s="83"/>
      <c r="M9" s="41"/>
      <c r="R9" s="1">
        <f>IF(vend26[[#This Row],[Nº Venda]]&gt;1,1,0)</f>
        <v>0</v>
      </c>
    </row>
    <row r="10" spans="2:18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IF(vend26[[#This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0</v>
      </c>
      <c r="R11" s="1">
        <f>IF(vend26[[#This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IF(vend26[[#This Row],[Nº Venda]]&gt;1,1,0)</f>
        <v>0</v>
      </c>
    </row>
    <row r="13" spans="2:18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IF(vend26[[#This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IF(vend26[[#This Row],[Nº Venda]]&gt;1,1,0)</f>
        <v>0</v>
      </c>
    </row>
    <row r="15" spans="2:18" ht="16.5" x14ac:dyDescent="0.3">
      <c r="B15" s="26" t="s">
        <v>10</v>
      </c>
      <c r="C15" s="62">
        <f t="shared" si="0"/>
        <v>0</v>
      </c>
      <c r="D15" s="28"/>
      <c r="E15" s="68"/>
      <c r="F15" s="69"/>
      <c r="G15" s="47"/>
      <c r="H15" s="37"/>
      <c r="I15" s="37"/>
      <c r="J15" s="28"/>
      <c r="K15" s="68"/>
      <c r="L15" s="83"/>
      <c r="M15" s="41"/>
      <c r="R15" s="1">
        <f>IF(vend26[[#This Row],[Nº Venda]]&gt;1,1,0)</f>
        <v>0</v>
      </c>
    </row>
    <row r="16" spans="2:18" ht="16.5" x14ac:dyDescent="0.3">
      <c r="B16" s="29" t="s">
        <v>11</v>
      </c>
      <c r="C16" s="63">
        <f>SUM(C11:C15)</f>
        <v>0</v>
      </c>
      <c r="D16" s="28"/>
      <c r="E16" s="68"/>
      <c r="F16" s="69"/>
      <c r="G16" s="47"/>
      <c r="H16" s="37"/>
      <c r="I16" s="37"/>
      <c r="J16" s="28"/>
      <c r="K16" s="68"/>
      <c r="L16" s="83"/>
      <c r="M16" s="41"/>
      <c r="R16" s="1">
        <f>IF(vend26[[#This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/>
      <c r="L17" s="83"/>
      <c r="M17" s="41"/>
      <c r="R17" s="1">
        <f>IF(vend26[[#This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IF(vend26[[#This Row],[Nº Venda]]&gt;1,1,0)</f>
        <v>0</v>
      </c>
    </row>
    <row r="19" spans="2:18" ht="16.5" x14ac:dyDescent="0.3">
      <c r="B19" s="26">
        <f>COUNT(entr_carn26[OS])</f>
        <v>0</v>
      </c>
      <c r="C19" s="62">
        <f>SUM(entr_carn26[Valor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IF(vend26[[#This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IF(vend26[[#This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/>
      <c r="F26" s="69"/>
      <c r="G26" s="47"/>
      <c r="H26" s="37"/>
      <c r="I26" s="37"/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view="pageBreakPreview" topLeftCell="B1" zoomScale="87" zoomScaleNormal="90" zoomScaleSheetLayoutView="87" workbookViewId="0">
      <selection activeCell="H37" sqref="H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'26'!B1+1</f>
        <v>45957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2689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693.62</v>
      </c>
      <c r="D6" s="28"/>
      <c r="E6" s="68">
        <v>12090</v>
      </c>
      <c r="F6" s="69" t="s">
        <v>375</v>
      </c>
      <c r="G6" s="47" t="s">
        <v>10</v>
      </c>
      <c r="H6" s="37">
        <v>200</v>
      </c>
      <c r="I6" s="37">
        <v>200</v>
      </c>
      <c r="J6" s="28"/>
      <c r="K6" s="69" t="s">
        <v>384</v>
      </c>
      <c r="L6" s="83" t="s">
        <v>6</v>
      </c>
      <c r="M6" s="41">
        <v>79.75</v>
      </c>
      <c r="R6" s="1">
        <f>IF(vend27[[#This Row],[Nº Venda]]&gt;1,1,0)</f>
        <v>1</v>
      </c>
    </row>
    <row r="7" spans="2:18" ht="16.5" x14ac:dyDescent="0.3">
      <c r="B7" s="26" t="s">
        <v>3</v>
      </c>
      <c r="C7" s="27">
        <f>SUM(M6:M11)</f>
        <v>79.75</v>
      </c>
      <c r="D7" s="28"/>
      <c r="E7" s="68">
        <v>12093</v>
      </c>
      <c r="F7" s="69" t="s">
        <v>376</v>
      </c>
      <c r="G7" s="47" t="s">
        <v>7</v>
      </c>
      <c r="H7" s="37">
        <v>120</v>
      </c>
      <c r="I7" s="37">
        <v>120</v>
      </c>
      <c r="J7" s="28"/>
      <c r="K7" s="69"/>
      <c r="L7" s="83"/>
      <c r="M7" s="41"/>
      <c r="R7" s="1">
        <f>IF(vend27[[#This Row],[Nº Venda]]&gt;1,1,0)</f>
        <v>1</v>
      </c>
    </row>
    <row r="8" spans="2:18" ht="16.5" x14ac:dyDescent="0.3">
      <c r="B8" s="29" t="s">
        <v>20</v>
      </c>
      <c r="C8" s="30">
        <f>SUM(C6:C7)</f>
        <v>773.37</v>
      </c>
      <c r="D8" s="28"/>
      <c r="E8" s="68">
        <v>12094</v>
      </c>
      <c r="F8" s="69" t="s">
        <v>377</v>
      </c>
      <c r="G8" s="47" t="s">
        <v>7</v>
      </c>
      <c r="H8" s="37">
        <v>700</v>
      </c>
      <c r="I8" s="37">
        <v>50</v>
      </c>
      <c r="J8" s="28"/>
      <c r="K8" s="69"/>
      <c r="L8" s="83"/>
      <c r="M8" s="41"/>
      <c r="R8" s="1">
        <f>IF(vend27[[#This Row],[Nº Venda]]&gt;1,1,0)</f>
        <v>1</v>
      </c>
    </row>
    <row r="9" spans="2:18" ht="16.5" x14ac:dyDescent="0.3">
      <c r="B9" s="25"/>
      <c r="C9" s="25"/>
      <c r="D9" s="28"/>
      <c r="E9" s="68">
        <v>12095</v>
      </c>
      <c r="F9" s="69" t="s">
        <v>378</v>
      </c>
      <c r="G9" s="47" t="s">
        <v>10</v>
      </c>
      <c r="H9" s="37">
        <v>550</v>
      </c>
      <c r="I9" s="37">
        <v>40</v>
      </c>
      <c r="J9" s="28"/>
      <c r="K9" s="69"/>
      <c r="L9" s="83"/>
      <c r="M9" s="41"/>
      <c r="R9" s="1">
        <f>IF(vend27[[#This Row],[Nº Venda]]&gt;1,1,0)</f>
        <v>1</v>
      </c>
    </row>
    <row r="10" spans="2:18" ht="16.5" x14ac:dyDescent="0.3">
      <c r="B10" s="103" t="s">
        <v>5</v>
      </c>
      <c r="C10" s="104"/>
      <c r="D10" s="28"/>
      <c r="E10" s="68">
        <v>12096</v>
      </c>
      <c r="F10" s="69" t="s">
        <v>378</v>
      </c>
      <c r="G10" s="47" t="s">
        <v>10</v>
      </c>
      <c r="H10" s="37">
        <v>490</v>
      </c>
      <c r="I10" s="37">
        <v>40</v>
      </c>
      <c r="J10" s="28"/>
      <c r="K10" s="69"/>
      <c r="L10" s="83"/>
      <c r="M10" s="41"/>
      <c r="R10" s="1">
        <f>IF(vend27[[#This Row],[Nº Venda]]&gt;1,1,0)</f>
        <v>1</v>
      </c>
    </row>
    <row r="11" spans="2:18" ht="16.5" x14ac:dyDescent="0.3">
      <c r="B11" s="26" t="s">
        <v>6</v>
      </c>
      <c r="C11" s="62">
        <f>(SUMIF($G$2:$G$31,B11,$I$2:$I$31))+(SUMIF($G$35:$G$41,B11,$H$35:$H$41))</f>
        <v>79.75</v>
      </c>
      <c r="D11" s="28"/>
      <c r="E11" s="68">
        <v>12097</v>
      </c>
      <c r="F11" s="69" t="s">
        <v>379</v>
      </c>
      <c r="G11" s="47" t="s">
        <v>10</v>
      </c>
      <c r="H11" s="37">
        <v>590</v>
      </c>
      <c r="I11" s="37">
        <v>50</v>
      </c>
      <c r="J11" s="28"/>
      <c r="K11" s="36"/>
      <c r="L11" s="83"/>
      <c r="M11" s="41"/>
      <c r="O11" s="1">
        <f>IF(C16=0,0,1)</f>
        <v>1</v>
      </c>
      <c r="R11" s="1">
        <f>IF(vend27[[#This Row],[Nº Venda]]&gt;1,1,0)</f>
        <v>1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283.87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IF(vend27[[#This Row],[Nº Venda]]&gt;1,1,0)</f>
        <v>0</v>
      </c>
    </row>
    <row r="13" spans="2:18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IF(vend27[[#This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IF(vend27[[#This Row],[Nº Venda]]&gt;1,1,0)</f>
        <v>0</v>
      </c>
    </row>
    <row r="15" spans="2:18" ht="16.5" x14ac:dyDescent="0.3">
      <c r="B15" s="26" t="s">
        <v>10</v>
      </c>
      <c r="C15" s="62">
        <f t="shared" si="0"/>
        <v>330</v>
      </c>
      <c r="D15" s="28"/>
      <c r="E15" s="68"/>
      <c r="F15" s="69"/>
      <c r="G15" s="47"/>
      <c r="H15" s="37"/>
      <c r="I15" s="37"/>
      <c r="J15" s="28"/>
      <c r="K15" s="68">
        <v>12093</v>
      </c>
      <c r="L15" s="83" t="s">
        <v>128</v>
      </c>
      <c r="M15" s="41" t="s">
        <v>148</v>
      </c>
      <c r="R15" s="1">
        <f>IF(vend27[[#This Row],[Nº Venda]]&gt;1,1,0)</f>
        <v>0</v>
      </c>
    </row>
    <row r="16" spans="2:18" ht="16.5" x14ac:dyDescent="0.3">
      <c r="B16" s="29" t="s">
        <v>11</v>
      </c>
      <c r="C16" s="63">
        <f>SUM(C11:C15)</f>
        <v>693.62</v>
      </c>
      <c r="D16" s="28"/>
      <c r="E16" s="68"/>
      <c r="F16" s="69"/>
      <c r="G16" s="47"/>
      <c r="H16" s="37"/>
      <c r="I16" s="37"/>
      <c r="J16" s="28"/>
      <c r="K16" s="68">
        <v>12090</v>
      </c>
      <c r="L16" s="83" t="s">
        <v>128</v>
      </c>
      <c r="M16" s="41" t="s">
        <v>148</v>
      </c>
      <c r="R16" s="1">
        <f>IF(vend27[[#This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12073</v>
      </c>
      <c r="L17" s="83" t="s">
        <v>128</v>
      </c>
      <c r="M17" s="41" t="s">
        <v>148</v>
      </c>
      <c r="R17" s="1">
        <f>IF(vend27[[#This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12063</v>
      </c>
      <c r="L18" s="83" t="s">
        <v>130</v>
      </c>
      <c r="M18" s="41" t="s">
        <v>148</v>
      </c>
      <c r="R18" s="1">
        <f>IF(vend27[[#This Row],[Nº Venda]]&gt;1,1,0)</f>
        <v>0</v>
      </c>
    </row>
    <row r="19" spans="2:18" ht="16.5" x14ac:dyDescent="0.3">
      <c r="B19" s="26">
        <f>COUNT(entr_carn27[OS])</f>
        <v>0</v>
      </c>
      <c r="C19" s="62">
        <f>SUM(entr_carn27[Valor Total])</f>
        <v>0</v>
      </c>
      <c r="D19" s="28"/>
      <c r="E19" s="68"/>
      <c r="F19" s="69"/>
      <c r="G19" s="47"/>
      <c r="H19" s="37"/>
      <c r="I19" s="37"/>
      <c r="J19" s="28"/>
      <c r="K19" s="68">
        <v>12062</v>
      </c>
      <c r="L19" s="83" t="s">
        <v>130</v>
      </c>
      <c r="M19" s="41" t="s">
        <v>148</v>
      </c>
      <c r="R19" s="1">
        <f>IF(vend27[[#This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IF(vend27[[#This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2689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12073</v>
      </c>
      <c r="F26" s="69" t="s">
        <v>383</v>
      </c>
      <c r="G26" s="47" t="s">
        <v>7</v>
      </c>
      <c r="H26" s="37">
        <v>39</v>
      </c>
      <c r="I26" s="37">
        <v>39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11884</v>
      </c>
      <c r="F35" s="69" t="s">
        <v>380</v>
      </c>
      <c r="G35" s="47" t="s">
        <v>6</v>
      </c>
      <c r="H35" s="37">
        <v>79.75</v>
      </c>
      <c r="I35" s="37" t="s">
        <v>41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>
        <v>11181</v>
      </c>
      <c r="F36" s="69" t="s">
        <v>381</v>
      </c>
      <c r="G36" s="47" t="s">
        <v>7</v>
      </c>
      <c r="H36" s="37">
        <v>74.87</v>
      </c>
      <c r="I36" s="37" t="s">
        <v>52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>
        <v>11705</v>
      </c>
      <c r="F37" s="69" t="s">
        <v>382</v>
      </c>
      <c r="G37" s="47" t="s">
        <v>10</v>
      </c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6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view="pageBreakPreview" zoomScale="93" zoomScaleNormal="90" zoomScaleSheetLayoutView="93" workbookViewId="0">
      <selection activeCell="M11" sqref="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'27'!B1+1</f>
        <v>45958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550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922.45999999999992</v>
      </c>
      <c r="D6" s="28"/>
      <c r="E6" s="68">
        <v>12098</v>
      </c>
      <c r="F6" s="69" t="s">
        <v>386</v>
      </c>
      <c r="G6" s="47" t="s">
        <v>35</v>
      </c>
      <c r="H6" s="37">
        <v>0</v>
      </c>
      <c r="I6" s="37">
        <v>0</v>
      </c>
      <c r="J6" s="28"/>
      <c r="K6" s="69" t="s">
        <v>385</v>
      </c>
      <c r="L6" s="83" t="s">
        <v>6</v>
      </c>
      <c r="M6" s="41">
        <v>16</v>
      </c>
      <c r="R6" s="1">
        <f>IF(vend28[[#This Row],[Nº Venda]]&gt;1,1,0)</f>
        <v>1</v>
      </c>
    </row>
    <row r="7" spans="2:18" ht="16.5" x14ac:dyDescent="0.3">
      <c r="B7" s="26" t="s">
        <v>3</v>
      </c>
      <c r="C7" s="27">
        <f>SUM(M6:M11)</f>
        <v>409.62</v>
      </c>
      <c r="D7" s="28"/>
      <c r="E7" s="68">
        <v>12099</v>
      </c>
      <c r="F7" s="69" t="s">
        <v>389</v>
      </c>
      <c r="G7" s="47" t="s">
        <v>45</v>
      </c>
      <c r="H7" s="37">
        <v>0</v>
      </c>
      <c r="I7" s="37">
        <v>0</v>
      </c>
      <c r="J7" s="28"/>
      <c r="K7" s="69" t="s">
        <v>391</v>
      </c>
      <c r="L7" s="83" t="s">
        <v>10</v>
      </c>
      <c r="M7" s="41">
        <v>71.959999999999994</v>
      </c>
      <c r="R7" s="1">
        <f>IF(vend28[[#This Row],[Nº Venda]]&gt;1,1,0)</f>
        <v>1</v>
      </c>
    </row>
    <row r="8" spans="2:18" ht="16.5" x14ac:dyDescent="0.3">
      <c r="B8" s="29" t="s">
        <v>20</v>
      </c>
      <c r="C8" s="30">
        <f>SUM(C6:C7)</f>
        <v>1332.08</v>
      </c>
      <c r="D8" s="28"/>
      <c r="E8" s="68">
        <v>12101</v>
      </c>
      <c r="F8" s="69" t="s">
        <v>390</v>
      </c>
      <c r="G8" s="47" t="s">
        <v>8</v>
      </c>
      <c r="H8" s="37">
        <v>550</v>
      </c>
      <c r="I8" s="37">
        <v>550</v>
      </c>
      <c r="J8" s="28"/>
      <c r="K8" s="69" t="s">
        <v>217</v>
      </c>
      <c r="L8" s="83" t="s">
        <v>10</v>
      </c>
      <c r="M8" s="41">
        <v>321.66000000000003</v>
      </c>
      <c r="R8" s="1">
        <f>IF(vend28[[#This Row],[Nº Venda]]&gt;1,1,0)</f>
        <v>1</v>
      </c>
    </row>
    <row r="9" spans="2:18" ht="16.5" x14ac:dyDescent="0.3">
      <c r="B9" s="25"/>
      <c r="C9" s="25"/>
      <c r="D9" s="28"/>
      <c r="E9" s="68">
        <v>12102</v>
      </c>
      <c r="F9" s="69" t="s">
        <v>390</v>
      </c>
      <c r="G9" s="47" t="s">
        <v>45</v>
      </c>
      <c r="H9" s="37">
        <v>0</v>
      </c>
      <c r="I9" s="37">
        <v>0</v>
      </c>
      <c r="J9" s="28"/>
      <c r="K9" s="69"/>
      <c r="L9" s="83"/>
      <c r="M9" s="41"/>
      <c r="R9" s="1">
        <f>IF(vend28[[#This Row],[Nº Venda]]&gt;1,1,0)</f>
        <v>1</v>
      </c>
    </row>
    <row r="10" spans="2:18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IF(vend28[[#This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321.65999999999997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IF(vend28[[#This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IF(vend28[[#This Row],[Nº Venda]]&gt;1,1,0)</f>
        <v>0</v>
      </c>
    </row>
    <row r="13" spans="2:18" ht="16.5" x14ac:dyDescent="0.3">
      <c r="B13" s="26" t="s">
        <v>8</v>
      </c>
      <c r="C13" s="62">
        <f t="shared" si="0"/>
        <v>550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IF(vend28[[#This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IF(vend28[[#This Row],[Nº Venda]]&gt;1,1,0)</f>
        <v>0</v>
      </c>
    </row>
    <row r="15" spans="2:18" ht="16.5" x14ac:dyDescent="0.3">
      <c r="B15" s="26" t="s">
        <v>10</v>
      </c>
      <c r="C15" s="62">
        <f t="shared" si="0"/>
        <v>50.8</v>
      </c>
      <c r="D15" s="28"/>
      <c r="E15" s="68"/>
      <c r="F15" s="69"/>
      <c r="G15" s="47"/>
      <c r="H15" s="37"/>
      <c r="I15" s="37"/>
      <c r="J15" s="28"/>
      <c r="K15" s="68">
        <v>11956</v>
      </c>
      <c r="L15" s="83" t="s">
        <v>130</v>
      </c>
      <c r="M15" s="41" t="s">
        <v>148</v>
      </c>
      <c r="R15" s="1">
        <f>IF(vend28[[#This Row],[Nº Venda]]&gt;1,1,0)</f>
        <v>0</v>
      </c>
    </row>
    <row r="16" spans="2:18" ht="16.5" x14ac:dyDescent="0.3">
      <c r="B16" s="29" t="s">
        <v>11</v>
      </c>
      <c r="C16" s="63">
        <f>SUM(C11:C15)</f>
        <v>922.45999999999992</v>
      </c>
      <c r="D16" s="28"/>
      <c r="E16" s="68"/>
      <c r="F16" s="69"/>
      <c r="G16" s="47"/>
      <c r="H16" s="37"/>
      <c r="I16" s="37"/>
      <c r="J16" s="28"/>
      <c r="K16" s="68">
        <v>11954</v>
      </c>
      <c r="L16" s="83" t="s">
        <v>130</v>
      </c>
      <c r="M16" s="41" t="s">
        <v>148</v>
      </c>
      <c r="R16" s="1">
        <f>IF(vend28[[#This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/>
      <c r="L17" s="83"/>
      <c r="M17" s="41"/>
      <c r="R17" s="1">
        <f>IF(vend28[[#This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IF(vend28[[#This Row],[Nº Venda]]&gt;1,1,0)</f>
        <v>0</v>
      </c>
    </row>
    <row r="19" spans="2:18" ht="16.5" x14ac:dyDescent="0.3">
      <c r="B19" s="26">
        <f>COUNT(entr_carn28[OS])</f>
        <v>0</v>
      </c>
      <c r="C19" s="62">
        <f>SUM(entr_carn28[Valor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IF(vend28[[#This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IF(vend28[[#This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550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/>
      <c r="F26" s="69"/>
      <c r="G26" s="47"/>
      <c r="H26" s="37"/>
      <c r="I26" s="37"/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11711</v>
      </c>
      <c r="F35" s="69" t="s">
        <v>387</v>
      </c>
      <c r="G35" s="47" t="s">
        <v>6</v>
      </c>
      <c r="H35" s="37">
        <v>106.66</v>
      </c>
      <c r="I35" s="37" t="s">
        <v>49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>
        <v>10891</v>
      </c>
      <c r="F36" s="69" t="s">
        <v>387</v>
      </c>
      <c r="G36" s="47" t="s">
        <v>6</v>
      </c>
      <c r="H36" s="37">
        <v>115</v>
      </c>
      <c r="I36" s="37" t="s">
        <v>55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>
        <v>11547</v>
      </c>
      <c r="F37" s="69" t="s">
        <v>388</v>
      </c>
      <c r="G37" s="47" t="s">
        <v>6</v>
      </c>
      <c r="H37" s="37">
        <v>100</v>
      </c>
      <c r="I37" s="37" t="s">
        <v>49</v>
      </c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>
        <v>11095</v>
      </c>
      <c r="F38" s="69" t="s">
        <v>328</v>
      </c>
      <c r="G38" s="47" t="s">
        <v>10</v>
      </c>
      <c r="H38" s="37">
        <v>50.8</v>
      </c>
      <c r="I38" s="37" t="s">
        <v>49</v>
      </c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 t="s">
        <v>53</v>
      </c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4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tabSelected="1" view="pageBreakPreview" topLeftCell="A18" zoomScale="95" zoomScaleNormal="90" zoomScaleSheetLayoutView="95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'28'!B1+1</f>
        <v>45959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1199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747</v>
      </c>
      <c r="D6" s="28"/>
      <c r="E6" s="68">
        <v>12100</v>
      </c>
      <c r="F6" s="69" t="s">
        <v>392</v>
      </c>
      <c r="G6" s="47" t="s">
        <v>10</v>
      </c>
      <c r="H6" s="37">
        <v>500</v>
      </c>
      <c r="I6" s="37">
        <v>50</v>
      </c>
      <c r="J6" s="28"/>
      <c r="K6" s="69" t="s">
        <v>394</v>
      </c>
      <c r="L6" s="83" t="s">
        <v>10</v>
      </c>
      <c r="M6" s="41">
        <v>10.94</v>
      </c>
      <c r="R6" s="1">
        <f>IF(vend29[[#This Row],[Nº Venda]]&gt;1,1,0)</f>
        <v>1</v>
      </c>
    </row>
    <row r="7" spans="2:18" ht="16.5" x14ac:dyDescent="0.3">
      <c r="B7" s="26" t="s">
        <v>3</v>
      </c>
      <c r="C7" s="27">
        <f>SUM(M6:M11)</f>
        <v>10.94</v>
      </c>
      <c r="D7" s="28"/>
      <c r="E7" s="68">
        <v>12103</v>
      </c>
      <c r="F7" s="69" t="s">
        <v>393</v>
      </c>
      <c r="G7" s="47" t="s">
        <v>10</v>
      </c>
      <c r="H7" s="37">
        <v>699</v>
      </c>
      <c r="I7" s="37">
        <v>30</v>
      </c>
      <c r="J7" s="28"/>
      <c r="K7" s="69"/>
      <c r="L7" s="83"/>
      <c r="M7" s="41"/>
      <c r="R7" s="1">
        <f>IF(vend29[[#This Row],[Nº Venda]]&gt;1,1,0)</f>
        <v>1</v>
      </c>
    </row>
    <row r="8" spans="2:18" ht="16.5" x14ac:dyDescent="0.3">
      <c r="B8" s="29" t="s">
        <v>20</v>
      </c>
      <c r="C8" s="30">
        <f>SUM(C6:C7)</f>
        <v>757.94</v>
      </c>
      <c r="D8" s="28"/>
      <c r="E8" s="68"/>
      <c r="F8" s="69"/>
      <c r="G8" s="47"/>
      <c r="H8" s="37"/>
      <c r="I8" s="37"/>
      <c r="J8" s="28"/>
      <c r="K8" s="69"/>
      <c r="L8" s="83"/>
      <c r="M8" s="41"/>
      <c r="R8" s="1">
        <f>IF(vend29[[#This Row],[Nº Venda]]&gt;1,1,0)</f>
        <v>0</v>
      </c>
    </row>
    <row r="9" spans="2:18" ht="16.5" x14ac:dyDescent="0.3">
      <c r="B9" s="25"/>
      <c r="C9" s="25"/>
      <c r="D9" s="28"/>
      <c r="E9" s="68"/>
      <c r="F9" s="69"/>
      <c r="G9" s="47"/>
      <c r="H9" s="37"/>
      <c r="I9" s="37"/>
      <c r="J9" s="28"/>
      <c r="K9" s="69"/>
      <c r="L9" s="83"/>
      <c r="M9" s="41"/>
      <c r="R9" s="1">
        <f>IF(vend29[[#This Row],[Nº Venda]]&gt;1,1,0)</f>
        <v>0</v>
      </c>
    </row>
    <row r="10" spans="2:18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IF(vend29[[#This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350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1</v>
      </c>
      <c r="R11" s="1">
        <f>IF(vend29[[#This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IF(vend29[[#This Row],[Nº Venda]]&gt;1,1,0)</f>
        <v>0</v>
      </c>
    </row>
    <row r="13" spans="2:18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IF(vend29[[#This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IF(vend29[[#This Row],[Nº Venda]]&gt;1,1,0)</f>
        <v>0</v>
      </c>
    </row>
    <row r="15" spans="2:18" ht="16.5" x14ac:dyDescent="0.3">
      <c r="B15" s="26" t="s">
        <v>10</v>
      </c>
      <c r="C15" s="62">
        <f t="shared" si="0"/>
        <v>397</v>
      </c>
      <c r="D15" s="28"/>
      <c r="E15" s="68"/>
      <c r="F15" s="69"/>
      <c r="G15" s="47"/>
      <c r="H15" s="37"/>
      <c r="I15" s="37"/>
      <c r="J15" s="28"/>
      <c r="K15" s="68">
        <v>12088</v>
      </c>
      <c r="L15" s="83" t="s">
        <v>128</v>
      </c>
      <c r="M15" s="41" t="s">
        <v>148</v>
      </c>
      <c r="R15" s="1">
        <f>IF(vend29[[#This Row],[Nº Venda]]&gt;1,1,0)</f>
        <v>0</v>
      </c>
    </row>
    <row r="16" spans="2:18" ht="16.5" x14ac:dyDescent="0.3">
      <c r="B16" s="29" t="s">
        <v>11</v>
      </c>
      <c r="C16" s="63">
        <f>SUM(C11:C15)</f>
        <v>747</v>
      </c>
      <c r="D16" s="28"/>
      <c r="E16" s="68"/>
      <c r="F16" s="69"/>
      <c r="G16" s="47"/>
      <c r="H16" s="37"/>
      <c r="I16" s="37"/>
      <c r="J16" s="28"/>
      <c r="K16" s="68">
        <v>11691</v>
      </c>
      <c r="L16" s="83" t="s">
        <v>128</v>
      </c>
      <c r="M16" s="41" t="s">
        <v>148</v>
      </c>
      <c r="R16" s="1">
        <f>IF(vend29[[#This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>
        <v>12059</v>
      </c>
      <c r="L17" s="83" t="s">
        <v>130</v>
      </c>
      <c r="M17" s="41" t="s">
        <v>148</v>
      </c>
      <c r="R17" s="1">
        <f>IF(vend29[[#This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>
        <v>12053</v>
      </c>
      <c r="L18" s="83" t="s">
        <v>128</v>
      </c>
      <c r="M18" s="41" t="s">
        <v>148</v>
      </c>
      <c r="R18" s="1">
        <f>IF(vend29[[#This Row],[Nº Venda]]&gt;1,1,0)</f>
        <v>0</v>
      </c>
    </row>
    <row r="19" spans="2:18" ht="16.5" x14ac:dyDescent="0.3">
      <c r="B19" s="26">
        <f>COUNT(entr_carn29[OS])</f>
        <v>0</v>
      </c>
      <c r="C19" s="62">
        <f>SUM(entr_carn29[Valor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IF(vend29[[#This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IF(vend29[[#This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1199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>
        <v>11907</v>
      </c>
      <c r="F26" s="69" t="s">
        <v>395</v>
      </c>
      <c r="G26" s="47" t="s">
        <v>6</v>
      </c>
      <c r="H26" s="37"/>
      <c r="I26" s="37">
        <v>350</v>
      </c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>
        <v>12055</v>
      </c>
      <c r="F27" s="69" t="s">
        <v>397</v>
      </c>
      <c r="G27" s="47" t="s">
        <v>10</v>
      </c>
      <c r="H27" s="37"/>
      <c r="I27" s="37">
        <v>100</v>
      </c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>
        <v>11734</v>
      </c>
      <c r="F35" s="69" t="s">
        <v>396</v>
      </c>
      <c r="G35" s="47" t="s">
        <v>10</v>
      </c>
      <c r="H35" s="37">
        <v>131</v>
      </c>
      <c r="I35" s="37" t="s">
        <v>88</v>
      </c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>
        <v>10902</v>
      </c>
      <c r="F36" s="69" t="s">
        <v>236</v>
      </c>
      <c r="G36" s="47" t="s">
        <v>10</v>
      </c>
      <c r="H36" s="37">
        <v>86</v>
      </c>
      <c r="I36" s="37" t="s">
        <v>39</v>
      </c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2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'29'!B1+1</f>
        <v>45960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0</v>
      </c>
      <c r="D6" s="28"/>
      <c r="E6" s="68"/>
      <c r="F6" s="69"/>
      <c r="G6" s="47"/>
      <c r="H6" s="37"/>
      <c r="I6" s="37"/>
      <c r="J6" s="28"/>
      <c r="K6" s="69"/>
      <c r="L6" s="83"/>
      <c r="M6" s="41"/>
      <c r="R6" s="1">
        <f>IF(vend30[[#This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68"/>
      <c r="F7" s="69"/>
      <c r="G7" s="47"/>
      <c r="H7" s="37"/>
      <c r="I7" s="37"/>
      <c r="J7" s="28"/>
      <c r="K7" s="69"/>
      <c r="L7" s="83"/>
      <c r="M7" s="41"/>
      <c r="R7" s="1">
        <f>IF(vend30[[#This Row],[Nº Venda]]&gt;1,1,0)</f>
        <v>0</v>
      </c>
    </row>
    <row r="8" spans="2:18" ht="16.5" x14ac:dyDescent="0.3">
      <c r="B8" s="29" t="s">
        <v>20</v>
      </c>
      <c r="C8" s="30">
        <f>SUM(C6:C7)</f>
        <v>0</v>
      </c>
      <c r="D8" s="28"/>
      <c r="E8" s="68"/>
      <c r="F8" s="69"/>
      <c r="G8" s="47"/>
      <c r="H8" s="37"/>
      <c r="I8" s="37"/>
      <c r="J8" s="28"/>
      <c r="K8" s="69"/>
      <c r="L8" s="83"/>
      <c r="M8" s="41"/>
      <c r="R8" s="1">
        <f>IF(vend30[[#This Row],[Nº Venda]]&gt;1,1,0)</f>
        <v>0</v>
      </c>
    </row>
    <row r="9" spans="2:18" ht="16.5" x14ac:dyDescent="0.3">
      <c r="B9" s="25"/>
      <c r="C9" s="25"/>
      <c r="D9" s="28"/>
      <c r="E9" s="68"/>
      <c r="F9" s="69"/>
      <c r="G9" s="47"/>
      <c r="H9" s="37"/>
      <c r="I9" s="37"/>
      <c r="J9" s="28"/>
      <c r="K9" s="69"/>
      <c r="L9" s="83"/>
      <c r="M9" s="41"/>
      <c r="R9" s="1">
        <f>IF(vend30[[#This Row],[Nº Venda]]&gt;1,1,0)</f>
        <v>0</v>
      </c>
    </row>
    <row r="10" spans="2:18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IF(vend30[[#This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0</v>
      </c>
      <c r="R11" s="1">
        <f>IF(vend30[[#This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IF(vend30[[#This Row],[Nº Venda]]&gt;1,1,0)</f>
        <v>0</v>
      </c>
    </row>
    <row r="13" spans="2:18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IF(vend30[[#This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IF(vend30[[#This Row],[Nº Venda]]&gt;1,1,0)</f>
        <v>0</v>
      </c>
    </row>
    <row r="15" spans="2:18" ht="16.5" x14ac:dyDescent="0.3">
      <c r="B15" s="26" t="s">
        <v>10</v>
      </c>
      <c r="C15" s="62">
        <f t="shared" si="0"/>
        <v>0</v>
      </c>
      <c r="D15" s="28"/>
      <c r="E15" s="68"/>
      <c r="F15" s="69"/>
      <c r="G15" s="47"/>
      <c r="H15" s="37"/>
      <c r="I15" s="37"/>
      <c r="J15" s="28"/>
      <c r="K15" s="68"/>
      <c r="L15" s="83"/>
      <c r="M15" s="41"/>
      <c r="R15" s="1">
        <f>IF(vend30[[#This Row],[Nº Venda]]&gt;1,1,0)</f>
        <v>0</v>
      </c>
    </row>
    <row r="16" spans="2:18" ht="16.5" x14ac:dyDescent="0.3">
      <c r="B16" s="29" t="s">
        <v>11</v>
      </c>
      <c r="C16" s="63">
        <f>SUM(C11:C15)</f>
        <v>0</v>
      </c>
      <c r="D16" s="28"/>
      <c r="E16" s="68"/>
      <c r="F16" s="69"/>
      <c r="G16" s="47"/>
      <c r="H16" s="37"/>
      <c r="I16" s="37"/>
      <c r="J16" s="28"/>
      <c r="K16" s="68"/>
      <c r="L16" s="83"/>
      <c r="M16" s="41"/>
      <c r="R16" s="1">
        <f>IF(vend30[[#This Row],[Nº Venda]]&gt;1,1,0)</f>
        <v>0</v>
      </c>
    </row>
    <row r="17" spans="2:22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/>
      <c r="L17" s="83"/>
      <c r="M17" s="41"/>
      <c r="R17" s="1">
        <f>IF(vend30[[#This Row],[Nº Venda]]&gt;1,1,0)</f>
        <v>0</v>
      </c>
    </row>
    <row r="18" spans="2:22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IF(vend30[[#This Row],[Nº Venda]]&gt;1,1,0)</f>
        <v>0</v>
      </c>
    </row>
    <row r="19" spans="2:22" ht="16.5" x14ac:dyDescent="0.3">
      <c r="B19" s="26">
        <f>COUNT(entr_carn30[OS])</f>
        <v>0</v>
      </c>
      <c r="C19" s="62">
        <f>SUM(entr_carn30[Valor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IF(vend30[[#This Row],[Nº Venda]]&gt;1,1,0)</f>
        <v>0</v>
      </c>
    </row>
    <row r="20" spans="2:22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IF(vend30[[#This Row],[Nº Venda]]&gt;1,1,0)</f>
        <v>0</v>
      </c>
    </row>
    <row r="21" spans="2:22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  <c r="V21" s="1" t="s">
        <v>121</v>
      </c>
    </row>
    <row r="22" spans="2:22" ht="16.5" x14ac:dyDescent="0.3">
      <c r="B22" s="29" t="s">
        <v>24</v>
      </c>
      <c r="C22" s="32">
        <f>C5</f>
        <v>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22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22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22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22" ht="16.5" x14ac:dyDescent="0.3">
      <c r="B26" s="28"/>
      <c r="C26" s="28"/>
      <c r="D26" s="28"/>
      <c r="E26" s="68"/>
      <c r="F26" s="69"/>
      <c r="G26" s="47"/>
      <c r="H26" s="37"/>
      <c r="I26" s="37"/>
      <c r="J26" s="28"/>
      <c r="K26" s="68"/>
      <c r="L26" s="83"/>
      <c r="M26" s="41"/>
    </row>
    <row r="27" spans="2:22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22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22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22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22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22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'30'!B1+1</f>
        <v>45961</v>
      </c>
      <c r="C1" s="92"/>
      <c r="L1" s="93" t="s">
        <v>143</v>
      </c>
      <c r="M1" s="93"/>
    </row>
    <row r="2" spans="2:18" ht="18.75" x14ac:dyDescent="0.2">
      <c r="B2" s="99">
        <v>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2"/>
      <c r="E4" s="102" t="s">
        <v>136</v>
      </c>
      <c r="F4" s="102"/>
      <c r="G4" s="102"/>
      <c r="H4" s="102"/>
      <c r="I4" s="102"/>
      <c r="J4" s="28"/>
      <c r="K4" s="96" t="s">
        <v>137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13</v>
      </c>
      <c r="F5" s="16" t="s">
        <v>14</v>
      </c>
      <c r="G5" s="17" t="s">
        <v>15</v>
      </c>
      <c r="H5" s="18" t="s">
        <v>16</v>
      </c>
      <c r="I5" s="19" t="s">
        <v>2</v>
      </c>
      <c r="J5" s="28"/>
      <c r="K5" s="20" t="s">
        <v>17</v>
      </c>
      <c r="L5" s="21" t="s">
        <v>18</v>
      </c>
      <c r="M5" s="22" t="s">
        <v>19</v>
      </c>
    </row>
    <row r="6" spans="2:18" ht="16.5" x14ac:dyDescent="0.3">
      <c r="B6" s="26" t="s">
        <v>2</v>
      </c>
      <c r="C6" s="27">
        <f>C16</f>
        <v>0</v>
      </c>
      <c r="D6" s="28"/>
      <c r="E6" s="68"/>
      <c r="F6" s="69"/>
      <c r="G6" s="47"/>
      <c r="H6" s="37"/>
      <c r="I6" s="37"/>
      <c r="J6" s="28"/>
      <c r="K6" s="69"/>
      <c r="L6" s="83"/>
      <c r="M6" s="41"/>
      <c r="R6" s="1">
        <f>IF(vend31[[#This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68"/>
      <c r="F7" s="69"/>
      <c r="G7" s="47"/>
      <c r="H7" s="37"/>
      <c r="I7" s="37"/>
      <c r="J7" s="28"/>
      <c r="K7" s="69"/>
      <c r="L7" s="83"/>
      <c r="M7" s="41"/>
      <c r="R7" s="1">
        <f>IF(vend31[[#This Row],[Nº Venda]]&gt;1,1,0)</f>
        <v>0</v>
      </c>
    </row>
    <row r="8" spans="2:18" ht="16.5" x14ac:dyDescent="0.3">
      <c r="B8" s="29" t="s">
        <v>20</v>
      </c>
      <c r="C8" s="30">
        <f>SUM(C6:C7)</f>
        <v>0</v>
      </c>
      <c r="D8" s="28"/>
      <c r="E8" s="68"/>
      <c r="F8" s="69"/>
      <c r="G8" s="47"/>
      <c r="H8" s="37"/>
      <c r="I8" s="37"/>
      <c r="J8" s="28"/>
      <c r="K8" s="69"/>
      <c r="L8" s="83"/>
      <c r="M8" s="41"/>
      <c r="R8" s="1">
        <f>IF(vend31[[#This Row],[Nº Venda]]&gt;1,1,0)</f>
        <v>0</v>
      </c>
    </row>
    <row r="9" spans="2:18" ht="16.5" x14ac:dyDescent="0.3">
      <c r="B9" s="25"/>
      <c r="C9" s="25"/>
      <c r="D9" s="28"/>
      <c r="E9" s="68"/>
      <c r="F9" s="69"/>
      <c r="G9" s="47"/>
      <c r="H9" s="37"/>
      <c r="I9" s="37"/>
      <c r="J9" s="28"/>
      <c r="K9" s="69"/>
      <c r="L9" s="83"/>
      <c r="M9" s="41"/>
      <c r="R9" s="1">
        <f>IF(vend31[[#This Row],[Nº Venda]]&gt;1,1,0)</f>
        <v>0</v>
      </c>
    </row>
    <row r="10" spans="2:18" ht="16.5" x14ac:dyDescent="0.3">
      <c r="B10" s="103" t="s">
        <v>5</v>
      </c>
      <c r="C10" s="104"/>
      <c r="D10" s="28"/>
      <c r="E10" s="68"/>
      <c r="F10" s="69"/>
      <c r="G10" s="47"/>
      <c r="H10" s="37"/>
      <c r="I10" s="37"/>
      <c r="J10" s="28"/>
      <c r="K10" s="69"/>
      <c r="L10" s="83"/>
      <c r="M10" s="41"/>
      <c r="R10" s="1">
        <f>IF(vend31[[#This Row],[Nº Venda]]&gt;1,1,0)</f>
        <v>0</v>
      </c>
    </row>
    <row r="11" spans="2:18" ht="16.5" x14ac:dyDescent="0.3">
      <c r="B11" s="26" t="s">
        <v>6</v>
      </c>
      <c r="C11" s="62">
        <f>(SUMIF($G$2:$G$31,B11,$I$2:$I$31))+(SUMIF($G$35:$G$41,B11,$H$35:$H$41))</f>
        <v>0</v>
      </c>
      <c r="D11" s="28"/>
      <c r="E11" s="68"/>
      <c r="F11" s="69"/>
      <c r="G11" s="47"/>
      <c r="H11" s="37"/>
      <c r="I11" s="37"/>
      <c r="J11" s="28"/>
      <c r="K11" s="36"/>
      <c r="L11" s="83"/>
      <c r="M11" s="41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26" t="s">
        <v>7</v>
      </c>
      <c r="C12" s="62">
        <f t="shared" ref="C12:C15" si="0">(SUMIF($G$2:$G$31,B12,$I$2:$I$31))+(SUMIF($G$35:$G$41,B12,$H$35:$H$41))</f>
        <v>0</v>
      </c>
      <c r="D12" s="28"/>
      <c r="E12" s="68"/>
      <c r="F12" s="69"/>
      <c r="G12" s="47"/>
      <c r="H12" s="37"/>
      <c r="I12" s="37"/>
      <c r="J12" s="28"/>
      <c r="K12" s="31"/>
      <c r="L12" s="31"/>
      <c r="M12" s="31"/>
      <c r="R12" s="1">
        <f>IF(vend31[[#This Row],[Nº Venda]]&gt;1,1,0)</f>
        <v>0</v>
      </c>
    </row>
    <row r="13" spans="2:18" ht="16.5" x14ac:dyDescent="0.3">
      <c r="B13" s="26" t="s">
        <v>8</v>
      </c>
      <c r="C13" s="62">
        <f t="shared" si="0"/>
        <v>0</v>
      </c>
      <c r="D13" s="28"/>
      <c r="E13" s="68"/>
      <c r="F13" s="69"/>
      <c r="G13" s="47"/>
      <c r="H13" s="37"/>
      <c r="I13" s="37"/>
      <c r="J13" s="28"/>
      <c r="K13" s="96" t="s">
        <v>141</v>
      </c>
      <c r="L13" s="97"/>
      <c r="M13" s="98"/>
      <c r="R13" s="1">
        <f>IF(vend31[[#This Row],[Nº Venda]]&gt;1,1,0)</f>
        <v>0</v>
      </c>
    </row>
    <row r="14" spans="2:18" ht="16.5" x14ac:dyDescent="0.3">
      <c r="B14" s="26" t="s">
        <v>9</v>
      </c>
      <c r="C14" s="62">
        <f t="shared" si="0"/>
        <v>0</v>
      </c>
      <c r="D14" s="28"/>
      <c r="E14" s="68"/>
      <c r="F14" s="69"/>
      <c r="G14" s="47"/>
      <c r="H14" s="37"/>
      <c r="I14" s="37"/>
      <c r="J14" s="28"/>
      <c r="K14" s="20" t="s">
        <v>21</v>
      </c>
      <c r="L14" s="21" t="s">
        <v>22</v>
      </c>
      <c r="M14" s="22" t="s">
        <v>23</v>
      </c>
      <c r="R14" s="1">
        <f>IF(vend31[[#This Row],[Nº Venda]]&gt;1,1,0)</f>
        <v>0</v>
      </c>
    </row>
    <row r="15" spans="2:18" ht="16.5" x14ac:dyDescent="0.3">
      <c r="B15" s="26" t="s">
        <v>10</v>
      </c>
      <c r="C15" s="62">
        <f t="shared" si="0"/>
        <v>0</v>
      </c>
      <c r="D15" s="28"/>
      <c r="E15" s="68"/>
      <c r="F15" s="69"/>
      <c r="G15" s="47"/>
      <c r="H15" s="37"/>
      <c r="I15" s="37"/>
      <c r="J15" s="28"/>
      <c r="K15" s="68"/>
      <c r="L15" s="83"/>
      <c r="M15" s="41"/>
      <c r="R15" s="1">
        <f>IF(vend31[[#This Row],[Nº Venda]]&gt;1,1,0)</f>
        <v>0</v>
      </c>
    </row>
    <row r="16" spans="2:18" ht="16.5" x14ac:dyDescent="0.3">
      <c r="B16" s="29" t="s">
        <v>11</v>
      </c>
      <c r="C16" s="63">
        <f>SUM(C11:C15)</f>
        <v>0</v>
      </c>
      <c r="D16" s="28"/>
      <c r="E16" s="68"/>
      <c r="F16" s="69"/>
      <c r="G16" s="47"/>
      <c r="H16" s="37"/>
      <c r="I16" s="37"/>
      <c r="J16" s="28"/>
      <c r="K16" s="68"/>
      <c r="L16" s="83"/>
      <c r="M16" s="41"/>
      <c r="R16" s="1">
        <f>IF(vend31[[#This Row],[Nº Venda]]&gt;1,1,0)</f>
        <v>0</v>
      </c>
    </row>
    <row r="17" spans="2:18" ht="16.5" x14ac:dyDescent="0.3">
      <c r="B17" s="25"/>
      <c r="C17" s="25"/>
      <c r="D17" s="28"/>
      <c r="E17" s="68"/>
      <c r="F17" s="69"/>
      <c r="G17" s="47"/>
      <c r="H17" s="37"/>
      <c r="I17" s="37"/>
      <c r="J17" s="28"/>
      <c r="K17" s="68"/>
      <c r="L17" s="83"/>
      <c r="M17" s="41"/>
      <c r="R17" s="1">
        <f>IF(vend31[[#This Row],[Nº Venda]]&gt;1,1,0)</f>
        <v>0</v>
      </c>
    </row>
    <row r="18" spans="2:18" ht="16.5" x14ac:dyDescent="0.3">
      <c r="B18" s="103" t="s">
        <v>12</v>
      </c>
      <c r="C18" s="104"/>
      <c r="D18" s="28"/>
      <c r="E18" s="68"/>
      <c r="F18" s="69"/>
      <c r="G18" s="47"/>
      <c r="H18" s="37"/>
      <c r="I18" s="37"/>
      <c r="J18" s="28"/>
      <c r="K18" s="68"/>
      <c r="L18" s="83"/>
      <c r="M18" s="41"/>
      <c r="R18" s="1">
        <f>IF(vend31[[#This Row],[Nº Venda]]&gt;1,1,0)</f>
        <v>0</v>
      </c>
    </row>
    <row r="19" spans="2:18" ht="16.5" x14ac:dyDescent="0.3">
      <c r="B19" s="26">
        <f>COUNT(entr_carn31[OS])</f>
        <v>0</v>
      </c>
      <c r="C19" s="62">
        <f>SUM(entr_carn31[Valor Total])</f>
        <v>0</v>
      </c>
      <c r="D19" s="28"/>
      <c r="E19" s="68"/>
      <c r="F19" s="69"/>
      <c r="G19" s="47"/>
      <c r="H19" s="37"/>
      <c r="I19" s="37"/>
      <c r="J19" s="28"/>
      <c r="K19" s="68"/>
      <c r="L19" s="83"/>
      <c r="M19" s="41"/>
      <c r="R19" s="1">
        <f>IF(vend31[[#This Row],[Nº Venda]]&gt;1,1,0)</f>
        <v>0</v>
      </c>
    </row>
    <row r="20" spans="2:18" ht="16.5" x14ac:dyDescent="0.3">
      <c r="B20" s="29" t="s">
        <v>11</v>
      </c>
      <c r="C20" s="63">
        <f>SUM(C19:C19)</f>
        <v>0</v>
      </c>
      <c r="D20" s="28"/>
      <c r="E20" s="68"/>
      <c r="F20" s="47"/>
      <c r="G20" s="47"/>
      <c r="H20" s="37"/>
      <c r="I20" s="37"/>
      <c r="J20" s="28"/>
      <c r="K20" s="68"/>
      <c r="L20" s="83"/>
      <c r="M20" s="41"/>
      <c r="R20" s="1">
        <f>IF(vend31[[#This Row],[Nº Venda]]&gt;1,1,0)</f>
        <v>0</v>
      </c>
    </row>
    <row r="21" spans="2:18" ht="16.5" x14ac:dyDescent="0.3">
      <c r="B21" s="25"/>
      <c r="C21" s="25"/>
      <c r="D21" s="28"/>
      <c r="E21" s="68"/>
      <c r="F21" s="69"/>
      <c r="G21" s="47"/>
      <c r="H21" s="37"/>
      <c r="I21" s="37"/>
      <c r="J21" s="28"/>
      <c r="K21" s="68"/>
      <c r="L21" s="83"/>
      <c r="M21" s="41"/>
    </row>
    <row r="22" spans="2:18" ht="16.5" x14ac:dyDescent="0.3">
      <c r="B22" s="29" t="s">
        <v>24</v>
      </c>
      <c r="C22" s="32">
        <f>C5</f>
        <v>0</v>
      </c>
      <c r="D22" s="28"/>
      <c r="E22" s="70"/>
      <c r="F22" s="69"/>
      <c r="G22" s="47"/>
      <c r="H22" s="37"/>
      <c r="I22" s="37"/>
      <c r="J22" s="28"/>
      <c r="K22" s="68"/>
      <c r="L22" s="83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68"/>
      <c r="L23" s="83"/>
      <c r="M23" s="41"/>
    </row>
    <row r="24" spans="2:18" ht="16.5" x14ac:dyDescent="0.3">
      <c r="B24" s="28"/>
      <c r="C24" s="28"/>
      <c r="D24" s="28"/>
      <c r="E24" s="94" t="s">
        <v>138</v>
      </c>
      <c r="F24" s="95"/>
      <c r="G24" s="95"/>
      <c r="H24" s="95"/>
      <c r="I24" s="95"/>
      <c r="J24" s="28"/>
      <c r="K24" s="68"/>
      <c r="L24" s="83"/>
      <c r="M24" s="41"/>
    </row>
    <row r="25" spans="2:18" ht="16.5" x14ac:dyDescent="0.3">
      <c r="B25" s="28"/>
      <c r="C25" s="28"/>
      <c r="D25" s="28"/>
      <c r="E25" s="17" t="s">
        <v>13</v>
      </c>
      <c r="F25" s="16" t="s">
        <v>14</v>
      </c>
      <c r="G25" s="17" t="s">
        <v>15</v>
      </c>
      <c r="H25" s="18" t="s">
        <v>16</v>
      </c>
      <c r="I25" s="18" t="s">
        <v>2</v>
      </c>
      <c r="J25" s="28"/>
      <c r="K25" s="68"/>
      <c r="L25" s="83"/>
      <c r="M25" s="41"/>
    </row>
    <row r="26" spans="2:18" ht="16.5" x14ac:dyDescent="0.3">
      <c r="B26" s="28"/>
      <c r="C26" s="28"/>
      <c r="D26" s="28"/>
      <c r="E26" s="68"/>
      <c r="F26" s="69"/>
      <c r="G26" s="47"/>
      <c r="H26" s="37"/>
      <c r="I26" s="37"/>
      <c r="J26" s="28"/>
      <c r="K26" s="68"/>
      <c r="L26" s="83"/>
      <c r="M26" s="41"/>
    </row>
    <row r="27" spans="2:18" ht="16.5" x14ac:dyDescent="0.3">
      <c r="B27" s="28"/>
      <c r="C27" s="28"/>
      <c r="D27" s="28"/>
      <c r="E27" s="68"/>
      <c r="F27" s="69"/>
      <c r="G27" s="47"/>
      <c r="H27" s="37"/>
      <c r="I27" s="37"/>
      <c r="J27" s="28"/>
      <c r="K27" s="68"/>
      <c r="L27" s="83"/>
      <c r="M27" s="41"/>
    </row>
    <row r="28" spans="2:18" ht="16.5" x14ac:dyDescent="0.3">
      <c r="B28" s="28"/>
      <c r="C28" s="28"/>
      <c r="D28" s="28"/>
      <c r="E28" s="68"/>
      <c r="F28" s="69"/>
      <c r="G28" s="47"/>
      <c r="H28" s="37"/>
      <c r="I28" s="37"/>
      <c r="J28" s="28"/>
      <c r="K28" s="68"/>
      <c r="L28" s="83"/>
      <c r="M28" s="41"/>
    </row>
    <row r="29" spans="2:18" ht="16.5" x14ac:dyDescent="0.3">
      <c r="B29" s="28"/>
      <c r="C29" s="28"/>
      <c r="D29" s="28"/>
      <c r="E29" s="68"/>
      <c r="F29" s="69"/>
      <c r="G29" s="47"/>
      <c r="H29" s="37"/>
      <c r="I29" s="37"/>
      <c r="J29" s="28"/>
      <c r="K29" s="68"/>
      <c r="L29" s="83"/>
      <c r="M29" s="41"/>
    </row>
    <row r="30" spans="2:18" ht="16.5" x14ac:dyDescent="0.3">
      <c r="B30" s="28"/>
      <c r="C30" s="28"/>
      <c r="D30" s="28"/>
      <c r="E30" s="68"/>
      <c r="F30" s="47"/>
      <c r="G30" s="47"/>
      <c r="H30" s="37"/>
      <c r="I30" s="37"/>
      <c r="J30" s="28"/>
      <c r="K30" s="68"/>
      <c r="L30" s="83"/>
      <c r="M30" s="41"/>
    </row>
    <row r="31" spans="2:18" ht="16.5" x14ac:dyDescent="0.3">
      <c r="B31" s="28"/>
      <c r="C31" s="28"/>
      <c r="D31" s="28"/>
      <c r="E31" s="70"/>
      <c r="F31" s="71"/>
      <c r="G31" s="39"/>
      <c r="H31" s="40"/>
      <c r="I31" s="40"/>
      <c r="J31" s="28"/>
      <c r="K31" s="68"/>
      <c r="L31" s="83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139</v>
      </c>
      <c r="F33" s="95"/>
      <c r="G33" s="95"/>
      <c r="H33" s="95"/>
      <c r="I33" s="95"/>
      <c r="J33" s="36"/>
      <c r="K33" s="96" t="s">
        <v>140</v>
      </c>
      <c r="L33" s="97"/>
      <c r="M33" s="98"/>
    </row>
    <row r="34" spans="2:18" ht="16.5" x14ac:dyDescent="0.3">
      <c r="B34" s="36"/>
      <c r="C34" s="36"/>
      <c r="D34" s="36"/>
      <c r="E34" s="17" t="s">
        <v>21</v>
      </c>
      <c r="F34" s="16" t="s">
        <v>14</v>
      </c>
      <c r="G34" s="17" t="s">
        <v>15</v>
      </c>
      <c r="H34" s="18" t="s">
        <v>25</v>
      </c>
      <c r="I34" s="18" t="s">
        <v>26</v>
      </c>
      <c r="J34" s="36"/>
      <c r="K34" s="21" t="s">
        <v>21</v>
      </c>
      <c r="L34" s="20" t="s">
        <v>27</v>
      </c>
      <c r="M34" s="21" t="s">
        <v>28</v>
      </c>
    </row>
    <row r="35" spans="2:18" ht="16.5" customHeight="1" x14ac:dyDescent="0.25">
      <c r="B35" s="36"/>
      <c r="C35" s="36"/>
      <c r="D35" s="36"/>
      <c r="E35" s="68"/>
      <c r="F35" s="69"/>
      <c r="G35" s="47"/>
      <c r="H35" s="37"/>
      <c r="I35" s="37"/>
      <c r="J35" s="36"/>
      <c r="K35" s="68"/>
      <c r="L35" s="68"/>
      <c r="M35" s="83"/>
    </row>
    <row r="36" spans="2:18" ht="16.5" customHeight="1" x14ac:dyDescent="0.25">
      <c r="B36" s="36"/>
      <c r="C36" s="36"/>
      <c r="D36" s="36"/>
      <c r="E36" s="75"/>
      <c r="F36" s="69"/>
      <c r="G36" s="47"/>
      <c r="H36" s="37"/>
      <c r="I36" s="37"/>
      <c r="J36" s="36"/>
      <c r="K36" s="68"/>
      <c r="L36" s="68"/>
      <c r="M36" s="83"/>
    </row>
    <row r="37" spans="2:18" ht="16.5" customHeight="1" x14ac:dyDescent="0.25">
      <c r="B37" s="36"/>
      <c r="C37" s="36"/>
      <c r="D37" s="36"/>
      <c r="E37" s="68"/>
      <c r="F37" s="69"/>
      <c r="G37" s="47"/>
      <c r="H37" s="37"/>
      <c r="I37" s="37"/>
      <c r="J37" s="36"/>
      <c r="K37" s="68"/>
      <c r="L37" s="68"/>
      <c r="M37" s="83"/>
    </row>
    <row r="38" spans="2:18" ht="16.5" customHeight="1" x14ac:dyDescent="0.25">
      <c r="B38" s="36"/>
      <c r="C38" s="36"/>
      <c r="D38" s="36"/>
      <c r="E38" s="68"/>
      <c r="F38" s="69"/>
      <c r="G38" s="47"/>
      <c r="H38" s="37"/>
      <c r="I38" s="37"/>
      <c r="J38" s="36"/>
      <c r="K38" s="68"/>
      <c r="L38" s="68"/>
      <c r="M38" s="83"/>
    </row>
    <row r="39" spans="2:18" ht="16.5" customHeight="1" x14ac:dyDescent="0.25">
      <c r="B39" s="36"/>
      <c r="C39" s="36"/>
      <c r="D39" s="36"/>
      <c r="E39" s="68"/>
      <c r="F39" s="47"/>
      <c r="G39" s="47"/>
      <c r="H39" s="37"/>
      <c r="I39" s="37"/>
      <c r="J39" s="36"/>
      <c r="K39" s="68"/>
      <c r="L39" s="68"/>
      <c r="M39" s="83"/>
    </row>
    <row r="40" spans="2:18" ht="16.5" customHeight="1" x14ac:dyDescent="0.25">
      <c r="B40" s="36"/>
      <c r="C40" s="36"/>
      <c r="D40" s="36"/>
      <c r="E40" s="70"/>
      <c r="F40" s="71"/>
      <c r="G40" s="39"/>
      <c r="H40" s="40"/>
      <c r="I40" s="37"/>
      <c r="J40" s="36"/>
      <c r="K40" s="70"/>
      <c r="L40" s="70"/>
      <c r="M40" s="84"/>
      <c r="Q40" s="1" t="s">
        <v>32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4"/>
      <c r="F41" s="47"/>
      <c r="G41" s="47"/>
      <c r="H41" s="37"/>
      <c r="I41" s="37"/>
      <c r="J41" s="36"/>
      <c r="K41" s="68"/>
      <c r="L41" s="68"/>
      <c r="M41" s="84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sheetPr codeName="Planilha34"/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135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57</v>
      </c>
      <c r="B1" s="13" t="s">
        <v>58</v>
      </c>
      <c r="E1" s="13" t="s">
        <v>59</v>
      </c>
    </row>
    <row r="2" spans="1:5" x14ac:dyDescent="0.2">
      <c r="A2" s="13" t="s">
        <v>6</v>
      </c>
      <c r="B2" s="13" t="s">
        <v>60</v>
      </c>
      <c r="E2" t="s">
        <v>41</v>
      </c>
    </row>
    <row r="3" spans="1:5" x14ac:dyDescent="0.2">
      <c r="A3" s="13" t="s">
        <v>7</v>
      </c>
      <c r="B3" s="13" t="s">
        <v>61</v>
      </c>
      <c r="E3" t="s">
        <v>62</v>
      </c>
    </row>
    <row r="4" spans="1:5" x14ac:dyDescent="0.2">
      <c r="A4" s="13" t="s">
        <v>8</v>
      </c>
      <c r="B4" s="13" t="s">
        <v>63</v>
      </c>
      <c r="E4" t="s">
        <v>64</v>
      </c>
    </row>
    <row r="5" spans="1:5" x14ac:dyDescent="0.2">
      <c r="A5" s="13" t="s">
        <v>9</v>
      </c>
      <c r="B5" s="13" t="s">
        <v>65</v>
      </c>
      <c r="E5" t="s">
        <v>66</v>
      </c>
    </row>
    <row r="6" spans="1:5" x14ac:dyDescent="0.2">
      <c r="A6" s="13" t="s">
        <v>10</v>
      </c>
      <c r="B6" s="13" t="s">
        <v>10</v>
      </c>
      <c r="E6" t="s">
        <v>29</v>
      </c>
    </row>
    <row r="7" spans="1:5" x14ac:dyDescent="0.2">
      <c r="A7" s="13" t="s">
        <v>45</v>
      </c>
      <c r="B7" s="13" t="s">
        <v>67</v>
      </c>
      <c r="E7" t="s">
        <v>68</v>
      </c>
    </row>
    <row r="8" spans="1:5" x14ac:dyDescent="0.2">
      <c r="A8" t="s">
        <v>23</v>
      </c>
      <c r="B8" t="s">
        <v>69</v>
      </c>
      <c r="E8" t="s">
        <v>47</v>
      </c>
    </row>
    <row r="9" spans="1:5" x14ac:dyDescent="0.2">
      <c r="A9" s="13" t="s">
        <v>35</v>
      </c>
      <c r="B9" s="13" t="s">
        <v>70</v>
      </c>
      <c r="E9" t="s">
        <v>71</v>
      </c>
    </row>
    <row r="10" spans="1:5" x14ac:dyDescent="0.2">
      <c r="E10" t="s">
        <v>72</v>
      </c>
    </row>
    <row r="11" spans="1:5" x14ac:dyDescent="0.2">
      <c r="E11" t="s">
        <v>73</v>
      </c>
    </row>
    <row r="12" spans="1:5" x14ac:dyDescent="0.2">
      <c r="E12" t="s">
        <v>34</v>
      </c>
    </row>
    <row r="13" spans="1:5" x14ac:dyDescent="0.2">
      <c r="E13" t="s">
        <v>48</v>
      </c>
    </row>
    <row r="14" spans="1:5" x14ac:dyDescent="0.2">
      <c r="E14" t="s">
        <v>42</v>
      </c>
    </row>
    <row r="15" spans="1:5" x14ac:dyDescent="0.2">
      <c r="E15" t="s">
        <v>74</v>
      </c>
    </row>
    <row r="16" spans="1:5" x14ac:dyDescent="0.2">
      <c r="E16" t="s">
        <v>43</v>
      </c>
    </row>
    <row r="17" spans="5:5" x14ac:dyDescent="0.2">
      <c r="E17" t="s">
        <v>37</v>
      </c>
    </row>
    <row r="18" spans="5:5" x14ac:dyDescent="0.2">
      <c r="E18" t="s">
        <v>49</v>
      </c>
    </row>
    <row r="19" spans="5:5" x14ac:dyDescent="0.2">
      <c r="E19" t="s">
        <v>40</v>
      </c>
    </row>
    <row r="20" spans="5:5" x14ac:dyDescent="0.2">
      <c r="E20" t="s">
        <v>75</v>
      </c>
    </row>
    <row r="21" spans="5:5" x14ac:dyDescent="0.2">
      <c r="E21" t="s">
        <v>76</v>
      </c>
    </row>
    <row r="22" spans="5:5" x14ac:dyDescent="0.2">
      <c r="E22" t="s">
        <v>54</v>
      </c>
    </row>
    <row r="23" spans="5:5" x14ac:dyDescent="0.2">
      <c r="E23" t="s">
        <v>31</v>
      </c>
    </row>
    <row r="24" spans="5:5" x14ac:dyDescent="0.2">
      <c r="E24" t="s">
        <v>50</v>
      </c>
    </row>
    <row r="25" spans="5:5" x14ac:dyDescent="0.2">
      <c r="E25" t="s">
        <v>44</v>
      </c>
    </row>
    <row r="26" spans="5:5" x14ac:dyDescent="0.2">
      <c r="E26" t="s">
        <v>36</v>
      </c>
    </row>
    <row r="27" spans="5:5" x14ac:dyDescent="0.2">
      <c r="E27" t="s">
        <v>39</v>
      </c>
    </row>
    <row r="28" spans="5:5" x14ac:dyDescent="0.2">
      <c r="E28" t="s">
        <v>55</v>
      </c>
    </row>
    <row r="29" spans="5:5" x14ac:dyDescent="0.2">
      <c r="E29" t="s">
        <v>56</v>
      </c>
    </row>
    <row r="30" spans="5:5" x14ac:dyDescent="0.2">
      <c r="E30" t="s">
        <v>77</v>
      </c>
    </row>
    <row r="31" spans="5:5" x14ac:dyDescent="0.2">
      <c r="E31" t="s">
        <v>30</v>
      </c>
    </row>
    <row r="32" spans="5:5" x14ac:dyDescent="0.2">
      <c r="E32" t="s">
        <v>78</v>
      </c>
    </row>
    <row r="33" spans="5:5" x14ac:dyDescent="0.2">
      <c r="E33" t="s">
        <v>52</v>
      </c>
    </row>
    <row r="34" spans="5:5" x14ac:dyDescent="0.2">
      <c r="E34" t="s">
        <v>33</v>
      </c>
    </row>
    <row r="35" spans="5:5" x14ac:dyDescent="0.2">
      <c r="E35" t="s">
        <v>51</v>
      </c>
    </row>
    <row r="36" spans="5:5" x14ac:dyDescent="0.2">
      <c r="E36" t="s">
        <v>38</v>
      </c>
    </row>
    <row r="37" spans="5:5" x14ac:dyDescent="0.2">
      <c r="E37" t="s">
        <v>46</v>
      </c>
    </row>
    <row r="38" spans="5:5" x14ac:dyDescent="0.2">
      <c r="E38" t="s">
        <v>79</v>
      </c>
    </row>
    <row r="39" spans="5:5" x14ac:dyDescent="0.2">
      <c r="E39" t="s">
        <v>80</v>
      </c>
    </row>
    <row r="40" spans="5:5" x14ac:dyDescent="0.2">
      <c r="E40" t="s">
        <v>81</v>
      </c>
    </row>
    <row r="41" spans="5:5" x14ac:dyDescent="0.2">
      <c r="E41" t="s">
        <v>82</v>
      </c>
    </row>
    <row r="42" spans="5:5" x14ac:dyDescent="0.2">
      <c r="E42" t="s">
        <v>83</v>
      </c>
    </row>
    <row r="43" spans="5:5" x14ac:dyDescent="0.2">
      <c r="E43" t="s">
        <v>84</v>
      </c>
    </row>
    <row r="44" spans="5:5" x14ac:dyDescent="0.2">
      <c r="E44" t="s">
        <v>85</v>
      </c>
    </row>
    <row r="45" spans="5:5" x14ac:dyDescent="0.2">
      <c r="E45" t="s">
        <v>86</v>
      </c>
    </row>
    <row r="46" spans="5:5" x14ac:dyDescent="0.2">
      <c r="E46" t="s">
        <v>87</v>
      </c>
    </row>
    <row r="47" spans="5:5" x14ac:dyDescent="0.2">
      <c r="E47" t="s">
        <v>88</v>
      </c>
    </row>
    <row r="48" spans="5:5" x14ac:dyDescent="0.2">
      <c r="E48" t="s">
        <v>89</v>
      </c>
    </row>
    <row r="49" spans="5:5" x14ac:dyDescent="0.2">
      <c r="E49" t="s">
        <v>90</v>
      </c>
    </row>
    <row r="50" spans="5:5" x14ac:dyDescent="0.2">
      <c r="E50" t="s">
        <v>91</v>
      </c>
    </row>
    <row r="51" spans="5:5" x14ac:dyDescent="0.2">
      <c r="E51" t="s">
        <v>92</v>
      </c>
    </row>
    <row r="52" spans="5:5" x14ac:dyDescent="0.2">
      <c r="E52" t="s">
        <v>93</v>
      </c>
    </row>
    <row r="53" spans="5:5" x14ac:dyDescent="0.2">
      <c r="E53" t="s">
        <v>94</v>
      </c>
    </row>
    <row r="54" spans="5:5" x14ac:dyDescent="0.2">
      <c r="E54" t="s">
        <v>95</v>
      </c>
    </row>
    <row r="55" spans="5:5" x14ac:dyDescent="0.2">
      <c r="E55" t="s">
        <v>96</v>
      </c>
    </row>
    <row r="56" spans="5:5" x14ac:dyDescent="0.2">
      <c r="E56" t="s">
        <v>97</v>
      </c>
    </row>
    <row r="57" spans="5:5" x14ac:dyDescent="0.2">
      <c r="E57" t="s">
        <v>98</v>
      </c>
    </row>
    <row r="58" spans="5:5" x14ac:dyDescent="0.2">
      <c r="E58" t="s">
        <v>99</v>
      </c>
    </row>
    <row r="59" spans="5:5" x14ac:dyDescent="0.2">
      <c r="E59" t="s">
        <v>100</v>
      </c>
    </row>
    <row r="60" spans="5:5" x14ac:dyDescent="0.2">
      <c r="E60" t="s">
        <v>101</v>
      </c>
    </row>
    <row r="61" spans="5:5" x14ac:dyDescent="0.2">
      <c r="E61" t="s">
        <v>102</v>
      </c>
    </row>
    <row r="62" spans="5:5" x14ac:dyDescent="0.2">
      <c r="E62" t="s">
        <v>103</v>
      </c>
    </row>
    <row r="63" spans="5:5" x14ac:dyDescent="0.2">
      <c r="E63" t="s">
        <v>104</v>
      </c>
    </row>
    <row r="64" spans="5:5" x14ac:dyDescent="0.2">
      <c r="E64" t="s">
        <v>105</v>
      </c>
    </row>
    <row r="65" spans="5:5" x14ac:dyDescent="0.2">
      <c r="E65" t="s">
        <v>106</v>
      </c>
    </row>
    <row r="66" spans="5:5" x14ac:dyDescent="0.2">
      <c r="E66" t="s">
        <v>107</v>
      </c>
    </row>
    <row r="67" spans="5:5" x14ac:dyDescent="0.2">
      <c r="E67" t="s">
        <v>108</v>
      </c>
    </row>
    <row r="68" spans="5:5" x14ac:dyDescent="0.2">
      <c r="E68" t="s">
        <v>109</v>
      </c>
    </row>
    <row r="69" spans="5:5" x14ac:dyDescent="0.2">
      <c r="E69" t="s">
        <v>110</v>
      </c>
    </row>
    <row r="70" spans="5:5" x14ac:dyDescent="0.2">
      <c r="E70" t="s">
        <v>111</v>
      </c>
    </row>
    <row r="71" spans="5:5" x14ac:dyDescent="0.2">
      <c r="E71" t="s">
        <v>112</v>
      </c>
    </row>
    <row r="72" spans="5:5" x14ac:dyDescent="0.2">
      <c r="E72" t="s">
        <v>113</v>
      </c>
    </row>
    <row r="73" spans="5:5" x14ac:dyDescent="0.2">
      <c r="E73" t="s">
        <v>114</v>
      </c>
    </row>
    <row r="74" spans="5:5" x14ac:dyDescent="0.2">
      <c r="E74" t="s">
        <v>115</v>
      </c>
    </row>
    <row r="75" spans="5:5" x14ac:dyDescent="0.2">
      <c r="E75" t="s">
        <v>116</v>
      </c>
    </row>
    <row r="76" spans="5:5" x14ac:dyDescent="0.2">
      <c r="E76" t="s">
        <v>117</v>
      </c>
    </row>
    <row r="77" spans="5:5" x14ac:dyDescent="0.2">
      <c r="E77" t="s">
        <v>118</v>
      </c>
    </row>
    <row r="78" spans="5:5" x14ac:dyDescent="0.2">
      <c r="E78" t="s">
        <v>119</v>
      </c>
    </row>
    <row r="79" spans="5:5" x14ac:dyDescent="0.2">
      <c r="E79" t="s">
        <v>120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9</vt:i4>
      </vt:variant>
    </vt:vector>
  </HeadingPairs>
  <TitlesOfParts>
    <vt:vector size="4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'06'!Area_de_impressao</vt:lpstr>
      <vt:lpstr>'07'!Area_de_impressao</vt:lpstr>
      <vt:lpstr>'08'!Area_de_impressao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2025-10-29T15:50:35Z</cp:lastPrinted>
  <dcterms:created xsi:type="dcterms:W3CDTF">2004-04-07T20:43:43Z</dcterms:created>
  <dcterms:modified xsi:type="dcterms:W3CDTF">2025-10-29T20:19:36Z</dcterms:modified>
  <cp:category/>
  <cp:contentStatus/>
</cp:coreProperties>
</file>