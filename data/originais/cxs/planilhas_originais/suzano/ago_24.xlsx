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tables/table189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SUZANO/CAIXA/2024/"/>
    </mc:Choice>
  </mc:AlternateContent>
  <xr:revisionPtr revIDLastSave="2468" documentId="13_ncr:1_{0402BA61-346E-4614-9EF8-32644BD0418E}" xr6:coauthVersionLast="47" xr6:coauthVersionMax="47" xr10:uidLastSave="{DD19038E-A05B-45B7-A3CF-FB3851E0EA4E}"/>
  <bookViews>
    <workbookView xWindow="-108" yWindow="-108" windowWidth="23256" windowHeight="12456" tabRatio="895" firstSheet="7" activeTab="19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2" sheetId="191" r:id="rId23"/>
    <sheet name="23" sheetId="188" r:id="rId24"/>
    <sheet name="24" sheetId="193" r:id="rId25"/>
    <sheet name="25" sheetId="195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31" sheetId="198" r:id="rId32"/>
    <sheet name="base" sheetId="36" state="hidden" r:id="rId33"/>
  </sheets>
  <definedNames>
    <definedName name="_xlnm.Print_Area" localSheetId="2">'02'!$A$1:$M$41</definedName>
    <definedName name="_xlnm.Print_Area" localSheetId="5">'05'!$A$1:$M$41</definedName>
    <definedName name="_xlnm.Print_Area" localSheetId="7">'07'!$A$1:$M$41</definedName>
    <definedName name="_xlnm.Print_Area" localSheetId="18">'18'!$A$1:$M$41</definedName>
    <definedName name="_xlnm.Print_Area" localSheetId="19">'19'!$A$1:$M$41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95" l="1"/>
  <c r="C15" i="195"/>
  <c r="C14" i="195"/>
  <c r="C12" i="195"/>
  <c r="C11" i="197"/>
  <c r="C11" i="194"/>
  <c r="C11" i="193"/>
  <c r="C11" i="195"/>
  <c r="C12" i="188"/>
  <c r="C13" i="188"/>
  <c r="C14" i="188"/>
  <c r="C15" i="188"/>
  <c r="C11" i="188"/>
  <c r="C12" i="178"/>
  <c r="C13" i="178"/>
  <c r="C14" i="178"/>
  <c r="C15" i="178"/>
  <c r="C11" i="178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93"/>
  <c r="C13" i="193"/>
  <c r="C14" i="193"/>
  <c r="C15" i="193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6" i="174" s="1"/>
  <c r="C11" i="173"/>
  <c r="C11" i="172"/>
  <c r="C11" i="171"/>
  <c r="C11" i="170"/>
  <c r="C11" i="103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8" i="174" s="1"/>
  <c r="C6" i="173"/>
  <c r="C6" i="172"/>
  <c r="C8" i="172" s="1"/>
  <c r="C6" i="171"/>
  <c r="C6" i="170"/>
  <c r="C6" i="103"/>
  <c r="C6" i="178"/>
  <c r="C6" i="177"/>
  <c r="C6" i="176"/>
  <c r="C6" i="180"/>
  <c r="C6" i="182"/>
  <c r="C6" i="183"/>
  <c r="C6" i="181"/>
  <c r="C6" i="179"/>
  <c r="C8" i="179" s="1"/>
  <c r="C6" i="184"/>
  <c r="C6" i="185"/>
  <c r="C6" i="186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Q20" i="171"/>
  <c r="Q19" i="171"/>
  <c r="C19" i="171"/>
  <c r="C20" i="171" s="1"/>
  <c r="B19" i="171"/>
  <c r="Q18" i="171"/>
  <c r="Q17" i="171"/>
  <c r="Q16" i="171"/>
  <c r="Q15" i="171"/>
  <c r="Q14" i="171"/>
  <c r="Q13" i="171"/>
  <c r="Q12" i="171"/>
  <c r="Q11" i="171"/>
  <c r="Q10" i="171"/>
  <c r="Q9" i="171"/>
  <c r="Q8" i="171"/>
  <c r="Q7" i="171"/>
  <c r="Q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7" l="1"/>
  <c r="C8" i="171"/>
  <c r="C8" i="180"/>
  <c r="C8" i="186"/>
  <c r="C8" i="173"/>
  <c r="C8" i="176"/>
  <c r="C8" i="192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N11" i="171" s="1"/>
  <c r="Q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O11" i="174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l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<sst xmlns="http://schemas.openxmlformats.org/spreadsheetml/2006/main" count="2458" uniqueCount="346">
  <si>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</si>
  <si>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</si>
  <si>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</si>
  <si>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</si>
  <si>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</si>
  <si>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</si>
  <si>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</si>
  <si>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</si>
  <si>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</si>
  <si>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</si>
  <si>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</si>
  <si>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</si>
  <si>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</si>
  <si>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</si>
  <si>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</si>
  <si>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</si>
  <si>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</si>
  <si>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</si>
  <si>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</si>
  <si>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</si>
  <si>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</si>
  <si>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</si>
  <si>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</si>
  <si>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</si>
  <si>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</si>
  <si>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</si>
  <si>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</si>
  <si>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</si>
  <si>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</si>
  <si>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</si>
  <si>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</si>
  <si>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</si>
  <si>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</si>
  <si>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PARC. 2/3</t>
  </si>
  <si>
    <t>PARC. 2/8</t>
  </si>
  <si>
    <t>PARC. 1/7</t>
  </si>
  <si>
    <t>Total de OS</t>
  </si>
  <si>
    <t xml:space="preserve"> V</t>
  </si>
  <si>
    <t>PARC. 5/8</t>
  </si>
  <si>
    <t>PARC. 1/5</t>
  </si>
  <si>
    <t>GARANTIA</t>
  </si>
  <si>
    <t>PARC. 4/7</t>
  </si>
  <si>
    <t>PARC. 1/6</t>
  </si>
  <si>
    <t>PARC. 7/8</t>
  </si>
  <si>
    <t>PARC. 5/7</t>
  </si>
  <si>
    <t>PARC. 3/6</t>
  </si>
  <si>
    <t>PARC. 1/1</t>
  </si>
  <si>
    <t>PARC. 3/5</t>
  </si>
  <si>
    <t>PARC. 5/5</t>
  </si>
  <si>
    <t>PARC. 3/7</t>
  </si>
  <si>
    <t>SS</t>
  </si>
  <si>
    <t>PARC. 8/8</t>
  </si>
  <si>
    <t>PARC. 1/4</t>
  </si>
  <si>
    <t>PARC. 2/5</t>
  </si>
  <si>
    <t>PARC. 2/6</t>
  </si>
  <si>
    <t>PARC. 2/7</t>
  </si>
  <si>
    <t>PARC. 6/8</t>
  </si>
  <si>
    <t>PARC. 4/8</t>
  </si>
  <si>
    <t xml:space="preserve"> </t>
  </si>
  <si>
    <t>PARC. 6/6</t>
  </si>
  <si>
    <t>PARC. 6/7</t>
  </si>
  <si>
    <t>PARC. 7/7</t>
  </si>
  <si>
    <t>Tipo Pagto</t>
  </si>
  <si>
    <t>descricao</t>
  </si>
  <si>
    <t xml:space="preserve">Parcelas </t>
  </si>
  <si>
    <t>Dinheiro</t>
  </si>
  <si>
    <t>Cartão Débito</t>
  </si>
  <si>
    <t>PARC. 1/2</t>
  </si>
  <si>
    <t>Cartão Crédito</t>
  </si>
  <si>
    <t>PARC. 2/2</t>
  </si>
  <si>
    <t>Parcelado Cartão Crédito</t>
  </si>
  <si>
    <t>PARC. 1/3</t>
  </si>
  <si>
    <t>Sem Sinal</t>
  </si>
  <si>
    <t>PARC. 3/3</t>
  </si>
  <si>
    <t xml:space="preserve">Carne </t>
  </si>
  <si>
    <t>Todas as Garantias</t>
  </si>
  <si>
    <t>PARC. 2/4</t>
  </si>
  <si>
    <t>PARC. 3/4</t>
  </si>
  <si>
    <t>PARC. 4/4</t>
  </si>
  <si>
    <t>PARC. 4/5</t>
  </si>
  <si>
    <t>PARC. 4/6</t>
  </si>
  <si>
    <t>PARC. 5/6</t>
  </si>
  <si>
    <t>PARC. 1/8</t>
  </si>
  <si>
    <t>PARC. 3/8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</si>
  <si>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</si>
  <si>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</si>
  <si>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</si>
  <si>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</si>
  <si>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</si>
  <si>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</si>
  <si>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</si>
  <si>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</si>
  <si>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</si>
  <si>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</si>
  <si>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</si>
  <si>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</si>
  <si>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</si>
  <si>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</si>
  <si>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</si>
  <si>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</si>
  <si>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</si>
  <si>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</si>
  <si>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</si>
  <si>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</si>
  <si>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</si>
  <si>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</si>
  <si>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</si>
  <si>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</si>
  <si>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</si>
  <si>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</si>
  <si>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</si>
  <si>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</si>
  <si>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</si>
  <si>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</si>
  <si>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</si>
  <si>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</si>
  <si>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</si>
  <si>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</si>
  <si>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</si>
  <si>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</si>
  <si>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</si>
  <si>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</si>
  <si>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</si>
  <si>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</si>
  <si>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</si>
  <si>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</si>
  <si>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 xml:space="preserve">        </t>
  </si>
  <si>
    <t>Fechamento Diário do Caixa - Escritório</t>
  </si>
  <si>
    <t>Colaboradores</t>
  </si>
  <si>
    <t>ROGÉRIO</t>
  </si>
  <si>
    <t>JOCY</t>
  </si>
  <si>
    <t>MARIA</t>
  </si>
  <si>
    <t>WEVILLY</t>
  </si>
  <si>
    <t>BETH</t>
  </si>
  <si>
    <t>ARIANI</t>
  </si>
  <si>
    <t>ROSÂNGELA</t>
  </si>
  <si>
    <t>TATY</t>
  </si>
  <si>
    <t>LARISSA</t>
  </si>
  <si>
    <t>ERIKA</t>
  </si>
  <si>
    <t>LUANA</t>
  </si>
  <si>
    <t>FELIPE</t>
  </si>
  <si>
    <t>Não</t>
  </si>
  <si>
    <t>RENATA PAULA</t>
  </si>
  <si>
    <t>ALESSANDRA ALVES</t>
  </si>
  <si>
    <t>ROSILDA ALVES</t>
  </si>
  <si>
    <t>BIANCA DA SILVA</t>
  </si>
  <si>
    <t>MARIA VERENICE</t>
  </si>
  <si>
    <t>SILVANI BARBOSA</t>
  </si>
  <si>
    <t>GEORGINA NAZARE</t>
  </si>
  <si>
    <t>FRANCIEY SUELEN</t>
  </si>
  <si>
    <t>MARIA CECILIA</t>
  </si>
  <si>
    <t>joana francisca</t>
  </si>
  <si>
    <t>fabiana</t>
  </si>
  <si>
    <t>joice silva</t>
  </si>
  <si>
    <t>antonio romualdo</t>
  </si>
  <si>
    <t>frederico</t>
  </si>
  <si>
    <t>gilmar lopes</t>
  </si>
  <si>
    <t>marinalva bessera</t>
  </si>
  <si>
    <t>nilvaldo rabelo</t>
  </si>
  <si>
    <t>janice do carmo</t>
  </si>
  <si>
    <t>nilton caetano</t>
  </si>
  <si>
    <t>nelson benedito</t>
  </si>
  <si>
    <t>nelson  benedito</t>
  </si>
  <si>
    <t>luiz felipe</t>
  </si>
  <si>
    <t>simara luciano</t>
  </si>
  <si>
    <t xml:space="preserve">carol vieira </t>
  </si>
  <si>
    <t>vagner nunes</t>
  </si>
  <si>
    <t>abanita monteiro</t>
  </si>
  <si>
    <t>pedro vieira</t>
  </si>
  <si>
    <t>silas diego</t>
  </si>
  <si>
    <t>aparecida maria</t>
  </si>
  <si>
    <t>thais helena</t>
  </si>
  <si>
    <t>maria sandra</t>
  </si>
  <si>
    <t>luciana cardoso</t>
  </si>
  <si>
    <t>taina souza</t>
  </si>
  <si>
    <t>leila pereira</t>
  </si>
  <si>
    <t>crislaine santana</t>
  </si>
  <si>
    <t>fernanda nascimento</t>
  </si>
  <si>
    <t>joao santana</t>
  </si>
  <si>
    <t>cicero jose</t>
  </si>
  <si>
    <t>marinalva bezerra</t>
  </si>
  <si>
    <t>ailton barbosa</t>
  </si>
  <si>
    <t>jose santos  da silva</t>
  </si>
  <si>
    <t>jose carlos furnielles</t>
  </si>
  <si>
    <t xml:space="preserve"> vieira</t>
  </si>
  <si>
    <t>shizuo nakashima</t>
  </si>
  <si>
    <t>leonardo estevam</t>
  </si>
  <si>
    <t>luiz garcia</t>
  </si>
  <si>
    <t>regina lucia</t>
  </si>
  <si>
    <t>Sim</t>
  </si>
  <si>
    <t>maria rosangela</t>
  </si>
  <si>
    <t>maria ivani</t>
  </si>
  <si>
    <t>joao vitor</t>
  </si>
  <si>
    <t>rozileide brito</t>
  </si>
  <si>
    <t>bianca candida</t>
  </si>
  <si>
    <t xml:space="preserve">eliane gomes </t>
  </si>
  <si>
    <t>marta maria</t>
  </si>
  <si>
    <t>alda aparecida</t>
  </si>
  <si>
    <t>laura dias</t>
  </si>
  <si>
    <t>carmelina da conceição</t>
  </si>
  <si>
    <t xml:space="preserve">JANETE FREIRE SANTOS </t>
  </si>
  <si>
    <t>luciano fleix</t>
  </si>
  <si>
    <t>maria aparecida</t>
  </si>
  <si>
    <t>eretuza nery</t>
  </si>
  <si>
    <t>francisco valdir</t>
  </si>
  <si>
    <t>benedita da silva</t>
  </si>
  <si>
    <t>quezia de almeida</t>
  </si>
  <si>
    <t>maria de araujo</t>
  </si>
  <si>
    <t>sandra fernandes</t>
  </si>
  <si>
    <t>julio cesar</t>
  </si>
  <si>
    <t>JOSE CLAUDIO</t>
  </si>
  <si>
    <t>PEDRO ENRIQUE</t>
  </si>
  <si>
    <t>GISLENE ELOISA</t>
  </si>
  <si>
    <t>VITORIA NHOQUE</t>
  </si>
  <si>
    <t>ROSANGELA DOS SANTOS</t>
  </si>
  <si>
    <t>ELLEN CRISTINS</t>
  </si>
  <si>
    <t>vagner ribeiro</t>
  </si>
  <si>
    <t>ozeni oereira</t>
  </si>
  <si>
    <t>vilma santana</t>
  </si>
  <si>
    <t>cloudionor</t>
  </si>
  <si>
    <t>abanita</t>
  </si>
  <si>
    <t>georgina nazare</t>
  </si>
  <si>
    <t>arlete vieira</t>
  </si>
  <si>
    <t>rosimeire farias</t>
  </si>
  <si>
    <t>ilda soares</t>
  </si>
  <si>
    <t>diego perez</t>
  </si>
  <si>
    <t>neuza maria</t>
  </si>
  <si>
    <t>fabiana alves</t>
  </si>
  <si>
    <t>izildinha aparecida</t>
  </si>
  <si>
    <t>simome ignacio</t>
  </si>
  <si>
    <t>aline cunha</t>
  </si>
  <si>
    <t>antonio barbosa</t>
  </si>
  <si>
    <t>vivian dantas</t>
  </si>
  <si>
    <t>maria das dores</t>
  </si>
  <si>
    <t xml:space="preserve"> jose de araujo</t>
  </si>
  <si>
    <t>REGIMA SELLES</t>
  </si>
  <si>
    <t>DANIEL JOSE</t>
  </si>
  <si>
    <t>ANA MARIA</t>
  </si>
  <si>
    <t>SEBASTIAO PEREIRA</t>
  </si>
  <si>
    <t>MINALDA DE FATIMA</t>
  </si>
  <si>
    <t>selma de souza</t>
  </si>
  <si>
    <t>hellen lucinda</t>
  </si>
  <si>
    <t>gabriela karine</t>
  </si>
  <si>
    <t>jucilene aparecida</t>
  </si>
  <si>
    <t>amanda vitoria</t>
  </si>
  <si>
    <t xml:space="preserve">gustavo henrique </t>
  </si>
  <si>
    <t>veronica da silva</t>
  </si>
  <si>
    <t xml:space="preserve">patricia de fatima </t>
  </si>
  <si>
    <t>JACQUELINE MARTINS</t>
  </si>
  <si>
    <t>ELISABETE  PEREIRA</t>
  </si>
  <si>
    <t>CRISTIANE ANDRADE</t>
  </si>
  <si>
    <t>REGINA SALLES</t>
  </si>
  <si>
    <t>MIGUEL PEZZUOL</t>
  </si>
  <si>
    <t>YASMIN CRISTINA</t>
  </si>
  <si>
    <t>FRANCISCO DE ASSIS</t>
  </si>
  <si>
    <t>JOSE CARLOS</t>
  </si>
  <si>
    <t>KATIA TEIXEIRA</t>
  </si>
  <si>
    <t>ROSINETE TAVARES</t>
  </si>
  <si>
    <t>ESAA FANER</t>
  </si>
  <si>
    <t>ROSE MEIRE</t>
  </si>
  <si>
    <t>SARANA DA SILVA</t>
  </si>
  <si>
    <t>ADRIANO HENRIQUE</t>
  </si>
  <si>
    <t>BENEDITO APARECIDO</t>
  </si>
  <si>
    <t>MARIA ROSA</t>
  </si>
  <si>
    <t>MARILU CANDIDO</t>
  </si>
  <si>
    <t>vanderleia</t>
  </si>
  <si>
    <t>neide bezerra</t>
  </si>
  <si>
    <t>camilia da cruz</t>
  </si>
  <si>
    <t>thaynara</t>
  </si>
  <si>
    <t>wesley da silva</t>
  </si>
  <si>
    <t>rosangela dos santos</t>
  </si>
  <si>
    <t xml:space="preserve">eliane cristina </t>
  </si>
  <si>
    <t>caio tunice</t>
  </si>
  <si>
    <t>jorge amancio</t>
  </si>
  <si>
    <t>renata lopes</t>
  </si>
  <si>
    <t>gislene eloisa</t>
  </si>
  <si>
    <t>mariana rosa</t>
  </si>
  <si>
    <t>maria alves</t>
  </si>
  <si>
    <t>cleide ana</t>
  </si>
  <si>
    <t>queren santos</t>
  </si>
  <si>
    <t>simone honorato</t>
  </si>
  <si>
    <t>jaqueline santos</t>
  </si>
  <si>
    <t xml:space="preserve">maria angela </t>
  </si>
  <si>
    <t xml:space="preserve">vilma santana </t>
  </si>
  <si>
    <t>renata aparecida</t>
  </si>
  <si>
    <t>miguel pezziol</t>
  </si>
  <si>
    <t>selma da silva</t>
  </si>
  <si>
    <t xml:space="preserve">joão santana </t>
  </si>
  <si>
    <t>danilo ortz</t>
  </si>
  <si>
    <t>renilza</t>
  </si>
  <si>
    <t>rosely justiniano</t>
  </si>
  <si>
    <t>eunice donizeti</t>
  </si>
  <si>
    <t>pedro enrique</t>
  </si>
  <si>
    <t>regiele pacifico</t>
  </si>
  <si>
    <t>ana lucia</t>
  </si>
  <si>
    <t>maria delia</t>
  </si>
  <si>
    <t>daniel marques</t>
  </si>
  <si>
    <t>henrique lima</t>
  </si>
  <si>
    <t>candida e luvas</t>
  </si>
  <si>
    <t>dn</t>
  </si>
  <si>
    <t>zuleide m s araujo</t>
  </si>
  <si>
    <t>alana soares</t>
  </si>
  <si>
    <t>maria iranilda</t>
  </si>
  <si>
    <t>maria jose</t>
  </si>
  <si>
    <t>silva pecegueira</t>
  </si>
  <si>
    <t>julcimara aparecoda</t>
  </si>
  <si>
    <t>miriam de souza</t>
  </si>
  <si>
    <t xml:space="preserve">  </t>
  </si>
  <si>
    <t xml:space="preserve">maria lucia </t>
  </si>
  <si>
    <t>simome honorato</t>
  </si>
  <si>
    <t>rosana aparecida</t>
  </si>
  <si>
    <t>antonio silva</t>
  </si>
  <si>
    <t>sandra pravitz</t>
  </si>
  <si>
    <t>miguel pezzuol</t>
  </si>
  <si>
    <t>Nicolas condução</t>
  </si>
  <si>
    <t>silas francisco</t>
  </si>
  <si>
    <t>helena rodrigues</t>
  </si>
  <si>
    <t>benedito aparecido</t>
  </si>
  <si>
    <t>ligia abranches</t>
  </si>
  <si>
    <t>andreza souza</t>
  </si>
  <si>
    <t>rafael dutra</t>
  </si>
  <si>
    <t>denise cristina</t>
  </si>
  <si>
    <t>lucineia dos santos</t>
  </si>
  <si>
    <t>maria margarida</t>
  </si>
  <si>
    <t>jorge amacio</t>
  </si>
  <si>
    <t>ronivaldo</t>
  </si>
  <si>
    <t>alexandre pinheiro</t>
  </si>
  <si>
    <t>samuel de melo</t>
  </si>
  <si>
    <t>SUZELE KATO</t>
  </si>
  <si>
    <t>MARTA MARIA</t>
  </si>
  <si>
    <t>ISABELA DE OLIVEIRA</t>
  </si>
  <si>
    <t>AMANDA DE SOUZA</t>
  </si>
  <si>
    <t>DARCI ALICE</t>
  </si>
  <si>
    <t>ALVORO RODRIGUES</t>
  </si>
  <si>
    <t>RAFAEL DUTRA</t>
  </si>
  <si>
    <t>SILVIA PECEGUEIRO</t>
  </si>
  <si>
    <t>CARLOS APARECIDO</t>
  </si>
  <si>
    <t>ANA PAULA</t>
  </si>
  <si>
    <t>carolina aparecida</t>
  </si>
  <si>
    <t>arcival ramos</t>
  </si>
  <si>
    <t>eliel duarte</t>
  </si>
  <si>
    <t>viviane maria</t>
  </si>
  <si>
    <t>luiza jaqueline</t>
  </si>
  <si>
    <t>wellington feitosa</t>
  </si>
  <si>
    <t>deise cristina</t>
  </si>
  <si>
    <t>LUIZ FELIPE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</si>
</sst>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  <font>
      <sz val="11"/>
      <name val="Calibri"/>
      <family val="2"/>
    </font>
    <font>
      <sz val="11"/>
      <name val="Calibri"/>
      <family val="2"/>
      <scheme val="minor"/>
    </font>
    <font>
      <b/>
      <i/>
      <sz val="10"/>
      <name val="Arial"/>
      <family val="2"/>
    </font>
    <font>
      <sz val="24"/>
      <name val="Castellar"/>
      <family val="1"/>
    </font>
    <font>
      <b/>
      <i/>
      <sz val="12"/>
      <name val="Arial"/>
      <family val="2"/>
    </font>
    <font>
      <b/>
      <sz val="11"/>
      <name val="Calibri"/>
      <family val="2"/>
    </font>
    <font>
      <b/>
      <sz val="12"/>
      <name val="Arial"/>
      <family val="2"/>
    </font>
    <font>
      <sz val="12"/>
      <name val="Arial"/>
      <family val="2"/>
    </font>
    <font>
      <u/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3" xfId="2" applyFont="1" applyFill="1" applyBorder="1" applyAlignment="1">
      <alignment horizontal="center"/>
    </xf>
    <xf numFmtId="165" fontId="0" fillId="0" borderId="3" xfId="4" applyNumberFormat="1" applyFont="1" applyFill="1" applyBorder="1" applyAlignment="1">
      <alignment horizontal="center"/>
    </xf>
    <xf numFmtId="165" fontId="0" fillId="0" borderId="13" xfId="0" applyNumberFormat="1" applyBorder="1" applyAlignment="1">
      <alignment horizontal="center"/>
    </xf>
    <xf numFmtId="165" fontId="38" fillId="0" borderId="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/>
    </xf>
    <xf numFmtId="14" fontId="39" fillId="0" borderId="0" xfId="0" applyNumberFormat="1" applyFont="1" applyAlignment="1">
      <alignment horizontal="center"/>
    </xf>
    <xf numFmtId="165" fontId="38" fillId="0" borderId="17" xfId="4" applyNumberFormat="1" applyFont="1" applyFill="1" applyBorder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165" fontId="12" fillId="6" borderId="12" xfId="2" applyNumberFormat="1" applyFont="1" applyFill="1" applyBorder="1" applyAlignment="1" applyProtection="1">
      <alignment horizontal="center" vertical="center"/>
    </xf>
    <xf numFmtId="164" fontId="14" fillId="7" borderId="6" xfId="2" applyFont="1" applyFill="1" applyBorder="1" applyAlignment="1" applyProtection="1">
      <alignment horizontal="center"/>
    </xf>
    <xf numFmtId="164" fontId="40" fillId="0" borderId="3" xfId="2" applyFont="1" applyFill="1" applyBorder="1" applyAlignment="1">
      <alignment horizontal="center"/>
    </xf>
    <xf numFmtId="164" fontId="41" fillId="0" borderId="3" xfId="2" applyFont="1" applyFill="1" applyBorder="1" applyAlignment="1">
      <alignment horizontal="center"/>
    </xf>
    <xf numFmtId="165" fontId="41" fillId="0" borderId="3" xfId="4" applyNumberFormat="1" applyFont="1" applyFill="1" applyBorder="1" applyAlignment="1">
      <alignment horizontal="center"/>
    </xf>
    <xf numFmtId="164" fontId="0" fillId="5" borderId="0" xfId="2" applyFont="1" applyFill="1" applyBorder="1" applyAlignment="1">
      <alignment horizontal="center"/>
    </xf>
    <xf numFmtId="44" fontId="42" fillId="0" borderId="13" xfId="39" applyFont="1" applyFill="1" applyBorder="1" applyAlignment="1">
      <alignment horizontal="center"/>
    </xf>
    <xf numFmtId="165" fontId="42" fillId="0" borderId="13" xfId="4" applyNumberFormat="1" applyFont="1" applyFill="1" applyBorder="1" applyAlignment="1">
      <alignment horizontal="center"/>
    </xf>
    <xf numFmtId="14" fontId="43" fillId="0" borderId="0" xfId="0" applyNumberFormat="1" applyFont="1" applyAlignment="1">
      <alignment horizontal="center"/>
    </xf>
    <xf numFmtId="0" fontId="30" fillId="0" borderId="17" xfId="4" applyNumberFormat="1" applyFont="1" applyFill="1" applyBorder="1" applyAlignment="1">
      <alignment horizontal="center"/>
    </xf>
    <xf numFmtId="0" fontId="44" fillId="0" borderId="13" xfId="0" applyFont="1" applyBorder="1" applyAlignment="1">
      <alignment horizontal="center"/>
    </xf>
    <xf numFmtId="164" fontId="36" fillId="0" borderId="13" xfId="2" applyFont="1" applyFill="1" applyBorder="1" applyAlignment="1">
      <alignment horizontal="center"/>
    </xf>
    <xf numFmtId="164" fontId="38" fillId="0" borderId="13" xfId="2" applyFont="1" applyFill="1" applyBorder="1" applyAlignment="1">
      <alignment horizontal="center"/>
    </xf>
    <xf numFmtId="165" fontId="38" fillId="0" borderId="13" xfId="4" applyNumberFormat="1" applyFont="1" applyFill="1" applyBorder="1" applyAlignment="1">
      <alignment horizontal="center"/>
    </xf>
    <xf numFmtId="0" fontId="45" fillId="0" borderId="17" xfId="0" applyFont="1" applyBorder="1" applyAlignment="1">
      <alignment horizontal="center"/>
    </xf>
    <xf numFmtId="0" fontId="46" fillId="0" borderId="17" xfId="0" applyFont="1" applyBorder="1" applyAlignment="1">
      <alignment horizontal="center"/>
    </xf>
    <xf numFmtId="164" fontId="12" fillId="0" borderId="17" xfId="2" applyFont="1" applyFill="1" applyBorder="1" applyAlignment="1">
      <alignment horizontal="center"/>
    </xf>
    <xf numFmtId="165" fontId="12" fillId="0" borderId="17" xfId="4" applyNumberFormat="1" applyFont="1" applyFill="1" applyBorder="1" applyAlignment="1">
      <alignment horizontal="center"/>
    </xf>
    <xf numFmtId="0" fontId="44" fillId="0" borderId="17" xfId="0" applyFont="1" applyBorder="1" applyAlignment="1">
      <alignment horizontal="center"/>
    </xf>
    <xf numFmtId="164" fontId="38" fillId="0" borderId="17" xfId="2" applyFont="1" applyFill="1" applyBorder="1" applyAlignment="1">
      <alignment horizontal="center"/>
    </xf>
    <xf numFmtId="164" fontId="41" fillId="0" borderId="17" xfId="2" applyFont="1" applyFill="1" applyBorder="1" applyAlignment="1">
      <alignment horizontal="center"/>
    </xf>
    <xf numFmtId="164" fontId="40" fillId="0" borderId="17" xfId="2" applyFont="1" applyFill="1" applyBorder="1" applyAlignment="1">
      <alignment horizontal="center"/>
    </xf>
    <xf numFmtId="165" fontId="41" fillId="0" borderId="17" xfId="4" applyNumberFormat="1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164" fontId="47" fillId="0" borderId="3" xfId="2" applyFont="1" applyFill="1" applyBorder="1" applyAlignment="1">
      <alignment horizontal="center"/>
    </xf>
    <xf numFmtId="0" fontId="31" fillId="0" borderId="13" xfId="39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  <xf numFmtId="165" fontId="48" fillId="0" borderId="6" xfId="0" applyNumberFormat="1" applyFont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z val="11"/>
        <name val="Calibri"/>
        <family val="2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A07979E3-B559-4616-B340-41AD393CE256}" name="Tabela4" displayName="Tabela4" ref="P1:P18" totalsRowShown="0">
  <autoFilter ref="P1:P18" xr:uid="{A07979E3-B559-4616-B340-41AD393CE256}"/>
  <tableColumns count="1">
    <tableColumn id="1" xr3:uid="{72FA060C-600C-46E7-82BB-477F5B3C8BCF}" name="Colaborado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1" displayName="vend1" ref="E5:I22" totalsRowShown="0" headerRowDxfId="1640" headerRowBorderDxfId="1639" tableBorderDxfId="1638" totalsRowBorderDxfId="1637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6" dataCellStyle="Moeda"/>
    <tableColumn id="5" xr3:uid="{45BECD08-8ABE-4A34-BD78-E2D3AFB8C62A}" name="Cliente" dataDxfId="1635" dataCellStyle="Moeda"/>
    <tableColumn id="2" xr3:uid="{A0D6666C-9CF7-4343-AF6B-BDFE62F94469}" name="Forma de Pgto" dataDxfId="1634" dataCellStyle="Moeda"/>
    <tableColumn id="3" xr3:uid="{988F127F-9D83-4428-BB94-C16FBBB1BD89}" name="Valor Venda" dataDxfId="1633" dataCellStyle="Porcentagem"/>
    <tableColumn id="4" xr3:uid="{6A2928C3-17B0-4FA3-B60C-9E1A2C0324E1}" name="Entrada" dataDxfId="1632" dataCellStyle="Porcentagem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1" dataDxfId="1629" headerRowBorderDxfId="1630" tableBorderDxfId="1628" totalsRowBorderDxfId="1627">
  <autoFilter ref="K5:M11" xr:uid="{DD403130-B35C-452C-92F9-290622D77A3D}"/>
  <tableColumns count="3">
    <tableColumn id="1" xr3:uid="{FAD87634-3375-4B41-BEC0-5B072F6B52CE}" name="Descrição" dataDxfId="1626"/>
    <tableColumn id="2" xr3:uid="{7688071E-9548-4552-8BB1-3BA5128DF645}" name="Tipo de Pagto" dataDxfId="1625"/>
    <tableColumn id="3" xr3:uid="{2B260C33-79A5-4C5D-9195-15780C53A861}" name="Valor" dataDxfId="1624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1" displayName="rest_entr1" ref="E25:I31" totalsRowShown="0" headerRowDxfId="1623" headerRowBorderDxfId="1622" tableBorderDxfId="1621" totalsRowBorderDxfId="1620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19"/>
    <tableColumn id="2" xr3:uid="{606BE417-6802-4580-90D2-86F95EFAAEB7}" name="Cliente" dataDxfId="1618"/>
    <tableColumn id="3" xr3:uid="{2F522A54-F708-4DA3-97E3-CE7C29912E04}" name="Forma de Pgto" dataDxfId="1617" dataCellStyle="Moeda"/>
    <tableColumn id="4" xr3:uid="{7B46EE64-F7F1-4449-A783-67286A94A7C4}" name="Valor Venda" dataDxfId="1616" dataCellStyle="Porcentagem"/>
    <tableColumn id="5" xr3:uid="{389A7D1A-3C35-485E-9958-8A78EF77BE9B}" name="Entrada" dataDxfId="1615" dataCellStyle="Porcentagem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4" headerRowBorderDxfId="1613" tableBorderDxfId="1612" totalsRowBorderDxfId="1611">
  <autoFilter ref="K14:M31" xr:uid="{F07D43AD-1A4D-4B31-96B8-824F8623E518}"/>
  <tableColumns count="3">
    <tableColumn id="1" xr3:uid="{3AF01421-A7B6-4D23-9DA8-C20FAFAFDD9C}" name="OS" dataDxfId="1610"/>
    <tableColumn id="2" xr3:uid="{55DCC30E-EB52-427E-A16A-B2C93A41F1CE}" name="Vendedor" dataDxfId="1609"/>
    <tableColumn id="3" xr3:uid="{23EDA46C-42B4-4F6C-97D9-7040D6B9797C}" name="CARNE" dataDxfId="1608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7" headerRowBorderDxfId="1606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2" totalsRowShown="0" headerRowDxfId="1237" dataDxfId="1235" headerRowBorderDxfId="1236" tableBorderDxfId="1234" totalsRowBorderDxfId="1233">
  <autoFilter ref="E34:I42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2" totalsRowShown="0" headerRowDxfId="1149" dataDxfId="1147" headerRowBorderDxfId="1148" tableBorderDxfId="1146" totalsRowBorderDxfId="1145">
  <autoFilter ref="E25:I32" xr:uid="{00000000-0009-0000-0100-000016000000}"/>
  <sortState xmlns:xlrd2="http://schemas.microsoft.com/office/spreadsheetml/2017/richdata2" ref="E26:I32">
    <sortCondition ref="E25:E32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5:I42" totalsRowShown="0" headerRowDxfId="1131" dataDxfId="1129" headerRowBorderDxfId="1130" tableBorderDxfId="1128" totalsRowBorderDxfId="1127">
  <autoFilter ref="E35:I42" xr:uid="{B9E2F984-8588-4F2C-9FB9-680284154679}"/>
  <sortState xmlns:xlrd2="http://schemas.microsoft.com/office/spreadsheetml/2017/richdata2" ref="E36:I41">
    <sortCondition ref="E25:E32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3" totalsRowShown="0" headerRowDxfId="743" dataDxfId="741" headerRowBorderDxfId="742" tableBorderDxfId="740" totalsRowBorderDxfId="739">
  <autoFilter ref="E5:I23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4" totalsRowShown="0" headerRowDxfId="442" dataDxfId="440" headerRowBorderDxfId="441" tableBorderDxfId="439" totalsRowBorderDxfId="438">
  <autoFilter ref="E34:I44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7" Type="http://schemas.openxmlformats.org/officeDocument/2006/relationships/table" Target="../tables/table13.xml"/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2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7" Type="http://schemas.openxmlformats.org/officeDocument/2006/relationships/table" Target="../tables/table19.xml"/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8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1.xml"/><Relationship Id="rId7" Type="http://schemas.openxmlformats.org/officeDocument/2006/relationships/table" Target="../tables/table25.xml"/><Relationship Id="rId2" Type="http://schemas.openxmlformats.org/officeDocument/2006/relationships/table" Target="../tables/table20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4.xml"/><Relationship Id="rId5" Type="http://schemas.openxmlformats.org/officeDocument/2006/relationships/table" Target="../tables/table23.xml"/><Relationship Id="rId4" Type="http://schemas.openxmlformats.org/officeDocument/2006/relationships/table" Target="../tables/table2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7" Type="http://schemas.openxmlformats.org/officeDocument/2006/relationships/table" Target="../tables/table31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30.xml"/><Relationship Id="rId5" Type="http://schemas.openxmlformats.org/officeDocument/2006/relationships/table" Target="../tables/table29.xml"/><Relationship Id="rId4" Type="http://schemas.openxmlformats.org/officeDocument/2006/relationships/table" Target="../tables/table28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7" Type="http://schemas.openxmlformats.org/officeDocument/2006/relationships/table" Target="../tables/table37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6.xml"/><Relationship Id="rId5" Type="http://schemas.openxmlformats.org/officeDocument/2006/relationships/table" Target="../tables/table35.xml"/><Relationship Id="rId4" Type="http://schemas.openxmlformats.org/officeDocument/2006/relationships/table" Target="../tables/table3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7" Type="http://schemas.openxmlformats.org/officeDocument/2006/relationships/table" Target="../tables/table43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2.xml"/><Relationship Id="rId5" Type="http://schemas.openxmlformats.org/officeDocument/2006/relationships/table" Target="../tables/table41.xml"/><Relationship Id="rId4" Type="http://schemas.openxmlformats.org/officeDocument/2006/relationships/table" Target="../tables/table40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7" Type="http://schemas.openxmlformats.org/officeDocument/2006/relationships/table" Target="../tables/table49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8.xml"/><Relationship Id="rId5" Type="http://schemas.openxmlformats.org/officeDocument/2006/relationships/table" Target="../tables/table47.xml"/><Relationship Id="rId4" Type="http://schemas.openxmlformats.org/officeDocument/2006/relationships/table" Target="../tables/table46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7" Type="http://schemas.openxmlformats.org/officeDocument/2006/relationships/table" Target="../tables/table55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4.xml"/><Relationship Id="rId5" Type="http://schemas.openxmlformats.org/officeDocument/2006/relationships/table" Target="../tables/table53.xml"/><Relationship Id="rId4" Type="http://schemas.openxmlformats.org/officeDocument/2006/relationships/table" Target="../tables/table5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7" Type="http://schemas.openxmlformats.org/officeDocument/2006/relationships/table" Target="../tables/table61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60.xml"/><Relationship Id="rId5" Type="http://schemas.openxmlformats.org/officeDocument/2006/relationships/table" Target="../tables/table59.xml"/><Relationship Id="rId4" Type="http://schemas.openxmlformats.org/officeDocument/2006/relationships/table" Target="../tables/table58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7" Type="http://schemas.openxmlformats.org/officeDocument/2006/relationships/table" Target="../tables/table67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6.xml"/><Relationship Id="rId5" Type="http://schemas.openxmlformats.org/officeDocument/2006/relationships/table" Target="../tables/table65.xml"/><Relationship Id="rId4" Type="http://schemas.openxmlformats.org/officeDocument/2006/relationships/table" Target="../tables/table64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7" Type="http://schemas.openxmlformats.org/officeDocument/2006/relationships/table" Target="../tables/table73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2.xml"/><Relationship Id="rId5" Type="http://schemas.openxmlformats.org/officeDocument/2006/relationships/table" Target="../tables/table71.xml"/><Relationship Id="rId4" Type="http://schemas.openxmlformats.org/officeDocument/2006/relationships/table" Target="../tables/table70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7" Type="http://schemas.openxmlformats.org/officeDocument/2006/relationships/table" Target="../tables/table79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8.xml"/><Relationship Id="rId5" Type="http://schemas.openxmlformats.org/officeDocument/2006/relationships/table" Target="../tables/table77.xml"/><Relationship Id="rId4" Type="http://schemas.openxmlformats.org/officeDocument/2006/relationships/table" Target="../tables/table76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7" Type="http://schemas.openxmlformats.org/officeDocument/2006/relationships/table" Target="../tables/table85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4.xml"/><Relationship Id="rId5" Type="http://schemas.openxmlformats.org/officeDocument/2006/relationships/table" Target="../tables/table83.xml"/><Relationship Id="rId4" Type="http://schemas.openxmlformats.org/officeDocument/2006/relationships/table" Target="../tables/table82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7" Type="http://schemas.openxmlformats.org/officeDocument/2006/relationships/table" Target="../tables/table91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90.xml"/><Relationship Id="rId5" Type="http://schemas.openxmlformats.org/officeDocument/2006/relationships/table" Target="../tables/table89.xml"/><Relationship Id="rId4" Type="http://schemas.openxmlformats.org/officeDocument/2006/relationships/table" Target="../tables/table88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7" Type="http://schemas.openxmlformats.org/officeDocument/2006/relationships/table" Target="../tables/table97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6.xml"/><Relationship Id="rId5" Type="http://schemas.openxmlformats.org/officeDocument/2006/relationships/table" Target="../tables/table95.xml"/><Relationship Id="rId4" Type="http://schemas.openxmlformats.org/officeDocument/2006/relationships/table" Target="../tables/table9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7" Type="http://schemas.openxmlformats.org/officeDocument/2006/relationships/table" Target="../tables/table103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2.xml"/><Relationship Id="rId5" Type="http://schemas.openxmlformats.org/officeDocument/2006/relationships/table" Target="../tables/table101.xml"/><Relationship Id="rId4" Type="http://schemas.openxmlformats.org/officeDocument/2006/relationships/table" Target="../tables/table100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7" Type="http://schemas.openxmlformats.org/officeDocument/2006/relationships/table" Target="../tables/table109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8.xml"/><Relationship Id="rId5" Type="http://schemas.openxmlformats.org/officeDocument/2006/relationships/table" Target="../tables/table107.xml"/><Relationship Id="rId4" Type="http://schemas.openxmlformats.org/officeDocument/2006/relationships/table" Target="../tables/table106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7" Type="http://schemas.openxmlformats.org/officeDocument/2006/relationships/table" Target="../tables/table115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4.xml"/><Relationship Id="rId5" Type="http://schemas.openxmlformats.org/officeDocument/2006/relationships/table" Target="../tables/table113.xml"/><Relationship Id="rId4" Type="http://schemas.openxmlformats.org/officeDocument/2006/relationships/table" Target="../tables/table112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7" Type="http://schemas.openxmlformats.org/officeDocument/2006/relationships/table" Target="../tables/table121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20.xml"/><Relationship Id="rId5" Type="http://schemas.openxmlformats.org/officeDocument/2006/relationships/table" Target="../tables/table119.xml"/><Relationship Id="rId4" Type="http://schemas.openxmlformats.org/officeDocument/2006/relationships/table" Target="../tables/table118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7" Type="http://schemas.openxmlformats.org/officeDocument/2006/relationships/table" Target="../tables/table127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6.xml"/><Relationship Id="rId5" Type="http://schemas.openxmlformats.org/officeDocument/2006/relationships/table" Target="../tables/table125.xml"/><Relationship Id="rId4" Type="http://schemas.openxmlformats.org/officeDocument/2006/relationships/table" Target="../tables/table124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7" Type="http://schemas.openxmlformats.org/officeDocument/2006/relationships/table" Target="../tables/table133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2.xml"/><Relationship Id="rId5" Type="http://schemas.openxmlformats.org/officeDocument/2006/relationships/table" Target="../tables/table131.xml"/><Relationship Id="rId4" Type="http://schemas.openxmlformats.org/officeDocument/2006/relationships/table" Target="../tables/table130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7" Type="http://schemas.openxmlformats.org/officeDocument/2006/relationships/table" Target="../tables/table139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8.xml"/><Relationship Id="rId5" Type="http://schemas.openxmlformats.org/officeDocument/2006/relationships/table" Target="../tables/table137.xml"/><Relationship Id="rId4" Type="http://schemas.openxmlformats.org/officeDocument/2006/relationships/table" Target="../tables/table13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7" Type="http://schemas.openxmlformats.org/officeDocument/2006/relationships/table" Target="../tables/table145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4.xml"/><Relationship Id="rId5" Type="http://schemas.openxmlformats.org/officeDocument/2006/relationships/table" Target="../tables/table143.xml"/><Relationship Id="rId4" Type="http://schemas.openxmlformats.org/officeDocument/2006/relationships/table" Target="../tables/table142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7" Type="http://schemas.openxmlformats.org/officeDocument/2006/relationships/table" Target="../tables/table151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50.xml"/><Relationship Id="rId5" Type="http://schemas.openxmlformats.org/officeDocument/2006/relationships/table" Target="../tables/table149.xml"/><Relationship Id="rId4" Type="http://schemas.openxmlformats.org/officeDocument/2006/relationships/table" Target="../tables/table148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3.xml"/><Relationship Id="rId7" Type="http://schemas.openxmlformats.org/officeDocument/2006/relationships/table" Target="../tables/table157.xml"/><Relationship Id="rId2" Type="http://schemas.openxmlformats.org/officeDocument/2006/relationships/table" Target="../tables/table152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6.xml"/><Relationship Id="rId5" Type="http://schemas.openxmlformats.org/officeDocument/2006/relationships/table" Target="../tables/table155.xml"/><Relationship Id="rId4" Type="http://schemas.openxmlformats.org/officeDocument/2006/relationships/table" Target="../tables/table15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9.xml"/><Relationship Id="rId7" Type="http://schemas.openxmlformats.org/officeDocument/2006/relationships/table" Target="../tables/table163.xml"/><Relationship Id="rId2" Type="http://schemas.openxmlformats.org/officeDocument/2006/relationships/table" Target="../tables/table158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2.xml"/><Relationship Id="rId5" Type="http://schemas.openxmlformats.org/officeDocument/2006/relationships/table" Target="../tables/table161.xml"/><Relationship Id="rId4" Type="http://schemas.openxmlformats.org/officeDocument/2006/relationships/table" Target="../tables/table160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5.xml"/><Relationship Id="rId7" Type="http://schemas.openxmlformats.org/officeDocument/2006/relationships/table" Target="../tables/table169.xml"/><Relationship Id="rId2" Type="http://schemas.openxmlformats.org/officeDocument/2006/relationships/table" Target="../tables/table164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8.xml"/><Relationship Id="rId5" Type="http://schemas.openxmlformats.org/officeDocument/2006/relationships/table" Target="../tables/table167.xml"/><Relationship Id="rId4" Type="http://schemas.openxmlformats.org/officeDocument/2006/relationships/table" Target="../tables/table166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1.xml"/><Relationship Id="rId7" Type="http://schemas.openxmlformats.org/officeDocument/2006/relationships/table" Target="../tables/table175.xml"/><Relationship Id="rId2" Type="http://schemas.openxmlformats.org/officeDocument/2006/relationships/table" Target="../tables/table170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4.xml"/><Relationship Id="rId5" Type="http://schemas.openxmlformats.org/officeDocument/2006/relationships/table" Target="../tables/table173.xml"/><Relationship Id="rId4" Type="http://schemas.openxmlformats.org/officeDocument/2006/relationships/table" Target="../tables/table172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7.xml"/><Relationship Id="rId7" Type="http://schemas.openxmlformats.org/officeDocument/2006/relationships/table" Target="../tables/table181.xml"/><Relationship Id="rId2" Type="http://schemas.openxmlformats.org/officeDocument/2006/relationships/table" Target="../tables/table176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80.xml"/><Relationship Id="rId5" Type="http://schemas.openxmlformats.org/officeDocument/2006/relationships/table" Target="../tables/table179.xml"/><Relationship Id="rId4" Type="http://schemas.openxmlformats.org/officeDocument/2006/relationships/table" Target="../tables/table178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3.xml"/><Relationship Id="rId7" Type="http://schemas.openxmlformats.org/officeDocument/2006/relationships/table" Target="../tables/table187.xml"/><Relationship Id="rId2" Type="http://schemas.openxmlformats.org/officeDocument/2006/relationships/table" Target="../tables/table182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6.xml"/><Relationship Id="rId5" Type="http://schemas.openxmlformats.org/officeDocument/2006/relationships/table" Target="../tables/table185.xml"/><Relationship Id="rId4" Type="http://schemas.openxmlformats.org/officeDocument/2006/relationships/table" Target="../tables/table184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9.xml"/><Relationship Id="rId1" Type="http://schemas.openxmlformats.org/officeDocument/2006/relationships/table" Target="../tables/table18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1:P18"/>
  <sheetViews>
    <sheetView workbookViewId="0">
      <selection activeCell="C24" sqref="C24"/>
    </sheetView>
  </sheetViews>
  <sheetFormatPr defaultColWidth="21.33203125" defaultRowHeight="13.2" x14ac:dyDescent="0.25"/>
  <cols>
    <col min="2" max="2" width="22.6640625" customWidth="1"/>
  </cols>
  <sheetData>
    <row r="1" spans="1:16" x14ac:dyDescent="0.25">
      <c r="P1" t="s">
        <v>128</v>
      </c>
    </row>
    <row r="2" spans="1:16" ht="14.4" x14ac:dyDescent="0.25">
      <c r="A2" s="19" t="s">
        <v>0</v>
      </c>
      <c r="B2" s="76">
        <v>0</v>
      </c>
      <c r="P2" t="s">
        <v>129</v>
      </c>
    </row>
    <row r="3" spans="1:16" ht="14.4" x14ac:dyDescent="0.3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88907.88</v>
      </c>
      <c r="P3" t="s">
        <v>130</v>
      </c>
    </row>
    <row r="4" spans="1:16" ht="14.4" x14ac:dyDescent="0.3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72440.7</v>
      </c>
      <c r="P4" t="s">
        <v>131</v>
      </c>
    </row>
    <row r="5" spans="1:16" ht="14.4" x14ac:dyDescent="0.3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16.990000000000002</v>
      </c>
      <c r="P5" t="s">
        <v>132</v>
      </c>
    </row>
    <row r="6" spans="1:16" ht="15.6" x14ac:dyDescent="0.3">
      <c r="A6" s="28" t="s">
        <v>4</v>
      </c>
      <c r="B6" s="29">
        <f>SUM(B4:B5)</f>
        <v>72457.69</v>
      </c>
      <c r="P6" t="s">
        <v>133</v>
      </c>
    </row>
    <row r="7" spans="1:16" ht="14.4" x14ac:dyDescent="0.3">
      <c r="A7" s="2"/>
      <c r="B7" s="2"/>
      <c r="P7" t="s">
        <v>134</v>
      </c>
    </row>
    <row r="8" spans="1:16" ht="14.4" x14ac:dyDescent="0.25">
      <c r="A8" s="103" t="s">
        <v>5</v>
      </c>
      <c r="B8" s="103"/>
      <c r="P8" t="s">
        <v>135</v>
      </c>
    </row>
    <row r="9" spans="1:16" ht="14.4" x14ac:dyDescent="0.3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6556.86</v>
      </c>
      <c r="P9" t="s">
        <v>136</v>
      </c>
    </row>
    <row r="10" spans="1:16" ht="14.4" x14ac:dyDescent="0.3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13975.31</v>
      </c>
      <c r="P10" t="s">
        <v>137</v>
      </c>
    </row>
    <row r="11" spans="1:16" ht="14.4" x14ac:dyDescent="0.3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44669.979999999996</v>
      </c>
      <c r="P11" t="s">
        <v>138</v>
      </c>
    </row>
    <row r="12" spans="1:16" ht="14.4" x14ac:dyDescent="0.3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0</v>
      </c>
      <c r="P12" t="s">
        <v>139</v>
      </c>
    </row>
    <row r="13" spans="1:16" ht="14.4" x14ac:dyDescent="0.3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13915.349999999999</v>
      </c>
      <c r="P13" t="s">
        <v>140</v>
      </c>
    </row>
    <row r="14" spans="1:16" ht="15.6" x14ac:dyDescent="0.3">
      <c r="A14" s="28" t="s">
        <v>11</v>
      </c>
      <c r="B14" s="77">
        <f>SUM(B9:B13)</f>
        <v>79117.5</v>
      </c>
    </row>
    <row r="15" spans="1:16" ht="14.4" x14ac:dyDescent="0.3">
      <c r="A15" s="2"/>
      <c r="B15" s="2"/>
    </row>
    <row r="16" spans="1:16" ht="14.4" x14ac:dyDescent="0.25">
      <c r="A16" s="103" t="s">
        <v>12</v>
      </c>
      <c r="B16" s="103"/>
    </row>
    <row r="17" spans="1:2" ht="14.4" x14ac:dyDescent="0.3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11318</v>
      </c>
    </row>
    <row r="18" spans="1:2" ht="15.6" x14ac:dyDescent="0.3">
      <c r="A18" s="28" t="s">
        <v>11</v>
      </c>
      <c r="B18" s="77">
        <f>SUM(B17:B17)</f>
        <v>11318</v>
      </c>
    </row>
  </sheetData>
  <dataConsolidate/>
  <mergeCells count="2">
    <mergeCell ref="A8:B8"/>
    <mergeCell ref="A16:B16"/>
  </mergeCells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" zoomScale="70" zoomScaleNormal="70" workbookViewId="0">
      <selection activeCell="M25" sqref="M25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4.332031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16.44140625" style="3" customWidth="1"/>
    <col min="12" max="12" width="9.44140625" style="3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v>45505</v>
      </c>
    </row>
    <row r="2" spans="2:18" ht="18" x14ac:dyDescent="0.25">
      <c r="B2" s="108" t="s">
        <v>127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699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1254</v>
      </c>
      <c r="D6" s="2"/>
      <c r="E6" s="18">
        <v>9595</v>
      </c>
      <c r="F6" s="25" t="s">
        <v>151</v>
      </c>
      <c r="G6" s="26" t="s">
        <v>6</v>
      </c>
      <c r="H6" s="8">
        <v>600</v>
      </c>
      <c r="I6" s="8">
        <v>200</v>
      </c>
      <c r="J6" s="2"/>
      <c r="K6" s="25"/>
      <c r="L6" s="9"/>
      <c r="M6" s="16"/>
      <c r="R6" s="1">
        <f>IF(vend1[[#This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9594</v>
      </c>
      <c r="F7" s="25" t="s">
        <v>152</v>
      </c>
      <c r="G7" s="26" t="s">
        <v>10</v>
      </c>
      <c r="H7" s="8">
        <v>99</v>
      </c>
      <c r="I7" s="8">
        <v>99</v>
      </c>
      <c r="J7" s="2"/>
      <c r="K7" s="25"/>
      <c r="L7" s="9"/>
      <c r="M7" s="16"/>
      <c r="R7" s="1">
        <f>IF(vend1[[#This Row],[Nº Venda]]&gt;1,1,0)</f>
        <v>1</v>
      </c>
    </row>
    <row r="8" spans="2:18" ht="15.6" x14ac:dyDescent="0.3">
      <c r="B8" s="28" t="s">
        <v>21</v>
      </c>
      <c r="C8" s="29">
        <f>SUM(C6:C7)</f>
        <v>1254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488.82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170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6" x14ac:dyDescent="0.3">
      <c r="B13" s="30" t="s">
        <v>8</v>
      </c>
      <c r="C13" s="31">
        <f t="shared" si="0"/>
        <v>835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IF(vend1[[#This Row],[Nº Venda]]&gt;1,1,0)</f>
        <v>0</v>
      </c>
    </row>
    <row r="15" spans="2:18" ht="15.6" x14ac:dyDescent="0.3">
      <c r="B15" s="30" t="s">
        <v>10</v>
      </c>
      <c r="C15" s="31">
        <f t="shared" si="0"/>
        <v>455.25</v>
      </c>
      <c r="D15" s="2"/>
      <c r="E15" s="18"/>
      <c r="F15" s="25"/>
      <c r="G15" s="26"/>
      <c r="H15" s="8"/>
      <c r="I15" s="8"/>
      <c r="J15" s="2"/>
      <c r="K15" s="25">
        <v>9562</v>
      </c>
      <c r="L15" s="9" t="s">
        <v>134</v>
      </c>
      <c r="M15" s="16" t="s">
        <v>141</v>
      </c>
      <c r="R15" s="1">
        <f>IF(vend1[[#This Row],[Nº Venda]]&gt;1,1,0)</f>
        <v>0</v>
      </c>
    </row>
    <row r="16" spans="2:18" ht="15.6" x14ac:dyDescent="0.3">
      <c r="B16" s="28" t="s">
        <v>11</v>
      </c>
      <c r="C16" s="32">
        <f>SUM(C11:C15)</f>
        <v>1949.07</v>
      </c>
      <c r="D16" s="2"/>
      <c r="E16" s="18"/>
      <c r="F16" s="25"/>
      <c r="G16" s="26"/>
      <c r="H16" s="8"/>
      <c r="I16" s="8"/>
      <c r="J16" s="2"/>
      <c r="K16" s="25">
        <v>9386</v>
      </c>
      <c r="L16" s="9" t="s">
        <v>134</v>
      </c>
      <c r="M16" s="16" t="s">
        <v>141</v>
      </c>
      <c r="R16" s="1">
        <f>IF(vend1[[#This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9579</v>
      </c>
      <c r="L17" s="9" t="s">
        <v>130</v>
      </c>
      <c r="M17" s="16" t="s">
        <v>141</v>
      </c>
      <c r="R17" s="1">
        <f>IF(vend1[[#This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9581</v>
      </c>
      <c r="L18" s="9" t="s">
        <v>130</v>
      </c>
      <c r="M18" s="16" t="s">
        <v>141</v>
      </c>
      <c r="R18" s="1">
        <f>IF(vend1[[#This Row],[Nº Venda]]&gt;1,1,0)</f>
        <v>0</v>
      </c>
    </row>
    <row r="19" spans="2:18" ht="15.6" x14ac:dyDescent="0.3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>
        <v>9515</v>
      </c>
      <c r="L19" s="9" t="s">
        <v>130</v>
      </c>
      <c r="M19" s="16" t="s">
        <v>141</v>
      </c>
      <c r="R19" s="1">
        <f>IF(vend1[[#This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9594</v>
      </c>
      <c r="L20" s="9" t="s">
        <v>134</v>
      </c>
      <c r="M20" s="16" t="s">
        <v>141</v>
      </c>
      <c r="R20" s="1">
        <f>IF(vend1[[#This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>
        <v>9514</v>
      </c>
      <c r="L21" s="9" t="s">
        <v>130</v>
      </c>
      <c r="M21" s="16" t="s">
        <v>141</v>
      </c>
    </row>
    <row r="22" spans="2:18" ht="15.6" x14ac:dyDescent="0.3">
      <c r="B22" s="28" t="s">
        <v>26</v>
      </c>
      <c r="C22" s="32">
        <f>C5</f>
        <v>699</v>
      </c>
      <c r="D22" s="2"/>
      <c r="E22" s="18"/>
      <c r="F22" s="25"/>
      <c r="G22" s="26"/>
      <c r="H22" s="8"/>
      <c r="I22" s="8"/>
      <c r="J22" s="2"/>
      <c r="K22" s="25">
        <v>9443</v>
      </c>
      <c r="L22" s="9" t="s">
        <v>130</v>
      </c>
      <c r="M22" s="16" t="s">
        <v>141</v>
      </c>
    </row>
    <row r="23" spans="2:18" ht="14.4" x14ac:dyDescent="0.3">
      <c r="B23" s="2"/>
      <c r="C23" s="2"/>
      <c r="D23" s="2"/>
      <c r="E23" s="33"/>
      <c r="H23" s="7"/>
      <c r="J23" s="2"/>
      <c r="K23" s="25">
        <v>9524</v>
      </c>
      <c r="L23" s="9" t="s">
        <v>134</v>
      </c>
      <c r="M23" s="16" t="s">
        <v>141</v>
      </c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>
        <v>9565</v>
      </c>
      <c r="L24" s="9" t="s">
        <v>134</v>
      </c>
      <c r="M24" s="16" t="s">
        <v>141</v>
      </c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>
        <v>9568</v>
      </c>
      <c r="L25" s="9" t="s">
        <v>134</v>
      </c>
      <c r="M25" s="16" t="s">
        <v>141</v>
      </c>
    </row>
    <row r="26" spans="2:18" ht="15.6" x14ac:dyDescent="0.3">
      <c r="B26" s="2"/>
      <c r="C26" s="2"/>
      <c r="D26" s="2"/>
      <c r="E26" s="18">
        <v>9591</v>
      </c>
      <c r="F26" s="25" t="s">
        <v>153</v>
      </c>
      <c r="G26" s="26" t="s">
        <v>8</v>
      </c>
      <c r="H26" s="8"/>
      <c r="I26" s="8">
        <v>495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9562</v>
      </c>
      <c r="F27" s="25" t="s">
        <v>154</v>
      </c>
      <c r="G27" s="26" t="s">
        <v>8</v>
      </c>
      <c r="H27" s="8"/>
      <c r="I27" s="8">
        <v>340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9386</v>
      </c>
      <c r="F28" s="25" t="s">
        <v>155</v>
      </c>
      <c r="G28" s="26" t="s">
        <v>7</v>
      </c>
      <c r="H28" s="8"/>
      <c r="I28" s="8">
        <v>120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9441</v>
      </c>
      <c r="F35" s="25" t="s">
        <v>156</v>
      </c>
      <c r="G35" s="26" t="s">
        <v>10</v>
      </c>
      <c r="H35" s="8">
        <v>356.25</v>
      </c>
      <c r="I35" s="8" t="s">
        <v>82</v>
      </c>
      <c r="K35" s="25"/>
      <c r="L35" s="41"/>
      <c r="M35" s="16"/>
    </row>
    <row r="36" spans="2:18" ht="15.6" x14ac:dyDescent="0.3">
      <c r="E36" s="18">
        <v>8328</v>
      </c>
      <c r="F36" s="25" t="s">
        <v>157</v>
      </c>
      <c r="G36" s="26" t="s">
        <v>7</v>
      </c>
      <c r="H36" s="8">
        <v>50</v>
      </c>
      <c r="I36" s="8" t="s">
        <v>43</v>
      </c>
      <c r="K36" s="25"/>
      <c r="L36" s="41"/>
      <c r="M36" s="16"/>
    </row>
    <row r="37" spans="2:18" ht="15.6" x14ac:dyDescent="0.3">
      <c r="E37" s="18">
        <v>8999</v>
      </c>
      <c r="F37" s="25" t="s">
        <v>157</v>
      </c>
      <c r="G37" s="26" t="s">
        <v>6</v>
      </c>
      <c r="H37" s="8">
        <v>60</v>
      </c>
      <c r="I37" s="8" t="s">
        <v>41</v>
      </c>
      <c r="K37" s="25"/>
      <c r="L37" s="41"/>
      <c r="M37" s="16"/>
    </row>
    <row r="38" spans="2:18" ht="15.6" x14ac:dyDescent="0.3">
      <c r="E38" s="18">
        <v>8624</v>
      </c>
      <c r="F38" s="25" t="s">
        <v>157</v>
      </c>
      <c r="G38" s="26" t="s">
        <v>6</v>
      </c>
      <c r="H38" s="8">
        <v>41.42</v>
      </c>
      <c r="I38" s="8" t="s">
        <v>60</v>
      </c>
      <c r="K38" s="25"/>
      <c r="L38" s="41"/>
      <c r="M38" s="16"/>
    </row>
    <row r="39" spans="2:18" ht="15.6" x14ac:dyDescent="0.3">
      <c r="E39" s="18">
        <v>8992</v>
      </c>
      <c r="F39" s="39" t="s">
        <v>158</v>
      </c>
      <c r="G39" s="26" t="s">
        <v>6</v>
      </c>
      <c r="H39" s="8">
        <v>187.4</v>
      </c>
      <c r="I39" s="8" t="s">
        <v>82</v>
      </c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count="2">
    <dataValidation type="list" allowBlank="1" showInputMessage="1" showErrorMessage="1" sqref="M15:M31" xr:uid="{9539A39A-7E11-4770-A03D-2CE6F0502CC7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750A6A5-C201-4190-B207-F5C8AA22818D}">
          <x14:formula1>
            <xm:f>base!$A$2:$A$9</xm:f>
          </x14:formula1>
          <xm:sqref>G6:G22</xm:sqref>
        </x14:dataValidation>
        <x14:dataValidation type="list" allowBlank="1" showInputMessage="1" showErrorMessage="1" xr:uid="{C2AC9059-422A-49F7-825C-65DEBB219367}">
          <x14:formula1>
            <xm:f>base!$E$2:$E$79</xm:f>
          </x14:formula1>
          <xm:sqref>I35:I41</xm:sqref>
        </x14:dataValidation>
        <x14:dataValidation type="list" allowBlank="1" showInputMessage="1" showErrorMessage="1" xr:uid="{01D25F35-F227-438E-85FA-444CACF98FBB}">
          <x14:formula1>
            <xm:f>base!$A$2:$A$6</xm:f>
          </x14:formula1>
          <xm:sqref>G26:G31 G35:G41</xm:sqref>
        </x14:dataValidation>
        <x14:dataValidation type="list" allowBlank="1" showInputMessage="1" showErrorMessage="1" xr:uid="{21C0EE20-9846-4D0C-A722-ED5996C9F463}">
          <x14:formula1>
            <xm:f>resumo_cx!$P$2:$P$18</xm:f>
          </x14:formula1>
          <xm:sqref>L15:L31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U41"/>
  <sheetViews>
    <sheetView showGridLines="0" zoomScale="80" zoomScaleNormal="80" workbookViewId="0">
      <selection activeCell="E6" sqref="E6"/>
    </sheetView>
  </sheetViews>
  <sheetFormatPr defaultColWidth="9.109375" defaultRowHeight="13.2" x14ac:dyDescent="0.25"/>
  <cols>
    <col min="1" max="1" width="3.6640625" style="1" customWidth="1"/>
    <col min="2" max="2" width="29.44140625" style="1" bestFit="1" customWidth="1"/>
    <col min="3" max="3" width="15.109375" style="1" bestFit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4">
        <f>'01'!B1+1</f>
        <v>45506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11488.99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10749.99</v>
      </c>
      <c r="D6" s="2"/>
      <c r="E6" s="18">
        <v>9596</v>
      </c>
      <c r="F6" s="25" t="s">
        <v>142</v>
      </c>
      <c r="G6" s="46" t="s">
        <v>40</v>
      </c>
      <c r="H6" s="8"/>
      <c r="I6" s="8"/>
      <c r="J6" s="2"/>
      <c r="K6" s="25"/>
      <c r="L6" s="9"/>
      <c r="M6" s="16"/>
      <c r="R6" s="1">
        <f>IF(vend2[[#This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9597</v>
      </c>
      <c r="F7" s="25" t="s">
        <v>145</v>
      </c>
      <c r="G7" s="26" t="s">
        <v>10</v>
      </c>
      <c r="H7" s="8">
        <v>599</v>
      </c>
      <c r="I7" s="8">
        <v>20</v>
      </c>
      <c r="J7" s="2"/>
      <c r="K7" s="25"/>
      <c r="L7" s="9"/>
      <c r="M7" s="16"/>
      <c r="R7" s="1">
        <f>IF(vend2[[#This Row],[Nº Venda]]&gt;1,1,0)</f>
        <v>1</v>
      </c>
    </row>
    <row r="8" spans="2:18" ht="15.6" x14ac:dyDescent="0.3">
      <c r="B8" s="28" t="s">
        <v>21</v>
      </c>
      <c r="C8" s="29">
        <f>SUM(C6:C7)</f>
        <v>10749.99</v>
      </c>
      <c r="D8" s="2"/>
      <c r="E8" s="18">
        <v>9598</v>
      </c>
      <c r="F8" s="25" t="s">
        <v>148</v>
      </c>
      <c r="G8" s="26" t="s">
        <v>6</v>
      </c>
      <c r="H8" s="8">
        <v>700</v>
      </c>
      <c r="I8" s="8">
        <v>100</v>
      </c>
      <c r="J8" s="2"/>
      <c r="K8" s="25"/>
      <c r="L8" s="9"/>
      <c r="M8" s="16"/>
      <c r="R8" s="1">
        <f>IF(vend2[[#This Row],[Nº Venda]]&gt;1,1,0)</f>
        <v>1</v>
      </c>
    </row>
    <row r="9" spans="2:18" ht="15.6" x14ac:dyDescent="0.3">
      <c r="B9" s="2"/>
      <c r="C9" s="2"/>
      <c r="D9" s="2"/>
      <c r="E9" s="18">
        <v>9599</v>
      </c>
      <c r="F9" s="25" t="s">
        <v>144</v>
      </c>
      <c r="G9" s="26" t="s">
        <v>8</v>
      </c>
      <c r="H9" s="8">
        <v>6999.99</v>
      </c>
      <c r="I9" s="8">
        <v>6999.99</v>
      </c>
      <c r="J9" s="2"/>
      <c r="K9" s="25"/>
      <c r="L9" s="9"/>
      <c r="M9" s="16"/>
      <c r="R9" s="1">
        <f>IF(vend2[[#This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9600</v>
      </c>
      <c r="F10" s="25" t="s">
        <v>144</v>
      </c>
      <c r="G10" s="26" t="s">
        <v>50</v>
      </c>
      <c r="H10" s="8"/>
      <c r="I10" s="8"/>
      <c r="J10" s="2"/>
      <c r="K10" s="25"/>
      <c r="L10" s="9"/>
      <c r="M10" s="16"/>
      <c r="R10" s="1">
        <f>IF(vend2[[#This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400</v>
      </c>
      <c r="D11" s="2"/>
      <c r="E11" s="18">
        <v>9601</v>
      </c>
      <c r="F11" s="25" t="s">
        <v>143</v>
      </c>
      <c r="G11" s="46" t="s">
        <v>6</v>
      </c>
      <c r="H11" s="8">
        <v>1000</v>
      </c>
      <c r="I11" s="8">
        <v>300</v>
      </c>
      <c r="J11" s="2"/>
      <c r="K11" s="27"/>
      <c r="L11" s="9"/>
      <c r="M11" s="16"/>
      <c r="O11" s="1">
        <f>IF(C16=0,0,1)</f>
        <v>1</v>
      </c>
      <c r="R11" s="1">
        <f>IF(vend2[[#This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240</v>
      </c>
      <c r="D12" s="2"/>
      <c r="E12" s="18">
        <v>9601</v>
      </c>
      <c r="F12" s="25" t="s">
        <v>143</v>
      </c>
      <c r="G12" s="26" t="s">
        <v>8</v>
      </c>
      <c r="H12" s="8"/>
      <c r="I12" s="8">
        <v>700</v>
      </c>
      <c r="J12" s="2"/>
      <c r="R12" s="1">
        <f>IF(vend2[[#This Row],[Nº Venda]]&gt;1,1,0)</f>
        <v>1</v>
      </c>
    </row>
    <row r="13" spans="2:18" ht="15.6" x14ac:dyDescent="0.3">
      <c r="B13" s="30" t="s">
        <v>8</v>
      </c>
      <c r="C13" s="31">
        <f t="shared" si="0"/>
        <v>10089.99</v>
      </c>
      <c r="D13" s="2"/>
      <c r="E13" s="18">
        <v>9602</v>
      </c>
      <c r="F13" s="25" t="s">
        <v>143</v>
      </c>
      <c r="G13" s="26" t="s">
        <v>8</v>
      </c>
      <c r="H13" s="8">
        <v>170</v>
      </c>
      <c r="I13" s="8">
        <v>170</v>
      </c>
      <c r="J13" s="2"/>
      <c r="K13" s="105" t="s">
        <v>22</v>
      </c>
      <c r="L13" s="106"/>
      <c r="M13" s="107"/>
      <c r="R13" s="1">
        <f>IF(vend2[[#This Row],[Nº Venda]]&gt;1,1,0)</f>
        <v>1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>
        <v>9603</v>
      </c>
      <c r="F14" s="25" t="s">
        <v>147</v>
      </c>
      <c r="G14" s="26" t="s">
        <v>8</v>
      </c>
      <c r="H14" s="8">
        <v>600</v>
      </c>
      <c r="I14" s="8">
        <v>600</v>
      </c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1</v>
      </c>
    </row>
    <row r="15" spans="2:18" ht="15.6" x14ac:dyDescent="0.3">
      <c r="B15" s="30" t="s">
        <v>10</v>
      </c>
      <c r="C15" s="31">
        <f t="shared" si="0"/>
        <v>20</v>
      </c>
      <c r="D15" s="2"/>
      <c r="E15" s="94">
        <v>9604</v>
      </c>
      <c r="F15" s="63" t="s">
        <v>146</v>
      </c>
      <c r="G15" s="95" t="s">
        <v>8</v>
      </c>
      <c r="H15" s="72">
        <v>600</v>
      </c>
      <c r="I15" s="72">
        <v>600</v>
      </c>
      <c r="J15" s="2"/>
      <c r="K15" s="25">
        <v>9606</v>
      </c>
      <c r="L15" s="9" t="s">
        <v>130</v>
      </c>
      <c r="M15" s="16" t="s">
        <v>141</v>
      </c>
      <c r="R15" s="1">
        <f>IF(vend2[[#This Row],[Nº Venda]]&gt;1,1,0)</f>
        <v>1</v>
      </c>
    </row>
    <row r="16" spans="2:18" ht="15.6" x14ac:dyDescent="0.3">
      <c r="B16" s="28" t="s">
        <v>11</v>
      </c>
      <c r="C16" s="32">
        <f>SUM(C11:C15)</f>
        <v>10749.99</v>
      </c>
      <c r="D16" s="2"/>
      <c r="E16" s="94">
        <v>9605</v>
      </c>
      <c r="F16" s="63" t="s">
        <v>146</v>
      </c>
      <c r="G16" s="95" t="s">
        <v>8</v>
      </c>
      <c r="H16" s="72">
        <v>750</v>
      </c>
      <c r="I16" s="72">
        <v>750</v>
      </c>
      <c r="J16" s="2"/>
      <c r="K16" s="25">
        <v>9556</v>
      </c>
      <c r="L16" s="9" t="s">
        <v>134</v>
      </c>
      <c r="M16" s="16" t="s">
        <v>141</v>
      </c>
      <c r="R16" s="1">
        <f>IF(vend2[[#This Row],[Nº Venda]]&gt;1,1,0)</f>
        <v>1</v>
      </c>
    </row>
    <row r="17" spans="2:18" ht="15.6" x14ac:dyDescent="0.3">
      <c r="B17" s="2"/>
      <c r="C17" s="2"/>
      <c r="D17" s="2"/>
      <c r="E17" s="18">
        <v>9606</v>
      </c>
      <c r="F17" s="25" t="s">
        <v>146</v>
      </c>
      <c r="G17" s="26" t="s">
        <v>8</v>
      </c>
      <c r="H17" s="8">
        <v>70</v>
      </c>
      <c r="I17" s="8">
        <v>70</v>
      </c>
      <c r="J17" s="2"/>
      <c r="K17" s="25">
        <v>9547</v>
      </c>
      <c r="L17" s="9" t="s">
        <v>136</v>
      </c>
      <c r="M17" s="16" t="s">
        <v>141</v>
      </c>
      <c r="R17" s="1">
        <f>IF(vend2[[#This Row],[Nº Venda]]&gt;1,1,0)</f>
        <v>1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9572</v>
      </c>
      <c r="L18" s="9" t="s">
        <v>130</v>
      </c>
      <c r="M18" s="16" t="s">
        <v>141</v>
      </c>
      <c r="R18" s="1">
        <f>IF(vend2[[#This Row],[Nº Venda]]&gt;1,1,0)</f>
        <v>0</v>
      </c>
    </row>
    <row r="19" spans="2:18" ht="15.6" x14ac:dyDescent="0.3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>
        <v>9467</v>
      </c>
      <c r="L19" s="9" t="s">
        <v>136</v>
      </c>
      <c r="M19" s="16" t="s">
        <v>141</v>
      </c>
      <c r="R19" s="1">
        <f>IF(vend2[[#This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9537</v>
      </c>
      <c r="L20" s="9" t="s">
        <v>130</v>
      </c>
      <c r="M20" s="16" t="s">
        <v>141</v>
      </c>
      <c r="R20" s="1">
        <f>IF(vend2[[#This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11488.99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 t="s">
        <v>58</v>
      </c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9556</v>
      </c>
      <c r="F26" s="25" t="s">
        <v>149</v>
      </c>
      <c r="G26" s="26" t="s">
        <v>7</v>
      </c>
      <c r="H26" s="8"/>
      <c r="I26" s="8">
        <v>140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9572</v>
      </c>
      <c r="F27" s="25" t="s">
        <v>150</v>
      </c>
      <c r="G27" s="26" t="s">
        <v>8</v>
      </c>
      <c r="H27" s="8"/>
      <c r="I27" s="8">
        <v>200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9572</v>
      </c>
      <c r="F28" s="25" t="s">
        <v>150</v>
      </c>
      <c r="G28" s="26" t="s">
        <v>7</v>
      </c>
      <c r="H28" s="8"/>
      <c r="I28" s="8">
        <v>100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21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21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  <c r="U34" s="1" t="s">
        <v>37</v>
      </c>
    </row>
    <row r="35" spans="2:21" ht="15.6" x14ac:dyDescent="0.3">
      <c r="E35" s="18"/>
      <c r="F35" s="25"/>
      <c r="G35" s="26"/>
      <c r="H35" s="8"/>
      <c r="I35" s="8"/>
      <c r="K35" s="25"/>
      <c r="L35" s="41"/>
      <c r="M35" s="16"/>
    </row>
    <row r="36" spans="2:21" ht="15.6" x14ac:dyDescent="0.3">
      <c r="E36" s="18"/>
      <c r="F36" s="25"/>
      <c r="G36" s="26"/>
      <c r="H36" s="8"/>
      <c r="I36" s="8"/>
      <c r="K36" s="25"/>
      <c r="L36" s="41"/>
      <c r="M36" s="16"/>
    </row>
    <row r="37" spans="2:21" ht="15.6" x14ac:dyDescent="0.3">
      <c r="E37" s="18"/>
      <c r="F37" s="25"/>
      <c r="G37" s="26"/>
      <c r="H37" s="8"/>
      <c r="I37" s="8"/>
      <c r="K37" s="25"/>
      <c r="L37" s="41"/>
      <c r="M37" s="16"/>
    </row>
    <row r="38" spans="2:21" ht="15.6" x14ac:dyDescent="0.3">
      <c r="E38" s="18"/>
      <c r="F38" s="25"/>
      <c r="G38" s="26"/>
      <c r="H38" s="8"/>
      <c r="I38" s="8"/>
      <c r="K38" s="25"/>
      <c r="L38" s="41"/>
      <c r="M38" s="16"/>
    </row>
    <row r="39" spans="2:21" ht="15.6" x14ac:dyDescent="0.3">
      <c r="E39" s="18"/>
      <c r="F39" s="39"/>
      <c r="G39" s="26"/>
      <c r="H39" s="8"/>
      <c r="I39" s="8"/>
      <c r="K39" s="25"/>
      <c r="L39" s="41"/>
      <c r="M39" s="16"/>
    </row>
    <row r="40" spans="2:21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12</v>
      </c>
    </row>
    <row r="41" spans="2:21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  <x14:dataValidation type="list" allowBlank="1" showInputMessage="1" showErrorMessage="1" xr:uid="{D03A1A39-17AE-4E0D-BD93-9C0EB93F5BFF}">
          <x14:formula1>
            <xm:f>resumo_cx!$P$2:$P$18</xm:f>
          </x14:formula1>
          <xm:sqref>L15:L31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2" zoomScale="80" zoomScaleNormal="80" workbookViewId="0">
      <selection activeCell="E7" sqref="E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'02'!B1+1</f>
        <v>45507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2113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1035</v>
      </c>
      <c r="D6" s="2"/>
      <c r="E6" s="18">
        <v>9607</v>
      </c>
      <c r="F6" s="25" t="s">
        <v>159</v>
      </c>
      <c r="G6" s="46" t="s">
        <v>7</v>
      </c>
      <c r="H6" s="8">
        <v>45</v>
      </c>
      <c r="I6" s="8">
        <v>45</v>
      </c>
      <c r="J6" s="2"/>
      <c r="K6" s="25"/>
      <c r="L6" s="9"/>
      <c r="M6" s="16"/>
      <c r="R6" s="1">
        <f>IF(vend3[[#This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9608</v>
      </c>
      <c r="F7" s="25" t="s">
        <v>160</v>
      </c>
      <c r="G7" s="26" t="s">
        <v>8</v>
      </c>
      <c r="H7" s="8">
        <v>400</v>
      </c>
      <c r="I7" s="8">
        <v>400</v>
      </c>
      <c r="J7" s="2"/>
      <c r="K7" s="25"/>
      <c r="L7" s="9"/>
      <c r="M7" s="16"/>
      <c r="R7" s="1">
        <f>IF(vend3[[#This Row],[Nº Venda]]&gt;1,1,0)</f>
        <v>1</v>
      </c>
    </row>
    <row r="8" spans="2:18" ht="15.6" x14ac:dyDescent="0.3">
      <c r="B8" s="28" t="s">
        <v>21</v>
      </c>
      <c r="C8" s="29">
        <f>SUM(C6:C7)</f>
        <v>1035</v>
      </c>
      <c r="D8" s="2"/>
      <c r="E8" s="18">
        <v>9609</v>
      </c>
      <c r="F8" s="25" t="s">
        <v>160</v>
      </c>
      <c r="G8" s="26" t="s">
        <v>8</v>
      </c>
      <c r="H8" s="8">
        <v>200</v>
      </c>
      <c r="I8" s="8">
        <v>200</v>
      </c>
      <c r="J8" s="2"/>
      <c r="K8" s="25"/>
      <c r="L8" s="9"/>
      <c r="M8" s="16"/>
      <c r="R8" s="1">
        <f>IF(vend3[[#This Row],[Nº Venda]]&gt;1,1,0)</f>
        <v>1</v>
      </c>
    </row>
    <row r="9" spans="2:18" ht="15.6" x14ac:dyDescent="0.3">
      <c r="B9" s="2"/>
      <c r="C9" s="2"/>
      <c r="D9" s="2"/>
      <c r="E9" s="18">
        <v>9610</v>
      </c>
      <c r="F9" s="25" t="s">
        <v>161</v>
      </c>
      <c r="G9" s="26" t="s">
        <v>10</v>
      </c>
      <c r="H9" s="8">
        <v>590</v>
      </c>
      <c r="I9" s="8">
        <v>50</v>
      </c>
      <c r="J9" s="2"/>
      <c r="K9" s="25"/>
      <c r="L9" s="9"/>
      <c r="M9" s="16"/>
      <c r="R9" s="1">
        <f>IF(vend3[[#This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9611</v>
      </c>
      <c r="F10" s="25" t="s">
        <v>162</v>
      </c>
      <c r="G10" s="26" t="s">
        <v>10</v>
      </c>
      <c r="H10" s="8">
        <v>339</v>
      </c>
      <c r="I10" s="8">
        <v>50</v>
      </c>
      <c r="J10" s="2"/>
      <c r="K10" s="25"/>
      <c r="L10" s="9"/>
      <c r="M10" s="16"/>
      <c r="R10" s="1">
        <f>IF(vend3[[#This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250</v>
      </c>
      <c r="D11" s="2"/>
      <c r="E11" s="18">
        <v>9612</v>
      </c>
      <c r="F11" s="25" t="s">
        <v>163</v>
      </c>
      <c r="G11" s="26" t="s">
        <v>6</v>
      </c>
      <c r="H11" s="8">
        <v>499</v>
      </c>
      <c r="I11" s="8">
        <v>250</v>
      </c>
      <c r="J11" s="2"/>
      <c r="K11" s="27"/>
      <c r="L11" s="9"/>
      <c r="M11" s="16"/>
      <c r="O11" s="1">
        <f>IF(C16=0,0,1)</f>
        <v>1</v>
      </c>
      <c r="R11" s="1">
        <f>IF(vend3[[#This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45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6" x14ac:dyDescent="0.3">
      <c r="B13" s="30" t="s">
        <v>8</v>
      </c>
      <c r="C13" s="31">
        <f t="shared" si="0"/>
        <v>600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6" x14ac:dyDescent="0.3">
      <c r="B15" s="30" t="s">
        <v>10</v>
      </c>
      <c r="C15" s="31">
        <f t="shared" si="0"/>
        <v>140</v>
      </c>
      <c r="D15" s="2"/>
      <c r="E15" s="18"/>
      <c r="F15" s="25"/>
      <c r="G15" s="26"/>
      <c r="H15" s="8"/>
      <c r="I15" s="8"/>
      <c r="J15" s="2"/>
      <c r="K15" s="25">
        <v>9591</v>
      </c>
      <c r="L15" s="9" t="s">
        <v>134</v>
      </c>
      <c r="M15" s="16" t="s">
        <v>141</v>
      </c>
      <c r="R15" s="1">
        <f>IF(vend3[[#This Row],[Nº Venda]]&gt;1,1,0)</f>
        <v>0</v>
      </c>
    </row>
    <row r="16" spans="2:18" ht="15.6" x14ac:dyDescent="0.3">
      <c r="B16" s="28" t="s">
        <v>11</v>
      </c>
      <c r="C16" s="32">
        <f>SUM(C11:C15)</f>
        <v>1035</v>
      </c>
      <c r="D16" s="2"/>
      <c r="E16" s="18"/>
      <c r="F16" s="25"/>
      <c r="G16" s="26"/>
      <c r="H16" s="8"/>
      <c r="I16" s="8"/>
      <c r="J16" s="2"/>
      <c r="K16" s="25">
        <v>9533</v>
      </c>
      <c r="L16" s="9" t="s">
        <v>130</v>
      </c>
      <c r="M16" s="16" t="s">
        <v>141</v>
      </c>
      <c r="R16" s="1">
        <f>IF(vend3[[#This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9551</v>
      </c>
      <c r="L17" s="9" t="s">
        <v>134</v>
      </c>
      <c r="M17" s="16" t="s">
        <v>141</v>
      </c>
      <c r="R17" s="1">
        <f>IF(vend3[[#This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9578</v>
      </c>
      <c r="L18" s="9" t="s">
        <v>134</v>
      </c>
      <c r="M18" s="16" t="s">
        <v>141</v>
      </c>
      <c r="R18" s="1">
        <f>IF(vend3[[#This Row],[Nº Venda]]&gt;1,1,0)</f>
        <v>0</v>
      </c>
    </row>
    <row r="19" spans="2:18" ht="15.6" x14ac:dyDescent="0.3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>
        <v>9489</v>
      </c>
      <c r="L19" s="9" t="s">
        <v>134</v>
      </c>
      <c r="M19" s="16" t="s">
        <v>141</v>
      </c>
      <c r="R19" s="1">
        <f>IF(vend3[[#This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9475</v>
      </c>
      <c r="L20" s="9" t="s">
        <v>130</v>
      </c>
      <c r="M20" s="16" t="s">
        <v>141</v>
      </c>
      <c r="R20" s="1">
        <f>IF(vend3[[#This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2113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9475</v>
      </c>
      <c r="F26" s="25" t="s">
        <v>164</v>
      </c>
      <c r="G26" s="46" t="s">
        <v>10</v>
      </c>
      <c r="H26" s="8">
        <v>40</v>
      </c>
      <c r="I26" s="8">
        <v>40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8"/>
      <c r="I35" s="8"/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  <x14:dataValidation type="list" allowBlank="1" showInputMessage="1" showErrorMessage="1" xr:uid="{D04BF380-4E28-4E38-9964-012179E62F47}">
          <x14:formula1>
            <xm:f>resumo_cx!$P$2:$P$18</xm:f>
          </x14:formula1>
          <xm:sqref>L15:L31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opLeftCell="A4" zoomScale="80" zoomScaleNormal="80" workbookViewId="0">
      <selection activeCell="L15" sqref="L15:L31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5.8867187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'03'!B1+1</f>
        <v>45508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6" x14ac:dyDescent="0.3">
      <c r="B8" s="28" t="s">
        <v>21</v>
      </c>
      <c r="C8" s="29">
        <f>SUM(C6:C7)</f>
        <v>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7.399999999999999" x14ac:dyDescent="0.4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9"/>
      <c r="L15" s="9"/>
      <c r="M15" s="60"/>
      <c r="R15" s="1">
        <f>IF(vend4[[#This Row],[Nº Venda]]&gt;1,1,0)</f>
        <v>0</v>
      </c>
    </row>
    <row r="16" spans="2:18" ht="18.600000000000001" x14ac:dyDescent="0.4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61"/>
      <c r="L16" s="9"/>
      <c r="M16" s="60"/>
      <c r="R16" s="1">
        <f>IF(vend4[[#This Row],[Nº Venda]]&gt;1,1,0)</f>
        <v>0</v>
      </c>
    </row>
    <row r="17" spans="2:18" ht="17.399999999999999" x14ac:dyDescent="0.45">
      <c r="B17" s="2"/>
      <c r="C17" s="2"/>
      <c r="D17" s="2"/>
      <c r="E17" s="18"/>
      <c r="F17" s="25"/>
      <c r="G17" s="26"/>
      <c r="H17" s="8"/>
      <c r="I17" s="8"/>
      <c r="J17" s="2"/>
      <c r="K17" s="59"/>
      <c r="L17" s="9"/>
      <c r="M17" s="60"/>
      <c r="R17" s="1">
        <f>IF(vend4[[#This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6" x14ac:dyDescent="0.3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8"/>
      <c r="I35" s="8"/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  <x14:dataValidation type="list" allowBlank="1" showInputMessage="1" showErrorMessage="1" xr:uid="{EF836593-6624-4BC0-A2B4-E462607C09E4}">
          <x14:formula1>
            <xm:f>resumo_cx!$P$2:$P$18</xm:f>
          </x14:formula1>
          <xm:sqref>L15:L31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Q41"/>
  <sheetViews>
    <sheetView showGridLines="0" zoomScale="80" zoomScaleNormal="80" workbookViewId="0">
      <selection activeCell="M18" sqref="M18"/>
    </sheetView>
  </sheetViews>
  <sheetFormatPr defaultColWidth="9.109375" defaultRowHeight="13.2" x14ac:dyDescent="0.25"/>
  <cols>
    <col min="1" max="1" width="3.6640625" style="1" customWidth="1"/>
    <col min="2" max="2" width="29.1093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10937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1.5546875" style="3" customWidth="1"/>
    <col min="14" max="14" width="2.109375" style="1" hidden="1" customWidth="1"/>
    <col min="15" max="15" width="9.109375" style="1" hidden="1" customWidth="1"/>
    <col min="16" max="16" width="11.44140625" style="1" hidden="1" customWidth="1"/>
    <col min="17" max="17" width="2.44140625" style="1" hidden="1" customWidth="1"/>
    <col min="18" max="19" width="0" style="1" hidden="1" customWidth="1"/>
    <col min="20" max="20" width="3.6640625" style="1" customWidth="1"/>
    <col min="21" max="16384" width="9.109375" style="1"/>
  </cols>
  <sheetData>
    <row r="1" spans="2:17" ht="31.2" x14ac:dyDescent="0.6">
      <c r="B1" s="84">
        <f>'04'!B1+1</f>
        <v>45509</v>
      </c>
    </row>
    <row r="2" spans="2:17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7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7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7" ht="14.4" x14ac:dyDescent="0.3">
      <c r="B5" s="23" t="s">
        <v>1</v>
      </c>
      <c r="C5" s="24">
        <f>SUMIF(I6:I31,"&gt;0",H6:H31)</f>
        <v>2727.3999999999996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7" ht="15.6" x14ac:dyDescent="0.3">
      <c r="B6" s="23" t="s">
        <v>2</v>
      </c>
      <c r="C6" s="24">
        <f>SUM(I6:I41)</f>
        <v>1477.72</v>
      </c>
      <c r="D6" s="2"/>
      <c r="E6" s="18">
        <v>9613</v>
      </c>
      <c r="F6" s="25" t="s">
        <v>165</v>
      </c>
      <c r="G6" s="46" t="s">
        <v>7</v>
      </c>
      <c r="H6" s="8">
        <v>110</v>
      </c>
      <c r="I6" s="8">
        <v>110</v>
      </c>
      <c r="J6" s="2"/>
      <c r="K6" s="25"/>
      <c r="L6" s="9"/>
      <c r="M6" s="16"/>
      <c r="Q6" s="1">
        <f>IF(vend5[[#This Row],[Nº Venda]]&gt;1,1,0)</f>
        <v>1</v>
      </c>
    </row>
    <row r="7" spans="2:17" ht="15.6" x14ac:dyDescent="0.3">
      <c r="B7" s="23" t="s">
        <v>3</v>
      </c>
      <c r="C7" s="24">
        <f>SUM(M6:M11)</f>
        <v>0</v>
      </c>
      <c r="D7" s="2"/>
      <c r="E7" s="18">
        <v>9614</v>
      </c>
      <c r="F7" s="25" t="s">
        <v>166</v>
      </c>
      <c r="G7" s="46" t="s">
        <v>40</v>
      </c>
      <c r="H7" s="8"/>
      <c r="I7" s="8"/>
      <c r="J7" s="2"/>
      <c r="K7" s="25"/>
      <c r="L7" s="9"/>
      <c r="M7" s="16"/>
      <c r="Q7" s="1">
        <f>IF(vend5[[#This Row],[Nº Venda]]&gt;1,1,0)</f>
        <v>1</v>
      </c>
    </row>
    <row r="8" spans="2:17" ht="15.6" x14ac:dyDescent="0.3">
      <c r="B8" s="28" t="s">
        <v>21</v>
      </c>
      <c r="C8" s="29">
        <f>SUM(C6:C7)</f>
        <v>1477.72</v>
      </c>
      <c r="D8" s="2"/>
      <c r="E8" s="18">
        <v>9615</v>
      </c>
      <c r="F8" s="25" t="s">
        <v>167</v>
      </c>
      <c r="G8" s="46" t="s">
        <v>6</v>
      </c>
      <c r="H8" s="8">
        <v>750</v>
      </c>
      <c r="I8" s="8">
        <v>30</v>
      </c>
      <c r="J8" s="2"/>
      <c r="K8" s="25"/>
      <c r="L8" s="9"/>
      <c r="M8" s="16"/>
      <c r="Q8" s="1">
        <f>IF(vend5[[#This Row],[Nº Venda]]&gt;1,1,0)</f>
        <v>1</v>
      </c>
    </row>
    <row r="9" spans="2:17" ht="15.6" x14ac:dyDescent="0.3">
      <c r="B9" s="2"/>
      <c r="C9" s="2"/>
      <c r="D9" s="2"/>
      <c r="E9" s="18">
        <v>9616</v>
      </c>
      <c r="F9" s="25" t="s">
        <v>173</v>
      </c>
      <c r="G9" s="46" t="s">
        <v>7</v>
      </c>
      <c r="H9" s="8">
        <v>210</v>
      </c>
      <c r="I9" s="8">
        <v>210</v>
      </c>
      <c r="J9" s="2"/>
      <c r="K9" s="25"/>
      <c r="L9" s="9"/>
      <c r="M9" s="16"/>
      <c r="Q9" s="1">
        <f>IF(vend5[[#This Row],[Nº Venda]]&gt;1,1,0)</f>
        <v>1</v>
      </c>
    </row>
    <row r="10" spans="2:17" ht="15.6" x14ac:dyDescent="0.3">
      <c r="B10" s="103" t="s">
        <v>5</v>
      </c>
      <c r="C10" s="103"/>
      <c r="D10" s="2"/>
      <c r="E10" s="18">
        <v>9617</v>
      </c>
      <c r="F10" s="25" t="s">
        <v>173</v>
      </c>
      <c r="G10" s="46" t="s">
        <v>8</v>
      </c>
      <c r="H10" s="8">
        <v>419</v>
      </c>
      <c r="I10" s="8">
        <v>419</v>
      </c>
      <c r="J10" s="2"/>
      <c r="K10" s="25"/>
      <c r="L10" s="9"/>
      <c r="M10" s="16"/>
      <c r="Q10" s="1">
        <f>IF(vend5[[#This Row],[Nº Venda]]&gt;1,1,0)</f>
        <v>1</v>
      </c>
    </row>
    <row r="11" spans="2:17" ht="15.6" x14ac:dyDescent="0.3">
      <c r="B11" s="30" t="s">
        <v>6</v>
      </c>
      <c r="C11" s="31">
        <f>(SUMIF($G$2:$G$31,B11,$I$2:$I$31))+(SUMIF($G$35:$G$41,B11,$H$35:$H$41))</f>
        <v>56.66</v>
      </c>
      <c r="D11" s="2"/>
      <c r="E11" s="18">
        <v>9619</v>
      </c>
      <c r="F11" s="25" t="s">
        <v>174</v>
      </c>
      <c r="G11" s="46" t="s">
        <v>10</v>
      </c>
      <c r="H11" s="8">
        <v>619.67999999999995</v>
      </c>
      <c r="I11" s="8">
        <v>90</v>
      </c>
      <c r="J11" s="2"/>
      <c r="K11" s="27"/>
      <c r="L11" s="9"/>
      <c r="M11" s="16"/>
      <c r="N11" s="1">
        <f>IF(C16=0,0,1)</f>
        <v>1</v>
      </c>
      <c r="Q11" s="1">
        <f>IF(vend5[[#This Row],[Nº Venda]]&gt;1,1,0)</f>
        <v>1</v>
      </c>
    </row>
    <row r="12" spans="2:17" ht="15.6" x14ac:dyDescent="0.3">
      <c r="B12" s="30" t="s">
        <v>7</v>
      </c>
      <c r="C12" s="31">
        <f t="shared" ref="C12:C15" si="0">(SUMIF($G$2:$G$31,B12,$I$2:$I$31))+(SUMIF($G$35:$G$41,B12,$H$35:$H$41))</f>
        <v>360</v>
      </c>
      <c r="D12" s="2"/>
      <c r="E12" s="18">
        <v>6920</v>
      </c>
      <c r="F12" s="25" t="s">
        <v>175</v>
      </c>
      <c r="G12" s="26" t="s">
        <v>10</v>
      </c>
      <c r="H12" s="8">
        <v>548.72</v>
      </c>
      <c r="I12" s="8">
        <v>548.72</v>
      </c>
      <c r="J12" s="2"/>
      <c r="Q12" s="1">
        <f>IF(vend5[[#This Row],[Nº Venda]]&gt;1,1,0)</f>
        <v>1</v>
      </c>
    </row>
    <row r="13" spans="2:17" ht="15.6" x14ac:dyDescent="0.3">
      <c r="B13" s="30" t="s">
        <v>8</v>
      </c>
      <c r="C13" s="31">
        <f t="shared" si="0"/>
        <v>489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Q13" s="1">
        <f>IF(vend5[[#This Row],[Nº Venda]]&gt;1,1,0)</f>
        <v>0</v>
      </c>
    </row>
    <row r="14" spans="2:17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Q14" s="1">
        <f>IF(vend5[[#This Row],[Nº Venda]]&gt;1,1,0)</f>
        <v>0</v>
      </c>
    </row>
    <row r="15" spans="2:17" ht="15.6" x14ac:dyDescent="0.3">
      <c r="B15" s="30" t="s">
        <v>10</v>
      </c>
      <c r="C15" s="31">
        <f t="shared" si="0"/>
        <v>1062.29</v>
      </c>
      <c r="D15" s="2"/>
      <c r="E15" s="18"/>
      <c r="F15" s="25"/>
      <c r="G15" s="26"/>
      <c r="H15" s="8"/>
      <c r="I15" s="8"/>
      <c r="J15" s="2"/>
      <c r="K15" s="25">
        <v>9509</v>
      </c>
      <c r="L15" s="9" t="s">
        <v>134</v>
      </c>
      <c r="M15" s="16" t="s">
        <v>141</v>
      </c>
      <c r="Q15" s="1">
        <f>IF(vend5[[#This Row],[Nº Venda]]&gt;1,1,0)</f>
        <v>0</v>
      </c>
    </row>
    <row r="16" spans="2:17" ht="15.6" x14ac:dyDescent="0.3">
      <c r="B16" s="28" t="s">
        <v>11</v>
      </c>
      <c r="C16" s="32">
        <f>SUM(C11:C15)</f>
        <v>1967.9499999999998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Q16" s="1">
        <f>IF(vend5[[#This Row],[Nº Venda]]&gt;1,1,0)</f>
        <v>0</v>
      </c>
    </row>
    <row r="17" spans="2:17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Q17" s="1">
        <f>IF(vend5[[#This Row],[Nº Venda]]&gt;1,1,0)</f>
        <v>0</v>
      </c>
    </row>
    <row r="18" spans="2:17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Q18" s="1">
        <f>IF(vend5[[#This Row],[Nº Venda]]&gt;1,1,0)</f>
        <v>0</v>
      </c>
    </row>
    <row r="19" spans="2:17" ht="15.6" x14ac:dyDescent="0.3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Q19" s="1">
        <f>IF(vend5[[#This Row],[Nº Venda]]&gt;1,1,0)</f>
        <v>0</v>
      </c>
    </row>
    <row r="20" spans="2:17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Q20" s="1">
        <f>IF(vend5[[#This Row],[Nº Venda]]&gt;1,1,0)</f>
        <v>0</v>
      </c>
    </row>
    <row r="21" spans="2:17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7" ht="15.6" x14ac:dyDescent="0.3">
      <c r="B22" s="28" t="s">
        <v>26</v>
      </c>
      <c r="C22" s="32">
        <f>C5</f>
        <v>2727.3999999999996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7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7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7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7" ht="15.6" x14ac:dyDescent="0.3">
      <c r="B26" s="2"/>
      <c r="C26" s="2"/>
      <c r="D26" s="2"/>
      <c r="E26" s="18">
        <v>9509</v>
      </c>
      <c r="F26" s="25" t="s">
        <v>168</v>
      </c>
      <c r="G26" s="46" t="s">
        <v>8</v>
      </c>
      <c r="H26" s="8">
        <v>70</v>
      </c>
      <c r="I26" s="8">
        <v>70</v>
      </c>
      <c r="J26" s="2"/>
      <c r="K26" s="25"/>
      <c r="L26" s="9"/>
      <c r="M26" s="16"/>
    </row>
    <row r="27" spans="2:17" ht="15.6" x14ac:dyDescent="0.3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7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7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7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7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7" ht="14.4" x14ac:dyDescent="0.3">
      <c r="B32" s="2"/>
      <c r="C32" s="2"/>
      <c r="E32" s="33"/>
    </row>
    <row r="33" spans="2:17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7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7" ht="15.6" x14ac:dyDescent="0.3">
      <c r="E35" s="18">
        <v>9012</v>
      </c>
      <c r="F35" s="25" t="s">
        <v>169</v>
      </c>
      <c r="G35" s="26" t="s">
        <v>10</v>
      </c>
      <c r="H35" s="8">
        <v>225</v>
      </c>
      <c r="I35" s="8" t="s">
        <v>83</v>
      </c>
      <c r="K35" s="25"/>
      <c r="L35" s="41"/>
      <c r="M35" s="16"/>
    </row>
    <row r="36" spans="2:17" ht="15.6" x14ac:dyDescent="0.3">
      <c r="E36" s="18">
        <v>8551</v>
      </c>
      <c r="F36" s="25" t="s">
        <v>170</v>
      </c>
      <c r="G36" s="26" t="s">
        <v>10</v>
      </c>
      <c r="H36" s="8">
        <v>98.57</v>
      </c>
      <c r="I36" s="8" t="s">
        <v>60</v>
      </c>
      <c r="K36" s="25"/>
      <c r="L36" s="41"/>
      <c r="M36" s="16"/>
    </row>
    <row r="37" spans="2:17" ht="15.6" x14ac:dyDescent="0.3">
      <c r="E37" s="91">
        <v>9452</v>
      </c>
      <c r="F37" s="90" t="s">
        <v>171</v>
      </c>
      <c r="G37" s="92" t="s">
        <v>6</v>
      </c>
      <c r="H37" s="93">
        <v>26.66</v>
      </c>
      <c r="I37" s="93" t="s">
        <v>42</v>
      </c>
      <c r="K37" s="25"/>
      <c r="L37" s="41"/>
      <c r="M37" s="16"/>
    </row>
    <row r="38" spans="2:17" ht="15.6" x14ac:dyDescent="0.3">
      <c r="E38" s="18">
        <v>9452</v>
      </c>
      <c r="F38" s="25" t="s">
        <v>171</v>
      </c>
      <c r="G38" s="26" t="s">
        <v>7</v>
      </c>
      <c r="H38" s="8">
        <v>40</v>
      </c>
      <c r="I38" s="8" t="s">
        <v>42</v>
      </c>
      <c r="K38" s="25"/>
      <c r="L38" s="41"/>
      <c r="M38" s="16"/>
    </row>
    <row r="39" spans="2:17" ht="15.6" x14ac:dyDescent="0.3">
      <c r="E39" s="18">
        <v>9189</v>
      </c>
      <c r="F39" s="39" t="s">
        <v>172</v>
      </c>
      <c r="G39" s="26" t="s">
        <v>10</v>
      </c>
      <c r="H39" s="8">
        <v>100</v>
      </c>
      <c r="I39" s="8" t="s">
        <v>49</v>
      </c>
      <c r="K39" s="25"/>
      <c r="L39" s="41"/>
      <c r="M39" s="16"/>
    </row>
    <row r="40" spans="2:17" ht="15.6" x14ac:dyDescent="0.3">
      <c r="E40" s="35"/>
      <c r="F40" s="36"/>
      <c r="G40" s="37"/>
      <c r="H40" s="17"/>
      <c r="I40" s="8"/>
      <c r="K40" s="36"/>
      <c r="L40" s="42"/>
      <c r="M40" s="40"/>
      <c r="P40" s="1" t="s">
        <v>36</v>
      </c>
      <c r="Q40" s="1">
        <f>SUM(Q6:Q21)</f>
        <v>7</v>
      </c>
    </row>
    <row r="41" spans="2:17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7F020F-5D4E-4796-A3BF-D2BAB2F1E764}">
      <formula1>"1,2,3,4,5,6,7,8,9,10"</formula1>
    </dataValidation>
    <dataValidation type="list" allowBlank="1" showInputMessage="1" showErrorMessage="1" sqref="M15:M31" xr:uid="{5F91EB2E-234E-45A9-80A1-E7D0A7E98AB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  <x14:dataValidation type="list" allowBlank="1" showInputMessage="1" showErrorMessage="1" xr:uid="{CF5CAE4C-094B-4D93-A1A2-431E4AA11041}">
          <x14:formula1>
            <xm:f>resumo_cx!$P$2:$P$18</xm:f>
          </x14:formula1>
          <xm:sqref>L15:L31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W41"/>
  <sheetViews>
    <sheetView showGridLines="0" topLeftCell="A4" zoomScale="80" zoomScaleNormal="80" workbookViewId="0">
      <selection activeCell="W16" sqref="W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4.33203125" style="34" bestFit="1" customWidth="1"/>
    <col min="7" max="7" width="12.88671875" style="34" customWidth="1"/>
    <col min="8" max="8" width="14.6640625" style="4" customWidth="1"/>
    <col min="9" max="9" width="12" style="4" customWidth="1"/>
    <col min="10" max="10" width="2.6640625" style="1" customWidth="1"/>
    <col min="11" max="11" width="17" style="3" customWidth="1"/>
    <col min="12" max="12" width="10.88671875" style="3" customWidth="1"/>
    <col min="13" max="13" width="4.8867187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3" ht="27.6" x14ac:dyDescent="0.65">
      <c r="B1" s="57">
        <f>'05'!B1+1</f>
        <v>45510</v>
      </c>
    </row>
    <row r="2" spans="2:23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3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3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23" ht="14.4" x14ac:dyDescent="0.3">
      <c r="B5" s="23" t="s">
        <v>1</v>
      </c>
      <c r="C5" s="24">
        <f>SUMIF(I6:I31,"&gt;0",H6:H31)</f>
        <v>1909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3" ht="15.6" x14ac:dyDescent="0.3">
      <c r="B6" s="23" t="s">
        <v>2</v>
      </c>
      <c r="C6" s="24">
        <f>SUM(I6:I41)</f>
        <v>1649</v>
      </c>
      <c r="D6" s="2"/>
      <c r="E6" s="18">
        <v>9621</v>
      </c>
      <c r="F6" s="25" t="s">
        <v>176</v>
      </c>
      <c r="G6" s="26" t="s">
        <v>10</v>
      </c>
      <c r="H6" s="8">
        <v>590</v>
      </c>
      <c r="I6" s="8">
        <v>230</v>
      </c>
      <c r="J6" s="2"/>
      <c r="K6" s="25"/>
      <c r="L6" s="9"/>
      <c r="M6" s="16"/>
      <c r="R6" s="1">
        <f>IF(vend[[#This Row],[Nº Venda]]&gt;1,1,0)</f>
        <v>1</v>
      </c>
    </row>
    <row r="7" spans="2:23" ht="15.6" x14ac:dyDescent="0.3">
      <c r="B7" s="23" t="s">
        <v>3</v>
      </c>
      <c r="C7" s="24">
        <f>SUM(M6:M11)</f>
        <v>0</v>
      </c>
      <c r="D7" s="2"/>
      <c r="E7" s="18">
        <v>9622</v>
      </c>
      <c r="F7" s="25" t="s">
        <v>177</v>
      </c>
      <c r="G7" s="26" t="s">
        <v>8</v>
      </c>
      <c r="H7" s="8">
        <v>499</v>
      </c>
      <c r="I7" s="8">
        <v>499</v>
      </c>
      <c r="J7" s="2"/>
      <c r="K7" s="25"/>
      <c r="L7" s="9"/>
      <c r="M7" s="16"/>
      <c r="R7" s="1">
        <f>IF(vend[[#This Row],[Nº Venda]]&gt;1,1,0)</f>
        <v>1</v>
      </c>
    </row>
    <row r="8" spans="2:23" ht="15.6" x14ac:dyDescent="0.3">
      <c r="B8" s="28" t="s">
        <v>21</v>
      </c>
      <c r="C8" s="29">
        <f>SUM(C6:C7)</f>
        <v>1649</v>
      </c>
      <c r="D8" s="2"/>
      <c r="E8" s="18">
        <v>9623</v>
      </c>
      <c r="F8" s="25" t="s">
        <v>178</v>
      </c>
      <c r="G8" s="26" t="s">
        <v>10</v>
      </c>
      <c r="H8" s="8">
        <v>750</v>
      </c>
      <c r="I8" s="8">
        <v>750</v>
      </c>
      <c r="J8" s="2"/>
      <c r="K8" s="25"/>
      <c r="L8" s="9"/>
      <c r="M8" s="16"/>
      <c r="R8" s="1">
        <f>IF(vend[[#This Row],[Nº Venda]]&gt;1,1,0)</f>
        <v>1</v>
      </c>
    </row>
    <row r="9" spans="2:23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23" ht="15.6" x14ac:dyDescent="0.3">
      <c r="B10" s="103" t="s">
        <v>5</v>
      </c>
      <c r="C10" s="103"/>
      <c r="D10" s="2"/>
      <c r="E10" s="18"/>
      <c r="F10" s="58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23" ht="15.6" x14ac:dyDescent="0.3">
      <c r="B11" s="30" t="s">
        <v>6</v>
      </c>
      <c r="C11" s="31">
        <f>(SUMIF($G$2:$G$31,B11,$I$2:$I$31))+(SUMIF($G$35:$G$41,B11,$H$35:$H$41))</f>
        <v>190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23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23" ht="15.6" x14ac:dyDescent="0.3">
      <c r="B13" s="30" t="s">
        <v>8</v>
      </c>
      <c r="C13" s="31">
        <f t="shared" si="0"/>
        <v>569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IF(vend[[#This Row],[Nº Venda]]&gt;1,1,0)</f>
        <v>0</v>
      </c>
    </row>
    <row r="14" spans="2:23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23" ht="15.6" x14ac:dyDescent="0.3">
      <c r="B15" s="30" t="s">
        <v>10</v>
      </c>
      <c r="C15" s="31">
        <f t="shared" si="0"/>
        <v>1182.8499999999999</v>
      </c>
      <c r="D15" s="2"/>
      <c r="E15" s="18"/>
      <c r="F15" s="25"/>
      <c r="G15" s="26"/>
      <c r="H15" s="8"/>
      <c r="I15" s="8"/>
      <c r="J15" s="2"/>
      <c r="K15" s="18">
        <v>9574</v>
      </c>
      <c r="L15" s="9" t="s">
        <v>136</v>
      </c>
      <c r="M15" s="16" t="s">
        <v>141</v>
      </c>
      <c r="R15" s="1">
        <f>IF(vend[[#This Row],[Nº Venda]]&gt;1,1,0)</f>
        <v>0</v>
      </c>
    </row>
    <row r="16" spans="2:23" ht="15.6" x14ac:dyDescent="0.3">
      <c r="B16" s="28" t="s">
        <v>11</v>
      </c>
      <c r="C16" s="32">
        <f>SUM(C11:C15)</f>
        <v>1941.85</v>
      </c>
      <c r="D16" s="2"/>
      <c r="E16" s="18"/>
      <c r="F16" s="25"/>
      <c r="G16" s="26"/>
      <c r="H16" s="8"/>
      <c r="I16" s="8"/>
      <c r="J16" s="2"/>
      <c r="K16" s="25">
        <v>9607</v>
      </c>
      <c r="L16" s="9" t="s">
        <v>134</v>
      </c>
      <c r="M16" s="16" t="s">
        <v>141</v>
      </c>
      <c r="R16" s="1">
        <f>IF(vend[[#This Row],[Nº Venda]]&gt;1,1,0)</f>
        <v>0</v>
      </c>
      <c r="W16" s="1" t="s">
        <v>58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9613</v>
      </c>
      <c r="L17" s="9" t="s">
        <v>134</v>
      </c>
      <c r="M17" s="16" t="s">
        <v>141</v>
      </c>
      <c r="R17" s="1">
        <f>IF(vend[[#This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9509</v>
      </c>
      <c r="L18" s="9" t="s">
        <v>134</v>
      </c>
      <c r="M18" s="16" t="s">
        <v>141</v>
      </c>
      <c r="R18" s="1">
        <f>IF(vend[[#This Row],[Nº Venda]]&gt;1,1,0)</f>
        <v>0</v>
      </c>
    </row>
    <row r="19" spans="2:18" ht="15.6" x14ac:dyDescent="0.3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1909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9550</v>
      </c>
      <c r="F26" s="25" t="s">
        <v>179</v>
      </c>
      <c r="G26" s="26" t="s">
        <v>10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9509</v>
      </c>
      <c r="F27" s="25" t="s">
        <v>184</v>
      </c>
      <c r="G27" s="26" t="s">
        <v>8</v>
      </c>
      <c r="H27" s="8">
        <v>70</v>
      </c>
      <c r="I27" s="8">
        <v>70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9330</v>
      </c>
      <c r="F35" s="25" t="s">
        <v>180</v>
      </c>
      <c r="G35" s="26" t="s">
        <v>6</v>
      </c>
      <c r="H35" s="8">
        <v>50</v>
      </c>
      <c r="I35" s="8" t="s">
        <v>54</v>
      </c>
      <c r="K35" s="25"/>
      <c r="L35" s="41"/>
      <c r="M35" s="16"/>
    </row>
    <row r="36" spans="2:18" ht="15.6" x14ac:dyDescent="0.3">
      <c r="E36" s="18">
        <v>9447</v>
      </c>
      <c r="F36" s="25" t="s">
        <v>180</v>
      </c>
      <c r="G36" s="26" t="s">
        <v>6</v>
      </c>
      <c r="H36" s="8">
        <v>20</v>
      </c>
      <c r="I36" s="8" t="s">
        <v>35</v>
      </c>
      <c r="K36" s="25"/>
      <c r="L36" s="41"/>
      <c r="M36" s="16"/>
    </row>
    <row r="37" spans="2:18" ht="15.6" x14ac:dyDescent="0.3">
      <c r="E37" s="18">
        <v>9305</v>
      </c>
      <c r="F37" s="25" t="s">
        <v>181</v>
      </c>
      <c r="G37" s="26" t="s">
        <v>6</v>
      </c>
      <c r="H37" s="8">
        <v>70</v>
      </c>
      <c r="I37" s="8" t="s">
        <v>54</v>
      </c>
      <c r="K37" s="25"/>
      <c r="L37" s="41"/>
      <c r="M37" s="16"/>
    </row>
    <row r="38" spans="2:18" ht="15.6" x14ac:dyDescent="0.3">
      <c r="E38" s="18">
        <v>8907</v>
      </c>
      <c r="F38" s="25" t="s">
        <v>183</v>
      </c>
      <c r="G38" s="26" t="s">
        <v>6</v>
      </c>
      <c r="H38" s="8">
        <v>50</v>
      </c>
      <c r="I38" s="8" t="s">
        <v>78</v>
      </c>
      <c r="K38" s="25"/>
      <c r="L38" s="41"/>
      <c r="M38" s="16"/>
    </row>
    <row r="39" spans="2:18" ht="15.6" x14ac:dyDescent="0.3">
      <c r="E39" s="18">
        <v>8847</v>
      </c>
      <c r="F39" s="39" t="s">
        <v>182</v>
      </c>
      <c r="G39" s="26" t="s">
        <v>10</v>
      </c>
      <c r="H39" s="8">
        <v>102.85</v>
      </c>
      <c r="I39" s="8" t="s">
        <v>41</v>
      </c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  <x14:dataValidation type="list" allowBlank="1" showInputMessage="1" showErrorMessage="1" xr:uid="{9451563B-D5AF-4395-8014-6EC1B2324706}">
          <x14:formula1>
            <xm:f>resumo_cx!$P$2:$P$18</xm:f>
          </x14:formula1>
          <xm:sqref>L15:L31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U41"/>
  <sheetViews>
    <sheetView showGridLines="0" zoomScale="80" zoomScaleNormal="80" workbookViewId="0">
      <selection activeCell="E13" sqref="E13"/>
    </sheetView>
  </sheetViews>
  <sheetFormatPr defaultColWidth="9.109375" defaultRowHeight="13.2" x14ac:dyDescent="0.25"/>
  <cols>
    <col min="1" max="1" width="3.6640625" style="1" customWidth="1"/>
    <col min="2" max="2" width="29.441406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1" ht="31.2" x14ac:dyDescent="0.6">
      <c r="B1" s="84">
        <f>'06'!B1+1</f>
        <v>45511</v>
      </c>
    </row>
    <row r="2" spans="2:21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1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1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  <c r="U4" s="1">
        <v>0</v>
      </c>
    </row>
    <row r="5" spans="2:21" ht="14.4" x14ac:dyDescent="0.3">
      <c r="B5" s="23" t="s">
        <v>1</v>
      </c>
      <c r="C5" s="24">
        <f>SUMIF(I6:I31,"&gt;0",H6:H31)</f>
        <v>7897.99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1" ht="15.6" x14ac:dyDescent="0.3">
      <c r="B6" s="23" t="s">
        <v>2</v>
      </c>
      <c r="C6" s="24">
        <f>SUM(I6:I41)</f>
        <v>7822.99</v>
      </c>
      <c r="D6" s="2"/>
      <c r="E6" s="18">
        <v>9624</v>
      </c>
      <c r="F6" s="82" t="s">
        <v>185</v>
      </c>
      <c r="G6" s="82" t="s">
        <v>8</v>
      </c>
      <c r="H6" s="83">
        <v>2800</v>
      </c>
      <c r="I6" s="83">
        <v>2800</v>
      </c>
      <c r="J6" s="2"/>
      <c r="K6" s="25"/>
      <c r="L6" s="9"/>
      <c r="M6" s="16"/>
      <c r="R6" s="1">
        <f>IF(vend7[[#This Row],[Nº Venda]]&gt;1,1,0)</f>
        <v>1</v>
      </c>
    </row>
    <row r="7" spans="2:21" ht="15.6" x14ac:dyDescent="0.3">
      <c r="B7" s="23" t="s">
        <v>3</v>
      </c>
      <c r="C7" s="24">
        <f>SUM(M6:M11)</f>
        <v>0</v>
      </c>
      <c r="D7" s="2"/>
      <c r="E7" s="18">
        <v>9625</v>
      </c>
      <c r="F7" s="48" t="s">
        <v>186</v>
      </c>
      <c r="G7" s="48" t="s">
        <v>10</v>
      </c>
      <c r="H7" s="47">
        <v>749</v>
      </c>
      <c r="I7" s="47">
        <v>200</v>
      </c>
      <c r="J7" s="2"/>
      <c r="K7" s="25"/>
      <c r="L7" s="9"/>
      <c r="M7" s="16"/>
      <c r="R7" s="1">
        <f>IF(vend7[[#This Row],[Nº Venda]]&gt;1,1,0)</f>
        <v>1</v>
      </c>
    </row>
    <row r="8" spans="2:21" ht="15.6" x14ac:dyDescent="0.3">
      <c r="B8" s="28" t="s">
        <v>21</v>
      </c>
      <c r="C8" s="29">
        <f>SUM(C6:C7)</f>
        <v>7822.99</v>
      </c>
      <c r="D8" s="2"/>
      <c r="E8" s="18">
        <v>9626</v>
      </c>
      <c r="F8" s="25" t="s">
        <v>186</v>
      </c>
      <c r="G8" s="26" t="s">
        <v>10</v>
      </c>
      <c r="H8" s="8">
        <v>749</v>
      </c>
      <c r="I8" s="8">
        <v>200</v>
      </c>
      <c r="J8" s="2"/>
      <c r="K8" s="25"/>
      <c r="L8" s="9"/>
      <c r="M8" s="16"/>
      <c r="R8" s="1">
        <f>IF(vend7[[#This Row],[Nº Venda]]&gt;1,1,0)</f>
        <v>1</v>
      </c>
    </row>
    <row r="9" spans="2:21" ht="15.6" x14ac:dyDescent="0.3">
      <c r="B9" s="2"/>
      <c r="C9" s="2"/>
      <c r="D9" s="2"/>
      <c r="E9" s="18">
        <v>9627</v>
      </c>
      <c r="F9" s="25" t="s">
        <v>186</v>
      </c>
      <c r="G9" s="26" t="s">
        <v>50</v>
      </c>
      <c r="H9" s="8"/>
      <c r="I9" s="8"/>
      <c r="J9" s="2"/>
      <c r="K9" s="25"/>
      <c r="L9" s="9"/>
      <c r="M9" s="16"/>
      <c r="R9" s="1">
        <f>IF(vend7[[#This Row],[Nº Venda]]&gt;1,1,0)</f>
        <v>1</v>
      </c>
    </row>
    <row r="10" spans="2:21" ht="15.6" x14ac:dyDescent="0.3">
      <c r="B10" s="103" t="s">
        <v>5</v>
      </c>
      <c r="C10" s="103"/>
      <c r="D10" s="2"/>
      <c r="E10" s="18">
        <v>9628</v>
      </c>
      <c r="F10" s="25" t="s">
        <v>187</v>
      </c>
      <c r="G10" s="26" t="s">
        <v>8</v>
      </c>
      <c r="H10" s="8">
        <v>299.99</v>
      </c>
      <c r="I10" s="8">
        <v>299.99</v>
      </c>
      <c r="J10" s="2"/>
      <c r="K10" s="25"/>
      <c r="L10" s="9"/>
      <c r="M10" s="16"/>
      <c r="R10" s="1">
        <f>IF(vend7[[#This Row],[Nº Venda]]&gt;1,1,0)</f>
        <v>1</v>
      </c>
    </row>
    <row r="11" spans="2:21" ht="15.6" x14ac:dyDescent="0.3">
      <c r="B11" s="30" t="s">
        <v>6</v>
      </c>
      <c r="C11" s="31">
        <f>(SUMIF($G$2:$G$31,B11,$I$2:$I$31))+(SUMIF($G$35:$G$41,B11,$H$35:$H$41))</f>
        <v>100</v>
      </c>
      <c r="D11" s="2"/>
      <c r="E11" s="18">
        <v>9629</v>
      </c>
      <c r="F11" s="25" t="s">
        <v>188</v>
      </c>
      <c r="G11" s="26" t="s">
        <v>7</v>
      </c>
      <c r="H11" s="8">
        <v>1650</v>
      </c>
      <c r="I11" s="8">
        <v>1000</v>
      </c>
      <c r="J11" s="2"/>
      <c r="K11" s="27"/>
      <c r="L11" s="9"/>
      <c r="M11" s="16"/>
      <c r="O11" s="1">
        <f>IF(C16=0,0,1)</f>
        <v>1</v>
      </c>
      <c r="R11" s="1">
        <f>IF(vend7[[#This Row],[Nº Venda]]&gt;1,1,0)</f>
        <v>1</v>
      </c>
    </row>
    <row r="12" spans="2:21" ht="15.6" x14ac:dyDescent="0.3">
      <c r="B12" s="30" t="s">
        <v>7</v>
      </c>
      <c r="C12" s="31">
        <f t="shared" ref="C12:C15" si="0">(SUMIF($G$2:$G$31,B12,$I$2:$I$31))+(SUMIF($G$35:$G$41,B12,$H$35:$H$41))</f>
        <v>1290</v>
      </c>
      <c r="D12" s="2"/>
      <c r="E12" s="18">
        <v>9629</v>
      </c>
      <c r="F12" s="25" t="s">
        <v>188</v>
      </c>
      <c r="G12" s="26" t="s">
        <v>8</v>
      </c>
      <c r="H12" s="8"/>
      <c r="I12" s="8">
        <v>650</v>
      </c>
      <c r="J12" s="2"/>
      <c r="R12" s="1">
        <f>IF(vend7[[#This Row],[Nº Venda]]&gt;1,1,0)</f>
        <v>1</v>
      </c>
    </row>
    <row r="13" spans="2:21" ht="15.6" x14ac:dyDescent="0.3">
      <c r="B13" s="30" t="s">
        <v>8</v>
      </c>
      <c r="C13" s="31">
        <f t="shared" si="0"/>
        <v>6132.99</v>
      </c>
      <c r="D13" s="2"/>
      <c r="E13" s="18">
        <v>9630</v>
      </c>
      <c r="F13" s="25" t="s">
        <v>188</v>
      </c>
      <c r="G13" s="26" t="s">
        <v>8</v>
      </c>
      <c r="H13" s="8">
        <v>1650</v>
      </c>
      <c r="I13" s="8">
        <v>1650</v>
      </c>
      <c r="J13" s="2"/>
      <c r="K13" s="105" t="s">
        <v>22</v>
      </c>
      <c r="L13" s="106"/>
      <c r="M13" s="107"/>
      <c r="R13" s="1">
        <f>IF(vend7[[#This Row],[Nº Venda]]&gt;1,1,0)</f>
        <v>1</v>
      </c>
    </row>
    <row r="14" spans="2:21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21" ht="15.6" x14ac:dyDescent="0.3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49">
        <v>9534</v>
      </c>
      <c r="L15" s="9" t="s">
        <v>134</v>
      </c>
      <c r="M15" s="50" t="s">
        <v>141</v>
      </c>
      <c r="R15" s="1">
        <f>IF(vend7[[#This Row],[Nº Venda]]&gt;1,1,0)</f>
        <v>0</v>
      </c>
    </row>
    <row r="16" spans="2:21" ht="15.6" x14ac:dyDescent="0.3">
      <c r="B16" s="28" t="s">
        <v>11</v>
      </c>
      <c r="C16" s="32">
        <f>SUM(C11:C15)</f>
        <v>7922.99</v>
      </c>
      <c r="D16" s="2"/>
      <c r="E16" s="18"/>
      <c r="F16" s="25"/>
      <c r="G16" s="26"/>
      <c r="H16" s="8"/>
      <c r="I16" s="8"/>
      <c r="J16" s="2"/>
      <c r="K16" s="45">
        <v>9573</v>
      </c>
      <c r="L16" s="9" t="s">
        <v>130</v>
      </c>
      <c r="M16" s="16" t="s">
        <v>141</v>
      </c>
      <c r="R16" s="1">
        <f>IF(vend7[[#This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45">
        <v>9471</v>
      </c>
      <c r="L17" s="9" t="s">
        <v>136</v>
      </c>
      <c r="M17" s="16" t="s">
        <v>189</v>
      </c>
      <c r="R17" s="1">
        <f>IF(vend7[[#This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45">
        <v>9628</v>
      </c>
      <c r="L18" s="9" t="s">
        <v>130</v>
      </c>
      <c r="M18" s="16" t="s">
        <v>141</v>
      </c>
      <c r="R18" s="1">
        <f>IF(vend7[[#This Row],[Nº Venda]]&gt;1,1,0)</f>
        <v>0</v>
      </c>
    </row>
    <row r="19" spans="2:18" ht="15.6" x14ac:dyDescent="0.3">
      <c r="B19" s="30">
        <f>COUNT(entr_carn7[OS])</f>
        <v>1</v>
      </c>
      <c r="C19" s="31">
        <f>SUM(entr_carn7[Valor Total])</f>
        <v>599</v>
      </c>
      <c r="D19" s="2"/>
      <c r="E19" s="18"/>
      <c r="F19" s="25"/>
      <c r="G19" s="26"/>
      <c r="H19" s="8"/>
      <c r="I19" s="8"/>
      <c r="J19" s="2"/>
      <c r="K19" s="45">
        <v>9546</v>
      </c>
      <c r="L19" s="9" t="s">
        <v>136</v>
      </c>
      <c r="M19" s="16" t="s">
        <v>141</v>
      </c>
      <c r="R19" s="1">
        <f>IF(vend7[[#This Row],[Nº Venda]]&gt;1,1,0)</f>
        <v>0</v>
      </c>
    </row>
    <row r="20" spans="2:18" ht="15.6" x14ac:dyDescent="0.3">
      <c r="B20" s="28" t="s">
        <v>11</v>
      </c>
      <c r="C20" s="32">
        <f>SUM(C19:C19)</f>
        <v>599</v>
      </c>
      <c r="D20" s="2"/>
      <c r="E20" s="18"/>
      <c r="F20" s="26"/>
      <c r="G20" s="26"/>
      <c r="H20" s="8"/>
      <c r="I20" s="8"/>
      <c r="J20" s="2"/>
      <c r="K20" s="45">
        <v>9563</v>
      </c>
      <c r="L20" s="9" t="s">
        <v>130</v>
      </c>
      <c r="M20" s="16" t="s">
        <v>141</v>
      </c>
      <c r="R20" s="1">
        <f>IF(vend7[[#This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45">
        <v>9617</v>
      </c>
      <c r="L21" s="9" t="s">
        <v>134</v>
      </c>
      <c r="M21" s="16" t="s">
        <v>141</v>
      </c>
    </row>
    <row r="22" spans="2:18" ht="15.6" x14ac:dyDescent="0.3">
      <c r="B22" s="28" t="s">
        <v>26</v>
      </c>
      <c r="C22" s="32">
        <f>C5</f>
        <v>7897.99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4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4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6" x14ac:dyDescent="0.3">
      <c r="B26" s="2"/>
      <c r="C26" s="2"/>
      <c r="D26" s="2"/>
      <c r="E26" s="73">
        <v>9534</v>
      </c>
      <c r="F26" s="62" t="s">
        <v>190</v>
      </c>
      <c r="G26" s="74" t="s">
        <v>7</v>
      </c>
      <c r="H26" s="75"/>
      <c r="I26" s="75">
        <v>190</v>
      </c>
      <c r="J26" s="2"/>
      <c r="K26" s="45"/>
      <c r="L26" s="9"/>
      <c r="M26" s="16"/>
    </row>
    <row r="27" spans="2:18" ht="15.6" x14ac:dyDescent="0.3">
      <c r="B27" s="2"/>
      <c r="C27" s="2"/>
      <c r="D27" s="2"/>
      <c r="E27" s="18">
        <v>9534</v>
      </c>
      <c r="F27" s="25" t="s">
        <v>190</v>
      </c>
      <c r="G27" s="26" t="s">
        <v>8</v>
      </c>
      <c r="H27" s="8"/>
      <c r="I27" s="8">
        <v>100</v>
      </c>
      <c r="J27" s="2"/>
      <c r="K27" s="45"/>
      <c r="L27" s="9"/>
      <c r="M27" s="16"/>
    </row>
    <row r="28" spans="2:18" ht="15.6" x14ac:dyDescent="0.3">
      <c r="B28" s="2"/>
      <c r="C28" s="2"/>
      <c r="D28" s="2"/>
      <c r="E28" s="18">
        <v>9471</v>
      </c>
      <c r="F28" s="25" t="s">
        <v>191</v>
      </c>
      <c r="G28" s="26" t="s">
        <v>7</v>
      </c>
      <c r="H28" s="8"/>
      <c r="I28" s="8">
        <v>100</v>
      </c>
      <c r="J28" s="2"/>
      <c r="K28" s="45"/>
      <c r="L28" s="9"/>
      <c r="M28" s="16"/>
    </row>
    <row r="29" spans="2:18" ht="15.6" x14ac:dyDescent="0.3">
      <c r="B29" s="2"/>
      <c r="C29" s="2"/>
      <c r="D29" s="2"/>
      <c r="E29" s="18">
        <v>9546</v>
      </c>
      <c r="F29" s="25" t="s">
        <v>192</v>
      </c>
      <c r="G29" s="26" t="s">
        <v>8</v>
      </c>
      <c r="H29" s="8"/>
      <c r="I29" s="8">
        <v>633</v>
      </c>
      <c r="J29" s="2"/>
      <c r="K29" s="4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8781</v>
      </c>
      <c r="F35" s="25" t="s">
        <v>193</v>
      </c>
      <c r="G35" s="26" t="s">
        <v>6</v>
      </c>
      <c r="H35" s="8">
        <v>100</v>
      </c>
      <c r="I35" s="8" t="s">
        <v>59</v>
      </c>
      <c r="K35" s="25">
        <v>9471</v>
      </c>
      <c r="L35" s="41">
        <v>5</v>
      </c>
      <c r="M35" s="16">
        <v>599</v>
      </c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  <x14:dataValidation type="list" allowBlank="1" showInputMessage="1" showErrorMessage="1" xr:uid="{2FAD2AB6-F08E-4D36-B9BF-067B2153EACE}">
          <x14:formula1>
            <xm:f>resumo_cx!$P$2:$P$18</xm:f>
          </x14:formula1>
          <xm:sqref>L15:L31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2"/>
  <sheetViews>
    <sheetView showGridLines="0" topLeftCell="A4" zoomScale="80" zoomScaleNormal="80" workbookViewId="0">
      <selection activeCell="E9" sqref="E9"/>
    </sheetView>
  </sheetViews>
  <sheetFormatPr defaultColWidth="9.109375" defaultRowHeight="13.2" x14ac:dyDescent="0.25"/>
  <cols>
    <col min="1" max="1" width="3.6640625" style="1" customWidth="1"/>
    <col min="2" max="2" width="29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0.664062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4">
        <f>'07'!B1+1</f>
        <v>45512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1687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808</v>
      </c>
      <c r="D6" s="2"/>
      <c r="E6" s="85">
        <v>9631</v>
      </c>
      <c r="F6" s="8" t="s">
        <v>195</v>
      </c>
      <c r="G6" s="8" t="s">
        <v>10</v>
      </c>
      <c r="H6" s="8">
        <v>499</v>
      </c>
      <c r="I6" s="8">
        <v>200</v>
      </c>
      <c r="J6" s="2"/>
      <c r="K6" s="25"/>
      <c r="L6" s="9"/>
      <c r="M6" s="16"/>
      <c r="R6" s="1">
        <f>IF(vend8[[#This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85">
        <v>9632</v>
      </c>
      <c r="F7" s="8" t="s">
        <v>196</v>
      </c>
      <c r="G7" s="8" t="s">
        <v>8</v>
      </c>
      <c r="H7" s="8">
        <v>99</v>
      </c>
      <c r="I7" s="8">
        <v>99</v>
      </c>
      <c r="J7" s="2"/>
      <c r="K7" s="25"/>
      <c r="L7" s="9"/>
      <c r="M7" s="16"/>
      <c r="R7" s="1">
        <f>IF(vend8[[#This Row],[Nº Venda]]&gt;1,1,0)</f>
        <v>1</v>
      </c>
    </row>
    <row r="8" spans="2:18" ht="15.6" x14ac:dyDescent="0.3">
      <c r="B8" s="28" t="s">
        <v>21</v>
      </c>
      <c r="C8" s="29">
        <f>SUM(C6:C7)</f>
        <v>808</v>
      </c>
      <c r="D8" s="2"/>
      <c r="E8" s="85">
        <v>9633</v>
      </c>
      <c r="F8" s="8" t="s">
        <v>197</v>
      </c>
      <c r="G8" s="8" t="s">
        <v>6</v>
      </c>
      <c r="H8" s="8">
        <v>790</v>
      </c>
      <c r="I8" s="8">
        <v>10</v>
      </c>
      <c r="J8" s="2"/>
      <c r="K8" s="25"/>
      <c r="L8" s="9"/>
      <c r="M8" s="16"/>
      <c r="R8" s="1">
        <f>IF(vend8[[#This Row],[Nº Venda]]&gt;1,1,0)</f>
        <v>1</v>
      </c>
    </row>
    <row r="9" spans="2:18" ht="15.6" x14ac:dyDescent="0.3">
      <c r="B9" s="2"/>
      <c r="C9" s="2"/>
      <c r="D9" s="2"/>
      <c r="E9" s="85">
        <v>9634</v>
      </c>
      <c r="F9" s="8" t="s">
        <v>200</v>
      </c>
      <c r="G9" s="8" t="s">
        <v>8</v>
      </c>
      <c r="H9" s="8">
        <v>299</v>
      </c>
      <c r="I9" s="8">
        <v>299</v>
      </c>
      <c r="J9" s="2"/>
      <c r="K9" s="25"/>
      <c r="L9" s="9"/>
      <c r="M9" s="16"/>
      <c r="R9" s="1">
        <f>IF(vend8[[#This Row],[Nº Venda]]&gt;1,1,0)</f>
        <v>1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6" x14ac:dyDescent="0.3">
      <c r="B11" s="30" t="s">
        <v>6</v>
      </c>
      <c r="C11" s="81">
        <f>(SUMIF($G$2:$G$31,B11,$I$2:$I$31))+(SUMIF($G$35:$G$42,B11,$H$35:$H$42))</f>
        <v>10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6" x14ac:dyDescent="0.3">
      <c r="B12" s="30" t="s">
        <v>7</v>
      </c>
      <c r="C12" s="81">
        <f>(SUMIF($G$2:$G$31,B12,$I$2:$I$31))+(SUMIF($G$35:$G$42,B12,$H$35:$H$42))</f>
        <v>200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6" x14ac:dyDescent="0.3">
      <c r="B13" s="30" t="s">
        <v>8</v>
      </c>
      <c r="C13" s="81">
        <f>(SUMIF($G$2:$G$31,B13,$I$2:$I$31))+(SUMIF($G$35:$G$42,B13,$H$35:$H$42))</f>
        <v>398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IF(vend8[[#This Row],[Nº Venda]]&gt;1,1,0)</f>
        <v>0</v>
      </c>
    </row>
    <row r="14" spans="2:18" ht="15.6" x14ac:dyDescent="0.3">
      <c r="B14" s="30" t="s">
        <v>9</v>
      </c>
      <c r="C14" s="81">
        <f>(SUMIF($G$2:$G$31,B14,$I$2:$I$31))+(SUMIF($G$35:$G$42,B14,$H$35:$H$42))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6" x14ac:dyDescent="0.3">
      <c r="B15" s="30" t="s">
        <v>10</v>
      </c>
      <c r="C15" s="81">
        <f>(SUMIF($G$2:$G$31,B15,$I$2:$I$31))+(SUMIF($G$35:$G$42,B15,$H$35:$H$42))</f>
        <v>610.12</v>
      </c>
      <c r="D15" s="2"/>
      <c r="E15" s="18"/>
      <c r="F15" s="25"/>
      <c r="G15" s="26"/>
      <c r="H15" s="8"/>
      <c r="I15" s="8"/>
      <c r="J15" s="2"/>
      <c r="K15" s="25">
        <v>9584</v>
      </c>
      <c r="L15" s="9" t="s">
        <v>134</v>
      </c>
      <c r="M15" s="16" t="s">
        <v>141</v>
      </c>
      <c r="R15" s="1">
        <f>IF(vend8[[#This Row],[Nº Venda]]&gt;1,1,0)</f>
        <v>0</v>
      </c>
    </row>
    <row r="16" spans="2:18" ht="15.6" x14ac:dyDescent="0.3">
      <c r="B16" s="28" t="s">
        <v>11</v>
      </c>
      <c r="C16" s="32">
        <f>SUM(C11:C15)</f>
        <v>1218.1199999999999</v>
      </c>
      <c r="D16" s="2"/>
      <c r="E16" s="18"/>
      <c r="F16" s="25"/>
      <c r="G16" s="26"/>
      <c r="H16" s="8"/>
      <c r="I16" s="8"/>
      <c r="J16" s="2"/>
      <c r="K16" s="25">
        <v>9451</v>
      </c>
      <c r="L16" s="9" t="s">
        <v>134</v>
      </c>
      <c r="M16" s="16" t="s">
        <v>189</v>
      </c>
      <c r="R16" s="1">
        <f>IF(vend8[[#This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9517</v>
      </c>
      <c r="L17" s="9" t="s">
        <v>134</v>
      </c>
      <c r="M17" s="16" t="s">
        <v>189</v>
      </c>
      <c r="R17" s="1">
        <f>IF(vend8[[#This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9616</v>
      </c>
      <c r="L18" s="9" t="s">
        <v>134</v>
      </c>
      <c r="M18" s="16" t="s">
        <v>141</v>
      </c>
      <c r="R18" s="1">
        <f>IF(vend8[[#This Row],[Nº Venda]]&gt;1,1,0)</f>
        <v>0</v>
      </c>
    </row>
    <row r="19" spans="2:18" ht="15.6" x14ac:dyDescent="0.3">
      <c r="B19" s="30">
        <f>COUNT(entr_carn8[OS])</f>
        <v>2</v>
      </c>
      <c r="C19" s="31">
        <f>SUM(entr_carn8[Valor Total])</f>
        <v>1170</v>
      </c>
      <c r="D19" s="2"/>
      <c r="E19" s="18"/>
      <c r="F19" s="25"/>
      <c r="G19" s="26"/>
      <c r="H19" s="8"/>
      <c r="I19" s="8"/>
      <c r="J19" s="2"/>
      <c r="K19" s="25">
        <v>9585</v>
      </c>
      <c r="L19" s="9" t="s">
        <v>130</v>
      </c>
      <c r="M19" s="16" t="s">
        <v>141</v>
      </c>
      <c r="R19" s="1">
        <f>IF(vend8[[#This Row],[Nº Venda]]&gt;1,1,0)</f>
        <v>0</v>
      </c>
    </row>
    <row r="20" spans="2:18" ht="15.6" x14ac:dyDescent="0.3">
      <c r="B20" s="28" t="s">
        <v>11</v>
      </c>
      <c r="C20" s="32">
        <f>SUM(C19:C19)</f>
        <v>1170</v>
      </c>
      <c r="D20" s="2"/>
      <c r="E20" s="18"/>
      <c r="F20" s="26"/>
      <c r="G20" s="26"/>
      <c r="H20" s="8"/>
      <c r="I20" s="8"/>
      <c r="J20" s="2"/>
      <c r="K20" s="25">
        <v>9432</v>
      </c>
      <c r="L20" s="9" t="s">
        <v>130</v>
      </c>
      <c r="M20" s="16" t="s">
        <v>141</v>
      </c>
      <c r="R20" s="1">
        <f>IF(vend8[[#This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1687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86">
        <v>9517</v>
      </c>
      <c r="F26" s="87" t="s">
        <v>194</v>
      </c>
      <c r="G26" s="88" t="s">
        <v>7</v>
      </c>
      <c r="H26" s="89"/>
      <c r="I26" s="89">
        <v>200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4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9303</v>
      </c>
      <c r="F35" s="25" t="s">
        <v>198</v>
      </c>
      <c r="G35" s="26" t="s">
        <v>10</v>
      </c>
      <c r="H35" s="8">
        <v>100</v>
      </c>
      <c r="I35" s="8" t="s">
        <v>52</v>
      </c>
      <c r="K35" s="25">
        <v>9451</v>
      </c>
      <c r="L35" s="41">
        <v>6</v>
      </c>
      <c r="M35" s="16">
        <v>400</v>
      </c>
    </row>
    <row r="36" spans="2:18" ht="15.6" x14ac:dyDescent="0.3">
      <c r="E36" s="18">
        <v>9303</v>
      </c>
      <c r="F36" s="25" t="s">
        <v>198</v>
      </c>
      <c r="G36" s="26" t="s">
        <v>10</v>
      </c>
      <c r="H36" s="8">
        <v>100</v>
      </c>
      <c r="I36" s="8" t="s">
        <v>76</v>
      </c>
      <c r="K36" s="25">
        <v>9517</v>
      </c>
      <c r="L36" s="41">
        <v>6</v>
      </c>
      <c r="M36" s="16">
        <v>770</v>
      </c>
    </row>
    <row r="37" spans="2:18" ht="15.6" x14ac:dyDescent="0.3">
      <c r="E37" s="18">
        <v>9303</v>
      </c>
      <c r="F37" s="25" t="s">
        <v>198</v>
      </c>
      <c r="G37" s="26" t="s">
        <v>10</v>
      </c>
      <c r="H37" s="8">
        <v>100</v>
      </c>
      <c r="I37" s="8" t="s">
        <v>77</v>
      </c>
      <c r="K37" s="25"/>
      <c r="L37" s="41"/>
      <c r="M37" s="16"/>
    </row>
    <row r="38" spans="2:18" ht="15.6" x14ac:dyDescent="0.3">
      <c r="E38" s="18">
        <v>9375</v>
      </c>
      <c r="F38" s="25" t="s">
        <v>199</v>
      </c>
      <c r="G38" s="26" t="s">
        <v>10</v>
      </c>
      <c r="H38" s="8">
        <v>110.12</v>
      </c>
      <c r="I38" s="8" t="s">
        <v>82</v>
      </c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6" x14ac:dyDescent="0.3">
      <c r="E41" s="35"/>
      <c r="F41" s="39"/>
      <c r="G41" s="26"/>
      <c r="H41" s="8"/>
      <c r="I41" s="8"/>
      <c r="K41" s="44"/>
      <c r="L41" s="41"/>
      <c r="M41" s="40"/>
    </row>
    <row r="42" spans="2:18" ht="15.6" x14ac:dyDescent="0.3">
      <c r="E42" s="35"/>
      <c r="F42" s="78"/>
      <c r="G42" s="79"/>
      <c r="H42" s="80"/>
      <c r="I42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DEDD930-861F-47CC-BD5B-46BF4A7AEB54}">
          <x14:formula1>
            <xm:f>base!$A$2:$A$6</xm:f>
          </x14:formula1>
          <xm:sqref>G26:G31 G35:G42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I35:I42</xm:sqref>
        </x14:dataValidation>
        <x14:dataValidation type="list" allowBlank="1" showInputMessage="1" showErrorMessage="1" xr:uid="{B4D14BD6-49E9-4DC2-A020-94D43844C229}">
          <x14:formula1>
            <xm:f>resumo_cx!$P$2:$P$18</xm:f>
          </x14:formula1>
          <xm:sqref>L15:L31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V41"/>
  <sheetViews>
    <sheetView showGridLines="0" zoomScale="80" zoomScaleNormal="80" workbookViewId="0">
      <selection activeCell="K16" sqref="K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5.33203125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22" ht="27.6" x14ac:dyDescent="0.65">
      <c r="B1" s="57">
        <f>'08'!B1+1</f>
        <v>45513</v>
      </c>
    </row>
    <row r="2" spans="2:22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22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22" ht="14.4" x14ac:dyDescent="0.3">
      <c r="B5" s="23" t="s">
        <v>1</v>
      </c>
      <c r="C5" s="24">
        <f>SUMIF(I6:I31,"&gt;0",H6:H31)</f>
        <v>3074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.6" x14ac:dyDescent="0.3">
      <c r="B6" s="23" t="s">
        <v>2</v>
      </c>
      <c r="C6" s="24">
        <f>SUM(I6:I41)</f>
        <v>1180</v>
      </c>
      <c r="D6" s="2"/>
      <c r="E6" s="18">
        <v>9635</v>
      </c>
      <c r="F6" s="25" t="s">
        <v>167</v>
      </c>
      <c r="G6" s="46" t="s">
        <v>6</v>
      </c>
      <c r="H6" s="8">
        <v>100</v>
      </c>
      <c r="I6" s="8">
        <v>70</v>
      </c>
      <c r="J6" s="2"/>
      <c r="K6" s="25"/>
      <c r="L6" s="9"/>
      <c r="M6" s="16"/>
      <c r="R6" s="1">
        <f>IF(vend9[[#This Row],[Nº Venda]]&gt;1,1,0)</f>
        <v>1</v>
      </c>
    </row>
    <row r="7" spans="2:22" ht="15.6" x14ac:dyDescent="0.3">
      <c r="B7" s="23" t="s">
        <v>3</v>
      </c>
      <c r="C7" s="24">
        <f>SUM(M6:M11)</f>
        <v>0</v>
      </c>
      <c r="D7" s="2"/>
      <c r="E7" s="18">
        <v>9636</v>
      </c>
      <c r="F7" s="25" t="s">
        <v>204</v>
      </c>
      <c r="G7" s="26" t="s">
        <v>6</v>
      </c>
      <c r="H7" s="8">
        <v>1300</v>
      </c>
      <c r="I7" s="8">
        <v>10</v>
      </c>
      <c r="J7" s="2"/>
      <c r="K7" s="25"/>
      <c r="L7" s="9"/>
      <c r="M7" s="16"/>
      <c r="R7" s="1">
        <f>IF(vend9[[#This Row],[Nº Venda]]&gt;1,1,0)</f>
        <v>1</v>
      </c>
    </row>
    <row r="8" spans="2:22" ht="15.6" x14ac:dyDescent="0.3">
      <c r="B8" s="28" t="s">
        <v>21</v>
      </c>
      <c r="C8" s="29">
        <f>SUM(C6:C7)</f>
        <v>1180</v>
      </c>
      <c r="D8" s="2"/>
      <c r="E8" s="18">
        <v>9637</v>
      </c>
      <c r="F8" s="25" t="s">
        <v>203</v>
      </c>
      <c r="G8" s="26" t="s">
        <v>40</v>
      </c>
      <c r="H8" s="8"/>
      <c r="I8" s="8"/>
      <c r="J8" s="2"/>
      <c r="K8" s="25"/>
      <c r="L8" s="9"/>
      <c r="M8" s="16"/>
      <c r="R8" s="1">
        <f>IF(vend9[[#This Row],[Nº Venda]]&gt;1,1,0)</f>
        <v>1</v>
      </c>
    </row>
    <row r="9" spans="2:22" ht="15.6" x14ac:dyDescent="0.3">
      <c r="B9" s="2"/>
      <c r="C9" s="2"/>
      <c r="D9" s="2"/>
      <c r="E9" s="18">
        <v>9638</v>
      </c>
      <c r="F9" s="25" t="s">
        <v>202</v>
      </c>
      <c r="G9" s="26" t="s">
        <v>7</v>
      </c>
      <c r="H9" s="8">
        <v>1124</v>
      </c>
      <c r="I9" s="8">
        <v>50</v>
      </c>
      <c r="J9" s="2"/>
      <c r="K9" s="25"/>
      <c r="L9" s="9"/>
      <c r="M9" s="16"/>
      <c r="R9" s="1">
        <f>IF(vend9[[#This Row],[Nº Venda]]&gt;1,1,0)</f>
        <v>1</v>
      </c>
    </row>
    <row r="10" spans="2:22" ht="15.6" x14ac:dyDescent="0.3">
      <c r="B10" s="103" t="s">
        <v>5</v>
      </c>
      <c r="C10" s="103"/>
      <c r="D10" s="2"/>
      <c r="E10" s="18">
        <v>9639</v>
      </c>
      <c r="F10" s="25" t="s">
        <v>201</v>
      </c>
      <c r="G10" s="46" t="s">
        <v>8</v>
      </c>
      <c r="H10" s="8">
        <v>550</v>
      </c>
      <c r="I10" s="8">
        <v>550</v>
      </c>
      <c r="J10" s="2"/>
      <c r="K10" s="25"/>
      <c r="L10" s="9"/>
      <c r="M10" s="16"/>
      <c r="R10" s="1">
        <f>IF(vend9[[#This Row],[Nº Venda]]&gt;1,1,0)</f>
        <v>1</v>
      </c>
    </row>
    <row r="11" spans="2:22" ht="15.6" x14ac:dyDescent="0.3">
      <c r="B11" s="30" t="s">
        <v>6</v>
      </c>
      <c r="C11" s="31">
        <f>(SUMIF($G$2:$G$31,B11,$I$2:$I$31))+(SUMIF($G$35:$G$41,B11,$H$35:$H$41))</f>
        <v>230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22" ht="15.6" x14ac:dyDescent="0.3">
      <c r="B12" s="30" t="s">
        <v>7</v>
      </c>
      <c r="C12" s="31">
        <f>(SUMIF($G$2:$G$31,B12,$I$2:$I$31))+(SUMIF($G$35:$G$41,B12,$H$35:$H$41))</f>
        <v>550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  <c r="V12" s="1">
        <v>0</v>
      </c>
    </row>
    <row r="13" spans="2:22" ht="15.6" x14ac:dyDescent="0.3">
      <c r="B13" s="30" t="s">
        <v>8</v>
      </c>
      <c r="C13" s="31">
        <f>(SUMIF($G$2:$G$31,B13,$I$2:$I$31))+(SUMIF($G$35:$G$41,B13,$H$35:$H$41))</f>
        <v>550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IF(vend9[[#This Row],[Nº Venda]]&gt;1,1,0)</f>
        <v>0</v>
      </c>
    </row>
    <row r="14" spans="2:22" ht="15.6" x14ac:dyDescent="0.3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22" ht="15.6" x14ac:dyDescent="0.3">
      <c r="B15" s="30" t="s">
        <v>10</v>
      </c>
      <c r="C15" s="31">
        <f>(SUMIF($G$2:$G$31,B15,$I$2:$I$31))+(SUMIF($G$35:$G$41,B15,$H$35:$H$41))</f>
        <v>319.82</v>
      </c>
      <c r="D15" s="2"/>
      <c r="E15" s="18"/>
      <c r="F15" s="25"/>
      <c r="G15" s="26"/>
      <c r="H15" s="8"/>
      <c r="I15" s="8"/>
      <c r="J15" s="2"/>
      <c r="K15" s="25">
        <v>9326</v>
      </c>
      <c r="L15" s="9" t="s">
        <v>134</v>
      </c>
      <c r="M15" s="16" t="s">
        <v>141</v>
      </c>
      <c r="R15" s="1">
        <f>IF(vend9[[#This Row],[Nº Venda]]&gt;1,1,0)</f>
        <v>0</v>
      </c>
    </row>
    <row r="16" spans="2:22" ht="15.6" x14ac:dyDescent="0.3">
      <c r="B16" s="28" t="s">
        <v>11</v>
      </c>
      <c r="C16" s="32">
        <f>SUM(C11:C15)</f>
        <v>1649.82</v>
      </c>
      <c r="D16" s="2"/>
      <c r="E16" s="18"/>
      <c r="F16" s="25"/>
      <c r="G16" s="26"/>
      <c r="H16" s="8"/>
      <c r="I16" s="8"/>
      <c r="J16" s="2"/>
      <c r="K16" s="25">
        <v>9634</v>
      </c>
      <c r="L16" s="9" t="s">
        <v>130</v>
      </c>
      <c r="M16" s="16" t="s">
        <v>141</v>
      </c>
      <c r="R16" s="1">
        <f>IF(vend9[[#This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9603</v>
      </c>
      <c r="L17" s="9" t="s">
        <v>130</v>
      </c>
      <c r="M17" s="16" t="s">
        <v>141</v>
      </c>
      <c r="R17" s="1">
        <f>IF(vend9[[#This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9604</v>
      </c>
      <c r="L18" s="9" t="s">
        <v>130</v>
      </c>
      <c r="M18" s="16" t="s">
        <v>141</v>
      </c>
      <c r="R18" s="1">
        <f>IF(vend9[[#This Row],[Nº Venda]]&gt;1,1,0)</f>
        <v>0</v>
      </c>
    </row>
    <row r="19" spans="2:18" ht="15.6" x14ac:dyDescent="0.3">
      <c r="B19" s="30">
        <f>COUNT(entr_carn9[OS])</f>
        <v>1</v>
      </c>
      <c r="C19" s="31">
        <f>SUM(entr_carn9[Valor Total])</f>
        <v>360</v>
      </c>
      <c r="D19" s="2"/>
      <c r="E19" s="18"/>
      <c r="F19" s="25"/>
      <c r="G19" s="26"/>
      <c r="H19" s="8"/>
      <c r="I19" s="8"/>
      <c r="J19" s="2"/>
      <c r="K19" s="25">
        <v>9567</v>
      </c>
      <c r="L19" s="9" t="s">
        <v>134</v>
      </c>
      <c r="M19" s="16" t="s">
        <v>141</v>
      </c>
      <c r="R19" s="1">
        <f>IF(vend9[[#This Row],[Nº Venda]]&gt;1,1,0)</f>
        <v>0</v>
      </c>
    </row>
    <row r="20" spans="2:18" ht="15.6" x14ac:dyDescent="0.3">
      <c r="B20" s="28" t="s">
        <v>11</v>
      </c>
      <c r="C20" s="32">
        <f>SUM(C19:C19)</f>
        <v>360</v>
      </c>
      <c r="D20" s="2"/>
      <c r="E20" s="18"/>
      <c r="F20" s="25"/>
      <c r="G20" s="26"/>
      <c r="H20" s="8"/>
      <c r="I20" s="8"/>
      <c r="J20" s="2"/>
      <c r="K20" s="25">
        <v>9583</v>
      </c>
      <c r="L20" s="9" t="s">
        <v>130</v>
      </c>
      <c r="M20" s="16" t="s">
        <v>141</v>
      </c>
      <c r="R20" s="1">
        <f>IF(vend9[[#This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>
        <v>9621</v>
      </c>
      <c r="L21" s="9" t="s">
        <v>134</v>
      </c>
      <c r="M21" s="16" t="s">
        <v>189</v>
      </c>
    </row>
    <row r="22" spans="2:18" ht="15.6" x14ac:dyDescent="0.3">
      <c r="B22" s="28" t="s">
        <v>26</v>
      </c>
      <c r="C22" s="32">
        <f>C5</f>
        <v>3074</v>
      </c>
      <c r="D22" s="2"/>
      <c r="E22" s="18"/>
      <c r="F22" s="25"/>
      <c r="G22" s="26"/>
      <c r="H22" s="8"/>
      <c r="I22" s="8"/>
      <c r="J22" s="2"/>
      <c r="K22" s="25">
        <v>9348</v>
      </c>
      <c r="L22" s="9" t="s">
        <v>134</v>
      </c>
      <c r="M22" s="16" t="s">
        <v>141</v>
      </c>
    </row>
    <row r="23" spans="2:18" ht="14.4" x14ac:dyDescent="0.3">
      <c r="B23" s="2"/>
      <c r="C23" s="2"/>
      <c r="D23" s="2"/>
      <c r="E23" s="33"/>
      <c r="H23" s="7"/>
      <c r="J23" s="2"/>
      <c r="K23" s="25">
        <v>9632</v>
      </c>
      <c r="L23" s="9" t="s">
        <v>134</v>
      </c>
      <c r="M23" s="16" t="s">
        <v>141</v>
      </c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9348</v>
      </c>
      <c r="F26" s="25" t="s">
        <v>205</v>
      </c>
      <c r="G26" s="46" t="s">
        <v>7</v>
      </c>
      <c r="H26" s="8"/>
      <c r="I26" s="8">
        <v>500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9222</v>
      </c>
      <c r="F35" s="25" t="s">
        <v>206</v>
      </c>
      <c r="G35" s="26" t="s">
        <v>6</v>
      </c>
      <c r="H35" s="8">
        <v>150</v>
      </c>
      <c r="I35" s="8" t="s">
        <v>73</v>
      </c>
      <c r="K35" s="25">
        <v>9621</v>
      </c>
      <c r="L35" s="41">
        <v>6</v>
      </c>
      <c r="M35" s="16">
        <v>360</v>
      </c>
    </row>
    <row r="36" spans="2:18" ht="15.6" x14ac:dyDescent="0.3">
      <c r="E36" s="18">
        <v>9370</v>
      </c>
      <c r="F36" s="25" t="s">
        <v>207</v>
      </c>
      <c r="G36" s="26" t="s">
        <v>10</v>
      </c>
      <c r="H36" s="8">
        <v>108.33</v>
      </c>
      <c r="I36" s="8" t="s">
        <v>42</v>
      </c>
      <c r="K36" s="25"/>
      <c r="L36" s="41"/>
      <c r="M36" s="16"/>
    </row>
    <row r="37" spans="2:18" ht="15.6" x14ac:dyDescent="0.3">
      <c r="E37" s="18">
        <v>8669</v>
      </c>
      <c r="F37" s="25" t="s">
        <v>208</v>
      </c>
      <c r="G37" s="26" t="s">
        <v>10</v>
      </c>
      <c r="H37" s="8">
        <v>106.66</v>
      </c>
      <c r="I37" s="8" t="s">
        <v>59</v>
      </c>
      <c r="K37" s="25"/>
      <c r="L37" s="41"/>
      <c r="M37" s="16"/>
    </row>
    <row r="38" spans="2:18" ht="15.6" x14ac:dyDescent="0.3">
      <c r="E38" s="18">
        <v>9424</v>
      </c>
      <c r="F38" s="25" t="s">
        <v>209</v>
      </c>
      <c r="G38" s="26" t="s">
        <v>10</v>
      </c>
      <c r="H38" s="8">
        <v>104.83</v>
      </c>
      <c r="I38" s="8" t="s">
        <v>42</v>
      </c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G35:G41 G26:G31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  <x14:dataValidation type="list" allowBlank="1" showInputMessage="1" showErrorMessage="1" xr:uid="{CC40C830-BA5E-4A3B-AC03-9D90B3DBE224}">
          <x14:formula1>
            <xm:f>resumo_cx!$P$2:$P$18</xm:f>
          </x14:formula1>
          <xm:sqref>L15:L31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2"/>
  <sheetViews>
    <sheetView showGridLines="0" zoomScale="80" zoomScaleNormal="80" workbookViewId="0">
      <selection activeCell="U38" sqref="U37:U38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32.109375" style="34" bestFit="1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'09'!B1+1</f>
        <v>45514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SUMIF(I6:I32,"&gt;0",H6:H32)</f>
        <v>2750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SUM(I6:I42)</f>
        <v>2350</v>
      </c>
      <c r="D6" s="2"/>
      <c r="E6" s="18">
        <v>9640</v>
      </c>
      <c r="F6" s="25" t="s">
        <v>210</v>
      </c>
      <c r="G6" s="46" t="s">
        <v>8</v>
      </c>
      <c r="H6" s="8">
        <v>1200</v>
      </c>
      <c r="I6" s="8">
        <v>1200</v>
      </c>
      <c r="J6" s="2"/>
      <c r="K6" s="25"/>
      <c r="L6" s="9"/>
      <c r="M6" s="16"/>
      <c r="R6" s="1">
        <f>IF(vend10[[#This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9641</v>
      </c>
      <c r="F7" s="25" t="s">
        <v>211</v>
      </c>
      <c r="G7" s="46" t="s">
        <v>10</v>
      </c>
      <c r="H7" s="8">
        <v>850</v>
      </c>
      <c r="I7" s="8">
        <v>90</v>
      </c>
      <c r="J7" s="2"/>
      <c r="K7" s="25"/>
      <c r="L7" s="9"/>
      <c r="M7" s="16"/>
      <c r="R7" s="1">
        <f>IF(vend10[[#This Row],[Nº Venda]]&gt;1,1,0)</f>
        <v>1</v>
      </c>
    </row>
    <row r="8" spans="2:18" ht="15.6" x14ac:dyDescent="0.3">
      <c r="B8" s="28" t="s">
        <v>21</v>
      </c>
      <c r="C8" s="29">
        <f>SUM(C6:C7)</f>
        <v>2350</v>
      </c>
      <c r="D8" s="2"/>
      <c r="E8" s="18">
        <v>9642</v>
      </c>
      <c r="F8" s="25" t="s">
        <v>212</v>
      </c>
      <c r="G8" s="26" t="s">
        <v>6</v>
      </c>
      <c r="H8" s="8">
        <v>700</v>
      </c>
      <c r="I8" s="8">
        <v>100</v>
      </c>
      <c r="J8" s="2"/>
      <c r="K8" s="25"/>
      <c r="L8" s="9"/>
      <c r="M8" s="16"/>
      <c r="R8" s="1">
        <f>IF(vend10[[#This Row],[Nº Venda]]&gt;1,1,0)</f>
        <v>1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6" x14ac:dyDescent="0.3">
      <c r="B11" s="30" t="s">
        <v>6</v>
      </c>
      <c r="C11" s="31">
        <f>(SUMIF($G$2:$G$32,B11,$I$2:$I$32))+(SUMIF($G$36:$G$42,B11,$H$36:$H$42))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6" x14ac:dyDescent="0.3">
      <c r="B12" s="30" t="s">
        <v>7</v>
      </c>
      <c r="C12" s="31">
        <f>(SUMIF($G$2:$G$32,B12,$I$2:$I$32))+(SUMIF($G$36:$G$42,B12,$H$36:$H$42))</f>
        <v>410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6" x14ac:dyDescent="0.3">
      <c r="B13" s="30" t="s">
        <v>8</v>
      </c>
      <c r="C13" s="31">
        <f>(SUMIF($G$2:$G$32,B13,$I$2:$I$32))+(SUMIF($G$36:$G$42,B13,$H$36:$H$42))</f>
        <v>1200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IF(vend10[[#This Row],[Nº Venda]]&gt;1,1,0)</f>
        <v>0</v>
      </c>
    </row>
    <row r="14" spans="2:18" ht="15.6" x14ac:dyDescent="0.3">
      <c r="B14" s="30" t="s">
        <v>9</v>
      </c>
      <c r="C14" s="31">
        <f>(SUMIF($G$2:$G$32,B14,$I$2:$I$32))+(SUMIF($G$36:$G$42,B14,$H$36:$H$42))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6" x14ac:dyDescent="0.3">
      <c r="B15" s="30" t="s">
        <v>10</v>
      </c>
      <c r="C15" s="31">
        <f>(SUMIF($G$2:$G$32,B15,$I$2:$I$32))+(SUMIF($G$36:$G$42,B15,$H$36:$H$42))</f>
        <v>550</v>
      </c>
      <c r="D15" s="2"/>
      <c r="E15" s="18"/>
      <c r="F15" s="25"/>
      <c r="G15" s="26"/>
      <c r="H15" s="8"/>
      <c r="I15" s="8"/>
      <c r="J15" s="2"/>
      <c r="K15" s="25">
        <v>9532</v>
      </c>
      <c r="L15" s="9" t="s">
        <v>134</v>
      </c>
      <c r="M15" s="16" t="s">
        <v>141</v>
      </c>
      <c r="R15" s="1">
        <f>IF(vend10[[#This Row],[Nº Venda]]&gt;1,1,0)</f>
        <v>0</v>
      </c>
    </row>
    <row r="16" spans="2:18" ht="15.6" x14ac:dyDescent="0.3">
      <c r="B16" s="28" t="s">
        <v>11</v>
      </c>
      <c r="C16" s="32">
        <f>SUM(C11:C15)</f>
        <v>2410</v>
      </c>
      <c r="D16" s="2"/>
      <c r="E16" s="18"/>
      <c r="F16" s="25"/>
      <c r="G16" s="26"/>
      <c r="H16" s="8"/>
      <c r="I16" s="8"/>
      <c r="J16" s="2"/>
      <c r="K16" s="25">
        <v>9502</v>
      </c>
      <c r="L16" s="9" t="s">
        <v>130</v>
      </c>
      <c r="M16" s="65" t="s">
        <v>141</v>
      </c>
      <c r="R16" s="1">
        <f>IF(vend10[[#This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9501</v>
      </c>
      <c r="L17" s="9" t="s">
        <v>130</v>
      </c>
      <c r="M17" s="16" t="s">
        <v>141</v>
      </c>
      <c r="R17" s="1">
        <f>IF(vend10[[#This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9564</v>
      </c>
      <c r="L18" s="9" t="s">
        <v>134</v>
      </c>
      <c r="M18" s="16" t="s">
        <v>189</v>
      </c>
      <c r="R18" s="1">
        <f>IF(vend10[[#This Row],[Nº Venda]]&gt;1,1,0)</f>
        <v>0</v>
      </c>
    </row>
    <row r="19" spans="2:18" ht="15.6" x14ac:dyDescent="0.3">
      <c r="B19" s="30">
        <f>COUNT(entr_carn10[OS])</f>
        <v>2</v>
      </c>
      <c r="C19" s="31">
        <f>SUM(entr_carn10[Valor Total])</f>
        <v>2100</v>
      </c>
      <c r="D19" s="2"/>
      <c r="E19" s="18"/>
      <c r="F19" s="25"/>
      <c r="G19" s="26"/>
      <c r="H19" s="8"/>
      <c r="I19" s="8"/>
      <c r="J19" s="2"/>
      <c r="K19" s="25">
        <v>9542</v>
      </c>
      <c r="L19" s="9" t="s">
        <v>130</v>
      </c>
      <c r="M19" s="16" t="s">
        <v>141</v>
      </c>
      <c r="R19" s="1">
        <f>IF(vend10[[#This Row],[Nº Venda]]&gt;1,1,0)</f>
        <v>0</v>
      </c>
    </row>
    <row r="20" spans="2:18" ht="15.6" x14ac:dyDescent="0.3">
      <c r="B20" s="28" t="s">
        <v>11</v>
      </c>
      <c r="C20" s="32">
        <f>SUM(C19:C19)</f>
        <v>2100</v>
      </c>
      <c r="D20" s="2"/>
      <c r="E20" s="18"/>
      <c r="F20" s="26"/>
      <c r="G20" s="26"/>
      <c r="H20" s="8"/>
      <c r="I20" s="8"/>
      <c r="J20" s="2"/>
      <c r="K20" s="25">
        <v>9541</v>
      </c>
      <c r="L20" s="9" t="s">
        <v>130</v>
      </c>
      <c r="M20" s="16" t="s">
        <v>189</v>
      </c>
      <c r="R20" s="1">
        <f>IF(vend10[[#This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9541</v>
      </c>
      <c r="F26" s="25" t="s">
        <v>214</v>
      </c>
      <c r="G26" s="46" t="s">
        <v>6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9542</v>
      </c>
      <c r="F27" s="25" t="s">
        <v>214</v>
      </c>
      <c r="G27" s="46" t="s">
        <v>7</v>
      </c>
      <c r="H27" s="8"/>
      <c r="I27" s="8">
        <v>150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9542</v>
      </c>
      <c r="F28" s="25" t="s">
        <v>214</v>
      </c>
      <c r="G28" s="26" t="s">
        <v>6</v>
      </c>
      <c r="H28" s="8"/>
      <c r="I28" s="8">
        <v>50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9564</v>
      </c>
      <c r="F29" s="25" t="s">
        <v>213</v>
      </c>
      <c r="G29" s="46" t="s">
        <v>7</v>
      </c>
      <c r="H29" s="8"/>
      <c r="I29" s="8">
        <v>260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18">
        <v>9532</v>
      </c>
      <c r="F30" s="39" t="s">
        <v>216</v>
      </c>
      <c r="G30" s="26" t="s">
        <v>10</v>
      </c>
      <c r="H30" s="8"/>
      <c r="I30" s="8">
        <v>400</v>
      </c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.6" x14ac:dyDescent="0.3">
      <c r="B32" s="2"/>
      <c r="C32" s="2"/>
      <c r="E32" s="18"/>
      <c r="F32" s="39"/>
      <c r="G32" s="26"/>
      <c r="H32" s="8"/>
      <c r="I32" s="8"/>
    </row>
    <row r="33" spans="2:18" ht="14.4" x14ac:dyDescent="0.3">
      <c r="B33" s="2"/>
      <c r="C33" s="2"/>
      <c r="E33" s="33"/>
      <c r="K33" s="105" t="s">
        <v>12</v>
      </c>
      <c r="L33" s="106"/>
      <c r="M33" s="107"/>
    </row>
    <row r="34" spans="2:18" ht="14.4" x14ac:dyDescent="0.3">
      <c r="E34" s="104" t="s">
        <v>28</v>
      </c>
      <c r="F34" s="104"/>
      <c r="G34" s="104"/>
      <c r="H34" s="104"/>
      <c r="I34" s="104"/>
      <c r="K34" s="14" t="s">
        <v>23</v>
      </c>
      <c r="L34" s="6" t="s">
        <v>31</v>
      </c>
      <c r="M34" s="15" t="s">
        <v>32</v>
      </c>
    </row>
    <row r="35" spans="2:18" ht="14.4" x14ac:dyDescent="0.3">
      <c r="E35" s="10" t="s">
        <v>23</v>
      </c>
      <c r="F35" s="10" t="s">
        <v>15</v>
      </c>
      <c r="G35" s="11" t="s">
        <v>16</v>
      </c>
      <c r="H35" s="12" t="s">
        <v>29</v>
      </c>
      <c r="I35" s="13" t="s">
        <v>30</v>
      </c>
      <c r="K35" s="25">
        <v>9564</v>
      </c>
      <c r="L35" s="41">
        <v>8</v>
      </c>
      <c r="M35" s="16">
        <v>800</v>
      </c>
    </row>
    <row r="36" spans="2:18" ht="15.6" x14ac:dyDescent="0.3">
      <c r="E36" s="18">
        <v>9102</v>
      </c>
      <c r="F36" s="25" t="s">
        <v>215</v>
      </c>
      <c r="G36" s="26" t="s">
        <v>10</v>
      </c>
      <c r="H36" s="8">
        <v>60</v>
      </c>
      <c r="I36" s="8" t="s">
        <v>47</v>
      </c>
      <c r="K36" s="25">
        <v>9541</v>
      </c>
      <c r="L36" s="41">
        <v>8</v>
      </c>
      <c r="M36" s="16">
        <v>1300</v>
      </c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25"/>
      <c r="G39" s="26"/>
      <c r="H39" s="8"/>
      <c r="I39" s="8"/>
      <c r="K39" s="25"/>
      <c r="L39" s="41"/>
      <c r="M39" s="16"/>
    </row>
    <row r="40" spans="2:18" ht="15.6" x14ac:dyDescent="0.3">
      <c r="E40" s="18"/>
      <c r="F40" s="39"/>
      <c r="G40" s="26"/>
      <c r="H40" s="8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6" x14ac:dyDescent="0.3">
      <c r="E41" s="35"/>
      <c r="F41" s="36"/>
      <c r="G41" s="37"/>
      <c r="H41" s="17"/>
      <c r="I41" s="8"/>
      <c r="K41" s="44"/>
      <c r="L41" s="41"/>
      <c r="M41" s="40"/>
    </row>
    <row r="42" spans="2:18" ht="15.6" x14ac:dyDescent="0.3">
      <c r="E42" s="43"/>
      <c r="F42" s="39"/>
      <c r="G42" s="26"/>
      <c r="H42" s="8"/>
      <c r="I42" s="8"/>
    </row>
  </sheetData>
  <mergeCells count="9">
    <mergeCell ref="E24:I24"/>
    <mergeCell ref="E34:I34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 M17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B80BA27C-92FA-4E44-B45B-142D61BB934F}">
          <x14:formula1>
            <xm:f>base!$A$2:$A$6</xm:f>
          </x14:formula1>
          <xm:sqref>G26:G32 G36:G42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I36:I42</xm:sqref>
        </x14:dataValidation>
        <x14:dataValidation type="list" allowBlank="1" showInputMessage="1" showErrorMessage="1" xr:uid="{140A3EEF-C1AF-4F2A-B51B-7E555B1B8BD6}">
          <x14:formula1>
            <xm:f>resumo_cx!$P$2:$P$18</xm:f>
          </x14:formula1>
          <xm:sqref>L15:L31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L15" sqref="L15:L31"/>
    </sheetView>
  </sheetViews>
  <sheetFormatPr defaultColWidth="9.109375" defaultRowHeight="13.2" x14ac:dyDescent="0.25"/>
  <cols>
    <col min="1" max="1" width="3.6640625" style="1" customWidth="1"/>
    <col min="2" max="2" width="27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4">
        <f>'10'!B1+1</f>
        <v>45515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6" x14ac:dyDescent="0.3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6" x14ac:dyDescent="0.3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8"/>
      <c r="I35" s="8"/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  <x14:dataValidation type="list" allowBlank="1" showInputMessage="1" showErrorMessage="1" xr:uid="{A1A15168-65A2-4DE5-9938-A156BBC02803}">
          <x14:formula1>
            <xm:f>resumo_cx!$P$2:$P$18</xm:f>
          </x14:formula1>
          <xm:sqref>L15:L31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R41"/>
  <sheetViews>
    <sheetView showGridLines="0" zoomScale="80" zoomScaleNormal="80" workbookViewId="0">
      <selection activeCell="F17" sqref="F1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'11'!B1+1</f>
        <v>45516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2250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4.4" x14ac:dyDescent="0.3">
      <c r="B6" s="23" t="s">
        <v>2</v>
      </c>
      <c r="C6" s="24">
        <f>SUM(I6:I41)</f>
        <v>2630</v>
      </c>
      <c r="D6" s="2"/>
      <c r="E6" s="101">
        <v>9643</v>
      </c>
      <c r="F6" s="51" t="s">
        <v>217</v>
      </c>
      <c r="G6" s="51" t="s">
        <v>10</v>
      </c>
      <c r="H6" s="52">
        <v>1650</v>
      </c>
      <c r="I6" s="52">
        <v>1650</v>
      </c>
      <c r="J6" s="2"/>
      <c r="K6" s="25"/>
      <c r="L6" s="9"/>
      <c r="M6" s="16"/>
      <c r="R6" s="1">
        <f>IF(vend12[[#This Row],[Nº Venda]]&gt;1,1,0)</f>
        <v>1</v>
      </c>
    </row>
    <row r="7" spans="2:18" ht="14.4" x14ac:dyDescent="0.3">
      <c r="B7" s="23" t="s">
        <v>3</v>
      </c>
      <c r="C7" s="24">
        <f>SUM(M6:M11)</f>
        <v>0</v>
      </c>
      <c r="D7" s="2"/>
      <c r="E7" s="56">
        <v>9644</v>
      </c>
      <c r="F7" s="53" t="s">
        <v>218</v>
      </c>
      <c r="G7" s="53" t="s">
        <v>8</v>
      </c>
      <c r="H7" s="54">
        <v>600</v>
      </c>
      <c r="I7" s="54">
        <v>600</v>
      </c>
      <c r="J7" s="2"/>
      <c r="K7" s="25"/>
      <c r="L7" s="9"/>
      <c r="M7" s="16"/>
      <c r="R7" s="1">
        <f>IF(vend12[[#This Row],[Nº Venda]]&gt;1,1,0)</f>
        <v>1</v>
      </c>
    </row>
    <row r="8" spans="2:18" ht="15.6" x14ac:dyDescent="0.3">
      <c r="B8" s="28" t="s">
        <v>21</v>
      </c>
      <c r="C8" s="29">
        <f>SUM(C6:C7)</f>
        <v>2630</v>
      </c>
      <c r="D8" s="2"/>
      <c r="E8" s="56"/>
      <c r="F8" s="53"/>
      <c r="G8" s="53"/>
      <c r="H8" s="54"/>
      <c r="I8" s="54"/>
      <c r="J8" s="2"/>
      <c r="K8" s="25"/>
      <c r="L8" s="9"/>
      <c r="M8" s="16"/>
      <c r="R8" s="1">
        <f>IF(vend12[[#This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430.72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149.97999999999999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6" x14ac:dyDescent="0.3">
      <c r="B13" s="30" t="s">
        <v>8</v>
      </c>
      <c r="C13" s="31">
        <f t="shared" si="0"/>
        <v>730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18" ht="15.6" x14ac:dyDescent="0.3">
      <c r="B15" s="30" t="s">
        <v>10</v>
      </c>
      <c r="C15" s="31">
        <f t="shared" si="0"/>
        <v>1650</v>
      </c>
      <c r="D15" s="2"/>
      <c r="E15" s="18"/>
      <c r="F15" s="25"/>
      <c r="G15" s="26"/>
      <c r="H15" s="8"/>
      <c r="I15" s="8"/>
      <c r="J15" s="2"/>
      <c r="K15" s="25">
        <v>9635</v>
      </c>
      <c r="L15" s="9" t="s">
        <v>134</v>
      </c>
      <c r="M15" s="16" t="s">
        <v>141</v>
      </c>
      <c r="R15" s="1">
        <f>IF(vend12[[#This Row],[Nº Venda]]&gt;1,1,0)</f>
        <v>0</v>
      </c>
    </row>
    <row r="16" spans="2:18" ht="15.6" x14ac:dyDescent="0.3">
      <c r="B16" s="28" t="s">
        <v>11</v>
      </c>
      <c r="C16" s="32">
        <f>SUM(C11:C15)</f>
        <v>2960.7</v>
      </c>
      <c r="D16" s="2"/>
      <c r="E16" s="18"/>
      <c r="F16" s="25"/>
      <c r="G16" s="26"/>
      <c r="H16" s="8"/>
      <c r="I16" s="8"/>
      <c r="J16" s="2"/>
      <c r="K16" s="25">
        <v>9598</v>
      </c>
      <c r="L16" s="9" t="s">
        <v>130</v>
      </c>
      <c r="M16" s="16" t="s">
        <v>189</v>
      </c>
      <c r="R16" s="1">
        <f>IF(vend12[[#This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6" x14ac:dyDescent="0.3">
      <c r="B19" s="30">
        <f>COUNT(entr_carn12[OS])</f>
        <v>1</v>
      </c>
      <c r="C19" s="31">
        <f>SUM(entr_carn12[Valor Total])</f>
        <v>380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6" x14ac:dyDescent="0.3">
      <c r="B20" s="28" t="s">
        <v>11</v>
      </c>
      <c r="C20" s="32">
        <f>SUM(C19:C19)</f>
        <v>380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2250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9528</v>
      </c>
      <c r="F26" s="55" t="s">
        <v>219</v>
      </c>
      <c r="G26" s="46" t="s">
        <v>8</v>
      </c>
      <c r="H26" s="8"/>
      <c r="I26" s="8">
        <v>130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9635</v>
      </c>
      <c r="F27" s="25" t="s">
        <v>220</v>
      </c>
      <c r="G27" s="26" t="s">
        <v>6</v>
      </c>
      <c r="H27" s="8"/>
      <c r="I27" s="8">
        <v>30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9598</v>
      </c>
      <c r="F28" s="25" t="s">
        <v>221</v>
      </c>
      <c r="G28" s="26" t="s">
        <v>6</v>
      </c>
      <c r="H28" s="8"/>
      <c r="I28" s="8">
        <v>220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8472</v>
      </c>
      <c r="F35" s="25" t="s">
        <v>222</v>
      </c>
      <c r="G35" s="26" t="s">
        <v>6</v>
      </c>
      <c r="H35" s="8">
        <v>125.72</v>
      </c>
      <c r="I35" s="8" t="s">
        <v>61</v>
      </c>
      <c r="K35" s="25">
        <v>9598</v>
      </c>
      <c r="L35" s="41">
        <v>6</v>
      </c>
      <c r="M35" s="16">
        <v>380</v>
      </c>
    </row>
    <row r="36" spans="2:18" ht="15.6" x14ac:dyDescent="0.3">
      <c r="E36" s="18">
        <v>8729</v>
      </c>
      <c r="F36" s="25" t="s">
        <v>223</v>
      </c>
      <c r="G36" s="26" t="s">
        <v>7</v>
      </c>
      <c r="H36" s="8">
        <v>49.98</v>
      </c>
      <c r="I36" s="8" t="s">
        <v>44</v>
      </c>
      <c r="K36" s="25"/>
      <c r="L36" s="41"/>
      <c r="M36" s="16"/>
    </row>
    <row r="37" spans="2:18" ht="15.6" x14ac:dyDescent="0.3">
      <c r="E37" s="18">
        <v>9018</v>
      </c>
      <c r="F37" s="25" t="s">
        <v>224</v>
      </c>
      <c r="G37" s="26" t="s">
        <v>7</v>
      </c>
      <c r="H37" s="8">
        <v>100</v>
      </c>
      <c r="I37" s="8" t="s">
        <v>39</v>
      </c>
      <c r="K37" s="25"/>
      <c r="L37" s="41"/>
      <c r="M37" s="16"/>
    </row>
    <row r="38" spans="2:18" ht="15.6" x14ac:dyDescent="0.3">
      <c r="E38" s="18">
        <v>8790</v>
      </c>
      <c r="F38" s="25" t="s">
        <v>202</v>
      </c>
      <c r="G38" s="26" t="s">
        <v>6</v>
      </c>
      <c r="H38" s="8">
        <v>55</v>
      </c>
      <c r="I38" s="8" t="s">
        <v>44</v>
      </c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  <x14:dataValidation type="list" allowBlank="1" showInputMessage="1" showErrorMessage="1" xr:uid="{AEA2EB4D-9854-41EA-9931-BB7D538560EF}">
          <x14:formula1>
            <xm:f>resumo_cx!$P$2:$P$18</xm:f>
          </x14:formula1>
          <xm:sqref>L15:L31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E6" sqref="E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'12'!B1+1</f>
        <v>45517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1400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3100</v>
      </c>
      <c r="D6" s="2"/>
      <c r="E6" s="18">
        <v>9645</v>
      </c>
      <c r="F6" s="25" t="s">
        <v>225</v>
      </c>
      <c r="G6" s="26" t="s">
        <v>10</v>
      </c>
      <c r="H6" s="8">
        <v>1400</v>
      </c>
      <c r="I6" s="8">
        <v>100</v>
      </c>
      <c r="J6" s="2"/>
      <c r="K6" s="25"/>
      <c r="L6" s="9"/>
      <c r="M6" s="16"/>
      <c r="R6" s="1">
        <f>IF(vend13[[#This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6" x14ac:dyDescent="0.3">
      <c r="B8" s="28" t="s">
        <v>21</v>
      </c>
      <c r="C8" s="29">
        <f>SUM(C6:C7)</f>
        <v>3100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355.5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6" x14ac:dyDescent="0.3">
      <c r="B13" s="30" t="s">
        <v>8</v>
      </c>
      <c r="C13" s="31">
        <f t="shared" si="0"/>
        <v>2800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IF(vend13[[#This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6" x14ac:dyDescent="0.3">
      <c r="B15" s="30" t="s">
        <v>10</v>
      </c>
      <c r="C15" s="31">
        <f t="shared" si="0"/>
        <v>158.32999999999998</v>
      </c>
      <c r="D15" s="2"/>
      <c r="E15" s="18"/>
      <c r="F15" s="25"/>
      <c r="G15" s="26"/>
      <c r="H15" s="8"/>
      <c r="I15" s="8"/>
      <c r="J15" s="2"/>
      <c r="K15" s="25">
        <v>9549</v>
      </c>
      <c r="L15" s="9" t="s">
        <v>136</v>
      </c>
      <c r="M15" s="16" t="s">
        <v>141</v>
      </c>
      <c r="R15" s="1">
        <f>IF(vend13[[#This Row],[Nº Venda]]&gt;1,1,0)</f>
        <v>0</v>
      </c>
    </row>
    <row r="16" spans="2:18" ht="15.6" x14ac:dyDescent="0.3">
      <c r="B16" s="28" t="s">
        <v>11</v>
      </c>
      <c r="C16" s="32">
        <f>SUM(C11:C15)</f>
        <v>3313.83</v>
      </c>
      <c r="D16" s="2"/>
      <c r="E16" s="18"/>
      <c r="F16" s="25"/>
      <c r="G16" s="26"/>
      <c r="H16" s="8"/>
      <c r="I16" s="8"/>
      <c r="J16" s="2"/>
      <c r="K16" s="25">
        <v>9528</v>
      </c>
      <c r="L16" s="9" t="s">
        <v>134</v>
      </c>
      <c r="M16" s="16" t="s">
        <v>141</v>
      </c>
      <c r="R16" s="1">
        <f>IF(vend13[[#This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9592</v>
      </c>
      <c r="L17" s="9" t="s">
        <v>130</v>
      </c>
      <c r="M17" s="16" t="s">
        <v>141</v>
      </c>
      <c r="R17" s="1">
        <f>IF(vend13[[#This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9593</v>
      </c>
      <c r="L18" s="9" t="s">
        <v>130</v>
      </c>
      <c r="M18" s="16" t="s">
        <v>141</v>
      </c>
      <c r="R18" s="1">
        <f>IF(vend13[[#This Row],[Nº Venda]]&gt;1,1,0)</f>
        <v>0</v>
      </c>
    </row>
    <row r="19" spans="2:18" ht="15.6" x14ac:dyDescent="0.3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1400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9592</v>
      </c>
      <c r="F26" s="25" t="s">
        <v>226</v>
      </c>
      <c r="G26" s="26" t="s">
        <v>8</v>
      </c>
      <c r="H26" s="8"/>
      <c r="I26" s="8">
        <v>2800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9595</v>
      </c>
      <c r="F27" s="25" t="s">
        <v>151</v>
      </c>
      <c r="G27" s="26" t="s">
        <v>6</v>
      </c>
      <c r="H27" s="8"/>
      <c r="I27" s="8">
        <v>200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9342</v>
      </c>
      <c r="F35" s="25" t="s">
        <v>227</v>
      </c>
      <c r="G35" s="26" t="s">
        <v>10</v>
      </c>
      <c r="H35" s="8">
        <v>58.33</v>
      </c>
      <c r="I35" s="8" t="s">
        <v>54</v>
      </c>
      <c r="K35" s="25"/>
      <c r="L35" s="41"/>
      <c r="M35" s="16"/>
    </row>
    <row r="36" spans="2:18" ht="15.6" x14ac:dyDescent="0.3">
      <c r="E36" s="18">
        <v>9166</v>
      </c>
      <c r="F36" s="25" t="s">
        <v>228</v>
      </c>
      <c r="G36" s="26" t="s">
        <v>6</v>
      </c>
      <c r="H36" s="8">
        <v>89</v>
      </c>
      <c r="I36" s="8" t="s">
        <v>83</v>
      </c>
      <c r="K36" s="25"/>
      <c r="L36" s="41"/>
      <c r="M36" s="16"/>
    </row>
    <row r="37" spans="2:18" ht="15.6" x14ac:dyDescent="0.3">
      <c r="E37" s="18">
        <v>9156</v>
      </c>
      <c r="F37" s="25" t="s">
        <v>229</v>
      </c>
      <c r="G37" s="26" t="s">
        <v>6</v>
      </c>
      <c r="H37" s="8">
        <v>66.5</v>
      </c>
      <c r="I37" s="8" t="s">
        <v>45</v>
      </c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1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  <x14:dataValidation type="list" allowBlank="1" showInputMessage="1" showErrorMessage="1" xr:uid="{7E85E7C8-3870-43A2-B265-464547213144}">
          <x14:formula1>
            <xm:f>resumo_cx!$P$2:$P$18</xm:f>
          </x14:formula1>
          <xm:sqref>L15:L31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E7" sqref="E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9.441406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'13'!B1+1</f>
        <v>45518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1200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2529</v>
      </c>
      <c r="D6" s="2"/>
      <c r="E6" s="18">
        <v>9646</v>
      </c>
      <c r="F6" s="25" t="s">
        <v>230</v>
      </c>
      <c r="G6" s="46" t="s">
        <v>40</v>
      </c>
      <c r="H6" s="8"/>
      <c r="I6" s="8"/>
      <c r="J6" s="2"/>
      <c r="K6" s="25"/>
      <c r="L6" s="9"/>
      <c r="M6" s="16"/>
      <c r="R6" s="1">
        <f>IF(vend14[[#This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9647</v>
      </c>
      <c r="F7" s="25" t="s">
        <v>231</v>
      </c>
      <c r="G7" s="46" t="s">
        <v>7</v>
      </c>
      <c r="H7" s="8">
        <v>1200</v>
      </c>
      <c r="I7" s="8">
        <v>1100</v>
      </c>
      <c r="J7" s="2"/>
      <c r="K7" s="25"/>
      <c r="L7" s="9"/>
      <c r="M7" s="16"/>
      <c r="R7" s="1">
        <f>IF(vend14[[#This Row],[Nº Venda]]&gt;1,1,0)</f>
        <v>1</v>
      </c>
    </row>
    <row r="8" spans="2:18" ht="15.6" x14ac:dyDescent="0.3">
      <c r="B8" s="28" t="s">
        <v>21</v>
      </c>
      <c r="C8" s="29">
        <f>SUM(C6:C7)</f>
        <v>2529</v>
      </c>
      <c r="D8" s="2"/>
      <c r="E8" s="18">
        <v>9647</v>
      </c>
      <c r="F8" s="25" t="s">
        <v>231</v>
      </c>
      <c r="G8" s="26" t="s">
        <v>6</v>
      </c>
      <c r="H8" s="8"/>
      <c r="I8" s="8">
        <v>100</v>
      </c>
      <c r="J8" s="2"/>
      <c r="K8" s="25"/>
      <c r="L8" s="9"/>
      <c r="M8" s="16"/>
      <c r="R8" s="1">
        <f>IF(vend14[[#This Row],[Nº Venda]]&gt;1,1,0)</f>
        <v>1</v>
      </c>
    </row>
    <row r="9" spans="2:18" ht="15.6" x14ac:dyDescent="0.3">
      <c r="B9" s="2"/>
      <c r="C9" s="2"/>
      <c r="D9" s="2"/>
      <c r="E9" s="18">
        <v>9648</v>
      </c>
      <c r="F9" s="25" t="s">
        <v>175</v>
      </c>
      <c r="G9" s="26" t="s">
        <v>50</v>
      </c>
      <c r="H9" s="8"/>
      <c r="I9" s="8"/>
      <c r="J9" s="2"/>
      <c r="K9" s="25"/>
      <c r="L9" s="9"/>
      <c r="M9" s="16"/>
      <c r="R9" s="1">
        <f>IF(vend14[[#This Row],[Nº Venda]]&gt;1,1,0)</f>
        <v>1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1229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IF(vend14[[#This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1261.25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6" x14ac:dyDescent="0.3">
      <c r="B15" s="30" t="s">
        <v>10</v>
      </c>
      <c r="C15" s="31">
        <f t="shared" si="0"/>
        <v>200</v>
      </c>
      <c r="D15" s="2"/>
      <c r="E15" s="18"/>
      <c r="F15" s="25"/>
      <c r="G15" s="26"/>
      <c r="H15" s="8"/>
      <c r="I15" s="8"/>
      <c r="J15" s="2"/>
      <c r="K15" s="25">
        <v>9601</v>
      </c>
      <c r="L15" s="9" t="s">
        <v>136</v>
      </c>
      <c r="M15" s="16" t="s">
        <v>141</v>
      </c>
      <c r="R15" s="1">
        <f>IF(vend14[[#This Row],[Nº Venda]]&gt;1,1,0)</f>
        <v>0</v>
      </c>
    </row>
    <row r="16" spans="2:18" ht="15.6" x14ac:dyDescent="0.3">
      <c r="B16" s="28" t="s">
        <v>11</v>
      </c>
      <c r="C16" s="32">
        <f>SUM(C11:C15)</f>
        <v>2690.25</v>
      </c>
      <c r="D16" s="2"/>
      <c r="E16" s="18"/>
      <c r="F16" s="25"/>
      <c r="G16" s="26"/>
      <c r="H16" s="8"/>
      <c r="I16" s="8"/>
      <c r="J16" s="2"/>
      <c r="K16" s="25">
        <v>9536</v>
      </c>
      <c r="L16" s="9" t="s">
        <v>130</v>
      </c>
      <c r="M16" s="16" t="s">
        <v>189</v>
      </c>
      <c r="R16" s="1">
        <f>IF(vend14[[#This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9605</v>
      </c>
      <c r="L17" s="9" t="s">
        <v>130</v>
      </c>
      <c r="M17" s="16" t="s">
        <v>141</v>
      </c>
      <c r="R17" s="1">
        <f>IF(vend14[[#This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9622</v>
      </c>
      <c r="L18" s="9" t="s">
        <v>134</v>
      </c>
      <c r="M18" s="16" t="s">
        <v>141</v>
      </c>
      <c r="R18" s="1">
        <f>IF(vend14[[#This Row],[Nº Venda]]&gt;1,1,0)</f>
        <v>0</v>
      </c>
    </row>
    <row r="19" spans="2:18" ht="15.6" x14ac:dyDescent="0.3">
      <c r="B19" s="30">
        <f>COUNT(entr_carn14[OS])</f>
        <v>1</v>
      </c>
      <c r="C19" s="31">
        <f>SUM(entr_carn14[Valor Total])</f>
        <v>900</v>
      </c>
      <c r="D19" s="2"/>
      <c r="E19" s="18"/>
      <c r="F19" s="25"/>
      <c r="G19" s="26"/>
      <c r="H19" s="8"/>
      <c r="I19" s="8"/>
      <c r="J19" s="2"/>
      <c r="K19" s="25">
        <v>9620</v>
      </c>
      <c r="L19" s="9" t="s">
        <v>130</v>
      </c>
      <c r="M19" s="65" t="s">
        <v>141</v>
      </c>
      <c r="N19" s="16"/>
      <c r="R19" s="1">
        <f>IF(vend14[[#This Row],[Nº Venda]]&gt;1,1,0)</f>
        <v>0</v>
      </c>
    </row>
    <row r="20" spans="2:18" ht="15.6" x14ac:dyDescent="0.3">
      <c r="B20" s="28" t="s">
        <v>11</v>
      </c>
      <c r="C20" s="32">
        <f>SUM(C19:C19)</f>
        <v>900</v>
      </c>
      <c r="D20" s="2"/>
      <c r="E20" s="18"/>
      <c r="F20" s="26"/>
      <c r="G20" s="26"/>
      <c r="H20" s="8"/>
      <c r="I20" s="8"/>
      <c r="J20" s="2"/>
      <c r="K20" s="25">
        <v>9610</v>
      </c>
      <c r="L20" s="9" t="s">
        <v>136</v>
      </c>
      <c r="M20" s="16" t="s">
        <v>141</v>
      </c>
      <c r="R20" s="1">
        <f>IF(vend14[[#This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>
        <v>9611</v>
      </c>
      <c r="L21" s="9" t="s">
        <v>136</v>
      </c>
      <c r="M21" s="16" t="s">
        <v>141</v>
      </c>
    </row>
    <row r="22" spans="2:18" ht="15.6" x14ac:dyDescent="0.3">
      <c r="B22" s="28" t="s">
        <v>26</v>
      </c>
      <c r="C22" s="32">
        <f>C5</f>
        <v>1200</v>
      </c>
      <c r="D22" s="2"/>
      <c r="E22" s="18"/>
      <c r="F22" s="25"/>
      <c r="G22" s="26"/>
      <c r="H22" s="8"/>
      <c r="I22" s="8"/>
      <c r="J22" s="2"/>
      <c r="K22" s="25">
        <v>9595</v>
      </c>
      <c r="L22" s="9" t="s">
        <v>134</v>
      </c>
      <c r="M22" s="16" t="s">
        <v>141</v>
      </c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9536</v>
      </c>
      <c r="F26" s="25" t="s">
        <v>232</v>
      </c>
      <c r="G26" s="26" t="s">
        <v>10</v>
      </c>
      <c r="H26" s="8"/>
      <c r="I26" s="8">
        <v>200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8531</v>
      </c>
      <c r="F27" s="25" t="s">
        <v>233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9610</v>
      </c>
      <c r="F28" s="25" t="s">
        <v>161</v>
      </c>
      <c r="G28" s="26" t="s">
        <v>6</v>
      </c>
      <c r="H28" s="8"/>
      <c r="I28" s="8">
        <v>540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9611</v>
      </c>
      <c r="F29" s="25" t="s">
        <v>161</v>
      </c>
      <c r="G29" s="26" t="s">
        <v>6</v>
      </c>
      <c r="H29" s="8"/>
      <c r="I29" s="8">
        <v>289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18">
        <v>9595</v>
      </c>
      <c r="F30" s="39" t="s">
        <v>151</v>
      </c>
      <c r="G30" s="26" t="s">
        <v>6</v>
      </c>
      <c r="H30" s="8"/>
      <c r="I30" s="8">
        <v>200</v>
      </c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9116</v>
      </c>
      <c r="F35" s="25" t="s">
        <v>234</v>
      </c>
      <c r="G35" s="26" t="s">
        <v>7</v>
      </c>
      <c r="H35" s="8">
        <v>161.25</v>
      </c>
      <c r="I35" s="8" t="s">
        <v>83</v>
      </c>
      <c r="K35" s="25">
        <v>9536</v>
      </c>
      <c r="L35" s="41">
        <v>6</v>
      </c>
      <c r="M35" s="16">
        <v>900</v>
      </c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DA105C2-2824-4365-874F-167D3A856904}">
      <formula1>"1,2,3,4,5,6,7,8,9,10"</formula1>
    </dataValidation>
    <dataValidation type="list" allowBlank="1" showInputMessage="1" showErrorMessage="1" sqref="M15:M18 M20:M31 N19" xr:uid="{35076E88-D544-499C-A8D6-AAD25E81279E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  <x14:dataValidation type="list" allowBlank="1" showInputMessage="1" showErrorMessage="1" xr:uid="{1D70F56B-950E-41CC-9BC3-9746C7BE4553}">
          <x14:formula1>
            <xm:f>resumo_cx!$P$2:$P$18</xm:f>
          </x14:formula1>
          <xm:sqref>L15:L31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G29" sqref="G29"/>
    </sheetView>
  </sheetViews>
  <sheetFormatPr defaultColWidth="9.109375" defaultRowHeight="13.2" x14ac:dyDescent="0.25"/>
  <cols>
    <col min="1" max="1" width="3.6640625" style="1" customWidth="1"/>
    <col min="2" max="2" width="27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4">
        <f>'14'!B1+1</f>
        <v>45519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504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693.5</v>
      </c>
      <c r="D6" s="2"/>
      <c r="E6" s="18">
        <v>9649</v>
      </c>
      <c r="F6" s="25" t="s">
        <v>235</v>
      </c>
      <c r="G6" s="46" t="s">
        <v>50</v>
      </c>
      <c r="H6" s="8">
        <v>80</v>
      </c>
      <c r="I6" s="8"/>
      <c r="J6" s="2"/>
      <c r="K6" s="25"/>
      <c r="L6" s="9"/>
      <c r="M6" s="16"/>
      <c r="R6" s="1">
        <f>IF(vend15[[#This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9650</v>
      </c>
      <c r="F7" s="25" t="s">
        <v>236</v>
      </c>
      <c r="G7" s="46" t="s">
        <v>8</v>
      </c>
      <c r="H7" s="8">
        <v>252</v>
      </c>
      <c r="I7" s="8">
        <v>252</v>
      </c>
      <c r="J7" s="2"/>
      <c r="K7" s="25"/>
      <c r="L7" s="9"/>
      <c r="M7" s="16"/>
      <c r="R7" s="1">
        <f>IF(vend15[[#This Row],[Nº Venda]]&gt;1,1,0)</f>
        <v>1</v>
      </c>
    </row>
    <row r="8" spans="2:18" ht="15.6" x14ac:dyDescent="0.3">
      <c r="B8" s="28" t="s">
        <v>21</v>
      </c>
      <c r="C8" s="29">
        <f>SUM(C6:C7)</f>
        <v>693.5</v>
      </c>
      <c r="D8" s="2"/>
      <c r="E8" s="18">
        <v>9651</v>
      </c>
      <c r="F8" s="25" t="s">
        <v>236</v>
      </c>
      <c r="G8" s="26" t="s">
        <v>8</v>
      </c>
      <c r="H8" s="8">
        <v>252</v>
      </c>
      <c r="I8" s="8">
        <v>252</v>
      </c>
      <c r="J8" s="2"/>
      <c r="K8" s="25"/>
      <c r="L8" s="9"/>
      <c r="M8" s="16"/>
      <c r="R8" s="1">
        <f>IF(vend15[[#This Row],[Nº Venda]]&gt;1,1,0)</f>
        <v>1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299.5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158.55000000000001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6" x14ac:dyDescent="0.3">
      <c r="B13" s="30" t="s">
        <v>8</v>
      </c>
      <c r="C13" s="31">
        <f t="shared" si="0"/>
        <v>504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IF(vend15[[#This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63">
        <v>9395</v>
      </c>
      <c r="L15" s="9" t="s">
        <v>136</v>
      </c>
      <c r="M15" s="69" t="s">
        <v>141</v>
      </c>
      <c r="R15" s="1">
        <f>IF(vend15[[#This Row],[Nº Venda]]&gt;1,1,0)</f>
        <v>0</v>
      </c>
    </row>
    <row r="16" spans="2:18" ht="15.6" x14ac:dyDescent="0.3">
      <c r="B16" s="28" t="s">
        <v>11</v>
      </c>
      <c r="C16" s="32">
        <f>SUM(C11:C15)</f>
        <v>962.05</v>
      </c>
      <c r="D16" s="2"/>
      <c r="E16" s="18"/>
      <c r="F16" s="25"/>
      <c r="G16" s="26"/>
      <c r="H16" s="8"/>
      <c r="I16" s="8"/>
      <c r="J16" s="2"/>
      <c r="K16" s="25">
        <v>9498</v>
      </c>
      <c r="L16" s="9" t="s">
        <v>136</v>
      </c>
      <c r="M16" s="16" t="s">
        <v>141</v>
      </c>
      <c r="R16" s="1">
        <f>IF(vend15[[#This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9576</v>
      </c>
      <c r="L17" s="9" t="s">
        <v>130</v>
      </c>
      <c r="M17" s="16" t="s">
        <v>141</v>
      </c>
      <c r="R17" s="1">
        <f>IF(vend15[[#This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9586</v>
      </c>
      <c r="L18" s="9" t="s">
        <v>134</v>
      </c>
      <c r="M18" s="16" t="s">
        <v>141</v>
      </c>
      <c r="R18" s="1">
        <f>IF(vend15[[#This Row],[Nº Venda]]&gt;1,1,0)</f>
        <v>0</v>
      </c>
    </row>
    <row r="19" spans="2:18" ht="15.6" x14ac:dyDescent="0.3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63">
        <v>9448</v>
      </c>
      <c r="L19" s="9" t="s">
        <v>130</v>
      </c>
      <c r="M19" s="69" t="s">
        <v>141</v>
      </c>
      <c r="R19" s="1">
        <f>IF(vend15[[#This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504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9448</v>
      </c>
      <c r="F26" s="25" t="s">
        <v>237</v>
      </c>
      <c r="G26" s="46" t="s">
        <v>6</v>
      </c>
      <c r="H26" s="8"/>
      <c r="I26" s="8">
        <v>189.5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8862</v>
      </c>
      <c r="F35" s="25" t="s">
        <v>238</v>
      </c>
      <c r="G35" s="26" t="s">
        <v>7</v>
      </c>
      <c r="H35" s="8">
        <v>158.55000000000001</v>
      </c>
      <c r="I35" s="8" t="s">
        <v>86</v>
      </c>
      <c r="K35" s="25"/>
      <c r="L35" s="41"/>
      <c r="M35" s="16"/>
    </row>
    <row r="36" spans="2:18" ht="15.6" x14ac:dyDescent="0.3">
      <c r="E36" s="18">
        <v>8703</v>
      </c>
      <c r="F36" s="25" t="s">
        <v>239</v>
      </c>
      <c r="G36" s="26" t="s">
        <v>6</v>
      </c>
      <c r="H36" s="8">
        <v>110</v>
      </c>
      <c r="I36" s="8" t="s">
        <v>81</v>
      </c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3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  <x14:dataValidation type="list" allowBlank="1" showInputMessage="1" showErrorMessage="1" xr:uid="{E7201B6E-6C1A-4DA2-8895-7F599458BA86}">
          <x14:formula1>
            <xm:f>resumo_cx!$P$2:$P$18</xm:f>
          </x14:formula1>
          <xm:sqref>L15:L31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13" zoomScale="80" zoomScaleNormal="80" workbookViewId="0">
      <selection activeCell="E26" sqref="E26"/>
    </sheetView>
  </sheetViews>
  <sheetFormatPr defaultColWidth="9.109375" defaultRowHeight="13.2" x14ac:dyDescent="0.25"/>
  <cols>
    <col min="1" max="1" width="3.6640625" style="1" customWidth="1"/>
    <col min="2" max="2" width="27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4">
        <f>'15'!B1+1</f>
        <v>45520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2688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2388</v>
      </c>
      <c r="D6" s="2"/>
      <c r="E6" s="18">
        <v>9652</v>
      </c>
      <c r="F6" s="25" t="s">
        <v>240</v>
      </c>
      <c r="G6" s="46" t="s">
        <v>50</v>
      </c>
      <c r="H6" s="8">
        <v>180</v>
      </c>
      <c r="I6" s="8"/>
      <c r="J6" s="2"/>
      <c r="K6" s="25"/>
      <c r="L6" s="9"/>
      <c r="M6" s="16"/>
      <c r="R6" s="1">
        <f>IF(vend16[[#This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9653</v>
      </c>
      <c r="F7" s="25" t="s">
        <v>241</v>
      </c>
      <c r="G7" s="46" t="s">
        <v>10</v>
      </c>
      <c r="H7" s="8">
        <v>39</v>
      </c>
      <c r="I7" s="8">
        <v>39</v>
      </c>
      <c r="J7" s="2"/>
      <c r="K7" s="25"/>
      <c r="L7" s="9"/>
      <c r="M7" s="16"/>
      <c r="R7" s="1">
        <f>IF(vend16[[#This Row],[Nº Venda]]&gt;1,1,0)</f>
        <v>1</v>
      </c>
    </row>
    <row r="8" spans="2:18" ht="15.6" x14ac:dyDescent="0.3">
      <c r="B8" s="28" t="s">
        <v>21</v>
      </c>
      <c r="C8" s="29">
        <f>SUM(C6:C7)</f>
        <v>2388</v>
      </c>
      <c r="D8" s="2"/>
      <c r="E8" s="18">
        <v>9654</v>
      </c>
      <c r="F8" s="25" t="s">
        <v>242</v>
      </c>
      <c r="G8" s="26" t="s">
        <v>8</v>
      </c>
      <c r="H8" s="8">
        <v>199</v>
      </c>
      <c r="I8" s="8">
        <v>199</v>
      </c>
      <c r="J8" s="2"/>
      <c r="K8" s="25"/>
      <c r="L8" s="9"/>
      <c r="M8" s="16"/>
      <c r="R8" s="1">
        <f>IF(vend16[[#This Row],[Nº Venda]]&gt;1,1,0)</f>
        <v>1</v>
      </c>
    </row>
    <row r="9" spans="2:18" ht="15.6" x14ac:dyDescent="0.3">
      <c r="B9" s="2"/>
      <c r="C9" s="2"/>
      <c r="D9" s="2"/>
      <c r="E9" s="18">
        <v>9655</v>
      </c>
      <c r="F9" s="25" t="s">
        <v>243</v>
      </c>
      <c r="G9" s="26" t="s">
        <v>8</v>
      </c>
      <c r="H9" s="8">
        <v>1037</v>
      </c>
      <c r="I9" s="8">
        <v>1037</v>
      </c>
      <c r="J9" s="2"/>
      <c r="K9" s="25"/>
      <c r="L9" s="9"/>
      <c r="M9" s="16"/>
      <c r="R9" s="1">
        <f>IF(vend16[[#This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9656</v>
      </c>
      <c r="F10" s="25" t="s">
        <v>244</v>
      </c>
      <c r="G10" s="26" t="s">
        <v>8</v>
      </c>
      <c r="H10" s="8">
        <v>600</v>
      </c>
      <c r="I10" s="8">
        <v>600</v>
      </c>
      <c r="J10" s="2"/>
      <c r="K10" s="25"/>
      <c r="L10" s="9"/>
      <c r="M10" s="16"/>
      <c r="R10" s="1">
        <f>IF(vend16[[#This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>
        <v>9657</v>
      </c>
      <c r="F11" s="25" t="s">
        <v>245</v>
      </c>
      <c r="G11" s="26" t="s">
        <v>8</v>
      </c>
      <c r="H11" s="8">
        <v>363</v>
      </c>
      <c r="I11" s="8">
        <v>363</v>
      </c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9658</v>
      </c>
      <c r="F12" s="25" t="s">
        <v>246</v>
      </c>
      <c r="G12" s="26" t="s">
        <v>10</v>
      </c>
      <c r="H12" s="8">
        <v>450</v>
      </c>
      <c r="I12" s="8">
        <v>50</v>
      </c>
      <c r="J12" s="2"/>
      <c r="R12" s="1">
        <f>IF(vend16[[#This Row],[Nº Venda]]&gt;1,1,0)</f>
        <v>1</v>
      </c>
    </row>
    <row r="13" spans="2:18" ht="15.6" x14ac:dyDescent="0.3">
      <c r="B13" s="30" t="s">
        <v>8</v>
      </c>
      <c r="C13" s="31">
        <f t="shared" si="0"/>
        <v>2199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IF(vend16[[#This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6" x14ac:dyDescent="0.3">
      <c r="B15" s="30" t="s">
        <v>10</v>
      </c>
      <c r="C15" s="31">
        <f t="shared" si="0"/>
        <v>409</v>
      </c>
      <c r="D15" s="2"/>
      <c r="E15" s="18"/>
      <c r="F15" s="25"/>
      <c r="G15" s="26"/>
      <c r="H15" s="8"/>
      <c r="I15" s="8"/>
      <c r="J15" s="2"/>
      <c r="K15" s="25">
        <v>9643</v>
      </c>
      <c r="L15" s="9" t="s">
        <v>134</v>
      </c>
      <c r="M15" s="16" t="s">
        <v>141</v>
      </c>
      <c r="R15" s="1">
        <f>IF(vend16[[#This Row],[Nº Venda]]&gt;1,1,0)</f>
        <v>0</v>
      </c>
    </row>
    <row r="16" spans="2:18" ht="15.6" x14ac:dyDescent="0.3">
      <c r="B16" s="28" t="s">
        <v>11</v>
      </c>
      <c r="C16" s="32">
        <f>SUM(C11:C15)</f>
        <v>2608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63"/>
      <c r="L17" s="9"/>
      <c r="M17" s="69"/>
      <c r="R17" s="1">
        <f>IF(vend16[[#This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6" x14ac:dyDescent="0.3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2688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9645</v>
      </c>
      <c r="F26" s="25" t="s">
        <v>225</v>
      </c>
      <c r="G26" s="46" t="s">
        <v>10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8587</v>
      </c>
      <c r="F35" s="25" t="s">
        <v>247</v>
      </c>
      <c r="G35" s="26" t="s">
        <v>10</v>
      </c>
      <c r="H35" s="8">
        <v>110</v>
      </c>
      <c r="I35" s="8" t="s">
        <v>80</v>
      </c>
      <c r="K35" s="25"/>
      <c r="L35" s="41"/>
      <c r="M35" s="16"/>
    </row>
    <row r="36" spans="2:18" ht="15.6" x14ac:dyDescent="0.3">
      <c r="E36" s="18">
        <v>8587</v>
      </c>
      <c r="F36" s="25" t="s">
        <v>247</v>
      </c>
      <c r="G36" s="26" t="s">
        <v>10</v>
      </c>
      <c r="H36" s="8">
        <v>110</v>
      </c>
      <c r="I36" s="8" t="s">
        <v>45</v>
      </c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  <x14:dataValidation type="list" allowBlank="1" showInputMessage="1" showErrorMessage="1" xr:uid="{2E93A34E-84DB-41F0-9F96-A1B7FAA7ED72}">
          <x14:formula1>
            <xm:f>resumo_cx!$P$2:$P$18</xm:f>
          </x14:formula1>
          <xm:sqref>L15:L31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zoomScale="80" zoomScaleNormal="80" workbookViewId="0">
      <selection activeCell="K23" sqref="K2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'16'!B1+1</f>
        <v>45521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3168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2568</v>
      </c>
      <c r="D6" s="2"/>
      <c r="E6" s="18">
        <v>9659</v>
      </c>
      <c r="F6" s="25" t="s">
        <v>248</v>
      </c>
      <c r="G6" s="26" t="s">
        <v>8</v>
      </c>
      <c r="H6" s="8">
        <v>400</v>
      </c>
      <c r="I6" s="8">
        <v>400</v>
      </c>
      <c r="J6" s="2"/>
      <c r="K6" s="25"/>
      <c r="L6" s="9"/>
      <c r="M6" s="16"/>
      <c r="R6" s="1">
        <f>IF(vend17[[#This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9660</v>
      </c>
      <c r="F7" s="25" t="s">
        <v>249</v>
      </c>
      <c r="G7" s="26" t="s">
        <v>8</v>
      </c>
      <c r="H7" s="8">
        <v>150</v>
      </c>
      <c r="I7" s="8">
        <v>150</v>
      </c>
      <c r="J7" s="2"/>
      <c r="K7" s="25"/>
      <c r="L7" s="9"/>
      <c r="M7" s="16"/>
      <c r="R7" s="1">
        <f>IF(vend17[[#This Row],[Nº Venda]]&gt;1,1,0)</f>
        <v>1</v>
      </c>
    </row>
    <row r="8" spans="2:18" ht="15.6" x14ac:dyDescent="0.3">
      <c r="B8" s="28" t="s">
        <v>21</v>
      </c>
      <c r="C8" s="29">
        <f>SUM(C6:C7)</f>
        <v>2568</v>
      </c>
      <c r="D8" s="2"/>
      <c r="E8" s="18">
        <v>9661</v>
      </c>
      <c r="F8" s="25" t="s">
        <v>250</v>
      </c>
      <c r="G8" s="26" t="s">
        <v>10</v>
      </c>
      <c r="H8" s="8">
        <v>370</v>
      </c>
      <c r="I8" s="8">
        <v>370</v>
      </c>
      <c r="J8" s="2"/>
      <c r="K8" s="25"/>
      <c r="L8" s="9"/>
      <c r="M8" s="16"/>
      <c r="R8" s="1">
        <f>IF(vend17[[#This Row],[Nº Venda]]&gt;1,1,0)</f>
        <v>1</v>
      </c>
    </row>
    <row r="9" spans="2:18" ht="15.6" x14ac:dyDescent="0.3">
      <c r="B9" s="2"/>
      <c r="C9" s="2"/>
      <c r="D9" s="2"/>
      <c r="E9" s="18">
        <v>9662</v>
      </c>
      <c r="F9" s="25" t="s">
        <v>248</v>
      </c>
      <c r="G9" s="26" t="s">
        <v>8</v>
      </c>
      <c r="H9" s="8">
        <v>50</v>
      </c>
      <c r="I9" s="8">
        <v>50</v>
      </c>
      <c r="J9" s="2"/>
      <c r="K9" s="25"/>
      <c r="L9" s="9"/>
      <c r="M9" s="16"/>
      <c r="R9" s="1">
        <f>IF(vend17[[#This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9663</v>
      </c>
      <c r="F10" s="25" t="s">
        <v>252</v>
      </c>
      <c r="G10" s="26" t="s">
        <v>10</v>
      </c>
      <c r="H10" s="8">
        <v>540</v>
      </c>
      <c r="I10" s="8">
        <v>50</v>
      </c>
      <c r="J10" s="2"/>
      <c r="K10" s="25"/>
      <c r="L10" s="9"/>
      <c r="M10" s="16"/>
      <c r="R10" s="1">
        <f>IF(vend17[[#This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>
        <v>9664</v>
      </c>
      <c r="F11" s="25" t="s">
        <v>253</v>
      </c>
      <c r="G11" s="26" t="s">
        <v>10</v>
      </c>
      <c r="H11" s="8">
        <v>250</v>
      </c>
      <c r="I11" s="8">
        <v>20</v>
      </c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116.66</v>
      </c>
      <c r="D12" s="2"/>
      <c r="E12" s="18">
        <v>9665</v>
      </c>
      <c r="F12" s="25" t="s">
        <v>254</v>
      </c>
      <c r="G12" s="26" t="s">
        <v>8</v>
      </c>
      <c r="H12" s="8">
        <v>799</v>
      </c>
      <c r="I12" s="8">
        <v>799</v>
      </c>
      <c r="J12" s="2"/>
      <c r="R12" s="1">
        <f>IF(vend17[[#This Row],[Nº Venda]]&gt;1,1,0)</f>
        <v>1</v>
      </c>
    </row>
    <row r="13" spans="2:18" ht="15.6" x14ac:dyDescent="0.3">
      <c r="B13" s="30" t="s">
        <v>8</v>
      </c>
      <c r="C13" s="31">
        <f t="shared" si="0"/>
        <v>1878</v>
      </c>
      <c r="D13" s="2"/>
      <c r="E13" s="18">
        <v>9666</v>
      </c>
      <c r="F13" s="25" t="s">
        <v>255</v>
      </c>
      <c r="G13" s="26" t="s">
        <v>10</v>
      </c>
      <c r="H13" s="8">
        <v>130</v>
      </c>
      <c r="I13" s="8">
        <v>130</v>
      </c>
      <c r="J13" s="2"/>
      <c r="K13" s="105" t="s">
        <v>22</v>
      </c>
      <c r="L13" s="106"/>
      <c r="M13" s="107"/>
      <c r="R13" s="1">
        <f>IF(vend17[[#This Row],[Nº Venda]]&gt;1,1,0)</f>
        <v>1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>
        <v>9667</v>
      </c>
      <c r="F14" s="25" t="s">
        <v>256</v>
      </c>
      <c r="G14" s="26" t="s">
        <v>8</v>
      </c>
      <c r="H14" s="8">
        <v>399</v>
      </c>
      <c r="I14" s="8">
        <v>399</v>
      </c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1</v>
      </c>
    </row>
    <row r="15" spans="2:18" ht="15.6" x14ac:dyDescent="0.3">
      <c r="B15" s="30" t="s">
        <v>10</v>
      </c>
      <c r="C15" s="31">
        <f t="shared" si="0"/>
        <v>690</v>
      </c>
      <c r="D15" s="2"/>
      <c r="E15" s="18"/>
      <c r="F15" s="25"/>
      <c r="G15" s="26"/>
      <c r="H15" s="8"/>
      <c r="I15" s="8"/>
      <c r="J15" s="2"/>
      <c r="K15" s="25">
        <v>9649</v>
      </c>
      <c r="L15" s="9" t="s">
        <v>134</v>
      </c>
      <c r="M15" s="16" t="s">
        <v>141</v>
      </c>
      <c r="R15" s="1">
        <f>IF(vend17[[#This Row],[Nº Venda]]&gt;1,1,0)</f>
        <v>0</v>
      </c>
    </row>
    <row r="16" spans="2:18" ht="15.6" x14ac:dyDescent="0.3">
      <c r="B16" s="28" t="s">
        <v>11</v>
      </c>
      <c r="C16" s="32">
        <f>SUM(C11:C15)</f>
        <v>2684.66</v>
      </c>
      <c r="D16" s="2"/>
      <c r="E16" s="18"/>
      <c r="F16" s="25"/>
      <c r="G16" s="26"/>
      <c r="H16" s="8"/>
      <c r="I16" s="8"/>
      <c r="J16" s="2"/>
      <c r="K16" s="25">
        <v>9662</v>
      </c>
      <c r="L16" s="9" t="s">
        <v>130</v>
      </c>
      <c r="M16" s="16" t="s">
        <v>141</v>
      </c>
      <c r="R16" s="1">
        <f>IF(vend17[[#This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9659</v>
      </c>
      <c r="L17" s="9" t="s">
        <v>130</v>
      </c>
      <c r="M17" s="16" t="s">
        <v>141</v>
      </c>
      <c r="R17" s="1">
        <f>IF(vend17[[#This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9660</v>
      </c>
      <c r="L18" s="9" t="s">
        <v>130</v>
      </c>
      <c r="M18" s="16" t="s">
        <v>141</v>
      </c>
      <c r="R18" s="1">
        <f>IF(vend17[[#This Row],[Nº Venda]]&gt;1,1,0)</f>
        <v>0</v>
      </c>
    </row>
    <row r="19" spans="2:18" ht="15.6" x14ac:dyDescent="0.3">
      <c r="B19" s="30">
        <f>COUNT(entr_carn17[OS])</f>
        <v>1</v>
      </c>
      <c r="C19" s="31">
        <f>SUM(entr_carn17[Valor Total])</f>
        <v>529</v>
      </c>
      <c r="D19" s="2"/>
      <c r="E19" s="18"/>
      <c r="F19" s="25"/>
      <c r="G19" s="26"/>
      <c r="H19" s="8"/>
      <c r="I19" s="8"/>
      <c r="J19" s="2"/>
      <c r="K19" s="25">
        <v>9619</v>
      </c>
      <c r="L19" s="9" t="s">
        <v>130</v>
      </c>
      <c r="M19" s="16" t="s">
        <v>189</v>
      </c>
      <c r="R19" s="1">
        <f>IF(vend17[[#This Row],[Nº Venda]]&gt;1,1,0)</f>
        <v>0</v>
      </c>
    </row>
    <row r="20" spans="2:18" ht="15.6" x14ac:dyDescent="0.3">
      <c r="B20" s="28" t="s">
        <v>11</v>
      </c>
      <c r="C20" s="32">
        <f>SUM(C19:C19)</f>
        <v>529</v>
      </c>
      <c r="D20" s="2"/>
      <c r="E20" s="18"/>
      <c r="F20" s="26"/>
      <c r="G20" s="26"/>
      <c r="H20" s="8"/>
      <c r="I20" s="8"/>
      <c r="J20" s="2"/>
      <c r="K20" s="25">
        <v>9608</v>
      </c>
      <c r="L20" s="9" t="s">
        <v>134</v>
      </c>
      <c r="M20" s="16" t="s">
        <v>141</v>
      </c>
      <c r="R20" s="1">
        <f>IF(vend17[[#This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>
        <v>9630</v>
      </c>
      <c r="L21" s="9" t="s">
        <v>130</v>
      </c>
      <c r="M21" s="16" t="s">
        <v>141</v>
      </c>
    </row>
    <row r="22" spans="2:18" ht="15.6" x14ac:dyDescent="0.3">
      <c r="B22" s="28" t="s">
        <v>26</v>
      </c>
      <c r="C22" s="32">
        <f>C5</f>
        <v>3168</v>
      </c>
      <c r="D22" s="2"/>
      <c r="E22" s="18"/>
      <c r="F22" s="25"/>
      <c r="G22" s="26"/>
      <c r="H22" s="8"/>
      <c r="I22" s="8"/>
      <c r="J22" s="2"/>
      <c r="K22" s="25">
        <v>9629</v>
      </c>
      <c r="L22" s="9" t="s">
        <v>130</v>
      </c>
      <c r="M22" s="16" t="s">
        <v>141</v>
      </c>
    </row>
    <row r="23" spans="2:18" ht="14.4" x14ac:dyDescent="0.3">
      <c r="B23" s="2"/>
      <c r="C23" s="2"/>
      <c r="D23" s="2"/>
      <c r="E23" s="33"/>
      <c r="H23" s="7"/>
      <c r="J23" s="2"/>
      <c r="K23" s="25">
        <v>9666</v>
      </c>
      <c r="L23" s="9" t="s">
        <v>136</v>
      </c>
      <c r="M23" s="16" t="s">
        <v>141</v>
      </c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9649</v>
      </c>
      <c r="F26" s="25" t="s">
        <v>251</v>
      </c>
      <c r="G26" s="26" t="s">
        <v>8</v>
      </c>
      <c r="H26" s="8">
        <v>80</v>
      </c>
      <c r="I26" s="8">
        <v>80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9619</v>
      </c>
      <c r="F27" s="25" t="s">
        <v>211</v>
      </c>
      <c r="G27" s="26" t="s">
        <v>10</v>
      </c>
      <c r="H27" s="8"/>
      <c r="I27" s="8">
        <v>120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9091</v>
      </c>
      <c r="F35" s="25" t="s">
        <v>257</v>
      </c>
      <c r="G35" s="26" t="s">
        <v>7</v>
      </c>
      <c r="H35" s="8">
        <v>116.66</v>
      </c>
      <c r="I35" s="8" t="s">
        <v>45</v>
      </c>
      <c r="K35" s="25">
        <v>9619</v>
      </c>
      <c r="L35" s="41">
        <v>6</v>
      </c>
      <c r="M35" s="16">
        <v>529</v>
      </c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9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G35:G41 G26:G31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  <x14:dataValidation type="list" allowBlank="1" showInputMessage="1" showErrorMessage="1" xr:uid="{87DE9A87-0143-4B7F-BD5A-6E8F16B4D440}">
          <x14:formula1>
            <xm:f>resumo_cx!$P$2:$P$18</xm:f>
          </x14:formula1>
          <xm:sqref>L15:L31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zoomScale="80" zoomScaleNormal="80" workbookViewId="0">
      <selection activeCell="K35" sqref="K35:M35"/>
    </sheetView>
  </sheetViews>
  <sheetFormatPr defaultColWidth="9.109375" defaultRowHeight="13.2" x14ac:dyDescent="0.25"/>
  <cols>
    <col min="1" max="1" width="3.6640625" style="1" customWidth="1"/>
    <col min="2" max="2" width="27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71">
        <f>'17'!B1+1</f>
        <v>45522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94"/>
      <c r="F6" s="63"/>
      <c r="G6" s="95"/>
      <c r="H6" s="72"/>
      <c r="I6" s="72"/>
      <c r="J6" s="2"/>
      <c r="K6" s="25"/>
      <c r="L6" s="68"/>
      <c r="M6" s="16"/>
      <c r="R6" s="1">
        <f>IF(vend18[[#This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6" x14ac:dyDescent="0.3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6" x14ac:dyDescent="0.3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102"/>
      <c r="M15" s="16"/>
      <c r="R15" s="1">
        <f>IF(vend18[[#This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6" x14ac:dyDescent="0.3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66"/>
      <c r="F23" s="66"/>
      <c r="G23" s="66"/>
      <c r="H23" s="67"/>
      <c r="I23" s="6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8"/>
      <c r="I35" s="8"/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G6:G23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  <x14:dataValidation type="list" allowBlank="1" showInputMessage="1" showErrorMessage="1" xr:uid="{4A9D39F6-9A77-4B1C-A7FB-33BB55CBFC59}">
          <x14:formula1>
            <xm:f>resumo_cx!$P$2:$P$18</xm:f>
          </x14:formula1>
          <xm:sqref>L16:L31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V41"/>
  <sheetViews>
    <sheetView showGridLines="0" tabSelected="1" topLeftCell="A7" zoomScale="80" zoomScaleNormal="80" zoomScaleSheetLayoutView="70" workbookViewId="0">
      <selection activeCell="M37" sqref="M37"/>
    </sheetView>
  </sheetViews>
  <sheetFormatPr defaultColWidth="9.109375" defaultRowHeight="13.2" x14ac:dyDescent="0.25"/>
  <cols>
    <col min="1" max="1" width="3.6640625" style="1" customWidth="1"/>
    <col min="2" max="2" width="27.886718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84">
        <f>'18'!B1+1</f>
        <v>45523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1850</v>
      </c>
      <c r="D6" s="2"/>
      <c r="E6" s="94">
        <v>9668</v>
      </c>
      <c r="F6" s="63" t="s">
        <v>258</v>
      </c>
      <c r="G6" s="95" t="s">
        <v>6</v>
      </c>
      <c r="H6" s="72">
        <v>600</v>
      </c>
      <c r="I6" s="72">
        <v>100</v>
      </c>
      <c r="J6" s="2"/>
      <c r="K6" s="25"/>
      <c r="L6" s="9"/>
      <c r="M6" s="16"/>
      <c r="R6" s="1">
        <f>IF(vend19[[#This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9669</v>
      </c>
      <c r="F7" s="25" t="s">
        <v>259</v>
      </c>
      <c r="G7" s="26" t="s">
        <v>50</v>
      </c>
      <c r="H7" s="8"/>
      <c r="I7" s="8"/>
      <c r="J7" s="2"/>
      <c r="K7" s="25"/>
      <c r="L7" s="9"/>
      <c r="M7" s="16"/>
      <c r="R7" s="1">
        <f>IF(vend19[[#This Row],[Nº Venda]]&gt;1,1,0)</f>
        <v>1</v>
      </c>
    </row>
    <row r="8" spans="2:18" ht="15.6" x14ac:dyDescent="0.3">
      <c r="B8" s="28" t="s">
        <v>21</v>
      </c>
      <c r="C8" s="29">
        <f>SUM(C6:C7)</f>
        <v>1850</v>
      </c>
      <c r="D8" s="2"/>
      <c r="E8" s="18">
        <v>9670</v>
      </c>
      <c r="F8" s="25" t="s">
        <v>260</v>
      </c>
      <c r="G8" s="26" t="s">
        <v>8</v>
      </c>
      <c r="H8" s="8">
        <v>900</v>
      </c>
      <c r="I8" s="8">
        <v>900</v>
      </c>
      <c r="J8" s="2"/>
      <c r="K8" s="25"/>
      <c r="L8" s="9"/>
      <c r="M8" s="16"/>
      <c r="R8" s="1">
        <f>IF(vend19[[#This Row],[Nº Venda]]&gt;1,1,0)</f>
        <v>1</v>
      </c>
    </row>
    <row r="9" spans="2:18" ht="15.6" x14ac:dyDescent="0.3">
      <c r="B9" s="2"/>
      <c r="C9" s="2"/>
      <c r="D9" s="2"/>
      <c r="E9" s="18">
        <v>9671</v>
      </c>
      <c r="F9" s="25" t="s">
        <v>260</v>
      </c>
      <c r="G9" s="26" t="s">
        <v>8</v>
      </c>
      <c r="H9" s="8">
        <v>200</v>
      </c>
      <c r="I9" s="8">
        <v>200</v>
      </c>
      <c r="J9" s="2"/>
      <c r="K9" s="25"/>
      <c r="L9" s="9"/>
      <c r="M9" s="16"/>
      <c r="R9" s="1">
        <f>IF(vend19[[#This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9672</v>
      </c>
      <c r="F10" s="25" t="s">
        <v>261</v>
      </c>
      <c r="G10" s="26" t="s">
        <v>7</v>
      </c>
      <c r="H10" s="8">
        <v>600</v>
      </c>
      <c r="I10" s="8">
        <v>600</v>
      </c>
      <c r="J10" s="2"/>
      <c r="K10" s="25"/>
      <c r="L10" s="9"/>
      <c r="M10" s="16"/>
      <c r="R10" s="1">
        <f>IF(vend19[[#This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300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650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6" x14ac:dyDescent="0.3">
      <c r="B13" s="30" t="s">
        <v>8</v>
      </c>
      <c r="C13" s="31">
        <f t="shared" si="0"/>
        <v>1100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IF(vend19[[#This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6" x14ac:dyDescent="0.3">
      <c r="B15" s="30" t="s">
        <v>10</v>
      </c>
      <c r="C15" s="31">
        <f t="shared" si="0"/>
        <v>168</v>
      </c>
      <c r="D15" s="2"/>
      <c r="E15" s="18"/>
      <c r="F15" s="25"/>
      <c r="G15" s="26"/>
      <c r="H15" s="8"/>
      <c r="I15" s="8"/>
      <c r="J15" s="2"/>
      <c r="K15" s="25">
        <v>9510</v>
      </c>
      <c r="L15" s="102" t="s">
        <v>130</v>
      </c>
      <c r="M15" s="16" t="s">
        <v>141</v>
      </c>
      <c r="R15" s="1">
        <f>IF(vend19[[#This Row],[Nº Venda]]&gt;1,1,0)</f>
        <v>0</v>
      </c>
    </row>
    <row r="16" spans="2:18" ht="15.6" x14ac:dyDescent="0.3">
      <c r="B16" s="28" t="s">
        <v>11</v>
      </c>
      <c r="C16" s="32">
        <f>SUM(C11:C15)</f>
        <v>2218</v>
      </c>
      <c r="D16" s="2"/>
      <c r="E16" s="18"/>
      <c r="F16" s="25"/>
      <c r="G16" s="26"/>
      <c r="H16" s="8"/>
      <c r="I16" s="8"/>
      <c r="J16" s="2"/>
      <c r="K16" s="25">
        <v>9494</v>
      </c>
      <c r="L16" s="9" t="s">
        <v>134</v>
      </c>
      <c r="M16" s="16" t="s">
        <v>141</v>
      </c>
      <c r="R16" s="1">
        <f>IF(vend19[[#This Row],[Nº Venda]]&gt;1,1,0)</f>
        <v>0</v>
      </c>
    </row>
    <row r="17" spans="2:22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9569</v>
      </c>
      <c r="L17" s="9" t="s">
        <v>130</v>
      </c>
      <c r="M17" s="16" t="s">
        <v>189</v>
      </c>
      <c r="R17" s="1">
        <f>IF(vend19[[#This Row],[Nº Venda]]&gt;1,1,0)</f>
        <v>0</v>
      </c>
    </row>
    <row r="18" spans="2:22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9639</v>
      </c>
      <c r="L18" s="9" t="s">
        <v>130</v>
      </c>
      <c r="M18" s="16" t="s">
        <v>141</v>
      </c>
      <c r="R18" s="1">
        <f>IF(vend19[[#This Row],[Nº Venda]]&gt;1,1,0)</f>
        <v>0</v>
      </c>
    </row>
    <row r="19" spans="2:22" ht="15.6" x14ac:dyDescent="0.3">
      <c r="B19" s="30">
        <f>COUNT(entr_carn19[OS])</f>
        <v>2</v>
      </c>
      <c r="C19" s="31">
        <f>SUM(entr_carn19[Valor Total])</f>
        <v>1200</v>
      </c>
      <c r="D19" s="2"/>
      <c r="E19" s="18"/>
      <c r="F19" s="25"/>
      <c r="G19" s="26"/>
      <c r="H19" s="8"/>
      <c r="I19" s="8"/>
      <c r="J19" s="2"/>
      <c r="K19" s="25">
        <v>9669</v>
      </c>
      <c r="L19" s="9" t="s">
        <v>130</v>
      </c>
      <c r="M19" s="16" t="s">
        <v>141</v>
      </c>
      <c r="R19" s="1">
        <f>IF(vend19[[#This Row],[Nº Venda]]&gt;1,1,0)</f>
        <v>0</v>
      </c>
    </row>
    <row r="20" spans="2:22" ht="15.6" x14ac:dyDescent="0.3">
      <c r="B20" s="28" t="s">
        <v>11</v>
      </c>
      <c r="C20" s="32">
        <f>SUM(C19:C19)</f>
        <v>1200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  <c r="V20" s="1" t="s">
        <v>58</v>
      </c>
    </row>
    <row r="21" spans="2:22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22" ht="15.6" x14ac:dyDescent="0.3">
      <c r="B22" s="28" t="s">
        <v>26</v>
      </c>
      <c r="C22" s="32">
        <f>C5</f>
        <v>2350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22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22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22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6" x14ac:dyDescent="0.3">
      <c r="B26" s="2"/>
      <c r="C26" s="2"/>
      <c r="D26" s="2"/>
      <c r="E26" s="18">
        <v>9669</v>
      </c>
      <c r="F26" s="39" t="s">
        <v>259</v>
      </c>
      <c r="G26" s="26" t="s">
        <v>7</v>
      </c>
      <c r="H26" s="8">
        <v>50</v>
      </c>
      <c r="I26" s="8">
        <v>50</v>
      </c>
      <c r="J26" s="2"/>
      <c r="K26" s="25"/>
      <c r="L26" s="9"/>
      <c r="M26" s="16"/>
    </row>
    <row r="27" spans="2:22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22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6" x14ac:dyDescent="0.3">
      <c r="B29" s="2"/>
      <c r="C29" s="2"/>
      <c r="D29" s="2"/>
      <c r="E29" s="18"/>
      <c r="F29" s="25"/>
      <c r="G29" s="96"/>
      <c r="H29" s="26"/>
      <c r="I29" s="8"/>
      <c r="J29" s="2"/>
      <c r="K29" s="25"/>
      <c r="L29" s="9"/>
      <c r="M29" s="16"/>
    </row>
    <row r="30" spans="2:22" ht="15.6" x14ac:dyDescent="0.3">
      <c r="B30" s="2"/>
      <c r="C30" s="2"/>
      <c r="D30" s="2"/>
      <c r="E30" s="18"/>
      <c r="F30" s="25"/>
      <c r="G30" s="26"/>
      <c r="H30" s="8"/>
      <c r="I30" s="8"/>
      <c r="J30" s="2"/>
      <c r="K30" s="25"/>
      <c r="L30" s="9"/>
      <c r="M30" s="16"/>
    </row>
    <row r="31" spans="2:22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9569</v>
      </c>
      <c r="F35" s="25" t="s">
        <v>262</v>
      </c>
      <c r="G35" s="26" t="s">
        <v>6</v>
      </c>
      <c r="H35" s="8">
        <v>100</v>
      </c>
      <c r="I35" s="8" t="s">
        <v>71</v>
      </c>
      <c r="K35" s="25">
        <v>9569</v>
      </c>
      <c r="L35" s="41">
        <v>3</v>
      </c>
      <c r="M35" s="16">
        <v>300</v>
      </c>
    </row>
    <row r="36" spans="2:18" ht="15.6" x14ac:dyDescent="0.3">
      <c r="E36" s="18">
        <v>8765</v>
      </c>
      <c r="F36" s="25" t="s">
        <v>263</v>
      </c>
      <c r="G36" s="26" t="s">
        <v>6</v>
      </c>
      <c r="H36" s="8">
        <v>100</v>
      </c>
      <c r="I36" s="8" t="s">
        <v>81</v>
      </c>
      <c r="K36" s="25">
        <v>9494</v>
      </c>
      <c r="L36" s="41">
        <v>6</v>
      </c>
      <c r="M36" s="16">
        <v>900</v>
      </c>
    </row>
    <row r="37" spans="2:18" ht="15.6" x14ac:dyDescent="0.3">
      <c r="E37" s="18">
        <v>9072</v>
      </c>
      <c r="F37" s="25" t="s">
        <v>264</v>
      </c>
      <c r="G37" s="26" t="s">
        <v>10</v>
      </c>
      <c r="H37" s="8">
        <v>168</v>
      </c>
      <c r="I37" s="8" t="s">
        <v>45</v>
      </c>
      <c r="K37" s="25"/>
      <c r="L37" s="41"/>
      <c r="M37" s="112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E55B2DC7-1842-4C90-945B-7820B2C63E70}">
          <x14:formula1>
            <xm:f>base!$A$2:$A$6</xm:f>
          </x14:formula1>
          <xm:sqref>G30:G31 H29 G26:G28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  <x14:dataValidation type="list" allowBlank="1" showInputMessage="1" showErrorMessage="1" xr:uid="{A8ECB4BC-7BB5-40B4-A410-6559EC63526E}">
          <x14:formula1>
            <xm:f>resumo_cx!$P$2:$P$18</xm:f>
          </x14:formula1>
          <xm:sqref>L16:L31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12" zoomScale="80" zoomScaleNormal="80" workbookViewId="0">
      <selection activeCell="J35" sqref="J35"/>
    </sheetView>
  </sheetViews>
  <sheetFormatPr defaultColWidth="9.109375" defaultRowHeight="13.2" x14ac:dyDescent="0.25"/>
  <cols>
    <col min="1" max="1" width="3.6640625" style="1" customWidth="1"/>
    <col min="2" max="2" width="28.66406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1.2" x14ac:dyDescent="0.6">
      <c r="B1" s="71">
        <f>'19'!B1+1</f>
        <v>45524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4550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5100</v>
      </c>
      <c r="D6" s="2"/>
      <c r="E6" s="18">
        <v>9673</v>
      </c>
      <c r="F6" s="25" t="s">
        <v>265</v>
      </c>
      <c r="G6" s="26" t="s">
        <v>8</v>
      </c>
      <c r="H6" s="8">
        <v>1000</v>
      </c>
      <c r="I6" s="8">
        <v>1000</v>
      </c>
      <c r="J6" s="2"/>
      <c r="K6" s="25"/>
      <c r="L6" s="9"/>
      <c r="M6" s="16"/>
      <c r="R6" s="1">
        <f>IF(vend20[[#This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9674</v>
      </c>
      <c r="F7" s="25" t="s">
        <v>265</v>
      </c>
      <c r="G7" s="26" t="s">
        <v>8</v>
      </c>
      <c r="H7" s="8">
        <v>800</v>
      </c>
      <c r="I7" s="8">
        <v>800</v>
      </c>
      <c r="J7" s="2"/>
      <c r="K7" s="25"/>
      <c r="L7" s="9"/>
      <c r="M7" s="16"/>
      <c r="R7" s="1">
        <f>IF(vend20[[#This Row],[Nº Venda]]&gt;1,1,0)</f>
        <v>1</v>
      </c>
    </row>
    <row r="8" spans="2:18" ht="15.6" x14ac:dyDescent="0.3">
      <c r="B8" s="28" t="s">
        <v>21</v>
      </c>
      <c r="C8" s="29">
        <f>SUM(C6:C7)</f>
        <v>5100</v>
      </c>
      <c r="D8" s="2"/>
      <c r="E8" s="18">
        <v>9675</v>
      </c>
      <c r="F8" s="25" t="s">
        <v>266</v>
      </c>
      <c r="G8" s="26" t="s">
        <v>8</v>
      </c>
      <c r="H8" s="8">
        <v>450</v>
      </c>
      <c r="I8" s="8">
        <v>450</v>
      </c>
      <c r="J8" s="2"/>
      <c r="K8" s="25"/>
      <c r="L8" s="9"/>
      <c r="M8" s="16"/>
      <c r="R8" s="1">
        <f>IF(vend20[[#This Row],[Nº Venda]]&gt;1,1,0)</f>
        <v>1</v>
      </c>
    </row>
    <row r="9" spans="2:18" ht="15.6" x14ac:dyDescent="0.3">
      <c r="B9" s="2"/>
      <c r="C9" s="2"/>
      <c r="D9" s="2"/>
      <c r="E9" s="18">
        <v>9676</v>
      </c>
      <c r="F9" s="25" t="s">
        <v>266</v>
      </c>
      <c r="G9" s="26" t="s">
        <v>8</v>
      </c>
      <c r="H9" s="8">
        <v>200</v>
      </c>
      <c r="I9" s="8">
        <v>200</v>
      </c>
      <c r="J9" s="2"/>
      <c r="K9" s="25"/>
      <c r="L9" s="9"/>
      <c r="M9" s="16"/>
      <c r="R9" s="1">
        <f>IF(vend20[[#This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9677</v>
      </c>
      <c r="F10" s="25" t="s">
        <v>266</v>
      </c>
      <c r="G10" s="26" t="s">
        <v>8</v>
      </c>
      <c r="H10" s="8">
        <v>300</v>
      </c>
      <c r="I10" s="8">
        <v>300</v>
      </c>
      <c r="J10" s="2"/>
      <c r="K10" s="25"/>
      <c r="L10" s="9"/>
      <c r="M10" s="16"/>
      <c r="R10" s="1">
        <f>IF(vend20[[#This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>
        <v>9678</v>
      </c>
      <c r="F11" s="25" t="s">
        <v>267</v>
      </c>
      <c r="G11" s="26" t="s">
        <v>8</v>
      </c>
      <c r="H11" s="8">
        <v>1800</v>
      </c>
      <c r="I11" s="8">
        <v>1700</v>
      </c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>
        <v>9678</v>
      </c>
      <c r="F12" s="25" t="s">
        <v>267</v>
      </c>
      <c r="G12" s="26" t="s">
        <v>10</v>
      </c>
      <c r="H12" s="8"/>
      <c r="I12" s="8">
        <v>100</v>
      </c>
      <c r="J12" s="2"/>
      <c r="R12" s="1">
        <f>IF(vend20[[#This Row],[Nº Venda]]&gt;1,1,0)</f>
        <v>1</v>
      </c>
    </row>
    <row r="13" spans="2:18" ht="15.6" x14ac:dyDescent="0.3">
      <c r="B13" s="30" t="s">
        <v>8</v>
      </c>
      <c r="C13" s="31">
        <f t="shared" si="0"/>
        <v>4450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IF(vend20[[#This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6" x14ac:dyDescent="0.3">
      <c r="B15" s="30" t="s">
        <v>10</v>
      </c>
      <c r="C15" s="31">
        <f t="shared" si="0"/>
        <v>812.5</v>
      </c>
      <c r="D15" s="2"/>
      <c r="E15" s="18"/>
      <c r="F15" s="25"/>
      <c r="G15" s="26"/>
      <c r="H15" s="8"/>
      <c r="I15" s="8"/>
      <c r="J15" s="2"/>
      <c r="K15" s="63">
        <v>9624</v>
      </c>
      <c r="L15" s="9" t="s">
        <v>134</v>
      </c>
      <c r="M15" s="16" t="s">
        <v>141</v>
      </c>
      <c r="R15" s="1">
        <f>IF(vend20[[#This Row],[Nº Venda]]&gt;1,1,0)</f>
        <v>0</v>
      </c>
    </row>
    <row r="16" spans="2:18" ht="15.6" x14ac:dyDescent="0.3">
      <c r="B16" s="28" t="s">
        <v>11</v>
      </c>
      <c r="C16" s="32">
        <f>SUM(C11:C15)</f>
        <v>5262.5</v>
      </c>
      <c r="D16" s="2"/>
      <c r="E16" s="18"/>
      <c r="F16" s="25"/>
      <c r="G16" s="26"/>
      <c r="H16" s="8"/>
      <c r="I16" s="8"/>
      <c r="J16" s="2"/>
      <c r="K16" s="63">
        <v>9599</v>
      </c>
      <c r="L16" s="9" t="s">
        <v>136</v>
      </c>
      <c r="M16" s="69" t="s">
        <v>141</v>
      </c>
      <c r="R16" s="1">
        <f>IF(vend20[[#This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6" x14ac:dyDescent="0.3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4550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9495</v>
      </c>
      <c r="F26" s="25" t="s">
        <v>268</v>
      </c>
      <c r="G26" s="26" t="s">
        <v>10</v>
      </c>
      <c r="H26" s="8"/>
      <c r="I26" s="8">
        <v>150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9527</v>
      </c>
      <c r="F27" s="25" t="s">
        <v>269</v>
      </c>
      <c r="G27" s="26" t="s">
        <v>10</v>
      </c>
      <c r="H27" s="8"/>
      <c r="I27" s="8">
        <v>400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9451</v>
      </c>
      <c r="F35" s="25" t="s">
        <v>270</v>
      </c>
      <c r="G35" s="26" t="s">
        <v>10</v>
      </c>
      <c r="H35" s="8">
        <v>162.5</v>
      </c>
      <c r="I35" s="8" t="s">
        <v>82</v>
      </c>
      <c r="K35" s="25"/>
      <c r="L35" s="41"/>
      <c r="M35" s="69"/>
    </row>
    <row r="36" spans="2:18" ht="15.6" x14ac:dyDescent="0.3">
      <c r="E36" s="18"/>
      <c r="F36" s="25"/>
      <c r="G36" s="26"/>
      <c r="H36" s="8"/>
      <c r="I36" s="8"/>
      <c r="K36" s="63"/>
      <c r="L36" s="70"/>
      <c r="M36" s="69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  <x14:dataValidation type="list" allowBlank="1" showInputMessage="1" showErrorMessage="1" xr:uid="{E42357DA-3FB1-4F50-A006-28D0F8223D14}">
          <x14:formula1>
            <xm:f>resumo_cx!$P$2:$P$18</xm:f>
          </x14:formula1>
          <xm:sqref>L15:L31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view="pageBreakPreview" zoomScale="60" zoomScaleNormal="80" workbookViewId="0">
      <selection activeCell="E27" sqref="E27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'20'!B1+1</f>
        <v>45525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2881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1105</v>
      </c>
      <c r="D6" s="2"/>
      <c r="E6" s="18">
        <v>9679</v>
      </c>
      <c r="F6" s="25" t="s">
        <v>271</v>
      </c>
      <c r="G6" s="26" t="s">
        <v>50</v>
      </c>
      <c r="H6" s="8">
        <v>35</v>
      </c>
      <c r="I6" s="8">
        <v>0</v>
      </c>
      <c r="J6" s="2"/>
      <c r="K6" s="25"/>
      <c r="L6" s="9"/>
      <c r="M6" s="16"/>
      <c r="R6" s="1">
        <f>IF(vend21[[#This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9680</v>
      </c>
      <c r="F7" s="25" t="s">
        <v>272</v>
      </c>
      <c r="G7" s="26" t="s">
        <v>8</v>
      </c>
      <c r="H7" s="8">
        <v>350</v>
      </c>
      <c r="I7" s="8">
        <v>350</v>
      </c>
      <c r="J7" s="2"/>
      <c r="K7" s="25"/>
      <c r="L7" s="9"/>
      <c r="M7" s="16"/>
      <c r="R7" s="1">
        <f>IF(vend21[[#This Row],[Nº Venda]]&gt;1,1,0)</f>
        <v>1</v>
      </c>
    </row>
    <row r="8" spans="2:18" ht="15.6" x14ac:dyDescent="0.3">
      <c r="B8" s="28" t="s">
        <v>21</v>
      </c>
      <c r="C8" s="29">
        <f>SUM(C6:C7)</f>
        <v>1105</v>
      </c>
      <c r="D8" s="2"/>
      <c r="E8" s="18">
        <v>9681</v>
      </c>
      <c r="F8" s="25" t="s">
        <v>279</v>
      </c>
      <c r="G8" s="26" t="s">
        <v>6</v>
      </c>
      <c r="H8" s="8">
        <v>712</v>
      </c>
      <c r="I8" s="8">
        <v>5</v>
      </c>
      <c r="J8" s="2"/>
      <c r="K8" s="25"/>
      <c r="L8" s="9"/>
      <c r="M8" s="16"/>
      <c r="R8" s="1">
        <f>IF(vend21[[#This Row],[Nº Venda]]&gt;1,1,0)</f>
        <v>1</v>
      </c>
    </row>
    <row r="9" spans="2:18" ht="15.6" x14ac:dyDescent="0.3">
      <c r="B9" s="2"/>
      <c r="C9" s="2"/>
      <c r="D9" s="2"/>
      <c r="E9" s="18">
        <v>9682</v>
      </c>
      <c r="F9" s="25" t="s">
        <v>273</v>
      </c>
      <c r="G9" s="26" t="s">
        <v>10</v>
      </c>
      <c r="H9" s="8">
        <v>700</v>
      </c>
      <c r="I9" s="8">
        <v>300</v>
      </c>
      <c r="J9" s="2"/>
      <c r="K9" s="25"/>
      <c r="L9" s="9"/>
      <c r="M9" s="16"/>
      <c r="R9" s="1">
        <f>IF(vend21[[#This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9683</v>
      </c>
      <c r="F10" s="25" t="s">
        <v>274</v>
      </c>
      <c r="G10" s="26" t="s">
        <v>10</v>
      </c>
      <c r="H10" s="8">
        <v>619</v>
      </c>
      <c r="I10" s="8">
        <v>150</v>
      </c>
      <c r="J10" s="2"/>
      <c r="K10" s="25"/>
      <c r="L10" s="9"/>
      <c r="M10" s="16"/>
      <c r="R10" s="1">
        <f>IF(vend21[[#This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380</v>
      </c>
      <c r="D11" s="2"/>
      <c r="E11" s="18">
        <v>9684</v>
      </c>
      <c r="F11" s="25" t="s">
        <v>269</v>
      </c>
      <c r="G11" s="26" t="s">
        <v>10</v>
      </c>
      <c r="H11" s="8">
        <v>500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IF(vend21[[#This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6" x14ac:dyDescent="0.3">
      <c r="B13" s="30" t="s">
        <v>8</v>
      </c>
      <c r="C13" s="31">
        <f t="shared" si="0"/>
        <v>350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6" x14ac:dyDescent="0.3">
      <c r="B15" s="30" t="s">
        <v>10</v>
      </c>
      <c r="C15" s="31">
        <f t="shared" si="0"/>
        <v>600</v>
      </c>
      <c r="D15" s="2"/>
      <c r="E15" s="18"/>
      <c r="F15" s="25"/>
      <c r="G15" s="26"/>
      <c r="H15" s="8"/>
      <c r="I15" s="8"/>
      <c r="J15" s="2"/>
      <c r="K15" s="25">
        <v>9642</v>
      </c>
      <c r="L15" s="9" t="s">
        <v>130</v>
      </c>
      <c r="M15" s="16" t="s">
        <v>189</v>
      </c>
      <c r="R15" s="1">
        <f>IF(vend21[[#This Row],[Nº Venda]]&gt;1,1,0)</f>
        <v>0</v>
      </c>
    </row>
    <row r="16" spans="2:18" ht="15.6" x14ac:dyDescent="0.3">
      <c r="B16" s="28" t="s">
        <v>11</v>
      </c>
      <c r="C16" s="32">
        <f>SUM(C11:C15)</f>
        <v>1330</v>
      </c>
      <c r="D16" s="2"/>
      <c r="E16" s="18"/>
      <c r="F16" s="25"/>
      <c r="G16" s="26"/>
      <c r="H16" s="8"/>
      <c r="I16" s="8"/>
      <c r="J16" s="2"/>
      <c r="K16" s="25">
        <v>9527</v>
      </c>
      <c r="L16" s="9" t="s">
        <v>130</v>
      </c>
      <c r="M16" s="16" t="s">
        <v>189</v>
      </c>
      <c r="R16" s="1">
        <f>IF(vend21[[#This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9667</v>
      </c>
      <c r="L17" s="9" t="s">
        <v>136</v>
      </c>
      <c r="M17" s="16" t="s">
        <v>141</v>
      </c>
      <c r="R17" s="1">
        <f>IF(vend21[[#This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9512</v>
      </c>
      <c r="L18" s="9" t="s">
        <v>130</v>
      </c>
      <c r="M18" s="16" t="s">
        <v>141</v>
      </c>
      <c r="R18" s="1">
        <f>IF(vend21[[#This Row],[Nº Venda]]&gt;1,1,0)</f>
        <v>0</v>
      </c>
    </row>
    <row r="19" spans="2:18" ht="15.6" x14ac:dyDescent="0.3">
      <c r="B19" s="30">
        <f>COUNT(entr_carn21[OS])</f>
        <v>2</v>
      </c>
      <c r="C19" s="31">
        <f>SUM(entr_carn21[Valor Total])</f>
        <v>1950</v>
      </c>
      <c r="D19" s="2"/>
      <c r="E19" s="18"/>
      <c r="F19" s="25"/>
      <c r="G19" s="26"/>
      <c r="H19" s="8"/>
      <c r="I19" s="8"/>
      <c r="J19" s="2"/>
      <c r="K19" s="25">
        <v>9646</v>
      </c>
      <c r="L19" s="9" t="s">
        <v>134</v>
      </c>
      <c r="M19" s="16" t="s">
        <v>141</v>
      </c>
      <c r="R19" s="1">
        <f>IF(vend21[[#This Row],[Nº Venda]]&gt;1,1,0)</f>
        <v>0</v>
      </c>
    </row>
    <row r="20" spans="2:18" ht="15.6" x14ac:dyDescent="0.3">
      <c r="B20" s="28" t="s">
        <v>11</v>
      </c>
      <c r="C20" s="32">
        <f>SUM(C19:C19)</f>
        <v>1950</v>
      </c>
      <c r="D20" s="2"/>
      <c r="E20" s="18"/>
      <c r="F20" s="26"/>
      <c r="G20" s="26"/>
      <c r="H20" s="8"/>
      <c r="I20" s="8"/>
      <c r="J20" s="2"/>
      <c r="K20" s="25">
        <v>9661</v>
      </c>
      <c r="L20" s="9" t="s">
        <v>136</v>
      </c>
      <c r="M20" s="16" t="s">
        <v>141</v>
      </c>
      <c r="R20" s="1">
        <f>IF(vend21[[#This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2881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9642</v>
      </c>
      <c r="F26" s="25" t="s">
        <v>275</v>
      </c>
      <c r="G26" s="26" t="s">
        <v>6</v>
      </c>
      <c r="H26" s="8"/>
      <c r="I26" s="8">
        <v>150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9494</v>
      </c>
      <c r="F27" s="25" t="s">
        <v>276</v>
      </c>
      <c r="G27" s="26" t="s">
        <v>6</v>
      </c>
      <c r="H27" s="8"/>
      <c r="I27" s="8">
        <v>100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9393</v>
      </c>
      <c r="F35" s="25" t="s">
        <v>277</v>
      </c>
      <c r="G35" s="26" t="s">
        <v>6</v>
      </c>
      <c r="H35" s="8">
        <v>125</v>
      </c>
      <c r="I35" s="8" t="s">
        <v>83</v>
      </c>
      <c r="K35" s="25">
        <v>9527</v>
      </c>
      <c r="L35" s="41">
        <v>5</v>
      </c>
      <c r="M35" s="16">
        <v>1500</v>
      </c>
    </row>
    <row r="36" spans="2:18" ht="15.6" x14ac:dyDescent="0.3">
      <c r="E36" s="18">
        <v>8985</v>
      </c>
      <c r="F36" s="25" t="s">
        <v>278</v>
      </c>
      <c r="G36" s="26" t="s">
        <v>10</v>
      </c>
      <c r="H36" s="8">
        <v>100</v>
      </c>
      <c r="I36" s="8" t="s">
        <v>77</v>
      </c>
      <c r="K36" s="25">
        <v>9642</v>
      </c>
      <c r="L36" s="41">
        <v>6</v>
      </c>
      <c r="M36" s="16">
        <v>450</v>
      </c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  <x14:dataValidation type="list" allowBlank="1" showInputMessage="1" showErrorMessage="1" xr:uid="{2E097CBF-40BB-42C1-A337-D8C1F5ABD216}">
          <x14:formula1>
            <xm:f>resumo_cx!$P$2:$P$18</xm:f>
          </x14:formula1>
          <xm:sqref>L15:L31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topLeftCell="A17" zoomScale="80" zoomScaleNormal="80" workbookViewId="0">
      <selection activeCell="M16" sqref="M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'21'!B1+1</f>
        <v>45526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3350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1350</v>
      </c>
      <c r="D6" s="2"/>
      <c r="E6" s="18">
        <v>9685</v>
      </c>
      <c r="F6" s="25" t="s">
        <v>280</v>
      </c>
      <c r="G6" s="26" t="s">
        <v>8</v>
      </c>
      <c r="H6" s="8">
        <v>950</v>
      </c>
      <c r="I6" s="8">
        <v>950</v>
      </c>
      <c r="J6" s="2"/>
      <c r="K6" s="25"/>
      <c r="L6" s="9"/>
      <c r="M6" s="16"/>
      <c r="R6" s="1">
        <f>IF(vend22[[#This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9686</v>
      </c>
      <c r="F7" s="25" t="s">
        <v>281</v>
      </c>
      <c r="G7" s="26" t="s">
        <v>7</v>
      </c>
      <c r="H7" s="8">
        <v>2400</v>
      </c>
      <c r="I7" s="8">
        <v>400</v>
      </c>
      <c r="J7" s="2"/>
      <c r="K7" s="25"/>
      <c r="L7" s="9"/>
      <c r="M7" s="16"/>
      <c r="R7" s="1">
        <f>IF(vend22[[#This Row],[Nº Venda]]&gt;1,1,0)</f>
        <v>1</v>
      </c>
    </row>
    <row r="8" spans="2:18" ht="15.6" x14ac:dyDescent="0.3">
      <c r="B8" s="28" t="s">
        <v>21</v>
      </c>
      <c r="C8" s="29">
        <f>SUM(C6:C7)</f>
        <v>1350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400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6" x14ac:dyDescent="0.3">
      <c r="B13" s="30" t="s">
        <v>8</v>
      </c>
      <c r="C13" s="31">
        <f t="shared" si="0"/>
        <v>950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IF(vend22[[#This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6" x14ac:dyDescent="0.3">
      <c r="B15" s="30" t="s">
        <v>10</v>
      </c>
      <c r="C15" s="31">
        <f t="shared" si="0"/>
        <v>119.8</v>
      </c>
      <c r="D15" s="2"/>
      <c r="E15" s="18"/>
      <c r="F15" s="25"/>
      <c r="G15" s="26"/>
      <c r="H15" s="8"/>
      <c r="I15" s="8"/>
      <c r="J15" s="2"/>
      <c r="K15" s="25">
        <v>9626</v>
      </c>
      <c r="L15" s="9" t="s">
        <v>134</v>
      </c>
      <c r="M15" s="16" t="s">
        <v>141</v>
      </c>
      <c r="R15" s="1">
        <f>IF(vend22[[#This Row],[Nº Venda]]&gt;1,1,0)</f>
        <v>0</v>
      </c>
    </row>
    <row r="16" spans="2:18" ht="15.6" x14ac:dyDescent="0.3">
      <c r="B16" s="28" t="s">
        <v>11</v>
      </c>
      <c r="C16" s="32">
        <f>SUM(C11:C15)</f>
        <v>1469.8</v>
      </c>
      <c r="D16" s="2"/>
      <c r="E16" s="18"/>
      <c r="F16" s="25"/>
      <c r="G16" s="26"/>
      <c r="H16" s="8"/>
      <c r="I16" s="8"/>
      <c r="J16" s="2"/>
      <c r="K16" s="25">
        <v>9614</v>
      </c>
      <c r="L16" s="9" t="s">
        <v>130</v>
      </c>
      <c r="M16" s="16" t="s">
        <v>141</v>
      </c>
      <c r="R16" s="1">
        <f>IF(vend22[[#This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6" x14ac:dyDescent="0.3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3350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9471</v>
      </c>
      <c r="F35" s="25" t="s">
        <v>191</v>
      </c>
      <c r="G35" s="26" t="s">
        <v>10</v>
      </c>
      <c r="H35" s="8">
        <v>119.8</v>
      </c>
      <c r="I35" s="8" t="s">
        <v>39</v>
      </c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2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  <x14:dataValidation type="list" allowBlank="1" showInputMessage="1" showErrorMessage="1" xr:uid="{94579440-21C1-4EC6-84B0-E63772959071}">
          <x14:formula1>
            <xm:f>resumo_cx!$P$2:$P$18</xm:f>
          </x14:formula1>
          <xm:sqref>L15:L31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4"/>
  <sheetViews>
    <sheetView showGridLines="0" zoomScale="80" zoomScaleNormal="80" workbookViewId="0">
      <selection activeCell="M23" sqref="M23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'22'!B1+1</f>
        <v>45527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830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1600</v>
      </c>
      <c r="D6" s="2"/>
      <c r="E6" s="18">
        <v>9687</v>
      </c>
      <c r="F6" s="25" t="s">
        <v>282</v>
      </c>
      <c r="G6" s="26" t="s">
        <v>6</v>
      </c>
      <c r="H6" s="8">
        <v>150</v>
      </c>
      <c r="I6" s="8">
        <v>150</v>
      </c>
      <c r="J6" s="2"/>
      <c r="K6" s="25"/>
      <c r="L6" s="9"/>
      <c r="M6" s="16"/>
      <c r="R6" s="1">
        <f>IF(vend23[[#This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9688</v>
      </c>
      <c r="F7" s="25" t="s">
        <v>283</v>
      </c>
      <c r="G7" s="26" t="s">
        <v>8</v>
      </c>
      <c r="H7" s="8">
        <v>50</v>
      </c>
      <c r="I7" s="8">
        <v>50</v>
      </c>
      <c r="J7" s="2"/>
      <c r="K7" s="25"/>
      <c r="L7" s="9"/>
      <c r="M7" s="16"/>
      <c r="R7" s="1">
        <f>IF(vend23[[#This Row],[Nº Venda]]&gt;1,1,0)</f>
        <v>1</v>
      </c>
    </row>
    <row r="8" spans="2:18" ht="15.6" x14ac:dyDescent="0.3">
      <c r="B8" s="28" t="s">
        <v>21</v>
      </c>
      <c r="C8" s="29">
        <f>SUM(C6:C7)</f>
        <v>1600</v>
      </c>
      <c r="D8" s="2"/>
      <c r="E8" s="18">
        <v>9689</v>
      </c>
      <c r="F8" s="25" t="s">
        <v>284</v>
      </c>
      <c r="G8" s="26" t="s">
        <v>6</v>
      </c>
      <c r="H8" s="8">
        <v>600</v>
      </c>
      <c r="I8" s="8">
        <v>20</v>
      </c>
      <c r="J8" s="2"/>
      <c r="K8" s="25"/>
      <c r="L8" s="9"/>
      <c r="M8" s="16"/>
      <c r="R8" s="1">
        <f>IF(vend23[[#This Row],[Nº Venda]]&gt;1,1,0)</f>
        <v>1</v>
      </c>
    </row>
    <row r="9" spans="2:18" ht="15.6" x14ac:dyDescent="0.3">
      <c r="B9" s="2"/>
      <c r="C9" s="2"/>
      <c r="D9" s="2"/>
      <c r="E9" s="18">
        <v>9690</v>
      </c>
      <c r="F9" s="25" t="s">
        <v>288</v>
      </c>
      <c r="G9" s="26" t="s">
        <v>6</v>
      </c>
      <c r="H9" s="8">
        <v>30</v>
      </c>
      <c r="I9" s="8">
        <v>30</v>
      </c>
      <c r="J9" s="2"/>
      <c r="K9" s="25"/>
      <c r="L9" s="9"/>
      <c r="M9" s="16"/>
      <c r="R9" s="1">
        <f>IF(vend23[[#This Row],[Nº Venda]]&gt;1,1,0)</f>
        <v>1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6" x14ac:dyDescent="0.3">
      <c r="B11" s="30" t="s">
        <v>6</v>
      </c>
      <c r="C11" s="81">
        <f>(SUMIF($G$2:$G$31,B11,$I$2:$I$31))+(SUMIF($G$35:$G$44,B11,$H$35:$H$44))</f>
        <v>400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6" x14ac:dyDescent="0.3">
      <c r="B12" s="30" t="s">
        <v>7</v>
      </c>
      <c r="C12" s="81">
        <f>(SUMIF($G$2:$G$31,B12,$I$2:$I$31))+(SUMIF($G$35:$G$44,B12,$H$35:$H$44))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6" x14ac:dyDescent="0.3">
      <c r="B13" s="30" t="s">
        <v>8</v>
      </c>
      <c r="C13" s="81">
        <f>(SUMIF($G$2:$G$31,B13,$I$2:$I$31))+(SUMIF($G$35:$G$44,B13,$H$35:$H$44))</f>
        <v>1075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IF(vend23[[#This Row],[Nº Venda]]&gt;1,1,0)</f>
        <v>0</v>
      </c>
    </row>
    <row r="14" spans="2:18" ht="15.6" x14ac:dyDescent="0.3">
      <c r="B14" s="30" t="s">
        <v>9</v>
      </c>
      <c r="C14" s="81">
        <f>(SUMIF($G$2:$G$31,B14,$I$2:$I$31))+(SUMIF($G$35:$G$44,B14,$H$35:$H$44))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6" x14ac:dyDescent="0.3">
      <c r="B15" s="30" t="s">
        <v>10</v>
      </c>
      <c r="C15" s="81">
        <f>(SUMIF($G$2:$G$31,B15,$I$2:$I$31))+(SUMIF($G$35:$G$44,B15,$H$35:$H$44))</f>
        <v>369</v>
      </c>
      <c r="D15" s="2"/>
      <c r="E15" s="18"/>
      <c r="F15" s="25"/>
      <c r="G15" s="26"/>
      <c r="H15" s="8"/>
      <c r="I15" s="8"/>
      <c r="J15" s="2"/>
      <c r="K15" s="25">
        <v>9666</v>
      </c>
      <c r="L15" s="9" t="s">
        <v>136</v>
      </c>
      <c r="M15" s="16" t="s">
        <v>141</v>
      </c>
      <c r="R15" s="1">
        <f>IF(vend23[[#This Row],[Nº Venda]]&gt;1,1,0)</f>
        <v>0</v>
      </c>
    </row>
    <row r="16" spans="2:18" ht="15.6" x14ac:dyDescent="0.3">
      <c r="B16" s="28" t="s">
        <v>11</v>
      </c>
      <c r="C16" s="32">
        <f>SUM(C11:C15)</f>
        <v>1844</v>
      </c>
      <c r="D16" s="2"/>
      <c r="E16" s="18"/>
      <c r="F16" s="25"/>
      <c r="G16" s="26"/>
      <c r="H16" s="8"/>
      <c r="I16" s="8"/>
      <c r="J16" s="2"/>
      <c r="K16" s="25">
        <v>9028</v>
      </c>
      <c r="L16" s="9" t="s">
        <v>130</v>
      </c>
      <c r="M16" s="16" t="s">
        <v>141</v>
      </c>
      <c r="R16" s="1">
        <f>IF(vend23[[#This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9644</v>
      </c>
      <c r="L17" s="9" t="s">
        <v>134</v>
      </c>
      <c r="M17" s="16" t="s">
        <v>141</v>
      </c>
      <c r="R17" s="1">
        <f>IF(vend23[[#This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9688</v>
      </c>
      <c r="L18" s="9" t="s">
        <v>134</v>
      </c>
      <c r="M18" s="16" t="s">
        <v>141</v>
      </c>
      <c r="R18" s="1">
        <f>IF(vend23[[#This Row],[Nº Venda]]&gt;1,1,0)</f>
        <v>0</v>
      </c>
    </row>
    <row r="19" spans="2:18" ht="15.6" x14ac:dyDescent="0.3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>
        <v>9687</v>
      </c>
      <c r="L19" s="9" t="s">
        <v>130</v>
      </c>
      <c r="M19" s="16" t="s">
        <v>141</v>
      </c>
      <c r="R19" s="1">
        <f>IF(vend23[[#This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9658</v>
      </c>
      <c r="L20" s="9" t="s">
        <v>130</v>
      </c>
      <c r="M20" s="16" t="s">
        <v>141</v>
      </c>
      <c r="R20" s="1">
        <f>IF(vend23[[#This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>
        <v>9623</v>
      </c>
      <c r="L21" s="9" t="s">
        <v>130</v>
      </c>
      <c r="M21" s="16" t="s">
        <v>141</v>
      </c>
    </row>
    <row r="22" spans="2:18" ht="15.6" x14ac:dyDescent="0.3">
      <c r="B22" s="28" t="s">
        <v>26</v>
      </c>
      <c r="C22" s="32">
        <f>C5</f>
        <v>830</v>
      </c>
      <c r="D22" s="2"/>
      <c r="E22" s="18"/>
      <c r="F22" s="25"/>
      <c r="G22" s="26"/>
      <c r="H22" s="8"/>
      <c r="I22" s="8"/>
      <c r="J22" s="2"/>
      <c r="K22" s="25">
        <v>9647</v>
      </c>
      <c r="L22" s="9" t="s">
        <v>134</v>
      </c>
      <c r="M22" s="16" t="s">
        <v>141</v>
      </c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9663</v>
      </c>
      <c r="F26" s="25" t="s">
        <v>285</v>
      </c>
      <c r="G26" s="26" t="s">
        <v>6</v>
      </c>
      <c r="H26" s="8"/>
      <c r="I26" s="8">
        <v>200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9623</v>
      </c>
      <c r="F27" s="25" t="s">
        <v>287</v>
      </c>
      <c r="G27" s="26" t="s">
        <v>8</v>
      </c>
      <c r="H27" s="8"/>
      <c r="I27" s="8">
        <v>625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9028</v>
      </c>
      <c r="F28" s="25" t="s">
        <v>289</v>
      </c>
      <c r="G28" s="26" t="s">
        <v>10</v>
      </c>
      <c r="H28" s="8"/>
      <c r="I28" s="8">
        <v>125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9658</v>
      </c>
      <c r="F29" s="25" t="s">
        <v>246</v>
      </c>
      <c r="G29" s="26" t="s">
        <v>8</v>
      </c>
      <c r="H29" s="8"/>
      <c r="I29" s="8">
        <v>300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18">
        <v>9658</v>
      </c>
      <c r="F30" s="39" t="s">
        <v>246</v>
      </c>
      <c r="G30" s="26" t="s">
        <v>8</v>
      </c>
      <c r="H30" s="8"/>
      <c r="I30" s="8">
        <v>100</v>
      </c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8754</v>
      </c>
      <c r="F35" s="25" t="s">
        <v>286</v>
      </c>
      <c r="G35" s="26" t="s">
        <v>10</v>
      </c>
      <c r="H35" s="8">
        <v>244</v>
      </c>
      <c r="I35" s="8" t="s">
        <v>38</v>
      </c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6" x14ac:dyDescent="0.3">
      <c r="E41" s="35"/>
      <c r="F41" s="39"/>
      <c r="G41" s="26"/>
      <c r="H41" s="8"/>
      <c r="I41" s="8"/>
      <c r="K41" s="44"/>
      <c r="L41" s="41"/>
      <c r="M41" s="40"/>
    </row>
    <row r="42" spans="2:18" ht="15.6" x14ac:dyDescent="0.3">
      <c r="E42" s="99"/>
      <c r="F42" s="78"/>
      <c r="G42" s="79"/>
      <c r="H42" s="80"/>
      <c r="I42" s="17"/>
    </row>
    <row r="43" spans="2:18" ht="15.6" x14ac:dyDescent="0.3">
      <c r="E43" s="99"/>
      <c r="F43" s="97"/>
      <c r="G43" s="96"/>
      <c r="H43" s="98"/>
      <c r="I43" s="8"/>
    </row>
    <row r="44" spans="2:18" ht="15.6" x14ac:dyDescent="0.3">
      <c r="E44" s="100"/>
      <c r="F44" s="78"/>
      <c r="G44" s="79"/>
      <c r="H44" s="80"/>
      <c r="I44" s="17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G35:G44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I35:I44</xm:sqref>
        </x14:dataValidation>
        <x14:dataValidation type="list" allowBlank="1" showInputMessage="1" showErrorMessage="1" xr:uid="{FC79B766-307F-4133-952C-17BC6AEB1E91}">
          <x14:formula1>
            <xm:f>resumo_cx!$P$2:$P$18</xm:f>
          </x14:formula1>
          <xm:sqref>L15:L31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16" zoomScale="80" zoomScaleNormal="80" workbookViewId="0">
      <selection activeCell="U4" sqref="U4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'23'!B1+1</f>
        <v>45528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2899.5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1110</v>
      </c>
      <c r="D6" s="2"/>
      <c r="E6" s="18">
        <v>9691</v>
      </c>
      <c r="F6" s="25" t="s">
        <v>290</v>
      </c>
      <c r="G6" s="26" t="s">
        <v>50</v>
      </c>
      <c r="H6" s="8"/>
      <c r="I6" s="8"/>
      <c r="J6" s="2"/>
      <c r="K6" s="25"/>
      <c r="L6" s="9"/>
      <c r="M6" s="16"/>
      <c r="R6" s="1">
        <f>IF(vend24[[#This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9692</v>
      </c>
      <c r="F7" s="25" t="s">
        <v>293</v>
      </c>
      <c r="G7" s="26" t="s">
        <v>7</v>
      </c>
      <c r="H7" s="8">
        <v>1700</v>
      </c>
      <c r="I7" s="8">
        <v>40</v>
      </c>
      <c r="J7" s="2"/>
      <c r="K7" s="25"/>
      <c r="L7" s="9"/>
      <c r="M7" s="16"/>
      <c r="R7" s="1">
        <f>IF(vend24[[#This Row],[Nº Venda]]&gt;1,1,0)</f>
        <v>1</v>
      </c>
    </row>
    <row r="8" spans="2:18" ht="15.6" x14ac:dyDescent="0.3">
      <c r="B8" s="28" t="s">
        <v>21</v>
      </c>
      <c r="C8" s="29">
        <f>SUM(C6:C7)</f>
        <v>1110</v>
      </c>
      <c r="D8" s="2"/>
      <c r="E8" s="18">
        <v>9693</v>
      </c>
      <c r="F8" s="25" t="s">
        <v>293</v>
      </c>
      <c r="G8" s="26" t="s">
        <v>7</v>
      </c>
      <c r="H8" s="8">
        <v>299.5</v>
      </c>
      <c r="I8" s="8">
        <v>10</v>
      </c>
      <c r="J8" s="2"/>
      <c r="K8" s="25"/>
      <c r="L8" s="9"/>
      <c r="M8" s="16"/>
      <c r="R8" s="1">
        <f>IF(vend24[[#This Row],[Nº Venda]]&gt;1,1,0)</f>
        <v>1</v>
      </c>
    </row>
    <row r="9" spans="2:18" ht="15.6" x14ac:dyDescent="0.3">
      <c r="B9" s="2"/>
      <c r="C9" s="2"/>
      <c r="D9" s="2"/>
      <c r="E9" s="18">
        <v>9694</v>
      </c>
      <c r="F9" s="25" t="s">
        <v>291</v>
      </c>
      <c r="G9" s="26" t="s">
        <v>7</v>
      </c>
      <c r="H9" s="8">
        <v>800</v>
      </c>
      <c r="I9" s="8">
        <v>800</v>
      </c>
      <c r="J9" s="2"/>
      <c r="K9" s="25"/>
      <c r="L9" s="9"/>
      <c r="M9" s="16"/>
      <c r="R9" s="1">
        <f>IF(vend24[[#This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9695</v>
      </c>
      <c r="F10" s="25" t="s">
        <v>291</v>
      </c>
      <c r="G10" s="26" t="s">
        <v>7</v>
      </c>
      <c r="H10" s="8">
        <v>100</v>
      </c>
      <c r="I10" s="8">
        <v>100</v>
      </c>
      <c r="J10" s="2"/>
      <c r="K10" s="25"/>
      <c r="L10" s="9"/>
      <c r="M10" s="16"/>
      <c r="R10" s="1">
        <f>IF(vend24[[#This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950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6" x14ac:dyDescent="0.3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IF(vend24[[#This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6" x14ac:dyDescent="0.3">
      <c r="B15" s="30" t="s">
        <v>10</v>
      </c>
      <c r="C15" s="31">
        <f t="shared" si="0"/>
        <v>160</v>
      </c>
      <c r="D15" s="2"/>
      <c r="E15" s="18"/>
      <c r="F15" s="25"/>
      <c r="G15" s="26"/>
      <c r="H15" s="8"/>
      <c r="I15" s="8"/>
      <c r="J15" s="2"/>
      <c r="K15" s="25">
        <v>9690</v>
      </c>
      <c r="L15" s="9" t="s">
        <v>130</v>
      </c>
      <c r="M15" s="16" t="s">
        <v>141</v>
      </c>
      <c r="R15" s="1">
        <f>IF(vend24[[#This Row],[Nº Venda]]&gt;1,1,0)</f>
        <v>0</v>
      </c>
    </row>
    <row r="16" spans="2:18" ht="15.6" x14ac:dyDescent="0.3">
      <c r="B16" s="28" t="s">
        <v>11</v>
      </c>
      <c r="C16" s="32">
        <f>SUM(C11:C15)</f>
        <v>1110</v>
      </c>
      <c r="D16" s="2"/>
      <c r="E16" s="18"/>
      <c r="F16" s="25"/>
      <c r="G16" s="26"/>
      <c r="H16" s="8"/>
      <c r="I16" s="8"/>
      <c r="J16" s="2"/>
      <c r="K16" s="25">
        <v>9641</v>
      </c>
      <c r="L16" s="9" t="s">
        <v>130</v>
      </c>
      <c r="M16" s="16" t="s">
        <v>189</v>
      </c>
      <c r="R16" s="1">
        <f>IF(vend24[[#This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6" x14ac:dyDescent="0.3">
      <c r="B19" s="30">
        <f>COUNT(entr_carn24[OS])</f>
        <v>1</v>
      </c>
      <c r="C19" s="31">
        <f>SUM(entr_carn24[Valor Total])</f>
        <v>600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6" x14ac:dyDescent="0.3">
      <c r="B20" s="28" t="s">
        <v>11</v>
      </c>
      <c r="C20" s="32">
        <f>SUM(C19:C19)</f>
        <v>600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2899.5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9641</v>
      </c>
      <c r="F26" s="25" t="s">
        <v>292</v>
      </c>
      <c r="G26" s="26" t="s">
        <v>10</v>
      </c>
      <c r="H26" s="8"/>
      <c r="I26" s="8">
        <v>160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8"/>
      <c r="I35" s="8"/>
      <c r="K35" s="25">
        <v>9641</v>
      </c>
      <c r="L35" s="41">
        <v>6</v>
      </c>
      <c r="M35" s="16">
        <v>600</v>
      </c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  <x14:dataValidation type="list" allowBlank="1" showInputMessage="1" showErrorMessage="1" xr:uid="{DAA287A3-0D27-4578-B91B-0AF40F6C31BB}">
          <x14:formula1>
            <xm:f>resumo_cx!$P$2:$P$18</xm:f>
          </x14:formula1>
          <xm:sqref>L15:L31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topLeftCell="A22" zoomScale="80" zoomScaleNormal="80" workbookViewId="0">
      <selection activeCell="E35" sqref="E35:I4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'24'!B1+1</f>
        <v>45529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6" x14ac:dyDescent="0.3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6" x14ac:dyDescent="0.3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6" x14ac:dyDescent="0.3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6" x14ac:dyDescent="0.3">
      <c r="B12" s="30" t="s">
        <v>7</v>
      </c>
      <c r="C12" s="31">
        <f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6" x14ac:dyDescent="0.3">
      <c r="B13" s="30" t="s">
        <v>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IF(vend25[[#This Row],[Nº Venda]]&gt;1,1,0)</f>
        <v>0</v>
      </c>
    </row>
    <row r="14" spans="2:18" ht="15.6" x14ac:dyDescent="0.3">
      <c r="B14" s="30" t="s">
        <v>9</v>
      </c>
      <c r="C14" s="31">
        <f>(SUMIF($G$2:$G$31,B14,$I$2:$I$31))+(SUMIF($G$35:$G$41,B14,$H$35:$H$41))</f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6" x14ac:dyDescent="0.3">
      <c r="B15" s="30" t="s">
        <v>10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6" x14ac:dyDescent="0.3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6" x14ac:dyDescent="0.3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6" x14ac:dyDescent="0.3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75"/>
      <c r="I35" s="8"/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0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  <x14:dataValidation type="list" allowBlank="1" showInputMessage="1" showErrorMessage="1" xr:uid="{67CB2160-875A-40E7-A300-AE3E32BC7FAF}">
          <x14:formula1>
            <xm:f>resumo_cx!$P$2:$P$18</xm:f>
          </x14:formula1>
          <xm:sqref>L15:L31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topLeftCell="A17" zoomScale="80" zoomScaleNormal="80" workbookViewId="0">
      <selection activeCell="M16" sqref="M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'25'!B1+1</f>
        <v>45530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2742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2831.5</v>
      </c>
      <c r="D6" s="2"/>
      <c r="E6" s="18">
        <v>9696</v>
      </c>
      <c r="F6" s="25" t="s">
        <v>294</v>
      </c>
      <c r="G6" s="26" t="s">
        <v>6</v>
      </c>
      <c r="H6" s="8">
        <v>700</v>
      </c>
      <c r="I6" s="8">
        <v>20</v>
      </c>
      <c r="J6" s="2"/>
      <c r="K6" s="25" t="s">
        <v>298</v>
      </c>
      <c r="L6" s="9" t="s">
        <v>299</v>
      </c>
      <c r="M6" s="16">
        <v>11.99</v>
      </c>
      <c r="R6" s="1">
        <f>IF(vend26[[#This Row],[Nº Venda]]&gt;1,1,0)</f>
        <v>1</v>
      </c>
    </row>
    <row r="7" spans="2:18" ht="15.6" x14ac:dyDescent="0.3">
      <c r="B7" s="23" t="s">
        <v>3</v>
      </c>
      <c r="C7" s="24">
        <f>SUM(M6:M11)</f>
        <v>11.99</v>
      </c>
      <c r="D7" s="2"/>
      <c r="E7" s="18">
        <v>9697</v>
      </c>
      <c r="F7" s="25" t="s">
        <v>295</v>
      </c>
      <c r="G7" s="26" t="s">
        <v>6</v>
      </c>
      <c r="H7" s="8">
        <v>480</v>
      </c>
      <c r="I7" s="8">
        <v>50</v>
      </c>
      <c r="J7" s="2"/>
      <c r="K7" s="25"/>
      <c r="L7" s="9"/>
      <c r="M7" s="16"/>
      <c r="R7" s="1">
        <f>IF(vend26[[#This Row],[Nº Venda]]&gt;1,1,0)</f>
        <v>1</v>
      </c>
    </row>
    <row r="8" spans="2:18" ht="15.6" x14ac:dyDescent="0.3">
      <c r="B8" s="28" t="s">
        <v>21</v>
      </c>
      <c r="C8" s="29">
        <f>SUM(C6:C7)</f>
        <v>2843.49</v>
      </c>
      <c r="D8" s="2"/>
      <c r="E8" s="18">
        <v>9698</v>
      </c>
      <c r="F8" s="25" t="s">
        <v>296</v>
      </c>
      <c r="G8" s="26" t="s">
        <v>7</v>
      </c>
      <c r="H8" s="8">
        <v>582</v>
      </c>
      <c r="I8" s="8">
        <v>582</v>
      </c>
      <c r="J8" s="2"/>
      <c r="K8" s="25"/>
      <c r="L8" s="9"/>
      <c r="M8" s="16"/>
      <c r="R8" s="1">
        <f>IF(vend26[[#This Row],[Nº Venda]]&gt;1,1,0)</f>
        <v>1</v>
      </c>
    </row>
    <row r="9" spans="2:18" ht="15.6" x14ac:dyDescent="0.3">
      <c r="B9" s="2"/>
      <c r="C9" s="2"/>
      <c r="D9" s="2"/>
      <c r="E9" s="18">
        <v>9699</v>
      </c>
      <c r="F9" s="25" t="s">
        <v>297</v>
      </c>
      <c r="G9" s="26" t="s">
        <v>10</v>
      </c>
      <c r="H9" s="8">
        <v>800</v>
      </c>
      <c r="I9" s="8">
        <v>50</v>
      </c>
      <c r="J9" s="2"/>
      <c r="K9" s="25"/>
      <c r="L9" s="9"/>
      <c r="M9" s="16"/>
      <c r="R9" s="1">
        <f>IF(vend26[[#This Row],[Nº Venda]]&gt;1,1,0)</f>
        <v>1</v>
      </c>
    </row>
    <row r="10" spans="2:18" ht="15.6" x14ac:dyDescent="0.3">
      <c r="B10" s="103" t="s">
        <v>5</v>
      </c>
      <c r="C10" s="103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6" x14ac:dyDescent="0.3">
      <c r="B11" s="30" t="s">
        <v>6</v>
      </c>
      <c r="C11" s="31">
        <f>(SUMIF($G$2:$G$31,B11,$I$2:$I$31))+(SUMIF($G$35:$G$41,B11,$H$35:$H$41))</f>
        <v>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2531.5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6" x14ac:dyDescent="0.3">
      <c r="B13" s="30" t="s">
        <v>8</v>
      </c>
      <c r="C13" s="31">
        <f t="shared" si="0"/>
        <v>180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IF(vend26[[#This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6" x14ac:dyDescent="0.3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9672</v>
      </c>
      <c r="L15" s="9" t="s">
        <v>134</v>
      </c>
      <c r="M15" s="16" t="s">
        <v>141</v>
      </c>
      <c r="R15" s="1">
        <f>IF(vend26[[#This Row],[Nº Venda]]&gt;1,1,0)</f>
        <v>0</v>
      </c>
    </row>
    <row r="16" spans="2:18" ht="15.6" x14ac:dyDescent="0.3">
      <c r="B16" s="28" t="s">
        <v>11</v>
      </c>
      <c r="C16" s="32">
        <f>SUM(C11:C15)</f>
        <v>2831.5</v>
      </c>
      <c r="D16" s="2"/>
      <c r="E16" s="18"/>
      <c r="F16" s="25"/>
      <c r="G16" s="26"/>
      <c r="H16" s="8"/>
      <c r="I16" s="8"/>
      <c r="J16" s="2"/>
      <c r="K16" s="25">
        <v>9652</v>
      </c>
      <c r="L16" s="9" t="s">
        <v>134</v>
      </c>
      <c r="M16" s="16" t="s">
        <v>141</v>
      </c>
      <c r="R16" s="1">
        <f>IF(vend26[[#This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6" x14ac:dyDescent="0.3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2742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9692</v>
      </c>
      <c r="F26" s="25" t="s">
        <v>293</v>
      </c>
      <c r="G26" s="26" t="s">
        <v>7</v>
      </c>
      <c r="H26" s="8"/>
      <c r="I26" s="8">
        <v>1660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9693</v>
      </c>
      <c r="F27" s="25" t="s">
        <v>293</v>
      </c>
      <c r="G27" s="26" t="s">
        <v>7</v>
      </c>
      <c r="H27" s="8"/>
      <c r="I27" s="8">
        <v>289.5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9652</v>
      </c>
      <c r="F28" s="25" t="s">
        <v>240</v>
      </c>
      <c r="G28" s="26" t="s">
        <v>8</v>
      </c>
      <c r="H28" s="8">
        <v>180</v>
      </c>
      <c r="I28" s="8">
        <v>180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/>
      <c r="F35" s="25"/>
      <c r="G35" s="26"/>
      <c r="H35" s="8"/>
      <c r="I35" s="8"/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4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  <x14:dataValidation type="list" allowBlank="1" showInputMessage="1" showErrorMessage="1" xr:uid="{4C779888-BC21-4BA7-8880-04D9D3FC1118}">
          <x14:formula1>
            <xm:f>resumo_cx!$P$2:$P$18</xm:f>
          </x14:formula1>
          <xm:sqref>L15:L31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view="pageBreakPreview" zoomScale="60" zoomScaleNormal="80" workbookViewId="0">
      <selection activeCell="K26" sqref="K2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'26'!B1+1</f>
        <v>45531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2960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1740</v>
      </c>
      <c r="D6" s="2"/>
      <c r="E6" s="18">
        <v>9700</v>
      </c>
      <c r="F6" s="25" t="s">
        <v>300</v>
      </c>
      <c r="G6" s="26" t="s">
        <v>8</v>
      </c>
      <c r="H6" s="8">
        <v>530</v>
      </c>
      <c r="I6" s="8">
        <v>200</v>
      </c>
      <c r="J6" s="2"/>
      <c r="K6" s="25"/>
      <c r="L6" s="9"/>
      <c r="M6" s="16" t="s">
        <v>307</v>
      </c>
      <c r="R6" s="1">
        <f>IF(vend27[[#This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9701</v>
      </c>
      <c r="F7" s="25" t="s">
        <v>160</v>
      </c>
      <c r="G7" s="26" t="s">
        <v>40</v>
      </c>
      <c r="H7" s="8"/>
      <c r="I7" s="8"/>
      <c r="J7" s="2"/>
      <c r="K7" s="25"/>
      <c r="L7" s="9"/>
      <c r="M7" s="16"/>
      <c r="R7" s="1">
        <f>IF(vend27[[#This Row],[Nº Venda]]&gt;1,1,0)</f>
        <v>1</v>
      </c>
    </row>
    <row r="8" spans="2:18" ht="15.6" x14ac:dyDescent="0.3">
      <c r="B8" s="28" t="s">
        <v>21</v>
      </c>
      <c r="C8" s="29">
        <f>SUM(C6:C7)</f>
        <v>1740</v>
      </c>
      <c r="D8" s="2"/>
      <c r="E8" s="18">
        <v>9702</v>
      </c>
      <c r="F8" s="25" t="s">
        <v>301</v>
      </c>
      <c r="G8" s="26" t="s">
        <v>8</v>
      </c>
      <c r="H8" s="8">
        <v>250</v>
      </c>
      <c r="I8" s="8">
        <v>250</v>
      </c>
      <c r="J8" s="2"/>
      <c r="K8" s="25"/>
      <c r="L8" s="9"/>
      <c r="M8" s="16"/>
      <c r="R8" s="1">
        <f>IF(vend27[[#This Row],[Nº Venda]]&gt;1,1,0)</f>
        <v>1</v>
      </c>
    </row>
    <row r="9" spans="2:18" ht="15.6" x14ac:dyDescent="0.3">
      <c r="B9" s="2"/>
      <c r="C9" s="2"/>
      <c r="D9" s="2"/>
      <c r="E9" s="18">
        <v>9703</v>
      </c>
      <c r="F9" s="25" t="s">
        <v>302</v>
      </c>
      <c r="G9" s="26" t="s">
        <v>7</v>
      </c>
      <c r="H9" s="8">
        <v>1380</v>
      </c>
      <c r="I9" s="8">
        <v>690</v>
      </c>
      <c r="J9" s="2"/>
      <c r="K9" s="25"/>
      <c r="L9" s="9"/>
      <c r="M9" s="16"/>
      <c r="R9" s="1">
        <f>IF(vend27[[#This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9704</v>
      </c>
      <c r="F10" s="25" t="s">
        <v>303</v>
      </c>
      <c r="G10" s="26" t="s">
        <v>10</v>
      </c>
      <c r="H10" s="8">
        <v>800</v>
      </c>
      <c r="I10" s="8">
        <v>300</v>
      </c>
      <c r="J10" s="2"/>
      <c r="K10" s="25"/>
      <c r="L10" s="9"/>
      <c r="M10" s="16"/>
      <c r="R10" s="1">
        <f>IF(vend27[[#This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191.66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690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6" x14ac:dyDescent="0.3">
      <c r="B13" s="30" t="s">
        <v>8</v>
      </c>
      <c r="C13" s="31">
        <f t="shared" si="0"/>
        <v>450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IF(vend27[[#This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6" x14ac:dyDescent="0.3">
      <c r="B15" s="30" t="s">
        <v>10</v>
      </c>
      <c r="C15" s="31">
        <f t="shared" si="0"/>
        <v>700</v>
      </c>
      <c r="D15" s="2"/>
      <c r="E15" s="18"/>
      <c r="F15" s="25"/>
      <c r="G15" s="26"/>
      <c r="H15" s="8"/>
      <c r="I15" s="8"/>
      <c r="J15" s="2"/>
      <c r="K15" s="25">
        <v>9670</v>
      </c>
      <c r="L15" s="9" t="s">
        <v>134</v>
      </c>
      <c r="M15" s="16" t="s">
        <v>141</v>
      </c>
      <c r="R15" s="1">
        <f>IF(vend27[[#This Row],[Nº Venda]]&gt;1,1,0)</f>
        <v>0</v>
      </c>
    </row>
    <row r="16" spans="2:18" ht="15.6" x14ac:dyDescent="0.3">
      <c r="B16" s="28" t="s">
        <v>11</v>
      </c>
      <c r="C16" s="32">
        <f>SUM(C11:C15)</f>
        <v>2031.6599999999999</v>
      </c>
      <c r="D16" s="2"/>
      <c r="E16" s="18"/>
      <c r="F16" s="25"/>
      <c r="G16" s="26"/>
      <c r="H16" s="8"/>
      <c r="I16" s="8"/>
      <c r="J16" s="2"/>
      <c r="K16" s="25">
        <v>9654</v>
      </c>
      <c r="L16" s="9" t="s">
        <v>136</v>
      </c>
      <c r="M16" s="16" t="s">
        <v>141</v>
      </c>
      <c r="R16" s="1">
        <f>IF(vend27[[#This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9645</v>
      </c>
      <c r="L17" s="9" t="s">
        <v>134</v>
      </c>
      <c r="M17" s="16" t="s">
        <v>189</v>
      </c>
      <c r="R17" s="1">
        <f>IF(vend27[[#This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9675</v>
      </c>
      <c r="L18" s="9" t="s">
        <v>130</v>
      </c>
      <c r="M18" s="16" t="s">
        <v>141</v>
      </c>
      <c r="R18" s="1">
        <f>IF(vend27[[#This Row],[Nº Venda]]&gt;1,1,0)</f>
        <v>0</v>
      </c>
    </row>
    <row r="19" spans="2:18" ht="15.6" x14ac:dyDescent="0.3">
      <c r="B19" s="30">
        <f>COUNT(entr_carn27[OS])</f>
        <v>1</v>
      </c>
      <c r="C19" s="31">
        <f>SUM(entr_carn27[Valor Total])</f>
        <v>1000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6" x14ac:dyDescent="0.3">
      <c r="B20" s="28" t="s">
        <v>11</v>
      </c>
      <c r="C20" s="32">
        <f>SUM(C19:C19)</f>
        <v>1000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2960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9590</v>
      </c>
      <c r="F26" s="25" t="s">
        <v>304</v>
      </c>
      <c r="G26" s="26" t="s">
        <v>6</v>
      </c>
      <c r="H26" s="8"/>
      <c r="I26" s="8">
        <v>100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9645</v>
      </c>
      <c r="F27" s="25" t="s">
        <v>225</v>
      </c>
      <c r="G27" s="26" t="s">
        <v>10</v>
      </c>
      <c r="H27" s="8"/>
      <c r="I27" s="8">
        <v>200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9289</v>
      </c>
      <c r="F35" s="25" t="s">
        <v>305</v>
      </c>
      <c r="G35" s="26" t="s">
        <v>6</v>
      </c>
      <c r="H35" s="8">
        <v>91.66</v>
      </c>
      <c r="I35" s="8" t="s">
        <v>54</v>
      </c>
      <c r="K35" s="25">
        <v>9645</v>
      </c>
      <c r="L35" s="41">
        <v>6</v>
      </c>
      <c r="M35" s="16">
        <v>1000</v>
      </c>
    </row>
    <row r="36" spans="2:18" ht="15.6" x14ac:dyDescent="0.3">
      <c r="E36" s="18">
        <v>8814</v>
      </c>
      <c r="F36" s="25" t="s">
        <v>306</v>
      </c>
      <c r="G36" s="26" t="s">
        <v>10</v>
      </c>
      <c r="H36" s="8">
        <v>100</v>
      </c>
      <c r="I36" s="8" t="s">
        <v>52</v>
      </c>
      <c r="K36" s="25"/>
      <c r="L36" s="41"/>
      <c r="M36" s="16"/>
    </row>
    <row r="37" spans="2:18" ht="15.6" x14ac:dyDescent="0.3">
      <c r="E37" s="18">
        <v>8814</v>
      </c>
      <c r="F37" s="25" t="s">
        <v>306</v>
      </c>
      <c r="G37" s="26" t="s">
        <v>10</v>
      </c>
      <c r="H37" s="8">
        <v>100</v>
      </c>
      <c r="I37" s="8" t="s">
        <v>76</v>
      </c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5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  <x14:dataValidation type="list" allowBlank="1" showInputMessage="1" showErrorMessage="1" xr:uid="{58734A9E-DE9A-4CDC-A284-098703B16D56}">
          <x14:formula1>
            <xm:f>resumo_cx!$P$2:$P$18</xm:f>
          </x14:formula1>
          <xm:sqref>L15:L31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topLeftCell="A2" zoomScale="80" zoomScaleNormal="80" workbookViewId="0">
      <selection activeCell="F20" sqref="F19:F2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'27'!B1+1</f>
        <v>45532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4500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3120</v>
      </c>
      <c r="D6" s="2"/>
      <c r="E6" s="18">
        <v>9705</v>
      </c>
      <c r="F6" s="25" t="s">
        <v>308</v>
      </c>
      <c r="G6" s="26" t="s">
        <v>10</v>
      </c>
      <c r="H6" s="8">
        <v>650</v>
      </c>
      <c r="I6" s="8">
        <v>50</v>
      </c>
      <c r="J6" s="2"/>
      <c r="K6" s="25" t="s">
        <v>314</v>
      </c>
      <c r="L6" s="9" t="s">
        <v>299</v>
      </c>
      <c r="M6" s="16">
        <v>5</v>
      </c>
      <c r="R6" s="1">
        <f>IF(vend28[[#This Row],[Nº Venda]]&gt;1,1,0)</f>
        <v>1</v>
      </c>
    </row>
    <row r="7" spans="2:18" ht="15.6" x14ac:dyDescent="0.3">
      <c r="B7" s="23" t="s">
        <v>3</v>
      </c>
      <c r="C7" s="24">
        <f>SUM(M6:M11)</f>
        <v>5</v>
      </c>
      <c r="D7" s="2"/>
      <c r="E7" s="18">
        <v>9706</v>
      </c>
      <c r="F7" s="25" t="s">
        <v>309</v>
      </c>
      <c r="G7" s="26" t="s">
        <v>8</v>
      </c>
      <c r="H7" s="8">
        <v>1500</v>
      </c>
      <c r="I7" s="8">
        <v>1500</v>
      </c>
      <c r="J7" s="2"/>
      <c r="K7" s="25"/>
      <c r="L7" s="9"/>
      <c r="M7" s="16"/>
      <c r="R7" s="1">
        <f>IF(vend28[[#This Row],[Nº Venda]]&gt;1,1,0)</f>
        <v>1</v>
      </c>
    </row>
    <row r="8" spans="2:18" ht="15.6" x14ac:dyDescent="0.3">
      <c r="B8" s="28" t="s">
        <v>21</v>
      </c>
      <c r="C8" s="29">
        <f>SUM(C6:C7)</f>
        <v>3125</v>
      </c>
      <c r="D8" s="2"/>
      <c r="E8" s="18">
        <v>9707</v>
      </c>
      <c r="F8" s="25" t="s">
        <v>310</v>
      </c>
      <c r="G8" s="26" t="s">
        <v>6</v>
      </c>
      <c r="H8" s="8">
        <v>700</v>
      </c>
      <c r="I8" s="8">
        <v>120</v>
      </c>
      <c r="J8" s="2"/>
      <c r="K8" s="25"/>
      <c r="L8" s="9"/>
      <c r="M8" s="16"/>
      <c r="R8" s="1">
        <f>IF(vend28[[#This Row],[Nº Venda]]&gt;1,1,0)</f>
        <v>1</v>
      </c>
    </row>
    <row r="9" spans="2:18" ht="15.6" x14ac:dyDescent="0.3">
      <c r="B9" s="2"/>
      <c r="C9" s="2"/>
      <c r="D9" s="2"/>
      <c r="E9" s="18">
        <v>9708</v>
      </c>
      <c r="F9" s="25" t="s">
        <v>311</v>
      </c>
      <c r="G9" s="26" t="s">
        <v>8</v>
      </c>
      <c r="H9" s="8">
        <v>680</v>
      </c>
      <c r="I9" s="8">
        <v>680</v>
      </c>
      <c r="J9" s="2"/>
      <c r="K9" s="25"/>
      <c r="L9" s="9"/>
      <c r="M9" s="16"/>
      <c r="R9" s="1">
        <f>IF(vend28[[#This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9709</v>
      </c>
      <c r="F10" s="25" t="s">
        <v>312</v>
      </c>
      <c r="G10" s="26" t="s">
        <v>50</v>
      </c>
      <c r="H10" s="8">
        <v>300</v>
      </c>
      <c r="I10" s="8"/>
      <c r="J10" s="2"/>
      <c r="K10" s="25"/>
      <c r="L10" s="9"/>
      <c r="M10" s="16"/>
      <c r="R10" s="1">
        <f>IF(vend28[[#This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476</v>
      </c>
      <c r="D11" s="2"/>
      <c r="E11" s="18">
        <v>9710</v>
      </c>
      <c r="F11" s="25" t="s">
        <v>319</v>
      </c>
      <c r="G11" s="26" t="s">
        <v>10</v>
      </c>
      <c r="H11" s="8">
        <v>350</v>
      </c>
      <c r="I11" s="8">
        <v>50</v>
      </c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20</v>
      </c>
      <c r="D12" s="2"/>
      <c r="E12" s="18">
        <v>9711</v>
      </c>
      <c r="F12" s="25" t="s">
        <v>319</v>
      </c>
      <c r="G12" s="26" t="s">
        <v>10</v>
      </c>
      <c r="H12" s="8">
        <v>600</v>
      </c>
      <c r="I12" s="8">
        <v>100</v>
      </c>
      <c r="J12" s="2"/>
      <c r="R12" s="1">
        <f>IF(vend28[[#This Row],[Nº Venda]]&gt;1,1,0)</f>
        <v>1</v>
      </c>
    </row>
    <row r="13" spans="2:18" ht="15.6" x14ac:dyDescent="0.3">
      <c r="B13" s="30" t="s">
        <v>8</v>
      </c>
      <c r="C13" s="31">
        <f t="shared" si="0"/>
        <v>2180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IF(vend28[[#This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6" x14ac:dyDescent="0.3">
      <c r="B15" s="30" t="s">
        <v>10</v>
      </c>
      <c r="C15" s="31">
        <f t="shared" si="0"/>
        <v>818.56999999999994</v>
      </c>
      <c r="D15" s="2"/>
      <c r="E15" s="18"/>
      <c r="F15" s="25"/>
      <c r="G15" s="26"/>
      <c r="H15" s="8"/>
      <c r="I15" s="8"/>
      <c r="J15" s="2"/>
      <c r="K15" s="25">
        <v>9691</v>
      </c>
      <c r="L15" s="9" t="s">
        <v>130</v>
      </c>
      <c r="M15" s="16" t="s">
        <v>141</v>
      </c>
      <c r="R15" s="1">
        <f>IF(vend28[[#This Row],[Nº Venda]]&gt;1,1,0)</f>
        <v>0</v>
      </c>
    </row>
    <row r="16" spans="2:18" ht="15.6" x14ac:dyDescent="0.3">
      <c r="B16" s="28" t="s">
        <v>11</v>
      </c>
      <c r="C16" s="32">
        <f>SUM(C11:C15)</f>
        <v>3494.5699999999997</v>
      </c>
      <c r="D16" s="2"/>
      <c r="E16" s="18"/>
      <c r="F16" s="25"/>
      <c r="G16" s="26"/>
      <c r="H16" s="8"/>
      <c r="I16" s="8"/>
      <c r="J16" s="2"/>
      <c r="K16" s="25">
        <v>9663</v>
      </c>
      <c r="L16" s="9" t="s">
        <v>136</v>
      </c>
      <c r="M16" s="16" t="s">
        <v>141</v>
      </c>
      <c r="R16" s="1">
        <f>IF(vend28[[#This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9680</v>
      </c>
      <c r="L17" s="9" t="s">
        <v>130</v>
      </c>
      <c r="M17" s="16" t="s">
        <v>141</v>
      </c>
      <c r="R17" s="1">
        <f>IF(vend28[[#This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9651</v>
      </c>
      <c r="L18" s="9" t="s">
        <v>134</v>
      </c>
      <c r="M18" s="16" t="s">
        <v>141</v>
      </c>
      <c r="R18" s="1">
        <f>IF(vend28[[#This Row],[Nº Venda]]&gt;1,1,0)</f>
        <v>0</v>
      </c>
    </row>
    <row r="19" spans="2:18" ht="15.6" x14ac:dyDescent="0.3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>
        <v>9274</v>
      </c>
      <c r="L19" s="9" t="s">
        <v>134</v>
      </c>
      <c r="M19" s="16" t="s">
        <v>141</v>
      </c>
      <c r="R19" s="1">
        <f>IF(vend28[[#This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4500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9691</v>
      </c>
      <c r="F26" s="25" t="s">
        <v>290</v>
      </c>
      <c r="G26" s="26" t="s">
        <v>7</v>
      </c>
      <c r="H26" s="8">
        <v>20</v>
      </c>
      <c r="I26" s="8">
        <v>20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9663</v>
      </c>
      <c r="F27" s="25" t="s">
        <v>313</v>
      </c>
      <c r="G27" s="26" t="s">
        <v>10</v>
      </c>
      <c r="H27" s="8"/>
      <c r="I27" s="8">
        <v>290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9663</v>
      </c>
      <c r="F28" s="25" t="s">
        <v>313</v>
      </c>
      <c r="G28" s="26" t="s">
        <v>6</v>
      </c>
      <c r="H28" s="8"/>
      <c r="I28" s="8">
        <v>60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9274</v>
      </c>
      <c r="F29" s="25" t="s">
        <v>315</v>
      </c>
      <c r="G29" s="26" t="s">
        <v>10</v>
      </c>
      <c r="H29" s="8"/>
      <c r="I29" s="8">
        <v>250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9042</v>
      </c>
      <c r="F35" s="25" t="s">
        <v>316</v>
      </c>
      <c r="G35" s="26" t="s">
        <v>6</v>
      </c>
      <c r="H35" s="8">
        <v>196</v>
      </c>
      <c r="I35" s="8" t="s">
        <v>77</v>
      </c>
      <c r="K35" s="25"/>
      <c r="L35" s="41"/>
      <c r="M35" s="16"/>
    </row>
    <row r="36" spans="2:18" ht="15.6" x14ac:dyDescent="0.3">
      <c r="E36" s="18">
        <v>9669</v>
      </c>
      <c r="F36" s="25" t="s">
        <v>317</v>
      </c>
      <c r="G36" s="26" t="s">
        <v>6</v>
      </c>
      <c r="H36" s="8">
        <v>100</v>
      </c>
      <c r="I36" s="8" t="s">
        <v>33</v>
      </c>
      <c r="K36" s="25"/>
      <c r="L36" s="41"/>
      <c r="M36" s="16"/>
    </row>
    <row r="37" spans="2:18" ht="15.6" x14ac:dyDescent="0.3">
      <c r="E37" s="18">
        <v>8571</v>
      </c>
      <c r="F37" s="25" t="s">
        <v>318</v>
      </c>
      <c r="G37" s="26" t="s">
        <v>10</v>
      </c>
      <c r="H37" s="8">
        <v>78.569999999999993</v>
      </c>
      <c r="I37" s="8" t="s">
        <v>61</v>
      </c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7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DB000DBC-CF6D-4966-80CD-166AEE6407CD}">
          <x14:formula1>
            <xm:f>resumo_cx!$P$2:$P$18</xm:f>
          </x14:formula1>
          <xm:sqref>L15:L31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E9" sqref="E9"/>
    </sheetView>
  </sheetViews>
  <sheetFormatPr defaultColWidth="9.109375" defaultRowHeight="13.2" x14ac:dyDescent="0.25"/>
  <cols>
    <col min="1" max="1" width="3.6640625" style="1" customWidth="1"/>
    <col min="2" max="2" width="25.10937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30" x14ac:dyDescent="0.7">
      <c r="B1" s="64">
        <f>'28'!B1+1</f>
        <v>45533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3970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3420</v>
      </c>
      <c r="D6" s="2"/>
      <c r="E6" s="18">
        <v>9712</v>
      </c>
      <c r="F6" s="25" t="s">
        <v>320</v>
      </c>
      <c r="G6" s="26" t="s">
        <v>50</v>
      </c>
      <c r="H6" s="8">
        <v>35</v>
      </c>
      <c r="I6" s="8"/>
      <c r="J6" s="2"/>
      <c r="K6" s="25"/>
      <c r="L6" s="9"/>
      <c r="M6" s="16"/>
      <c r="R6" s="1">
        <f>IF(vend29[[#This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9713</v>
      </c>
      <c r="F7" s="25" t="s">
        <v>321</v>
      </c>
      <c r="G7" s="26" t="s">
        <v>50</v>
      </c>
      <c r="H7" s="8">
        <v>35</v>
      </c>
      <c r="I7" s="8"/>
      <c r="J7" s="2"/>
      <c r="K7" s="25"/>
      <c r="L7" s="9"/>
      <c r="M7" s="16"/>
      <c r="R7" s="1">
        <f>IF(vend29[[#This Row],[Nº Venda]]&gt;1,1,0)</f>
        <v>1</v>
      </c>
    </row>
    <row r="8" spans="2:18" ht="15.6" x14ac:dyDescent="0.3">
      <c r="B8" s="28" t="s">
        <v>21</v>
      </c>
      <c r="C8" s="29">
        <f>SUM(C6:C7)</f>
        <v>3420</v>
      </c>
      <c r="D8" s="2"/>
      <c r="E8" s="18">
        <v>9714</v>
      </c>
      <c r="F8" s="25" t="s">
        <v>322</v>
      </c>
      <c r="G8" s="26" t="s">
        <v>6</v>
      </c>
      <c r="H8" s="8">
        <v>300</v>
      </c>
      <c r="I8" s="8">
        <v>150</v>
      </c>
      <c r="J8" s="2"/>
      <c r="K8" s="25"/>
      <c r="L8" s="9"/>
      <c r="M8" s="16"/>
      <c r="R8" s="1">
        <f>IF(vend29[[#This Row],[Nº Venda]]&gt;1,1,0)</f>
        <v>1</v>
      </c>
    </row>
    <row r="9" spans="2:18" ht="15.6" x14ac:dyDescent="0.3">
      <c r="B9" s="2"/>
      <c r="C9" s="2"/>
      <c r="D9" s="2"/>
      <c r="E9" s="18">
        <v>9715</v>
      </c>
      <c r="F9" s="25" t="s">
        <v>323</v>
      </c>
      <c r="G9" s="26" t="s">
        <v>8</v>
      </c>
      <c r="H9" s="47">
        <v>180</v>
      </c>
      <c r="I9" s="8">
        <v>180</v>
      </c>
      <c r="J9" s="2"/>
      <c r="K9" s="25"/>
      <c r="L9" s="9"/>
      <c r="M9" s="16"/>
      <c r="R9" s="1">
        <f>IF(vend29[[#This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9716</v>
      </c>
      <c r="F10" s="25" t="s">
        <v>325</v>
      </c>
      <c r="G10" s="26" t="s">
        <v>7</v>
      </c>
      <c r="H10" s="8">
        <v>700</v>
      </c>
      <c r="I10" s="8">
        <v>200</v>
      </c>
      <c r="J10" s="2"/>
      <c r="K10" s="25"/>
      <c r="L10" s="9"/>
      <c r="M10" s="16"/>
      <c r="R10" s="1">
        <f>IF(vend29[[#This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150</v>
      </c>
      <c r="D11" s="2"/>
      <c r="E11" s="18">
        <v>9717</v>
      </c>
      <c r="F11" s="25" t="s">
        <v>325</v>
      </c>
      <c r="G11" s="26" t="s">
        <v>7</v>
      </c>
      <c r="H11" s="8">
        <v>500</v>
      </c>
      <c r="I11" s="8">
        <v>200</v>
      </c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1500</v>
      </c>
      <c r="D12" s="2"/>
      <c r="E12" s="18">
        <v>9718</v>
      </c>
      <c r="F12" s="25" t="s">
        <v>326</v>
      </c>
      <c r="G12" s="26" t="s">
        <v>7</v>
      </c>
      <c r="H12" s="8">
        <v>1990</v>
      </c>
      <c r="I12" s="8">
        <v>900</v>
      </c>
      <c r="J12" s="2"/>
      <c r="R12" s="1">
        <f>IF(vend29[[#This Row],[Nº Venda]]&gt;1,1,0)</f>
        <v>1</v>
      </c>
    </row>
    <row r="13" spans="2:18" ht="15.6" x14ac:dyDescent="0.3">
      <c r="B13" s="30" t="s">
        <v>8</v>
      </c>
      <c r="C13" s="31">
        <f t="shared" si="0"/>
        <v>1570</v>
      </c>
      <c r="D13" s="2"/>
      <c r="E13" s="18">
        <v>9718</v>
      </c>
      <c r="F13" s="25" t="s">
        <v>326</v>
      </c>
      <c r="G13" s="26" t="s">
        <v>8</v>
      </c>
      <c r="H13" s="8"/>
      <c r="I13" s="8">
        <v>1090</v>
      </c>
      <c r="J13" s="2"/>
      <c r="K13" s="105" t="s">
        <v>22</v>
      </c>
      <c r="L13" s="106"/>
      <c r="M13" s="107"/>
      <c r="R13" s="1">
        <f>IF(vend29[[#This Row],[Nº Venda]]&gt;1,1,0)</f>
        <v>1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6" x14ac:dyDescent="0.3">
      <c r="B15" s="30" t="s">
        <v>10</v>
      </c>
      <c r="C15" s="31">
        <f t="shared" si="0"/>
        <v>400</v>
      </c>
      <c r="D15" s="2"/>
      <c r="E15" s="18"/>
      <c r="F15" s="25"/>
      <c r="G15" s="26"/>
      <c r="H15" s="8"/>
      <c r="I15" s="8"/>
      <c r="J15" s="2"/>
      <c r="K15" s="63">
        <v>9682</v>
      </c>
      <c r="L15" s="9" t="s">
        <v>130</v>
      </c>
      <c r="M15" s="16" t="s">
        <v>141</v>
      </c>
      <c r="R15" s="1">
        <f>IF(vend29[[#This Row],[Nº Venda]]&gt;1,1,0)</f>
        <v>0</v>
      </c>
    </row>
    <row r="16" spans="2:18" ht="15.6" x14ac:dyDescent="0.3">
      <c r="B16" s="28" t="s">
        <v>11</v>
      </c>
      <c r="C16" s="32">
        <f>SUM(C11:C15)</f>
        <v>3620</v>
      </c>
      <c r="D16" s="2"/>
      <c r="E16" s="18"/>
      <c r="F16" s="25"/>
      <c r="G16" s="26"/>
      <c r="H16" s="8"/>
      <c r="I16" s="8"/>
      <c r="J16" s="2"/>
      <c r="K16" s="63">
        <v>9676</v>
      </c>
      <c r="L16" s="9" t="s">
        <v>130</v>
      </c>
      <c r="M16" s="16" t="s">
        <v>141</v>
      </c>
      <c r="R16" s="1">
        <f>IF(vend29[[#This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63">
        <v>9677</v>
      </c>
      <c r="L17" s="9" t="s">
        <v>130</v>
      </c>
      <c r="M17" s="16" t="s">
        <v>141</v>
      </c>
      <c r="R17" s="1">
        <f>IF(vend29[[#This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6" x14ac:dyDescent="0.3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3970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9682</v>
      </c>
      <c r="F26" s="25" t="s">
        <v>324</v>
      </c>
      <c r="G26" s="26" t="s">
        <v>10</v>
      </c>
      <c r="H26" s="8"/>
      <c r="I26" s="8">
        <v>400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9709</v>
      </c>
      <c r="F27" s="25" t="s">
        <v>312</v>
      </c>
      <c r="G27" s="26" t="s">
        <v>8</v>
      </c>
      <c r="H27" s="8">
        <v>300</v>
      </c>
      <c r="I27" s="8">
        <v>300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8943</v>
      </c>
      <c r="F35" s="25" t="s">
        <v>327</v>
      </c>
      <c r="G35" s="26" t="s">
        <v>7</v>
      </c>
      <c r="H35" s="8">
        <v>200</v>
      </c>
      <c r="I35" s="8" t="s">
        <v>86</v>
      </c>
      <c r="K35" s="25"/>
      <c r="L35" s="41"/>
      <c r="M35" s="16"/>
    </row>
    <row r="36" spans="2:18" ht="15.6" x14ac:dyDescent="0.3">
      <c r="E36" s="18"/>
      <c r="F36" s="25"/>
      <c r="G36" s="26"/>
      <c r="H36" s="8"/>
      <c r="I36" s="8"/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  <x14:dataValidation type="list" allowBlank="1" showInputMessage="1" showErrorMessage="1" xr:uid="{008D7259-4926-4317-B04D-605810170BB6}">
          <x14:formula1>
            <xm:f>resumo_cx!$P$2:$P$18</xm:f>
          </x14:formula1>
          <xm:sqref>L15:L31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V41"/>
  <sheetViews>
    <sheetView showGridLines="0" zoomScale="80" zoomScaleNormal="80" workbookViewId="0">
      <selection activeCell="K16" sqref="K16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'29'!B1+1</f>
        <v>45534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7314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3825</v>
      </c>
      <c r="D6" s="2"/>
      <c r="E6" s="18">
        <v>9719</v>
      </c>
      <c r="F6" s="25" t="s">
        <v>328</v>
      </c>
      <c r="G6" s="26" t="s">
        <v>7</v>
      </c>
      <c r="H6" s="8">
        <v>1060</v>
      </c>
      <c r="I6" s="8">
        <v>602</v>
      </c>
      <c r="J6" s="2"/>
      <c r="K6" s="25"/>
      <c r="L6" s="9"/>
      <c r="M6" s="16"/>
      <c r="R6" s="1">
        <f>IF(vend30[[#This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9719</v>
      </c>
      <c r="F7" s="25" t="s">
        <v>328</v>
      </c>
      <c r="G7" s="26" t="s">
        <v>7</v>
      </c>
      <c r="H7" s="8"/>
      <c r="I7" s="8">
        <v>598</v>
      </c>
      <c r="J7" s="2"/>
      <c r="K7" s="25"/>
      <c r="L7" s="9"/>
      <c r="M7" s="16"/>
      <c r="R7" s="1">
        <f>IF(vend30[[#This Row],[Nº Venda]]&gt;1,1,0)</f>
        <v>1</v>
      </c>
    </row>
    <row r="8" spans="2:18" ht="15.6" x14ac:dyDescent="0.3">
      <c r="B8" s="28" t="s">
        <v>21</v>
      </c>
      <c r="C8" s="29">
        <f>SUM(C6:C7)</f>
        <v>3825</v>
      </c>
      <c r="D8" s="2"/>
      <c r="E8" s="18">
        <v>9720</v>
      </c>
      <c r="F8" s="25" t="s">
        <v>329</v>
      </c>
      <c r="G8" s="26" t="s">
        <v>7</v>
      </c>
      <c r="H8" s="8">
        <v>930</v>
      </c>
      <c r="I8" s="8">
        <v>100</v>
      </c>
      <c r="J8" s="2"/>
      <c r="K8" s="25"/>
      <c r="L8" s="9"/>
      <c r="M8" s="16"/>
      <c r="R8" s="1">
        <f>IF(vend30[[#This Row],[Nº Venda]]&gt;1,1,0)</f>
        <v>1</v>
      </c>
    </row>
    <row r="9" spans="2:18" ht="15.6" x14ac:dyDescent="0.3">
      <c r="B9" s="2"/>
      <c r="C9" s="2"/>
      <c r="D9" s="2"/>
      <c r="E9" s="18">
        <v>9721</v>
      </c>
      <c r="F9" s="25" t="s">
        <v>330</v>
      </c>
      <c r="G9" s="26" t="s">
        <v>10</v>
      </c>
      <c r="H9" s="8">
        <v>950</v>
      </c>
      <c r="I9" s="8">
        <v>100</v>
      </c>
      <c r="J9" s="2"/>
      <c r="K9" s="25"/>
      <c r="L9" s="9"/>
      <c r="M9" s="16"/>
      <c r="R9" s="1">
        <f>IF(vend30[[#This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9722</v>
      </c>
      <c r="F10" s="25" t="s">
        <v>331</v>
      </c>
      <c r="G10" s="26" t="s">
        <v>8</v>
      </c>
      <c r="H10" s="8">
        <v>790</v>
      </c>
      <c r="I10" s="8">
        <v>790</v>
      </c>
      <c r="J10" s="2"/>
      <c r="K10" s="25"/>
      <c r="L10" s="9"/>
      <c r="M10" s="16"/>
      <c r="R10" s="1">
        <f>IF(vend30[[#This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50</v>
      </c>
      <c r="D11" s="2"/>
      <c r="E11" s="18">
        <v>9723</v>
      </c>
      <c r="F11" s="25" t="s">
        <v>332</v>
      </c>
      <c r="G11" s="26" t="s">
        <v>10</v>
      </c>
      <c r="H11" s="8">
        <v>850</v>
      </c>
      <c r="I11" s="8">
        <v>150</v>
      </c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1647.5</v>
      </c>
      <c r="D12" s="2"/>
      <c r="E12" s="18">
        <v>9724</v>
      </c>
      <c r="F12" s="25" t="s">
        <v>333</v>
      </c>
      <c r="G12" s="26" t="s">
        <v>8</v>
      </c>
      <c r="H12" s="8">
        <v>1300</v>
      </c>
      <c r="I12" s="8">
        <v>1300</v>
      </c>
      <c r="J12" s="2"/>
      <c r="R12" s="1">
        <f>IF(vend30[[#This Row],[Nº Venda]]&gt;1,1,0)</f>
        <v>1</v>
      </c>
    </row>
    <row r="13" spans="2:18" ht="15.6" x14ac:dyDescent="0.3">
      <c r="B13" s="30" t="s">
        <v>8</v>
      </c>
      <c r="C13" s="31">
        <f t="shared" si="0"/>
        <v>2090</v>
      </c>
      <c r="D13" s="2"/>
      <c r="E13" s="18">
        <v>9725</v>
      </c>
      <c r="F13" s="25" t="s">
        <v>337</v>
      </c>
      <c r="G13" s="26" t="s">
        <v>7</v>
      </c>
      <c r="H13" s="8">
        <v>1399</v>
      </c>
      <c r="I13" s="8">
        <v>100</v>
      </c>
      <c r="J13" s="2"/>
      <c r="K13" s="105" t="s">
        <v>22</v>
      </c>
      <c r="L13" s="106"/>
      <c r="M13" s="107"/>
      <c r="R13" s="1">
        <f>IF(vend30[[#This Row],[Nº Venda]]&gt;1,1,0)</f>
        <v>1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6" x14ac:dyDescent="0.3">
      <c r="B15" s="30" t="s">
        <v>10</v>
      </c>
      <c r="C15" s="31">
        <f t="shared" si="0"/>
        <v>250</v>
      </c>
      <c r="D15" s="2"/>
      <c r="E15" s="18"/>
      <c r="F15" s="25"/>
      <c r="G15" s="26"/>
      <c r="H15" s="8"/>
      <c r="I15" s="8"/>
      <c r="J15" s="2"/>
      <c r="K15" s="25">
        <v>9627</v>
      </c>
      <c r="L15" s="9" t="s">
        <v>134</v>
      </c>
      <c r="M15" s="16" t="s">
        <v>141</v>
      </c>
      <c r="R15" s="1">
        <f>IF(vend30[[#This Row],[Nº Venda]]&gt;1,1,0)</f>
        <v>0</v>
      </c>
    </row>
    <row r="16" spans="2:18" ht="15.6" x14ac:dyDescent="0.3">
      <c r="B16" s="28" t="s">
        <v>11</v>
      </c>
      <c r="C16" s="32">
        <f>SUM(C11:C15)</f>
        <v>4037.5</v>
      </c>
      <c r="D16" s="2"/>
      <c r="E16" s="18"/>
      <c r="F16" s="25"/>
      <c r="G16" s="26"/>
      <c r="H16" s="8"/>
      <c r="I16" s="8"/>
      <c r="J16" s="2"/>
      <c r="K16" s="25">
        <v>9715</v>
      </c>
      <c r="L16" s="9" t="s">
        <v>134</v>
      </c>
      <c r="M16" s="16" t="s">
        <v>141</v>
      </c>
      <c r="R16" s="1">
        <f>IF(vend30[[#This Row],[Nº Venda]]&gt;1,1,0)</f>
        <v>0</v>
      </c>
    </row>
    <row r="17" spans="2:22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9553</v>
      </c>
      <c r="L17" s="9" t="s">
        <v>134</v>
      </c>
      <c r="M17" s="16" t="s">
        <v>141</v>
      </c>
      <c r="R17" s="1">
        <f>IF(vend30[[#This Row],[Nº Venda]]&gt;1,1,0)</f>
        <v>0</v>
      </c>
    </row>
    <row r="18" spans="2:22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9554</v>
      </c>
      <c r="L18" s="9" t="s">
        <v>134</v>
      </c>
      <c r="M18" s="16" t="s">
        <v>141</v>
      </c>
      <c r="R18" s="1">
        <f>IF(vend30[[#This Row],[Nº Venda]]&gt;1,1,0)</f>
        <v>0</v>
      </c>
    </row>
    <row r="19" spans="2:22" ht="15.6" x14ac:dyDescent="0.3">
      <c r="B19" s="30">
        <f>COUNT(entr_carn30[OS])</f>
        <v>1</v>
      </c>
      <c r="C19" s="31">
        <f>SUM(entr_carn30[Valor Total])</f>
        <v>530</v>
      </c>
      <c r="D19" s="2"/>
      <c r="E19" s="18"/>
      <c r="F19" s="25"/>
      <c r="G19" s="26"/>
      <c r="H19" s="8"/>
      <c r="I19" s="8"/>
      <c r="J19" s="2"/>
      <c r="K19" s="25">
        <v>9674</v>
      </c>
      <c r="L19" s="9" t="s">
        <v>134</v>
      </c>
      <c r="M19" s="16" t="s">
        <v>141</v>
      </c>
      <c r="R19" s="1">
        <f>IF(vend30[[#This Row],[Nº Venda]]&gt;1,1,0)</f>
        <v>0</v>
      </c>
    </row>
    <row r="20" spans="2:22" ht="15.6" x14ac:dyDescent="0.3">
      <c r="B20" s="28" t="s">
        <v>11</v>
      </c>
      <c r="C20" s="32">
        <f>SUM(C19:C19)</f>
        <v>530</v>
      </c>
      <c r="D20" s="2"/>
      <c r="E20" s="18"/>
      <c r="F20" s="26"/>
      <c r="G20" s="26"/>
      <c r="H20" s="8"/>
      <c r="I20" s="8"/>
      <c r="J20" s="2"/>
      <c r="K20" s="25">
        <v>9698</v>
      </c>
      <c r="L20" s="9" t="s">
        <v>130</v>
      </c>
      <c r="M20" s="16" t="s">
        <v>141</v>
      </c>
      <c r="R20" s="1">
        <f>IF(vend30[[#This Row],[Nº Venda]]&gt;1,1,0)</f>
        <v>0</v>
      </c>
    </row>
    <row r="21" spans="2:22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>
        <v>9673</v>
      </c>
      <c r="L21" s="9" t="s">
        <v>134</v>
      </c>
      <c r="M21" s="16" t="s">
        <v>141</v>
      </c>
      <c r="V21" s="1" t="s">
        <v>126</v>
      </c>
    </row>
    <row r="22" spans="2:22" ht="15.6" x14ac:dyDescent="0.3">
      <c r="B22" s="28" t="s">
        <v>26</v>
      </c>
      <c r="C22" s="32">
        <f>C5</f>
        <v>7314</v>
      </c>
      <c r="D22" s="2"/>
      <c r="E22" s="18"/>
      <c r="F22" s="25"/>
      <c r="G22" s="26"/>
      <c r="H22" s="8"/>
      <c r="I22" s="8"/>
      <c r="J22" s="2"/>
      <c r="K22" s="25">
        <v>9712</v>
      </c>
      <c r="L22" s="9" t="s">
        <v>134</v>
      </c>
      <c r="M22" s="16" t="s">
        <v>141</v>
      </c>
    </row>
    <row r="23" spans="2:22" ht="14.4" x14ac:dyDescent="0.3">
      <c r="B23" s="2"/>
      <c r="C23" s="2"/>
      <c r="D23" s="2"/>
      <c r="E23" s="33"/>
      <c r="H23" s="7"/>
      <c r="J23" s="2"/>
      <c r="K23" s="25">
        <v>9590</v>
      </c>
      <c r="L23" s="9" t="s">
        <v>134</v>
      </c>
      <c r="M23" s="16" t="s">
        <v>189</v>
      </c>
    </row>
    <row r="24" spans="2:22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>
        <v>9460</v>
      </c>
      <c r="L24" s="9" t="s">
        <v>130</v>
      </c>
      <c r="M24" s="16" t="s">
        <v>141</v>
      </c>
    </row>
    <row r="25" spans="2:22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22" ht="15.6" x14ac:dyDescent="0.3">
      <c r="B26" s="2"/>
      <c r="C26" s="2"/>
      <c r="D26" s="2"/>
      <c r="E26" s="18">
        <v>9712</v>
      </c>
      <c r="F26" s="25" t="s">
        <v>334</v>
      </c>
      <c r="G26" s="26" t="s">
        <v>7</v>
      </c>
      <c r="H26" s="8">
        <v>35</v>
      </c>
      <c r="I26" s="8">
        <v>35</v>
      </c>
      <c r="J26" s="2"/>
      <c r="K26" s="25"/>
      <c r="L26" s="9"/>
      <c r="M26" s="16"/>
    </row>
    <row r="27" spans="2:22" ht="15.6" x14ac:dyDescent="0.3">
      <c r="B27" s="2"/>
      <c r="C27" s="2"/>
      <c r="D27" s="2"/>
      <c r="E27" s="18">
        <v>9590</v>
      </c>
      <c r="F27" s="25" t="s">
        <v>335</v>
      </c>
      <c r="G27" s="26" t="s">
        <v>6</v>
      </c>
      <c r="H27" s="8"/>
      <c r="I27" s="8">
        <v>50</v>
      </c>
      <c r="J27" s="2"/>
      <c r="K27" s="25"/>
      <c r="L27" s="9"/>
      <c r="M27" s="16"/>
    </row>
    <row r="28" spans="2:22" ht="15.6" x14ac:dyDescent="0.3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22" ht="15.6" x14ac:dyDescent="0.3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22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22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22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8619</v>
      </c>
      <c r="F35" s="25" t="s">
        <v>336</v>
      </c>
      <c r="G35" s="26" t="s">
        <v>7</v>
      </c>
      <c r="H35" s="8">
        <v>106.25</v>
      </c>
      <c r="I35" s="8" t="s">
        <v>38</v>
      </c>
      <c r="K35" s="25">
        <v>9590</v>
      </c>
      <c r="L35" s="41">
        <v>5</v>
      </c>
      <c r="M35" s="16">
        <v>530</v>
      </c>
    </row>
    <row r="36" spans="2:18" ht="15.6" x14ac:dyDescent="0.3">
      <c r="E36" s="18">
        <v>8619</v>
      </c>
      <c r="F36" s="25" t="s">
        <v>336</v>
      </c>
      <c r="G36" s="26" t="s">
        <v>7</v>
      </c>
      <c r="H36" s="8">
        <v>106.25</v>
      </c>
      <c r="I36" s="8" t="s">
        <v>56</v>
      </c>
      <c r="K36" s="25"/>
      <c r="L36" s="41"/>
      <c r="M36" s="16"/>
    </row>
    <row r="37" spans="2:18" ht="15.6" x14ac:dyDescent="0.3">
      <c r="E37" s="18"/>
      <c r="F37" s="25"/>
      <c r="G37" s="26"/>
      <c r="H37" s="8"/>
      <c r="I37" s="8"/>
      <c r="K37" s="25"/>
      <c r="L37" s="41"/>
      <c r="M37" s="16"/>
    </row>
    <row r="38" spans="2:18" ht="15.6" x14ac:dyDescent="0.3">
      <c r="E38" s="18"/>
      <c r="F38" s="25"/>
      <c r="G38" s="26"/>
      <c r="H38" s="8"/>
      <c r="I38" s="8"/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8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  <x14:dataValidation type="list" allowBlank="1" showInputMessage="1" showErrorMessage="1" xr:uid="{57DC30A3-FD21-4F99-8FE7-91EB4ADC22FB}">
          <x14:formula1>
            <xm:f>resumo_cx!$P$2:$P$18</xm:f>
          </x14:formula1>
          <xm:sqref>L15:L31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zoomScale="80" zoomScaleNormal="80" workbookViewId="0">
      <selection activeCell="M20" sqref="M20"/>
    </sheetView>
  </sheetViews>
  <sheetFormatPr defaultColWidth="9.109375" defaultRowHeight="13.2" x14ac:dyDescent="0.25"/>
  <cols>
    <col min="1" max="1" width="3.6640625" style="1" customWidth="1"/>
    <col min="2" max="2" width="23.33203125" style="1" bestFit="1" customWidth="1"/>
    <col min="3" max="3" width="14" style="1" customWidth="1"/>
    <col min="4" max="4" width="2.6640625" style="1" customWidth="1"/>
    <col min="5" max="5" width="15.5546875" style="34" customWidth="1"/>
    <col min="6" max="6" width="26.33203125" style="34" customWidth="1"/>
    <col min="7" max="7" width="17.33203125" style="34" customWidth="1"/>
    <col min="8" max="8" width="19.109375" style="4" customWidth="1"/>
    <col min="9" max="9" width="15.5546875" style="4" customWidth="1"/>
    <col min="10" max="10" width="2.6640625" style="1" customWidth="1"/>
    <col min="11" max="11" width="21.6640625" style="3" customWidth="1"/>
    <col min="12" max="12" width="24.33203125" style="3" bestFit="1" customWidth="1"/>
    <col min="13" max="13" width="15.6640625" style="3" customWidth="1"/>
    <col min="14" max="14" width="4.33203125" style="1" customWidth="1"/>
    <col min="15" max="15" width="2.109375" style="1" hidden="1" customWidth="1"/>
    <col min="16" max="16" width="9.109375" style="1" hidden="1" customWidth="1"/>
    <col min="17" max="17" width="11.44140625" style="1" hidden="1" customWidth="1"/>
    <col min="18" max="18" width="2.44140625" style="1" hidden="1" customWidth="1"/>
    <col min="19" max="20" width="0" style="1" hidden="1" customWidth="1"/>
    <col min="21" max="16384" width="9.109375" style="1"/>
  </cols>
  <sheetData>
    <row r="1" spans="2:18" ht="27.6" x14ac:dyDescent="0.65">
      <c r="B1" s="57">
        <f>'30'!B1+1</f>
        <v>45535</v>
      </c>
    </row>
    <row r="2" spans="2:18" ht="18" x14ac:dyDescent="0.25">
      <c r="B2" s="108" t="s">
        <v>13</v>
      </c>
      <c r="C2" s="109"/>
      <c r="D2" s="109"/>
      <c r="E2" s="109"/>
      <c r="F2" s="109"/>
      <c r="G2" s="109"/>
      <c r="H2" s="109"/>
      <c r="I2" s="109"/>
      <c r="J2" s="109"/>
      <c r="K2" s="109"/>
      <c r="L2" s="109"/>
      <c r="M2" s="110"/>
    </row>
    <row r="3" spans="2:18" ht="18" x14ac:dyDescent="0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4.4" x14ac:dyDescent="0.3">
      <c r="B4" s="19" t="s">
        <v>0</v>
      </c>
      <c r="C4" s="20">
        <v>0</v>
      </c>
      <c r="D4" s="21"/>
      <c r="E4" s="111" t="s">
        <v>1</v>
      </c>
      <c r="F4" s="111"/>
      <c r="G4" s="111"/>
      <c r="H4" s="111"/>
      <c r="I4" s="111"/>
      <c r="J4" s="22"/>
      <c r="K4" s="105" t="s">
        <v>3</v>
      </c>
      <c r="L4" s="106"/>
      <c r="M4" s="107"/>
    </row>
    <row r="5" spans="2:18" ht="14.4" x14ac:dyDescent="0.3">
      <c r="B5" s="23" t="s">
        <v>1</v>
      </c>
      <c r="C5" s="24">
        <f>SUMIF(I6:I31,"&gt;0",H6:H31)</f>
        <v>5005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6" x14ac:dyDescent="0.3">
      <c r="B6" s="23" t="s">
        <v>2</v>
      </c>
      <c r="C6" s="24">
        <f>SUM(I6:I41)</f>
        <v>3154</v>
      </c>
      <c r="D6" s="2"/>
      <c r="E6" s="18">
        <v>9726</v>
      </c>
      <c r="F6" s="25" t="s">
        <v>338</v>
      </c>
      <c r="G6" s="26" t="s">
        <v>7</v>
      </c>
      <c r="H6" s="8">
        <v>1400</v>
      </c>
      <c r="I6" s="8">
        <v>200</v>
      </c>
      <c r="J6" s="2"/>
      <c r="K6" s="25"/>
      <c r="L6" s="9"/>
      <c r="M6" s="16"/>
      <c r="R6" s="1">
        <f>IF(vend31[[#This Row],[Nº Venda]]&gt;1,1,0)</f>
        <v>1</v>
      </c>
    </row>
    <row r="7" spans="2:18" ht="15.6" x14ac:dyDescent="0.3">
      <c r="B7" s="23" t="s">
        <v>3</v>
      </c>
      <c r="C7" s="24">
        <f>SUM(M6:M11)</f>
        <v>0</v>
      </c>
      <c r="D7" s="2"/>
      <c r="E7" s="18">
        <v>9727</v>
      </c>
      <c r="F7" s="25" t="s">
        <v>339</v>
      </c>
      <c r="G7" s="26" t="s">
        <v>8</v>
      </c>
      <c r="H7" s="8">
        <v>800</v>
      </c>
      <c r="I7" s="8">
        <v>800</v>
      </c>
      <c r="J7" s="2"/>
      <c r="K7" s="25"/>
      <c r="L7" s="9"/>
      <c r="M7" s="16"/>
      <c r="R7" s="1">
        <f>IF(vend31[[#This Row],[Nº Venda]]&gt;1,1,0)</f>
        <v>1</v>
      </c>
    </row>
    <row r="8" spans="2:18" ht="15.6" x14ac:dyDescent="0.3">
      <c r="B8" s="28" t="s">
        <v>21</v>
      </c>
      <c r="C8" s="29">
        <f>SUM(C6:C7)</f>
        <v>3154</v>
      </c>
      <c r="D8" s="2"/>
      <c r="E8" s="18">
        <v>9728</v>
      </c>
      <c r="F8" s="25" t="s">
        <v>340</v>
      </c>
      <c r="G8" s="26" t="s">
        <v>8</v>
      </c>
      <c r="H8" s="8">
        <v>1600</v>
      </c>
      <c r="I8" s="8">
        <v>300</v>
      </c>
      <c r="J8" s="2"/>
      <c r="K8" s="25"/>
      <c r="L8" s="9"/>
      <c r="M8" s="16"/>
      <c r="R8" s="1">
        <f>IF(vend31[[#This Row],[Nº Venda]]&gt;1,1,0)</f>
        <v>1</v>
      </c>
    </row>
    <row r="9" spans="2:18" ht="15.6" x14ac:dyDescent="0.3">
      <c r="B9" s="2"/>
      <c r="C9" s="2"/>
      <c r="D9" s="2"/>
      <c r="E9" s="18">
        <v>9729</v>
      </c>
      <c r="F9" s="25" t="s">
        <v>338</v>
      </c>
      <c r="G9" s="26" t="s">
        <v>40</v>
      </c>
      <c r="H9" s="8"/>
      <c r="I9" s="8"/>
      <c r="J9" s="2"/>
      <c r="K9" s="25"/>
      <c r="L9" s="9"/>
      <c r="M9" s="16"/>
      <c r="R9" s="1">
        <f>IF(vend31[[#This Row],[Nº Venda]]&gt;1,1,0)</f>
        <v>1</v>
      </c>
    </row>
    <row r="10" spans="2:18" ht="15.6" x14ac:dyDescent="0.3">
      <c r="B10" s="103" t="s">
        <v>5</v>
      </c>
      <c r="C10" s="103"/>
      <c r="D10" s="2"/>
      <c r="E10" s="18">
        <v>9730</v>
      </c>
      <c r="F10" s="25" t="s">
        <v>343</v>
      </c>
      <c r="G10" s="26" t="s">
        <v>10</v>
      </c>
      <c r="H10" s="8">
        <v>1130</v>
      </c>
      <c r="I10" s="8">
        <v>1130</v>
      </c>
      <c r="J10" s="2"/>
      <c r="K10" s="25"/>
      <c r="L10" s="9"/>
      <c r="M10" s="16"/>
      <c r="R10" s="1">
        <f>IF(vend31[[#This Row],[Nº Venda]]&gt;1,1,0)</f>
        <v>1</v>
      </c>
    </row>
    <row r="11" spans="2:18" ht="15.6" x14ac:dyDescent="0.3">
      <c r="B11" s="30" t="s">
        <v>6</v>
      </c>
      <c r="C11" s="31">
        <f>(SUMIF($G$2:$G$31,B11,$I$2:$I$31))+(SUMIF($G$35:$G$41,B11,$H$35:$H$41))</f>
        <v>249</v>
      </c>
      <c r="D11" s="2"/>
      <c r="E11" s="18">
        <v>9731</v>
      </c>
      <c r="F11" s="25" t="s">
        <v>343</v>
      </c>
      <c r="G11" s="26" t="s">
        <v>7</v>
      </c>
      <c r="H11" s="8">
        <v>40</v>
      </c>
      <c r="I11" s="8">
        <v>40</v>
      </c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1</v>
      </c>
    </row>
    <row r="12" spans="2:18" ht="15.6" x14ac:dyDescent="0.3">
      <c r="B12" s="30" t="s">
        <v>7</v>
      </c>
      <c r="C12" s="31">
        <f t="shared" ref="C12:C15" si="0">(SUMIF($G$2:$G$31,B12,$I$2:$I$31))+(SUMIF($G$35:$G$41,B12,$H$35:$H$41))</f>
        <v>634.87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6" x14ac:dyDescent="0.3">
      <c r="B13" s="30" t="s">
        <v>8</v>
      </c>
      <c r="C13" s="31">
        <f t="shared" si="0"/>
        <v>1300</v>
      </c>
      <c r="D13" s="2"/>
      <c r="E13" s="18"/>
      <c r="F13" s="25"/>
      <c r="G13" s="26"/>
      <c r="H13" s="8"/>
      <c r="I13" s="8"/>
      <c r="J13" s="2"/>
      <c r="K13" s="105" t="s">
        <v>22</v>
      </c>
      <c r="L13" s="106"/>
      <c r="M13" s="107"/>
      <c r="R13" s="1">
        <f>IF(vend31[[#This Row],[Nº Venda]]&gt;1,1,0)</f>
        <v>0</v>
      </c>
    </row>
    <row r="14" spans="2:18" ht="15.6" x14ac:dyDescent="0.3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6" x14ac:dyDescent="0.3">
      <c r="B15" s="30" t="s">
        <v>10</v>
      </c>
      <c r="C15" s="31">
        <f t="shared" si="0"/>
        <v>1619.82</v>
      </c>
      <c r="D15" s="2"/>
      <c r="E15" s="18"/>
      <c r="F15" s="25"/>
      <c r="G15" s="26"/>
      <c r="H15" s="8"/>
      <c r="I15" s="8"/>
      <c r="J15" s="2"/>
      <c r="K15" s="25">
        <v>9678</v>
      </c>
      <c r="L15" s="9" t="s">
        <v>130</v>
      </c>
      <c r="M15" s="16" t="s">
        <v>141</v>
      </c>
      <c r="R15" s="1">
        <f>IF(vend31[[#This Row],[Nº Venda]]&gt;1,1,0)</f>
        <v>0</v>
      </c>
    </row>
    <row r="16" spans="2:18" ht="15.6" x14ac:dyDescent="0.3">
      <c r="B16" s="28" t="s">
        <v>11</v>
      </c>
      <c r="C16" s="32">
        <f>SUM(C11:C15)</f>
        <v>3803.6899999999996</v>
      </c>
      <c r="D16" s="2"/>
      <c r="E16" s="18"/>
      <c r="F16" s="25"/>
      <c r="G16" s="26"/>
      <c r="H16" s="8"/>
      <c r="I16" s="8"/>
      <c r="J16" s="2"/>
      <c r="K16" s="25">
        <v>9612</v>
      </c>
      <c r="L16" s="9" t="s">
        <v>130</v>
      </c>
      <c r="M16" s="16" t="s">
        <v>141</v>
      </c>
      <c r="R16" s="1">
        <f>IF(vend31[[#This Row],[Nº Venda]]&gt;1,1,0)</f>
        <v>0</v>
      </c>
    </row>
    <row r="17" spans="2:18" ht="15.6" x14ac:dyDescent="0.3">
      <c r="B17" s="2"/>
      <c r="C17" s="2"/>
      <c r="D17" s="2"/>
      <c r="E17" s="18"/>
      <c r="F17" s="25"/>
      <c r="G17" s="26"/>
      <c r="H17" s="8"/>
      <c r="I17" s="8"/>
      <c r="J17" s="2"/>
      <c r="K17" s="25">
        <v>9722</v>
      </c>
      <c r="L17" s="9" t="s">
        <v>130</v>
      </c>
      <c r="M17" s="16" t="s">
        <v>141</v>
      </c>
      <c r="R17" s="1">
        <f>IF(vend31[[#This Row],[Nº Venda]]&gt;1,1,0)</f>
        <v>0</v>
      </c>
    </row>
    <row r="18" spans="2:18" ht="15.6" x14ac:dyDescent="0.3">
      <c r="B18" s="103" t="s">
        <v>12</v>
      </c>
      <c r="C18" s="103"/>
      <c r="D18" s="2"/>
      <c r="E18" s="18"/>
      <c r="F18" s="25"/>
      <c r="G18" s="26"/>
      <c r="H18" s="8"/>
      <c r="I18" s="8"/>
      <c r="J18" s="2"/>
      <c r="K18" s="25">
        <v>9648</v>
      </c>
      <c r="L18" s="9" t="s">
        <v>134</v>
      </c>
      <c r="M18" s="16" t="s">
        <v>141</v>
      </c>
      <c r="R18" s="1">
        <f>IF(vend31[[#This Row],[Nº Venda]]&gt;1,1,0)</f>
        <v>0</v>
      </c>
    </row>
    <row r="19" spans="2:18" ht="15.6" x14ac:dyDescent="0.3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>
        <v>9731</v>
      </c>
      <c r="L19" s="9" t="s">
        <v>130</v>
      </c>
      <c r="M19" s="16" t="s">
        <v>141</v>
      </c>
      <c r="R19" s="1">
        <f>IF(vend31[[#This Row],[Nº Venda]]&gt;1,1,0)</f>
        <v>0</v>
      </c>
    </row>
    <row r="20" spans="2:18" ht="15.6" x14ac:dyDescent="0.3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6" x14ac:dyDescent="0.3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6" x14ac:dyDescent="0.3">
      <c r="B22" s="28" t="s">
        <v>26</v>
      </c>
      <c r="C22" s="32">
        <f>C5</f>
        <v>5005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4.4" x14ac:dyDescent="0.3">
      <c r="B23" s="2"/>
      <c r="C23" s="2"/>
      <c r="D23" s="2"/>
      <c r="E23" s="33"/>
      <c r="H23" s="7"/>
      <c r="J23" s="2"/>
      <c r="K23" s="25"/>
      <c r="L23" s="9"/>
      <c r="M23" s="16"/>
    </row>
    <row r="24" spans="2:18" ht="14.4" x14ac:dyDescent="0.3">
      <c r="B24" s="2"/>
      <c r="C24" s="2"/>
      <c r="D24" s="2"/>
      <c r="E24" s="104" t="s">
        <v>27</v>
      </c>
      <c r="F24" s="104"/>
      <c r="G24" s="104"/>
      <c r="H24" s="104"/>
      <c r="I24" s="104"/>
      <c r="J24" s="2"/>
      <c r="K24" s="25"/>
      <c r="L24" s="9"/>
      <c r="M24" s="16"/>
    </row>
    <row r="25" spans="2:18" ht="14.4" x14ac:dyDescent="0.3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6" x14ac:dyDescent="0.3">
      <c r="B26" s="2"/>
      <c r="C26" s="2"/>
      <c r="D26" s="2"/>
      <c r="E26" s="18">
        <v>9264</v>
      </c>
      <c r="F26" s="25" t="s">
        <v>341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6" x14ac:dyDescent="0.3">
      <c r="B27" s="2"/>
      <c r="C27" s="2"/>
      <c r="D27" s="2"/>
      <c r="E27" s="18">
        <v>9686</v>
      </c>
      <c r="F27" s="25" t="s">
        <v>281</v>
      </c>
      <c r="G27" s="26" t="s">
        <v>8</v>
      </c>
      <c r="H27" s="8"/>
      <c r="I27" s="8">
        <v>200</v>
      </c>
      <c r="J27" s="2"/>
      <c r="K27" s="25"/>
      <c r="L27" s="9"/>
      <c r="M27" s="16"/>
    </row>
    <row r="28" spans="2:18" ht="15.6" x14ac:dyDescent="0.3">
      <c r="B28" s="2"/>
      <c r="C28" s="2"/>
      <c r="D28" s="2"/>
      <c r="E28" s="18">
        <v>9713</v>
      </c>
      <c r="F28" s="25" t="s">
        <v>344</v>
      </c>
      <c r="G28" s="26" t="s">
        <v>10</v>
      </c>
      <c r="H28" s="8">
        <v>35</v>
      </c>
      <c r="I28" s="8">
        <v>35</v>
      </c>
      <c r="J28" s="2"/>
      <c r="K28" s="25"/>
      <c r="L28" s="9"/>
      <c r="M28" s="16"/>
    </row>
    <row r="29" spans="2:18" ht="15.6" x14ac:dyDescent="0.3">
      <c r="B29" s="2"/>
      <c r="C29" s="2"/>
      <c r="D29" s="2"/>
      <c r="E29" s="18">
        <v>9712</v>
      </c>
      <c r="F29" s="25" t="s">
        <v>345</v>
      </c>
      <c r="G29" s="26" t="s">
        <v>6</v>
      </c>
      <c r="H29" s="8"/>
      <c r="I29" s="8">
        <v>249</v>
      </c>
      <c r="J29" s="2"/>
      <c r="K29" s="25"/>
      <c r="L29" s="9"/>
      <c r="M29" s="16"/>
    </row>
    <row r="30" spans="2:18" ht="15.6" x14ac:dyDescent="0.3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6" x14ac:dyDescent="0.3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4.4" x14ac:dyDescent="0.3">
      <c r="B32" s="2"/>
      <c r="C32" s="2"/>
      <c r="E32" s="33"/>
    </row>
    <row r="33" spans="2:18" ht="14.4" x14ac:dyDescent="0.3">
      <c r="B33" s="2"/>
      <c r="C33" s="2"/>
      <c r="E33" s="104" t="s">
        <v>28</v>
      </c>
      <c r="F33" s="104"/>
      <c r="G33" s="104"/>
      <c r="H33" s="104"/>
      <c r="I33" s="104"/>
      <c r="K33" s="105" t="s">
        <v>12</v>
      </c>
      <c r="L33" s="106"/>
      <c r="M33" s="107"/>
    </row>
    <row r="34" spans="2:18" ht="14.4" x14ac:dyDescent="0.3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6" x14ac:dyDescent="0.3">
      <c r="E35" s="18">
        <v>9441</v>
      </c>
      <c r="F35" s="25" t="s">
        <v>156</v>
      </c>
      <c r="G35" s="26" t="s">
        <v>10</v>
      </c>
      <c r="H35" s="8">
        <v>356.25</v>
      </c>
      <c r="I35" s="8" t="s">
        <v>34</v>
      </c>
      <c r="K35" s="25"/>
      <c r="L35" s="41"/>
      <c r="M35" s="16"/>
    </row>
    <row r="36" spans="2:18" ht="15.6" x14ac:dyDescent="0.3">
      <c r="E36" s="18">
        <v>8551</v>
      </c>
      <c r="F36" s="25" t="s">
        <v>170</v>
      </c>
      <c r="G36" s="26" t="s">
        <v>10</v>
      </c>
      <c r="H36" s="8">
        <v>98.57</v>
      </c>
      <c r="I36" s="8" t="s">
        <v>61</v>
      </c>
      <c r="K36" s="25"/>
      <c r="L36" s="41"/>
      <c r="M36" s="16"/>
    </row>
    <row r="37" spans="2:18" ht="15.6" x14ac:dyDescent="0.3">
      <c r="E37" s="18">
        <v>9305</v>
      </c>
      <c r="F37" s="25" t="s">
        <v>181</v>
      </c>
      <c r="G37" s="26" t="s">
        <v>7</v>
      </c>
      <c r="H37" s="8">
        <v>70</v>
      </c>
      <c r="I37" s="8" t="s">
        <v>45</v>
      </c>
      <c r="K37" s="25"/>
      <c r="L37" s="41"/>
      <c r="M37" s="16"/>
    </row>
    <row r="38" spans="2:18" ht="15.6" x14ac:dyDescent="0.3">
      <c r="E38" s="18">
        <v>9436</v>
      </c>
      <c r="F38" s="25" t="s">
        <v>342</v>
      </c>
      <c r="G38" s="26" t="s">
        <v>7</v>
      </c>
      <c r="H38" s="8">
        <v>124.87</v>
      </c>
      <c r="I38" s="8" t="s">
        <v>54</v>
      </c>
      <c r="K38" s="25"/>
      <c r="L38" s="41"/>
      <c r="M38" s="16"/>
    </row>
    <row r="39" spans="2:18" ht="15.6" x14ac:dyDescent="0.3">
      <c r="E39" s="18"/>
      <c r="F39" s="39"/>
      <c r="G39" s="26"/>
      <c r="H39" s="8"/>
      <c r="I39" s="8"/>
      <c r="K39" s="25"/>
      <c r="L39" s="41"/>
      <c r="M39" s="16"/>
    </row>
    <row r="40" spans="2:18" ht="15.6" x14ac:dyDescent="0.3">
      <c r="E40" s="35"/>
      <c r="F40" s="36"/>
      <c r="G40" s="37"/>
      <c r="H40" s="17"/>
      <c r="I40" s="8"/>
      <c r="K40" s="36"/>
      <c r="L40" s="42"/>
      <c r="M40" s="40"/>
      <c r="Q40" s="1" t="s">
        <v>36</v>
      </c>
      <c r="R40" s="1">
        <f>SUM(R6:R21)</f>
        <v>6</v>
      </c>
    </row>
    <row r="41" spans="2:18" ht="15.6" x14ac:dyDescent="0.3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  <x14:dataValidation type="list" allowBlank="1" showInputMessage="1" showErrorMessage="1" xr:uid="{5420F269-1CC3-49E7-8352-1AC0E39190D5}">
          <x14:formula1>
            <xm:f>resumo_cx!$P$2:$P$18</xm:f>
          </x14:formula1>
          <xm:sqref>L15:L31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3"/>
  <dimension ref="A1:E79"/>
  <sheetViews>
    <sheetView workbookViewId="0">
      <selection activeCell="G12" sqref="G12"/>
    </sheetView>
  </sheetViews>
  <sheetFormatPr defaultRowHeight="13.2" x14ac:dyDescent="0.25"/>
  <cols>
    <col min="1" max="1" width="13.109375" bestFit="1" customWidth="1"/>
    <col min="2" max="2" width="22.109375" bestFit="1" customWidth="1"/>
    <col min="5" max="5" width="11.5546875" customWidth="1"/>
  </cols>
  <sheetData>
    <row r="1" spans="1:5" x14ac:dyDescent="0.25">
      <c r="A1" s="38" t="s">
        <v>62</v>
      </c>
      <c r="B1" s="38" t="s">
        <v>63</v>
      </c>
      <c r="E1" s="38" t="s">
        <v>64</v>
      </c>
    </row>
    <row r="2" spans="1:5" x14ac:dyDescent="0.25">
      <c r="A2" s="38" t="s">
        <v>6</v>
      </c>
      <c r="B2" s="38" t="s">
        <v>65</v>
      </c>
      <c r="E2" t="s">
        <v>46</v>
      </c>
    </row>
    <row r="3" spans="1:5" x14ac:dyDescent="0.25">
      <c r="A3" s="38" t="s">
        <v>7</v>
      </c>
      <c r="B3" s="38" t="s">
        <v>66</v>
      </c>
      <c r="E3" t="s">
        <v>67</v>
      </c>
    </row>
    <row r="4" spans="1:5" x14ac:dyDescent="0.25">
      <c r="A4" s="38" t="s">
        <v>8</v>
      </c>
      <c r="B4" s="38" t="s">
        <v>68</v>
      </c>
      <c r="E4" t="s">
        <v>69</v>
      </c>
    </row>
    <row r="5" spans="1:5" x14ac:dyDescent="0.25">
      <c r="A5" s="38" t="s">
        <v>9</v>
      </c>
      <c r="B5" s="38" t="s">
        <v>70</v>
      </c>
      <c r="E5" t="s">
        <v>71</v>
      </c>
    </row>
    <row r="6" spans="1:5" x14ac:dyDescent="0.25">
      <c r="A6" s="38" t="s">
        <v>10</v>
      </c>
      <c r="B6" s="38" t="s">
        <v>10</v>
      </c>
      <c r="E6" t="s">
        <v>33</v>
      </c>
    </row>
    <row r="7" spans="1:5" x14ac:dyDescent="0.25">
      <c r="A7" s="38" t="s">
        <v>50</v>
      </c>
      <c r="B7" s="38" t="s">
        <v>72</v>
      </c>
      <c r="E7" t="s">
        <v>73</v>
      </c>
    </row>
    <row r="8" spans="1:5" x14ac:dyDescent="0.25">
      <c r="A8" t="s">
        <v>25</v>
      </c>
      <c r="B8" t="s">
        <v>74</v>
      </c>
      <c r="E8" t="s">
        <v>52</v>
      </c>
    </row>
    <row r="9" spans="1:5" x14ac:dyDescent="0.25">
      <c r="A9" s="38" t="s">
        <v>40</v>
      </c>
      <c r="B9" s="38" t="s">
        <v>75</v>
      </c>
      <c r="E9" t="s">
        <v>76</v>
      </c>
    </row>
    <row r="10" spans="1:5" x14ac:dyDescent="0.25">
      <c r="E10" t="s">
        <v>77</v>
      </c>
    </row>
    <row r="11" spans="1:5" x14ac:dyDescent="0.25">
      <c r="E11" t="s">
        <v>78</v>
      </c>
    </row>
    <row r="12" spans="1:5" x14ac:dyDescent="0.25">
      <c r="E12" t="s">
        <v>39</v>
      </c>
    </row>
    <row r="13" spans="1:5" x14ac:dyDescent="0.25">
      <c r="E13" t="s">
        <v>53</v>
      </c>
    </row>
    <row r="14" spans="1:5" x14ac:dyDescent="0.25">
      <c r="E14" t="s">
        <v>47</v>
      </c>
    </row>
    <row r="15" spans="1:5" x14ac:dyDescent="0.25">
      <c r="E15" t="s">
        <v>79</v>
      </c>
    </row>
    <row r="16" spans="1:5" x14ac:dyDescent="0.25">
      <c r="E16" t="s">
        <v>48</v>
      </c>
    </row>
    <row r="17" spans="5:5" x14ac:dyDescent="0.25">
      <c r="E17" t="s">
        <v>42</v>
      </c>
    </row>
    <row r="18" spans="5:5" x14ac:dyDescent="0.25">
      <c r="E18" t="s">
        <v>54</v>
      </c>
    </row>
    <row r="19" spans="5:5" x14ac:dyDescent="0.25">
      <c r="E19" t="s">
        <v>45</v>
      </c>
    </row>
    <row r="20" spans="5:5" x14ac:dyDescent="0.25">
      <c r="E20" t="s">
        <v>80</v>
      </c>
    </row>
    <row r="21" spans="5:5" x14ac:dyDescent="0.25">
      <c r="E21" t="s">
        <v>81</v>
      </c>
    </row>
    <row r="22" spans="5:5" x14ac:dyDescent="0.25">
      <c r="E22" t="s">
        <v>59</v>
      </c>
    </row>
    <row r="23" spans="5:5" x14ac:dyDescent="0.25">
      <c r="E23" t="s">
        <v>35</v>
      </c>
    </row>
    <row r="24" spans="5:5" x14ac:dyDescent="0.25">
      <c r="E24" t="s">
        <v>55</v>
      </c>
    </row>
    <row r="25" spans="5:5" x14ac:dyDescent="0.25">
      <c r="E25" t="s">
        <v>49</v>
      </c>
    </row>
    <row r="26" spans="5:5" x14ac:dyDescent="0.25">
      <c r="E26" t="s">
        <v>41</v>
      </c>
    </row>
    <row r="27" spans="5:5" x14ac:dyDescent="0.25">
      <c r="E27" t="s">
        <v>44</v>
      </c>
    </row>
    <row r="28" spans="5:5" x14ac:dyDescent="0.25">
      <c r="E28" t="s">
        <v>60</v>
      </c>
    </row>
    <row r="29" spans="5:5" x14ac:dyDescent="0.25">
      <c r="E29" t="s">
        <v>61</v>
      </c>
    </row>
    <row r="30" spans="5:5" x14ac:dyDescent="0.25">
      <c r="E30" t="s">
        <v>82</v>
      </c>
    </row>
    <row r="31" spans="5:5" x14ac:dyDescent="0.25">
      <c r="E31" t="s">
        <v>34</v>
      </c>
    </row>
    <row r="32" spans="5:5" x14ac:dyDescent="0.25">
      <c r="E32" t="s">
        <v>83</v>
      </c>
    </row>
    <row r="33" spans="5:5" x14ac:dyDescent="0.25">
      <c r="E33" t="s">
        <v>57</v>
      </c>
    </row>
    <row r="34" spans="5:5" x14ac:dyDescent="0.25">
      <c r="E34" t="s">
        <v>38</v>
      </c>
    </row>
    <row r="35" spans="5:5" x14ac:dyDescent="0.25">
      <c r="E35" t="s">
        <v>56</v>
      </c>
    </row>
    <row r="36" spans="5:5" x14ac:dyDescent="0.25">
      <c r="E36" t="s">
        <v>43</v>
      </c>
    </row>
    <row r="37" spans="5:5" x14ac:dyDescent="0.25">
      <c r="E37" t="s">
        <v>51</v>
      </c>
    </row>
    <row r="38" spans="5:5" x14ac:dyDescent="0.25">
      <c r="E38" t="s">
        <v>84</v>
      </c>
    </row>
    <row r="39" spans="5:5" x14ac:dyDescent="0.25">
      <c r="E39" t="s">
        <v>85</v>
      </c>
    </row>
    <row r="40" spans="5:5" x14ac:dyDescent="0.25">
      <c r="E40" t="s">
        <v>86</v>
      </c>
    </row>
    <row r="41" spans="5:5" x14ac:dyDescent="0.25">
      <c r="E41" t="s">
        <v>87</v>
      </c>
    </row>
    <row r="42" spans="5:5" x14ac:dyDescent="0.25">
      <c r="E42" t="s">
        <v>88</v>
      </c>
    </row>
    <row r="43" spans="5:5" x14ac:dyDescent="0.25">
      <c r="E43" t="s">
        <v>89</v>
      </c>
    </row>
    <row r="44" spans="5:5" x14ac:dyDescent="0.25">
      <c r="E44" t="s">
        <v>90</v>
      </c>
    </row>
    <row r="45" spans="5:5" x14ac:dyDescent="0.25">
      <c r="E45" t="s">
        <v>91</v>
      </c>
    </row>
    <row r="46" spans="5:5" x14ac:dyDescent="0.25">
      <c r="E46" t="s">
        <v>92</v>
      </c>
    </row>
    <row r="47" spans="5:5" x14ac:dyDescent="0.25">
      <c r="E47" t="s">
        <v>93</v>
      </c>
    </row>
    <row r="48" spans="5:5" x14ac:dyDescent="0.25">
      <c r="E48" t="s">
        <v>94</v>
      </c>
    </row>
    <row r="49" spans="5:5" x14ac:dyDescent="0.25">
      <c r="E49" t="s">
        <v>95</v>
      </c>
    </row>
    <row r="50" spans="5:5" x14ac:dyDescent="0.25">
      <c r="E50" t="s">
        <v>96</v>
      </c>
    </row>
    <row r="51" spans="5:5" x14ac:dyDescent="0.25">
      <c r="E51" t="s">
        <v>97</v>
      </c>
    </row>
    <row r="52" spans="5:5" x14ac:dyDescent="0.25">
      <c r="E52" t="s">
        <v>98</v>
      </c>
    </row>
    <row r="53" spans="5:5" x14ac:dyDescent="0.25">
      <c r="E53" t="s">
        <v>99</v>
      </c>
    </row>
    <row r="54" spans="5:5" x14ac:dyDescent="0.25">
      <c r="E54" t="s">
        <v>100</v>
      </c>
    </row>
    <row r="55" spans="5:5" x14ac:dyDescent="0.25">
      <c r="E55" t="s">
        <v>101</v>
      </c>
    </row>
    <row r="56" spans="5:5" x14ac:dyDescent="0.25">
      <c r="E56" t="s">
        <v>102</v>
      </c>
    </row>
    <row r="57" spans="5:5" x14ac:dyDescent="0.25">
      <c r="E57" t="s">
        <v>103</v>
      </c>
    </row>
    <row r="58" spans="5:5" x14ac:dyDescent="0.25">
      <c r="E58" t="s">
        <v>104</v>
      </c>
    </row>
    <row r="59" spans="5:5" x14ac:dyDescent="0.25">
      <c r="E59" t="s">
        <v>105</v>
      </c>
    </row>
    <row r="60" spans="5:5" x14ac:dyDescent="0.25">
      <c r="E60" t="s">
        <v>106</v>
      </c>
    </row>
    <row r="61" spans="5:5" x14ac:dyDescent="0.25">
      <c r="E61" t="s">
        <v>107</v>
      </c>
    </row>
    <row r="62" spans="5:5" x14ac:dyDescent="0.25">
      <c r="E62" t="s">
        <v>108</v>
      </c>
    </row>
    <row r="63" spans="5:5" x14ac:dyDescent="0.25">
      <c r="E63" t="s">
        <v>109</v>
      </c>
    </row>
    <row r="64" spans="5:5" x14ac:dyDescent="0.25">
      <c r="E64" t="s">
        <v>110</v>
      </c>
    </row>
    <row r="65" spans="5:5" x14ac:dyDescent="0.25">
      <c r="E65" t="s">
        <v>111</v>
      </c>
    </row>
    <row r="66" spans="5:5" x14ac:dyDescent="0.25">
      <c r="E66" t="s">
        <v>112</v>
      </c>
    </row>
    <row r="67" spans="5:5" x14ac:dyDescent="0.25">
      <c r="E67" t="s">
        <v>113</v>
      </c>
    </row>
    <row r="68" spans="5:5" x14ac:dyDescent="0.25">
      <c r="E68" t="s">
        <v>114</v>
      </c>
    </row>
    <row r="69" spans="5:5" x14ac:dyDescent="0.25">
      <c r="E69" t="s">
        <v>115</v>
      </c>
    </row>
    <row r="70" spans="5:5" x14ac:dyDescent="0.25">
      <c r="E70" t="s">
        <v>116</v>
      </c>
    </row>
    <row r="71" spans="5:5" x14ac:dyDescent="0.25">
      <c r="E71" t="s">
        <v>117</v>
      </c>
    </row>
    <row r="72" spans="5:5" x14ac:dyDescent="0.25">
      <c r="E72" t="s">
        <v>118</v>
      </c>
    </row>
    <row r="73" spans="5:5" x14ac:dyDescent="0.25">
      <c r="E73" t="s">
        <v>119</v>
      </c>
    </row>
    <row r="74" spans="5:5" x14ac:dyDescent="0.25">
      <c r="E74" t="s">
        <v>120</v>
      </c>
    </row>
    <row r="75" spans="5:5" x14ac:dyDescent="0.25">
      <c r="E75" t="s">
        <v>121</v>
      </c>
    </row>
    <row r="76" spans="5:5" x14ac:dyDescent="0.25">
      <c r="E76" t="s">
        <v>122</v>
      </c>
    </row>
    <row r="77" spans="5:5" x14ac:dyDescent="0.25">
      <c r="E77" t="s">
        <v>123</v>
      </c>
    </row>
    <row r="78" spans="5:5" x14ac:dyDescent="0.25">
      <c r="E78" t="s">
        <v>124</v>
      </c>
    </row>
    <row r="79" spans="5:5" x14ac:dyDescent="0.25">
      <c r="E79" t="s">
        <v>125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33</vt:i4>
      </vt:variant>
      <vt:variant>
        <vt:lpstr>Intervalos Nomeados</vt:lpstr>
      </vt:variant>
      <vt:variant>
        <vt:i4>5</vt:i4>
      </vt:variant>
    </vt:vector>
  </HeadingPairs>
  <TitlesOfParts>
    <vt:vector size="38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base</vt:lpstr>
      <vt:lpstr>'02'!Area_de_impressao</vt:lpstr>
      <vt:lpstr>'05'!Area_de_impressao</vt:lpstr>
      <vt:lpstr>'07'!Area_de_impressao</vt:lpstr>
      <vt:lpstr>'18'!Area_de_impressao</vt:lpstr>
      <vt:lpstr>'19'!Area_de_impressao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Junior</cp:lastModifiedBy>
  <cp:revision/>
  <cp:lastPrinted>2024-08-31T19:18:55Z</cp:lastPrinted>
  <dcterms:created xsi:type="dcterms:W3CDTF">2004-04-07T20:43:43Z</dcterms:created>
  <dcterms:modified xsi:type="dcterms:W3CDTF">2025-04-28T20:44:38Z</dcterms:modified>
  <cp:category/>
  <cp:contentStatus/>
</cp:coreProperties>
</file>