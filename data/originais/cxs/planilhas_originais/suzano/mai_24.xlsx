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1804" documentId="13_ncr:1_{4054DCC0-196A-49E1-91F8-915ED3765C33}" xr6:coauthVersionLast="47" xr6:coauthVersionMax="47" xr10:uidLastSave="{6AC16873-DC6D-4221-B569-BC63951FAA62}"/>
  <bookViews>
    <workbookView xWindow="-120" yWindow="-120" windowWidth="29040" windowHeight="15840" tabRatio="895" firstSheet="2" activeTab="2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201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1" l="1"/>
  <c r="R20" i="201"/>
  <c r="R19" i="201"/>
  <c r="R18" i="201"/>
  <c r="C18" i="201"/>
  <c r="C19" i="201" s="1"/>
  <c r="B18" i="201"/>
  <c r="R17" i="201"/>
  <c r="R16" i="201"/>
  <c r="R15" i="201"/>
  <c r="R14" i="201"/>
  <c r="C14" i="201"/>
  <c r="R13" i="201"/>
  <c r="C13" i="201"/>
  <c r="R12" i="201"/>
  <c r="C12" i="201"/>
  <c r="R11" i="201"/>
  <c r="C11" i="201"/>
  <c r="R10" i="201"/>
  <c r="R9" i="201"/>
  <c r="R8" i="201"/>
  <c r="R7" i="201"/>
  <c r="C7" i="201"/>
  <c r="R6" i="201"/>
  <c r="C6" i="201"/>
  <c r="C5" i="201"/>
  <c r="C21" i="201" s="1"/>
  <c r="C8" i="201" l="1"/>
  <c r="R40" i="201"/>
  <c r="C15" i="201"/>
  <c r="O11" i="201" s="1"/>
  <c r="C14" i="195"/>
  <c r="C13" i="195"/>
  <c r="C12" i="195"/>
  <c r="C11" i="195"/>
  <c r="C12" i="188"/>
  <c r="C13" i="188"/>
  <c r="C14" i="188"/>
  <c r="C11" i="188"/>
  <c r="C12" i="178"/>
  <c r="C13" i="178"/>
  <c r="C14" i="178"/>
  <c r="C11" i="178"/>
  <c r="R20" i="175" l="1"/>
  <c r="R19" i="175"/>
  <c r="C18" i="175"/>
  <c r="C19" i="175" s="1"/>
  <c r="B18" i="175"/>
  <c r="R18" i="175"/>
  <c r="R17" i="175"/>
  <c r="R16" i="175"/>
  <c r="R15" i="175"/>
  <c r="C14" i="175"/>
  <c r="R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1" i="175" s="1"/>
  <c r="C12" i="174"/>
  <c r="C13" i="174"/>
  <c r="C14" i="174"/>
  <c r="C12" i="173"/>
  <c r="C13" i="173"/>
  <c r="C14" i="173"/>
  <c r="C12" i="172"/>
  <c r="C13" i="172"/>
  <c r="C14" i="172"/>
  <c r="C12" i="171"/>
  <c r="C13" i="171"/>
  <c r="C14" i="171"/>
  <c r="C12" i="170"/>
  <c r="C13" i="170"/>
  <c r="C14" i="170"/>
  <c r="C12" i="103"/>
  <c r="C13" i="103"/>
  <c r="C14" i="103"/>
  <c r="C12" i="177"/>
  <c r="C13" i="177"/>
  <c r="C14" i="177"/>
  <c r="C12" i="176"/>
  <c r="C13" i="176"/>
  <c r="C14" i="176"/>
  <c r="C12" i="180"/>
  <c r="C13" i="180"/>
  <c r="C14" i="180"/>
  <c r="C12" i="182"/>
  <c r="C13" i="182"/>
  <c r="C14" i="182"/>
  <c r="C12" i="183"/>
  <c r="C13" i="183"/>
  <c r="C14" i="183"/>
  <c r="C12" i="181"/>
  <c r="C13" i="181"/>
  <c r="C14" i="181"/>
  <c r="C12" i="179"/>
  <c r="C13" i="179"/>
  <c r="C14" i="179"/>
  <c r="C12" i="184"/>
  <c r="C13" i="184"/>
  <c r="C14" i="184"/>
  <c r="C12" i="185"/>
  <c r="C13" i="185"/>
  <c r="C14" i="185"/>
  <c r="C12" i="186"/>
  <c r="C13" i="186"/>
  <c r="C14" i="186"/>
  <c r="C12" i="187"/>
  <c r="C13" i="187"/>
  <c r="C14" i="187"/>
  <c r="C12" i="189"/>
  <c r="C13" i="189"/>
  <c r="C14" i="189"/>
  <c r="C12" i="190"/>
  <c r="C13" i="190"/>
  <c r="C14" i="190"/>
  <c r="C12" i="191"/>
  <c r="C13" i="191"/>
  <c r="C14" i="191"/>
  <c r="C12" i="193"/>
  <c r="C13" i="193"/>
  <c r="C14" i="193"/>
  <c r="C12" i="194"/>
  <c r="C13" i="194"/>
  <c r="C14" i="194"/>
  <c r="C12" i="197"/>
  <c r="C13" i="197"/>
  <c r="C14" i="197"/>
  <c r="C12" i="196"/>
  <c r="C13" i="196"/>
  <c r="C14" i="196"/>
  <c r="C12" i="192"/>
  <c r="C13" i="192"/>
  <c r="C14" i="192"/>
  <c r="C12" i="199"/>
  <c r="C13" i="199"/>
  <c r="C14" i="199"/>
  <c r="C11" i="174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A17" i="200"/>
  <c r="C5" i="174"/>
  <c r="C21" i="174" s="1"/>
  <c r="C5" i="173"/>
  <c r="C21" i="173" s="1"/>
  <c r="C5" i="172"/>
  <c r="C21" i="172" s="1"/>
  <c r="C5" i="171"/>
  <c r="C21" i="171" s="1"/>
  <c r="C5" i="170"/>
  <c r="C21" i="170" s="1"/>
  <c r="C5" i="103"/>
  <c r="C5" i="178"/>
  <c r="C21" i="178" s="1"/>
  <c r="C5" i="177"/>
  <c r="C21" i="177" s="1"/>
  <c r="C5" i="176"/>
  <c r="C21" i="176" s="1"/>
  <c r="C5" i="180"/>
  <c r="C21" i="180" s="1"/>
  <c r="C5" i="182"/>
  <c r="C21" i="182" s="1"/>
  <c r="C5" i="183"/>
  <c r="C21" i="183" s="1"/>
  <c r="C5" i="181"/>
  <c r="C21" i="181" s="1"/>
  <c r="C5" i="179"/>
  <c r="C21" i="179" s="1"/>
  <c r="C5" i="184"/>
  <c r="C21" i="184" s="1"/>
  <c r="C5" i="185"/>
  <c r="C21" i="185" s="1"/>
  <c r="C5" i="186"/>
  <c r="C21" i="186" s="1"/>
  <c r="C5" i="187"/>
  <c r="C21" i="187" s="1"/>
  <c r="C5" i="189"/>
  <c r="C21" i="189" s="1"/>
  <c r="C5" i="190"/>
  <c r="C21" i="190" s="1"/>
  <c r="C5" i="191"/>
  <c r="C21" i="191" s="1"/>
  <c r="C5" i="188"/>
  <c r="C21" i="188" s="1"/>
  <c r="C5" i="193"/>
  <c r="C21" i="193" s="1"/>
  <c r="C5" i="195"/>
  <c r="C21" i="195" s="1"/>
  <c r="C5" i="194"/>
  <c r="C21" i="194" s="1"/>
  <c r="C5" i="197"/>
  <c r="C21" i="197" s="1"/>
  <c r="C5" i="196"/>
  <c r="C21" i="196" s="1"/>
  <c r="C5" i="192"/>
  <c r="C21" i="192" s="1"/>
  <c r="C5" i="199"/>
  <c r="C21" i="199" s="1"/>
  <c r="C6" i="174"/>
  <c r="C8" i="174" s="1"/>
  <c r="C6" i="173"/>
  <c r="C6" i="172"/>
  <c r="C6" i="171"/>
  <c r="C8" i="171" s="1"/>
  <c r="C6" i="170"/>
  <c r="C6" i="103"/>
  <c r="C6" i="178"/>
  <c r="C6" i="177"/>
  <c r="C6" i="176"/>
  <c r="C6" i="180"/>
  <c r="C6" i="182"/>
  <c r="C6" i="183"/>
  <c r="C6" i="181"/>
  <c r="C6" i="179"/>
  <c r="C6" i="184"/>
  <c r="C6" i="185"/>
  <c r="C6" i="186"/>
  <c r="C6" i="187"/>
  <c r="C8" i="187" s="1"/>
  <c r="C6" i="189"/>
  <c r="C6" i="190"/>
  <c r="C6" i="191"/>
  <c r="C6" i="188"/>
  <c r="C6" i="193"/>
  <c r="C6" i="195"/>
  <c r="C6" i="194"/>
  <c r="C8" i="194" s="1"/>
  <c r="C6" i="197"/>
  <c r="C8" i="197" s="1"/>
  <c r="C6" i="196"/>
  <c r="C6" i="192"/>
  <c r="C6" i="199"/>
  <c r="C8" i="199" s="1"/>
  <c r="R20" i="199"/>
  <c r="R19" i="199"/>
  <c r="C18" i="199"/>
  <c r="C19" i="199" s="1"/>
  <c r="B18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8" i="197"/>
  <c r="C19" i="197" s="1"/>
  <c r="B18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8" i="196"/>
  <c r="C19" i="196" s="1"/>
  <c r="B18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8" i="195"/>
  <c r="C19" i="195" s="1"/>
  <c r="B18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8" i="194"/>
  <c r="C19" i="194" s="1"/>
  <c r="B18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8" i="193"/>
  <c r="C19" i="193" s="1"/>
  <c r="B18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8" i="192"/>
  <c r="C19" i="192" s="1"/>
  <c r="B18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8" i="191"/>
  <c r="C19" i="191" s="1"/>
  <c r="B18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8" i="190"/>
  <c r="C19" i="190" s="1"/>
  <c r="B18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8" i="189"/>
  <c r="C19" i="189" s="1"/>
  <c r="B18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8" i="188"/>
  <c r="C19" i="188" s="1"/>
  <c r="B18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8" i="187"/>
  <c r="C19" i="187" s="1"/>
  <c r="B18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8" i="186"/>
  <c r="C19" i="186" s="1"/>
  <c r="B18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8" i="185"/>
  <c r="C19" i="185" s="1"/>
  <c r="B18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8" i="184"/>
  <c r="C19" i="184" s="1"/>
  <c r="B18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8" i="183"/>
  <c r="C19" i="183" s="1"/>
  <c r="B18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8" i="182"/>
  <c r="C19" i="182" s="1"/>
  <c r="B18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8" i="181"/>
  <c r="C19" i="181" s="1"/>
  <c r="B18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8" i="180"/>
  <c r="C19" i="180" s="1"/>
  <c r="B18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8" i="179"/>
  <c r="C19" i="179" s="1"/>
  <c r="B18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8" i="178"/>
  <c r="C19" i="178" s="1"/>
  <c r="B18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8" i="177"/>
  <c r="C19" i="177" s="1"/>
  <c r="B18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8" i="176"/>
  <c r="C19" i="176" s="1"/>
  <c r="B18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8" i="174"/>
  <c r="C19" i="174" s="1"/>
  <c r="B18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8" i="173"/>
  <c r="C19" i="173" s="1"/>
  <c r="B18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8" i="172"/>
  <c r="C19" i="172" s="1"/>
  <c r="B18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8" i="171"/>
  <c r="C19" i="171" s="1"/>
  <c r="B18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8" i="170"/>
  <c r="C19" i="170" s="1"/>
  <c r="B18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8" i="103"/>
  <c r="B18" i="103"/>
  <c r="C8" i="179" l="1"/>
  <c r="C8" i="190"/>
  <c r="C8" i="196"/>
  <c r="C8" i="189"/>
  <c r="C8" i="172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5" i="170"/>
  <c r="O11" i="170" s="1"/>
  <c r="R40" i="170"/>
  <c r="C15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5" i="171"/>
  <c r="O11" i="171" s="1"/>
  <c r="R40" i="171"/>
  <c r="B13" i="200"/>
  <c r="B5" i="200"/>
  <c r="B11" i="200"/>
  <c r="B10" i="200"/>
  <c r="B9" i="200"/>
  <c r="B3" i="200"/>
  <c r="B4" i="200"/>
  <c r="B12" i="200"/>
  <c r="C15" i="196"/>
  <c r="O11" i="196" s="1"/>
  <c r="C15" i="189"/>
  <c r="O11" i="189" s="1"/>
  <c r="C15" i="188"/>
  <c r="O11" i="188" s="1"/>
  <c r="C15" i="185"/>
  <c r="O11" i="185" s="1"/>
  <c r="C8" i="195"/>
  <c r="C8" i="193"/>
  <c r="C8" i="178"/>
  <c r="C8" i="185"/>
  <c r="C8" i="181"/>
  <c r="C8" i="170"/>
  <c r="C8" i="177"/>
  <c r="C8" i="182"/>
  <c r="C15" i="199"/>
  <c r="O11" i="199" s="1"/>
  <c r="C15" i="192"/>
  <c r="O11" i="192" s="1"/>
  <c r="C15" i="197"/>
  <c r="O11" i="197" s="1"/>
  <c r="C15" i="194"/>
  <c r="O11" i="194" s="1"/>
  <c r="C15" i="195"/>
  <c r="O11" i="195" s="1"/>
  <c r="C15" i="193"/>
  <c r="O11" i="193" s="1"/>
  <c r="C15" i="191"/>
  <c r="O11" i="191" s="1"/>
  <c r="C15" i="190"/>
  <c r="O11" i="190" s="1"/>
  <c r="C15" i="187"/>
  <c r="O11" i="187" s="1"/>
  <c r="C15" i="186"/>
  <c r="O11" i="186" s="1"/>
  <c r="C15" i="184"/>
  <c r="O11" i="184" s="1"/>
  <c r="C8" i="184"/>
  <c r="C15" i="179"/>
  <c r="O11" i="179" s="1"/>
  <c r="C15" i="181"/>
  <c r="O11" i="181" s="1"/>
  <c r="C15" i="183"/>
  <c r="O11" i="183" s="1"/>
  <c r="C15" i="182"/>
  <c r="O11" i="182" s="1"/>
  <c r="C15" i="180"/>
  <c r="O11" i="180" s="1"/>
  <c r="C15" i="176"/>
  <c r="O11" i="176" s="1"/>
  <c r="C15" i="177"/>
  <c r="O11" i="177" s="1"/>
  <c r="C15" i="178"/>
  <c r="O11" i="178" s="1"/>
  <c r="C15" i="172"/>
  <c r="O11" i="172" s="1"/>
  <c r="C15" i="173"/>
  <c r="O11" i="173" s="1"/>
  <c r="C15" i="174"/>
  <c r="O11" i="174" s="1"/>
  <c r="C19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1" i="103"/>
  <c r="B6" i="200" l="1"/>
  <c r="B14" i="200"/>
  <c r="C15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</calcChain>
</file>

<file path=xl/sharedStrings.xml><?xml version="1.0" encoding="utf-8"?>
<sst xmlns="http://schemas.openxmlformats.org/spreadsheetml/2006/main" count="2526" uniqueCount="364">
  <si>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</si>
  <si>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</si>
  <si>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</si>
  <si>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</si>
  <si>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</si>
  <si>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</si>
  <si>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</si>
  <si>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</si>
  <si>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</si>
  <si>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</si>
  <si>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</si>
  <si>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</si>
  <si>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</si>
  <si>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</si>
  <si>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</si>
  <si>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</si>
  <si>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</si>
  <si>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</si>
  <si>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</si>
  <si>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</si>
  <si>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</si>
  <si>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</si>
  <si>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</si>
  <si>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</si>
  <si>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</si>
  <si>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</si>
  <si>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</si>
  <si>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</si>
  <si>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</si>
  <si>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</si>
  <si>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</si>
  <si>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</si>
  <si>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</si>
  <si>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</si>
  <si>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</si>
  <si>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</si>
  <si>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</si>
  <si>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</si>
  <si>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</si>
  <si>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</si>
  <si>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</si>
  <si>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</si>
  <si>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</si>
  <si>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</si>
  <si>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</si>
  <si>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</si>
  <si>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</si>
  <si>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</si>
  <si>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</si>
  <si>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</si>
  <si>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</si>
  <si>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</si>
  <si>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</si>
  <si>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</si>
  <si>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</si>
  <si>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</si>
  <si>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</si>
  <si>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</si>
  <si>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</si>
  <si>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</si>
  <si>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</si>
  <si>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</si>
  <si>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</si>
  <si>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</si>
  <si>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</si>
  <si>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</si>
  <si>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</si>
  <si>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</si>
  <si>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</si>
  <si>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</si>
  <si>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</si>
  <si>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</si>
  <si>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</si>
  <si>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</si>
  <si>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</si>
  <si>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</si>
  <si>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</si>
  <si>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</si>
  <si>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</si>
  <si>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</si>
  <si>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</si>
  <si>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</si>
  <si>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</si>
  <si>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</si>
  <si>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</si>
  <si>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</si>
  <si>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</si>
  <si>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</si>
  <si>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</si>
  <si>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</si>
  <si>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</si>
  <si>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</si>
  <si>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</si>
  <si>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</si>
  <si>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</si>
  <si>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</si>
  <si>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</si>
  <si>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</si>
  <si>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</si>
  <si>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</si>
  <si>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</si>
  <si>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</si>
  <si>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</si>
  <si>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</si>
  <si>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</si>
  <si>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</si>
  <si>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</si>
  <si>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</si>
  <si>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</si>
  <si>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</si>
  <si>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</si>
  <si>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</si>
  <si>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</si>
  <si>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</si>
  <si>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</si>
  <si>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</si>
  <si>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</si>
  <si>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</si>
  <si>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</si>
  <si>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</si>
  <si>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</si>
  <si>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</si>
  <si>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</si>
  <si>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</si>
  <si>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Coluna1</t>
  </si>
  <si>
    <t>Coluna2</t>
  </si>
  <si>
    <t>Coluna3</t>
  </si>
  <si>
    <t>Coluna4</t>
  </si>
  <si>
    <t>Coluna5</t>
  </si>
  <si>
    <t>camila lopes de souza</t>
  </si>
  <si>
    <t>adriana diogines</t>
  </si>
  <si>
    <t>taty</t>
  </si>
  <si>
    <t>Não</t>
  </si>
  <si>
    <t>lilian cristina</t>
  </si>
  <si>
    <t>kauan martins</t>
  </si>
  <si>
    <t>francisco andrade</t>
  </si>
  <si>
    <t>sandra regina</t>
  </si>
  <si>
    <t>samuel de melo</t>
  </si>
  <si>
    <t>antonio armando</t>
  </si>
  <si>
    <t>jose santos</t>
  </si>
  <si>
    <t>TATY</t>
  </si>
  <si>
    <t xml:space="preserve">jairo dos santos </t>
  </si>
  <si>
    <t>alex  sander</t>
  </si>
  <si>
    <t>lindalva ferreira</t>
  </si>
  <si>
    <t>cleide maria</t>
  </si>
  <si>
    <t>ronivan mendes</t>
  </si>
  <si>
    <t>jocy</t>
  </si>
  <si>
    <t>ariani</t>
  </si>
  <si>
    <t>Sim</t>
  </si>
  <si>
    <t>fabiana de souza</t>
  </si>
  <si>
    <t>gisele moura</t>
  </si>
  <si>
    <t>marinalva beserra</t>
  </si>
  <si>
    <t>joana</t>
  </si>
  <si>
    <t>gilmar lopes</t>
  </si>
  <si>
    <t>sandra fernandes</t>
  </si>
  <si>
    <t>maria de souza</t>
  </si>
  <si>
    <t>denir batista</t>
  </si>
  <si>
    <t>joana paula</t>
  </si>
  <si>
    <t>maria da piedade</t>
  </si>
  <si>
    <t>daniel pereira</t>
  </si>
  <si>
    <t xml:space="preserve">carla cristina </t>
  </si>
  <si>
    <t>leticia lavoura</t>
  </si>
  <si>
    <t xml:space="preserve">ariani </t>
  </si>
  <si>
    <t>marilu candida</t>
  </si>
  <si>
    <t>rogerio</t>
  </si>
  <si>
    <t>glaucia belli</t>
  </si>
  <si>
    <t>maria ericina</t>
  </si>
  <si>
    <t>sandro passos</t>
  </si>
  <si>
    <t>nathalia carolina</t>
  </si>
  <si>
    <t>jocicreide macedo</t>
  </si>
  <si>
    <t>osvaldo luiz</t>
  </si>
  <si>
    <t>joao gustavo</t>
  </si>
  <si>
    <t>veraci eloisa</t>
  </si>
  <si>
    <t>velderese</t>
  </si>
  <si>
    <t>hellen  vitoria</t>
  </si>
  <si>
    <t>rosemeire vidal</t>
  </si>
  <si>
    <t>elza de paula</t>
  </si>
  <si>
    <t>ellen cristina</t>
  </si>
  <si>
    <t>delcira vieira</t>
  </si>
  <si>
    <t>andressa souza</t>
  </si>
  <si>
    <t>andreia rosa</t>
  </si>
  <si>
    <t>roberto danizete</t>
  </si>
  <si>
    <t>camila lopes</t>
  </si>
  <si>
    <t>ingrid ramos</t>
  </si>
  <si>
    <t>simone ignacio</t>
  </si>
  <si>
    <t>mayara esteves</t>
  </si>
  <si>
    <t>jussara rodrigues</t>
  </si>
  <si>
    <t>gisele cristina</t>
  </si>
  <si>
    <t>onezio pereira</t>
  </si>
  <si>
    <t>daniel maxuel</t>
  </si>
  <si>
    <t>uilson rodrigues</t>
  </si>
  <si>
    <t>welber anderson</t>
  </si>
  <si>
    <t>rosangela moraes</t>
  </si>
  <si>
    <t>eliana savoia</t>
  </si>
  <si>
    <t>fernanda aparecida</t>
  </si>
  <si>
    <t>jesse martins</t>
  </si>
  <si>
    <t>hermes macedo</t>
  </si>
  <si>
    <t>maria ferreira</t>
  </si>
  <si>
    <t>ligia abranches</t>
  </si>
  <si>
    <t>carlos aparecido</t>
  </si>
  <si>
    <t>maria aparecida</t>
  </si>
  <si>
    <t xml:space="preserve">lilian pereira </t>
  </si>
  <si>
    <t>IZILDINHA APARECIDA</t>
  </si>
  <si>
    <t>CLARICE TERUMI</t>
  </si>
  <si>
    <t>TEREZA CRISTINA</t>
  </si>
  <si>
    <t>DIOGODE PAIVA</t>
  </si>
  <si>
    <t>JULIANO FERNANDES</t>
  </si>
  <si>
    <t>IRENE DE LIMA</t>
  </si>
  <si>
    <t>VERA LUCIA</t>
  </si>
  <si>
    <t>SIM</t>
  </si>
  <si>
    <t>JOCY</t>
  </si>
  <si>
    <t>ARIANI</t>
  </si>
  <si>
    <t>ARLETE VIEIRA</t>
  </si>
  <si>
    <t>ROZILEIDE BRITO</t>
  </si>
  <si>
    <t>ROBERTO  DONIZETE</t>
  </si>
  <si>
    <t>FABIANA DE CASSIA</t>
  </si>
  <si>
    <t>VAGNER NUNES</t>
  </si>
  <si>
    <t>IZABEL DOS SANTOS</t>
  </si>
  <si>
    <t>STEFANNIE CUSTODIO</t>
  </si>
  <si>
    <t>JESUS RICARDO</t>
  </si>
  <si>
    <t>JUAN NILSON</t>
  </si>
  <si>
    <t>CLEIDE ANA</t>
  </si>
  <si>
    <t>LEILA SILVA DOS SANTOS</t>
  </si>
  <si>
    <t>NELMA CAVALCANTE</t>
  </si>
  <si>
    <t>JOSE BELO</t>
  </si>
  <si>
    <t>QUISEP</t>
  </si>
  <si>
    <t>ALEX DOS SANTOS</t>
  </si>
  <si>
    <t>MARIA ALDEMIR</t>
  </si>
  <si>
    <t>MARIA SANDRA</t>
  </si>
  <si>
    <t>DOUGLAS PRIETO</t>
  </si>
  <si>
    <t>MARCO ANTONIO FOOK SHIAM</t>
  </si>
  <si>
    <t>cecilia emiko</t>
  </si>
  <si>
    <t>esther nunes</t>
  </si>
  <si>
    <t>suely pereira</t>
  </si>
  <si>
    <t>benedito oliveira da silva</t>
  </si>
  <si>
    <t>bruno santos</t>
  </si>
  <si>
    <t xml:space="preserve">valdivo pereira </t>
  </si>
  <si>
    <t xml:space="preserve">fabio gonçalves </t>
  </si>
  <si>
    <t>sandra aparecida</t>
  </si>
  <si>
    <t>jose carlos</t>
  </si>
  <si>
    <t>ires dos santos</t>
  </si>
  <si>
    <t>izildinha lorato</t>
  </si>
  <si>
    <t>jose araujo</t>
  </si>
  <si>
    <t>ezequiel pereira</t>
  </si>
  <si>
    <t>HUGO EMANUEL</t>
  </si>
  <si>
    <t>PATRICIA PAULINHO</t>
  </si>
  <si>
    <t>BRUNA TAMIRES</t>
  </si>
  <si>
    <t>MARIA DO ROSARIA</t>
  </si>
  <si>
    <t>PATRICIA BORGES</t>
  </si>
  <si>
    <t>FELIPE</t>
  </si>
  <si>
    <t>ROSIMEIRE FARIAS</t>
  </si>
  <si>
    <t>VALDINEIA MOLINA</t>
  </si>
  <si>
    <t>LETICIA LAVOURA</t>
  </si>
  <si>
    <t>jose luiz</t>
  </si>
  <si>
    <t>adelson evangelista</t>
  </si>
  <si>
    <t>rodinei geonimo</t>
  </si>
  <si>
    <t>vitoriano pereira</t>
  </si>
  <si>
    <t>claudinei dos santos</t>
  </si>
  <si>
    <t>arnelina de souza</t>
  </si>
  <si>
    <t>viviane eleuterio</t>
  </si>
  <si>
    <t>sebastiao pereira</t>
  </si>
  <si>
    <t>eli bezerra</t>
  </si>
  <si>
    <t>alessandra de almeida</t>
  </si>
  <si>
    <t>quezia  de almeida</t>
  </si>
  <si>
    <t>sulfit</t>
  </si>
  <si>
    <t>dn</t>
  </si>
  <si>
    <t>maria imaculada</t>
  </si>
  <si>
    <t>cicero rodrigues</t>
  </si>
  <si>
    <t>carlos alberto</t>
  </si>
  <si>
    <t>rejane  martiniano</t>
  </si>
  <si>
    <t>fabiana fook</t>
  </si>
  <si>
    <t>marcos antonio</t>
  </si>
  <si>
    <t>thiago eleoterio</t>
  </si>
  <si>
    <t>marcos luiz gusmão</t>
  </si>
  <si>
    <t>geraldo maria</t>
  </si>
  <si>
    <t>alex sander</t>
  </si>
  <si>
    <t>sirlene batista</t>
  </si>
  <si>
    <t>cicera adriana</t>
  </si>
  <si>
    <t>elaine joice</t>
  </si>
  <si>
    <t>irene borges</t>
  </si>
  <si>
    <t>jessica carolina</t>
  </si>
  <si>
    <t>jennifer caroline</t>
  </si>
  <si>
    <t>elisangela silva</t>
  </si>
  <si>
    <t>maria rosa</t>
  </si>
  <si>
    <t>zakae shimose</t>
  </si>
  <si>
    <t>andre alves</t>
  </si>
  <si>
    <t>raony pereira</t>
  </si>
  <si>
    <t>joão paulo matins</t>
  </si>
  <si>
    <t>anderson jaques</t>
  </si>
  <si>
    <t>samuel</t>
  </si>
  <si>
    <t>catia carvalho</t>
  </si>
  <si>
    <t>simone fragnan</t>
  </si>
  <si>
    <t>lucas barreto</t>
  </si>
  <si>
    <t>patricia paulino</t>
  </si>
  <si>
    <t>renilza da silva</t>
  </si>
  <si>
    <t>bruno da silva</t>
  </si>
  <si>
    <t>valdenice dias</t>
  </si>
  <si>
    <t>helena rodrigues</t>
  </si>
  <si>
    <t xml:space="preserve">larissa yuka </t>
  </si>
  <si>
    <t>conceição</t>
  </si>
  <si>
    <t>joão paulo</t>
  </si>
  <si>
    <t>maria neuza</t>
  </si>
  <si>
    <t>HELENICE FEITOSA DE AMORIM</t>
  </si>
  <si>
    <t>mariane do padro</t>
  </si>
  <si>
    <t xml:space="preserve">quezia de almeida </t>
  </si>
  <si>
    <t>simone teodora</t>
  </si>
  <si>
    <t>silas rodrigues</t>
  </si>
  <si>
    <t>guilherme silva</t>
  </si>
  <si>
    <t xml:space="preserve">suelly aparecida </t>
  </si>
  <si>
    <t xml:space="preserve">michele maria de souza </t>
  </si>
  <si>
    <t xml:space="preserve">soraia santana </t>
  </si>
  <si>
    <t xml:space="preserve">benedito de almeida </t>
  </si>
  <si>
    <t xml:space="preserve">luana gomes </t>
  </si>
  <si>
    <t xml:space="preserve">alexandre aparecido </t>
  </si>
  <si>
    <t>silvia maria</t>
  </si>
  <si>
    <t xml:space="preserve">claudete aparecida </t>
  </si>
  <si>
    <t>larissa agostim</t>
  </si>
  <si>
    <t xml:space="preserve">thamires rodrigues </t>
  </si>
  <si>
    <t>viviane maria alves</t>
  </si>
  <si>
    <t>vanderli lerin</t>
  </si>
  <si>
    <t xml:space="preserve">ingrid ramos </t>
  </si>
  <si>
    <t>maria reis</t>
  </si>
  <si>
    <t>zenilva augusta</t>
  </si>
  <si>
    <t>valdivo pereira</t>
  </si>
  <si>
    <t>jose roberto</t>
  </si>
  <si>
    <t>claudio cardoso</t>
  </si>
  <si>
    <t>luiz carlos</t>
  </si>
  <si>
    <t>jose policarpo</t>
  </si>
  <si>
    <t>silas francisco</t>
  </si>
  <si>
    <t>michele maria</t>
  </si>
  <si>
    <t>benedito de almeida</t>
  </si>
  <si>
    <t>ligia</t>
  </si>
  <si>
    <t>garantia</t>
  </si>
  <si>
    <t>jode roberto</t>
  </si>
  <si>
    <t xml:space="preserve"> maria natalia</t>
  </si>
  <si>
    <t>manoel liberati</t>
  </si>
  <si>
    <t>rosinete tavares</t>
  </si>
  <si>
    <t>luis garcia</t>
  </si>
  <si>
    <t>isaias xavier</t>
  </si>
  <si>
    <t>zeneide batista</t>
  </si>
  <si>
    <t>rodinei</t>
  </si>
  <si>
    <t xml:space="preserve">  </t>
  </si>
  <si>
    <t xml:space="preserve">irene borges </t>
  </si>
  <si>
    <t xml:space="preserve">renata </t>
  </si>
  <si>
    <t xml:space="preserve">ivan roberto </t>
  </si>
  <si>
    <t>jose belo</t>
  </si>
  <si>
    <t>izildinha aparecida</t>
  </si>
  <si>
    <t xml:space="preserve">thamires </t>
  </si>
  <si>
    <t>julcimara aparecida</t>
  </si>
  <si>
    <t>elaine da silva</t>
  </si>
  <si>
    <t>francinelda irene da silva</t>
  </si>
  <si>
    <t>akiko eguchi</t>
  </si>
  <si>
    <t>jose aniceto</t>
  </si>
  <si>
    <t xml:space="preserve">ana maria </t>
  </si>
  <si>
    <t>claudeonor de jesus</t>
  </si>
  <si>
    <t xml:space="preserve">jose dos santos </t>
  </si>
  <si>
    <t>jose dos santos vitorio</t>
  </si>
  <si>
    <t xml:space="preserve">jozi roberta alves </t>
  </si>
  <si>
    <t xml:space="preserve">laura dias fernandes </t>
  </si>
  <si>
    <t xml:space="preserve">ailton barbosa </t>
  </si>
  <si>
    <t>joana paula lopes tavares</t>
  </si>
  <si>
    <t xml:space="preserve">alessandra de almeida </t>
  </si>
  <si>
    <t>Diva Célia Santiago</t>
  </si>
  <si>
    <t>lilian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</si>
</sst>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sz val="12"/>
      <name val="Arial"/>
      <family val="2"/>
    </font>
    <font>
      <sz val="12"/>
      <name val="Calibri"/>
      <family val="2"/>
      <scheme val="minor"/>
    </font>
    <font>
      <sz val="12"/>
      <name val="Calibri"/>
      <family val="2"/>
    </font>
    <font>
      <i/>
      <sz val="12"/>
      <name val="Calibri"/>
      <family val="2"/>
      <scheme val="minor"/>
    </font>
    <font>
      <sz val="12"/>
      <name val="Arial"/>
    </font>
    <font>
      <sz val="11"/>
      <name val="Calibri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36" fillId="0" borderId="17" xfId="0" applyNumberFormat="1" applyFont="1" applyBorder="1" applyAlignment="1">
      <alignment horizontal="center"/>
    </xf>
    <xf numFmtId="165" fontId="36" fillId="0" borderId="6" xfId="0" applyNumberFormat="1" applyFont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7" fillId="0" borderId="3" xfId="2" applyFont="1" applyFill="1" applyBorder="1" applyAlignment="1">
      <alignment horizontal="center"/>
    </xf>
    <xf numFmtId="164" fontId="38" fillId="0" borderId="3" xfId="2" applyFont="1" applyFill="1" applyBorder="1" applyAlignment="1">
      <alignment horizontal="center"/>
    </xf>
    <xf numFmtId="165" fontId="38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9" fillId="0" borderId="13" xfId="39" applyFont="1" applyFill="1" applyBorder="1" applyAlignment="1">
      <alignment horizontal="center"/>
    </xf>
    <xf numFmtId="165" fontId="39" fillId="0" borderId="13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1" fillId="0" borderId="17" xfId="0" applyFont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42" fillId="0" borderId="3" xfId="0" applyFont="1" applyBorder="1" applyAlignment="1">
      <alignment horizontal="center"/>
    </xf>
    <xf numFmtId="164" fontId="42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 wrapText="1"/>
    </xf>
    <xf numFmtId="0" fontId="43" fillId="0" borderId="17" xfId="0" applyFont="1" applyBorder="1" applyAlignment="1">
      <alignment horizontal="center"/>
    </xf>
    <xf numFmtId="165" fontId="43" fillId="0" borderId="17" xfId="0" applyNumberFormat="1" applyFont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36" fillId="0" borderId="17" xfId="39" applyFont="1" applyFill="1" applyBorder="1" applyAlignment="1">
      <alignment horizontal="center"/>
    </xf>
    <xf numFmtId="164" fontId="12" fillId="5" borderId="0" xfId="2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24" fillId="0" borderId="13" xfId="2" applyFont="1" applyFill="1" applyBorder="1" applyAlignment="1">
      <alignment horizontal="center"/>
    </xf>
    <xf numFmtId="164" fontId="13" fillId="0" borderId="13" xfId="2" applyFont="1" applyFill="1" applyBorder="1" applyAlignment="1">
      <alignment horizontal="center"/>
    </xf>
    <xf numFmtId="44" fontId="43" fillId="0" borderId="17" xfId="39" applyFont="1" applyFill="1" applyBorder="1" applyAlignment="1">
      <alignment horizontal="center"/>
    </xf>
    <xf numFmtId="165" fontId="43" fillId="0" borderId="17" xfId="4" applyNumberFormat="1" applyFont="1" applyFill="1" applyBorder="1" applyAlignment="1">
      <alignment horizontal="center"/>
    </xf>
    <xf numFmtId="164" fontId="43" fillId="0" borderId="17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0" fontId="44" fillId="0" borderId="0" xfId="0" applyFont="1" applyAlignment="1">
      <alignment horizontal="center"/>
    </xf>
    <xf numFmtId="165" fontId="30" fillId="0" borderId="13" xfId="0" applyNumberFormat="1" applyFont="1" applyBorder="1" applyAlignment="1">
      <alignment horizontal="center"/>
    </xf>
    <xf numFmtId="1" fontId="43" fillId="0" borderId="17" xfId="0" applyNumberFormat="1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43" fillId="0" borderId="3" xfId="0" applyNumberFormat="1" applyFont="1" applyBorder="1" applyAlignment="1">
      <alignment horizontal="center"/>
    </xf>
    <xf numFmtId="165" fontId="43" fillId="0" borderId="5" xfId="0" applyNumberFormat="1" applyFont="1" applyBorder="1" applyAlignment="1">
      <alignment horizontal="center"/>
    </xf>
    <xf numFmtId="0" fontId="45" fillId="0" borderId="17" xfId="0" applyFont="1" applyBorder="1" applyAlignment="1">
      <alignment horizontal="center"/>
    </xf>
    <xf numFmtId="164" fontId="45" fillId="0" borderId="17" xfId="2" applyFont="1" applyFill="1" applyBorder="1" applyAlignment="1">
      <alignment horizontal="center"/>
    </xf>
    <xf numFmtId="165" fontId="45" fillId="0" borderId="17" xfId="4" applyNumberFormat="1" applyFont="1" applyFill="1" applyBorder="1" applyAlignment="1">
      <alignment horizontal="center"/>
    </xf>
    <xf numFmtId="0" fontId="43" fillId="0" borderId="3" xfId="0" applyFont="1" applyBorder="1" applyAlignment="1">
      <alignment horizontal="center"/>
    </xf>
    <xf numFmtId="164" fontId="43" fillId="0" borderId="3" xfId="2" applyFont="1" applyFill="1" applyBorder="1" applyAlignment="1">
      <alignment horizontal="center"/>
    </xf>
    <xf numFmtId="165" fontId="43" fillId="0" borderId="3" xfId="4" applyNumberFormat="1" applyFont="1" applyFill="1" applyBorder="1" applyAlignment="1">
      <alignment horizontal="center"/>
    </xf>
    <xf numFmtId="165" fontId="43" fillId="0" borderId="13" xfId="4" applyNumberFormat="1" applyFont="1" applyFill="1" applyBorder="1" applyAlignment="1">
      <alignment horizontal="center"/>
    </xf>
    <xf numFmtId="0" fontId="46" fillId="0" borderId="17" xfId="0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164" fontId="48" fillId="0" borderId="17" xfId="2" applyFont="1" applyFill="1" applyBorder="1" applyAlignment="1">
      <alignment horizontal="center"/>
    </xf>
    <xf numFmtId="165" fontId="48" fillId="0" borderId="17" xfId="4" applyNumberFormat="1" applyFont="1" applyFill="1" applyBorder="1" applyAlignment="1">
      <alignment horizontal="center"/>
    </xf>
    <xf numFmtId="164" fontId="46" fillId="0" borderId="3" xfId="2" applyFont="1" applyFill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1" fontId="43" fillId="0" borderId="17" xfId="2" applyNumberFormat="1" applyFont="1" applyFill="1" applyBorder="1" applyAlignment="1">
      <alignment horizontal="center"/>
    </xf>
    <xf numFmtId="165" fontId="44" fillId="0" borderId="8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Coluna1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4" totalsRowShown="0" headerRowDxfId="1255" dataDxfId="1253" headerRowBorderDxfId="1254" tableBorderDxfId="1252" totalsRowBorderDxfId="1251">
  <autoFilter ref="E25:I34" xr:uid="{00000000-0009-0000-0100-000016000000}"/>
  <sortState xmlns:xlrd2="http://schemas.microsoft.com/office/spreadsheetml/2017/richdata2" ref="E26:I34">
    <sortCondition ref="E25:E34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7:I45" totalsRowShown="0" headerRowDxfId="1237" dataDxfId="1235" headerRowBorderDxfId="1236" tableBorderDxfId="1234" totalsRowBorderDxfId="1233">
  <autoFilter ref="E37:I45" xr:uid="{B9E2F984-8588-4F2C-9FB9-680284154679}"/>
  <sortState xmlns:xlrd2="http://schemas.microsoft.com/office/spreadsheetml/2017/richdata2" ref="E38:I43">
    <sortCondition ref="E25:E34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Coluna1" dataDxfId="1126"/>
    <tableColumn id="2" xr3:uid="{A8D4686B-F05E-4D96-BDB9-FD354C9E28B8}" name="Coluna2" dataDxfId="1125"/>
    <tableColumn id="3" xr3:uid="{0FB871EC-4505-4E7C-A162-0EFDB16AB8E5}" name="Coluna3" dataDxfId="1124" dataCellStyle="Moeda"/>
    <tableColumn id="4" xr3:uid="{41436228-3E61-4F7F-80EF-627B1794150B}" name="Coluna4" dataDxfId="1123" dataCellStyle="Porcentagem"/>
    <tableColumn id="5" xr3:uid="{9C580DC7-08E3-4AD7-B73C-C1AA4298633B}" name="Coluna5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8" totalsRowShown="0" headerRowDxfId="1114" dataDxfId="1112" headerRowBorderDxfId="1113" tableBorderDxfId="1111" totalsRowBorderDxfId="1110">
  <autoFilter ref="E5:I28" xr:uid="{00000000-0009-0000-0100-000014000000}"/>
  <sortState xmlns:xlrd2="http://schemas.microsoft.com/office/spreadsheetml/2017/richdata2" ref="E6:I28">
    <sortCondition ref="E5:E28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31:I37" totalsRowShown="0" headerRowDxfId="1096" dataDxfId="1094" headerRowBorderDxfId="1095" tableBorderDxfId="1093" totalsRowBorderDxfId="1092">
  <autoFilter ref="E31:I37" xr:uid="{00000000-0009-0000-0100-000016000000}"/>
  <sortState xmlns:xlrd2="http://schemas.microsoft.com/office/spreadsheetml/2017/richdata2" ref="E32:I37">
    <sortCondition ref="E31:E37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40:I47" totalsRowShown="0" headerRowDxfId="1078" dataDxfId="1076" headerRowBorderDxfId="1077" tableBorderDxfId="1075" totalsRowBorderDxfId="1074">
  <autoFilter ref="E40:I47" xr:uid="{B9E2F984-8588-4F2C-9FB9-680284154679}"/>
  <sortState xmlns:xlrd2="http://schemas.microsoft.com/office/spreadsheetml/2017/richdata2" ref="E41:I46">
    <sortCondition ref="E31:E37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2" totalsRowShown="0" headerRowDxfId="142" dataDxfId="140" headerRowBorderDxfId="141" tableBorderDxfId="139" totalsRowBorderDxfId="138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5EDC6B4-13F8-4E5E-9C7C-439C8FA1DB3A}" name="vend31" displayName="vend31" ref="E5:I26" totalsRowShown="0" headerRowDxfId="54" dataDxfId="52" headerRowBorderDxfId="53" tableBorderDxfId="51" totalsRowBorderDxfId="50">
  <autoFilter ref="E5:I26" xr:uid="{00000000-0009-0000-0100-000014000000}"/>
  <sortState xmlns:xlrd2="http://schemas.microsoft.com/office/spreadsheetml/2017/richdata2" ref="E6:I22">
    <sortCondition ref="E5:E22"/>
  </sortState>
  <tableColumns count="5">
    <tableColumn id="1" xr3:uid="{7C465362-4610-4A04-BFCC-F3A02D10DA28}" name="Nº Venda" dataDxfId="49" dataCellStyle="Moeda"/>
    <tableColumn id="5" xr3:uid="{E74B512F-F7D5-4D5D-8AD5-D8786DF07EE4}" name="Cliente" dataDxfId="48" dataCellStyle="Moeda"/>
    <tableColumn id="2" xr3:uid="{214C976C-D892-468A-BA80-00E0C1C0EEB4}" name="Forma de Pgto" dataDxfId="47" dataCellStyle="Moeda"/>
    <tableColumn id="3" xr3:uid="{3947A7B8-5B2A-4188-A3CF-431D5BFD257D}" name="Valor Venda" dataDxfId="46" dataCellStyle="Porcentagem"/>
    <tableColumn id="4" xr3:uid="{5603C646-1E2B-48A9-BA14-C21B3B97E7FA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EA34C09-BC50-4BF5-AF95-7983453E0BFE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B1F01F0-08CB-486E-BCE8-0D8F6C37EB6B}" name="Descrição" dataDxfId="39"/>
    <tableColumn id="2" xr3:uid="{0A376F30-35AE-43F0-974D-95E87679721E}" name="Tipo de Pagto" dataDxfId="38"/>
    <tableColumn id="3" xr3:uid="{CBB9D2ED-B65E-4995-AAF4-846DAE3E6F1B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61B083A5-73D7-477E-BF92-76C18BEF1D87}" name="rest_entr31" displayName="rest_entr31" ref="E29:I35" totalsRowShown="0" headerRowDxfId="36" dataDxfId="34" headerRowBorderDxfId="35" tableBorderDxfId="33" totalsRowBorderDxfId="32">
  <autoFilter ref="E29:I35" xr:uid="{00000000-0009-0000-0100-000016000000}"/>
  <sortState xmlns:xlrd2="http://schemas.microsoft.com/office/spreadsheetml/2017/richdata2" ref="E30:I35">
    <sortCondition ref="E29:E35"/>
  </sortState>
  <tableColumns count="5">
    <tableColumn id="1" xr3:uid="{37668756-721D-4368-85A7-D7C81EC8B0E0}" name="Nº Venda" dataDxfId="31"/>
    <tableColumn id="2" xr3:uid="{5DC7873F-610E-4E47-81E5-B2B15E5DB3B8}" name="Cliente" dataDxfId="30"/>
    <tableColumn id="3" xr3:uid="{A0700D95-C1B7-42FB-B9E2-117014C6E66A}" name="Forma de Pgto" dataDxfId="29" dataCellStyle="Moeda"/>
    <tableColumn id="4" xr3:uid="{527504DD-78A0-4232-85EF-DCC2EC9F7BB1}" name="Valor Venda" dataDxfId="28" dataCellStyle="Porcentagem"/>
    <tableColumn id="5" xr3:uid="{D14B88F4-B0FE-4032-9B6D-53B598FAFBD7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4891844-4B33-4271-9379-35BEAB4D20AB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CA425F45-DF59-4F93-B4D4-12BC0873C4EF}" name="OS" dataDxfId="21"/>
    <tableColumn id="2" xr3:uid="{94739F5F-61A2-48D8-8719-0243DEF4FDF5}" name="Vendedor" dataDxfId="20"/>
    <tableColumn id="3" xr3:uid="{945D432F-74D3-4E5C-A9C8-35F8D8530A83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D857FF3-9ADE-42C0-8A60-A6D0DAC73EDD}" name="rec_carn31" displayName="rec_carn31" ref="E38:I45" totalsRowShown="0" headerRowDxfId="18" dataDxfId="16" headerRowBorderDxfId="17" tableBorderDxfId="15" totalsRowBorderDxfId="14">
  <autoFilter ref="E38:I45" xr:uid="{B9E2F984-8588-4F2C-9FB9-680284154679}"/>
  <sortState xmlns:xlrd2="http://schemas.microsoft.com/office/spreadsheetml/2017/richdata2" ref="E39:I44">
    <sortCondition ref="E29:E35"/>
  </sortState>
  <tableColumns count="5">
    <tableColumn id="1" xr3:uid="{F1EB5AA2-50D5-484B-9895-F4B3A0C2749D}" name="OS" dataDxfId="13"/>
    <tableColumn id="2" xr3:uid="{C1EAA5F9-7F49-46C3-9011-F7F608135EAA}" name="Cliente" dataDxfId="12"/>
    <tableColumn id="3" xr3:uid="{4F45C8F6-DC20-4AEE-A095-DB7A7D454024}" name="Forma de Pgto" dataDxfId="11" dataCellStyle="Moeda"/>
    <tableColumn id="4" xr3:uid="{0F63F032-AE9B-4821-8DB8-433E3123E39C}" name="Valor Parcela" dataDxfId="10" dataCellStyle="Porcentagem"/>
    <tableColumn id="5" xr3:uid="{7E118C4D-1AA2-49EA-BA6D-FA04226F7C41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31DC576-120E-44AB-9239-6210838A4617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66669957-348E-47BF-A40D-1C1A10CAEE7D}" name="OS" dataDxfId="4"/>
    <tableColumn id="2" xr3:uid="{C388BE5D-9030-40D2-A184-B9E66EB19E0C}" name="Parcelas" dataDxfId="3"/>
    <tableColumn id="3" xr3:uid="{28997D81-91F7-4674-92A0-06022A21278D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8" totalsRowShown="0" headerRowDxfId="1">
  <autoFilter ref="A1:B8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D10" sqref="D1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75">
        <v>0</v>
      </c>
    </row>
    <row r="3" spans="1:2" ht="15" x14ac:dyDescent="0.25">
      <c r="A3" s="23" t="s">
        <v>1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2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4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127" t="s">
        <v>5</v>
      </c>
      <c r="B8" s="127"/>
    </row>
    <row r="9" spans="1:2" ht="15" x14ac:dyDescent="0.25">
      <c r="A9" s="30" t="s">
        <v>6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8</v>
      </c>
      <c r="B12" s="24" t="e">
        <f>SUM('01'!#REF!,'02'!#REF!,'03'!#REF!,'04'!#REF!,'05'!#REF!,'06'!#REF!,'07'!#REF!,'08'!#REF!,'09'!#REF!,'10'!#REF!,'11'!#REF!,'12'!#REF!,'13'!#REF!,'14'!#REF!,'15'!#REF!,'16'!#REF!,'17'!#REF!,'18'!#REF!,'19'!#REF!,'20'!#REF!,'21'!#REF!,'22'!#REF!,'23'!#REF!,'24'!#REF!,'25'!#REF!,'26'!#REF!,'27'!#REF!,'28'!#REF!,'29'!#REF!,'30'!#REF!,#REF!)</f>
        <v>#REF!</v>
      </c>
    </row>
    <row r="13" spans="1:2" ht="15" x14ac:dyDescent="0.25">
      <c r="A13" s="30" t="s">
        <v>9</v>
      </c>
      <c r="B13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4" spans="1:2" ht="15.75" x14ac:dyDescent="0.25">
      <c r="A14" s="28" t="s">
        <v>10</v>
      </c>
      <c r="B14" s="76" t="e">
        <f>SUM(B9:B13)</f>
        <v>#REF!</v>
      </c>
    </row>
    <row r="15" spans="1:2" ht="15" x14ac:dyDescent="0.25">
      <c r="A15" s="2"/>
      <c r="B15" s="2"/>
    </row>
    <row r="16" spans="1:2" ht="15" x14ac:dyDescent="0.2">
      <c r="A16" s="127" t="s">
        <v>11</v>
      </c>
      <c r="B16" s="127"/>
    </row>
    <row r="17" spans="1:2" ht="15" x14ac:dyDescent="0.25">
      <c r="A17" s="30">
        <f>COUNT(#REF!)</f>
        <v>0</v>
      </c>
      <c r="B17" s="24" t="e">
        <f>SUM('01'!C18,'02'!C18,'03'!C18,'04'!C18,'05'!C18,'06'!C18,'07'!C18,'08'!C18,'09'!C18,'10'!C18,'11'!C18,'12'!C18,'13'!C18,'14'!C18,'15'!C18,'16'!C18,'17'!C18,'18'!C18,'19'!C18,'20'!C18,'21'!C18,'22'!C18,'23'!C18,'24'!C18,'25'!C18,'26'!C18,'27'!C18,'28'!C18,'29'!C18,'30'!C18,#REF!)</f>
        <v>#REF!</v>
      </c>
    </row>
    <row r="18" spans="1:2" ht="15.75" x14ac:dyDescent="0.25">
      <c r="A18" s="28" t="s">
        <v>10</v>
      </c>
      <c r="B18" s="76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7" zoomScale="80" zoomScaleNormal="80" workbookViewId="0">
      <selection activeCell="B29" sqref="B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v>45413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27" t="s">
        <v>5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30">
        <f>COUNT(entr_carn1[OS])</f>
        <v>0</v>
      </c>
      <c r="C18" s="31">
        <f>SUM(entr_carn1[Valor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D750A6A5-C201-4190-B207-F5C8AA22818D}">
          <x14:formula1>
            <xm:f>base!$A$2:$A$8</xm:f>
          </x14:formula1>
          <xm:sqref>G6:G22</xm:sqref>
        </x14:dataValidation>
        <x14:dataValidation type="list" allowBlank="1" showInputMessage="1" showErrorMessage="1" xr:uid="{01D25F35-F227-438E-85FA-444CACF98FBB}">
          <x14:formula1>
            <xm:f>base!$A$2:$A$5</xm:f>
          </x14:formula1>
          <xm:sqref>G26:G31 G35:G41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abSelected="1" topLeftCell="A7" zoomScale="8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'01'!B1+1</f>
        <v>45414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2784.9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4544.8999999999996</v>
      </c>
      <c r="D6" s="2"/>
      <c r="E6" s="18">
        <v>9117</v>
      </c>
      <c r="F6" s="25" t="s">
        <v>129</v>
      </c>
      <c r="G6" s="46" t="s">
        <v>8</v>
      </c>
      <c r="H6" s="8">
        <v>49.9</v>
      </c>
      <c r="I6" s="8">
        <v>49.9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9118</v>
      </c>
      <c r="F7" s="25" t="s">
        <v>133</v>
      </c>
      <c r="G7" s="46" t="s">
        <v>6</v>
      </c>
      <c r="H7" s="8">
        <v>1300</v>
      </c>
      <c r="I7" s="8">
        <v>100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20</v>
      </c>
      <c r="C8" s="29">
        <f>SUM(C6:C7)</f>
        <v>4544.8999999999996</v>
      </c>
      <c r="D8" s="2"/>
      <c r="E8" s="18">
        <v>9119</v>
      </c>
      <c r="F8" s="25" t="s">
        <v>134</v>
      </c>
      <c r="G8" s="26" t="s">
        <v>8</v>
      </c>
      <c r="H8" s="8">
        <v>445</v>
      </c>
      <c r="I8" s="8">
        <v>445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9120</v>
      </c>
      <c r="F9" s="25" t="s">
        <v>135</v>
      </c>
      <c r="G9" s="26" t="s">
        <v>8</v>
      </c>
      <c r="H9" s="8">
        <v>350</v>
      </c>
      <c r="I9" s="8">
        <v>250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9120</v>
      </c>
      <c r="F10" s="25" t="s">
        <v>135</v>
      </c>
      <c r="G10" s="26" t="s">
        <v>6</v>
      </c>
      <c r="H10" s="8"/>
      <c r="I10" s="8">
        <v>100</v>
      </c>
      <c r="J10" s="2"/>
      <c r="K10" s="25"/>
      <c r="L10" s="9"/>
      <c r="M10" s="16"/>
      <c r="R10" s="1">
        <f>IF(vend2[[#This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1200</v>
      </c>
      <c r="D11" s="2"/>
      <c r="E11" s="18">
        <v>9121</v>
      </c>
      <c r="F11" s="25" t="s">
        <v>136</v>
      </c>
      <c r="G11" s="26" t="s">
        <v>7</v>
      </c>
      <c r="H11" s="8">
        <v>280</v>
      </c>
      <c r="I11" s="8">
        <v>80</v>
      </c>
      <c r="J11" s="2"/>
      <c r="K11" s="27"/>
      <c r="L11" s="9"/>
      <c r="M11" s="16"/>
      <c r="O11" s="1">
        <f>IF(C15=0,0,1)</f>
        <v>1</v>
      </c>
      <c r="R11" s="1">
        <f>IF(vend2[[#This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700</v>
      </c>
      <c r="D12" s="2"/>
      <c r="E12" s="18">
        <v>9122</v>
      </c>
      <c r="F12" s="25" t="s">
        <v>136</v>
      </c>
      <c r="G12" s="26" t="s">
        <v>7</v>
      </c>
      <c r="H12" s="8">
        <v>20</v>
      </c>
      <c r="I12" s="8">
        <v>20</v>
      </c>
      <c r="J12" s="2"/>
      <c r="R12" s="1">
        <f>IF(vend2[[#This Row],[Nº Venda]]&gt;1,1,0)</f>
        <v>1</v>
      </c>
    </row>
    <row r="13" spans="2:18" ht="15.75" x14ac:dyDescent="0.25">
      <c r="B13" s="30" t="s">
        <v>8</v>
      </c>
      <c r="C13" s="31">
        <f t="shared" si="0"/>
        <v>2644.9</v>
      </c>
      <c r="D13" s="2"/>
      <c r="E13" s="85">
        <v>9123</v>
      </c>
      <c r="F13" s="64" t="s">
        <v>137</v>
      </c>
      <c r="G13" s="86" t="s">
        <v>7</v>
      </c>
      <c r="H13" s="71">
        <v>340</v>
      </c>
      <c r="I13" s="71">
        <v>200</v>
      </c>
      <c r="J13" s="2"/>
      <c r="K13" s="129" t="s">
        <v>21</v>
      </c>
      <c r="L13" s="130"/>
      <c r="M13" s="131"/>
      <c r="R13" s="1">
        <f>IF(vend2[[#This Row],[Nº Venda]]&gt;1,1,0)</f>
        <v>1</v>
      </c>
    </row>
    <row r="14" spans="2:18" ht="15.75" x14ac:dyDescent="0.25">
      <c r="B14" s="30" t="s">
        <v>9</v>
      </c>
      <c r="C14" s="31">
        <f t="shared" si="0"/>
        <v>108.51</v>
      </c>
      <c r="D14" s="2"/>
      <c r="E14" s="85">
        <v>9123</v>
      </c>
      <c r="F14" s="64" t="s">
        <v>137</v>
      </c>
      <c r="G14" s="86" t="s">
        <v>8</v>
      </c>
      <c r="H14" s="71"/>
      <c r="I14" s="71">
        <v>40</v>
      </c>
      <c r="J14" s="2"/>
      <c r="K14" s="14" t="s">
        <v>124</v>
      </c>
      <c r="L14" s="6" t="s">
        <v>23</v>
      </c>
      <c r="M14" s="15" t="s">
        <v>24</v>
      </c>
      <c r="R14" s="1">
        <f>IF(vend2[[#This Row],[Nº Venda]]&gt;1,1,0)</f>
        <v>1</v>
      </c>
    </row>
    <row r="15" spans="2:18" ht="15.75" x14ac:dyDescent="0.25">
      <c r="B15" s="28" t="s">
        <v>10</v>
      </c>
      <c r="C15" s="32">
        <f>SUM(C11:C14)</f>
        <v>4653.41</v>
      </c>
      <c r="D15" s="2"/>
      <c r="E15" s="18"/>
      <c r="F15" s="25"/>
      <c r="G15" s="26"/>
      <c r="H15" s="8"/>
      <c r="I15" s="8"/>
      <c r="J15" s="2"/>
      <c r="K15" s="25">
        <v>9117</v>
      </c>
      <c r="L15" s="9" t="s">
        <v>131</v>
      </c>
      <c r="M15" s="16" t="s">
        <v>132</v>
      </c>
      <c r="R15" s="1">
        <f>IF(vend2[[#This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8834</v>
      </c>
      <c r="L16" s="9" t="s">
        <v>131</v>
      </c>
      <c r="M16" s="16" t="s">
        <v>132</v>
      </c>
      <c r="R16" s="1">
        <f>IF(vend2[[#This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>
        <v>9083</v>
      </c>
      <c r="L17" s="9" t="s">
        <v>140</v>
      </c>
      <c r="M17" s="16" t="s">
        <v>132</v>
      </c>
      <c r="R17" s="1">
        <f>IF(vend2[[#This Row],[Nº Venda]]&gt;1,1,0)</f>
        <v>0</v>
      </c>
    </row>
    <row r="18" spans="2:18" ht="15.75" x14ac:dyDescent="0.25">
      <c r="B18" s="30">
        <f>COUNT(entr_carn2[OS])</f>
        <v>0</v>
      </c>
      <c r="C18" s="31">
        <f>SUM(entr_carn2[Valor Total])</f>
        <v>0</v>
      </c>
      <c r="D18" s="2"/>
      <c r="E18" s="18"/>
      <c r="F18" s="25"/>
      <c r="G18" s="26"/>
      <c r="H18" s="8"/>
      <c r="I18" s="8"/>
      <c r="J18" s="2"/>
      <c r="K18" s="25">
        <v>9082</v>
      </c>
      <c r="L18" s="9" t="s">
        <v>140</v>
      </c>
      <c r="M18" s="16" t="s">
        <v>132</v>
      </c>
      <c r="R18" s="1">
        <f>IF(vend2[[#This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8" t="s">
        <v>25</v>
      </c>
      <c r="C21" s="32">
        <f>C5</f>
        <v>2784.9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9112</v>
      </c>
      <c r="F26" s="25" t="s">
        <v>130</v>
      </c>
      <c r="G26" s="26" t="s">
        <v>6</v>
      </c>
      <c r="H26" s="8">
        <v>0</v>
      </c>
      <c r="I26" s="8">
        <v>1000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9112</v>
      </c>
      <c r="F27" s="25" t="s">
        <v>130</v>
      </c>
      <c r="G27" s="26" t="s">
        <v>8</v>
      </c>
      <c r="H27" s="8">
        <v>0</v>
      </c>
      <c r="I27" s="8">
        <v>850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9113</v>
      </c>
      <c r="F28" s="25" t="s">
        <v>130</v>
      </c>
      <c r="G28" s="26" t="s">
        <v>8</v>
      </c>
      <c r="H28" s="8">
        <v>0</v>
      </c>
      <c r="I28" s="8">
        <v>1010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9094</v>
      </c>
      <c r="F29" s="25" t="s">
        <v>138</v>
      </c>
      <c r="G29" s="26" t="s">
        <v>7</v>
      </c>
      <c r="H29" s="8">
        <v>0</v>
      </c>
      <c r="I29" s="8">
        <v>200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9095</v>
      </c>
      <c r="F30" s="39" t="s">
        <v>138</v>
      </c>
      <c r="G30" s="26" t="s">
        <v>7</v>
      </c>
      <c r="H30" s="8">
        <v>0</v>
      </c>
      <c r="I30" s="8">
        <v>200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8847</v>
      </c>
      <c r="F35" s="25" t="s">
        <v>139</v>
      </c>
      <c r="G35" s="26" t="s">
        <v>9</v>
      </c>
      <c r="H35" s="8">
        <v>108.51</v>
      </c>
      <c r="I35" s="8" t="s">
        <v>34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9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7E95BB8A-1768-4CAA-AEF8-5923B3598C9D}">
          <x14:formula1>
            <xm:f>base!$A$2:$A$5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base!$A$2:$A$8</xm:f>
          </x14:formula1>
          <xm:sqref>G6:G22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1" zoomScale="80" zoomScaleNormal="80" workbookViewId="0">
      <selection activeCell="E41" sqref="E4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'02'!B1+1</f>
        <v>45415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1410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640</v>
      </c>
      <c r="D6" s="2"/>
      <c r="E6" s="18">
        <v>9124</v>
      </c>
      <c r="F6" s="25" t="s">
        <v>141</v>
      </c>
      <c r="G6" s="46" t="s">
        <v>7</v>
      </c>
      <c r="H6" s="8">
        <v>450</v>
      </c>
      <c r="I6" s="8">
        <v>20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9125</v>
      </c>
      <c r="F7" s="25" t="s">
        <v>142</v>
      </c>
      <c r="G7" s="26" t="s">
        <v>9</v>
      </c>
      <c r="H7" s="8">
        <v>890</v>
      </c>
      <c r="I7" s="8">
        <v>200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20</v>
      </c>
      <c r="C8" s="29">
        <f>SUM(C6:C7)</f>
        <v>640</v>
      </c>
      <c r="D8" s="2"/>
      <c r="E8" s="18">
        <v>9126</v>
      </c>
      <c r="F8" s="25" t="s">
        <v>143</v>
      </c>
      <c r="G8" s="26" t="s">
        <v>7</v>
      </c>
      <c r="H8" s="8">
        <v>70</v>
      </c>
      <c r="I8" s="8">
        <v>70</v>
      </c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9127</v>
      </c>
      <c r="F9" s="25" t="s">
        <v>134</v>
      </c>
      <c r="G9" s="26" t="s">
        <v>38</v>
      </c>
      <c r="H9" s="8"/>
      <c r="I9" s="8"/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9128</v>
      </c>
      <c r="F10" s="25" t="s">
        <v>144</v>
      </c>
      <c r="G10" s="26" t="s">
        <v>38</v>
      </c>
      <c r="H10" s="8"/>
      <c r="I10" s="8"/>
      <c r="J10" s="2"/>
      <c r="K10" s="25"/>
      <c r="L10" s="9"/>
      <c r="M10" s="16"/>
      <c r="R10" s="1">
        <f>IF(vend3[[#This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232.67000000000002</v>
      </c>
      <c r="D11" s="2"/>
      <c r="E11" s="18">
        <v>9129</v>
      </c>
      <c r="F11" s="25" t="s">
        <v>144</v>
      </c>
      <c r="G11" s="26" t="s">
        <v>38</v>
      </c>
      <c r="H11" s="8"/>
      <c r="I11" s="8"/>
      <c r="J11" s="2"/>
      <c r="K11" s="27"/>
      <c r="L11" s="9"/>
      <c r="M11" s="16"/>
      <c r="O11" s="1">
        <f>IF(C15=0,0,1)</f>
        <v>1</v>
      </c>
      <c r="R11" s="1">
        <f>IF(vend3[[#This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90</v>
      </c>
      <c r="D12" s="2"/>
      <c r="E12" s="18">
        <v>9130</v>
      </c>
      <c r="F12" s="25" t="s">
        <v>145</v>
      </c>
      <c r="G12" s="26" t="s">
        <v>48</v>
      </c>
      <c r="H12" s="8">
        <v>379</v>
      </c>
      <c r="I12" s="8"/>
      <c r="J12" s="2"/>
      <c r="R12" s="1">
        <f>IF(vend3[[#This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793.8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IF(vend3[[#This Row],[Nº Venda]]&gt;1,1,0)</f>
        <v>0</v>
      </c>
    </row>
    <row r="15" spans="2:18" ht="15.75" x14ac:dyDescent="0.25">
      <c r="B15" s="28" t="s">
        <v>10</v>
      </c>
      <c r="C15" s="32">
        <f>SUM(C11:C14)</f>
        <v>1116.47</v>
      </c>
      <c r="D15" s="2"/>
      <c r="E15" s="18"/>
      <c r="F15" s="25"/>
      <c r="G15" s="26"/>
      <c r="H15" s="8"/>
      <c r="I15" s="8"/>
      <c r="J15" s="2"/>
      <c r="K15" s="25">
        <v>9126</v>
      </c>
      <c r="L15" s="9" t="s">
        <v>146</v>
      </c>
      <c r="M15" s="16" t="s">
        <v>132</v>
      </c>
      <c r="R15" s="1">
        <f>IF(vend3[[#This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9054</v>
      </c>
      <c r="L16" s="9" t="s">
        <v>147</v>
      </c>
      <c r="M16" s="16" t="s">
        <v>148</v>
      </c>
      <c r="R16" s="1">
        <f>IF(vend3[[#This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>
        <v>9002</v>
      </c>
      <c r="L17" s="9" t="s">
        <v>147</v>
      </c>
      <c r="M17" s="16" t="s">
        <v>132</v>
      </c>
      <c r="R17" s="1">
        <f>IF(vend3[[#This Row],[Nº Venda]]&gt;1,1,0)</f>
        <v>0</v>
      </c>
    </row>
    <row r="18" spans="2:18" ht="15.75" x14ac:dyDescent="0.25">
      <c r="B18" s="30">
        <f>COUNT(entr_carn3[OS])</f>
        <v>3</v>
      </c>
      <c r="C18" s="31">
        <f>SUM(entr_carn3[Valor Total])</f>
        <v>1370</v>
      </c>
      <c r="D18" s="2"/>
      <c r="E18" s="18"/>
      <c r="F18" s="25"/>
      <c r="G18" s="26"/>
      <c r="H18" s="8"/>
      <c r="I18" s="8"/>
      <c r="J18" s="2"/>
      <c r="K18" s="25">
        <v>8999</v>
      </c>
      <c r="L18" s="9" t="s">
        <v>146</v>
      </c>
      <c r="M18" s="16" t="s">
        <v>148</v>
      </c>
      <c r="R18" s="1">
        <f>IF(vend3[[#This Row],[Nº Venda]]&gt;1,1,0)</f>
        <v>0</v>
      </c>
    </row>
    <row r="19" spans="2:18" ht="15.75" x14ac:dyDescent="0.25">
      <c r="B19" s="28" t="s">
        <v>10</v>
      </c>
      <c r="C19" s="32">
        <f>SUM(C18:C18)</f>
        <v>1370</v>
      </c>
      <c r="D19" s="2"/>
      <c r="E19" s="18"/>
      <c r="F19" s="25"/>
      <c r="G19" s="26"/>
      <c r="H19" s="8"/>
      <c r="I19" s="8"/>
      <c r="J19" s="2"/>
      <c r="K19" s="25">
        <v>9107</v>
      </c>
      <c r="L19" s="9" t="s">
        <v>131</v>
      </c>
      <c r="M19" s="16" t="s">
        <v>132</v>
      </c>
      <c r="R19" s="1">
        <f>IF(vend3[[#This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9036</v>
      </c>
      <c r="L20" s="9" t="s">
        <v>146</v>
      </c>
      <c r="M20" s="16" t="s">
        <v>132</v>
      </c>
      <c r="R20" s="1">
        <f>IF(vend3[[#This Row],[Nº Venda]]&gt;1,1,0)</f>
        <v>0</v>
      </c>
    </row>
    <row r="21" spans="2:18" ht="15.75" x14ac:dyDescent="0.25">
      <c r="B21" s="28" t="s">
        <v>25</v>
      </c>
      <c r="C21" s="32">
        <f>C5</f>
        <v>1410</v>
      </c>
      <c r="D21" s="2"/>
      <c r="E21" s="18"/>
      <c r="F21" s="25"/>
      <c r="G21" s="26"/>
      <c r="H21" s="8"/>
      <c r="I21" s="8"/>
      <c r="J21" s="2"/>
      <c r="K21" s="25">
        <v>9085</v>
      </c>
      <c r="L21" s="9" t="s">
        <v>147</v>
      </c>
      <c r="M21" s="16" t="s">
        <v>132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9084</v>
      </c>
      <c r="L22" s="9" t="s">
        <v>147</v>
      </c>
      <c r="M22" s="16" t="s">
        <v>132</v>
      </c>
    </row>
    <row r="23" spans="2:18" ht="15" x14ac:dyDescent="0.25">
      <c r="B23" s="2"/>
      <c r="C23" s="2"/>
      <c r="D23" s="2"/>
      <c r="E23" s="33"/>
      <c r="H23" s="7"/>
      <c r="J23" s="2"/>
      <c r="K23" s="25">
        <v>9126</v>
      </c>
      <c r="L23" s="9" t="s">
        <v>146</v>
      </c>
      <c r="M23" s="16" t="s">
        <v>132</v>
      </c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>
        <v>9057</v>
      </c>
      <c r="L24" s="9" t="s">
        <v>146</v>
      </c>
      <c r="M24" s="16" t="s">
        <v>148</v>
      </c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9104</v>
      </c>
      <c r="F26" s="25" t="s">
        <v>149</v>
      </c>
      <c r="G26" s="46" t="s">
        <v>9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9057</v>
      </c>
      <c r="F27" s="25" t="s">
        <v>150</v>
      </c>
      <c r="G27" s="26" t="s">
        <v>9</v>
      </c>
      <c r="H27" s="8"/>
      <c r="I27" s="8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8624</v>
      </c>
      <c r="F35" s="25" t="s">
        <v>151</v>
      </c>
      <c r="G35" s="26" t="s">
        <v>6</v>
      </c>
      <c r="H35" s="8">
        <v>41.42</v>
      </c>
      <c r="I35" s="8" t="s">
        <v>47</v>
      </c>
      <c r="K35" s="25">
        <v>9054</v>
      </c>
      <c r="L35" s="41">
        <v>3</v>
      </c>
      <c r="M35" s="16">
        <v>400</v>
      </c>
    </row>
    <row r="36" spans="5:18" ht="15.75" x14ac:dyDescent="0.25">
      <c r="E36" s="18">
        <v>8999</v>
      </c>
      <c r="F36" s="25" t="s">
        <v>151</v>
      </c>
      <c r="G36" s="26" t="s">
        <v>6</v>
      </c>
      <c r="H36" s="8">
        <v>60</v>
      </c>
      <c r="I36" s="8" t="s">
        <v>34</v>
      </c>
      <c r="K36" s="25">
        <v>9057</v>
      </c>
      <c r="L36" s="41">
        <v>5</v>
      </c>
      <c r="M36" s="16">
        <v>550</v>
      </c>
    </row>
    <row r="37" spans="5:18" ht="15.75" x14ac:dyDescent="0.25">
      <c r="E37" s="18">
        <v>8328</v>
      </c>
      <c r="F37" s="25" t="s">
        <v>151</v>
      </c>
      <c r="G37" s="26" t="s">
        <v>6</v>
      </c>
      <c r="H37" s="8">
        <v>50</v>
      </c>
      <c r="I37" s="8" t="s">
        <v>55</v>
      </c>
      <c r="K37" s="25">
        <v>8999</v>
      </c>
      <c r="L37" s="41">
        <v>7</v>
      </c>
      <c r="M37" s="16">
        <v>420</v>
      </c>
    </row>
    <row r="38" spans="5:18" ht="15.75" x14ac:dyDescent="0.25">
      <c r="E38" s="18">
        <v>8078</v>
      </c>
      <c r="F38" s="25" t="s">
        <v>152</v>
      </c>
      <c r="G38" s="26" t="s">
        <v>6</v>
      </c>
      <c r="H38" s="8">
        <v>81.25</v>
      </c>
      <c r="I38" s="8" t="s">
        <v>41</v>
      </c>
      <c r="K38" s="25"/>
      <c r="L38" s="41"/>
      <c r="M38" s="16"/>
    </row>
    <row r="39" spans="5:18" ht="15.75" x14ac:dyDescent="0.25">
      <c r="E39" s="18">
        <v>8456</v>
      </c>
      <c r="F39" s="39" t="s">
        <v>153</v>
      </c>
      <c r="G39" s="26" t="s">
        <v>9</v>
      </c>
      <c r="H39" s="8">
        <v>68.569999999999993</v>
      </c>
      <c r="I39" s="8" t="s">
        <v>47</v>
      </c>
      <c r="K39" s="25"/>
      <c r="L39" s="41"/>
      <c r="M39" s="16"/>
    </row>
    <row r="40" spans="5:18" ht="15.75" x14ac:dyDescent="0.25">
      <c r="E40" s="35">
        <v>8456</v>
      </c>
      <c r="F40" s="36" t="s">
        <v>153</v>
      </c>
      <c r="G40" s="37" t="s">
        <v>9</v>
      </c>
      <c r="H40" s="17">
        <v>68.569999999999993</v>
      </c>
      <c r="I40" s="8" t="s">
        <v>39</v>
      </c>
      <c r="K40" s="36"/>
      <c r="L40" s="42"/>
      <c r="M40" s="40"/>
      <c r="Q40" s="1" t="s">
        <v>35</v>
      </c>
      <c r="R40" s="1">
        <f>SUM(R6:R21)</f>
        <v>7</v>
      </c>
    </row>
    <row r="41" spans="5:18" ht="15.75" x14ac:dyDescent="0.25">
      <c r="E41" s="35">
        <v>8669</v>
      </c>
      <c r="F41" s="39" t="s">
        <v>154</v>
      </c>
      <c r="G41" s="26" t="s">
        <v>9</v>
      </c>
      <c r="H41" s="8">
        <v>106.66</v>
      </c>
      <c r="I41" s="8" t="s">
        <v>43</v>
      </c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627AE46E-77AF-4B05-BD74-FF72E5E2EAE3}">
          <x14:formula1>
            <xm:f>base!$A$2:$A$8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base!$A$2:$A$5</xm:f>
          </x14:formula1>
          <xm:sqref>G26:G31 G35:G41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4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'03'!B1+1</f>
        <v>45416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7133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8935</v>
      </c>
      <c r="D6" s="2"/>
      <c r="E6" s="18">
        <v>9131</v>
      </c>
      <c r="F6" s="25" t="s">
        <v>155</v>
      </c>
      <c r="G6" s="46" t="s">
        <v>9</v>
      </c>
      <c r="H6" s="8">
        <v>599</v>
      </c>
      <c r="I6" s="8">
        <v>350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9132</v>
      </c>
      <c r="F7" s="25" t="s">
        <v>156</v>
      </c>
      <c r="G7" s="46" t="s">
        <v>8</v>
      </c>
      <c r="H7" s="8">
        <v>2600</v>
      </c>
      <c r="I7" s="8">
        <v>2600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20</v>
      </c>
      <c r="C8" s="29">
        <f>SUM(C6:C7)</f>
        <v>8935</v>
      </c>
      <c r="D8" s="2"/>
      <c r="E8" s="18">
        <v>9133</v>
      </c>
      <c r="F8" s="25" t="s">
        <v>156</v>
      </c>
      <c r="G8" s="46" t="s">
        <v>8</v>
      </c>
      <c r="H8" s="8">
        <v>400</v>
      </c>
      <c r="I8" s="8">
        <v>400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9134</v>
      </c>
      <c r="F9" s="25" t="s">
        <v>157</v>
      </c>
      <c r="G9" s="46" t="s">
        <v>6</v>
      </c>
      <c r="H9" s="8">
        <v>749</v>
      </c>
      <c r="I9" s="8">
        <v>250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9135</v>
      </c>
      <c r="F10" s="25" t="s">
        <v>158</v>
      </c>
      <c r="G10" s="26" t="s">
        <v>7</v>
      </c>
      <c r="H10" s="8">
        <v>50</v>
      </c>
      <c r="I10" s="8">
        <v>50</v>
      </c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>
        <v>9136</v>
      </c>
      <c r="F11" s="25" t="s">
        <v>159</v>
      </c>
      <c r="G11" s="26" t="s">
        <v>9</v>
      </c>
      <c r="H11" s="8">
        <v>500</v>
      </c>
      <c r="I11" s="8">
        <v>100</v>
      </c>
      <c r="J11" s="2"/>
      <c r="K11" s="27"/>
      <c r="L11" s="9"/>
      <c r="M11" s="16"/>
      <c r="O11" s="1">
        <f>IF(C15=0,0,1)</f>
        <v>1</v>
      </c>
      <c r="R11" s="1">
        <f>IF(vend4[[#This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50</v>
      </c>
      <c r="D12" s="2"/>
      <c r="E12" s="18">
        <v>9136</v>
      </c>
      <c r="F12" s="25" t="s">
        <v>159</v>
      </c>
      <c r="G12" s="26" t="s">
        <v>8</v>
      </c>
      <c r="H12" s="8"/>
      <c r="I12" s="8">
        <v>200</v>
      </c>
      <c r="J12" s="2"/>
      <c r="R12" s="1">
        <f>IF(vend4[[#This Row],[Nº Venda]]&gt;1,1,0)</f>
        <v>1</v>
      </c>
    </row>
    <row r="13" spans="2:18" ht="15.75" x14ac:dyDescent="0.25">
      <c r="B13" s="30" t="s">
        <v>8</v>
      </c>
      <c r="C13" s="31">
        <f t="shared" si="0"/>
        <v>7850</v>
      </c>
      <c r="D13" s="2"/>
      <c r="E13" s="18">
        <v>9137</v>
      </c>
      <c r="F13" s="25" t="s">
        <v>160</v>
      </c>
      <c r="G13" s="26" t="s">
        <v>8</v>
      </c>
      <c r="H13" s="8">
        <v>600</v>
      </c>
      <c r="I13" s="8">
        <v>600</v>
      </c>
      <c r="J13" s="2"/>
      <c r="K13" s="129" t="s">
        <v>21</v>
      </c>
      <c r="L13" s="130"/>
      <c r="M13" s="131"/>
      <c r="R13" s="1">
        <f>IF(vend4[[#This Row],[Nº Venda]]&gt;1,1,0)</f>
        <v>1</v>
      </c>
    </row>
    <row r="14" spans="2:18" ht="15.75" x14ac:dyDescent="0.25">
      <c r="B14" s="30" t="s">
        <v>9</v>
      </c>
      <c r="C14" s="31">
        <f t="shared" si="0"/>
        <v>785</v>
      </c>
      <c r="D14" s="2"/>
      <c r="E14" s="18">
        <v>9138</v>
      </c>
      <c r="F14" s="25" t="s">
        <v>160</v>
      </c>
      <c r="G14" s="26" t="s">
        <v>8</v>
      </c>
      <c r="H14" s="8">
        <v>600</v>
      </c>
      <c r="I14" s="8">
        <v>600</v>
      </c>
      <c r="J14" s="2"/>
      <c r="K14" s="14" t="s">
        <v>22</v>
      </c>
      <c r="L14" s="6" t="s">
        <v>23</v>
      </c>
      <c r="M14" s="15" t="s">
        <v>24</v>
      </c>
      <c r="R14" s="1">
        <f>IF(vend4[[#This Row],[Nº Venda]]&gt;1,1,0)</f>
        <v>1</v>
      </c>
    </row>
    <row r="15" spans="2:18" ht="15.75" x14ac:dyDescent="0.25">
      <c r="B15" s="28" t="s">
        <v>10</v>
      </c>
      <c r="C15" s="32">
        <f>SUM(C11:C14)</f>
        <v>8935</v>
      </c>
      <c r="D15" s="2"/>
      <c r="E15" s="18">
        <v>9139</v>
      </c>
      <c r="F15" s="25" t="s">
        <v>160</v>
      </c>
      <c r="G15" s="26" t="s">
        <v>8</v>
      </c>
      <c r="H15" s="8">
        <v>450</v>
      </c>
      <c r="I15" s="8">
        <v>450</v>
      </c>
      <c r="J15" s="2"/>
      <c r="K15" s="94">
        <v>9097</v>
      </c>
      <c r="L15" s="95" t="s">
        <v>162</v>
      </c>
      <c r="M15" s="96" t="s">
        <v>132</v>
      </c>
      <c r="R15" s="1">
        <f>IF(vend4[[#This Row],[Nº Venda]]&gt;1,1,0)</f>
        <v>1</v>
      </c>
    </row>
    <row r="16" spans="2:18" ht="15.75" x14ac:dyDescent="0.25">
      <c r="B16" s="2"/>
      <c r="C16" s="2"/>
      <c r="D16" s="2"/>
      <c r="E16" s="18">
        <v>9140</v>
      </c>
      <c r="F16" s="25" t="s">
        <v>161</v>
      </c>
      <c r="G16" s="26" t="s">
        <v>9</v>
      </c>
      <c r="H16" s="8">
        <v>550</v>
      </c>
      <c r="I16" s="8">
        <v>100</v>
      </c>
      <c r="J16" s="2"/>
      <c r="K16" s="94">
        <v>9072</v>
      </c>
      <c r="L16" s="94" t="s">
        <v>162</v>
      </c>
      <c r="M16" s="96" t="s">
        <v>148</v>
      </c>
      <c r="R16" s="1">
        <f>IF(vend4[[#This Row],[Nº Venda]]&gt;1,1,0)</f>
        <v>1</v>
      </c>
    </row>
    <row r="17" spans="2:18" ht="18.75" x14ac:dyDescent="0.4">
      <c r="B17" s="127" t="s">
        <v>11</v>
      </c>
      <c r="C17" s="127"/>
      <c r="D17" s="2"/>
      <c r="E17" s="18">
        <v>9141</v>
      </c>
      <c r="F17" s="25" t="s">
        <v>160</v>
      </c>
      <c r="G17" s="26" t="s">
        <v>9</v>
      </c>
      <c r="H17" s="8">
        <v>35</v>
      </c>
      <c r="I17" s="8">
        <v>35</v>
      </c>
      <c r="J17" s="2"/>
      <c r="K17" s="60">
        <v>9073</v>
      </c>
      <c r="L17" s="61" t="s">
        <v>162</v>
      </c>
      <c r="M17" s="62" t="s">
        <v>132</v>
      </c>
      <c r="R17" s="1">
        <f>IF(vend4[[#This Row],[Nº Venda]]&gt;1,1,0)</f>
        <v>1</v>
      </c>
    </row>
    <row r="18" spans="2:18" ht="15.75" x14ac:dyDescent="0.25">
      <c r="B18" s="30">
        <f>COUNT(entr_carn4[OS])</f>
        <v>1</v>
      </c>
      <c r="C18" s="31">
        <f>SUM(entr_carn4[Valor Total])</f>
        <v>1009.98</v>
      </c>
      <c r="D18" s="2"/>
      <c r="E18" s="18"/>
      <c r="F18" s="25"/>
      <c r="G18" s="26"/>
      <c r="H18" s="8"/>
      <c r="I18" s="8"/>
      <c r="J18" s="2"/>
      <c r="K18" s="25">
        <v>9135</v>
      </c>
      <c r="L18" s="9" t="s">
        <v>164</v>
      </c>
      <c r="M18" s="16" t="s">
        <v>132</v>
      </c>
      <c r="R18" s="1">
        <f>IF(vend4[[#This Row],[Nº Venda]]&gt;1,1,0)</f>
        <v>0</v>
      </c>
    </row>
    <row r="19" spans="2:18" ht="15.75" x14ac:dyDescent="0.25">
      <c r="B19" s="28" t="s">
        <v>10</v>
      </c>
      <c r="C19" s="32">
        <f>SUM(C18:C18)</f>
        <v>1009.98</v>
      </c>
      <c r="D19" s="2"/>
      <c r="E19" s="18"/>
      <c r="F19" s="25"/>
      <c r="G19" s="26"/>
      <c r="H19" s="8"/>
      <c r="I19" s="8"/>
      <c r="J19" s="2"/>
      <c r="K19" s="25">
        <v>9065</v>
      </c>
      <c r="L19" s="9" t="s">
        <v>146</v>
      </c>
      <c r="M19" s="16" t="s">
        <v>132</v>
      </c>
      <c r="R19" s="1">
        <f>IF(vend4[[#This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9089</v>
      </c>
      <c r="L20" s="9" t="s">
        <v>162</v>
      </c>
      <c r="M20" s="16" t="s">
        <v>132</v>
      </c>
      <c r="R20" s="1">
        <f>IF(vend4[[#This Row],[Nº Venda]]&gt;1,1,0)</f>
        <v>0</v>
      </c>
    </row>
    <row r="21" spans="2:18" ht="15.75" x14ac:dyDescent="0.25">
      <c r="B21" s="28" t="s">
        <v>25</v>
      </c>
      <c r="C21" s="32">
        <f>C5</f>
        <v>7133</v>
      </c>
      <c r="D21" s="2"/>
      <c r="E21" s="18"/>
      <c r="F21" s="25"/>
      <c r="G21" s="26"/>
      <c r="H21" s="8"/>
      <c r="I21" s="8"/>
      <c r="J21" s="2"/>
      <c r="K21" s="25">
        <v>9029</v>
      </c>
      <c r="L21" s="9" t="s">
        <v>146</v>
      </c>
      <c r="M21" s="16" t="s">
        <v>132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9075</v>
      </c>
      <c r="L22" s="9" t="s">
        <v>162</v>
      </c>
      <c r="M22" s="16" t="s">
        <v>132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9072</v>
      </c>
      <c r="F26" s="64" t="s">
        <v>163</v>
      </c>
      <c r="G26" s="97" t="s">
        <v>9</v>
      </c>
      <c r="H26" s="71">
        <v>0</v>
      </c>
      <c r="I26" s="71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5">
        <v>9064</v>
      </c>
      <c r="F27" s="64" t="s">
        <v>165</v>
      </c>
      <c r="G27" s="97" t="s">
        <v>8</v>
      </c>
      <c r="H27" s="71">
        <v>0</v>
      </c>
      <c r="I27" s="71">
        <v>2600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9065</v>
      </c>
      <c r="F28" s="25" t="s">
        <v>165</v>
      </c>
      <c r="G28" s="46" t="s">
        <v>8</v>
      </c>
      <c r="H28" s="8">
        <v>0</v>
      </c>
      <c r="I28" s="8">
        <v>400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>
        <v>9072</v>
      </c>
      <c r="L35" s="41">
        <v>6</v>
      </c>
      <c r="M35" s="16">
        <v>1009.98</v>
      </c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12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A86F74FE-C589-48B3-8098-7D63287AC7AD}">
          <x14:formula1>
            <xm:f>base!$A$2:$A$5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base!$A$2:$A$8</xm:f>
          </x14:formula1>
          <xm:sqref>G6:G22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2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'04'!B1+1</f>
        <v>45417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85"/>
      <c r="F6" s="64"/>
      <c r="G6" s="97"/>
      <c r="H6" s="71"/>
      <c r="I6" s="71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127" t="s">
        <v>5</v>
      </c>
      <c r="C10" s="127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99" t="s">
        <v>6</v>
      </c>
      <c r="C11" s="98">
        <f>(SUMIF($G$2:$G$31,B11,$I$2:$I$31))+(SUMIF($G$35:$G$41,B11,$H$35:$H$41))</f>
        <v>0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IF(vend5[[#This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66"/>
      <c r="N15" s="16"/>
      <c r="R15" s="1">
        <f>IF(vend5[[#This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65"/>
      <c r="N16" s="16"/>
      <c r="R16" s="1">
        <f>IF(vend5[[#This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30">
        <f>COUNT(entr_carn5[OS])</f>
        <v>0</v>
      </c>
      <c r="C18" s="31">
        <f>SUM(entr_carn5[Valor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85"/>
      <c r="F36" s="64"/>
      <c r="G36" s="86"/>
      <c r="H36" s="71"/>
      <c r="I36" s="71"/>
      <c r="K36" s="25"/>
      <c r="L36" s="41"/>
      <c r="M36" s="16"/>
    </row>
    <row r="37" spans="5:18" ht="15.75" x14ac:dyDescent="0.25">
      <c r="E37" s="85"/>
      <c r="F37" s="64"/>
      <c r="G37" s="86"/>
      <c r="H37" s="71"/>
      <c r="I37" s="71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0B84582F-523D-44A4-9068-CEA44BF623CE}">
          <x14:formula1>
            <xm:f>base!$A$2:$A$8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base!$A$2:$A$5</xm:f>
          </x14:formula1>
          <xm:sqref>G26:G31 G35:G41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B16" zoomScale="80" zoomScaleNormal="80" workbookViewId="0">
      <selection activeCell="G27" sqref="G27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'05'!B1+1</f>
        <v>45418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700</v>
      </c>
      <c r="D6" s="2"/>
      <c r="E6" s="85">
        <v>9142</v>
      </c>
      <c r="F6" s="64" t="s">
        <v>166</v>
      </c>
      <c r="G6" s="86" t="s">
        <v>7</v>
      </c>
      <c r="H6" s="71">
        <v>300</v>
      </c>
      <c r="I6" s="71">
        <v>100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9143</v>
      </c>
      <c r="F7" s="25" t="s">
        <v>167</v>
      </c>
      <c r="G7" s="26" t="s">
        <v>38</v>
      </c>
      <c r="H7" s="8"/>
      <c r="I7" s="8"/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20</v>
      </c>
      <c r="C8" s="29">
        <f>SUM(C6:C7)</f>
        <v>700</v>
      </c>
      <c r="D8" s="2"/>
      <c r="E8" s="18">
        <v>9144</v>
      </c>
      <c r="F8" s="25" t="s">
        <v>168</v>
      </c>
      <c r="G8" s="26" t="s">
        <v>38</v>
      </c>
      <c r="H8" s="8"/>
      <c r="I8" s="8"/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9145</v>
      </c>
      <c r="F9" s="25" t="s">
        <v>169</v>
      </c>
      <c r="G9" s="26" t="s">
        <v>9</v>
      </c>
      <c r="H9" s="8">
        <v>570</v>
      </c>
      <c r="I9" s="8">
        <v>100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9146</v>
      </c>
      <c r="F10" s="59" t="s">
        <v>170</v>
      </c>
      <c r="G10" s="26" t="s">
        <v>7</v>
      </c>
      <c r="H10" s="8">
        <v>70</v>
      </c>
      <c r="I10" s="8">
        <v>30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206</v>
      </c>
      <c r="D11" s="2"/>
      <c r="E11" s="18">
        <v>9146</v>
      </c>
      <c r="F11" s="25" t="s">
        <v>170</v>
      </c>
      <c r="G11" s="26" t="s">
        <v>7</v>
      </c>
      <c r="H11" s="8"/>
      <c r="I11" s="8">
        <v>50</v>
      </c>
      <c r="J11" s="2"/>
      <c r="K11" s="27"/>
      <c r="L11" s="9"/>
      <c r="M11" s="16"/>
      <c r="O11" s="1">
        <f>IF(C15=0,0,1)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180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270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192.85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IF(vend[[#This Row],[Nº Venda]]&gt;1,1,0)</f>
        <v>0</v>
      </c>
    </row>
    <row r="15" spans="2:18" ht="15.75" x14ac:dyDescent="0.25">
      <c r="B15" s="28" t="s">
        <v>10</v>
      </c>
      <c r="C15" s="32">
        <f>SUM(C11:C14)</f>
        <v>848.85</v>
      </c>
      <c r="D15" s="2"/>
      <c r="E15" s="18"/>
      <c r="F15" s="25"/>
      <c r="G15" s="26"/>
      <c r="H15" s="8"/>
      <c r="I15" s="8"/>
      <c r="J15" s="2"/>
      <c r="K15" s="18">
        <v>8852</v>
      </c>
      <c r="L15" s="25" t="s">
        <v>147</v>
      </c>
      <c r="M15" s="16" t="s">
        <v>132</v>
      </c>
      <c r="R15" s="1">
        <f>IF(vend[[#This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9146</v>
      </c>
      <c r="L16" s="9" t="s">
        <v>146</v>
      </c>
      <c r="M16" s="16" t="s">
        <v>132</v>
      </c>
      <c r="R16" s="1">
        <f>IF(vend[[#This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>
        <v>9067</v>
      </c>
      <c r="L17" s="9" t="s">
        <v>147</v>
      </c>
      <c r="M17" s="16" t="s">
        <v>132</v>
      </c>
      <c r="R17" s="1">
        <f>IF(vend[[#This Row],[Nº Venda]]&gt;1,1,0)</f>
        <v>0</v>
      </c>
    </row>
    <row r="18" spans="2:18" ht="15.75" x14ac:dyDescent="0.25">
      <c r="B18" s="30">
        <f>COUNT(entr_carn6[OS])</f>
        <v>1</v>
      </c>
      <c r="C18" s="31">
        <f>SUM(entr_carn6[Valor Total])</f>
        <v>350</v>
      </c>
      <c r="D18" s="2"/>
      <c r="E18" s="18"/>
      <c r="F18" s="25"/>
      <c r="G18" s="26"/>
      <c r="H18" s="8"/>
      <c r="I18" s="8"/>
      <c r="J18" s="2"/>
      <c r="K18" s="25">
        <v>8914</v>
      </c>
      <c r="L18" s="9" t="s">
        <v>131</v>
      </c>
      <c r="M18" s="16" t="s">
        <v>132</v>
      </c>
      <c r="R18" s="1">
        <f>IF(vend[[#This Row],[Nº Venda]]&gt;1,1,0)</f>
        <v>0</v>
      </c>
    </row>
    <row r="19" spans="2:18" ht="15.75" x14ac:dyDescent="0.25">
      <c r="B19" s="28" t="s">
        <v>10</v>
      </c>
      <c r="C19" s="32">
        <f>SUM(C18:C18)</f>
        <v>350</v>
      </c>
      <c r="D19" s="2"/>
      <c r="E19" s="18"/>
      <c r="F19" s="25"/>
      <c r="G19" s="26"/>
      <c r="H19" s="8"/>
      <c r="I19" s="8"/>
      <c r="J19" s="2"/>
      <c r="K19" s="25">
        <v>9090</v>
      </c>
      <c r="L19" s="9" t="s">
        <v>147</v>
      </c>
      <c r="M19" s="16" t="s">
        <v>132</v>
      </c>
      <c r="R19" s="1">
        <f>IF(vend[[#This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9093</v>
      </c>
      <c r="L20" s="9" t="s">
        <v>147</v>
      </c>
      <c r="M20" s="16" t="s">
        <v>148</v>
      </c>
      <c r="R20" s="1">
        <f>IF(vend[[#This Row],[Nº Venda]]&gt;1,1,0)</f>
        <v>0</v>
      </c>
    </row>
    <row r="21" spans="2:18" ht="15.75" x14ac:dyDescent="0.25">
      <c r="B21" s="28" t="s">
        <v>25</v>
      </c>
      <c r="C21" s="32">
        <f>C5</f>
        <v>940</v>
      </c>
      <c r="D21" s="2"/>
      <c r="E21" s="18"/>
      <c r="F21" s="25"/>
      <c r="G21" s="26"/>
      <c r="H21" s="8"/>
      <c r="I21" s="8"/>
      <c r="J21" s="2"/>
      <c r="K21" s="25">
        <v>9066</v>
      </c>
      <c r="L21" s="9" t="s">
        <v>147</v>
      </c>
      <c r="M21" s="16" t="s">
        <v>132</v>
      </c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>
        <v>9081</v>
      </c>
      <c r="L22" s="9" t="s">
        <v>131</v>
      </c>
      <c r="M22" s="16" t="s">
        <v>132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85">
        <v>9090</v>
      </c>
      <c r="F26" s="64" t="s">
        <v>171</v>
      </c>
      <c r="G26" s="86" t="s">
        <v>8</v>
      </c>
      <c r="H26" s="71">
        <v>0</v>
      </c>
      <c r="I26" s="71">
        <v>270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85">
        <v>9093</v>
      </c>
      <c r="F27" s="64" t="s">
        <v>172</v>
      </c>
      <c r="G27" s="86" t="s">
        <v>6</v>
      </c>
      <c r="H27" s="71">
        <v>0</v>
      </c>
      <c r="I27" s="71">
        <v>150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85"/>
      <c r="F28" s="64"/>
      <c r="G28" s="86"/>
      <c r="H28" s="71"/>
      <c r="I28" s="71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8253</v>
      </c>
      <c r="F35" s="25" t="s">
        <v>173</v>
      </c>
      <c r="G35" s="26" t="s">
        <v>6</v>
      </c>
      <c r="H35" s="8">
        <v>56</v>
      </c>
      <c r="I35" s="8" t="s">
        <v>54</v>
      </c>
      <c r="K35" s="25">
        <v>9093</v>
      </c>
      <c r="L35" s="41">
        <v>6</v>
      </c>
      <c r="M35" s="16">
        <v>350</v>
      </c>
    </row>
    <row r="36" spans="5:18" ht="15.75" x14ac:dyDescent="0.25">
      <c r="E36" s="18">
        <v>8695</v>
      </c>
      <c r="F36" s="25" t="s">
        <v>174</v>
      </c>
      <c r="G36" s="26" t="s">
        <v>9</v>
      </c>
      <c r="H36" s="8">
        <v>92.85</v>
      </c>
      <c r="I36" s="8" t="s">
        <v>47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6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BC348BBC-F96F-469C-BB6E-1E38A0DB31CA}">
          <x14:formula1>
            <xm:f>base!$A$2:$A$5</xm:f>
          </x14:formula1>
          <xm:sqref>G35:G41 G26:G31</xm:sqref>
        </x14:dataValidation>
        <x14:dataValidation type="list" allowBlank="1" showInputMessage="1" showErrorMessage="1" xr:uid="{CE08D887-C590-40CC-8020-A1D540338CDB}">
          <x14:formula1>
            <xm:f>base!$A$2:$A$8</xm:f>
          </x14:formula1>
          <xm:sqref>G6:G22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topLeftCell="A16" zoomScale="80" zoomScaleNormal="8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83">
        <f>'06'!B1+1</f>
        <v>45419</v>
      </c>
    </row>
    <row r="2" spans="2:21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  <c r="U4" s="1">
        <v>0</v>
      </c>
    </row>
    <row r="5" spans="2:21" ht="15" x14ac:dyDescent="0.25">
      <c r="B5" s="23" t="s">
        <v>1</v>
      </c>
      <c r="C5" s="24">
        <f>SUMIF(I6:I31,"&gt;0",H6:H31)</f>
        <v>7390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6840</v>
      </c>
      <c r="D6" s="2"/>
      <c r="E6" s="18">
        <v>9147</v>
      </c>
      <c r="F6" s="81" t="s">
        <v>175</v>
      </c>
      <c r="G6" s="81" t="s">
        <v>8</v>
      </c>
      <c r="H6" s="82">
        <v>1100</v>
      </c>
      <c r="I6" s="82">
        <v>1100</v>
      </c>
      <c r="J6" s="2"/>
      <c r="K6" s="25"/>
      <c r="L6" s="9"/>
      <c r="M6" s="16"/>
      <c r="R6" s="1">
        <f>IF(vend7[[#This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18">
        <v>9148</v>
      </c>
      <c r="F7" s="48" t="s">
        <v>181</v>
      </c>
      <c r="G7" s="48" t="s">
        <v>9</v>
      </c>
      <c r="H7" s="47">
        <v>1890</v>
      </c>
      <c r="I7" s="47">
        <v>1890</v>
      </c>
      <c r="J7" s="2"/>
      <c r="K7" s="25"/>
      <c r="L7" s="9"/>
      <c r="M7" s="16"/>
      <c r="R7" s="1">
        <f>IF(vend7[[#This Row],[Nº Venda]]&gt;1,1,0)</f>
        <v>1</v>
      </c>
    </row>
    <row r="8" spans="2:21" ht="15.75" x14ac:dyDescent="0.25">
      <c r="B8" s="28" t="s">
        <v>20</v>
      </c>
      <c r="C8" s="29">
        <f>SUM(C6:C7)</f>
        <v>6840</v>
      </c>
      <c r="D8" s="2"/>
      <c r="E8" s="18">
        <v>9149</v>
      </c>
      <c r="F8" s="25" t="s">
        <v>181</v>
      </c>
      <c r="G8" s="26" t="s">
        <v>9</v>
      </c>
      <c r="H8" s="8">
        <v>630</v>
      </c>
      <c r="I8" s="8">
        <v>630</v>
      </c>
      <c r="J8" s="2"/>
      <c r="K8" s="25"/>
      <c r="L8" s="9"/>
      <c r="M8" s="16"/>
      <c r="R8" s="1">
        <f>IF(vend7[[#This Row],[Nº Venda]]&gt;1,1,0)</f>
        <v>1</v>
      </c>
    </row>
    <row r="9" spans="2:21" ht="15.75" x14ac:dyDescent="0.25">
      <c r="B9" s="2"/>
      <c r="C9" s="2"/>
      <c r="D9" s="2"/>
      <c r="E9" s="18">
        <v>9150</v>
      </c>
      <c r="F9" s="25" t="s">
        <v>176</v>
      </c>
      <c r="G9" s="26" t="s">
        <v>6</v>
      </c>
      <c r="H9" s="8">
        <v>800</v>
      </c>
      <c r="I9" s="8">
        <v>150</v>
      </c>
      <c r="J9" s="2"/>
      <c r="K9" s="25"/>
      <c r="L9" s="9"/>
      <c r="M9" s="16"/>
      <c r="R9" s="1">
        <f>IF(vend7[[#This Row],[Nº Venda]]&gt;1,1,0)</f>
        <v>1</v>
      </c>
    </row>
    <row r="10" spans="2:21" ht="15.75" x14ac:dyDescent="0.25">
      <c r="B10" s="127" t="s">
        <v>5</v>
      </c>
      <c r="C10" s="127"/>
      <c r="D10" s="2"/>
      <c r="E10" s="18">
        <v>9151</v>
      </c>
      <c r="F10" s="25" t="s">
        <v>176</v>
      </c>
      <c r="G10" s="26" t="s">
        <v>8</v>
      </c>
      <c r="H10" s="8">
        <v>180</v>
      </c>
      <c r="I10" s="8">
        <v>100</v>
      </c>
      <c r="J10" s="2"/>
      <c r="K10" s="25"/>
      <c r="L10" s="9"/>
      <c r="M10" s="16"/>
      <c r="R10" s="1">
        <f>IF(vend7[[#This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241</v>
      </c>
      <c r="D11" s="2"/>
      <c r="E11" s="18">
        <v>9151</v>
      </c>
      <c r="F11" s="25" t="s">
        <v>176</v>
      </c>
      <c r="G11" s="26" t="s">
        <v>8</v>
      </c>
      <c r="H11" s="8"/>
      <c r="I11" s="8">
        <v>80</v>
      </c>
      <c r="J11" s="2"/>
      <c r="K11" s="27"/>
      <c r="L11" s="9"/>
      <c r="M11" s="16"/>
      <c r="O11" s="1">
        <f>IF(C15=0,0,1)</f>
        <v>1</v>
      </c>
      <c r="R11" s="1">
        <f>IF(vend7[[#This Row],[Nº Venda]]&gt;1,1,0)</f>
        <v>1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2000</v>
      </c>
      <c r="D12" s="2"/>
      <c r="E12" s="18">
        <v>9152</v>
      </c>
      <c r="F12" s="25" t="s">
        <v>180</v>
      </c>
      <c r="G12" s="26" t="s">
        <v>7</v>
      </c>
      <c r="H12" s="8">
        <v>2790</v>
      </c>
      <c r="I12" s="8">
        <v>2000</v>
      </c>
      <c r="J12" s="2"/>
      <c r="R12" s="1">
        <f>IF(vend7[[#This Row],[Nº Venda]]&gt;1,1,0)</f>
        <v>1</v>
      </c>
    </row>
    <row r="13" spans="2:21" ht="15.75" x14ac:dyDescent="0.25">
      <c r="B13" s="30" t="s">
        <v>8</v>
      </c>
      <c r="C13" s="31">
        <f t="shared" si="0"/>
        <v>2070</v>
      </c>
      <c r="D13" s="2"/>
      <c r="E13" s="18">
        <v>9152</v>
      </c>
      <c r="F13" s="25" t="s">
        <v>180</v>
      </c>
      <c r="G13" s="26" t="s">
        <v>8</v>
      </c>
      <c r="H13" s="8"/>
      <c r="I13" s="8">
        <v>790</v>
      </c>
      <c r="J13" s="2"/>
      <c r="K13" s="129" t="s">
        <v>21</v>
      </c>
      <c r="L13" s="130"/>
      <c r="M13" s="131"/>
      <c r="R13" s="1">
        <f>IF(vend7[[#This Row],[Nº Venda]]&gt;1,1,0)</f>
        <v>1</v>
      </c>
    </row>
    <row r="14" spans="2:21" ht="15.75" x14ac:dyDescent="0.25">
      <c r="B14" s="30" t="s">
        <v>9</v>
      </c>
      <c r="C14" s="31">
        <f t="shared" si="0"/>
        <v>2688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IF(vend7[[#This Row],[Nº Venda]]&gt;1,1,0)</f>
        <v>0</v>
      </c>
    </row>
    <row r="15" spans="2:21" ht="15.75" x14ac:dyDescent="0.25">
      <c r="B15" s="28" t="s">
        <v>10</v>
      </c>
      <c r="C15" s="32">
        <f>SUM(C11:C14)</f>
        <v>6999</v>
      </c>
      <c r="D15" s="2"/>
      <c r="E15" s="18"/>
      <c r="F15" s="25"/>
      <c r="G15" s="26"/>
      <c r="H15" s="8"/>
      <c r="I15" s="8"/>
      <c r="J15" s="2"/>
      <c r="K15" s="49">
        <v>9102</v>
      </c>
      <c r="L15" s="50" t="s">
        <v>147</v>
      </c>
      <c r="M15" s="51" t="s">
        <v>148</v>
      </c>
      <c r="R15" s="1">
        <f>IF(vend7[[#This Row],[Nº Venda]]&gt;1,1,0)</f>
        <v>0</v>
      </c>
    </row>
    <row r="16" spans="2:21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45">
        <v>9151</v>
      </c>
      <c r="L16" s="9" t="s">
        <v>146</v>
      </c>
      <c r="M16" s="16" t="s">
        <v>132</v>
      </c>
      <c r="R16" s="1">
        <f>IF(vend7[[#This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45">
        <v>9069</v>
      </c>
      <c r="L17" s="9" t="s">
        <v>146</v>
      </c>
      <c r="M17" s="16" t="s">
        <v>132</v>
      </c>
      <c r="R17" s="1">
        <f>IF(vend7[[#This Row],[Nº Venda]]&gt;1,1,0)</f>
        <v>0</v>
      </c>
    </row>
    <row r="18" spans="2:18" ht="15.75" x14ac:dyDescent="0.25">
      <c r="B18" s="30">
        <f>COUNT(entr_carn7[OS])</f>
        <v>1</v>
      </c>
      <c r="C18" s="31">
        <f>SUM(entr_carn7[Valor Total])</f>
        <v>300</v>
      </c>
      <c r="D18" s="2"/>
      <c r="E18" s="18"/>
      <c r="F18" s="25"/>
      <c r="G18" s="26"/>
      <c r="H18" s="8"/>
      <c r="I18" s="8"/>
      <c r="J18" s="2"/>
      <c r="K18" s="45">
        <v>9066</v>
      </c>
      <c r="L18" s="9" t="s">
        <v>146</v>
      </c>
      <c r="M18" s="16" t="s">
        <v>132</v>
      </c>
      <c r="R18" s="1">
        <f>IF(vend7[[#This Row],[Nº Venda]]&gt;1,1,0)</f>
        <v>0</v>
      </c>
    </row>
    <row r="19" spans="2:18" ht="15.75" x14ac:dyDescent="0.25">
      <c r="B19" s="28" t="s">
        <v>10</v>
      </c>
      <c r="C19" s="32">
        <f>SUM(C18:C18)</f>
        <v>300</v>
      </c>
      <c r="D19" s="2"/>
      <c r="E19" s="18"/>
      <c r="F19" s="25"/>
      <c r="G19" s="26"/>
      <c r="H19" s="8"/>
      <c r="I19" s="8"/>
      <c r="J19" s="2"/>
      <c r="K19" s="45">
        <v>8941</v>
      </c>
      <c r="L19" s="9" t="s">
        <v>147</v>
      </c>
      <c r="M19" s="16" t="s">
        <v>132</v>
      </c>
      <c r="R19" s="1">
        <f>IF(vend7[[#This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8" t="s">
        <v>25</v>
      </c>
      <c r="C21" s="32">
        <f>C5</f>
        <v>7390</v>
      </c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2">
        <v>9102</v>
      </c>
      <c r="F26" s="63" t="s">
        <v>177</v>
      </c>
      <c r="G26" s="73" t="s">
        <v>9</v>
      </c>
      <c r="H26" s="74">
        <v>0</v>
      </c>
      <c r="I26" s="74">
        <v>100</v>
      </c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8850</v>
      </c>
      <c r="F35" s="25" t="s">
        <v>178</v>
      </c>
      <c r="G35" s="26" t="s">
        <v>6</v>
      </c>
      <c r="H35" s="8">
        <v>91</v>
      </c>
      <c r="I35" s="8" t="s">
        <v>65</v>
      </c>
      <c r="K35" s="25">
        <v>9102</v>
      </c>
      <c r="L35" s="41">
        <v>5</v>
      </c>
      <c r="M35" s="16">
        <v>300</v>
      </c>
    </row>
    <row r="36" spans="5:18" ht="15.75" x14ac:dyDescent="0.25">
      <c r="E36" s="18">
        <v>8156</v>
      </c>
      <c r="F36" s="25" t="s">
        <v>179</v>
      </c>
      <c r="G36" s="26" t="s">
        <v>9</v>
      </c>
      <c r="H36" s="8">
        <v>68</v>
      </c>
      <c r="I36" s="8" t="s">
        <v>41</v>
      </c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8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7:C17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00000000-0002-0000-0300-000000000000}">
          <x14:formula1>
            <xm:f>base!$A$2:$A$8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base!$A$2:$A$5</xm:f>
          </x14:formula1>
          <xm:sqref>G26:G31 G35:G41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topLeftCell="A31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'07'!B1+1</f>
        <v>45420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SUMIF(I6:I34,"&gt;0",H6:H34)</f>
        <v>5129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SUM(I6:I44)</f>
        <v>5760</v>
      </c>
      <c r="D6" s="2"/>
      <c r="E6" s="84">
        <v>9153</v>
      </c>
      <c r="F6" s="8" t="s">
        <v>182</v>
      </c>
      <c r="G6" s="8" t="s">
        <v>8</v>
      </c>
      <c r="H6" s="8">
        <v>693</v>
      </c>
      <c r="I6" s="8">
        <v>693</v>
      </c>
      <c r="J6" s="2"/>
      <c r="K6" s="25"/>
      <c r="L6" s="9"/>
      <c r="M6" s="16"/>
      <c r="R6" s="1">
        <f>IF(vend8[[#This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9154</v>
      </c>
      <c r="F7" s="8" t="s">
        <v>182</v>
      </c>
      <c r="G7" s="8" t="s">
        <v>8</v>
      </c>
      <c r="H7" s="8">
        <v>397</v>
      </c>
      <c r="I7" s="8">
        <v>397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20</v>
      </c>
      <c r="C8" s="29">
        <f>SUM(C6:C7)</f>
        <v>5760</v>
      </c>
      <c r="D8" s="2"/>
      <c r="E8" s="84">
        <v>9155</v>
      </c>
      <c r="F8" s="8" t="s">
        <v>183</v>
      </c>
      <c r="G8" s="8" t="s">
        <v>38</v>
      </c>
      <c r="H8" s="8"/>
      <c r="I8" s="8"/>
      <c r="J8" s="2"/>
      <c r="K8" s="25"/>
      <c r="L8" s="9"/>
      <c r="M8" s="16"/>
      <c r="R8" s="1">
        <f>IF(vend8[[#This Row],[Nº Venda]]&gt;1,1,0)</f>
        <v>1</v>
      </c>
    </row>
    <row r="9" spans="2:18" ht="15.75" x14ac:dyDescent="0.25">
      <c r="B9" s="2"/>
      <c r="C9" s="2"/>
      <c r="D9" s="2"/>
      <c r="E9" s="84">
        <v>9156</v>
      </c>
      <c r="F9" s="8" t="s">
        <v>184</v>
      </c>
      <c r="G9" s="8" t="s">
        <v>6</v>
      </c>
      <c r="H9" s="8">
        <v>499</v>
      </c>
      <c r="I9" s="8">
        <v>100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9157</v>
      </c>
      <c r="F10" s="25" t="s">
        <v>185</v>
      </c>
      <c r="G10" s="26" t="s">
        <v>9</v>
      </c>
      <c r="H10" s="8">
        <v>1280</v>
      </c>
      <c r="I10" s="8">
        <v>1280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80">
        <f>(SUMIF($G$2:$G$34,B11,$I$2:$I$34))+(SUMIF($G$38:$G$45,B11,$H$38:$H$45))</f>
        <v>640</v>
      </c>
      <c r="D11" s="2"/>
      <c r="E11" s="18">
        <v>9158</v>
      </c>
      <c r="F11" s="25" t="s">
        <v>186</v>
      </c>
      <c r="G11" s="26" t="s">
        <v>6</v>
      </c>
      <c r="H11" s="8">
        <v>500</v>
      </c>
      <c r="I11" s="8">
        <v>20</v>
      </c>
      <c r="J11" s="2"/>
      <c r="K11" s="27"/>
      <c r="L11" s="9"/>
      <c r="M11" s="16"/>
      <c r="O11" s="1">
        <f>IF(C15=0,0,1)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80">
        <f>(SUMIF($G$2:$G$34,B12,$I$2:$I$34))+(SUMIF($G$38:$G$45,B12,$H$38:$H$45))</f>
        <v>2690</v>
      </c>
      <c r="D12" s="2"/>
      <c r="E12" s="18">
        <v>9159</v>
      </c>
      <c r="F12" s="25" t="s">
        <v>192</v>
      </c>
      <c r="G12" s="26" t="s">
        <v>7</v>
      </c>
      <c r="H12" s="8">
        <v>1590</v>
      </c>
      <c r="I12" s="8">
        <v>800</v>
      </c>
      <c r="J12" s="2"/>
      <c r="R12" s="1">
        <f>IF(vend8[[#This Row],[Nº Venda]]&gt;1,1,0)</f>
        <v>1</v>
      </c>
    </row>
    <row r="13" spans="2:18" ht="15.75" x14ac:dyDescent="0.25">
      <c r="B13" s="30" t="s">
        <v>8</v>
      </c>
      <c r="C13" s="80">
        <f>(SUMIF($G$2:$G$34,B13,$I$2:$I$34))+(SUMIF($G$38:$G$45,B13,$H$38:$H$45))</f>
        <v>1090</v>
      </c>
      <c r="D13" s="2"/>
      <c r="E13" s="18">
        <v>9160</v>
      </c>
      <c r="F13" s="25" t="s">
        <v>192</v>
      </c>
      <c r="G13" s="26" t="s">
        <v>7</v>
      </c>
      <c r="H13" s="8">
        <v>150</v>
      </c>
      <c r="I13" s="8">
        <v>150</v>
      </c>
      <c r="J13" s="2"/>
      <c r="K13" s="129" t="s">
        <v>21</v>
      </c>
      <c r="L13" s="130"/>
      <c r="M13" s="131"/>
      <c r="R13" s="1">
        <f>IF(vend8[[#This Row],[Nº Venda]]&gt;1,1,0)</f>
        <v>1</v>
      </c>
    </row>
    <row r="14" spans="2:18" ht="15.75" x14ac:dyDescent="0.25">
      <c r="B14" s="30" t="s">
        <v>9</v>
      </c>
      <c r="C14" s="80">
        <f>(SUMIF($G$2:$G$34,B14,$I$2:$I$34))+(SUMIF($G$38:$G$45,B14,$H$38:$H$45))</f>
        <v>1920</v>
      </c>
      <c r="D14" s="2"/>
      <c r="E14" s="18">
        <v>9161</v>
      </c>
      <c r="F14" s="25" t="s">
        <v>188</v>
      </c>
      <c r="G14" s="26" t="s">
        <v>7</v>
      </c>
      <c r="H14" s="8">
        <v>20</v>
      </c>
      <c r="I14" s="8">
        <v>20</v>
      </c>
      <c r="J14" s="2"/>
      <c r="K14" s="14" t="s">
        <v>22</v>
      </c>
      <c r="L14" s="6" t="s">
        <v>23</v>
      </c>
      <c r="M14" s="15" t="s">
        <v>24</v>
      </c>
      <c r="R14" s="1">
        <f>IF(vend8[[#This Row],[Nº Venda]]&gt;1,1,0)</f>
        <v>1</v>
      </c>
    </row>
    <row r="15" spans="2:18" ht="15.75" x14ac:dyDescent="0.25">
      <c r="B15" s="28" t="s">
        <v>10</v>
      </c>
      <c r="C15" s="32">
        <f>SUM(C11:C14)</f>
        <v>6340</v>
      </c>
      <c r="D15" s="2"/>
      <c r="E15" s="18"/>
      <c r="F15" s="25"/>
      <c r="G15" s="26"/>
      <c r="H15" s="8"/>
      <c r="I15" s="8"/>
      <c r="J15" s="2"/>
      <c r="K15" s="25">
        <v>9033</v>
      </c>
      <c r="L15" s="9" t="s">
        <v>146</v>
      </c>
      <c r="M15" s="16" t="s">
        <v>132</v>
      </c>
      <c r="R15" s="1">
        <f>IF(vend8[[#This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64">
        <v>8586</v>
      </c>
      <c r="L16" s="69" t="s">
        <v>131</v>
      </c>
      <c r="M16" s="70" t="s">
        <v>132</v>
      </c>
      <c r="R16" s="1">
        <f>IF(vend8[[#This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>
        <v>9103</v>
      </c>
      <c r="L17" s="9" t="s">
        <v>147</v>
      </c>
      <c r="M17" s="16" t="s">
        <v>132</v>
      </c>
      <c r="R17" s="1">
        <f>IF(vend8[[#This Row],[Nº Venda]]&gt;1,1,0)</f>
        <v>0</v>
      </c>
    </row>
    <row r="18" spans="2:18" ht="15.75" x14ac:dyDescent="0.25">
      <c r="B18" s="30">
        <f>COUNT(entr_carn8[OS])</f>
        <v>0</v>
      </c>
      <c r="C18" s="31">
        <f>SUM(entr_carn8[Valor Total])</f>
        <v>0</v>
      </c>
      <c r="D18" s="2"/>
      <c r="E18" s="18"/>
      <c r="F18" s="25"/>
      <c r="G18" s="26"/>
      <c r="H18" s="8"/>
      <c r="I18" s="8"/>
      <c r="J18" s="2"/>
      <c r="K18" s="25">
        <v>9061</v>
      </c>
      <c r="L18" s="9" t="s">
        <v>146</v>
      </c>
      <c r="M18" s="16" t="s">
        <v>132</v>
      </c>
      <c r="R18" s="1">
        <f>IF(vend8[[#This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>
        <v>9060</v>
      </c>
      <c r="L19" s="9" t="s">
        <v>146</v>
      </c>
      <c r="M19" s="16" t="s">
        <v>132</v>
      </c>
      <c r="R19" s="1">
        <f>IF(vend8[[#This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>
        <v>9160</v>
      </c>
      <c r="L20" s="9" t="s">
        <v>131</v>
      </c>
      <c r="M20" s="16" t="s">
        <v>132</v>
      </c>
      <c r="R20" s="1">
        <f>IF(vend8[[#This Row],[Nº Venda]]&gt;1,1,0)</f>
        <v>0</v>
      </c>
    </row>
    <row r="21" spans="2:18" ht="15.75" x14ac:dyDescent="0.25">
      <c r="B21" s="28" t="s">
        <v>25</v>
      </c>
      <c r="C21" s="32">
        <f>C5</f>
        <v>5129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2">
        <v>9061</v>
      </c>
      <c r="F26" s="100" t="s">
        <v>187</v>
      </c>
      <c r="G26" s="101" t="s">
        <v>7</v>
      </c>
      <c r="H26" s="74">
        <v>0</v>
      </c>
      <c r="I26" s="74">
        <v>225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9060</v>
      </c>
      <c r="F27" s="25" t="s">
        <v>187</v>
      </c>
      <c r="G27" s="46" t="s">
        <v>7</v>
      </c>
      <c r="H27" s="8">
        <v>0</v>
      </c>
      <c r="I27" s="8">
        <v>225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9059</v>
      </c>
      <c r="F28" s="25" t="s">
        <v>187</v>
      </c>
      <c r="G28" s="46" t="s">
        <v>7</v>
      </c>
      <c r="H28" s="8">
        <v>0</v>
      </c>
      <c r="I28" s="8">
        <v>809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9059</v>
      </c>
      <c r="F29" s="25" t="s">
        <v>187</v>
      </c>
      <c r="G29" s="46" t="s">
        <v>7</v>
      </c>
      <c r="H29" s="8">
        <v>0</v>
      </c>
      <c r="I29" s="8">
        <v>141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8586</v>
      </c>
      <c r="F30" s="25" t="s">
        <v>188</v>
      </c>
      <c r="G30" s="26" t="s">
        <v>7</v>
      </c>
      <c r="H30" s="8">
        <v>0</v>
      </c>
      <c r="I30" s="8">
        <v>200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>
        <v>9033</v>
      </c>
      <c r="F31" s="36" t="s">
        <v>189</v>
      </c>
      <c r="G31" s="121" t="s">
        <v>6</v>
      </c>
      <c r="H31" s="122">
        <v>0</v>
      </c>
      <c r="I31" s="122">
        <v>160</v>
      </c>
      <c r="J31" s="2"/>
      <c r="K31" s="25"/>
      <c r="L31" s="9"/>
      <c r="M31" s="16"/>
    </row>
    <row r="32" spans="2:18" ht="15.75" x14ac:dyDescent="0.25">
      <c r="B32" s="2"/>
      <c r="C32" s="2"/>
      <c r="E32" s="119">
        <v>9033</v>
      </c>
      <c r="F32" s="120" t="s">
        <v>189</v>
      </c>
      <c r="G32" s="121" t="s">
        <v>9</v>
      </c>
      <c r="H32" s="122">
        <v>0</v>
      </c>
      <c r="I32" s="122">
        <v>540</v>
      </c>
    </row>
    <row r="33" spans="5:18" ht="15.75" x14ac:dyDescent="0.25">
      <c r="E33" s="119"/>
      <c r="F33" s="120"/>
      <c r="G33" s="121"/>
      <c r="H33" s="122"/>
      <c r="I33" s="122"/>
      <c r="K33" s="129" t="s">
        <v>11</v>
      </c>
      <c r="L33" s="130"/>
      <c r="M33" s="131"/>
    </row>
    <row r="34" spans="5:18" ht="15.75" x14ac:dyDescent="0.25">
      <c r="E34" s="123"/>
      <c r="F34" s="124"/>
      <c r="G34" s="37"/>
      <c r="H34" s="17"/>
      <c r="I34" s="17"/>
      <c r="K34" s="14" t="s">
        <v>22</v>
      </c>
      <c r="L34" s="6" t="s">
        <v>30</v>
      </c>
      <c r="M34" s="15" t="s">
        <v>31</v>
      </c>
    </row>
    <row r="35" spans="5:18" ht="15" x14ac:dyDescent="0.25">
      <c r="E35" s="33"/>
      <c r="K35" s="25"/>
      <c r="L35" s="41"/>
      <c r="M35" s="16"/>
    </row>
    <row r="36" spans="5:18" ht="15" x14ac:dyDescent="0.25">
      <c r="E36" s="128" t="s">
        <v>27</v>
      </c>
      <c r="F36" s="128"/>
      <c r="G36" s="128"/>
      <c r="H36" s="128"/>
      <c r="I36" s="128"/>
      <c r="K36" s="25"/>
      <c r="L36" s="41"/>
      <c r="M36" s="16"/>
    </row>
    <row r="37" spans="5:18" ht="15" x14ac:dyDescent="0.25">
      <c r="E37" s="10" t="s">
        <v>22</v>
      </c>
      <c r="F37" s="10" t="s">
        <v>14</v>
      </c>
      <c r="G37" s="11" t="s">
        <v>15</v>
      </c>
      <c r="H37" s="12" t="s">
        <v>28</v>
      </c>
      <c r="I37" s="13" t="s">
        <v>29</v>
      </c>
      <c r="K37" s="25"/>
      <c r="L37" s="41"/>
      <c r="M37" s="16"/>
    </row>
    <row r="38" spans="5:18" ht="15.75" x14ac:dyDescent="0.25">
      <c r="E38" s="18">
        <v>8370</v>
      </c>
      <c r="F38" s="25" t="s">
        <v>190</v>
      </c>
      <c r="G38" s="26" t="s">
        <v>7</v>
      </c>
      <c r="H38" s="8">
        <v>120</v>
      </c>
      <c r="I38" s="8" t="s">
        <v>76</v>
      </c>
      <c r="K38" s="25"/>
      <c r="L38" s="41"/>
      <c r="M38" s="16"/>
    </row>
    <row r="39" spans="5:18" ht="15.75" x14ac:dyDescent="0.25">
      <c r="E39" s="18">
        <v>8260</v>
      </c>
      <c r="F39" s="25" t="s">
        <v>191</v>
      </c>
      <c r="G39" s="26" t="s">
        <v>6</v>
      </c>
      <c r="H39" s="8">
        <v>100</v>
      </c>
      <c r="I39" s="8" t="s">
        <v>58</v>
      </c>
      <c r="K39" s="25"/>
      <c r="L39" s="41"/>
      <c r="M39" s="16"/>
    </row>
    <row r="40" spans="5:18" ht="15.75" x14ac:dyDescent="0.25">
      <c r="E40" s="18">
        <v>8222</v>
      </c>
      <c r="F40" s="93" t="s">
        <v>184</v>
      </c>
      <c r="G40" s="26" t="s">
        <v>6</v>
      </c>
      <c r="H40" s="8">
        <v>130</v>
      </c>
      <c r="I40" s="8" t="s">
        <v>65</v>
      </c>
      <c r="K40" s="36"/>
      <c r="L40" s="42"/>
      <c r="M40" s="40"/>
      <c r="Q40" s="1" t="s">
        <v>35</v>
      </c>
      <c r="R40" s="1">
        <f>SUM(R6:R21)</f>
        <v>9</v>
      </c>
    </row>
    <row r="41" spans="5:18" ht="15.75" x14ac:dyDescent="0.25">
      <c r="E41" s="18">
        <v>8222</v>
      </c>
      <c r="F41" s="25" t="s">
        <v>184</v>
      </c>
      <c r="G41" s="26" t="s">
        <v>6</v>
      </c>
      <c r="H41" s="8">
        <v>130</v>
      </c>
      <c r="I41" s="8" t="s">
        <v>67</v>
      </c>
      <c r="K41" s="44"/>
      <c r="L41" s="41"/>
      <c r="M41" s="40"/>
    </row>
    <row r="42" spans="5:18" ht="15.75" x14ac:dyDescent="0.25">
      <c r="E42" s="18">
        <v>7954</v>
      </c>
      <c r="F42" s="39" t="s">
        <v>193</v>
      </c>
      <c r="G42" s="26" t="s">
        <v>9</v>
      </c>
      <c r="H42" s="8">
        <v>100</v>
      </c>
      <c r="I42" s="8" t="s">
        <v>34</v>
      </c>
    </row>
    <row r="43" spans="5:18" ht="15.75" x14ac:dyDescent="0.25">
      <c r="E43" s="35"/>
      <c r="F43" s="36"/>
      <c r="G43" s="37"/>
      <c r="H43" s="17"/>
      <c r="I43" s="8"/>
    </row>
    <row r="44" spans="5:18" ht="15.75" x14ac:dyDescent="0.25">
      <c r="E44" s="35"/>
      <c r="F44" s="39"/>
      <c r="G44" s="26"/>
      <c r="H44" s="8"/>
      <c r="I44" s="8"/>
    </row>
    <row r="45" spans="5:18" ht="15.75" x14ac:dyDescent="0.25">
      <c r="E45" s="35"/>
      <c r="F45" s="77"/>
      <c r="G45" s="78"/>
      <c r="H45" s="79"/>
      <c r="I45" s="17"/>
    </row>
  </sheetData>
  <mergeCells count="9">
    <mergeCell ref="E24:I24"/>
    <mergeCell ref="E36:I36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3D5943B-C733-4E59-92F6-7382BCD9A03B}">
          <x14:formula1>
            <xm:f>base!$E$2:$E$79</xm:f>
          </x14:formula1>
          <xm:sqref>I38:I45</xm:sqref>
        </x14:dataValidation>
        <x14:dataValidation type="list" allowBlank="1" showInputMessage="1" showErrorMessage="1" xr:uid="{6DEDD930-861F-47CC-BD5B-46BF4A7AEB54}">
          <x14:formula1>
            <xm:f>base!$A$2:$A$5</xm:f>
          </x14:formula1>
          <xm:sqref>G38:G45 G26:G34</xm:sqref>
        </x14:dataValidation>
        <x14:dataValidation type="list" allowBlank="1" showInputMessage="1" showErrorMessage="1" xr:uid="{E78E1FEE-B5EA-4CBB-B060-8AE6DE0B6C31}">
          <x14:formula1>
            <xm:f>base!$A$2:$A$8</xm:f>
          </x14:formula1>
          <xm:sqref>G6:G22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topLeftCell="A19" zoomScale="80" zoomScaleNormal="80" workbookViewId="0">
      <selection activeCell="E39" sqref="E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58">
        <f>'08'!B1+1</f>
        <v>45421</v>
      </c>
    </row>
    <row r="2" spans="2:22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22" ht="15" x14ac:dyDescent="0.25">
      <c r="B5" s="23" t="s">
        <v>1</v>
      </c>
      <c r="C5" s="24">
        <f>SUMIF(I6:I31,"&gt;0",H6:H31)</f>
        <v>820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2" ht="15.75" x14ac:dyDescent="0.25">
      <c r="B6" s="23" t="s">
        <v>2</v>
      </c>
      <c r="C6" s="24">
        <f>SUM(I6:I41)</f>
        <v>1139.9000000000001</v>
      </c>
      <c r="D6" s="2"/>
      <c r="E6" s="18">
        <v>9162</v>
      </c>
      <c r="F6" s="25" t="s">
        <v>194</v>
      </c>
      <c r="G6" s="46" t="s">
        <v>6</v>
      </c>
      <c r="H6" s="8">
        <v>40</v>
      </c>
      <c r="I6" s="8">
        <v>40</v>
      </c>
      <c r="J6" s="2"/>
      <c r="K6" s="25"/>
      <c r="L6" s="9"/>
      <c r="M6" s="16"/>
      <c r="R6" s="1">
        <f>IF(vend9[[#This Row],[Nº Venda]]&gt;1,1,0)</f>
        <v>1</v>
      </c>
    </row>
    <row r="7" spans="2:22" ht="15.75" x14ac:dyDescent="0.25">
      <c r="B7" s="23" t="s">
        <v>3</v>
      </c>
      <c r="C7" s="24">
        <f>SUM(M6:M11)</f>
        <v>0</v>
      </c>
      <c r="D7" s="2"/>
      <c r="E7" s="18">
        <v>9163</v>
      </c>
      <c r="F7" s="25" t="s">
        <v>194</v>
      </c>
      <c r="G7" s="46" t="s">
        <v>6</v>
      </c>
      <c r="H7" s="8">
        <v>40</v>
      </c>
      <c r="I7" s="8">
        <v>40</v>
      </c>
      <c r="J7" s="2"/>
      <c r="K7" s="25"/>
      <c r="L7" s="9"/>
      <c r="M7" s="16"/>
      <c r="R7" s="1">
        <f>IF(vend9[[#This Row],[Nº Venda]]&gt;1,1,0)</f>
        <v>1</v>
      </c>
    </row>
    <row r="8" spans="2:22" ht="15.75" x14ac:dyDescent="0.25">
      <c r="B8" s="28" t="s">
        <v>20</v>
      </c>
      <c r="C8" s="29">
        <f>SUM(C6:C7)</f>
        <v>1139.9000000000001</v>
      </c>
      <c r="D8" s="2"/>
      <c r="E8" s="18">
        <v>9164</v>
      </c>
      <c r="F8" s="25" t="s">
        <v>195</v>
      </c>
      <c r="G8" s="26" t="s">
        <v>8</v>
      </c>
      <c r="H8" s="8">
        <v>700</v>
      </c>
      <c r="I8" s="8">
        <v>700</v>
      </c>
      <c r="J8" s="2"/>
      <c r="K8" s="25"/>
      <c r="L8" s="9"/>
      <c r="M8" s="16"/>
      <c r="R8" s="1">
        <f>IF(vend9[[#This Row],[Nº Venda]]&gt;1,1,0)</f>
        <v>1</v>
      </c>
    </row>
    <row r="9" spans="2:22" ht="15.75" x14ac:dyDescent="0.25">
      <c r="B9" s="2"/>
      <c r="C9" s="2"/>
      <c r="D9" s="2"/>
      <c r="E9" s="18">
        <v>9165</v>
      </c>
      <c r="F9" s="25" t="s">
        <v>194</v>
      </c>
      <c r="G9" s="26" t="s">
        <v>6</v>
      </c>
      <c r="H9" s="8">
        <v>40</v>
      </c>
      <c r="I9" s="8">
        <v>40</v>
      </c>
      <c r="J9" s="2"/>
      <c r="K9" s="25"/>
      <c r="L9" s="9"/>
      <c r="M9" s="16"/>
      <c r="R9" s="1">
        <f>IF(vend9[[#This Row],[Nº Venda]]&gt;1,1,0)</f>
        <v>1</v>
      </c>
    </row>
    <row r="10" spans="2:22" ht="15.75" x14ac:dyDescent="0.25">
      <c r="B10" s="127" t="s">
        <v>5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876.37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IF(vend9[[#This Row],[Nº Venda]]&gt;1,1,0)</f>
        <v>0</v>
      </c>
    </row>
    <row r="12" spans="2:22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30" t="s">
        <v>8</v>
      </c>
      <c r="C13" s="31">
        <f t="shared" si="0"/>
        <v>769.9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IF(vend9[[#This Row],[Nº Venda]]&gt;1,1,0)</f>
        <v>0</v>
      </c>
    </row>
    <row r="14" spans="2:22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IF(vend9[[#This Row],[Nº Venda]]&gt;1,1,0)</f>
        <v>0</v>
      </c>
    </row>
    <row r="15" spans="2:22" ht="15.75" x14ac:dyDescent="0.25">
      <c r="B15" s="28" t="s">
        <v>10</v>
      </c>
      <c r="C15" s="32">
        <f>SUM(C11:C14)</f>
        <v>1646.27</v>
      </c>
      <c r="D15" s="2"/>
      <c r="E15" s="18"/>
      <c r="F15" s="25"/>
      <c r="G15" s="26"/>
      <c r="H15" s="8"/>
      <c r="I15" s="8"/>
      <c r="J15" s="2"/>
      <c r="K15" s="25">
        <v>9161</v>
      </c>
      <c r="L15" s="9" t="s">
        <v>146</v>
      </c>
      <c r="M15" s="16" t="s">
        <v>132</v>
      </c>
      <c r="R15" s="1">
        <f>IF(vend9[[#This Row],[Nº Venda]]&gt;1,1,0)</f>
        <v>0</v>
      </c>
    </row>
    <row r="16" spans="2:22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>
        <v>9063</v>
      </c>
      <c r="L16" s="9" t="s">
        <v>131</v>
      </c>
      <c r="M16" s="16" t="s">
        <v>132</v>
      </c>
      <c r="R16" s="1">
        <f>IF(vend9[[#This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>
        <v>9101</v>
      </c>
      <c r="L17" s="9" t="s">
        <v>146</v>
      </c>
      <c r="M17" s="16" t="s">
        <v>132</v>
      </c>
      <c r="R17" s="1">
        <f>IF(vend9[[#This Row],[Nº Venda]]&gt;1,1,0)</f>
        <v>0</v>
      </c>
    </row>
    <row r="18" spans="2:18" ht="15.75" x14ac:dyDescent="0.25">
      <c r="B18" s="30">
        <f>COUNT(entr_carn9[OS])</f>
        <v>0</v>
      </c>
      <c r="C18" s="31">
        <f>SUM(entr_carn9[Valor Total])</f>
        <v>0</v>
      </c>
      <c r="D18" s="2"/>
      <c r="E18" s="18"/>
      <c r="F18" s="25"/>
      <c r="G18" s="26"/>
      <c r="H18" s="8"/>
      <c r="I18" s="8"/>
      <c r="J18" s="2"/>
      <c r="K18" s="25">
        <v>9039</v>
      </c>
      <c r="L18" s="9" t="s">
        <v>131</v>
      </c>
      <c r="M18" s="16" t="s">
        <v>132</v>
      </c>
      <c r="R18" s="1">
        <f>IF(vend9[[#This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"/>
      <c r="C20" s="2"/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8" t="s">
        <v>25</v>
      </c>
      <c r="C21" s="32">
        <f>C5</f>
        <v>820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9063</v>
      </c>
      <c r="F26" s="25" t="s">
        <v>196</v>
      </c>
      <c r="G26" s="46" t="s">
        <v>8</v>
      </c>
      <c r="H26" s="8"/>
      <c r="I26" s="8">
        <v>69.900000000000006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9039</v>
      </c>
      <c r="F27" s="25" t="s">
        <v>197</v>
      </c>
      <c r="G27" s="26" t="s">
        <v>6</v>
      </c>
      <c r="H27" s="8"/>
      <c r="I27" s="8">
        <v>250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8571</v>
      </c>
      <c r="F35" s="25" t="s">
        <v>198</v>
      </c>
      <c r="G35" s="26" t="s">
        <v>6</v>
      </c>
      <c r="H35" s="8">
        <v>83.57</v>
      </c>
      <c r="I35" s="8" t="s">
        <v>47</v>
      </c>
      <c r="K35" s="25"/>
      <c r="L35" s="41"/>
      <c r="M35" s="16"/>
    </row>
    <row r="36" spans="5:18" ht="15.75" x14ac:dyDescent="0.25">
      <c r="E36" s="18">
        <v>8619</v>
      </c>
      <c r="F36" s="25" t="s">
        <v>199</v>
      </c>
      <c r="G36" s="26" t="s">
        <v>6</v>
      </c>
      <c r="H36" s="8">
        <v>106.25</v>
      </c>
      <c r="I36" s="8" t="s">
        <v>33</v>
      </c>
      <c r="K36" s="25"/>
      <c r="L36" s="41"/>
      <c r="M36" s="16"/>
    </row>
    <row r="37" spans="5:18" ht="15.75" x14ac:dyDescent="0.25">
      <c r="E37" s="18">
        <v>8563</v>
      </c>
      <c r="F37" s="25" t="s">
        <v>194</v>
      </c>
      <c r="G37" s="26" t="s">
        <v>6</v>
      </c>
      <c r="H37" s="8">
        <v>142.80000000000001</v>
      </c>
      <c r="I37" s="8" t="s">
        <v>76</v>
      </c>
      <c r="K37" s="25"/>
      <c r="L37" s="41"/>
      <c r="M37" s="16"/>
    </row>
    <row r="38" spans="5:18" ht="15.75" x14ac:dyDescent="0.25">
      <c r="E38" s="18">
        <v>8617</v>
      </c>
      <c r="F38" s="25" t="s">
        <v>200</v>
      </c>
      <c r="G38" s="26" t="s">
        <v>6</v>
      </c>
      <c r="H38" s="8">
        <v>55</v>
      </c>
      <c r="I38" s="8" t="s">
        <v>51</v>
      </c>
      <c r="K38" s="25"/>
      <c r="L38" s="41"/>
      <c r="M38" s="16"/>
    </row>
    <row r="39" spans="5:18" ht="15.75" x14ac:dyDescent="0.25">
      <c r="E39" s="18">
        <v>8214</v>
      </c>
      <c r="F39" s="39" t="s">
        <v>201</v>
      </c>
      <c r="G39" s="26" t="s">
        <v>6</v>
      </c>
      <c r="H39" s="8">
        <v>118.75</v>
      </c>
      <c r="I39" s="8" t="s">
        <v>41</v>
      </c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4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22AFCA31-3D3D-4524-8B45-1A8AA92BC219}">
          <x14:formula1>
            <xm:f>base!$A$2:$A$8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base!$A$2:$A$5</xm:f>
          </x14:formula1>
          <xm:sqref>G26:G31 G35:G41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topLeftCell="A25" zoomScale="90" zoomScaleNormal="9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8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'09'!B1+1</f>
        <v>45422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SUMIF(I6:I32,"&gt;0",H6:H32)</f>
        <v>7891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SUM(I6:I42)</f>
        <v>6669</v>
      </c>
      <c r="D6" s="2"/>
      <c r="E6" s="18">
        <v>9166</v>
      </c>
      <c r="F6" s="25" t="s">
        <v>202</v>
      </c>
      <c r="G6" s="46" t="s">
        <v>6</v>
      </c>
      <c r="H6" s="8">
        <v>842</v>
      </c>
      <c r="I6" s="8">
        <v>20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9167</v>
      </c>
      <c r="F7" s="25" t="s">
        <v>203</v>
      </c>
      <c r="G7" s="46" t="s">
        <v>9</v>
      </c>
      <c r="H7" s="8">
        <v>2050</v>
      </c>
      <c r="I7" s="8">
        <v>500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20</v>
      </c>
      <c r="C8" s="29">
        <f>SUM(C6:C7)</f>
        <v>6669</v>
      </c>
      <c r="D8" s="2"/>
      <c r="E8" s="18">
        <v>9167</v>
      </c>
      <c r="F8" s="25" t="s">
        <v>203</v>
      </c>
      <c r="G8" s="26" t="s">
        <v>8</v>
      </c>
      <c r="H8" s="8"/>
      <c r="I8" s="8">
        <v>1550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9168</v>
      </c>
      <c r="F9" s="25" t="s">
        <v>204</v>
      </c>
      <c r="G9" s="26" t="s">
        <v>8</v>
      </c>
      <c r="H9" s="8">
        <v>490</v>
      </c>
      <c r="I9" s="8">
        <v>490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9169</v>
      </c>
      <c r="F10" s="25" t="s">
        <v>205</v>
      </c>
      <c r="G10" s="26" t="s">
        <v>9</v>
      </c>
      <c r="H10" s="8">
        <v>1180</v>
      </c>
      <c r="I10" s="8">
        <v>1180</v>
      </c>
      <c r="J10" s="2"/>
      <c r="K10" s="25"/>
      <c r="L10" s="9"/>
      <c r="M10" s="16"/>
      <c r="R10" s="1">
        <f>IF(vend10[[#This Row],[Nº Venda]]&gt;1,1,0)</f>
        <v>1</v>
      </c>
    </row>
    <row r="11" spans="2:18" ht="15.75" x14ac:dyDescent="0.25">
      <c r="B11" s="30" t="s">
        <v>6</v>
      </c>
      <c r="C11" s="31">
        <f>(SUMIF($G$2:$G$32,B11,$I$2:$I$32))+(SUMIF($G$36:$G$42,B11,$H$36:$H$42))</f>
        <v>120</v>
      </c>
      <c r="D11" s="2"/>
      <c r="E11" s="18">
        <v>9170</v>
      </c>
      <c r="F11" s="25" t="s">
        <v>205</v>
      </c>
      <c r="G11" s="26" t="s">
        <v>9</v>
      </c>
      <c r="H11" s="8">
        <v>550</v>
      </c>
      <c r="I11" s="8">
        <v>550</v>
      </c>
      <c r="J11" s="2"/>
      <c r="K11" s="27"/>
      <c r="L11" s="9"/>
      <c r="M11" s="16"/>
      <c r="O11" s="1">
        <f>IF(C15=0,0,1)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>(SUMIF($G$2:$G$32,B12,$I$2:$I$32))+(SUMIF($G$36:$G$42,B12,$H$36:$H$42))</f>
        <v>735.72</v>
      </c>
      <c r="D12" s="2"/>
      <c r="E12" s="18">
        <v>9171</v>
      </c>
      <c r="F12" s="25" t="s">
        <v>205</v>
      </c>
      <c r="G12" s="26" t="s">
        <v>9</v>
      </c>
      <c r="H12" s="8">
        <v>150</v>
      </c>
      <c r="I12" s="8">
        <v>150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>(SUMIF($G$2:$G$32,B13,$I$2:$I$32))+(SUMIF($G$36:$G$42,B13,$H$36:$H$42))</f>
        <v>3240</v>
      </c>
      <c r="D13" s="2"/>
      <c r="E13" s="18">
        <v>9172</v>
      </c>
      <c r="F13" s="25" t="s">
        <v>205</v>
      </c>
      <c r="G13" s="26" t="s">
        <v>9</v>
      </c>
      <c r="H13" s="8">
        <v>319</v>
      </c>
      <c r="I13" s="8">
        <v>319</v>
      </c>
      <c r="J13" s="2"/>
      <c r="K13" s="129" t="s">
        <v>21</v>
      </c>
      <c r="L13" s="130"/>
      <c r="M13" s="131"/>
      <c r="R13" s="1">
        <f>IF(vend10[[#This Row],[Nº Venda]]&gt;1,1,0)</f>
        <v>1</v>
      </c>
    </row>
    <row r="14" spans="2:18" ht="15.75" x14ac:dyDescent="0.25">
      <c r="B14" s="30" t="s">
        <v>9</v>
      </c>
      <c r="C14" s="31">
        <f>(SUMIF($G$2:$G$32,B14,$I$2:$I$32))+(SUMIF($G$36:$G$42,B14,$H$36:$H$42))</f>
        <v>2798.83</v>
      </c>
      <c r="D14" s="2"/>
      <c r="E14" s="18">
        <v>9173</v>
      </c>
      <c r="F14" s="25" t="s">
        <v>206</v>
      </c>
      <c r="G14" s="26" t="s">
        <v>8</v>
      </c>
      <c r="H14" s="8">
        <v>500</v>
      </c>
      <c r="I14" s="8">
        <v>500</v>
      </c>
      <c r="J14" s="2"/>
      <c r="K14" s="14" t="s">
        <v>22</v>
      </c>
      <c r="L14" s="6" t="s">
        <v>23</v>
      </c>
      <c r="M14" s="15" t="s">
        <v>24</v>
      </c>
      <c r="R14" s="1">
        <f>IF(vend10[[#This Row],[Nº Venda]]&gt;1,1,0)</f>
        <v>1</v>
      </c>
    </row>
    <row r="15" spans="2:18" ht="15.75" x14ac:dyDescent="0.25">
      <c r="B15" s="28" t="s">
        <v>10</v>
      </c>
      <c r="C15" s="32">
        <f>SUM(C11:C14)</f>
        <v>6894.55</v>
      </c>
      <c r="D15" s="2"/>
      <c r="E15" s="18">
        <v>9174</v>
      </c>
      <c r="F15" s="25" t="s">
        <v>206</v>
      </c>
      <c r="G15" s="26" t="s">
        <v>8</v>
      </c>
      <c r="H15" s="8">
        <v>700</v>
      </c>
      <c r="I15" s="8">
        <v>700</v>
      </c>
      <c r="J15" s="2"/>
      <c r="K15" s="25">
        <v>9059</v>
      </c>
      <c r="L15" s="9" t="s">
        <v>210</v>
      </c>
      <c r="M15" s="16" t="s">
        <v>132</v>
      </c>
      <c r="R15" s="1">
        <f>IF(vend10[[#This Row],[Nº Venda]]&gt;1,1,0)</f>
        <v>1</v>
      </c>
    </row>
    <row r="16" spans="2:18" ht="15.75" x14ac:dyDescent="0.25">
      <c r="B16" s="2"/>
      <c r="C16" s="2"/>
      <c r="D16" s="2"/>
      <c r="E16" s="18">
        <v>9175</v>
      </c>
      <c r="F16" s="25" t="s">
        <v>207</v>
      </c>
      <c r="G16" s="26" t="s">
        <v>7</v>
      </c>
      <c r="H16" s="8">
        <v>420</v>
      </c>
      <c r="I16" s="8">
        <v>20</v>
      </c>
      <c r="J16" s="2"/>
      <c r="K16" s="25">
        <v>9094</v>
      </c>
      <c r="L16" s="9" t="s">
        <v>211</v>
      </c>
      <c r="M16" s="65" t="s">
        <v>209</v>
      </c>
      <c r="R16" s="1">
        <f>IF(vend10[[#This Row],[Nº Venda]]&gt;1,1,0)</f>
        <v>1</v>
      </c>
    </row>
    <row r="17" spans="2:18" ht="15.75" x14ac:dyDescent="0.25">
      <c r="B17" s="127" t="s">
        <v>11</v>
      </c>
      <c r="C17" s="127"/>
      <c r="D17" s="2"/>
      <c r="E17" s="18">
        <v>9176</v>
      </c>
      <c r="F17" s="25" t="s">
        <v>208</v>
      </c>
      <c r="G17" s="26" t="s">
        <v>48</v>
      </c>
      <c r="H17" s="8">
        <v>400</v>
      </c>
      <c r="I17" s="8"/>
      <c r="J17" s="2"/>
      <c r="K17" s="64">
        <v>9095</v>
      </c>
      <c r="L17" s="69" t="s">
        <v>211</v>
      </c>
      <c r="M17" s="70" t="s">
        <v>132</v>
      </c>
      <c r="R17" s="1">
        <f>IF(vend10[[#This Row],[Nº Venda]]&gt;1,1,0)</f>
        <v>1</v>
      </c>
    </row>
    <row r="18" spans="2:18" ht="15.75" x14ac:dyDescent="0.25">
      <c r="B18" s="30">
        <f>COUNT(entr_carn10[OS])</f>
        <v>1</v>
      </c>
      <c r="C18" s="31">
        <f>SUM(entr_carn10[Valor Total])</f>
        <v>398</v>
      </c>
      <c r="D18" s="2"/>
      <c r="E18" s="18">
        <v>9177</v>
      </c>
      <c r="F18" s="25" t="s">
        <v>214</v>
      </c>
      <c r="G18" s="26" t="s">
        <v>6</v>
      </c>
      <c r="H18" s="8">
        <v>100</v>
      </c>
      <c r="I18" s="8">
        <v>100</v>
      </c>
      <c r="J18" s="2"/>
      <c r="K18" s="25">
        <v>9170</v>
      </c>
      <c r="L18" s="9" t="s">
        <v>140</v>
      </c>
      <c r="M18" s="16" t="s">
        <v>132</v>
      </c>
      <c r="R18" s="1">
        <f>IF(vend10[[#This Row],[Nº Venda]]&gt;1,1,0)</f>
        <v>1</v>
      </c>
    </row>
    <row r="19" spans="2:18" ht="15.75" x14ac:dyDescent="0.25">
      <c r="B19" s="28" t="s">
        <v>10</v>
      </c>
      <c r="C19" s="32">
        <f>SUM(C18:C18)</f>
        <v>398</v>
      </c>
      <c r="D19" s="2"/>
      <c r="E19" s="18">
        <v>9178</v>
      </c>
      <c r="F19" s="25" t="s">
        <v>215</v>
      </c>
      <c r="G19" s="26" t="s">
        <v>7</v>
      </c>
      <c r="H19" s="8">
        <v>590</v>
      </c>
      <c r="I19" s="8">
        <v>590</v>
      </c>
      <c r="J19" s="2"/>
      <c r="K19" s="25">
        <v>9171</v>
      </c>
      <c r="L19" s="9" t="s">
        <v>140</v>
      </c>
      <c r="M19" s="16" t="s">
        <v>132</v>
      </c>
      <c r="R19" s="1">
        <f>IF(vend10[[#This Row],[Nº Venda]]&gt;1,1,0)</f>
        <v>1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8" t="s">
        <v>25</v>
      </c>
      <c r="C21" s="32">
        <f>C5</f>
        <v>7891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75" x14ac:dyDescent="0.25">
      <c r="B32" s="2"/>
      <c r="C32" s="2"/>
      <c r="E32" s="18"/>
      <c r="F32" s="39"/>
      <c r="G32" s="26"/>
      <c r="H32" s="8"/>
      <c r="I32" s="8"/>
    </row>
    <row r="33" spans="5:18" ht="15" x14ac:dyDescent="0.25">
      <c r="E33" s="33"/>
      <c r="K33" s="129" t="s">
        <v>11</v>
      </c>
      <c r="L33" s="130"/>
      <c r="M33" s="131"/>
    </row>
    <row r="34" spans="5:18" ht="15" x14ac:dyDescent="0.25">
      <c r="E34" s="128" t="s">
        <v>27</v>
      </c>
      <c r="F34" s="128"/>
      <c r="G34" s="128"/>
      <c r="H34" s="128"/>
      <c r="I34" s="128"/>
      <c r="K34" s="14" t="s">
        <v>22</v>
      </c>
      <c r="L34" s="6" t="s">
        <v>30</v>
      </c>
      <c r="M34" s="15" t="s">
        <v>31</v>
      </c>
    </row>
    <row r="35" spans="5:18" ht="15" x14ac:dyDescent="0.25">
      <c r="E35" s="10" t="s">
        <v>124</v>
      </c>
      <c r="F35" s="10" t="s">
        <v>125</v>
      </c>
      <c r="G35" s="11" t="s">
        <v>126</v>
      </c>
      <c r="H35" s="12" t="s">
        <v>127</v>
      </c>
      <c r="I35" s="13" t="s">
        <v>128</v>
      </c>
      <c r="K35" s="25">
        <v>9094</v>
      </c>
      <c r="L35" s="41">
        <v>1</v>
      </c>
      <c r="M35" s="16">
        <v>398</v>
      </c>
    </row>
    <row r="36" spans="5:18" ht="15.75" x14ac:dyDescent="0.25">
      <c r="E36" s="18">
        <v>8472</v>
      </c>
      <c r="F36" s="25" t="s">
        <v>212</v>
      </c>
      <c r="G36" s="26" t="s">
        <v>7</v>
      </c>
      <c r="H36" s="8">
        <v>125.72</v>
      </c>
      <c r="I36" s="8" t="s">
        <v>39</v>
      </c>
      <c r="K36" s="25"/>
      <c r="L36" s="41"/>
      <c r="M36" s="16"/>
    </row>
    <row r="37" spans="5:18" ht="15.75" x14ac:dyDescent="0.25">
      <c r="E37" s="18">
        <v>8781</v>
      </c>
      <c r="F37" s="25" t="s">
        <v>213</v>
      </c>
      <c r="G37" s="26" t="s">
        <v>9</v>
      </c>
      <c r="H37" s="8">
        <v>99.83</v>
      </c>
      <c r="I37" s="8" t="s">
        <v>52</v>
      </c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25"/>
      <c r="G39" s="26"/>
      <c r="H39" s="8"/>
      <c r="I39" s="8"/>
      <c r="K39" s="25"/>
      <c r="L39" s="41"/>
      <c r="M39" s="16"/>
    </row>
    <row r="40" spans="5:18" ht="15.75" x14ac:dyDescent="0.25">
      <c r="E40" s="18"/>
      <c r="F40" s="39"/>
      <c r="G40" s="26"/>
      <c r="H40" s="8"/>
      <c r="I40" s="8"/>
      <c r="K40" s="36"/>
      <c r="L40" s="42"/>
      <c r="M40" s="40"/>
      <c r="Q40" s="1" t="s">
        <v>35</v>
      </c>
      <c r="R40" s="1">
        <f>SUM(R6:R21)</f>
        <v>14</v>
      </c>
    </row>
    <row r="41" spans="5:18" ht="15.75" x14ac:dyDescent="0.25">
      <c r="E41" s="35"/>
      <c r="F41" s="36"/>
      <c r="G41" s="37"/>
      <c r="H41" s="17"/>
      <c r="I41" s="8"/>
      <c r="K41" s="44"/>
      <c r="L41" s="41"/>
      <c r="M41" s="40"/>
    </row>
    <row r="42" spans="5:18" ht="15.75" x14ac:dyDescent="0.25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B80BA27C-92FA-4E44-B45B-142D61BB934F}">
          <x14:formula1>
            <xm:f>base!$A$2:$A$5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base!$A$2:$A$8</xm:f>
          </x14:formula1>
          <xm:sqref>G6:G22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7"/>
  <sheetViews>
    <sheetView showGridLines="0" topLeftCell="A24" zoomScale="80" zoomScaleNormal="80" workbookViewId="0">
      <selection activeCell="U10" sqref="U10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32.5703125" style="34" customWidth="1"/>
    <col min="7" max="7" width="13.710937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4.140625" style="3" customWidth="1"/>
    <col min="12" max="12" width="16.28515625" style="3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'10'!B1+1</f>
        <v>45423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SUMIF(I6:I37,"&gt;0",H6:H37)</f>
        <v>14541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SUM(I6:I47)</f>
        <v>10557.99</v>
      </c>
      <c r="D6" s="2"/>
      <c r="E6" s="18">
        <v>9179</v>
      </c>
      <c r="F6" s="25" t="s">
        <v>208</v>
      </c>
      <c r="G6" s="26" t="s">
        <v>8</v>
      </c>
      <c r="H6" s="8">
        <v>300</v>
      </c>
      <c r="I6" s="8">
        <v>300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9180</v>
      </c>
      <c r="F7" s="25" t="s">
        <v>208</v>
      </c>
      <c r="G7" s="26" t="s">
        <v>8</v>
      </c>
      <c r="H7" s="8">
        <v>300</v>
      </c>
      <c r="I7" s="8">
        <v>300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20</v>
      </c>
      <c r="C8" s="29">
        <f>SUM(C6:C7)</f>
        <v>10557.99</v>
      </c>
      <c r="D8" s="2"/>
      <c r="E8" s="18">
        <v>9181</v>
      </c>
      <c r="F8" s="25" t="s">
        <v>208</v>
      </c>
      <c r="G8" s="26" t="s">
        <v>8</v>
      </c>
      <c r="H8" s="8">
        <v>400</v>
      </c>
      <c r="I8" s="8">
        <v>350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>
        <v>9181</v>
      </c>
      <c r="F9" s="25" t="s">
        <v>208</v>
      </c>
      <c r="G9" s="26" t="s">
        <v>7</v>
      </c>
      <c r="H9" s="8"/>
      <c r="I9" s="8">
        <v>50</v>
      </c>
      <c r="J9" s="2"/>
      <c r="K9" s="25"/>
      <c r="L9" s="9"/>
      <c r="M9" s="16"/>
      <c r="R9" s="1">
        <f>IF(vend11[[#This Row],[Nº Venda]]&gt;1,1,0)</f>
        <v>1</v>
      </c>
    </row>
    <row r="10" spans="2:18" ht="15.75" x14ac:dyDescent="0.25">
      <c r="B10" s="127" t="s">
        <v>5</v>
      </c>
      <c r="C10" s="127"/>
      <c r="D10" s="2"/>
      <c r="E10" s="18">
        <v>9182</v>
      </c>
      <c r="F10" s="25" t="s">
        <v>222</v>
      </c>
      <c r="G10" s="26" t="s">
        <v>8</v>
      </c>
      <c r="H10" s="8">
        <v>590</v>
      </c>
      <c r="I10" s="8">
        <v>590</v>
      </c>
      <c r="J10" s="2"/>
      <c r="K10" s="25"/>
      <c r="L10" s="9"/>
      <c r="M10" s="16"/>
      <c r="R10" s="1">
        <f>IF(vend11[[#This Row],[Nº Venda]]&gt;1,1,0)</f>
        <v>1</v>
      </c>
    </row>
    <row r="11" spans="2:18" ht="15.75" x14ac:dyDescent="0.25">
      <c r="B11" s="30" t="s">
        <v>6</v>
      </c>
      <c r="C11" s="31">
        <f>(SUMIF($G$2:$G$37,B11,$I$2:$I$37))+(SUMIF($G$41:$G$47,B11,$H$41:$H$47))</f>
        <v>215</v>
      </c>
      <c r="D11" s="2"/>
      <c r="E11" s="18">
        <v>9183</v>
      </c>
      <c r="F11" s="25" t="s">
        <v>222</v>
      </c>
      <c r="G11" s="26" t="s">
        <v>8</v>
      </c>
      <c r="H11" s="8">
        <v>103</v>
      </c>
      <c r="I11" s="8">
        <v>103</v>
      </c>
      <c r="J11" s="2"/>
      <c r="K11" s="27"/>
      <c r="L11" s="9"/>
      <c r="M11" s="16"/>
      <c r="O11" s="1">
        <f>IF(C15=0,0,1)</f>
        <v>1</v>
      </c>
      <c r="R11" s="1">
        <f>IF(vend11[[#This Row],[Nº Venda]]&gt;1,1,0)</f>
        <v>1</v>
      </c>
    </row>
    <row r="12" spans="2:18" ht="15.75" x14ac:dyDescent="0.25">
      <c r="B12" s="30" t="s">
        <v>7</v>
      </c>
      <c r="C12" s="31">
        <f>(SUMIF($G$2:$G$37,B12,$I$2:$I$37))+(SUMIF($G$41:$G$47,B12,$H$41:$H$47))</f>
        <v>581.42000000000007</v>
      </c>
      <c r="D12" s="2"/>
      <c r="E12" s="18">
        <v>9184</v>
      </c>
      <c r="F12" s="25" t="s">
        <v>223</v>
      </c>
      <c r="G12" s="26" t="s">
        <v>7</v>
      </c>
      <c r="H12" s="8">
        <v>100</v>
      </c>
      <c r="I12" s="8">
        <v>100</v>
      </c>
      <c r="J12" s="2"/>
      <c r="R12" s="1">
        <f>IF(vend11[[#This Row],[Nº Venda]]&gt;1,1,0)</f>
        <v>1</v>
      </c>
    </row>
    <row r="13" spans="2:18" ht="15.75" x14ac:dyDescent="0.25">
      <c r="B13" s="30" t="s">
        <v>8</v>
      </c>
      <c r="C13" s="31">
        <f>(SUMIF($G$2:$G$37,B13,$I$2:$I$37))+(SUMIF($G$41:$G$47,B13,$H$41:$H$47))</f>
        <v>6871</v>
      </c>
      <c r="D13" s="2"/>
      <c r="E13" s="18">
        <v>9185</v>
      </c>
      <c r="F13" s="25" t="s">
        <v>224</v>
      </c>
      <c r="G13" s="26" t="s">
        <v>6</v>
      </c>
      <c r="H13" s="8">
        <v>800</v>
      </c>
      <c r="I13" s="8">
        <v>100</v>
      </c>
      <c r="J13" s="2"/>
      <c r="K13" s="129" t="s">
        <v>21</v>
      </c>
      <c r="L13" s="130"/>
      <c r="M13" s="131"/>
      <c r="R13" s="1">
        <f>IF(vend11[[#This Row],[Nº Venda]]&gt;1,1,0)</f>
        <v>1</v>
      </c>
    </row>
    <row r="14" spans="2:18" ht="15.75" x14ac:dyDescent="0.25">
      <c r="B14" s="30" t="s">
        <v>9</v>
      </c>
      <c r="C14" s="31">
        <f>(SUMIF($G$2:$G$37,B14,$I$2:$I$37))+(SUMIF($G$41:$G$47,B14,$H$41:$H$47))</f>
        <v>3486.99</v>
      </c>
      <c r="D14" s="2"/>
      <c r="E14" s="18">
        <v>9186</v>
      </c>
      <c r="F14" s="25" t="s">
        <v>225</v>
      </c>
      <c r="G14" s="26" t="s">
        <v>9</v>
      </c>
      <c r="H14" s="8">
        <v>150</v>
      </c>
      <c r="I14" s="8">
        <v>50</v>
      </c>
      <c r="J14" s="2"/>
      <c r="K14" s="14" t="s">
        <v>22</v>
      </c>
      <c r="L14" s="6" t="s">
        <v>23</v>
      </c>
      <c r="M14" s="15" t="s">
        <v>24</v>
      </c>
      <c r="R14" s="1">
        <f>IF(vend11[[#This Row],[Nº Venda]]&gt;1,1,0)</f>
        <v>1</v>
      </c>
    </row>
    <row r="15" spans="2:18" ht="15.75" x14ac:dyDescent="0.25">
      <c r="B15" s="28" t="s">
        <v>10</v>
      </c>
      <c r="C15" s="32">
        <f>SUM(C11:C14)</f>
        <v>11154.41</v>
      </c>
      <c r="D15" s="2"/>
      <c r="E15" s="18">
        <v>9187</v>
      </c>
      <c r="F15" s="25" t="s">
        <v>226</v>
      </c>
      <c r="G15" s="26" t="s">
        <v>9</v>
      </c>
      <c r="H15" s="8">
        <v>530</v>
      </c>
      <c r="I15" s="8">
        <v>200</v>
      </c>
      <c r="J15" s="2"/>
      <c r="K15" s="25">
        <v>9040</v>
      </c>
      <c r="L15" s="9" t="s">
        <v>210</v>
      </c>
      <c r="M15" s="16" t="s">
        <v>132</v>
      </c>
      <c r="R15" s="1">
        <f>IF(vend11[[#This Row],[Nº Venda]]&gt;1,1,0)</f>
        <v>1</v>
      </c>
    </row>
    <row r="16" spans="2:18" ht="15.75" x14ac:dyDescent="0.25">
      <c r="B16" s="2"/>
      <c r="C16" s="2"/>
      <c r="D16" s="2"/>
      <c r="E16" s="18">
        <v>9187</v>
      </c>
      <c r="F16" s="25" t="s">
        <v>226</v>
      </c>
      <c r="G16" s="26" t="s">
        <v>8</v>
      </c>
      <c r="H16" s="8"/>
      <c r="I16" s="8">
        <v>330</v>
      </c>
      <c r="J16" s="2"/>
      <c r="K16" s="25">
        <v>9021</v>
      </c>
      <c r="L16" s="9" t="s">
        <v>140</v>
      </c>
      <c r="M16" s="16" t="s">
        <v>132</v>
      </c>
      <c r="R16" s="1">
        <f>IF(vend11[[#This Row],[Nº Venda]]&gt;1,1,0)</f>
        <v>1</v>
      </c>
    </row>
    <row r="17" spans="2:18" ht="15.75" x14ac:dyDescent="0.25">
      <c r="B17" s="127" t="s">
        <v>11</v>
      </c>
      <c r="C17" s="127"/>
      <c r="D17" s="2"/>
      <c r="E17" s="18">
        <v>9188</v>
      </c>
      <c r="F17" s="25" t="s">
        <v>227</v>
      </c>
      <c r="G17" s="26" t="s">
        <v>8</v>
      </c>
      <c r="H17" s="8">
        <v>40</v>
      </c>
      <c r="I17" s="8">
        <v>40</v>
      </c>
      <c r="J17" s="2"/>
      <c r="K17" s="25">
        <v>9188</v>
      </c>
      <c r="L17" s="9" t="s">
        <v>210</v>
      </c>
      <c r="M17" s="16" t="s">
        <v>132</v>
      </c>
      <c r="R17" s="1">
        <f>IF(vend11[[#This Row],[Nº Venda]]&gt;1,1,0)</f>
        <v>1</v>
      </c>
    </row>
    <row r="18" spans="2:18" ht="15.75" x14ac:dyDescent="0.25">
      <c r="B18" s="30">
        <f>COUNT(entr_carn11[OS])</f>
        <v>0</v>
      </c>
      <c r="C18" s="31">
        <f>SUM(entr_carn11[Valor Total])</f>
        <v>0</v>
      </c>
      <c r="D18" s="2"/>
      <c r="E18" s="18">
        <v>9189</v>
      </c>
      <c r="F18" s="25" t="s">
        <v>228</v>
      </c>
      <c r="G18" s="26" t="s">
        <v>7</v>
      </c>
      <c r="H18" s="8">
        <v>1000</v>
      </c>
      <c r="I18" s="8">
        <v>300</v>
      </c>
      <c r="J18" s="2"/>
      <c r="K18" s="25">
        <v>8848</v>
      </c>
      <c r="L18" s="9" t="s">
        <v>140</v>
      </c>
      <c r="M18" s="16" t="s">
        <v>132</v>
      </c>
      <c r="R18" s="1">
        <f>IF(vend11[[#This Row],[Nº Venda]]&gt;1,1,0)</f>
        <v>1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>
        <v>9190</v>
      </c>
      <c r="F19" s="25" t="s">
        <v>226</v>
      </c>
      <c r="G19" s="26" t="s">
        <v>9</v>
      </c>
      <c r="H19" s="8">
        <v>530</v>
      </c>
      <c r="I19" s="8">
        <v>466.99</v>
      </c>
      <c r="J19" s="2"/>
      <c r="K19" s="25">
        <v>9184</v>
      </c>
      <c r="L19" s="9" t="s">
        <v>211</v>
      </c>
      <c r="M19" s="16" t="s">
        <v>132</v>
      </c>
      <c r="R19" s="1">
        <f>IF(vend11[[#This Row],[Nº Venda]]&gt;1,1,0)</f>
        <v>1</v>
      </c>
    </row>
    <row r="20" spans="2:18" ht="15.75" x14ac:dyDescent="0.25">
      <c r="B20" s="2"/>
      <c r="C20" s="2"/>
      <c r="D20" s="2"/>
      <c r="E20" s="18">
        <v>9191</v>
      </c>
      <c r="F20" s="26" t="s">
        <v>229</v>
      </c>
      <c r="G20" s="26" t="s">
        <v>8</v>
      </c>
      <c r="H20" s="8">
        <v>199</v>
      </c>
      <c r="I20" s="8">
        <v>199</v>
      </c>
      <c r="J20" s="2"/>
      <c r="K20" s="25">
        <v>9191</v>
      </c>
      <c r="L20" s="9" t="s">
        <v>140</v>
      </c>
      <c r="M20" s="16" t="s">
        <v>132</v>
      </c>
      <c r="R20" s="1">
        <f>IF(vend11[[#This Row],[Nº Venda]]&gt;1,1,0)</f>
        <v>1</v>
      </c>
    </row>
    <row r="21" spans="2:18" ht="15.75" x14ac:dyDescent="0.25">
      <c r="B21" s="28" t="s">
        <v>25</v>
      </c>
      <c r="C21" s="32">
        <f>C5</f>
        <v>14541</v>
      </c>
      <c r="D21" s="2"/>
      <c r="E21" s="18">
        <v>9192</v>
      </c>
      <c r="F21" s="25" t="s">
        <v>230</v>
      </c>
      <c r="G21" s="26" t="s">
        <v>9</v>
      </c>
      <c r="H21" s="8">
        <v>4590</v>
      </c>
      <c r="I21" s="8">
        <v>2170</v>
      </c>
      <c r="J21" s="2"/>
      <c r="K21" s="25"/>
      <c r="L21" s="9"/>
      <c r="M21" s="16"/>
    </row>
    <row r="22" spans="2:18" ht="15.75" x14ac:dyDescent="0.25">
      <c r="B22" s="2"/>
      <c r="C22" s="2"/>
      <c r="D22" s="2"/>
      <c r="E22" s="18">
        <v>9193</v>
      </c>
      <c r="F22" s="25" t="s">
        <v>230</v>
      </c>
      <c r="G22" s="59" t="s">
        <v>9</v>
      </c>
      <c r="H22" s="47">
        <v>250</v>
      </c>
      <c r="I22" s="47">
        <v>250</v>
      </c>
      <c r="J22" s="2"/>
      <c r="K22" s="25"/>
      <c r="L22" s="9"/>
      <c r="M22" s="16"/>
    </row>
    <row r="23" spans="2:18" ht="15.75" x14ac:dyDescent="0.25">
      <c r="B23" s="2"/>
      <c r="C23" s="2"/>
      <c r="D23" s="2"/>
      <c r="E23" s="18">
        <v>9194</v>
      </c>
      <c r="F23" s="25" t="s">
        <v>230</v>
      </c>
      <c r="G23" s="59" t="s">
        <v>8</v>
      </c>
      <c r="H23" s="47">
        <v>896</v>
      </c>
      <c r="I23" s="47">
        <v>896</v>
      </c>
      <c r="J23" s="2"/>
      <c r="K23" s="25"/>
      <c r="L23" s="9"/>
      <c r="M23" s="16"/>
    </row>
    <row r="24" spans="2:18" ht="15.75" x14ac:dyDescent="0.25">
      <c r="B24" s="2"/>
      <c r="C24" s="2"/>
      <c r="D24" s="2"/>
      <c r="E24" s="18">
        <v>9195</v>
      </c>
      <c r="F24" s="25" t="s">
        <v>230</v>
      </c>
      <c r="G24" s="59" t="s">
        <v>8</v>
      </c>
      <c r="H24" s="47">
        <v>3290</v>
      </c>
      <c r="I24" s="47">
        <v>3290</v>
      </c>
      <c r="J24" s="2"/>
      <c r="K24" s="25"/>
      <c r="L24" s="9"/>
      <c r="M24" s="16"/>
    </row>
    <row r="25" spans="2:18" ht="15.75" x14ac:dyDescent="0.25">
      <c r="B25" s="2"/>
      <c r="C25" s="2"/>
      <c r="D25" s="2"/>
      <c r="E25" s="18">
        <v>9196</v>
      </c>
      <c r="F25" s="25" t="s">
        <v>230</v>
      </c>
      <c r="G25" s="25" t="s">
        <v>8</v>
      </c>
      <c r="H25" s="47">
        <v>473</v>
      </c>
      <c r="I25" s="47">
        <v>473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59"/>
      <c r="F26" s="59"/>
      <c r="G26" s="59"/>
      <c r="H26" s="47"/>
      <c r="I26" s="47"/>
      <c r="J26" s="2"/>
      <c r="K26" s="25"/>
      <c r="L26" s="9"/>
      <c r="M26" s="16"/>
    </row>
    <row r="27" spans="2:18" ht="15" x14ac:dyDescent="0.25">
      <c r="B27" s="2"/>
      <c r="C27" s="2"/>
      <c r="D27" s="2"/>
      <c r="E27" s="59"/>
      <c r="F27" s="59"/>
      <c r="G27" s="59"/>
      <c r="H27" s="47"/>
      <c r="I27" s="47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" x14ac:dyDescent="0.25">
      <c r="B29" s="2"/>
      <c r="C29" s="2"/>
      <c r="D29" s="2"/>
      <c r="E29" s="33"/>
      <c r="H29" s="7"/>
      <c r="J29" s="2"/>
      <c r="K29" s="25"/>
      <c r="L29" s="9"/>
      <c r="M29" s="16"/>
    </row>
    <row r="30" spans="2:18" ht="15" x14ac:dyDescent="0.25">
      <c r="B30" s="2"/>
      <c r="C30" s="2"/>
      <c r="D30" s="2"/>
      <c r="E30" s="128" t="s">
        <v>26</v>
      </c>
      <c r="F30" s="128"/>
      <c r="G30" s="128"/>
      <c r="H30" s="128"/>
      <c r="I30" s="128"/>
      <c r="J30" s="2"/>
      <c r="K30" s="25"/>
      <c r="L30" s="9"/>
      <c r="M30" s="16"/>
    </row>
    <row r="31" spans="2:18" ht="15" x14ac:dyDescent="0.25">
      <c r="B31" s="2"/>
      <c r="C31" s="2"/>
      <c r="D31" s="2"/>
      <c r="E31" s="10" t="s">
        <v>13</v>
      </c>
      <c r="F31" s="10" t="s">
        <v>14</v>
      </c>
      <c r="G31" s="11" t="s">
        <v>15</v>
      </c>
      <c r="H31" s="12" t="s">
        <v>16</v>
      </c>
      <c r="I31" s="13" t="s">
        <v>2</v>
      </c>
      <c r="J31" s="2"/>
      <c r="K31" s="25"/>
      <c r="L31" s="9"/>
      <c r="M31" s="16"/>
    </row>
    <row r="32" spans="2:18" ht="15.75" x14ac:dyDescent="0.25">
      <c r="B32" s="2"/>
      <c r="C32" s="2"/>
      <c r="E32" s="18"/>
      <c r="F32" s="25"/>
      <c r="G32" s="46"/>
      <c r="H32" s="8"/>
      <c r="I32" s="8"/>
    </row>
    <row r="33" spans="5:18" ht="15.75" x14ac:dyDescent="0.25">
      <c r="E33" s="18"/>
      <c r="F33" s="25"/>
      <c r="G33" s="26"/>
      <c r="H33" s="8"/>
      <c r="I33" s="8"/>
      <c r="K33" s="129" t="s">
        <v>11</v>
      </c>
      <c r="L33" s="130"/>
      <c r="M33" s="131"/>
    </row>
    <row r="34" spans="5:18" ht="15.75" x14ac:dyDescent="0.25">
      <c r="E34" s="18"/>
      <c r="F34" s="25"/>
      <c r="G34" s="26"/>
      <c r="H34" s="8"/>
      <c r="I34" s="8"/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39"/>
      <c r="G36" s="26"/>
      <c r="H36" s="8"/>
      <c r="I36" s="8"/>
      <c r="K36" s="25"/>
      <c r="L36" s="41"/>
      <c r="M36" s="16"/>
    </row>
    <row r="37" spans="5:18" ht="15.75" x14ac:dyDescent="0.25">
      <c r="E37" s="35"/>
      <c r="F37" s="36"/>
      <c r="G37" s="37"/>
      <c r="H37" s="17"/>
      <c r="I37" s="17"/>
      <c r="K37" s="25"/>
      <c r="L37" s="41"/>
      <c r="M37" s="16"/>
    </row>
    <row r="38" spans="5:18" ht="15" x14ac:dyDescent="0.25">
      <c r="E38" s="33"/>
      <c r="K38" s="25"/>
      <c r="L38" s="41"/>
      <c r="M38" s="16"/>
    </row>
    <row r="39" spans="5:18" ht="15" x14ac:dyDescent="0.25">
      <c r="E39" s="128" t="s">
        <v>27</v>
      </c>
      <c r="F39" s="128"/>
      <c r="G39" s="128"/>
      <c r="H39" s="128"/>
      <c r="I39" s="128"/>
      <c r="K39" s="25"/>
      <c r="L39" s="41"/>
      <c r="M39" s="16"/>
    </row>
    <row r="40" spans="5:18" ht="15" x14ac:dyDescent="0.25">
      <c r="E40" s="10" t="s">
        <v>22</v>
      </c>
      <c r="F40" s="10" t="s">
        <v>14</v>
      </c>
      <c r="G40" s="11" t="s">
        <v>15</v>
      </c>
      <c r="H40" s="12" t="s">
        <v>28</v>
      </c>
      <c r="I40" s="13" t="s">
        <v>29</v>
      </c>
      <c r="K40" s="36"/>
      <c r="L40" s="42"/>
      <c r="M40" s="40"/>
      <c r="Q40" s="1" t="s">
        <v>35</v>
      </c>
      <c r="R40" s="1">
        <f>SUM(R6:R21)</f>
        <v>15</v>
      </c>
    </row>
    <row r="41" spans="5:18" ht="15.75" x14ac:dyDescent="0.25">
      <c r="E41" s="18">
        <v>9058</v>
      </c>
      <c r="F41" s="25" t="s">
        <v>216</v>
      </c>
      <c r="G41" s="26" t="s">
        <v>7</v>
      </c>
      <c r="H41" s="8">
        <v>71.42</v>
      </c>
      <c r="I41" s="8" t="s">
        <v>34</v>
      </c>
      <c r="K41" s="44"/>
      <c r="L41" s="41"/>
      <c r="M41" s="40"/>
    </row>
    <row r="42" spans="5:18" ht="15.75" x14ac:dyDescent="0.25">
      <c r="E42" s="18">
        <v>8504</v>
      </c>
      <c r="F42" s="25" t="s">
        <v>217</v>
      </c>
      <c r="G42" s="26" t="s">
        <v>6</v>
      </c>
      <c r="H42" s="8">
        <v>115</v>
      </c>
      <c r="I42" s="8" t="s">
        <v>77</v>
      </c>
    </row>
    <row r="43" spans="5:18" ht="15.75" x14ac:dyDescent="0.25">
      <c r="E43" s="18">
        <v>8996</v>
      </c>
      <c r="F43" s="25" t="s">
        <v>218</v>
      </c>
      <c r="G43" s="26" t="s">
        <v>9</v>
      </c>
      <c r="H43" s="8">
        <v>100</v>
      </c>
      <c r="I43" s="8" t="s">
        <v>37</v>
      </c>
    </row>
    <row r="44" spans="5:18" ht="15.75" x14ac:dyDescent="0.25">
      <c r="E44" s="18">
        <v>8321</v>
      </c>
      <c r="F44" s="25" t="s">
        <v>219</v>
      </c>
      <c r="G44" s="26" t="s">
        <v>7</v>
      </c>
      <c r="H44" s="8">
        <v>60</v>
      </c>
      <c r="I44" s="8" t="s">
        <v>78</v>
      </c>
    </row>
    <row r="45" spans="5:18" ht="15.75" x14ac:dyDescent="0.25">
      <c r="E45" s="18">
        <v>8414</v>
      </c>
      <c r="F45" s="39" t="s">
        <v>220</v>
      </c>
      <c r="G45" s="26" t="s">
        <v>9</v>
      </c>
      <c r="H45" s="8">
        <v>150</v>
      </c>
      <c r="I45" s="8" t="s">
        <v>68</v>
      </c>
    </row>
    <row r="46" spans="5:18" ht="15.75" x14ac:dyDescent="0.25">
      <c r="E46" s="35">
        <v>8985</v>
      </c>
      <c r="F46" s="36" t="s">
        <v>221</v>
      </c>
      <c r="G46" s="37" t="s">
        <v>9</v>
      </c>
      <c r="H46" s="17">
        <v>100</v>
      </c>
      <c r="I46" s="8" t="s">
        <v>50</v>
      </c>
    </row>
    <row r="47" spans="5:18" ht="15.75" x14ac:dyDescent="0.25">
      <c r="E47" s="43"/>
      <c r="F47" s="39"/>
      <c r="G47" s="26"/>
      <c r="H47" s="8"/>
      <c r="I47" s="8"/>
    </row>
  </sheetData>
  <mergeCells count="9">
    <mergeCell ref="E30:I30"/>
    <mergeCell ref="E39:I39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BE128C0-3189-41A9-89FA-450A0877DC2D}">
          <x14:formula1>
            <xm:f>base!$E$2:$E$79</xm:f>
          </x14:formula1>
          <xm:sqref>I41:I47</xm:sqref>
        </x14:dataValidation>
        <x14:dataValidation type="list" allowBlank="1" showInputMessage="1" showErrorMessage="1" xr:uid="{2C041720-F84D-4B31-8C64-E922AB78D0E6}">
          <x14:formula1>
            <xm:f>base!$A$2:$A$5</xm:f>
          </x14:formula1>
          <xm:sqref>G32:G37 G41:G47</xm:sqref>
        </x14:dataValidation>
        <x14:dataValidation type="list" allowBlank="1" showInputMessage="1" showErrorMessage="1" xr:uid="{49A2BD87-4443-46B8-B2FC-3AFC393A58CA}">
          <x14:formula1>
            <xm:f>base!$A$2:$A$8</xm:f>
          </x14:formula1>
          <xm:sqref>G6:G24 G26:G28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34" zoomScale="80" zoomScaleNormal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'11'!B1+1</f>
        <v>45424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" x14ac:dyDescent="0.25">
      <c r="B6" s="23" t="s">
        <v>2</v>
      </c>
      <c r="C6" s="24">
        <f>SUM(I6:I41)</f>
        <v>0</v>
      </c>
      <c r="D6" s="2"/>
      <c r="E6" s="92"/>
      <c r="F6" s="52"/>
      <c r="G6" s="52"/>
      <c r="H6" s="53"/>
      <c r="I6" s="53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7"/>
      <c r="F7" s="54"/>
      <c r="G7" s="54"/>
      <c r="H7" s="55"/>
      <c r="I7" s="55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57"/>
      <c r="F8" s="54"/>
      <c r="G8" s="54"/>
      <c r="H8" s="55"/>
      <c r="I8" s="55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127" t="s">
        <v>5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0</v>
      </c>
      <c r="R11" s="1">
        <f>IF(vend12[[#This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IF(vend12[[#This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30">
        <f>COUNT(entr_carn12[OS])</f>
        <v>0</v>
      </c>
      <c r="C18" s="31">
        <f>SUM(entr_carn12[Valor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56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0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76DAD829-EB77-41C4-8A8D-E5F987FD24DB}">
          <x14:formula1>
            <xm:f>base!$A$2:$A$5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base!$A$2:$A$8</xm:f>
          </x14:formula1>
          <xm:sqref>G6:G22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2" zoomScale="80" zoomScaleNormal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'12'!B1+1</f>
        <v>45425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500</v>
      </c>
      <c r="D6" s="2"/>
      <c r="E6" s="18">
        <v>9197</v>
      </c>
      <c r="F6" s="25" t="s">
        <v>231</v>
      </c>
      <c r="G6" s="26" t="s">
        <v>6</v>
      </c>
      <c r="H6" s="8">
        <v>350</v>
      </c>
      <c r="I6" s="8">
        <v>200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9198</v>
      </c>
      <c r="F7" s="25" t="s">
        <v>232</v>
      </c>
      <c r="G7" s="26" t="s">
        <v>38</v>
      </c>
      <c r="H7" s="8"/>
      <c r="I7" s="8"/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20</v>
      </c>
      <c r="C8" s="29">
        <f>SUM(C6:C7)</f>
        <v>500</v>
      </c>
      <c r="D8" s="2"/>
      <c r="E8" s="18">
        <v>9199</v>
      </c>
      <c r="F8" s="25" t="s">
        <v>232</v>
      </c>
      <c r="G8" s="26" t="s">
        <v>38</v>
      </c>
      <c r="H8" s="8"/>
      <c r="I8" s="8"/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127" t="s">
        <v>5</v>
      </c>
      <c r="C10" s="12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IF(C15=0,0,1)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29" t="s">
        <v>21</v>
      </c>
      <c r="L13" s="130"/>
      <c r="M13" s="131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22</v>
      </c>
      <c r="L14" s="6" t="s">
        <v>23</v>
      </c>
      <c r="M14" s="15" t="s">
        <v>24</v>
      </c>
      <c r="R14" s="1">
        <f>IF(vend13[[#This Row],[Nº Venda]]&gt;1,1,0)</f>
        <v>0</v>
      </c>
    </row>
    <row r="15" spans="2:18" ht="15.75" x14ac:dyDescent="0.25">
      <c r="B15" s="28" t="s">
        <v>10</v>
      </c>
      <c r="C15" s="32">
        <f>SUM(C11:C14)</f>
        <v>600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"/>
      <c r="C16" s="2"/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127" t="s">
        <v>11</v>
      </c>
      <c r="C17" s="127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30">
        <f>COUNT(entr_carn13[OS])</f>
        <v>0</v>
      </c>
      <c r="C18" s="31">
        <f>SUM(entr_carn13[Valor Total])</f>
        <v>0</v>
      </c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"/>
      <c r="C20" s="2"/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8" t="s">
        <v>25</v>
      </c>
      <c r="C21" s="32">
        <f>C5</f>
        <v>350</v>
      </c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"/>
      <c r="C22" s="2"/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9166</v>
      </c>
      <c r="F26" s="25" t="s">
        <v>241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9026</v>
      </c>
      <c r="F27" s="25" t="s">
        <v>240</v>
      </c>
      <c r="G27" s="26" t="s">
        <v>9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18">
        <v>8486</v>
      </c>
      <c r="F35" s="25" t="s">
        <v>233</v>
      </c>
      <c r="G35" s="26" t="s">
        <v>7</v>
      </c>
      <c r="H35" s="8">
        <v>100</v>
      </c>
      <c r="I35" s="8" t="s">
        <v>74</v>
      </c>
      <c r="K35" s="25"/>
      <c r="L35" s="41"/>
      <c r="M35" s="16"/>
    </row>
    <row r="36" spans="5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5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5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5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5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35</v>
      </c>
      <c r="R40" s="1">
        <f>SUM(R6:R21)</f>
        <v>3</v>
      </c>
    </row>
    <row r="41" spans="5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245BDF35-8AB3-43D0-BD06-D449F65BEBB8}">
          <x14:formula1>
            <xm:f>base!$A$2:$A$8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base!$A$2:$A$5</xm:f>
          </x14:formula1>
          <xm:sqref>G26:G31 G35:G41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4" zoomScale="71" zoomScaleNormal="71" workbookViewId="0">
      <selection activeCell="W10" sqref="W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'13'!B1+1</f>
        <v>45426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3149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312</v>
      </c>
      <c r="D6" s="2"/>
      <c r="E6" s="94">
        <v>9201</v>
      </c>
      <c r="F6" s="94" t="s">
        <v>234</v>
      </c>
      <c r="G6" s="102" t="s">
        <v>7</v>
      </c>
      <c r="H6" s="103">
        <v>1000</v>
      </c>
      <c r="I6" s="103">
        <v>100</v>
      </c>
      <c r="J6" s="2"/>
      <c r="K6" s="105"/>
      <c r="L6" s="95"/>
      <c r="M6" s="96"/>
      <c r="R6" s="1">
        <f>IF(vend14[[#This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9202</v>
      </c>
      <c r="F7" s="94" t="s">
        <v>235</v>
      </c>
      <c r="G7" s="102" t="s">
        <v>38</v>
      </c>
      <c r="H7" s="103">
        <v>0</v>
      </c>
      <c r="I7" s="103"/>
      <c r="J7" s="2"/>
      <c r="K7" s="105"/>
      <c r="L7" s="95"/>
      <c r="M7" s="96"/>
      <c r="R7" s="1">
        <f>IF(vend14[[#This Row],[Nº Venda]]&gt;1,1,0)</f>
        <v>1</v>
      </c>
    </row>
    <row r="8" spans="2:18" ht="15.75" x14ac:dyDescent="0.25">
      <c r="B8" s="28" t="s">
        <v>20</v>
      </c>
      <c r="C8" s="29">
        <f>SUM(C6:C7)</f>
        <v>312</v>
      </c>
      <c r="D8" s="2"/>
      <c r="E8" s="94">
        <v>9203</v>
      </c>
      <c r="F8" s="94" t="s">
        <v>236</v>
      </c>
      <c r="G8" s="104" t="s">
        <v>6</v>
      </c>
      <c r="H8" s="103">
        <v>549</v>
      </c>
      <c r="I8" s="103">
        <v>50</v>
      </c>
      <c r="J8" s="2"/>
      <c r="K8" s="105"/>
      <c r="L8" s="95"/>
      <c r="M8" s="96"/>
      <c r="R8" s="1">
        <f>IF(vend14[[#This Row],[Nº Venda]]&gt;1,1,0)</f>
        <v>1</v>
      </c>
    </row>
    <row r="9" spans="2:18" ht="15.75" x14ac:dyDescent="0.25">
      <c r="B9" s="2"/>
      <c r="C9" s="2"/>
      <c r="D9" s="2"/>
      <c r="E9" s="94">
        <v>9204</v>
      </c>
      <c r="F9" s="94" t="s">
        <v>236</v>
      </c>
      <c r="G9" s="104" t="s">
        <v>7</v>
      </c>
      <c r="H9" s="103">
        <v>700</v>
      </c>
      <c r="I9" s="103">
        <v>30</v>
      </c>
      <c r="J9" s="2"/>
      <c r="K9" s="105"/>
      <c r="L9" s="95"/>
      <c r="M9" s="96"/>
      <c r="R9" s="1">
        <f>IF(vend14[[#This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9205</v>
      </c>
      <c r="F10" s="94" t="s">
        <v>237</v>
      </c>
      <c r="G10" s="104" t="s">
        <v>6</v>
      </c>
      <c r="H10" s="103">
        <v>900</v>
      </c>
      <c r="I10" s="103">
        <v>2</v>
      </c>
      <c r="J10" s="2"/>
      <c r="K10" s="105"/>
      <c r="L10" s="95"/>
      <c r="M10" s="96"/>
      <c r="R10" s="1">
        <f>IF(vend14[[#This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235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260</v>
      </c>
      <c r="D12" s="2"/>
      <c r="E12" s="94"/>
      <c r="F12" s="94"/>
      <c r="G12" s="104"/>
      <c r="H12" s="103"/>
      <c r="I12" s="103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IF(vend14[[#This Row],[Nº Venda]]&gt;1,1,0)</f>
        <v>0</v>
      </c>
    </row>
    <row r="15" spans="2:18" ht="15.75" x14ac:dyDescent="0.25">
      <c r="B15" s="28" t="s">
        <v>10</v>
      </c>
      <c r="C15" s="32">
        <f>SUM(C11:C14)</f>
        <v>495</v>
      </c>
      <c r="D15" s="2"/>
      <c r="E15" s="94"/>
      <c r="F15" s="94"/>
      <c r="G15" s="104"/>
      <c r="H15" s="103"/>
      <c r="I15" s="103"/>
      <c r="J15" s="2"/>
      <c r="K15" s="105">
        <v>9068</v>
      </c>
      <c r="L15" s="95" t="s">
        <v>210</v>
      </c>
      <c r="M15" s="96" t="s">
        <v>148</v>
      </c>
      <c r="R15" s="1">
        <f>IF(vend14[[#This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9099</v>
      </c>
      <c r="L16" s="95" t="s">
        <v>211</v>
      </c>
      <c r="M16" s="96" t="s">
        <v>132</v>
      </c>
      <c r="R16" s="1">
        <f>IF(vend14[[#This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9157</v>
      </c>
      <c r="L17" s="95" t="s">
        <v>210</v>
      </c>
      <c r="M17" s="96" t="s">
        <v>132</v>
      </c>
      <c r="R17" s="1">
        <f>IF(vend14[[#This Row],[Nº Venda]]&gt;1,1,0)</f>
        <v>0</v>
      </c>
    </row>
    <row r="18" spans="2:18" ht="15.75" x14ac:dyDescent="0.25">
      <c r="B18" s="30">
        <f>COUNT(entr_carn14[OS])</f>
        <v>1</v>
      </c>
      <c r="C18" s="31">
        <f>SUM(entr_carn14[Valor Total])</f>
        <v>875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IF(vend14[[#This Row],[Nº Venda]]&gt;1,1,0)</f>
        <v>0</v>
      </c>
    </row>
    <row r="19" spans="2:18" ht="15.75" x14ac:dyDescent="0.25">
      <c r="B19" s="28" t="s">
        <v>10</v>
      </c>
      <c r="C19" s="32">
        <f>SUM(C18:C18)</f>
        <v>875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IF(vend14[[#This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IF(vend14[[#This Row],[Nº Venda]]&gt;1,1,0)</f>
        <v>0</v>
      </c>
    </row>
    <row r="21" spans="2:18" ht="15.75" x14ac:dyDescent="0.25">
      <c r="B21" s="28" t="s">
        <v>25</v>
      </c>
      <c r="C21" s="32">
        <f>C5</f>
        <v>3149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9158</v>
      </c>
      <c r="F26" s="94" t="s">
        <v>186</v>
      </c>
      <c r="G26" s="104" t="s">
        <v>7</v>
      </c>
      <c r="H26" s="103"/>
      <c r="I26" s="103">
        <v>130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8034</v>
      </c>
      <c r="F35" s="94" t="s">
        <v>238</v>
      </c>
      <c r="G35" s="104" t="s">
        <v>6</v>
      </c>
      <c r="H35" s="103">
        <v>133</v>
      </c>
      <c r="I35" s="103" t="s">
        <v>49</v>
      </c>
      <c r="K35" s="105">
        <v>9068</v>
      </c>
      <c r="L35" s="108">
        <v>7</v>
      </c>
      <c r="M35" s="96">
        <v>875</v>
      </c>
    </row>
    <row r="36" spans="5:18" ht="15.75" x14ac:dyDescent="0.25">
      <c r="E36" s="94">
        <v>8907</v>
      </c>
      <c r="F36" s="94" t="s">
        <v>239</v>
      </c>
      <c r="G36" s="104" t="s">
        <v>6</v>
      </c>
      <c r="H36" s="103">
        <v>50</v>
      </c>
      <c r="I36" s="103" t="s">
        <v>50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5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6A6D97E3-5A16-4AA2-81E6-E08B3CD71B30}">
          <x14:formula1>
            <xm:f>base!$A$2:$A$8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base!$A$2:$A$5</xm:f>
          </x14:formula1>
          <xm:sqref>G26:G31 G35:G41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23" zoomScale="80" zoomScaleNormal="8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'14'!B1+1</f>
        <v>45427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438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938</v>
      </c>
      <c r="D6" s="2"/>
      <c r="E6" s="94">
        <v>9206</v>
      </c>
      <c r="F6" s="94" t="s">
        <v>145</v>
      </c>
      <c r="G6" s="102" t="s">
        <v>7</v>
      </c>
      <c r="H6" s="103">
        <v>59</v>
      </c>
      <c r="I6" s="103">
        <v>59</v>
      </c>
      <c r="J6" s="2"/>
      <c r="K6" s="105"/>
      <c r="L6" s="95"/>
      <c r="M6" s="9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2"/>
      <c r="H7" s="103"/>
      <c r="I7" s="103"/>
      <c r="J7" s="2"/>
      <c r="K7" s="105"/>
      <c r="L7" s="95"/>
      <c r="M7" s="96"/>
      <c r="R7" s="1">
        <f>IF(vend15[[#This Row],[Nº Venda]]&gt;1,1,0)</f>
        <v>0</v>
      </c>
    </row>
    <row r="8" spans="2:18" ht="15.75" x14ac:dyDescent="0.25">
      <c r="B8" s="28" t="s">
        <v>20</v>
      </c>
      <c r="C8" s="29">
        <f>SUM(C6:C7)</f>
        <v>938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IF(vend15[[#This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738</v>
      </c>
      <c r="D12" s="2"/>
      <c r="E12" s="94"/>
      <c r="F12" s="94"/>
      <c r="G12" s="104"/>
      <c r="H12" s="103"/>
      <c r="I12" s="103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IF(vend15[[#This Row],[Nº Venda]]&gt;1,1,0)</f>
        <v>0</v>
      </c>
    </row>
    <row r="15" spans="2:18" ht="15.75" x14ac:dyDescent="0.25">
      <c r="B15" s="28" t="s">
        <v>10</v>
      </c>
      <c r="C15" s="32">
        <f>SUM(C11:C14)</f>
        <v>938</v>
      </c>
      <c r="D15" s="2"/>
      <c r="E15" s="94"/>
      <c r="F15" s="94"/>
      <c r="G15" s="104"/>
      <c r="H15" s="103"/>
      <c r="I15" s="103"/>
      <c r="J15" s="2"/>
      <c r="K15" s="105">
        <v>9130</v>
      </c>
      <c r="L15" s="95" t="s">
        <v>146</v>
      </c>
      <c r="M15" s="96" t="s">
        <v>132</v>
      </c>
      <c r="R15" s="1">
        <f>IF(vend15[[#This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9106</v>
      </c>
      <c r="L16" s="95" t="s">
        <v>146</v>
      </c>
      <c r="M16" s="96" t="s">
        <v>132</v>
      </c>
      <c r="R16" s="1">
        <f>IF(vend15[[#This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9112</v>
      </c>
      <c r="L17" s="95" t="s">
        <v>131</v>
      </c>
      <c r="M17" s="96" t="s">
        <v>132</v>
      </c>
      <c r="R17" s="1">
        <f>IF(vend15[[#This Row],[Nº Venda]]&gt;1,1,0)</f>
        <v>0</v>
      </c>
    </row>
    <row r="18" spans="2:18" ht="15.75" x14ac:dyDescent="0.25">
      <c r="B18" s="30">
        <f>COUNT(entr_carn15[OS])</f>
        <v>1</v>
      </c>
      <c r="C18" s="31">
        <f>SUM(entr_carn15[Valor Total])</f>
        <v>1288</v>
      </c>
      <c r="D18" s="2"/>
      <c r="E18" s="94"/>
      <c r="F18" s="94"/>
      <c r="G18" s="104"/>
      <c r="H18" s="103"/>
      <c r="I18" s="103"/>
      <c r="J18" s="2"/>
      <c r="K18" s="105">
        <v>9113</v>
      </c>
      <c r="L18" s="95" t="s">
        <v>131</v>
      </c>
      <c r="M18" s="96" t="s">
        <v>132</v>
      </c>
      <c r="R18" s="1">
        <f>IF(vend15[[#This Row],[Nº Venda]]&gt;1,1,0)</f>
        <v>0</v>
      </c>
    </row>
    <row r="19" spans="2:18" ht="15.75" x14ac:dyDescent="0.25">
      <c r="B19" s="28" t="s">
        <v>10</v>
      </c>
      <c r="C19" s="32">
        <f>SUM(C18:C18)</f>
        <v>1288</v>
      </c>
      <c r="D19" s="2"/>
      <c r="E19" s="94"/>
      <c r="F19" s="94"/>
      <c r="G19" s="104"/>
      <c r="H19" s="103"/>
      <c r="I19" s="103"/>
      <c r="J19" s="2"/>
      <c r="K19" s="105">
        <v>9051</v>
      </c>
      <c r="L19" s="95" t="s">
        <v>146</v>
      </c>
      <c r="M19" s="96" t="s">
        <v>132</v>
      </c>
      <c r="R19" s="1">
        <f>IF(vend15[[#This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9116</v>
      </c>
      <c r="L20" s="95" t="s">
        <v>146</v>
      </c>
      <c r="M20" s="96" t="s">
        <v>148</v>
      </c>
      <c r="R20" s="1">
        <f>IF(vend15[[#This Row],[Nº Venda]]&gt;1,1,0)</f>
        <v>0</v>
      </c>
    </row>
    <row r="21" spans="2:18" ht="15.75" x14ac:dyDescent="0.25">
      <c r="B21" s="28" t="s">
        <v>25</v>
      </c>
      <c r="C21" s="32">
        <f>C5</f>
        <v>438</v>
      </c>
      <c r="D21" s="2"/>
      <c r="E21" s="94"/>
      <c r="F21" s="94"/>
      <c r="G21" s="104"/>
      <c r="H21" s="103"/>
      <c r="I21" s="103"/>
      <c r="J21" s="2"/>
      <c r="K21" s="105">
        <v>9013</v>
      </c>
      <c r="L21" s="95" t="s">
        <v>147</v>
      </c>
      <c r="M21" s="96" t="s">
        <v>132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9130</v>
      </c>
      <c r="F26" s="94" t="s">
        <v>145</v>
      </c>
      <c r="G26" s="102" t="s">
        <v>7</v>
      </c>
      <c r="H26" s="103">
        <v>379</v>
      </c>
      <c r="I26" s="103">
        <v>379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9116</v>
      </c>
      <c r="F27" s="94" t="s">
        <v>242</v>
      </c>
      <c r="G27" s="104" t="s">
        <v>7</v>
      </c>
      <c r="H27" s="103"/>
      <c r="I27" s="103">
        <v>200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9013</v>
      </c>
      <c r="F28" s="94" t="s">
        <v>243</v>
      </c>
      <c r="G28" s="104" t="s">
        <v>7</v>
      </c>
      <c r="H28" s="103"/>
      <c r="I28" s="103">
        <v>100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9142</v>
      </c>
      <c r="F29" s="94" t="s">
        <v>166</v>
      </c>
      <c r="G29" s="104" t="s">
        <v>6</v>
      </c>
      <c r="H29" s="103"/>
      <c r="I29" s="103">
        <v>200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>
        <v>9116</v>
      </c>
      <c r="L35" s="108">
        <v>8</v>
      </c>
      <c r="M35" s="96">
        <v>1288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D2E9574C-8978-4987-B70B-5E6645EF0D63}">
          <x14:formula1>
            <xm:f>base!$A$2:$A$8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base!$A$2:$A$5</xm:f>
          </x14:formula1>
          <xm:sqref>G26:G31 G35:G41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B7" zoomScale="95" zoomScaleNormal="95" workbookViewId="0">
      <selection activeCell="E29" sqref="E29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'15'!B1+1</f>
        <v>45428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1839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1280</v>
      </c>
      <c r="D6" s="2"/>
      <c r="E6" s="94">
        <v>9207</v>
      </c>
      <c r="F6" s="94" t="s">
        <v>244</v>
      </c>
      <c r="G6" s="102" t="s">
        <v>9</v>
      </c>
      <c r="H6" s="103">
        <v>989</v>
      </c>
      <c r="I6" s="103">
        <v>30</v>
      </c>
      <c r="J6" s="2"/>
      <c r="K6" s="105"/>
      <c r="L6" s="95"/>
      <c r="M6" s="9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9208</v>
      </c>
      <c r="F7" s="94" t="s">
        <v>245</v>
      </c>
      <c r="G7" s="102" t="s">
        <v>9</v>
      </c>
      <c r="H7" s="103">
        <v>500</v>
      </c>
      <c r="I7" s="103">
        <v>50</v>
      </c>
      <c r="J7" s="2"/>
      <c r="K7" s="105"/>
      <c r="L7" s="95"/>
      <c r="M7" s="96"/>
      <c r="R7" s="1">
        <f>IF(vend16[[#This Row],[Nº Venda]]&gt;1,1,0)</f>
        <v>1</v>
      </c>
    </row>
    <row r="8" spans="2:18" ht="15.75" x14ac:dyDescent="0.25">
      <c r="B8" s="28" t="s">
        <v>20</v>
      </c>
      <c r="C8" s="29">
        <f>SUM(C6:C7)</f>
        <v>1280</v>
      </c>
      <c r="D8" s="2"/>
      <c r="E8" s="94">
        <v>9209</v>
      </c>
      <c r="F8" s="94" t="s">
        <v>246</v>
      </c>
      <c r="G8" s="104" t="s">
        <v>7</v>
      </c>
      <c r="H8" s="103">
        <v>100</v>
      </c>
      <c r="I8" s="103">
        <v>100</v>
      </c>
      <c r="J8" s="2"/>
      <c r="K8" s="105"/>
      <c r="L8" s="95"/>
      <c r="M8" s="9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94">
        <v>9210</v>
      </c>
      <c r="F9" s="94" t="s">
        <v>247</v>
      </c>
      <c r="G9" s="104" t="s">
        <v>6</v>
      </c>
      <c r="H9" s="103">
        <v>250</v>
      </c>
      <c r="I9" s="103">
        <v>200</v>
      </c>
      <c r="J9" s="2"/>
      <c r="K9" s="105"/>
      <c r="L9" s="95"/>
      <c r="M9" s="96"/>
      <c r="R9" s="1">
        <f>IF(vend16[[#This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9210</v>
      </c>
      <c r="F10" s="94" t="s">
        <v>247</v>
      </c>
      <c r="G10" s="104" t="s">
        <v>7</v>
      </c>
      <c r="H10" s="103"/>
      <c r="I10" s="103">
        <v>50</v>
      </c>
      <c r="J10" s="2"/>
      <c r="K10" s="105"/>
      <c r="L10" s="95"/>
      <c r="M10" s="9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600</v>
      </c>
      <c r="D12" s="2"/>
      <c r="E12" s="94"/>
      <c r="F12" s="94"/>
      <c r="G12" s="104"/>
      <c r="H12" s="103"/>
      <c r="I12" s="103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580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IF(vend16[[#This Row],[Nº Venda]]&gt;1,1,0)</f>
        <v>0</v>
      </c>
    </row>
    <row r="15" spans="2:18" ht="15.75" x14ac:dyDescent="0.25">
      <c r="B15" s="28" t="s">
        <v>10</v>
      </c>
      <c r="C15" s="32">
        <f>SUM(C11:C14)</f>
        <v>1480</v>
      </c>
      <c r="D15" s="2"/>
      <c r="E15" s="94"/>
      <c r="F15" s="94"/>
      <c r="G15" s="104"/>
      <c r="H15" s="103"/>
      <c r="I15" s="103"/>
      <c r="J15" s="2"/>
      <c r="K15" s="105">
        <v>9045</v>
      </c>
      <c r="L15" s="95" t="s">
        <v>210</v>
      </c>
      <c r="M15" s="96" t="s">
        <v>132</v>
      </c>
      <c r="R15" s="1">
        <f>IF(vend16[[#This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9210</v>
      </c>
      <c r="L16" s="95" t="s">
        <v>210</v>
      </c>
      <c r="M16" s="96" t="s">
        <v>132</v>
      </c>
      <c r="R16" s="1">
        <f>IF(vend16[[#This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9153</v>
      </c>
      <c r="L17" s="95" t="s">
        <v>249</v>
      </c>
      <c r="M17" s="96" t="s">
        <v>132</v>
      </c>
      <c r="R17" s="1">
        <f>IF(vend16[[#This Row],[Nº Venda]]&gt;1,1,0)</f>
        <v>0</v>
      </c>
    </row>
    <row r="18" spans="2:18" ht="15.75" x14ac:dyDescent="0.25">
      <c r="B18" s="30">
        <f>COUNT(entr_carn16[OS])</f>
        <v>1</v>
      </c>
      <c r="C18" s="31">
        <f>SUM(entr_carn16[Valor Total])</f>
        <v>650</v>
      </c>
      <c r="D18" s="2"/>
      <c r="E18" s="94"/>
      <c r="F18" s="94"/>
      <c r="G18" s="104"/>
      <c r="H18" s="103"/>
      <c r="I18" s="103"/>
      <c r="J18" s="2"/>
      <c r="K18" s="105">
        <v>9154</v>
      </c>
      <c r="L18" s="95" t="s">
        <v>249</v>
      </c>
      <c r="M18" s="96" t="s">
        <v>132</v>
      </c>
      <c r="R18" s="1">
        <f>IF(vend16[[#This Row],[Nº Venda]]&gt;1,1,0)</f>
        <v>0</v>
      </c>
    </row>
    <row r="19" spans="2:18" ht="15.75" x14ac:dyDescent="0.25">
      <c r="B19" s="28" t="s">
        <v>10</v>
      </c>
      <c r="C19" s="32">
        <f>SUM(C18:C18)</f>
        <v>650</v>
      </c>
      <c r="D19" s="2"/>
      <c r="E19" s="94"/>
      <c r="F19" s="94"/>
      <c r="G19" s="104"/>
      <c r="H19" s="103"/>
      <c r="I19" s="103"/>
      <c r="J19" s="2"/>
      <c r="K19" s="105">
        <v>9150</v>
      </c>
      <c r="L19" s="95" t="s">
        <v>210</v>
      </c>
      <c r="M19" s="96" t="s">
        <v>148</v>
      </c>
      <c r="R19" s="1">
        <f>IF(vend16[[#This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IF(vend16[[#This Row],[Nº Venda]]&gt;1,1,0)</f>
        <v>0</v>
      </c>
    </row>
    <row r="21" spans="2:18" ht="15.75" x14ac:dyDescent="0.25">
      <c r="B21" s="28" t="s">
        <v>25</v>
      </c>
      <c r="C21" s="32">
        <f>C5</f>
        <v>1839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8044</v>
      </c>
      <c r="F26" s="94" t="s">
        <v>248</v>
      </c>
      <c r="G26" s="102" t="s">
        <v>9</v>
      </c>
      <c r="H26" s="103"/>
      <c r="I26" s="103">
        <v>200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9045</v>
      </c>
      <c r="F27" s="94" t="s">
        <v>248</v>
      </c>
      <c r="G27" s="104" t="s">
        <v>9</v>
      </c>
      <c r="H27" s="103"/>
      <c r="I27" s="103">
        <v>200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9140</v>
      </c>
      <c r="F28" s="94" t="s">
        <v>252</v>
      </c>
      <c r="G28" s="104" t="s">
        <v>7</v>
      </c>
      <c r="H28" s="103"/>
      <c r="I28" s="103">
        <v>450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8729</v>
      </c>
      <c r="F35" s="94" t="s">
        <v>250</v>
      </c>
      <c r="G35" s="104" t="s">
        <v>6</v>
      </c>
      <c r="H35" s="103">
        <v>50</v>
      </c>
      <c r="I35" s="103" t="s">
        <v>53</v>
      </c>
      <c r="K35" s="105">
        <v>9150</v>
      </c>
      <c r="L35" s="108">
        <v>5</v>
      </c>
      <c r="M35" s="96">
        <v>650</v>
      </c>
    </row>
    <row r="36" spans="5:18" ht="15.75" x14ac:dyDescent="0.25">
      <c r="E36" s="94">
        <v>8729</v>
      </c>
      <c r="F36" s="94" t="s">
        <v>250</v>
      </c>
      <c r="G36" s="104" t="s">
        <v>6</v>
      </c>
      <c r="H36" s="103">
        <v>50</v>
      </c>
      <c r="I36" s="103" t="s">
        <v>47</v>
      </c>
      <c r="K36" s="105"/>
      <c r="L36" s="108"/>
      <c r="M36" s="96"/>
    </row>
    <row r="37" spans="5:18" ht="15.75" x14ac:dyDescent="0.25">
      <c r="E37" s="94">
        <v>8185</v>
      </c>
      <c r="F37" s="94" t="s">
        <v>251</v>
      </c>
      <c r="G37" s="104" t="s">
        <v>9</v>
      </c>
      <c r="H37" s="103">
        <v>50</v>
      </c>
      <c r="I37" s="103" t="s">
        <v>55</v>
      </c>
      <c r="K37" s="105"/>
      <c r="L37" s="108"/>
      <c r="M37" s="96"/>
    </row>
    <row r="38" spans="5:18" ht="15.75" x14ac:dyDescent="0.25">
      <c r="E38" s="94">
        <v>8185</v>
      </c>
      <c r="F38" s="94" t="s">
        <v>251</v>
      </c>
      <c r="G38" s="104" t="s">
        <v>9</v>
      </c>
      <c r="H38" s="103">
        <v>50</v>
      </c>
      <c r="I38" s="103" t="s">
        <v>36</v>
      </c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5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93DBB679-1465-4AE3-9464-4632F880272C}">
          <x14:formula1>
            <xm:f>base!$A$2:$A$5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base!$A$2:$A$8</xm:f>
          </x14:formula1>
          <xm:sqref>G6:G22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9" zoomScale="80" zoomScaleNormal="80" workbookViewId="0">
      <selection activeCell="E27" sqref="E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'16'!B1+1</f>
        <v>45429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9332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5192.5</v>
      </c>
      <c r="D6" s="2"/>
      <c r="E6" s="94">
        <v>9211</v>
      </c>
      <c r="F6" s="94" t="s">
        <v>253</v>
      </c>
      <c r="G6" s="104" t="s">
        <v>8</v>
      </c>
      <c r="H6" s="103">
        <v>690</v>
      </c>
      <c r="I6" s="103">
        <v>690</v>
      </c>
      <c r="J6" s="2"/>
      <c r="K6" s="105" t="s">
        <v>264</v>
      </c>
      <c r="L6" s="95" t="s">
        <v>265</v>
      </c>
      <c r="M6" s="96">
        <v>7.65</v>
      </c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7.65</v>
      </c>
      <c r="D7" s="2"/>
      <c r="E7" s="94">
        <v>9212</v>
      </c>
      <c r="F7" s="94" t="s">
        <v>254</v>
      </c>
      <c r="G7" s="104" t="s">
        <v>8</v>
      </c>
      <c r="H7" s="103">
        <v>690</v>
      </c>
      <c r="I7" s="103">
        <v>690</v>
      </c>
      <c r="J7" s="2"/>
      <c r="K7" s="105"/>
      <c r="L7" s="95"/>
      <c r="M7" s="96"/>
      <c r="R7" s="1">
        <f>IF(vend17[[#This Row],[Nº Venda]]&gt;1,1,0)</f>
        <v>1</v>
      </c>
    </row>
    <row r="8" spans="2:18" ht="15.75" x14ac:dyDescent="0.25">
      <c r="B8" s="28" t="s">
        <v>20</v>
      </c>
      <c r="C8" s="29">
        <f>SUM(C6:C7)</f>
        <v>5200.1499999999996</v>
      </c>
      <c r="D8" s="2"/>
      <c r="E8" s="94">
        <v>9213</v>
      </c>
      <c r="F8" s="94" t="s">
        <v>255</v>
      </c>
      <c r="G8" s="104" t="s">
        <v>7</v>
      </c>
      <c r="H8" s="103">
        <v>700</v>
      </c>
      <c r="I8" s="103">
        <v>500</v>
      </c>
      <c r="J8" s="2"/>
      <c r="K8" s="105"/>
      <c r="L8" s="95"/>
      <c r="M8" s="9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94">
        <v>9214</v>
      </c>
      <c r="F9" s="94" t="s">
        <v>256</v>
      </c>
      <c r="G9" s="104" t="s">
        <v>6</v>
      </c>
      <c r="H9" s="103">
        <v>750</v>
      </c>
      <c r="I9" s="103">
        <v>75</v>
      </c>
      <c r="J9" s="2"/>
      <c r="K9" s="105"/>
      <c r="L9" s="95"/>
      <c r="M9" s="96"/>
      <c r="R9" s="1">
        <f>IF(vend17[[#This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9215</v>
      </c>
      <c r="F10" s="94" t="s">
        <v>257</v>
      </c>
      <c r="G10" s="104" t="s">
        <v>8</v>
      </c>
      <c r="H10" s="103">
        <v>790</v>
      </c>
      <c r="I10" s="103">
        <v>790</v>
      </c>
      <c r="J10" s="2"/>
      <c r="K10" s="105"/>
      <c r="L10" s="95"/>
      <c r="M10" s="96"/>
      <c r="R10" s="1">
        <f>IF(vend17[[#This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996.05</v>
      </c>
      <c r="D11" s="2"/>
      <c r="E11" s="94">
        <v>9216</v>
      </c>
      <c r="F11" s="94" t="s">
        <v>257</v>
      </c>
      <c r="G11" s="104" t="s">
        <v>8</v>
      </c>
      <c r="H11" s="103">
        <v>100</v>
      </c>
      <c r="I11" s="103">
        <v>100</v>
      </c>
      <c r="J11" s="2"/>
      <c r="K11" s="106"/>
      <c r="L11" s="95"/>
      <c r="M11" s="96"/>
      <c r="O11" s="1">
        <f>IF(C15=0,0,1)</f>
        <v>1</v>
      </c>
      <c r="R11" s="1">
        <f>IF(vend17[[#This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535</v>
      </c>
      <c r="D12" s="2"/>
      <c r="E12" s="94">
        <v>9217</v>
      </c>
      <c r="F12" s="94" t="s">
        <v>258</v>
      </c>
      <c r="G12" s="104" t="s">
        <v>8</v>
      </c>
      <c r="H12" s="103">
        <v>580</v>
      </c>
      <c r="I12" s="103">
        <v>100</v>
      </c>
      <c r="J12" s="2"/>
      <c r="R12" s="1">
        <f>IF(vend17[[#This Row],[Nº Venda]]&gt;1,1,0)</f>
        <v>1</v>
      </c>
    </row>
    <row r="13" spans="2:18" ht="15.75" x14ac:dyDescent="0.25">
      <c r="B13" s="30" t="s">
        <v>8</v>
      </c>
      <c r="C13" s="31">
        <f t="shared" si="0"/>
        <v>2370</v>
      </c>
      <c r="D13" s="2"/>
      <c r="E13" s="94">
        <v>9218</v>
      </c>
      <c r="F13" s="94" t="s">
        <v>259</v>
      </c>
      <c r="G13" s="104" t="s">
        <v>6</v>
      </c>
      <c r="H13" s="103">
        <v>696</v>
      </c>
      <c r="I13" s="103">
        <v>150</v>
      </c>
      <c r="J13" s="2"/>
      <c r="K13" s="129" t="s">
        <v>21</v>
      </c>
      <c r="L13" s="130"/>
      <c r="M13" s="131"/>
      <c r="R13" s="1">
        <f>IF(vend17[[#This Row],[Nº Venda]]&gt;1,1,0)</f>
        <v>1</v>
      </c>
    </row>
    <row r="14" spans="2:18" ht="15.75" x14ac:dyDescent="0.25">
      <c r="B14" s="30" t="s">
        <v>9</v>
      </c>
      <c r="C14" s="31">
        <f t="shared" si="0"/>
        <v>1450</v>
      </c>
      <c r="D14" s="2"/>
      <c r="E14" s="94">
        <v>9219</v>
      </c>
      <c r="F14" s="94" t="s">
        <v>239</v>
      </c>
      <c r="G14" s="104" t="s">
        <v>9</v>
      </c>
      <c r="H14" s="103">
        <v>2200</v>
      </c>
      <c r="I14" s="103">
        <v>1200</v>
      </c>
      <c r="J14" s="2"/>
      <c r="K14" s="14" t="s">
        <v>22</v>
      </c>
      <c r="L14" s="6" t="s">
        <v>23</v>
      </c>
      <c r="M14" s="15" t="s">
        <v>24</v>
      </c>
      <c r="R14" s="1">
        <f>IF(vend17[[#This Row],[Nº Venda]]&gt;1,1,0)</f>
        <v>1</v>
      </c>
    </row>
    <row r="15" spans="2:18" ht="15.75" x14ac:dyDescent="0.25">
      <c r="B15" s="28" t="s">
        <v>10</v>
      </c>
      <c r="C15" s="32">
        <f>SUM(C11:C14)</f>
        <v>5351.05</v>
      </c>
      <c r="D15" s="2"/>
      <c r="E15" s="94">
        <v>9220</v>
      </c>
      <c r="F15" s="94" t="s">
        <v>262</v>
      </c>
      <c r="G15" s="104" t="s">
        <v>6</v>
      </c>
      <c r="H15" s="103">
        <v>590</v>
      </c>
      <c r="I15" s="103">
        <v>25</v>
      </c>
      <c r="J15" s="2"/>
      <c r="K15" s="105">
        <v>9140</v>
      </c>
      <c r="L15" s="95" t="s">
        <v>146</v>
      </c>
      <c r="M15" s="96" t="s">
        <v>132</v>
      </c>
      <c r="R15" s="1">
        <f>IF(vend17[[#This Row],[Nº Venda]]&gt;1,1,0)</f>
        <v>1</v>
      </c>
    </row>
    <row r="16" spans="2:18" ht="15.75" x14ac:dyDescent="0.25">
      <c r="B16" s="2"/>
      <c r="C16" s="2"/>
      <c r="D16" s="2"/>
      <c r="E16" s="94">
        <v>9221</v>
      </c>
      <c r="F16" s="94" t="s">
        <v>262</v>
      </c>
      <c r="G16" s="104" t="s">
        <v>6</v>
      </c>
      <c r="H16" s="103">
        <v>711</v>
      </c>
      <c r="I16" s="103">
        <v>25</v>
      </c>
      <c r="J16" s="2"/>
      <c r="K16" s="105">
        <v>9104</v>
      </c>
      <c r="L16" s="95" t="s">
        <v>147</v>
      </c>
      <c r="M16" s="96" t="s">
        <v>132</v>
      </c>
      <c r="R16" s="1">
        <f>IF(vend17[[#This Row],[Nº Venda]]&gt;1,1,0)</f>
        <v>1</v>
      </c>
    </row>
    <row r="17" spans="2:18" ht="15.75" x14ac:dyDescent="0.25">
      <c r="B17" s="127" t="s">
        <v>11</v>
      </c>
      <c r="C17" s="127"/>
      <c r="D17" s="2"/>
      <c r="E17" s="94">
        <v>9222</v>
      </c>
      <c r="F17" s="94" t="s">
        <v>263</v>
      </c>
      <c r="G17" s="104" t="s">
        <v>6</v>
      </c>
      <c r="H17" s="103">
        <v>800</v>
      </c>
      <c r="I17" s="103">
        <v>500</v>
      </c>
      <c r="J17" s="2"/>
      <c r="K17" s="105">
        <v>8531</v>
      </c>
      <c r="L17" s="95" t="s">
        <v>131</v>
      </c>
      <c r="M17" s="96" t="s">
        <v>132</v>
      </c>
      <c r="R17" s="1">
        <f>IF(vend17[[#This Row],[Nº Venda]]&gt;1,1,0)</f>
        <v>1</v>
      </c>
    </row>
    <row r="18" spans="2:18" ht="15.75" x14ac:dyDescent="0.25">
      <c r="B18" s="30">
        <f>COUNT(entr_carn17[OS])</f>
        <v>1</v>
      </c>
      <c r="C18" s="31">
        <f>SUM(entr_carn17[Valor Total])</f>
        <v>400</v>
      </c>
      <c r="D18" s="2"/>
      <c r="E18" s="94"/>
      <c r="F18" s="94"/>
      <c r="G18" s="104"/>
      <c r="H18" s="103"/>
      <c r="I18" s="103"/>
      <c r="J18" s="2"/>
      <c r="K18" s="105">
        <v>9158</v>
      </c>
      <c r="L18" s="95" t="s">
        <v>146</v>
      </c>
      <c r="M18" s="96" t="s">
        <v>132</v>
      </c>
      <c r="R18" s="1">
        <f>IF(vend17[[#This Row],[Nº Venda]]&gt;1,1,0)</f>
        <v>0</v>
      </c>
    </row>
    <row r="19" spans="2:18" ht="15.75" x14ac:dyDescent="0.25">
      <c r="B19" s="28" t="s">
        <v>10</v>
      </c>
      <c r="C19" s="32">
        <f>SUM(C18:C18)</f>
        <v>400</v>
      </c>
      <c r="D19" s="2"/>
      <c r="E19" s="94"/>
      <c r="F19" s="94"/>
      <c r="G19" s="104"/>
      <c r="H19" s="103"/>
      <c r="I19" s="103"/>
      <c r="J19" s="2"/>
      <c r="K19" s="105">
        <v>9174</v>
      </c>
      <c r="L19" s="95" t="s">
        <v>146</v>
      </c>
      <c r="M19" s="96" t="s">
        <v>132</v>
      </c>
      <c r="R19" s="1">
        <f>IF(vend17[[#This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9173</v>
      </c>
      <c r="L20" s="95" t="s">
        <v>146</v>
      </c>
      <c r="M20" s="96" t="s">
        <v>132</v>
      </c>
      <c r="R20" s="1">
        <f>IF(vend17[[#This Row],[Nº Venda]]&gt;1,1,0)</f>
        <v>0</v>
      </c>
    </row>
    <row r="21" spans="2:18" ht="15.75" x14ac:dyDescent="0.25">
      <c r="B21" s="28" t="s">
        <v>25</v>
      </c>
      <c r="C21" s="32">
        <f>C5</f>
        <v>9332</v>
      </c>
      <c r="D21" s="2"/>
      <c r="E21" s="94"/>
      <c r="F21" s="94"/>
      <c r="G21" s="104"/>
      <c r="H21" s="103"/>
      <c r="I21" s="103"/>
      <c r="J21" s="2"/>
      <c r="K21" s="105">
        <v>9177</v>
      </c>
      <c r="L21" s="95" t="s">
        <v>146</v>
      </c>
      <c r="M21" s="96" t="s">
        <v>132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9118</v>
      </c>
      <c r="F26" s="94" t="s">
        <v>133</v>
      </c>
      <c r="G26" s="104" t="s">
        <v>9</v>
      </c>
      <c r="H26" s="103"/>
      <c r="I26" s="103">
        <v>250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125">
        <v>9200</v>
      </c>
      <c r="F27" s="94" t="s">
        <v>261</v>
      </c>
      <c r="G27" s="104" t="s">
        <v>7</v>
      </c>
      <c r="H27" s="103">
        <v>35</v>
      </c>
      <c r="I27" s="103">
        <v>35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8932</v>
      </c>
      <c r="F28" s="94" t="s">
        <v>266</v>
      </c>
      <c r="G28" s="104" t="s">
        <v>6</v>
      </c>
      <c r="H28" s="103"/>
      <c r="I28" s="103">
        <v>62.5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8862</v>
      </c>
      <c r="F35" s="94" t="s">
        <v>260</v>
      </c>
      <c r="G35" s="104" t="s">
        <v>6</v>
      </c>
      <c r="H35" s="103">
        <v>158.55000000000001</v>
      </c>
      <c r="I35" s="103" t="s">
        <v>81</v>
      </c>
      <c r="K35" s="105">
        <v>9104</v>
      </c>
      <c r="L35" s="108">
        <v>7</v>
      </c>
      <c r="M35" s="96">
        <v>400</v>
      </c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12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51FDB922-3E57-4990-B691-641DA5F97512}">
          <x14:formula1>
            <xm:f>base!$A$2:$A$8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base!$A$2:$A$5</xm:f>
          </x14:formula1>
          <xm:sqref>G26:G31 G35:G41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2" zoomScale="80" zoomScaleNormal="8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'17'!B1+1</f>
        <v>45430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6925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3115</v>
      </c>
      <c r="D6" s="2"/>
      <c r="E6" s="112">
        <v>9223</v>
      </c>
      <c r="F6" s="112" t="s">
        <v>267</v>
      </c>
      <c r="G6" s="113" t="s">
        <v>8</v>
      </c>
      <c r="H6" s="114">
        <v>300</v>
      </c>
      <c r="I6" s="114">
        <v>300</v>
      </c>
      <c r="J6" s="2"/>
      <c r="K6" s="105"/>
      <c r="L6" s="107"/>
      <c r="M6" s="9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9224</v>
      </c>
      <c r="F7" s="94" t="s">
        <v>268</v>
      </c>
      <c r="G7" s="104" t="s">
        <v>7</v>
      </c>
      <c r="H7" s="103">
        <v>1000</v>
      </c>
      <c r="I7" s="103">
        <v>100</v>
      </c>
      <c r="J7" s="2"/>
      <c r="K7" s="105"/>
      <c r="L7" s="95"/>
      <c r="M7" s="96"/>
      <c r="R7" s="1">
        <f>IF(vend18[[#This Row],[Nº Venda]]&gt;1,1,0)</f>
        <v>1</v>
      </c>
    </row>
    <row r="8" spans="2:18" ht="15.75" x14ac:dyDescent="0.25">
      <c r="B8" s="28" t="s">
        <v>20</v>
      </c>
      <c r="C8" s="29">
        <f>SUM(C6:C7)</f>
        <v>3115</v>
      </c>
      <c r="D8" s="2"/>
      <c r="E8" s="94">
        <v>9225</v>
      </c>
      <c r="F8" s="94" t="s">
        <v>269</v>
      </c>
      <c r="G8" s="104" t="s">
        <v>8</v>
      </c>
      <c r="H8" s="103">
        <v>900</v>
      </c>
      <c r="I8" s="103">
        <v>100</v>
      </c>
      <c r="J8" s="2"/>
      <c r="K8" s="105"/>
      <c r="L8" s="95"/>
      <c r="M8" s="9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94">
        <v>9226</v>
      </c>
      <c r="F9" s="94" t="s">
        <v>270</v>
      </c>
      <c r="G9" s="104" t="s">
        <v>7</v>
      </c>
      <c r="H9" s="103">
        <v>99</v>
      </c>
      <c r="I9" s="103">
        <v>99</v>
      </c>
      <c r="J9" s="2"/>
      <c r="K9" s="105"/>
      <c r="L9" s="95"/>
      <c r="M9" s="96"/>
      <c r="R9" s="1">
        <f>IF(vend18[[#This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9227</v>
      </c>
      <c r="F10" s="94" t="s">
        <v>271</v>
      </c>
      <c r="G10" s="104" t="s">
        <v>9</v>
      </c>
      <c r="H10" s="103">
        <v>800</v>
      </c>
      <c r="I10" s="103">
        <v>400</v>
      </c>
      <c r="J10" s="2"/>
      <c r="K10" s="105"/>
      <c r="L10" s="95"/>
      <c r="M10" s="9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>
        <v>9228</v>
      </c>
      <c r="F11" s="94" t="s">
        <v>272</v>
      </c>
      <c r="G11" s="104" t="s">
        <v>8</v>
      </c>
      <c r="H11" s="103">
        <v>350</v>
      </c>
      <c r="I11" s="103">
        <v>350</v>
      </c>
      <c r="J11" s="2"/>
      <c r="K11" s="106"/>
      <c r="L11" s="95"/>
      <c r="M11" s="96"/>
      <c r="O11" s="1">
        <f>IF(C15=0,0,1)</f>
        <v>1</v>
      </c>
      <c r="R11" s="1">
        <f>IF(vend18[[#This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425</v>
      </c>
      <c r="D12" s="2"/>
      <c r="E12" s="94">
        <v>9229</v>
      </c>
      <c r="F12" s="94" t="s">
        <v>274</v>
      </c>
      <c r="G12" s="104" t="s">
        <v>8</v>
      </c>
      <c r="H12" s="103">
        <v>750</v>
      </c>
      <c r="I12" s="103">
        <v>550</v>
      </c>
      <c r="J12" s="2"/>
      <c r="R12" s="1">
        <f>IF(vend18[[#This Row],[Nº Venda]]&gt;1,1,0)</f>
        <v>1</v>
      </c>
    </row>
    <row r="13" spans="2:18" ht="15.75" x14ac:dyDescent="0.25">
      <c r="B13" s="30" t="s">
        <v>8</v>
      </c>
      <c r="C13" s="31">
        <f t="shared" si="0"/>
        <v>2090</v>
      </c>
      <c r="D13" s="2"/>
      <c r="E13" s="94">
        <v>9230</v>
      </c>
      <c r="F13" s="94" t="s">
        <v>273</v>
      </c>
      <c r="G13" s="104" t="s">
        <v>8</v>
      </c>
      <c r="H13" s="103">
        <v>500</v>
      </c>
      <c r="I13" s="103">
        <v>300</v>
      </c>
      <c r="J13" s="2"/>
      <c r="K13" s="129" t="s">
        <v>21</v>
      </c>
      <c r="L13" s="130"/>
      <c r="M13" s="131"/>
      <c r="R13" s="1">
        <f>IF(vend18[[#This Row],[Nº Venda]]&gt;1,1,0)</f>
        <v>1</v>
      </c>
    </row>
    <row r="14" spans="2:18" ht="15.75" x14ac:dyDescent="0.25">
      <c r="B14" s="30" t="s">
        <v>9</v>
      </c>
      <c r="C14" s="31">
        <f t="shared" si="0"/>
        <v>685</v>
      </c>
      <c r="D14" s="2"/>
      <c r="E14" s="94">
        <v>9230</v>
      </c>
      <c r="F14" s="94" t="s">
        <v>273</v>
      </c>
      <c r="G14" s="104" t="s">
        <v>7</v>
      </c>
      <c r="H14" s="103"/>
      <c r="I14" s="103">
        <v>200</v>
      </c>
      <c r="J14" s="2"/>
      <c r="K14" s="14" t="s">
        <v>22</v>
      </c>
      <c r="L14" s="6" t="s">
        <v>23</v>
      </c>
      <c r="M14" s="15" t="s">
        <v>24</v>
      </c>
      <c r="R14" s="1">
        <f>IF(vend18[[#This Row],[Nº Venda]]&gt;1,1,0)</f>
        <v>1</v>
      </c>
    </row>
    <row r="15" spans="2:18" ht="15.75" x14ac:dyDescent="0.25">
      <c r="B15" s="28" t="s">
        <v>10</v>
      </c>
      <c r="C15" s="32">
        <f>SUM(C11:C14)</f>
        <v>3200</v>
      </c>
      <c r="D15" s="2"/>
      <c r="E15" s="94">
        <v>9231</v>
      </c>
      <c r="F15" s="94" t="s">
        <v>276</v>
      </c>
      <c r="G15" s="104" t="s">
        <v>7</v>
      </c>
      <c r="H15" s="103">
        <v>2226</v>
      </c>
      <c r="I15" s="103">
        <v>26</v>
      </c>
      <c r="J15" s="2"/>
      <c r="K15" s="105"/>
      <c r="L15" s="95"/>
      <c r="M15" s="96"/>
      <c r="R15" s="1">
        <f>IF(vend18[[#This Row],[Nº Venda]]&gt;1,1,0)</f>
        <v>1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9118</v>
      </c>
      <c r="L16" s="95" t="s">
        <v>131</v>
      </c>
      <c r="M16" s="96" t="s">
        <v>148</v>
      </c>
      <c r="R16" s="1">
        <f>IF(vend18[[#This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9136</v>
      </c>
      <c r="L17" s="95" t="s">
        <v>164</v>
      </c>
      <c r="M17" s="96" t="s">
        <v>132</v>
      </c>
      <c r="R17" s="1">
        <f>IF(vend18[[#This Row],[Nº Venda]]&gt;1,1,0)</f>
        <v>0</v>
      </c>
    </row>
    <row r="18" spans="2:18" ht="15.75" x14ac:dyDescent="0.25">
      <c r="B18" s="30">
        <f>COUNT(entr_carn18[OS])</f>
        <v>2</v>
      </c>
      <c r="C18" s="31">
        <f>SUM(entr_carn18[Valor Total])</f>
        <v>1650</v>
      </c>
      <c r="D18" s="2"/>
      <c r="E18" s="94"/>
      <c r="F18" s="94"/>
      <c r="G18" s="104"/>
      <c r="H18" s="103"/>
      <c r="I18" s="103"/>
      <c r="J18" s="2"/>
      <c r="K18" s="105">
        <v>9188</v>
      </c>
      <c r="L18" s="95" t="s">
        <v>146</v>
      </c>
      <c r="M18" s="96" t="s">
        <v>132</v>
      </c>
      <c r="R18" s="1">
        <f>IF(vend18[[#This Row],[Nº Venda]]&gt;1,1,0)</f>
        <v>0</v>
      </c>
    </row>
    <row r="19" spans="2:18" ht="15.75" x14ac:dyDescent="0.25">
      <c r="B19" s="28" t="s">
        <v>10</v>
      </c>
      <c r="C19" s="32">
        <f>SUM(C18:C18)</f>
        <v>1650</v>
      </c>
      <c r="D19" s="2"/>
      <c r="E19" s="94"/>
      <c r="F19" s="94"/>
      <c r="G19" s="104"/>
      <c r="H19" s="103"/>
      <c r="I19" s="103"/>
      <c r="J19" s="2"/>
      <c r="K19" s="105">
        <v>9137</v>
      </c>
      <c r="L19" s="95" t="s">
        <v>164</v>
      </c>
      <c r="M19" s="96" t="s">
        <v>132</v>
      </c>
      <c r="R19" s="1">
        <f>IF(vend18[[#This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9138</v>
      </c>
      <c r="L20" s="95" t="s">
        <v>164</v>
      </c>
      <c r="M20" s="96" t="s">
        <v>148</v>
      </c>
      <c r="R20" s="1">
        <f>IF(vend18[[#This Row],[Nº Venda]]&gt;1,1,0)</f>
        <v>0</v>
      </c>
    </row>
    <row r="21" spans="2:18" ht="15.75" x14ac:dyDescent="0.25">
      <c r="B21" s="28" t="s">
        <v>25</v>
      </c>
      <c r="C21" s="32">
        <f>C5</f>
        <v>6925</v>
      </c>
      <c r="D21" s="2"/>
      <c r="E21" s="94"/>
      <c r="F21" s="94"/>
      <c r="G21" s="104"/>
      <c r="H21" s="103"/>
      <c r="I21" s="103"/>
      <c r="J21" s="2"/>
      <c r="K21" s="105">
        <v>9125</v>
      </c>
      <c r="L21" s="95" t="s">
        <v>131</v>
      </c>
      <c r="M21" s="96" t="s">
        <v>132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>
        <v>9091</v>
      </c>
      <c r="L22" s="95" t="s">
        <v>147</v>
      </c>
      <c r="M22" s="96" t="s">
        <v>148</v>
      </c>
    </row>
    <row r="23" spans="2:18" ht="15.75" x14ac:dyDescent="0.25">
      <c r="B23" s="2"/>
      <c r="C23" s="2"/>
      <c r="D23" s="2"/>
      <c r="E23" s="67"/>
      <c r="F23" s="67"/>
      <c r="G23" s="67"/>
      <c r="H23" s="68"/>
      <c r="I23" s="68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9136</v>
      </c>
      <c r="F26" s="94" t="s">
        <v>159</v>
      </c>
      <c r="G26" s="104" t="s">
        <v>9</v>
      </c>
      <c r="H26" s="103"/>
      <c r="I26" s="103">
        <v>200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9125</v>
      </c>
      <c r="F28" s="94" t="s">
        <v>275</v>
      </c>
      <c r="G28" s="104" t="s">
        <v>8</v>
      </c>
      <c r="H28" s="103"/>
      <c r="I28" s="103">
        <v>490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8468</v>
      </c>
      <c r="F35" s="94" t="s">
        <v>363</v>
      </c>
      <c r="G35" s="104" t="s">
        <v>9</v>
      </c>
      <c r="H35" s="103">
        <v>85</v>
      </c>
      <c r="I35" s="103" t="s">
        <v>77</v>
      </c>
      <c r="K35" s="105">
        <v>9118</v>
      </c>
      <c r="L35" s="108">
        <v>8</v>
      </c>
      <c r="M35" s="96">
        <v>950</v>
      </c>
    </row>
    <row r="36" spans="5:18" ht="15.75" x14ac:dyDescent="0.25">
      <c r="E36" s="94"/>
      <c r="F36" s="94"/>
      <c r="G36" s="104"/>
      <c r="H36" s="103"/>
      <c r="I36" s="103"/>
      <c r="K36" s="105">
        <v>9091</v>
      </c>
      <c r="L36" s="108">
        <v>6</v>
      </c>
      <c r="M36" s="96">
        <v>700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785A6D07-781D-4F76-AFED-B220484140B1}">
          <x14:formula1>
            <xm:f>base!$A$2:$A$5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base!$A$2:$A$8</xm:f>
          </x14:formula1>
          <xm:sqref>G6:G23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B19" zoomScale="80" zoomScaleNormal="80" zoomScaleSheetLayoutView="7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'18'!B1+1</f>
        <v>45431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IF(vend19[[#This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12"/>
      <c r="F9" s="112"/>
      <c r="G9" s="113"/>
      <c r="H9" s="114"/>
      <c r="I9" s="114"/>
      <c r="J9" s="2"/>
      <c r="K9" s="105"/>
      <c r="L9" s="95"/>
      <c r="M9" s="96"/>
      <c r="R9" s="1">
        <f>IF(vend19[[#This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IF(vend19[[#This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IF(vend19[[#This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IF(vend19[[#This Row],[Nº Venda]]&gt;1,1,0)</f>
        <v>0</v>
      </c>
    </row>
    <row r="17" spans="2:22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IF(vend19[[#This Row],[Nº Venda]]&gt;1,1,0)</f>
        <v>0</v>
      </c>
    </row>
    <row r="18" spans="2:22" ht="15.75" x14ac:dyDescent="0.25">
      <c r="B18" s="30">
        <f>COUNT(entr_carn19[OS])</f>
        <v>0</v>
      </c>
      <c r="C18" s="31">
        <f>SUM(entr_carn19[Valor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IF(vend19[[#This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IF(vend19[[#This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IF(vend19[[#This Row],[Nº Venda]]&gt;1,1,0)</f>
        <v>0</v>
      </c>
      <c r="V20" s="1" t="s">
        <v>56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10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4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9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E55B2DC7-1842-4C90-945B-7820B2C63E70}">
          <x14:formula1>
            <xm:f>base!$A$2:$A$5</xm:f>
          </x14:formula1>
          <xm:sqref>G35:G41 G30:G31 G26:G28 H29</xm:sqref>
        </x14:dataValidation>
        <x14:dataValidation type="list" allowBlank="1" showInputMessage="1" showErrorMessage="1" xr:uid="{E8E38C9D-005E-41B9-810F-BB230AC9AE3C}">
          <x14:formula1>
            <xm:f>base!$A$2:$A$8</xm:f>
          </x14:formula1>
          <xm:sqref>G6:G22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U41"/>
  <sheetViews>
    <sheetView showGridLines="0" topLeftCell="A22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7" x14ac:dyDescent="0.5">
      <c r="B1" s="58">
        <f>'19'!B1+1</f>
        <v>45432</v>
      </c>
    </row>
    <row r="2" spans="2:21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21" ht="15" x14ac:dyDescent="0.25">
      <c r="B5" s="23" t="s">
        <v>1</v>
      </c>
      <c r="C5" s="24">
        <f>SUMIF(I6:I31,"&gt;0",H6:H31)</f>
        <v>4330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21" ht="15.75" x14ac:dyDescent="0.25">
      <c r="B6" s="23" t="s">
        <v>2</v>
      </c>
      <c r="C6" s="24">
        <f>SUM(I6:I41)</f>
        <v>5115</v>
      </c>
      <c r="D6" s="2"/>
      <c r="E6" s="94">
        <v>9232</v>
      </c>
      <c r="F6" s="94" t="s">
        <v>277</v>
      </c>
      <c r="G6" s="104" t="s">
        <v>6</v>
      </c>
      <c r="H6" s="103">
        <v>500</v>
      </c>
      <c r="I6" s="103">
        <v>250</v>
      </c>
      <c r="J6" s="2"/>
      <c r="K6" s="105"/>
      <c r="L6" s="95"/>
      <c r="M6" s="96"/>
      <c r="R6" s="1">
        <f>IF(vend20[[#This Row],[Nº Venda]]&gt;1,1,0)</f>
        <v>1</v>
      </c>
    </row>
    <row r="7" spans="2:21" ht="15.75" x14ac:dyDescent="0.25">
      <c r="B7" s="23" t="s">
        <v>3</v>
      </c>
      <c r="C7" s="24">
        <f>SUM(M6:M11)</f>
        <v>0</v>
      </c>
      <c r="D7" s="2"/>
      <c r="E7" s="94">
        <v>9233</v>
      </c>
      <c r="F7" s="94" t="s">
        <v>278</v>
      </c>
      <c r="G7" s="104" t="s">
        <v>8</v>
      </c>
      <c r="H7" s="103">
        <v>1000</v>
      </c>
      <c r="I7" s="103">
        <v>1000</v>
      </c>
      <c r="J7" s="2"/>
      <c r="K7" s="105"/>
      <c r="L7" s="95"/>
      <c r="M7" s="96"/>
      <c r="R7" s="1">
        <f>IF(vend20[[#This Row],[Nº Venda]]&gt;1,1,0)</f>
        <v>1</v>
      </c>
    </row>
    <row r="8" spans="2:21" ht="15.75" x14ac:dyDescent="0.25">
      <c r="B8" s="28" t="s">
        <v>20</v>
      </c>
      <c r="C8" s="29">
        <f>SUM(C6:C7)</f>
        <v>5115</v>
      </c>
      <c r="D8" s="2"/>
      <c r="E8" s="94">
        <v>9234</v>
      </c>
      <c r="F8" s="94" t="s">
        <v>279</v>
      </c>
      <c r="G8" s="104" t="s">
        <v>8</v>
      </c>
      <c r="H8" s="103">
        <v>1600</v>
      </c>
      <c r="I8" s="103">
        <v>1600</v>
      </c>
      <c r="J8" s="2"/>
      <c r="K8" s="105"/>
      <c r="L8" s="95"/>
      <c r="M8" s="96"/>
      <c r="R8" s="1">
        <f>IF(vend20[[#This Row],[Nº Venda]]&gt;1,1,0)</f>
        <v>1</v>
      </c>
    </row>
    <row r="9" spans="2:21" ht="15.75" x14ac:dyDescent="0.25">
      <c r="B9" s="2"/>
      <c r="C9" s="2"/>
      <c r="D9" s="2"/>
      <c r="E9" s="94">
        <v>9235</v>
      </c>
      <c r="F9" s="94" t="s">
        <v>280</v>
      </c>
      <c r="G9" s="104" t="s">
        <v>8</v>
      </c>
      <c r="H9" s="103">
        <v>1200</v>
      </c>
      <c r="I9" s="103">
        <v>1200</v>
      </c>
      <c r="J9" s="2"/>
      <c r="K9" s="105"/>
      <c r="L9" s="95"/>
      <c r="M9" s="96"/>
      <c r="R9" s="1">
        <f>IF(vend20[[#This Row],[Nº Venda]]&gt;1,1,0)</f>
        <v>1</v>
      </c>
      <c r="U9" s="1">
        <v>5</v>
      </c>
    </row>
    <row r="10" spans="2:21" ht="15.75" x14ac:dyDescent="0.25">
      <c r="B10" s="127" t="s">
        <v>5</v>
      </c>
      <c r="C10" s="127"/>
      <c r="D10" s="2"/>
      <c r="E10" s="94">
        <v>9336</v>
      </c>
      <c r="F10" s="94" t="s">
        <v>281</v>
      </c>
      <c r="G10" s="104" t="s">
        <v>6</v>
      </c>
      <c r="H10" s="103">
        <v>30</v>
      </c>
      <c r="I10" s="103">
        <v>30</v>
      </c>
      <c r="J10" s="2"/>
      <c r="K10" s="105"/>
      <c r="L10" s="95"/>
      <c r="M10" s="96"/>
      <c r="R10" s="1">
        <f>IF(vend20[[#This Row],[Nº Venda]]&gt;1,1,0)</f>
        <v>1</v>
      </c>
    </row>
    <row r="11" spans="2:21" ht="15.75" x14ac:dyDescent="0.25">
      <c r="B11" s="30" t="s">
        <v>6</v>
      </c>
      <c r="C11" s="31">
        <f>(SUMIF($G$2:$G$31,B11,$I$2:$I$31))+(SUMIF($G$35:$G$41,B11,$H$35:$H$41))</f>
        <v>380</v>
      </c>
      <c r="D11" s="2"/>
      <c r="E11" s="94">
        <v>9237</v>
      </c>
      <c r="F11" s="94" t="s">
        <v>282</v>
      </c>
      <c r="G11" s="104" t="s">
        <v>38</v>
      </c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IF(vend20[[#This Row],[Nº Venda]]&gt;1,1,0)</f>
        <v>1</v>
      </c>
    </row>
    <row r="12" spans="2:21" ht="15.75" x14ac:dyDescent="0.25">
      <c r="B12" s="30" t="s">
        <v>7</v>
      </c>
      <c r="C12" s="31">
        <f t="shared" ref="C12:C14" si="0">(SUMIF($G$2:$G$31,B12,$I$2:$I$31))+(SUMIF($G$35:$G$41,B12,$H$35:$H$41))</f>
        <v>394</v>
      </c>
      <c r="D12" s="2"/>
      <c r="E12" s="94"/>
      <c r="F12" s="94"/>
      <c r="G12" s="104"/>
      <c r="H12" s="103"/>
      <c r="I12" s="103"/>
      <c r="J12" s="2"/>
      <c r="R12" s="1">
        <f>IF(vend20[[#This Row],[Nº Venda]]&gt;1,1,0)</f>
        <v>0</v>
      </c>
    </row>
    <row r="13" spans="2:21" ht="15.75" x14ac:dyDescent="0.25">
      <c r="B13" s="30" t="s">
        <v>8</v>
      </c>
      <c r="C13" s="31">
        <f t="shared" si="0"/>
        <v>4700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IF(vend20[[#This Row],[Nº Venda]]&gt;1,1,0)</f>
        <v>0</v>
      </c>
    </row>
    <row r="14" spans="2:21" ht="15.75" x14ac:dyDescent="0.25">
      <c r="B14" s="30" t="s">
        <v>9</v>
      </c>
      <c r="C14" s="31">
        <f t="shared" si="0"/>
        <v>235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IF(vend20[[#This Row],[Nº Venda]]&gt;1,1,0)</f>
        <v>0</v>
      </c>
    </row>
    <row r="15" spans="2:21" ht="15.75" x14ac:dyDescent="0.25">
      <c r="B15" s="28" t="s">
        <v>10</v>
      </c>
      <c r="C15" s="32">
        <f>SUM(C11:C14)</f>
        <v>5709</v>
      </c>
      <c r="D15" s="2"/>
      <c r="E15" s="94"/>
      <c r="F15" s="94"/>
      <c r="G15" s="104"/>
      <c r="H15" s="103"/>
      <c r="I15" s="103"/>
      <c r="J15" s="2"/>
      <c r="K15" s="105">
        <v>9168</v>
      </c>
      <c r="L15" s="95" t="s">
        <v>147</v>
      </c>
      <c r="M15" s="96" t="s">
        <v>132</v>
      </c>
      <c r="R15" s="1">
        <f>IF(vend20[[#This Row],[Nº Venda]]&gt;1,1,0)</f>
        <v>0</v>
      </c>
    </row>
    <row r="16" spans="2:21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IF(vend20[[#This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IF(vend20[[#This Row],[Nº Venda]]&gt;1,1,0)</f>
        <v>0</v>
      </c>
    </row>
    <row r="18" spans="2:18" ht="15.75" x14ac:dyDescent="0.25">
      <c r="B18" s="30">
        <f>COUNT(entr_carn20[OS])</f>
        <v>0</v>
      </c>
      <c r="C18" s="31">
        <f>SUM(entr_carn20[Valor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IF(vend20[[#This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IF(vend20[[#This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IF(vend20[[#This Row],[Nº Venda]]&gt;1,1,0)</f>
        <v>0</v>
      </c>
    </row>
    <row r="21" spans="2:18" ht="15.75" x14ac:dyDescent="0.25">
      <c r="B21" s="28" t="s">
        <v>25</v>
      </c>
      <c r="C21" s="32">
        <f>C5</f>
        <v>4330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9218</v>
      </c>
      <c r="F26" s="94" t="s">
        <v>259</v>
      </c>
      <c r="G26" s="104" t="s">
        <v>9</v>
      </c>
      <c r="H26" s="103"/>
      <c r="I26" s="103">
        <v>135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9224</v>
      </c>
      <c r="F27" s="94" t="s">
        <v>268</v>
      </c>
      <c r="G27" s="104" t="s">
        <v>8</v>
      </c>
      <c r="H27" s="103"/>
      <c r="I27" s="103">
        <v>900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8765</v>
      </c>
      <c r="F35" s="94" t="s">
        <v>283</v>
      </c>
      <c r="G35" s="104" t="s">
        <v>9</v>
      </c>
      <c r="H35" s="103">
        <v>100</v>
      </c>
      <c r="I35" s="103" t="s">
        <v>40</v>
      </c>
      <c r="K35" s="105"/>
      <c r="L35" s="108"/>
      <c r="M35" s="96"/>
    </row>
    <row r="36" spans="5:18" ht="15.75" x14ac:dyDescent="0.25">
      <c r="E36" s="94">
        <v>8765</v>
      </c>
      <c r="F36" s="94" t="s">
        <v>283</v>
      </c>
      <c r="G36" s="104" t="s">
        <v>6</v>
      </c>
      <c r="H36" s="103">
        <v>100</v>
      </c>
      <c r="I36" s="103" t="s">
        <v>52</v>
      </c>
      <c r="K36" s="105"/>
      <c r="L36" s="108"/>
      <c r="M36" s="96"/>
    </row>
    <row r="37" spans="5:18" ht="15.75" x14ac:dyDescent="0.25">
      <c r="E37" s="94">
        <v>8487</v>
      </c>
      <c r="F37" s="94" t="s">
        <v>284</v>
      </c>
      <c r="G37" s="104" t="s">
        <v>7</v>
      </c>
      <c r="H37" s="103">
        <v>250</v>
      </c>
      <c r="I37" s="103" t="s">
        <v>75</v>
      </c>
      <c r="K37" s="105"/>
      <c r="L37" s="108"/>
      <c r="M37" s="96"/>
    </row>
    <row r="38" spans="5:18" ht="15.75" x14ac:dyDescent="0.25">
      <c r="E38" s="94">
        <v>8617</v>
      </c>
      <c r="F38" s="94" t="s">
        <v>200</v>
      </c>
      <c r="G38" s="104" t="s">
        <v>7</v>
      </c>
      <c r="H38" s="103">
        <v>75</v>
      </c>
      <c r="I38" s="103" t="s">
        <v>74</v>
      </c>
      <c r="K38" s="105"/>
      <c r="L38" s="108"/>
      <c r="M38" s="96"/>
    </row>
    <row r="39" spans="5:18" ht="15.75" x14ac:dyDescent="0.25">
      <c r="E39" s="94">
        <v>8479</v>
      </c>
      <c r="F39" s="104" t="s">
        <v>285</v>
      </c>
      <c r="G39" s="104" t="s">
        <v>7</v>
      </c>
      <c r="H39" s="103">
        <v>69</v>
      </c>
      <c r="I39" s="103" t="s">
        <v>77</v>
      </c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6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2C4842A4-1C90-4E23-9C1F-C83AC9F81898}">
          <x14:formula1>
            <xm:f>base!$A$2:$A$5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base!$A$2:$A$8</xm:f>
          </x14:formula1>
          <xm:sqref>G6:G22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2" zoomScale="80" zoomScaleNormal="80" workbookViewId="0">
      <selection activeCell="E26" sqref="E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'20'!B1+1</f>
        <v>45433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860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820</v>
      </c>
      <c r="D6" s="2"/>
      <c r="E6" s="94">
        <v>9238</v>
      </c>
      <c r="F6" s="94" t="s">
        <v>286</v>
      </c>
      <c r="G6" s="104" t="s">
        <v>7</v>
      </c>
      <c r="H6" s="103">
        <v>40</v>
      </c>
      <c r="I6" s="103">
        <v>40</v>
      </c>
      <c r="J6" s="2"/>
      <c r="K6" s="105"/>
      <c r="L6" s="95"/>
      <c r="M6" s="96"/>
      <c r="R6" s="1">
        <f>IF(vend21[[#This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9239</v>
      </c>
      <c r="F7" s="94" t="s">
        <v>287</v>
      </c>
      <c r="G7" s="104" t="s">
        <v>6</v>
      </c>
      <c r="H7" s="103">
        <v>330</v>
      </c>
      <c r="I7" s="103">
        <v>190</v>
      </c>
      <c r="J7" s="2"/>
      <c r="K7" s="105"/>
      <c r="L7" s="95"/>
      <c r="M7" s="96"/>
      <c r="R7" s="1">
        <f>IF(vend21[[#This Row],[Nº Venda]]&gt;1,1,0)</f>
        <v>1</v>
      </c>
    </row>
    <row r="8" spans="2:18" ht="15.75" x14ac:dyDescent="0.25">
      <c r="B8" s="28" t="s">
        <v>20</v>
      </c>
      <c r="C8" s="29">
        <f>SUM(C6:C7)</f>
        <v>820</v>
      </c>
      <c r="D8" s="2"/>
      <c r="E8" s="94">
        <v>9240</v>
      </c>
      <c r="F8" s="94" t="s">
        <v>288</v>
      </c>
      <c r="G8" s="104" t="s">
        <v>9</v>
      </c>
      <c r="H8" s="103">
        <v>490</v>
      </c>
      <c r="I8" s="103">
        <v>490</v>
      </c>
      <c r="J8" s="2"/>
      <c r="K8" s="105"/>
      <c r="L8" s="95"/>
      <c r="M8" s="96"/>
      <c r="R8" s="1">
        <f>IF(vend21[[#This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IF(vend21[[#This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365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140</v>
      </c>
      <c r="D12" s="2"/>
      <c r="E12" s="94"/>
      <c r="F12" s="94"/>
      <c r="G12" s="104"/>
      <c r="H12" s="103"/>
      <c r="I12" s="103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490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IF(vend21[[#This Row],[Nº Venda]]&gt;1,1,0)</f>
        <v>0</v>
      </c>
    </row>
    <row r="15" spans="2:18" ht="15.75" x14ac:dyDescent="0.25">
      <c r="B15" s="28" t="s">
        <v>10</v>
      </c>
      <c r="C15" s="32">
        <f>SUM(C11:C14)</f>
        <v>995</v>
      </c>
      <c r="D15" s="2"/>
      <c r="E15" s="94"/>
      <c r="F15" s="94"/>
      <c r="G15" s="104"/>
      <c r="H15" s="103"/>
      <c r="I15" s="103"/>
      <c r="J15" s="2"/>
      <c r="K15" s="105">
        <v>9100</v>
      </c>
      <c r="L15" s="95" t="s">
        <v>146</v>
      </c>
      <c r="M15" s="96" t="s">
        <v>132</v>
      </c>
      <c r="R15" s="1">
        <f>IF(vend21[[#This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9120</v>
      </c>
      <c r="L16" s="95" t="s">
        <v>146</v>
      </c>
      <c r="M16" s="96" t="s">
        <v>132</v>
      </c>
      <c r="R16" s="1">
        <f>IF(vend21[[#This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9182</v>
      </c>
      <c r="L17" s="95" t="s">
        <v>131</v>
      </c>
      <c r="M17" s="96" t="s">
        <v>132</v>
      </c>
      <c r="R17" s="1">
        <f>IF(vend21[[#This Row],[Nº Venda]]&gt;1,1,0)</f>
        <v>0</v>
      </c>
    </row>
    <row r="18" spans="2:18" ht="15.75" x14ac:dyDescent="0.25">
      <c r="B18" s="30">
        <f>COUNT(entr_carn21[OS])</f>
        <v>0</v>
      </c>
      <c r="C18" s="31">
        <f>SUM(entr_carn21[Valor Total])</f>
        <v>0</v>
      </c>
      <c r="D18" s="2"/>
      <c r="E18" s="94"/>
      <c r="F18" s="94"/>
      <c r="G18" s="104"/>
      <c r="H18" s="103"/>
      <c r="I18" s="103"/>
      <c r="J18" s="2"/>
      <c r="K18" s="105">
        <v>9132</v>
      </c>
      <c r="L18" s="95" t="s">
        <v>146</v>
      </c>
      <c r="M18" s="96" t="s">
        <v>132</v>
      </c>
      <c r="R18" s="1">
        <f>IF(vend21[[#This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IF(vend21[[#This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IF(vend21[[#This Row],[Nº Venda]]&gt;1,1,0)</f>
        <v>0</v>
      </c>
    </row>
    <row r="21" spans="2:18" ht="15.75" x14ac:dyDescent="0.25">
      <c r="B21" s="28" t="s">
        <v>25</v>
      </c>
      <c r="C21" s="32">
        <f>C5</f>
        <v>860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8943</v>
      </c>
      <c r="F26" s="94" t="s">
        <v>289</v>
      </c>
      <c r="G26" s="104" t="s">
        <v>7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8817</v>
      </c>
      <c r="F35" s="94" t="s">
        <v>290</v>
      </c>
      <c r="G35" s="104" t="s">
        <v>6</v>
      </c>
      <c r="H35" s="103">
        <v>175</v>
      </c>
      <c r="I35" s="103" t="s">
        <v>33</v>
      </c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112AC7CD-ADD6-4750-8A3B-76F63CB62447}">
          <x14:formula1>
            <xm:f>base!$A$2:$A$8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base!$A$2:$A$5</xm:f>
          </x14:formula1>
          <xm:sqref>G26:G31 G35:G41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1" zoomScale="80" zoomScaleNormal="80" workbookViewId="0">
      <selection activeCell="E12" sqref="E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'21'!B1+1</f>
        <v>45434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2014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1099</v>
      </c>
      <c r="D6" s="2"/>
      <c r="E6" s="94">
        <v>9241</v>
      </c>
      <c r="F6" s="94" t="s">
        <v>291</v>
      </c>
      <c r="G6" s="104" t="s">
        <v>38</v>
      </c>
      <c r="H6" s="103"/>
      <c r="I6" s="103"/>
      <c r="J6" s="2"/>
      <c r="K6" s="105"/>
      <c r="L6" s="95"/>
      <c r="M6" s="9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9242</v>
      </c>
      <c r="F7" s="94" t="s">
        <v>297</v>
      </c>
      <c r="G7" s="104" t="s">
        <v>6</v>
      </c>
      <c r="H7" s="103">
        <v>500</v>
      </c>
      <c r="I7" s="103">
        <v>5</v>
      </c>
      <c r="J7" s="2"/>
      <c r="K7" s="105"/>
      <c r="L7" s="95"/>
      <c r="M7" s="96"/>
      <c r="R7" s="1">
        <f>IF(vend22[[#This Row],[Nº Venda]]&gt;1,1,0)</f>
        <v>1</v>
      </c>
    </row>
    <row r="8" spans="2:18" ht="15.75" x14ac:dyDescent="0.25">
      <c r="B8" s="28" t="s">
        <v>20</v>
      </c>
      <c r="C8" s="29">
        <f>SUM(C6:C7)</f>
        <v>1099</v>
      </c>
      <c r="D8" s="2"/>
      <c r="E8" s="94">
        <v>9243</v>
      </c>
      <c r="F8" s="94" t="s">
        <v>297</v>
      </c>
      <c r="G8" s="104" t="s">
        <v>6</v>
      </c>
      <c r="H8" s="103">
        <v>480</v>
      </c>
      <c r="I8" s="103">
        <v>5</v>
      </c>
      <c r="J8" s="2"/>
      <c r="K8" s="105"/>
      <c r="L8" s="95"/>
      <c r="M8" s="9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94">
        <v>9244</v>
      </c>
      <c r="F9" s="94" t="s">
        <v>298</v>
      </c>
      <c r="G9" s="104" t="s">
        <v>6</v>
      </c>
      <c r="H9" s="103">
        <v>1000</v>
      </c>
      <c r="I9" s="103">
        <v>400</v>
      </c>
      <c r="J9" s="2"/>
      <c r="K9" s="105"/>
      <c r="L9" s="95"/>
      <c r="M9" s="96"/>
      <c r="R9" s="1">
        <f>IF(vend22[[#This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9245</v>
      </c>
      <c r="F10" s="94" t="s">
        <v>298</v>
      </c>
      <c r="G10" s="104" t="s">
        <v>6</v>
      </c>
      <c r="H10" s="103">
        <v>10</v>
      </c>
      <c r="I10" s="103">
        <v>10</v>
      </c>
      <c r="J10" s="2"/>
      <c r="K10" s="105"/>
      <c r="L10" s="95"/>
      <c r="M10" s="9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584</v>
      </c>
      <c r="D11" s="2"/>
      <c r="E11" s="94">
        <v>9315</v>
      </c>
      <c r="F11" s="94" t="s">
        <v>299</v>
      </c>
      <c r="G11" s="104" t="s">
        <v>6</v>
      </c>
      <c r="H11" s="103">
        <v>24</v>
      </c>
      <c r="I11" s="103">
        <v>24</v>
      </c>
      <c r="J11" s="2"/>
      <c r="K11" s="106"/>
      <c r="L11" s="95"/>
      <c r="M11" s="96"/>
      <c r="O11" s="1">
        <f>IF(C15=0,0,1)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700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IF(vend22[[#This Row],[Nº Venda]]&gt;1,1,0)</f>
        <v>0</v>
      </c>
    </row>
    <row r="15" spans="2:18" ht="15.75" x14ac:dyDescent="0.25">
      <c r="B15" s="28" t="s">
        <v>10</v>
      </c>
      <c r="C15" s="32">
        <f>SUM(C11:C14)</f>
        <v>1284</v>
      </c>
      <c r="D15" s="2"/>
      <c r="E15" s="94"/>
      <c r="F15" s="94"/>
      <c r="G15" s="104"/>
      <c r="H15" s="103"/>
      <c r="I15" s="103"/>
      <c r="J15" s="2"/>
      <c r="K15" s="105">
        <v>9152</v>
      </c>
      <c r="L15" s="95" t="s">
        <v>131</v>
      </c>
      <c r="M15" s="96" t="s">
        <v>132</v>
      </c>
      <c r="R15" s="1">
        <f>IF(vend22[[#This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9000</v>
      </c>
      <c r="L16" s="95" t="s">
        <v>147</v>
      </c>
      <c r="M16" s="96" t="s">
        <v>132</v>
      </c>
      <c r="R16" s="1">
        <f>IF(vend22[[#This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9180</v>
      </c>
      <c r="L17" s="95" t="s">
        <v>147</v>
      </c>
      <c r="M17" s="96" t="s">
        <v>132</v>
      </c>
      <c r="R17" s="1">
        <f>IF(vend22[[#This Row],[Nº Venda]]&gt;1,1,0)</f>
        <v>0</v>
      </c>
    </row>
    <row r="18" spans="2:18" ht="15.75" x14ac:dyDescent="0.25">
      <c r="B18" s="30">
        <f>COUNT(entr_carn22[OS])</f>
        <v>0</v>
      </c>
      <c r="C18" s="31">
        <f>SUM(entr_carn22[Valor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IF(vend22[[#This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IF(vend22[[#This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IF(vend22[[#This Row],[Nº Venda]]&gt;1,1,0)</f>
        <v>0</v>
      </c>
    </row>
    <row r="21" spans="2:18" ht="15.75" x14ac:dyDescent="0.25">
      <c r="B21" s="28" t="s">
        <v>25</v>
      </c>
      <c r="C21" s="32">
        <f>C5</f>
        <v>2014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9000</v>
      </c>
      <c r="F26" s="94" t="s">
        <v>292</v>
      </c>
      <c r="G26" s="104" t="s">
        <v>9</v>
      </c>
      <c r="H26" s="103"/>
      <c r="I26" s="103">
        <v>300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9208</v>
      </c>
      <c r="F27" s="94" t="s">
        <v>293</v>
      </c>
      <c r="G27" s="104" t="s">
        <v>9</v>
      </c>
      <c r="H27" s="103"/>
      <c r="I27" s="103">
        <v>30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9028</v>
      </c>
      <c r="F28" s="94" t="s">
        <v>294</v>
      </c>
      <c r="G28" s="104" t="s">
        <v>9</v>
      </c>
      <c r="H28" s="103"/>
      <c r="I28" s="103">
        <v>125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9238</v>
      </c>
      <c r="F29" s="94" t="s">
        <v>300</v>
      </c>
      <c r="G29" s="104" t="s">
        <v>6</v>
      </c>
      <c r="H29" s="103"/>
      <c r="I29" s="103">
        <v>140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>
        <v>9092</v>
      </c>
      <c r="F30" s="104" t="s">
        <v>301</v>
      </c>
      <c r="G30" s="104" t="s">
        <v>9</v>
      </c>
      <c r="H30" s="103"/>
      <c r="I30" s="103">
        <v>60</v>
      </c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8487</v>
      </c>
      <c r="F35" s="94" t="s">
        <v>295</v>
      </c>
      <c r="G35" s="104" t="s">
        <v>9</v>
      </c>
      <c r="H35" s="103">
        <v>85</v>
      </c>
      <c r="I35" s="103" t="s">
        <v>43</v>
      </c>
      <c r="K35" s="105"/>
      <c r="L35" s="108"/>
      <c r="M35" s="96"/>
    </row>
    <row r="36" spans="5:18" ht="15.75" x14ac:dyDescent="0.25">
      <c r="E36" s="94">
        <v>8337</v>
      </c>
      <c r="F36" s="94" t="s">
        <v>296</v>
      </c>
      <c r="G36" s="104" t="s">
        <v>9</v>
      </c>
      <c r="H36" s="103">
        <v>100</v>
      </c>
      <c r="I36" s="103" t="s">
        <v>73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6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8A269FE1-C817-46B6-91D2-B2E7EC645BEF}">
          <x14:formula1>
            <xm:f>base!$A$2:$A$5</xm:f>
          </x14:formula1>
          <xm:sqref>G35:G41 G26:G31</xm:sqref>
        </x14:dataValidation>
        <x14:dataValidation type="list" allowBlank="1" showInputMessage="1" showErrorMessage="1" xr:uid="{AB5F3EF7-D944-42D1-9B92-44255DDC8ACC}">
          <x14:formula1>
            <xm:f>base!$A$2:$A$8</xm:f>
          </x14:formula1>
          <xm:sqref>G6:G22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22" zoomScale="80" zoomScaleNormal="80" workbookViewId="0">
      <selection activeCell="B1" sqref="B1"/>
    </sheetView>
  </sheetViews>
  <sheetFormatPr defaultColWidth="9.140625" defaultRowHeight="12.75" x14ac:dyDescent="0.2"/>
  <cols>
    <col min="1" max="1" width="3.7109375" style="1" customWidth="1"/>
    <col min="2" max="2" width="28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3">
        <f>'22'!B1+1</f>
        <v>45435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3383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4083</v>
      </c>
      <c r="D6" s="2"/>
      <c r="E6" s="94">
        <v>9246</v>
      </c>
      <c r="F6" s="94" t="s">
        <v>302</v>
      </c>
      <c r="G6" s="104" t="s">
        <v>8</v>
      </c>
      <c r="H6" s="103">
        <v>900</v>
      </c>
      <c r="I6" s="103">
        <v>900</v>
      </c>
      <c r="J6" s="2"/>
      <c r="K6" s="105"/>
      <c r="L6" s="95"/>
      <c r="M6" s="9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9247</v>
      </c>
      <c r="F7" s="94" t="s">
        <v>303</v>
      </c>
      <c r="G7" s="104" t="s">
        <v>8</v>
      </c>
      <c r="H7" s="103">
        <v>599</v>
      </c>
      <c r="I7" s="103">
        <v>599</v>
      </c>
      <c r="J7" s="2"/>
      <c r="K7" s="105"/>
      <c r="L7" s="95"/>
      <c r="M7" s="96"/>
      <c r="R7" s="1">
        <f>IF(vend23[[#This Row],[Nº Venda]]&gt;1,1,0)</f>
        <v>1</v>
      </c>
    </row>
    <row r="8" spans="2:18" ht="15.75" x14ac:dyDescent="0.25">
      <c r="B8" s="28" t="s">
        <v>20</v>
      </c>
      <c r="C8" s="29">
        <f>SUM(C6:C7)</f>
        <v>4083</v>
      </c>
      <c r="D8" s="2"/>
      <c r="E8" s="94">
        <v>9248</v>
      </c>
      <c r="F8" s="94" t="s">
        <v>303</v>
      </c>
      <c r="G8" s="104" t="s">
        <v>8</v>
      </c>
      <c r="H8" s="103">
        <v>599</v>
      </c>
      <c r="I8" s="103">
        <v>599</v>
      </c>
      <c r="J8" s="2"/>
      <c r="K8" s="105"/>
      <c r="L8" s="95"/>
      <c r="M8" s="96"/>
      <c r="R8" s="1">
        <f>IF(vend23[[#This Row],[Nº Venda]]&gt;1,1,0)</f>
        <v>1</v>
      </c>
    </row>
    <row r="9" spans="2:18" ht="15.75" x14ac:dyDescent="0.25">
      <c r="B9" s="2"/>
      <c r="C9" s="2"/>
      <c r="D9" s="2"/>
      <c r="E9" s="94">
        <v>9249</v>
      </c>
      <c r="F9" s="94" t="s">
        <v>303</v>
      </c>
      <c r="G9" s="104" t="s">
        <v>8</v>
      </c>
      <c r="H9" s="103">
        <v>51</v>
      </c>
      <c r="I9" s="103">
        <v>51</v>
      </c>
      <c r="J9" s="2"/>
      <c r="K9" s="105"/>
      <c r="L9" s="95"/>
      <c r="M9" s="96"/>
      <c r="R9" s="1">
        <f>IF(vend23[[#This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9250</v>
      </c>
      <c r="F10" s="94" t="s">
        <v>304</v>
      </c>
      <c r="G10" s="104" t="s">
        <v>6</v>
      </c>
      <c r="H10" s="103">
        <v>400</v>
      </c>
      <c r="I10" s="103">
        <v>100</v>
      </c>
      <c r="J10" s="2"/>
      <c r="K10" s="105"/>
      <c r="L10" s="95"/>
      <c r="M10" s="96"/>
      <c r="R10" s="1">
        <f>IF(vend23[[#This Row],[Nº Venda]]&gt;1,1,0)</f>
        <v>1</v>
      </c>
    </row>
    <row r="11" spans="2:18" ht="15.75" x14ac:dyDescent="0.25">
      <c r="B11" s="30" t="s">
        <v>6</v>
      </c>
      <c r="C11" s="80">
        <f>(SUMIF($G$2:$G$31,B11,$I$2:$I$31))+(SUMIF($G$35:$G$44,B11,$H$35:$H$44))</f>
        <v>100</v>
      </c>
      <c r="D11" s="2"/>
      <c r="E11" s="94">
        <v>9251</v>
      </c>
      <c r="F11" s="94" t="s">
        <v>305</v>
      </c>
      <c r="G11" s="104" t="s">
        <v>7</v>
      </c>
      <c r="H11" s="103">
        <v>55</v>
      </c>
      <c r="I11" s="103">
        <v>55</v>
      </c>
      <c r="J11" s="2"/>
      <c r="K11" s="106"/>
      <c r="L11" s="95"/>
      <c r="M11" s="96"/>
      <c r="O11" s="1">
        <f>IF(C15=0,0,1)</f>
        <v>1</v>
      </c>
      <c r="R11" s="1">
        <f>IF(vend23[[#This Row],[Nº Venda]]&gt;1,1,0)</f>
        <v>1</v>
      </c>
    </row>
    <row r="12" spans="2:18" ht="15.75" x14ac:dyDescent="0.25">
      <c r="B12" s="30" t="s">
        <v>7</v>
      </c>
      <c r="C12" s="80">
        <f>(SUMIF($G$2:$G$31,B12,$I$2:$I$31))+(SUMIF($G$35:$G$44,B12,$H$35:$H$44))</f>
        <v>95</v>
      </c>
      <c r="D12" s="2"/>
      <c r="E12" s="94">
        <v>9252</v>
      </c>
      <c r="F12" s="94" t="s">
        <v>306</v>
      </c>
      <c r="G12" s="104" t="s">
        <v>8</v>
      </c>
      <c r="H12" s="103">
        <v>240</v>
      </c>
      <c r="I12" s="103">
        <v>240</v>
      </c>
      <c r="J12" s="2"/>
      <c r="R12" s="1">
        <f>IF(vend23[[#This Row],[Nº Venda]]&gt;1,1,0)</f>
        <v>1</v>
      </c>
    </row>
    <row r="13" spans="2:18" ht="15.75" x14ac:dyDescent="0.25">
      <c r="B13" s="30" t="s">
        <v>8</v>
      </c>
      <c r="C13" s="80">
        <f>(SUMIF($G$2:$G$31,B13,$I$2:$I$31))+(SUMIF($G$35:$G$44,B13,$H$35:$H$44))</f>
        <v>3888</v>
      </c>
      <c r="D13" s="2"/>
      <c r="E13" s="94">
        <v>9253</v>
      </c>
      <c r="F13" s="94" t="s">
        <v>307</v>
      </c>
      <c r="G13" s="104" t="s">
        <v>8</v>
      </c>
      <c r="H13" s="103">
        <v>499</v>
      </c>
      <c r="I13" s="103">
        <v>499</v>
      </c>
      <c r="J13" s="2"/>
      <c r="K13" s="129" t="s">
        <v>21</v>
      </c>
      <c r="L13" s="130"/>
      <c r="M13" s="131"/>
      <c r="R13" s="1">
        <f>IF(vend23[[#This Row],[Nº Venda]]&gt;1,1,0)</f>
        <v>1</v>
      </c>
    </row>
    <row r="14" spans="2:18" ht="15.75" x14ac:dyDescent="0.25">
      <c r="B14" s="30" t="s">
        <v>9</v>
      </c>
      <c r="C14" s="80">
        <f>(SUMIF($G$2:$G$31,B14,$I$2:$I$31))+(SUMIF($G$35:$G$44,B14,$H$35:$H$44))</f>
        <v>0</v>
      </c>
      <c r="D14" s="2"/>
      <c r="E14" s="94">
        <v>9254</v>
      </c>
      <c r="F14" s="94" t="s">
        <v>319</v>
      </c>
      <c r="G14" s="104" t="s">
        <v>7</v>
      </c>
      <c r="H14" s="103">
        <v>40</v>
      </c>
      <c r="I14" s="103">
        <v>40</v>
      </c>
      <c r="J14" s="2"/>
      <c r="K14" s="14" t="s">
        <v>22</v>
      </c>
      <c r="L14" s="6" t="s">
        <v>23</v>
      </c>
      <c r="M14" s="15" t="s">
        <v>24</v>
      </c>
      <c r="R14" s="1">
        <f>IF(vend23[[#This Row],[Nº Venda]]&gt;1,1,0)</f>
        <v>1</v>
      </c>
    </row>
    <row r="15" spans="2:18" ht="15.75" x14ac:dyDescent="0.25">
      <c r="B15" s="28" t="s">
        <v>10</v>
      </c>
      <c r="C15" s="32">
        <f>SUM(C11:C14)</f>
        <v>4083</v>
      </c>
      <c r="D15" s="2"/>
      <c r="E15" s="94"/>
      <c r="F15" s="94"/>
      <c r="G15" s="104"/>
      <c r="H15" s="103"/>
      <c r="I15" s="103"/>
      <c r="J15" s="2"/>
      <c r="K15" s="105">
        <v>9215</v>
      </c>
      <c r="L15" s="95" t="s">
        <v>147</v>
      </c>
      <c r="M15" s="96" t="s">
        <v>132</v>
      </c>
      <c r="R15" s="1">
        <f>IF(vend23[[#This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8711</v>
      </c>
      <c r="L16" s="95" t="s">
        <v>146</v>
      </c>
      <c r="M16" s="96" t="s">
        <v>132</v>
      </c>
      <c r="R16" s="1">
        <f>IF(vend23[[#This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9178</v>
      </c>
      <c r="L17" s="95" t="s">
        <v>147</v>
      </c>
      <c r="M17" s="96" t="s">
        <v>132</v>
      </c>
      <c r="R17" s="1">
        <f>IF(vend23[[#This Row],[Nº Venda]]&gt;1,1,0)</f>
        <v>0</v>
      </c>
    </row>
    <row r="18" spans="2:18" ht="15.75" x14ac:dyDescent="0.25">
      <c r="B18" s="30">
        <f>COUNT(entr_carn23[OS])</f>
        <v>0</v>
      </c>
      <c r="C18" s="31">
        <f>SUM(entr_carn23[Valor Total])</f>
        <v>0</v>
      </c>
      <c r="D18" s="2"/>
      <c r="E18" s="94"/>
      <c r="F18" s="94"/>
      <c r="G18" s="104"/>
      <c r="H18" s="103"/>
      <c r="I18" s="103"/>
      <c r="J18" s="2"/>
      <c r="K18" s="105">
        <v>9219</v>
      </c>
      <c r="L18" s="95" t="s">
        <v>146</v>
      </c>
      <c r="M18" s="96" t="s">
        <v>132</v>
      </c>
      <c r="R18" s="1">
        <f>IF(vend23[[#This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26"/>
      <c r="L19" s="95"/>
      <c r="M19" s="96"/>
      <c r="R19" s="1">
        <f>IF(vend23[[#This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IF(vend23[[#This Row],[Nº Venda]]&gt;1,1,0)</f>
        <v>0</v>
      </c>
    </row>
    <row r="21" spans="2:18" ht="15.75" x14ac:dyDescent="0.25">
      <c r="B21" s="28" t="s">
        <v>25</v>
      </c>
      <c r="C21" s="32">
        <f>C5</f>
        <v>3383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9219</v>
      </c>
      <c r="F26" s="94" t="s">
        <v>239</v>
      </c>
      <c r="G26" s="104" t="s">
        <v>8</v>
      </c>
      <c r="H26" s="103"/>
      <c r="I26" s="103">
        <v>1000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9</v>
      </c>
    </row>
    <row r="41" spans="5:18" ht="15.75" x14ac:dyDescent="0.25">
      <c r="E41" s="115"/>
      <c r="F41" s="104"/>
      <c r="G41" s="104"/>
      <c r="H41" s="103"/>
      <c r="I41" s="103"/>
      <c r="K41" s="44"/>
      <c r="L41" s="41"/>
      <c r="M41" s="40"/>
    </row>
    <row r="42" spans="5:18" ht="15.75" x14ac:dyDescent="0.25">
      <c r="E42" s="90"/>
      <c r="F42" s="77"/>
      <c r="G42" s="78"/>
      <c r="H42" s="79"/>
      <c r="I42" s="17"/>
    </row>
    <row r="43" spans="5:18" ht="15.75" x14ac:dyDescent="0.25">
      <c r="E43" s="90"/>
      <c r="F43" s="88"/>
      <c r="G43" s="87"/>
      <c r="H43" s="89"/>
      <c r="I43" s="8"/>
    </row>
    <row r="44" spans="5:18" ht="15.75" x14ac:dyDescent="0.25">
      <c r="E44" s="91"/>
      <c r="F44" s="77"/>
      <c r="G44" s="78"/>
      <c r="H44" s="79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C91A013F-B5AB-4066-9C5C-FC038E017C5E}">
          <x14:formula1>
            <xm:f>base!$A$2:$A$8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base!$A$2:$A$5</xm:f>
          </x14:formula1>
          <xm:sqref>G26:G31 G35:G44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9" zoomScale="80" zoomScaleNormal="80" workbookViewId="0">
      <selection activeCell="F13" sqref="F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'23'!B1+1</f>
        <v>45436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13031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7544</v>
      </c>
      <c r="D6" s="2"/>
      <c r="E6" s="94">
        <v>9255</v>
      </c>
      <c r="F6" s="94" t="s">
        <v>308</v>
      </c>
      <c r="G6" s="104" t="s">
        <v>7</v>
      </c>
      <c r="H6" s="103">
        <v>890</v>
      </c>
      <c r="I6" s="103">
        <v>40</v>
      </c>
      <c r="J6" s="2"/>
      <c r="K6" s="105"/>
      <c r="L6" s="95"/>
      <c r="M6" s="9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9256</v>
      </c>
      <c r="F7" s="94" t="s">
        <v>310</v>
      </c>
      <c r="G7" s="104" t="s">
        <v>8</v>
      </c>
      <c r="H7" s="103">
        <v>1200</v>
      </c>
      <c r="I7" s="103">
        <v>1200</v>
      </c>
      <c r="J7" s="2"/>
      <c r="K7" s="105"/>
      <c r="L7" s="95"/>
      <c r="M7" s="96"/>
      <c r="R7" s="1">
        <f>IF(vend24[[#This Row],[Nº Venda]]&gt;1,1,0)</f>
        <v>1</v>
      </c>
    </row>
    <row r="8" spans="2:18" ht="15.75" x14ac:dyDescent="0.25">
      <c r="B8" s="28" t="s">
        <v>20</v>
      </c>
      <c r="C8" s="29">
        <f>SUM(C6:C7)</f>
        <v>7544</v>
      </c>
      <c r="D8" s="2"/>
      <c r="E8" s="94">
        <v>9257</v>
      </c>
      <c r="F8" s="94" t="s">
        <v>309</v>
      </c>
      <c r="G8" s="104" t="s">
        <v>6</v>
      </c>
      <c r="H8" s="103">
        <v>550</v>
      </c>
      <c r="I8" s="103">
        <v>50</v>
      </c>
      <c r="J8" s="2"/>
      <c r="K8" s="105"/>
      <c r="L8" s="95"/>
      <c r="M8" s="9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94">
        <v>9258</v>
      </c>
      <c r="F9" s="94" t="s">
        <v>311</v>
      </c>
      <c r="G9" s="104" t="s">
        <v>7</v>
      </c>
      <c r="H9" s="103">
        <v>900</v>
      </c>
      <c r="I9" s="103">
        <v>50</v>
      </c>
      <c r="J9" s="2"/>
      <c r="K9" s="105"/>
      <c r="L9" s="95"/>
      <c r="M9" s="96"/>
      <c r="R9" s="1">
        <f>IF(vend24[[#This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9259</v>
      </c>
      <c r="F10" s="94" t="s">
        <v>312</v>
      </c>
      <c r="G10" s="104" t="s">
        <v>8</v>
      </c>
      <c r="H10" s="103">
        <v>400</v>
      </c>
      <c r="I10" s="103">
        <v>400</v>
      </c>
      <c r="J10" s="2"/>
      <c r="K10" s="105"/>
      <c r="L10" s="95"/>
      <c r="M10" s="9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94">
        <v>9260</v>
      </c>
      <c r="F11" s="94" t="s">
        <v>312</v>
      </c>
      <c r="G11" s="104" t="s">
        <v>7</v>
      </c>
      <c r="H11" s="103">
        <v>100</v>
      </c>
      <c r="I11" s="103">
        <v>100</v>
      </c>
      <c r="J11" s="2"/>
      <c r="K11" s="106"/>
      <c r="L11" s="95"/>
      <c r="M11" s="96"/>
      <c r="O11" s="1">
        <f>IF(C15=0,0,1)</f>
        <v>1</v>
      </c>
      <c r="R11" s="1">
        <f>IF(vend24[[#This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290</v>
      </c>
      <c r="D12" s="2"/>
      <c r="E12" s="94">
        <v>9261</v>
      </c>
      <c r="F12" s="94" t="s">
        <v>313</v>
      </c>
      <c r="G12" s="104" t="s">
        <v>8</v>
      </c>
      <c r="H12" s="103">
        <v>899</v>
      </c>
      <c r="I12" s="103">
        <v>899</v>
      </c>
      <c r="J12" s="2"/>
      <c r="R12" s="1">
        <f>IF(vend24[[#This Row],[Nº Venda]]&gt;1,1,0)</f>
        <v>1</v>
      </c>
    </row>
    <row r="13" spans="2:18" ht="15.75" x14ac:dyDescent="0.25">
      <c r="B13" s="30" t="s">
        <v>8</v>
      </c>
      <c r="C13" s="31">
        <f t="shared" si="0"/>
        <v>5789</v>
      </c>
      <c r="D13" s="2"/>
      <c r="E13" s="94">
        <v>9262</v>
      </c>
      <c r="F13" s="94" t="s">
        <v>314</v>
      </c>
      <c r="G13" s="104" t="s">
        <v>9</v>
      </c>
      <c r="H13" s="103">
        <v>700</v>
      </c>
      <c r="I13" s="103">
        <v>125</v>
      </c>
      <c r="J13" s="2"/>
      <c r="K13" s="129" t="s">
        <v>21</v>
      </c>
      <c r="L13" s="130"/>
      <c r="M13" s="131"/>
      <c r="R13" s="1">
        <f>IF(vend24[[#This Row],[Nº Venda]]&gt;1,1,0)</f>
        <v>1</v>
      </c>
    </row>
    <row r="14" spans="2:18" ht="15.75" x14ac:dyDescent="0.25">
      <c r="B14" s="30" t="s">
        <v>9</v>
      </c>
      <c r="C14" s="31">
        <f t="shared" si="0"/>
        <v>1365</v>
      </c>
      <c r="D14" s="2"/>
      <c r="E14" s="94">
        <v>9263</v>
      </c>
      <c r="F14" s="94" t="s">
        <v>315</v>
      </c>
      <c r="G14" s="104" t="s">
        <v>8</v>
      </c>
      <c r="H14" s="103">
        <v>600</v>
      </c>
      <c r="I14" s="103">
        <v>600</v>
      </c>
      <c r="J14" s="2"/>
      <c r="K14" s="14" t="s">
        <v>22</v>
      </c>
      <c r="L14" s="6" t="s">
        <v>23</v>
      </c>
      <c r="M14" s="15" t="s">
        <v>24</v>
      </c>
      <c r="R14" s="1">
        <f>IF(vend24[[#This Row],[Nº Venda]]&gt;1,1,0)</f>
        <v>1</v>
      </c>
    </row>
    <row r="15" spans="2:18" ht="15.75" x14ac:dyDescent="0.25">
      <c r="B15" s="28" t="s">
        <v>10</v>
      </c>
      <c r="C15" s="32">
        <f>SUM(C11:C14)</f>
        <v>7944</v>
      </c>
      <c r="D15" s="2"/>
      <c r="E15" s="94">
        <v>9264</v>
      </c>
      <c r="F15" s="94" t="s">
        <v>318</v>
      </c>
      <c r="G15" s="104" t="s">
        <v>6</v>
      </c>
      <c r="H15" s="103">
        <v>1300</v>
      </c>
      <c r="I15" s="103">
        <v>50</v>
      </c>
      <c r="J15" s="2"/>
      <c r="K15" s="105">
        <v>9155</v>
      </c>
      <c r="L15" s="95" t="s">
        <v>146</v>
      </c>
      <c r="M15" s="96" t="s">
        <v>132</v>
      </c>
      <c r="R15" s="1">
        <f>IF(vend24[[#This Row],[Nº Venda]]&gt;1,1,0)</f>
        <v>1</v>
      </c>
    </row>
    <row r="16" spans="2:18" ht="15.75" x14ac:dyDescent="0.25">
      <c r="B16" s="2"/>
      <c r="C16" s="2"/>
      <c r="D16" s="2"/>
      <c r="E16" s="94">
        <v>9265</v>
      </c>
      <c r="F16" s="94" t="s">
        <v>318</v>
      </c>
      <c r="G16" s="104" t="s">
        <v>6</v>
      </c>
      <c r="H16" s="103">
        <v>200</v>
      </c>
      <c r="I16" s="103">
        <v>10</v>
      </c>
      <c r="J16" s="2"/>
      <c r="K16" s="105">
        <v>9159</v>
      </c>
      <c r="L16" s="95" t="s">
        <v>131</v>
      </c>
      <c r="M16" s="96" t="s">
        <v>132</v>
      </c>
      <c r="R16" s="1">
        <f>IF(vend24[[#This Row],[Nº Venda]]&gt;1,1,0)</f>
        <v>1</v>
      </c>
    </row>
    <row r="17" spans="2:18" ht="15.75" x14ac:dyDescent="0.25">
      <c r="B17" s="127" t="s">
        <v>11</v>
      </c>
      <c r="C17" s="127"/>
      <c r="D17" s="2"/>
      <c r="E17" s="94">
        <v>9266</v>
      </c>
      <c r="F17" s="94" t="s">
        <v>317</v>
      </c>
      <c r="G17" s="104" t="s">
        <v>9</v>
      </c>
      <c r="H17" s="103">
        <v>299</v>
      </c>
      <c r="I17" s="103">
        <v>50</v>
      </c>
      <c r="J17" s="2"/>
      <c r="K17" s="105">
        <v>9164</v>
      </c>
      <c r="L17" s="95" t="s">
        <v>147</v>
      </c>
      <c r="M17" s="96" t="s">
        <v>132</v>
      </c>
      <c r="R17" s="1">
        <f>IF(vend24[[#This Row],[Nº Venda]]&gt;1,1,0)</f>
        <v>1</v>
      </c>
    </row>
    <row r="18" spans="2:18" ht="15.75" x14ac:dyDescent="0.25">
      <c r="B18" s="30">
        <f>COUNT(entr_carn24[OS])</f>
        <v>0</v>
      </c>
      <c r="C18" s="31">
        <f>SUM(entr_carn24[Valor Total])</f>
        <v>0</v>
      </c>
      <c r="D18" s="2"/>
      <c r="E18" s="94">
        <v>9267</v>
      </c>
      <c r="F18" s="94" t="s">
        <v>319</v>
      </c>
      <c r="G18" s="104" t="s">
        <v>6</v>
      </c>
      <c r="H18" s="103">
        <v>600</v>
      </c>
      <c r="I18" s="103">
        <v>40</v>
      </c>
      <c r="J18" s="2"/>
      <c r="K18" s="105">
        <v>9183</v>
      </c>
      <c r="L18" s="95" t="s">
        <v>131</v>
      </c>
      <c r="M18" s="96" t="s">
        <v>132</v>
      </c>
      <c r="R18" s="1">
        <f>IF(vend24[[#This Row],[Nº Venda]]&gt;1,1,0)</f>
        <v>1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>
        <v>9268</v>
      </c>
      <c r="F19" s="94" t="s">
        <v>316</v>
      </c>
      <c r="G19" s="104" t="s">
        <v>8</v>
      </c>
      <c r="H19" s="103">
        <v>2360</v>
      </c>
      <c r="I19" s="103">
        <v>2360</v>
      </c>
      <c r="J19" s="2"/>
      <c r="K19" s="105">
        <v>9223</v>
      </c>
      <c r="L19" s="95" t="s">
        <v>147</v>
      </c>
      <c r="M19" s="96" t="s">
        <v>132</v>
      </c>
      <c r="R19" s="1">
        <f>IF(vend24[[#This Row],[Nº Venda]]&gt;1,1,0)</f>
        <v>1</v>
      </c>
    </row>
    <row r="20" spans="2:18" ht="15.75" x14ac:dyDescent="0.25">
      <c r="B20" s="2"/>
      <c r="C20" s="2"/>
      <c r="D20" s="2"/>
      <c r="E20" s="94">
        <v>9269</v>
      </c>
      <c r="F20" s="104" t="s">
        <v>316</v>
      </c>
      <c r="G20" s="104" t="s">
        <v>8</v>
      </c>
      <c r="H20" s="103">
        <v>330</v>
      </c>
      <c r="I20" s="103">
        <v>330</v>
      </c>
      <c r="J20" s="2"/>
      <c r="K20" s="105">
        <v>9230</v>
      </c>
      <c r="L20" s="95" t="s">
        <v>146</v>
      </c>
      <c r="M20" s="96" t="s">
        <v>132</v>
      </c>
      <c r="R20" s="1">
        <f>IF(vend24[[#This Row],[Nº Venda]]&gt;1,1,0)</f>
        <v>1</v>
      </c>
    </row>
    <row r="21" spans="2:18" ht="15.75" x14ac:dyDescent="0.25">
      <c r="B21" s="28" t="s">
        <v>25</v>
      </c>
      <c r="C21" s="32">
        <f>C5</f>
        <v>13031</v>
      </c>
      <c r="D21" s="2"/>
      <c r="E21" s="94">
        <v>9316</v>
      </c>
      <c r="F21" s="94" t="s">
        <v>362</v>
      </c>
      <c r="G21" s="104" t="s">
        <v>6</v>
      </c>
      <c r="H21" s="103">
        <v>1053</v>
      </c>
      <c r="I21" s="103">
        <v>25</v>
      </c>
      <c r="J21" s="2"/>
      <c r="K21" s="105"/>
      <c r="L21" s="95"/>
      <c r="M21" s="96"/>
    </row>
    <row r="22" spans="2:18" ht="15.75" x14ac:dyDescent="0.25">
      <c r="B22" s="2"/>
      <c r="C22" s="2"/>
      <c r="D22" s="2"/>
      <c r="E22" s="94">
        <v>9317</v>
      </c>
      <c r="F22" s="94" t="s">
        <v>362</v>
      </c>
      <c r="G22" s="104" t="s">
        <v>6</v>
      </c>
      <c r="H22" s="103">
        <v>650</v>
      </c>
      <c r="I22" s="103">
        <v>25</v>
      </c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>
        <v>9155</v>
      </c>
      <c r="F26" s="94" t="s">
        <v>320</v>
      </c>
      <c r="G26" s="104" t="s">
        <v>9</v>
      </c>
      <c r="H26" s="103"/>
      <c r="I26" s="103">
        <v>100</v>
      </c>
      <c r="J26" s="2"/>
      <c r="K26" s="105"/>
      <c r="L26" s="95"/>
      <c r="M26" s="96"/>
    </row>
    <row r="27" spans="2:18" ht="15.75" x14ac:dyDescent="0.25">
      <c r="B27" s="2"/>
      <c r="C27" s="2"/>
      <c r="D27" s="2"/>
      <c r="E27" s="94">
        <v>9159</v>
      </c>
      <c r="F27" s="94" t="s">
        <v>192</v>
      </c>
      <c r="G27" s="104" t="s">
        <v>9</v>
      </c>
      <c r="H27" s="103"/>
      <c r="I27" s="103">
        <v>790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9204</v>
      </c>
      <c r="F28" s="94" t="s">
        <v>323</v>
      </c>
      <c r="G28" s="104" t="s">
        <v>9</v>
      </c>
      <c r="H28" s="103"/>
      <c r="I28" s="103">
        <v>300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8274</v>
      </c>
      <c r="F35" s="94" t="s">
        <v>321</v>
      </c>
      <c r="G35" s="104" t="s">
        <v>7</v>
      </c>
      <c r="H35" s="103">
        <v>100</v>
      </c>
      <c r="I35" s="103" t="s">
        <v>42</v>
      </c>
      <c r="K35" s="105"/>
      <c r="L35" s="108"/>
      <c r="M35" s="96"/>
    </row>
    <row r="36" spans="5:18" ht="15.75" x14ac:dyDescent="0.25">
      <c r="E36" s="94">
        <v>8885</v>
      </c>
      <c r="F36" s="94" t="s">
        <v>322</v>
      </c>
      <c r="G36" s="104" t="s">
        <v>6</v>
      </c>
      <c r="H36" s="103">
        <v>300</v>
      </c>
      <c r="I36" s="103" t="s">
        <v>37</v>
      </c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15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18A6F7EE-195C-4324-9E05-F5B94E183D0C}">
          <x14:formula1>
            <xm:f>base!$A$2:$A$8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base!$A$2:$A$5</xm:f>
          </x14:formula1>
          <xm:sqref>G26:G31 G35:G41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A1:R41"/>
  <sheetViews>
    <sheetView showGridLines="0" topLeftCell="A30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1:18" ht="27" x14ac:dyDescent="0.5">
      <c r="B1" s="58">
        <f>'24'!B1+1</f>
        <v>45437</v>
      </c>
    </row>
    <row r="2" spans="1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1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1:18" ht="15" x14ac:dyDescent="0.25">
      <c r="B5" s="23" t="s">
        <v>1</v>
      </c>
      <c r="C5" s="24">
        <f>SUMIF(I6:I31,"&gt;0",H6:H31)</f>
        <v>3830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1:18" ht="15.75" x14ac:dyDescent="0.25">
      <c r="A6" s="1">
        <v>67</v>
      </c>
      <c r="B6" s="23" t="s">
        <v>2</v>
      </c>
      <c r="C6" s="24">
        <f>SUM(I6:I41)</f>
        <v>1480</v>
      </c>
      <c r="D6" s="2"/>
      <c r="E6" s="94">
        <v>9270</v>
      </c>
      <c r="F6" s="94" t="s">
        <v>324</v>
      </c>
      <c r="G6" s="104" t="s">
        <v>7</v>
      </c>
      <c r="H6" s="103">
        <v>80</v>
      </c>
      <c r="I6" s="103">
        <v>80</v>
      </c>
      <c r="J6" s="2"/>
      <c r="K6" s="105"/>
      <c r="L6" s="95"/>
      <c r="M6" s="96"/>
      <c r="R6" s="1">
        <f>IF(vend25[[#This Row],[Nº Venda]]&gt;1,1,0)</f>
        <v>1</v>
      </c>
    </row>
    <row r="7" spans="1:18" ht="15.75" x14ac:dyDescent="0.25">
      <c r="B7" s="23" t="s">
        <v>3</v>
      </c>
      <c r="C7" s="24">
        <f>SUM(M6:M11)</f>
        <v>0</v>
      </c>
      <c r="D7" s="2"/>
      <c r="E7" s="94">
        <v>9271</v>
      </c>
      <c r="F7" s="94" t="s">
        <v>325</v>
      </c>
      <c r="G7" s="104" t="s">
        <v>8</v>
      </c>
      <c r="H7" s="103">
        <v>600</v>
      </c>
      <c r="I7" s="103">
        <v>600</v>
      </c>
      <c r="J7" s="2"/>
      <c r="K7" s="105"/>
      <c r="L7" s="95"/>
      <c r="M7" s="96"/>
      <c r="R7" s="1">
        <f>IF(vend25[[#This Row],[Nº Venda]]&gt;1,1,0)</f>
        <v>1</v>
      </c>
    </row>
    <row r="8" spans="1:18" ht="15.75" x14ac:dyDescent="0.25">
      <c r="B8" s="28" t="s">
        <v>20</v>
      </c>
      <c r="C8" s="29">
        <f>SUM(C6:C7)</f>
        <v>1480</v>
      </c>
      <c r="D8" s="2"/>
      <c r="E8" s="94">
        <v>9272</v>
      </c>
      <c r="F8" s="94" t="s">
        <v>326</v>
      </c>
      <c r="G8" s="104" t="s">
        <v>7</v>
      </c>
      <c r="H8" s="103">
        <v>2100</v>
      </c>
      <c r="I8" s="103">
        <v>100</v>
      </c>
      <c r="J8" s="2"/>
      <c r="K8" s="105"/>
      <c r="L8" s="95"/>
      <c r="M8" s="96"/>
      <c r="R8" s="1">
        <f>IF(vend25[[#This Row],[Nº Venda]]&gt;1,1,0)</f>
        <v>1</v>
      </c>
    </row>
    <row r="9" spans="1:18" ht="15.75" x14ac:dyDescent="0.25">
      <c r="B9" s="2"/>
      <c r="C9" s="2"/>
      <c r="D9" s="2"/>
      <c r="E9" s="94">
        <v>9273</v>
      </c>
      <c r="F9" s="94" t="s">
        <v>327</v>
      </c>
      <c r="G9" s="104" t="s">
        <v>8</v>
      </c>
      <c r="H9" s="103">
        <v>650</v>
      </c>
      <c r="I9" s="103">
        <v>650</v>
      </c>
      <c r="J9" s="2"/>
      <c r="K9" s="105"/>
      <c r="L9" s="95"/>
      <c r="M9" s="96"/>
      <c r="R9" s="1">
        <f>IF(vend25[[#This Row],[Nº Venda]]&gt;1,1,0)</f>
        <v>1</v>
      </c>
    </row>
    <row r="10" spans="1:18" ht="15.75" x14ac:dyDescent="0.25">
      <c r="B10" s="127" t="s">
        <v>5</v>
      </c>
      <c r="C10" s="127"/>
      <c r="D10" s="2"/>
      <c r="E10" s="94">
        <v>9273</v>
      </c>
      <c r="F10" s="94" t="s">
        <v>328</v>
      </c>
      <c r="G10" s="104" t="s">
        <v>9</v>
      </c>
      <c r="H10" s="103">
        <v>400</v>
      </c>
      <c r="I10" s="103">
        <v>50</v>
      </c>
      <c r="J10" s="2"/>
      <c r="K10" s="105"/>
      <c r="L10" s="95"/>
      <c r="M10" s="96"/>
      <c r="R10" s="1">
        <f>IF(vend25[[#This Row],[Nº Venda]]&gt;1,1,0)</f>
        <v>1</v>
      </c>
    </row>
    <row r="11" spans="1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IF(vend25[[#This Row],[Nº Venda]]&gt;1,1,0)</f>
        <v>0</v>
      </c>
    </row>
    <row r="12" spans="1:18" ht="15.75" x14ac:dyDescent="0.25">
      <c r="B12" s="30" t="s">
        <v>7</v>
      </c>
      <c r="C12" s="31">
        <f>(SUMIF($G$2:$G$31,B12,$I$2:$I$31))+(SUMIF($G$35:$G$41,B12,$H$35:$H$41))</f>
        <v>180</v>
      </c>
      <c r="D12" s="2"/>
      <c r="E12" s="94"/>
      <c r="F12" s="94"/>
      <c r="G12" s="104"/>
      <c r="H12" s="103"/>
      <c r="I12" s="103"/>
      <c r="J12" s="2"/>
      <c r="R12" s="1">
        <f>IF(vend25[[#This Row],[Nº Venda]]&gt;1,1,0)</f>
        <v>0</v>
      </c>
    </row>
    <row r="13" spans="1:18" ht="15.75" x14ac:dyDescent="0.25">
      <c r="B13" s="30" t="s">
        <v>8</v>
      </c>
      <c r="C13" s="31">
        <f>(SUMIF($G$2:$G$31,B13,$I$2:$I$31))+(SUMIF($G$35:$G$41,B13,$H$35:$H$41))</f>
        <v>1250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IF(vend25[[#This Row],[Nº Venda]]&gt;1,1,0)</f>
        <v>0</v>
      </c>
    </row>
    <row r="14" spans="1:18" ht="15.75" x14ac:dyDescent="0.25">
      <c r="B14" s="30" t="s">
        <v>9</v>
      </c>
      <c r="C14" s="31">
        <f>(SUMIF($G$2:$G$31,B14,$I$2:$I$31))+(SUMIF($G$35:$G$41,B14,$H$35:$H$41))</f>
        <v>50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IF(vend25[[#This Row],[Nº Venda]]&gt;1,1,0)</f>
        <v>0</v>
      </c>
    </row>
    <row r="15" spans="1:18" ht="15.75" x14ac:dyDescent="0.25">
      <c r="B15" s="28" t="s">
        <v>10</v>
      </c>
      <c r="C15" s="32">
        <f>SUM(C11:C14)</f>
        <v>1480</v>
      </c>
      <c r="D15" s="2"/>
      <c r="E15" s="94"/>
      <c r="F15" s="94"/>
      <c r="G15" s="104"/>
      <c r="H15" s="103"/>
      <c r="I15" s="103"/>
      <c r="J15" s="2"/>
      <c r="K15" s="105">
        <v>9240</v>
      </c>
      <c r="L15" s="95" t="s">
        <v>131</v>
      </c>
      <c r="M15" s="96" t="s">
        <v>132</v>
      </c>
      <c r="R15" s="1">
        <f>IF(vend25[[#This Row],[Nº Venda]]&gt;1,1,0)</f>
        <v>0</v>
      </c>
    </row>
    <row r="16" spans="1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9187</v>
      </c>
      <c r="L16" s="95" t="s">
        <v>131</v>
      </c>
      <c r="M16" s="96" t="s">
        <v>132</v>
      </c>
      <c r="R16" s="1">
        <f>IF(vend25[[#This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9052</v>
      </c>
      <c r="L17" s="95" t="s">
        <v>146</v>
      </c>
      <c r="M17" s="96" t="s">
        <v>132</v>
      </c>
      <c r="R17" s="1">
        <f>IF(vend25[[#This Row],[Nº Venda]]&gt;1,1,0)</f>
        <v>0</v>
      </c>
    </row>
    <row r="18" spans="2:18" ht="15.75" x14ac:dyDescent="0.25">
      <c r="B18" s="30">
        <f>COUNT(entr_carn25[OS])</f>
        <v>0</v>
      </c>
      <c r="C18" s="31">
        <f>SUM(entr_carn25[Valor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IF(vend25[[#This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IF(vend25[[#This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IF(vend25[[#This Row],[Nº Venda]]&gt;1,1,0)</f>
        <v>0</v>
      </c>
    </row>
    <row r="21" spans="2:18" ht="15.75" x14ac:dyDescent="0.25">
      <c r="B21" s="28" t="s">
        <v>25</v>
      </c>
      <c r="C21" s="32">
        <f>C5</f>
        <v>3830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18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5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53CC645E-DE03-4B8F-AE0F-BD5DB3BEFCE4}">
          <x14:formula1>
            <xm:f>base!$A$2:$A$8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base!$A$2:$A$5</xm:f>
          </x14:formula1>
          <xm:sqref>G26:G31 G35:G41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34" zoomScale="80" zoomScaleNormal="80" workbookViewId="0">
      <selection activeCell="M45" sqref="M4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'25'!B1+1</f>
        <v>45438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IF(vend26[[#This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IF(vend26[[#This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IF(vend26[[#This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IF(vend26[[#This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IF(vend26[[#This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IF(vend26[[#This Row],[Nº Venda]]&gt;1,1,0)</f>
        <v>0</v>
      </c>
    </row>
    <row r="18" spans="2:18" ht="15.75" x14ac:dyDescent="0.25">
      <c r="B18" s="30">
        <f>COUNT(entr_carn26[OS])</f>
        <v>0</v>
      </c>
      <c r="C18" s="31">
        <f>SUM(entr_carn26[Valor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IF(vend26[[#This Row],[Nº Venda]]&gt;1,1,0)</f>
        <v>0</v>
      </c>
    </row>
    <row r="19" spans="2:18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IF(vend26[[#This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IF(vend26[[#This Row],[Nº Venda]]&gt;1,1,0)</f>
        <v>0</v>
      </c>
    </row>
    <row r="21" spans="2:18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18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18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18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18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18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18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F25EF7E0-5BB3-4CF1-9B17-26FA036353B2}">
          <x14:formula1>
            <xm:f>base!$A$2:$A$5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base!$A$2:$A$8</xm:f>
          </x14:formula1>
          <xm:sqref>G6:G22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15" zoomScale="80" zoomScaleNormal="80" workbookViewId="0">
      <selection activeCell="U8" sqref="U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'26'!B1+1</f>
        <v>45439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189.9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1678.9</v>
      </c>
      <c r="D6" s="2"/>
      <c r="E6" s="94">
        <v>9274</v>
      </c>
      <c r="F6" s="94" t="s">
        <v>155</v>
      </c>
      <c r="G6" s="104" t="s">
        <v>6</v>
      </c>
      <c r="H6" s="103">
        <v>150</v>
      </c>
      <c r="I6" s="103">
        <v>50</v>
      </c>
      <c r="J6" s="2"/>
      <c r="K6" s="105"/>
      <c r="L6" s="95"/>
      <c r="M6" s="9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9275</v>
      </c>
      <c r="F7" s="94" t="s">
        <v>168</v>
      </c>
      <c r="G7" s="104" t="s">
        <v>38</v>
      </c>
      <c r="H7" s="103"/>
      <c r="I7" s="103"/>
      <c r="J7" s="2"/>
      <c r="K7" s="105"/>
      <c r="L7" s="95"/>
      <c r="M7" s="96"/>
      <c r="R7" s="1">
        <f>IF(vend27[[#This Row],[Nº Venda]]&gt;1,1,0)</f>
        <v>1</v>
      </c>
    </row>
    <row r="8" spans="2:18" ht="15.75" x14ac:dyDescent="0.25">
      <c r="B8" s="28" t="s">
        <v>20</v>
      </c>
      <c r="C8" s="29">
        <f>SUM(C6:C7)</f>
        <v>1678.9</v>
      </c>
      <c r="D8" s="2"/>
      <c r="E8" s="94">
        <v>9276</v>
      </c>
      <c r="F8" s="94" t="s">
        <v>333</v>
      </c>
      <c r="G8" s="104" t="s">
        <v>7</v>
      </c>
      <c r="H8" s="103">
        <v>39.9</v>
      </c>
      <c r="I8" s="103">
        <v>39.9</v>
      </c>
      <c r="J8" s="2"/>
      <c r="K8" s="105"/>
      <c r="L8" s="95"/>
      <c r="M8" s="9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IF(vend27[[#This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627.56999999999994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289.89999999999998</v>
      </c>
      <c r="D12" s="2"/>
      <c r="E12" s="94"/>
      <c r="F12" s="94"/>
      <c r="G12" s="104"/>
      <c r="H12" s="103"/>
      <c r="I12" s="103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500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 t="shared" si="0"/>
        <v>340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IF(vend27[[#This Row],[Nº Venda]]&gt;1,1,0)</f>
        <v>0</v>
      </c>
    </row>
    <row r="15" spans="2:18" ht="15.75" x14ac:dyDescent="0.25">
      <c r="B15" s="28" t="s">
        <v>10</v>
      </c>
      <c r="C15" s="32">
        <f>SUM(C11:C14)</f>
        <v>1757.4699999999998</v>
      </c>
      <c r="D15" s="2"/>
      <c r="E15" s="94"/>
      <c r="F15" s="94"/>
      <c r="G15" s="104"/>
      <c r="H15" s="103"/>
      <c r="I15" s="103"/>
      <c r="J15" s="2"/>
      <c r="K15" s="105">
        <v>9189</v>
      </c>
      <c r="L15" s="95" t="s">
        <v>146</v>
      </c>
      <c r="M15" s="96" t="s">
        <v>148</v>
      </c>
      <c r="R15" s="1">
        <f>IF(vend27[[#This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9251</v>
      </c>
      <c r="L16" s="95" t="s">
        <v>131</v>
      </c>
      <c r="M16" s="96" t="s">
        <v>132</v>
      </c>
      <c r="R16" s="1">
        <f>IF(vend27[[#This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9170</v>
      </c>
      <c r="L17" s="95" t="s">
        <v>131</v>
      </c>
      <c r="M17" s="96" t="s">
        <v>132</v>
      </c>
      <c r="R17" s="1">
        <f>IF(vend27[[#This Row],[Nº Venda]]&gt;1,1,0)</f>
        <v>0</v>
      </c>
    </row>
    <row r="18" spans="2:18" ht="15.75" x14ac:dyDescent="0.25">
      <c r="B18" s="30">
        <f>COUNT(entr_carn27[OS])</f>
        <v>3</v>
      </c>
      <c r="C18" s="31">
        <f>SUM(entr_carn27[Valor Total])</f>
        <v>679</v>
      </c>
      <c r="D18" s="2"/>
      <c r="E18" s="94"/>
      <c r="F18" s="94"/>
      <c r="G18" s="104"/>
      <c r="H18" s="103"/>
      <c r="I18" s="103"/>
      <c r="J18" s="2"/>
      <c r="K18" s="105">
        <v>9208</v>
      </c>
      <c r="L18" s="95" t="s">
        <v>147</v>
      </c>
      <c r="M18" s="96" t="s">
        <v>132</v>
      </c>
      <c r="R18" s="1">
        <f>IF(vend27[[#This Row],[Nº Venda]]&gt;1,1,0)</f>
        <v>0</v>
      </c>
    </row>
    <row r="19" spans="2:18" ht="15.75" x14ac:dyDescent="0.25">
      <c r="B19" s="28" t="s">
        <v>10</v>
      </c>
      <c r="C19" s="32">
        <f>SUM(C18:C18)</f>
        <v>679</v>
      </c>
      <c r="D19" s="2"/>
      <c r="E19" s="94"/>
      <c r="F19" s="94"/>
      <c r="G19" s="104"/>
      <c r="H19" s="103"/>
      <c r="I19" s="103"/>
      <c r="J19" s="2"/>
      <c r="K19" s="105">
        <v>9203</v>
      </c>
      <c r="L19" s="95" t="s">
        <v>162</v>
      </c>
      <c r="M19" s="96" t="s">
        <v>148</v>
      </c>
      <c r="R19" s="1">
        <f>IF(vend27[[#This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9169</v>
      </c>
      <c r="L20" s="95" t="s">
        <v>131</v>
      </c>
      <c r="M20" s="96" t="s">
        <v>132</v>
      </c>
      <c r="R20" s="1">
        <f>IF(vend27[[#This Row],[Nº Venda]]&gt;1,1,0)</f>
        <v>0</v>
      </c>
    </row>
    <row r="21" spans="2:18" ht="15.75" x14ac:dyDescent="0.25">
      <c r="B21" s="28" t="s">
        <v>25</v>
      </c>
      <c r="C21" s="32">
        <f>C5</f>
        <v>189.9</v>
      </c>
      <c r="D21" s="2"/>
      <c r="E21" s="94"/>
      <c r="F21" s="94"/>
      <c r="G21" s="104"/>
      <c r="H21" s="103"/>
      <c r="I21" s="103"/>
      <c r="J21" s="2"/>
      <c r="K21" s="105">
        <v>9216</v>
      </c>
      <c r="L21" s="95" t="s">
        <v>147</v>
      </c>
      <c r="M21" s="96" t="s">
        <v>132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>
        <v>9222</v>
      </c>
      <c r="L22" s="95" t="s">
        <v>131</v>
      </c>
      <c r="M22" s="96" t="s">
        <v>132</v>
      </c>
    </row>
    <row r="23" spans="2:18" ht="15.75" x14ac:dyDescent="0.25">
      <c r="B23" s="2"/>
      <c r="C23" s="2"/>
      <c r="D23" s="2"/>
      <c r="E23" s="33"/>
      <c r="H23" s="7"/>
      <c r="J23" s="2"/>
      <c r="K23" s="105">
        <v>9202</v>
      </c>
      <c r="L23" s="95" t="s">
        <v>147</v>
      </c>
      <c r="M23" s="96" t="s">
        <v>132</v>
      </c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>
        <v>9228</v>
      </c>
      <c r="L24" s="95" t="s">
        <v>146</v>
      </c>
      <c r="M24" s="96" t="s">
        <v>132</v>
      </c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>
        <v>9147</v>
      </c>
      <c r="L25" s="95" t="s">
        <v>146</v>
      </c>
      <c r="M25" s="96" t="s">
        <v>132</v>
      </c>
    </row>
    <row r="26" spans="2:18" ht="15.75" x14ac:dyDescent="0.25">
      <c r="B26" s="2"/>
      <c r="C26" s="2"/>
      <c r="D26" s="2"/>
      <c r="E26" s="94">
        <v>9232</v>
      </c>
      <c r="F26" s="94" t="s">
        <v>277</v>
      </c>
      <c r="G26" s="104" t="s">
        <v>7</v>
      </c>
      <c r="H26" s="103">
        <v>0</v>
      </c>
      <c r="I26" s="103">
        <v>250</v>
      </c>
      <c r="J26" s="2"/>
      <c r="K26" s="105">
        <v>9144</v>
      </c>
      <c r="L26" s="95" t="s">
        <v>332</v>
      </c>
      <c r="M26" s="96" t="s">
        <v>132</v>
      </c>
    </row>
    <row r="27" spans="2:18" ht="15.75" x14ac:dyDescent="0.25">
      <c r="B27" s="2"/>
      <c r="C27" s="2"/>
      <c r="D27" s="2"/>
      <c r="E27" s="94">
        <v>9203</v>
      </c>
      <c r="F27" s="94" t="s">
        <v>323</v>
      </c>
      <c r="G27" s="104" t="s">
        <v>9</v>
      </c>
      <c r="H27" s="103">
        <v>0</v>
      </c>
      <c r="I27" s="103">
        <v>300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9257</v>
      </c>
      <c r="F28" s="94" t="s">
        <v>329</v>
      </c>
      <c r="G28" s="104" t="s">
        <v>8</v>
      </c>
      <c r="H28" s="103">
        <v>0</v>
      </c>
      <c r="I28" s="103">
        <v>500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9131</v>
      </c>
      <c r="F29" s="94" t="s">
        <v>155</v>
      </c>
      <c r="G29" s="104" t="s">
        <v>6</v>
      </c>
      <c r="H29" s="103">
        <v>0</v>
      </c>
      <c r="I29" s="103">
        <v>249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>
        <v>9258</v>
      </c>
      <c r="F30" s="104" t="s">
        <v>330</v>
      </c>
      <c r="G30" s="104" t="s">
        <v>6</v>
      </c>
      <c r="H30" s="103">
        <v>0</v>
      </c>
      <c r="I30" s="103">
        <v>250</v>
      </c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>
        <v>9208</v>
      </c>
      <c r="F31" s="115" t="s">
        <v>293</v>
      </c>
      <c r="G31" s="116" t="s">
        <v>9</v>
      </c>
      <c r="H31" s="117">
        <v>0</v>
      </c>
      <c r="I31" s="117">
        <v>40</v>
      </c>
      <c r="J31" s="2"/>
      <c r="K31" s="105"/>
      <c r="L31" s="95"/>
      <c r="M31" s="96"/>
    </row>
    <row r="32" spans="2:18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8571</v>
      </c>
      <c r="F35" s="94" t="s">
        <v>331</v>
      </c>
      <c r="G35" s="104" t="s">
        <v>6</v>
      </c>
      <c r="H35" s="103">
        <v>78.569999999999993</v>
      </c>
      <c r="I35" s="103" t="s">
        <v>39</v>
      </c>
      <c r="K35" s="105">
        <v>9189</v>
      </c>
      <c r="L35" s="108">
        <v>7</v>
      </c>
      <c r="M35" s="96">
        <v>100</v>
      </c>
    </row>
    <row r="36" spans="5:18" ht="15.75" x14ac:dyDescent="0.25">
      <c r="E36" s="94"/>
      <c r="F36" s="94"/>
      <c r="G36" s="104"/>
      <c r="H36" s="103"/>
      <c r="I36" s="103"/>
      <c r="K36" s="105">
        <v>9203</v>
      </c>
      <c r="L36" s="108">
        <v>1</v>
      </c>
      <c r="M36" s="96">
        <v>199</v>
      </c>
    </row>
    <row r="37" spans="5:18" ht="15.75" x14ac:dyDescent="0.25">
      <c r="E37" s="94"/>
      <c r="F37" s="94"/>
      <c r="G37" s="104"/>
      <c r="H37" s="103"/>
      <c r="I37" s="103"/>
      <c r="K37" s="105">
        <v>9208</v>
      </c>
      <c r="L37" s="108">
        <v>5</v>
      </c>
      <c r="M37" s="96">
        <v>380</v>
      </c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3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C98E5996-9497-4006-B937-DD7511465A6E}">
          <x14:formula1>
            <xm:f>base!$A$2:$A$5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base!$A$2:$A$8</xm:f>
          </x14:formula1>
          <xm:sqref>G6:G22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U41"/>
  <sheetViews>
    <sheetView showGridLines="0" topLeftCell="A24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'27'!B1+1</f>
        <v>45440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3033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3233</v>
      </c>
      <c r="D6" s="2"/>
      <c r="E6" s="94">
        <v>9277</v>
      </c>
      <c r="F6" s="94" t="s">
        <v>334</v>
      </c>
      <c r="G6" s="104" t="s">
        <v>38</v>
      </c>
      <c r="H6" s="103"/>
      <c r="I6" s="103"/>
      <c r="J6" s="2"/>
      <c r="K6" s="105"/>
      <c r="L6" s="95"/>
      <c r="M6" s="9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9278</v>
      </c>
      <c r="F7" s="94" t="s">
        <v>335</v>
      </c>
      <c r="G7" s="104" t="s">
        <v>7</v>
      </c>
      <c r="H7" s="103">
        <v>99</v>
      </c>
      <c r="I7" s="103">
        <v>99</v>
      </c>
      <c r="J7" s="2"/>
      <c r="K7" s="105"/>
      <c r="L7" s="95"/>
      <c r="M7" s="96"/>
      <c r="R7" s="1">
        <f>IF(vend28[[#This Row],[Nº Venda]]&gt;1,1,0)</f>
        <v>1</v>
      </c>
    </row>
    <row r="8" spans="2:18" ht="15.75" x14ac:dyDescent="0.25">
      <c r="B8" s="28" t="s">
        <v>20</v>
      </c>
      <c r="C8" s="29">
        <f>SUM(C6:C7)</f>
        <v>3233</v>
      </c>
      <c r="D8" s="2"/>
      <c r="E8" s="94">
        <v>9279</v>
      </c>
      <c r="F8" s="94" t="s">
        <v>336</v>
      </c>
      <c r="G8" s="104" t="s">
        <v>38</v>
      </c>
      <c r="H8" s="103"/>
      <c r="I8" s="103"/>
      <c r="J8" s="2"/>
      <c r="K8" s="105"/>
      <c r="L8" s="95"/>
      <c r="M8" s="9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94" t="s">
        <v>341</v>
      </c>
      <c r="F9" s="94"/>
      <c r="G9" s="104"/>
      <c r="H9" s="103"/>
      <c r="I9" s="103"/>
      <c r="J9" s="2"/>
      <c r="K9" s="105"/>
      <c r="L9" s="95"/>
      <c r="M9" s="96"/>
      <c r="R9" s="1">
        <f>IF(vend28[[#This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9281</v>
      </c>
      <c r="F10" s="94" t="s">
        <v>337</v>
      </c>
      <c r="G10" s="104" t="s">
        <v>8</v>
      </c>
      <c r="H10" s="103">
        <v>1234</v>
      </c>
      <c r="I10" s="103">
        <v>1234</v>
      </c>
      <c r="J10" s="2"/>
      <c r="K10" s="105"/>
      <c r="L10" s="95"/>
      <c r="M10" s="96"/>
      <c r="R10" s="1">
        <f>IF(vend28[[#This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>
        <v>9282</v>
      </c>
      <c r="F11" s="94" t="s">
        <v>338</v>
      </c>
      <c r="G11" s="104" t="s">
        <v>48</v>
      </c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IF(vend28[[#This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299</v>
      </c>
      <c r="D12" s="2"/>
      <c r="E12" s="94">
        <v>9283</v>
      </c>
      <c r="F12" s="94" t="s">
        <v>197</v>
      </c>
      <c r="G12" s="104" t="s">
        <v>38</v>
      </c>
      <c r="H12" s="103"/>
      <c r="I12" s="103"/>
      <c r="J12" s="2"/>
      <c r="R12" s="1">
        <f>IF(vend28[[#This Row],[Nº Venda]]&gt;1,1,0)</f>
        <v>1</v>
      </c>
    </row>
    <row r="13" spans="2:18" ht="15.75" x14ac:dyDescent="0.25">
      <c r="B13" s="30" t="s">
        <v>8</v>
      </c>
      <c r="C13" s="31">
        <f t="shared" si="0"/>
        <v>2934</v>
      </c>
      <c r="D13" s="2"/>
      <c r="E13" s="94">
        <v>9284</v>
      </c>
      <c r="F13" s="94" t="s">
        <v>197</v>
      </c>
      <c r="G13" s="104" t="s">
        <v>38</v>
      </c>
      <c r="H13" s="103"/>
      <c r="I13" s="103"/>
      <c r="J13" s="2"/>
      <c r="K13" s="129" t="s">
        <v>21</v>
      </c>
      <c r="L13" s="130"/>
      <c r="M13" s="131"/>
      <c r="R13" s="1">
        <f>IF(vend28[[#This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>
        <v>9285</v>
      </c>
      <c r="F14" s="94" t="s">
        <v>339</v>
      </c>
      <c r="G14" s="104" t="s">
        <v>8</v>
      </c>
      <c r="H14" s="103">
        <v>1700</v>
      </c>
      <c r="I14" s="103">
        <v>1700</v>
      </c>
      <c r="J14" s="2"/>
      <c r="K14" s="14" t="s">
        <v>22</v>
      </c>
      <c r="L14" s="6" t="s">
        <v>23</v>
      </c>
      <c r="M14" s="15" t="s">
        <v>24</v>
      </c>
      <c r="R14" s="1">
        <f>IF(vend28[[#This Row],[Nº Venda]]&gt;1,1,0)</f>
        <v>1</v>
      </c>
    </row>
    <row r="15" spans="2:18" ht="15.75" x14ac:dyDescent="0.25">
      <c r="B15" s="28" t="s">
        <v>10</v>
      </c>
      <c r="C15" s="32">
        <f>SUM(C11:C14)</f>
        <v>3233</v>
      </c>
      <c r="D15" s="2"/>
      <c r="E15" s="94"/>
      <c r="F15" s="94"/>
      <c r="G15" s="104"/>
      <c r="H15" s="103"/>
      <c r="I15" s="103"/>
      <c r="J15" s="2"/>
      <c r="K15" s="105">
        <v>9167</v>
      </c>
      <c r="L15" s="95" t="s">
        <v>147</v>
      </c>
      <c r="M15" s="96" t="s">
        <v>132</v>
      </c>
      <c r="R15" s="1">
        <f>IF(vend28[[#This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9276</v>
      </c>
      <c r="L16" s="95" t="s">
        <v>147</v>
      </c>
      <c r="M16" s="96" t="s">
        <v>132</v>
      </c>
      <c r="R16" s="1">
        <f>IF(vend28[[#This Row],[Nº Venda]]&gt;1,1,0)</f>
        <v>0</v>
      </c>
    </row>
    <row r="17" spans="2:21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9270</v>
      </c>
      <c r="L17" s="95" t="s">
        <v>146</v>
      </c>
      <c r="M17" s="96" t="s">
        <v>132</v>
      </c>
      <c r="R17" s="1">
        <f>IF(vend28[[#This Row],[Nº Venda]]&gt;1,1,0)</f>
        <v>0</v>
      </c>
    </row>
    <row r="18" spans="2:21" ht="15.75" x14ac:dyDescent="0.25">
      <c r="B18" s="30">
        <f>COUNT(entr_carn28[OS])</f>
        <v>0</v>
      </c>
      <c r="C18" s="31">
        <f>SUM(entr_carn28[Valor Total])</f>
        <v>0</v>
      </c>
      <c r="D18" s="2"/>
      <c r="E18" s="94"/>
      <c r="F18" s="94"/>
      <c r="G18" s="104"/>
      <c r="H18" s="103"/>
      <c r="I18" s="103"/>
      <c r="J18" s="2"/>
      <c r="K18" s="105">
        <v>9128</v>
      </c>
      <c r="L18" s="95" t="s">
        <v>146</v>
      </c>
      <c r="M18" s="96" t="s">
        <v>132</v>
      </c>
      <c r="R18" s="1">
        <f>IF(vend28[[#This Row],[Nº Venda]]&gt;1,1,0)</f>
        <v>0</v>
      </c>
    </row>
    <row r="19" spans="2:21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>
        <v>9179</v>
      </c>
      <c r="L19" s="95" t="s">
        <v>147</v>
      </c>
      <c r="M19" s="96" t="s">
        <v>132</v>
      </c>
      <c r="R19" s="1">
        <f>IF(vend28[[#This Row],[Nº Venda]]&gt;1,1,0)</f>
        <v>0</v>
      </c>
      <c r="U19" s="1" t="s">
        <v>56</v>
      </c>
    </row>
    <row r="20" spans="2:21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9181</v>
      </c>
      <c r="L20" s="95" t="s">
        <v>147</v>
      </c>
      <c r="M20" s="96" t="s">
        <v>132</v>
      </c>
      <c r="R20" s="1">
        <f>IF(vend28[[#This Row],[Nº Venda]]&gt;1,1,0)</f>
        <v>0</v>
      </c>
    </row>
    <row r="21" spans="2:21" ht="15.75" x14ac:dyDescent="0.25">
      <c r="B21" s="28" t="s">
        <v>25</v>
      </c>
      <c r="C21" s="32">
        <f>C5</f>
        <v>3033</v>
      </c>
      <c r="D21" s="2"/>
      <c r="E21" s="94"/>
      <c r="F21" s="94"/>
      <c r="G21" s="104"/>
      <c r="H21" s="103"/>
      <c r="I21" s="103"/>
      <c r="J21" s="2"/>
      <c r="K21" s="105">
        <v>9213</v>
      </c>
      <c r="L21" s="95" t="s">
        <v>146</v>
      </c>
      <c r="M21" s="96" t="s">
        <v>132</v>
      </c>
    </row>
    <row r="22" spans="2:21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1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1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21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1" ht="15.75" x14ac:dyDescent="0.25">
      <c r="B26" s="2"/>
      <c r="C26" s="2"/>
      <c r="D26" s="2"/>
      <c r="E26" s="94">
        <v>9213</v>
      </c>
      <c r="F26" s="94" t="s">
        <v>340</v>
      </c>
      <c r="G26" s="104" t="s">
        <v>7</v>
      </c>
      <c r="H26" s="103">
        <v>0</v>
      </c>
      <c r="I26" s="103">
        <v>200</v>
      </c>
      <c r="J26" s="2"/>
      <c r="K26" s="105"/>
      <c r="L26" s="95"/>
      <c r="M26" s="96"/>
    </row>
    <row r="27" spans="2:21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1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1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1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1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1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9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base!$A$2:$A$8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base!$A$2:$A$5</xm:f>
          </x14:formula1>
          <xm:sqref>G26:G31 G35:G41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65" zoomScale="80" zoomScaleNormal="80" workbookViewId="0">
      <selection activeCell="L27" sqref="L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'28'!B1+1</f>
        <v>45441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2350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3628</v>
      </c>
      <c r="D6" s="2"/>
      <c r="E6" s="94">
        <v>9280</v>
      </c>
      <c r="F6" s="94" t="s">
        <v>343</v>
      </c>
      <c r="G6" s="104" t="s">
        <v>8</v>
      </c>
      <c r="H6" s="103">
        <v>400</v>
      </c>
      <c r="I6" s="103">
        <v>400</v>
      </c>
      <c r="J6" s="2"/>
      <c r="K6" s="105"/>
      <c r="L6" s="95"/>
      <c r="M6" s="9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9286</v>
      </c>
      <c r="F7" s="94" t="s">
        <v>342</v>
      </c>
      <c r="G7" s="104" t="s">
        <v>8</v>
      </c>
      <c r="H7" s="103">
        <v>800</v>
      </c>
      <c r="I7" s="103">
        <v>800</v>
      </c>
      <c r="J7" s="2"/>
      <c r="K7" s="105"/>
      <c r="L7" s="95"/>
      <c r="M7" s="96"/>
      <c r="R7" s="1">
        <f>IF(vend29[[#This Row],[Nº Venda]]&gt;1,1,0)</f>
        <v>1</v>
      </c>
    </row>
    <row r="8" spans="2:18" ht="15.75" x14ac:dyDescent="0.25">
      <c r="B8" s="28" t="s">
        <v>20</v>
      </c>
      <c r="C8" s="29">
        <f>SUM(C6:C7)</f>
        <v>3628</v>
      </c>
      <c r="D8" s="2"/>
      <c r="E8" s="94">
        <v>9287</v>
      </c>
      <c r="F8" s="94" t="s">
        <v>342</v>
      </c>
      <c r="G8" s="104" t="s">
        <v>8</v>
      </c>
      <c r="H8" s="103">
        <v>1100</v>
      </c>
      <c r="I8" s="103">
        <v>1100</v>
      </c>
      <c r="J8" s="2"/>
      <c r="K8" s="105"/>
      <c r="L8" s="95"/>
      <c r="M8" s="9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94">
        <v>9288</v>
      </c>
      <c r="F9" s="94" t="s">
        <v>344</v>
      </c>
      <c r="G9" s="104" t="s">
        <v>8</v>
      </c>
      <c r="H9" s="103">
        <v>50</v>
      </c>
      <c r="I9" s="103">
        <v>50</v>
      </c>
      <c r="J9" s="2"/>
      <c r="K9" s="105"/>
      <c r="L9" s="95"/>
      <c r="M9" s="96"/>
      <c r="R9" s="1">
        <f>IF(vend29[[#This Row],[Nº Venda]]&gt;1,1,0)</f>
        <v>1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356.33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30</v>
      </c>
      <c r="D12" s="2"/>
      <c r="E12" s="94"/>
      <c r="F12" s="94"/>
      <c r="G12" s="104"/>
      <c r="H12" s="103"/>
      <c r="I12" s="103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2600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700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IF(vend29[[#This Row],[Nº Venda]]&gt;1,1,0)</f>
        <v>0</v>
      </c>
    </row>
    <row r="15" spans="2:18" ht="15.75" x14ac:dyDescent="0.25">
      <c r="B15" s="28" t="s">
        <v>10</v>
      </c>
      <c r="C15" s="32">
        <f>SUM(C11:C14)</f>
        <v>3686.33</v>
      </c>
      <c r="D15" s="2"/>
      <c r="E15" s="94"/>
      <c r="F15" s="94"/>
      <c r="G15" s="104"/>
      <c r="H15" s="103"/>
      <c r="I15" s="103"/>
      <c r="J15" s="2"/>
      <c r="K15" s="105">
        <v>9233</v>
      </c>
      <c r="L15" s="95" t="s">
        <v>146</v>
      </c>
      <c r="M15" s="96" t="s">
        <v>132</v>
      </c>
      <c r="R15" s="1">
        <f>IF(vend29[[#This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>
        <v>9185</v>
      </c>
      <c r="L16" s="95" t="s">
        <v>147</v>
      </c>
      <c r="M16" s="96" t="s">
        <v>132</v>
      </c>
      <c r="R16" s="1">
        <f>IF(vend29[[#This Row],[Nº Venda]]&gt;1,1,0)</f>
        <v>0</v>
      </c>
    </row>
    <row r="17" spans="2:18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>
        <v>9156</v>
      </c>
      <c r="L17" s="95" t="s">
        <v>131</v>
      </c>
      <c r="M17" s="96" t="s">
        <v>148</v>
      </c>
      <c r="R17" s="1">
        <f>IF(vend29[[#This Row],[Nº Venda]]&gt;1,1,0)</f>
        <v>0</v>
      </c>
    </row>
    <row r="18" spans="2:18" ht="15.75" x14ac:dyDescent="0.25">
      <c r="B18" s="30">
        <f>COUNT(entr_carn29[OS])</f>
        <v>2</v>
      </c>
      <c r="C18" s="31">
        <f>SUM(entr_carn29[Valor Total])</f>
        <v>1111</v>
      </c>
      <c r="D18" s="2"/>
      <c r="E18" s="94"/>
      <c r="F18" s="94"/>
      <c r="G18" s="104"/>
      <c r="H18" s="103"/>
      <c r="I18" s="103"/>
      <c r="J18" s="2"/>
      <c r="K18" s="105">
        <v>9143</v>
      </c>
      <c r="L18" s="95" t="s">
        <v>332</v>
      </c>
      <c r="M18" s="96" t="s">
        <v>132</v>
      </c>
      <c r="R18" s="1">
        <f>IF(vend29[[#This Row],[Nº Venda]]&gt;1,1,0)</f>
        <v>0</v>
      </c>
    </row>
    <row r="19" spans="2:18" ht="15.75" x14ac:dyDescent="0.25">
      <c r="B19" s="28" t="s">
        <v>10</v>
      </c>
      <c r="C19" s="32">
        <f>SUM(C18:C18)</f>
        <v>1111</v>
      </c>
      <c r="D19" s="2"/>
      <c r="E19" s="94"/>
      <c r="F19" s="94"/>
      <c r="G19" s="104"/>
      <c r="H19" s="103"/>
      <c r="I19" s="103"/>
      <c r="J19" s="2"/>
      <c r="K19" s="105">
        <v>9235</v>
      </c>
      <c r="L19" s="95" t="s">
        <v>146</v>
      </c>
      <c r="M19" s="96" t="s">
        <v>132</v>
      </c>
      <c r="R19" s="1">
        <f>IF(vend29[[#This Row],[Nº Venda]]&gt;1,1,0)</f>
        <v>0</v>
      </c>
    </row>
    <row r="20" spans="2:18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>
        <v>9166</v>
      </c>
      <c r="L20" s="95" t="s">
        <v>147</v>
      </c>
      <c r="M20" s="96" t="s">
        <v>148</v>
      </c>
      <c r="R20" s="1">
        <f>IF(vend29[[#This Row],[Nº Venda]]&gt;1,1,0)</f>
        <v>0</v>
      </c>
    </row>
    <row r="21" spans="2:18" ht="15.75" x14ac:dyDescent="0.25">
      <c r="B21" s="28" t="s">
        <v>25</v>
      </c>
      <c r="C21" s="32">
        <f>C5</f>
        <v>2350</v>
      </c>
      <c r="D21" s="2"/>
      <c r="E21" s="94"/>
      <c r="F21" s="94"/>
      <c r="G21" s="104"/>
      <c r="H21" s="103"/>
      <c r="I21" s="103"/>
      <c r="J21" s="2"/>
      <c r="K21" s="105">
        <v>9078</v>
      </c>
      <c r="L21" s="95" t="s">
        <v>332</v>
      </c>
      <c r="M21" s="96" t="s">
        <v>132</v>
      </c>
    </row>
    <row r="22" spans="2:18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>
        <v>9266</v>
      </c>
      <c r="L22" s="95" t="s">
        <v>146</v>
      </c>
      <c r="M22" s="96" t="s">
        <v>132</v>
      </c>
    </row>
    <row r="23" spans="2:18" ht="15.75" x14ac:dyDescent="0.25">
      <c r="B23" s="2"/>
      <c r="C23" s="2"/>
      <c r="D23" s="2"/>
      <c r="E23" s="33"/>
      <c r="H23" s="7"/>
      <c r="J23" s="2"/>
      <c r="K23" s="105">
        <v>9194</v>
      </c>
      <c r="L23" s="95" t="s">
        <v>131</v>
      </c>
      <c r="M23" s="96" t="s">
        <v>132</v>
      </c>
    </row>
    <row r="24" spans="2:18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>
        <v>9259</v>
      </c>
      <c r="L24" s="95" t="s">
        <v>146</v>
      </c>
      <c r="M24" s="96" t="s">
        <v>132</v>
      </c>
    </row>
    <row r="25" spans="2:18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>
        <v>9115</v>
      </c>
      <c r="L25" s="95" t="s">
        <v>332</v>
      </c>
      <c r="M25" s="96" t="s">
        <v>132</v>
      </c>
    </row>
    <row r="26" spans="2:18" ht="15.75" x14ac:dyDescent="0.25">
      <c r="B26" s="2"/>
      <c r="C26" s="2"/>
      <c r="D26" s="2"/>
      <c r="E26" s="94">
        <v>9185</v>
      </c>
      <c r="F26" s="94" t="s">
        <v>345</v>
      </c>
      <c r="G26" s="104" t="s">
        <v>9</v>
      </c>
      <c r="H26" s="103">
        <v>0</v>
      </c>
      <c r="I26" s="103">
        <v>700</v>
      </c>
      <c r="J26" s="2"/>
      <c r="K26" s="105">
        <v>9224</v>
      </c>
      <c r="L26" s="95" t="s">
        <v>147</v>
      </c>
      <c r="M26" s="96" t="s">
        <v>132</v>
      </c>
    </row>
    <row r="27" spans="2:18" ht="15.75" x14ac:dyDescent="0.25">
      <c r="B27" s="2"/>
      <c r="C27" s="2"/>
      <c r="D27" s="2"/>
      <c r="E27" s="94">
        <v>9166</v>
      </c>
      <c r="F27" s="94" t="s">
        <v>346</v>
      </c>
      <c r="G27" s="104" t="s">
        <v>6</v>
      </c>
      <c r="H27" s="103">
        <v>0</v>
      </c>
      <c r="I27" s="103">
        <v>100</v>
      </c>
      <c r="J27" s="2"/>
      <c r="K27" s="105"/>
      <c r="L27" s="95"/>
      <c r="M27" s="96"/>
    </row>
    <row r="28" spans="2:18" ht="15.75" x14ac:dyDescent="0.25">
      <c r="B28" s="2"/>
      <c r="C28" s="2"/>
      <c r="D28" s="2"/>
      <c r="E28" s="94">
        <v>9166</v>
      </c>
      <c r="F28" s="94" t="s">
        <v>346</v>
      </c>
      <c r="G28" s="104" t="s">
        <v>7</v>
      </c>
      <c r="H28" s="103">
        <v>0</v>
      </c>
      <c r="I28" s="103">
        <v>30</v>
      </c>
      <c r="J28" s="2"/>
      <c r="K28" s="105"/>
      <c r="L28" s="95"/>
      <c r="M28" s="96"/>
    </row>
    <row r="29" spans="2:18" ht="15.75" x14ac:dyDescent="0.25">
      <c r="B29" s="2"/>
      <c r="C29" s="2"/>
      <c r="D29" s="2"/>
      <c r="E29" s="94">
        <v>9243</v>
      </c>
      <c r="F29" s="94" t="s">
        <v>297</v>
      </c>
      <c r="G29" s="104" t="s">
        <v>6</v>
      </c>
      <c r="H29" s="103">
        <v>0</v>
      </c>
      <c r="I29" s="103">
        <v>98</v>
      </c>
      <c r="J29" s="2"/>
      <c r="K29" s="105"/>
      <c r="L29" s="95"/>
      <c r="M29" s="96"/>
    </row>
    <row r="30" spans="2:18" ht="15.75" x14ac:dyDescent="0.25">
      <c r="B30" s="2"/>
      <c r="C30" s="2"/>
      <c r="D30" s="2"/>
      <c r="E30" s="94">
        <v>9242</v>
      </c>
      <c r="F30" s="104" t="s">
        <v>297</v>
      </c>
      <c r="G30" s="104" t="s">
        <v>6</v>
      </c>
      <c r="H30" s="103">
        <v>0</v>
      </c>
      <c r="I30" s="103">
        <v>100</v>
      </c>
      <c r="J30" s="2"/>
      <c r="K30" s="105"/>
      <c r="L30" s="95"/>
      <c r="M30" s="96"/>
    </row>
    <row r="31" spans="2:18" ht="15.75" x14ac:dyDescent="0.25">
      <c r="B31" s="2"/>
      <c r="C31" s="2"/>
      <c r="D31" s="2"/>
      <c r="E31" s="115">
        <v>9266</v>
      </c>
      <c r="F31" s="115" t="s">
        <v>347</v>
      </c>
      <c r="G31" s="116" t="s">
        <v>8</v>
      </c>
      <c r="H31" s="117">
        <v>0</v>
      </c>
      <c r="I31" s="117">
        <v>250</v>
      </c>
      <c r="J31" s="2"/>
      <c r="K31" s="105"/>
      <c r="L31" s="95"/>
      <c r="M31" s="96"/>
    </row>
    <row r="32" spans="2:18" ht="15.75" x14ac:dyDescent="0.25">
      <c r="B32" s="2"/>
      <c r="C32" s="2"/>
      <c r="E32" s="116"/>
      <c r="F32" s="116"/>
      <c r="G32" s="116"/>
      <c r="H32" s="117"/>
      <c r="I32" s="117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>
        <v>9093</v>
      </c>
      <c r="F35" s="94" t="s">
        <v>172</v>
      </c>
      <c r="G35" s="104" t="s">
        <v>6</v>
      </c>
      <c r="H35" s="103">
        <v>58.33</v>
      </c>
      <c r="I35" s="103" t="s">
        <v>40</v>
      </c>
      <c r="K35" s="105">
        <v>9156</v>
      </c>
      <c r="L35" s="108">
        <v>4</v>
      </c>
      <c r="M35" s="96">
        <v>399</v>
      </c>
    </row>
    <row r="36" spans="5:18" ht="15.75" x14ac:dyDescent="0.25">
      <c r="E36" s="94"/>
      <c r="F36" s="94"/>
      <c r="G36" s="104"/>
      <c r="H36" s="103"/>
      <c r="I36" s="103"/>
      <c r="K36" s="105">
        <v>9166</v>
      </c>
      <c r="L36" s="108">
        <v>8</v>
      </c>
      <c r="M36" s="96">
        <v>712</v>
      </c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4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882420CE-1467-422A-964B-18F1EC928A68}">
          <x14:formula1>
            <xm:f>base!$A$2:$A$5</xm:f>
          </x14:formula1>
          <xm:sqref>G26:G32 G35:G41</xm:sqref>
        </x14:dataValidation>
        <x14:dataValidation type="list" allowBlank="1" showInputMessage="1" showErrorMessage="1" xr:uid="{7344FCE5-B76F-41D2-899A-DC40E0AAB6E6}">
          <x14:formula1>
            <xm:f>base!$A$2:$A$8</xm:f>
          </x14:formula1>
          <xm:sqref>G6:G22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9" zoomScale="80" zoomScaleNormal="80" workbookViewId="0">
      <selection activeCell="F19" sqref="F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'29'!B1+1</f>
        <v>45442</v>
      </c>
    </row>
    <row r="2" spans="2:18" ht="18.75" x14ac:dyDescent="0.2">
      <c r="B2" s="132" t="s">
        <v>12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SUM(I6:I41)</f>
        <v>0</v>
      </c>
      <c r="D6" s="2"/>
      <c r="E6" s="94"/>
      <c r="F6" s="94"/>
      <c r="G6" s="104"/>
      <c r="H6" s="103"/>
      <c r="I6" s="103"/>
      <c r="J6" s="2"/>
      <c r="K6" s="105"/>
      <c r="L6" s="95"/>
      <c r="M6" s="96"/>
      <c r="R6" s="1">
        <f>IF(vend30[[#This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94"/>
      <c r="F7" s="94"/>
      <c r="G7" s="104"/>
      <c r="H7" s="103"/>
      <c r="I7" s="103"/>
      <c r="J7" s="2"/>
      <c r="K7" s="105"/>
      <c r="L7" s="95"/>
      <c r="M7" s="96"/>
      <c r="R7" s="1">
        <f>IF(vend30[[#This Row],[Nº Venda]]&gt;1,1,0)</f>
        <v>0</v>
      </c>
    </row>
    <row r="8" spans="2:18" ht="15.75" x14ac:dyDescent="0.25">
      <c r="B8" s="28" t="s">
        <v>20</v>
      </c>
      <c r="C8" s="29">
        <f>SUM(C6:C7)</f>
        <v>0</v>
      </c>
      <c r="D8" s="2"/>
      <c r="E8" s="94"/>
      <c r="F8" s="94"/>
      <c r="G8" s="104"/>
      <c r="H8" s="103"/>
      <c r="I8" s="103"/>
      <c r="J8" s="2"/>
      <c r="K8" s="105"/>
      <c r="L8" s="95"/>
      <c r="M8" s="9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94"/>
      <c r="F9" s="94"/>
      <c r="G9" s="104"/>
      <c r="H9" s="103"/>
      <c r="I9" s="103"/>
      <c r="J9" s="2"/>
      <c r="K9" s="105"/>
      <c r="L9" s="95"/>
      <c r="M9" s="96"/>
      <c r="R9" s="1">
        <f>IF(vend30[[#This Row],[Nº Venda]]&gt;1,1,0)</f>
        <v>0</v>
      </c>
    </row>
    <row r="10" spans="2:18" ht="15.75" x14ac:dyDescent="0.25">
      <c r="B10" s="127" t="s">
        <v>5</v>
      </c>
      <c r="C10" s="127"/>
      <c r="D10" s="2"/>
      <c r="E10" s="94"/>
      <c r="F10" s="94"/>
      <c r="G10" s="104"/>
      <c r="H10" s="103"/>
      <c r="I10" s="103"/>
      <c r="J10" s="2"/>
      <c r="K10" s="105"/>
      <c r="L10" s="95"/>
      <c r="M10" s="9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94"/>
      <c r="F11" s="94"/>
      <c r="G11" s="104"/>
      <c r="H11" s="103"/>
      <c r="I11" s="103"/>
      <c r="J11" s="2"/>
      <c r="K11" s="106"/>
      <c r="L11" s="95"/>
      <c r="M11" s="96"/>
      <c r="O11" s="1">
        <f>IF(C15=0,0,1)</f>
        <v>0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0</v>
      </c>
      <c r="D12" s="2"/>
      <c r="E12" s="94"/>
      <c r="F12" s="94"/>
      <c r="G12" s="104"/>
      <c r="H12" s="103"/>
      <c r="I12" s="103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94"/>
      <c r="F13" s="94"/>
      <c r="G13" s="104"/>
      <c r="H13" s="103"/>
      <c r="I13" s="103"/>
      <c r="J13" s="2"/>
      <c r="K13" s="129" t="s">
        <v>21</v>
      </c>
      <c r="L13" s="130"/>
      <c r="M13" s="13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94"/>
      <c r="F14" s="94"/>
      <c r="G14" s="104"/>
      <c r="H14" s="103"/>
      <c r="I14" s="103"/>
      <c r="J14" s="2"/>
      <c r="K14" s="14" t="s">
        <v>22</v>
      </c>
      <c r="L14" s="6" t="s">
        <v>23</v>
      </c>
      <c r="M14" s="15" t="s">
        <v>24</v>
      </c>
      <c r="R14" s="1">
        <f>IF(vend30[[#This Row],[Nº Venda]]&gt;1,1,0)</f>
        <v>0</v>
      </c>
    </row>
    <row r="15" spans="2:18" ht="15.75" x14ac:dyDescent="0.25">
      <c r="B15" s="28" t="s">
        <v>10</v>
      </c>
      <c r="C15" s="32">
        <f>SUM(C11:C14)</f>
        <v>0</v>
      </c>
      <c r="D15" s="2"/>
      <c r="E15" s="94"/>
      <c r="F15" s="94"/>
      <c r="G15" s="104"/>
      <c r="H15" s="103"/>
      <c r="I15" s="103"/>
      <c r="J15" s="2"/>
      <c r="K15" s="105"/>
      <c r="L15" s="95"/>
      <c r="M15" s="96"/>
      <c r="R15" s="1">
        <f>IF(vend30[[#This Row],[Nº Venda]]&gt;1,1,0)</f>
        <v>0</v>
      </c>
    </row>
    <row r="16" spans="2:18" ht="15.75" x14ac:dyDescent="0.25">
      <c r="B16" s="2"/>
      <c r="C16" s="2"/>
      <c r="D16" s="2"/>
      <c r="E16" s="94"/>
      <c r="F16" s="94"/>
      <c r="G16" s="104"/>
      <c r="H16" s="103"/>
      <c r="I16" s="103"/>
      <c r="J16" s="2"/>
      <c r="K16" s="105"/>
      <c r="L16" s="95"/>
      <c r="M16" s="96"/>
      <c r="R16" s="1">
        <f>IF(vend30[[#This Row],[Nº Venda]]&gt;1,1,0)</f>
        <v>0</v>
      </c>
    </row>
    <row r="17" spans="2:22" ht="15.75" x14ac:dyDescent="0.25">
      <c r="B17" s="127" t="s">
        <v>11</v>
      </c>
      <c r="C17" s="127"/>
      <c r="D17" s="2"/>
      <c r="E17" s="94"/>
      <c r="F17" s="94"/>
      <c r="G17" s="104"/>
      <c r="H17" s="103"/>
      <c r="I17" s="103"/>
      <c r="J17" s="2"/>
      <c r="K17" s="105"/>
      <c r="L17" s="95"/>
      <c r="M17" s="96"/>
      <c r="R17" s="1">
        <f>IF(vend30[[#This Row],[Nº Venda]]&gt;1,1,0)</f>
        <v>0</v>
      </c>
    </row>
    <row r="18" spans="2:22" ht="15.75" x14ac:dyDescent="0.25">
      <c r="B18" s="30">
        <f>COUNT(entr_carn30[OS])</f>
        <v>0</v>
      </c>
      <c r="C18" s="31">
        <f>SUM(entr_carn30[Valor Total])</f>
        <v>0</v>
      </c>
      <c r="D18" s="2"/>
      <c r="E18" s="94"/>
      <c r="F18" s="94"/>
      <c r="G18" s="104"/>
      <c r="H18" s="103"/>
      <c r="I18" s="103"/>
      <c r="J18" s="2"/>
      <c r="K18" s="105"/>
      <c r="L18" s="95"/>
      <c r="M18" s="96"/>
      <c r="R18" s="1">
        <f>IF(vend30[[#This Row],[Nº Venda]]&gt;1,1,0)</f>
        <v>0</v>
      </c>
    </row>
    <row r="19" spans="2:22" ht="15.75" x14ac:dyDescent="0.25">
      <c r="B19" s="28" t="s">
        <v>10</v>
      </c>
      <c r="C19" s="32">
        <f>SUM(C18:C18)</f>
        <v>0</v>
      </c>
      <c r="D19" s="2"/>
      <c r="E19" s="94"/>
      <c r="F19" s="94"/>
      <c r="G19" s="104"/>
      <c r="H19" s="103"/>
      <c r="I19" s="103"/>
      <c r="J19" s="2"/>
      <c r="K19" s="105"/>
      <c r="L19" s="95"/>
      <c r="M19" s="96"/>
      <c r="R19" s="1">
        <f>IF(vend30[[#This Row],[Nº Venda]]&gt;1,1,0)</f>
        <v>0</v>
      </c>
    </row>
    <row r="20" spans="2:22" ht="15.75" x14ac:dyDescent="0.25">
      <c r="B20" s="2"/>
      <c r="C20" s="2"/>
      <c r="D20" s="2"/>
      <c r="E20" s="94"/>
      <c r="F20" s="104"/>
      <c r="G20" s="104"/>
      <c r="H20" s="103"/>
      <c r="I20" s="103"/>
      <c r="J20" s="2"/>
      <c r="K20" s="105"/>
      <c r="L20" s="95"/>
      <c r="M20" s="96"/>
      <c r="R20" s="1">
        <f>IF(vend30[[#This Row],[Nº Venda]]&gt;1,1,0)</f>
        <v>0</v>
      </c>
    </row>
    <row r="21" spans="2:22" ht="15.75" x14ac:dyDescent="0.25">
      <c r="B21" s="28" t="s">
        <v>25</v>
      </c>
      <c r="C21" s="32">
        <f>C5</f>
        <v>0</v>
      </c>
      <c r="D21" s="2"/>
      <c r="E21" s="94"/>
      <c r="F21" s="94"/>
      <c r="G21" s="104"/>
      <c r="H21" s="103"/>
      <c r="I21" s="103"/>
      <c r="J21" s="2"/>
      <c r="K21" s="105"/>
      <c r="L21" s="95"/>
      <c r="M21" s="96"/>
      <c r="V21" s="1" t="s">
        <v>123</v>
      </c>
    </row>
    <row r="22" spans="2:22" ht="15.75" x14ac:dyDescent="0.25">
      <c r="B22" s="2"/>
      <c r="C22" s="2"/>
      <c r="D22" s="2"/>
      <c r="E22" s="94"/>
      <c r="F22" s="94"/>
      <c r="G22" s="104"/>
      <c r="H22" s="103"/>
      <c r="I22" s="103"/>
      <c r="J22" s="2"/>
      <c r="K22" s="105"/>
      <c r="L22" s="95"/>
      <c r="M22" s="96"/>
    </row>
    <row r="23" spans="2:22" ht="15.75" x14ac:dyDescent="0.25">
      <c r="B23" s="2"/>
      <c r="C23" s="2"/>
      <c r="D23" s="2"/>
      <c r="E23" s="33"/>
      <c r="H23" s="7"/>
      <c r="J23" s="2"/>
      <c r="K23" s="105"/>
      <c r="L23" s="95"/>
      <c r="M23" s="96"/>
    </row>
    <row r="24" spans="2:22" ht="15.75" x14ac:dyDescent="0.25">
      <c r="B24" s="2"/>
      <c r="C24" s="2"/>
      <c r="D24" s="2"/>
      <c r="E24" s="128" t="s">
        <v>26</v>
      </c>
      <c r="F24" s="128"/>
      <c r="G24" s="128"/>
      <c r="H24" s="128"/>
      <c r="I24" s="128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" t="s">
        <v>13</v>
      </c>
      <c r="F25" s="10" t="s">
        <v>14</v>
      </c>
      <c r="G25" s="11" t="s">
        <v>15</v>
      </c>
      <c r="H25" s="12" t="s">
        <v>16</v>
      </c>
      <c r="I25" s="13" t="s">
        <v>2</v>
      </c>
      <c r="J25" s="2"/>
      <c r="K25" s="105"/>
      <c r="L25" s="95"/>
      <c r="M25" s="96"/>
    </row>
    <row r="26" spans="2:22" ht="15.75" x14ac:dyDescent="0.25">
      <c r="B26" s="2"/>
      <c r="C26" s="2"/>
      <c r="D26" s="2"/>
      <c r="E26" s="94"/>
      <c r="F26" s="9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94"/>
      <c r="F27" s="94"/>
      <c r="G27" s="104"/>
      <c r="H27" s="103"/>
      <c r="I27" s="103"/>
      <c r="J27" s="2"/>
      <c r="K27" s="105"/>
      <c r="L27" s="95"/>
      <c r="M27" s="96"/>
    </row>
    <row r="28" spans="2:22" ht="15.75" x14ac:dyDescent="0.25">
      <c r="B28" s="2"/>
      <c r="C28" s="2"/>
      <c r="D28" s="2"/>
      <c r="E28" s="94"/>
      <c r="F28" s="94"/>
      <c r="G28" s="104"/>
      <c r="H28" s="103"/>
      <c r="I28" s="103"/>
      <c r="J28" s="2"/>
      <c r="K28" s="105"/>
      <c r="L28" s="95"/>
      <c r="M28" s="96"/>
    </row>
    <row r="29" spans="2:22" ht="15.75" x14ac:dyDescent="0.25">
      <c r="B29" s="2"/>
      <c r="C29" s="2"/>
      <c r="D29" s="2"/>
      <c r="E29" s="94"/>
      <c r="F29" s="94"/>
      <c r="G29" s="104"/>
      <c r="H29" s="103"/>
      <c r="I29" s="103"/>
      <c r="J29" s="2"/>
      <c r="K29" s="105"/>
      <c r="L29" s="95"/>
      <c r="M29" s="96"/>
    </row>
    <row r="30" spans="2:22" ht="15.75" x14ac:dyDescent="0.25">
      <c r="B30" s="2"/>
      <c r="C30" s="2"/>
      <c r="D30" s="2"/>
      <c r="E30" s="94"/>
      <c r="F30" s="104"/>
      <c r="G30" s="104"/>
      <c r="H30" s="103"/>
      <c r="I30" s="103"/>
      <c r="J30" s="2"/>
      <c r="K30" s="105"/>
      <c r="L30" s="95"/>
      <c r="M30" s="96"/>
    </row>
    <row r="31" spans="2:22" ht="15.75" x14ac:dyDescent="0.25">
      <c r="B31" s="2"/>
      <c r="C31" s="2"/>
      <c r="D31" s="2"/>
      <c r="E31" s="115"/>
      <c r="F31" s="115"/>
      <c r="G31" s="116"/>
      <c r="H31" s="117"/>
      <c r="I31" s="117"/>
      <c r="J31" s="2"/>
      <c r="K31" s="105"/>
      <c r="L31" s="95"/>
      <c r="M31" s="96"/>
    </row>
    <row r="32" spans="2:22" ht="15" x14ac:dyDescent="0.25">
      <c r="B32" s="2"/>
      <c r="C32" s="2"/>
      <c r="E32" s="33"/>
    </row>
    <row r="33" spans="5:18" ht="15" x14ac:dyDescent="0.25">
      <c r="E33" s="128" t="s">
        <v>27</v>
      </c>
      <c r="F33" s="128"/>
      <c r="G33" s="128"/>
      <c r="H33" s="128"/>
      <c r="I33" s="128"/>
      <c r="K33" s="129" t="s">
        <v>11</v>
      </c>
      <c r="L33" s="130"/>
      <c r="M33" s="131"/>
    </row>
    <row r="34" spans="5:18" ht="15" x14ac:dyDescent="0.25">
      <c r="E34" s="10" t="s">
        <v>22</v>
      </c>
      <c r="F34" s="10" t="s">
        <v>14</v>
      </c>
      <c r="G34" s="11" t="s">
        <v>15</v>
      </c>
      <c r="H34" s="12" t="s">
        <v>28</v>
      </c>
      <c r="I34" s="13" t="s">
        <v>29</v>
      </c>
      <c r="K34" s="14" t="s">
        <v>22</v>
      </c>
      <c r="L34" s="6" t="s">
        <v>30</v>
      </c>
      <c r="M34" s="15" t="s">
        <v>31</v>
      </c>
    </row>
    <row r="35" spans="5:18" ht="15.75" x14ac:dyDescent="0.25">
      <c r="E35" s="94"/>
      <c r="F35" s="94"/>
      <c r="G35" s="104"/>
      <c r="H35" s="103"/>
      <c r="I35" s="103"/>
      <c r="K35" s="105"/>
      <c r="L35" s="108"/>
      <c r="M35" s="96"/>
    </row>
    <row r="36" spans="5:18" ht="15.75" x14ac:dyDescent="0.25">
      <c r="E36" s="94"/>
      <c r="F36" s="94"/>
      <c r="G36" s="104"/>
      <c r="H36" s="103"/>
      <c r="I36" s="103"/>
      <c r="K36" s="105"/>
      <c r="L36" s="108"/>
      <c r="M36" s="96"/>
    </row>
    <row r="37" spans="5:18" ht="15.75" x14ac:dyDescent="0.25">
      <c r="E37" s="94"/>
      <c r="F37" s="94"/>
      <c r="G37" s="104"/>
      <c r="H37" s="103"/>
      <c r="I37" s="103"/>
      <c r="K37" s="105"/>
      <c r="L37" s="108"/>
      <c r="M37" s="96"/>
    </row>
    <row r="38" spans="5:18" ht="15.75" x14ac:dyDescent="0.25">
      <c r="E38" s="94"/>
      <c r="F38" s="94"/>
      <c r="G38" s="104"/>
      <c r="H38" s="103"/>
      <c r="I38" s="103"/>
      <c r="K38" s="105"/>
      <c r="L38" s="108"/>
      <c r="M38" s="96"/>
    </row>
    <row r="39" spans="5:18" ht="15.75" x14ac:dyDescent="0.25">
      <c r="E39" s="94"/>
      <c r="F39" s="104"/>
      <c r="G39" s="104"/>
      <c r="H39" s="103"/>
      <c r="I39" s="103"/>
      <c r="K39" s="105"/>
      <c r="L39" s="108"/>
      <c r="M39" s="96"/>
    </row>
    <row r="40" spans="5:18" ht="15.75" x14ac:dyDescent="0.25">
      <c r="E40" s="115"/>
      <c r="F40" s="115"/>
      <c r="G40" s="116"/>
      <c r="H40" s="117"/>
      <c r="I40" s="103"/>
      <c r="K40" s="109"/>
      <c r="L40" s="110"/>
      <c r="M40" s="111"/>
      <c r="Q40" s="1" t="s">
        <v>35</v>
      </c>
      <c r="R40" s="1">
        <f>SUM(R6:R21)</f>
        <v>0</v>
      </c>
    </row>
    <row r="41" spans="5:18" ht="15.75" x14ac:dyDescent="0.25">
      <c r="E41" s="104"/>
      <c r="F41" s="104"/>
      <c r="G41" s="104"/>
      <c r="H41" s="103"/>
      <c r="I41" s="103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7:C17"/>
  </mergeCells>
  <dataValidations disablePrompts="1"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454549B3-C2F1-4A35-B7FA-A3C6892C967B}">
          <x14:formula1>
            <xm:f>base!$A$2:$A$5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base!$A$2:$A$8</xm:f>
          </x14:formula1>
          <xm:sqref>G6:G22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921B-2E7A-4641-B011-0B5209DCBFC4}">
  <dimension ref="B1:V45"/>
  <sheetViews>
    <sheetView showGridLines="0" zoomScale="80" zoomScaleNormal="80" workbookViewId="0">
      <selection activeCell="K19" sqref="K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58">
        <f>'30'!B1+1</f>
        <v>45443</v>
      </c>
    </row>
    <row r="2" spans="2:18" ht="18.75" x14ac:dyDescent="0.2">
      <c r="B2" s="132" t="s">
        <v>341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35" t="s">
        <v>1</v>
      </c>
      <c r="F4" s="135"/>
      <c r="G4" s="135"/>
      <c r="H4" s="135"/>
      <c r="I4" s="135"/>
      <c r="J4" s="22"/>
      <c r="K4" s="129" t="s">
        <v>3</v>
      </c>
      <c r="L4" s="130"/>
      <c r="M4" s="131"/>
    </row>
    <row r="5" spans="2:18" ht="15" x14ac:dyDescent="0.25">
      <c r="B5" s="23" t="s">
        <v>1</v>
      </c>
      <c r="C5" s="24">
        <f>SUMIF(I6:I35,"&gt;0",H6:H35)</f>
        <v>11708</v>
      </c>
      <c r="D5" s="2"/>
      <c r="E5" s="10" t="s">
        <v>13</v>
      </c>
      <c r="F5" s="10" t="s">
        <v>14</v>
      </c>
      <c r="G5" s="11" t="s">
        <v>15</v>
      </c>
      <c r="H5" s="12" t="s">
        <v>16</v>
      </c>
      <c r="I5" s="13" t="s">
        <v>2</v>
      </c>
      <c r="J5" s="2"/>
      <c r="K5" s="14" t="s">
        <v>17</v>
      </c>
      <c r="L5" s="6" t="s">
        <v>18</v>
      </c>
      <c r="M5" s="15" t="s">
        <v>19</v>
      </c>
    </row>
    <row r="6" spans="2:18" ht="15.75" x14ac:dyDescent="0.25">
      <c r="B6" s="23" t="s">
        <v>2</v>
      </c>
      <c r="C6" s="24">
        <f>SUM(I6:I45)</f>
        <v>6651.98</v>
      </c>
      <c r="D6" s="2"/>
      <c r="E6" s="94">
        <v>9289</v>
      </c>
      <c r="F6" s="94" t="s">
        <v>348</v>
      </c>
      <c r="G6" s="104" t="s">
        <v>6</v>
      </c>
      <c r="H6" s="103">
        <v>950</v>
      </c>
      <c r="I6" s="103">
        <v>100</v>
      </c>
      <c r="J6" s="2"/>
      <c r="K6" s="105"/>
      <c r="L6" s="95"/>
      <c r="M6" s="9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94">
        <v>9290</v>
      </c>
      <c r="F7" s="94" t="s">
        <v>351</v>
      </c>
      <c r="G7" s="104" t="s">
        <v>8</v>
      </c>
      <c r="H7" s="103">
        <v>200</v>
      </c>
      <c r="I7" s="103">
        <v>200</v>
      </c>
      <c r="J7" s="2"/>
      <c r="K7" s="105"/>
      <c r="L7" s="95"/>
      <c r="M7" s="96"/>
      <c r="R7" s="1">
        <f>IF(vend31[[#This Row],[Nº Venda]]&gt;1,1,0)</f>
        <v>1</v>
      </c>
    </row>
    <row r="8" spans="2:18" ht="15.75" x14ac:dyDescent="0.25">
      <c r="B8" s="28" t="s">
        <v>20</v>
      </c>
      <c r="C8" s="29">
        <f>SUM(C6:C7)</f>
        <v>6651.98</v>
      </c>
      <c r="D8" s="2"/>
      <c r="E8" s="94">
        <v>9291</v>
      </c>
      <c r="F8" s="94" t="s">
        <v>349</v>
      </c>
      <c r="G8" s="104" t="s">
        <v>8</v>
      </c>
      <c r="H8" s="103">
        <v>990</v>
      </c>
      <c r="I8" s="103">
        <v>24.66</v>
      </c>
      <c r="J8" s="2"/>
      <c r="K8" s="105"/>
      <c r="L8" s="95"/>
      <c r="M8" s="9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94">
        <v>9292</v>
      </c>
      <c r="F9" s="94" t="s">
        <v>349</v>
      </c>
      <c r="G9" s="104" t="s">
        <v>8</v>
      </c>
      <c r="H9" s="103">
        <v>105</v>
      </c>
      <c r="I9" s="103">
        <v>24.66</v>
      </c>
      <c r="J9" s="2"/>
      <c r="K9" s="105"/>
      <c r="L9" s="95"/>
      <c r="M9" s="96"/>
      <c r="R9" s="1">
        <f>IF(vend31[[#This Row],[Nº Venda]]&gt;1,1,0)</f>
        <v>1</v>
      </c>
    </row>
    <row r="10" spans="2:18" ht="15.75" x14ac:dyDescent="0.25">
      <c r="B10" s="127" t="s">
        <v>5</v>
      </c>
      <c r="C10" s="127"/>
      <c r="D10" s="2"/>
      <c r="E10" s="94">
        <v>9293</v>
      </c>
      <c r="F10" s="94" t="s">
        <v>349</v>
      </c>
      <c r="G10" s="104" t="s">
        <v>8</v>
      </c>
      <c r="H10" s="103">
        <v>105</v>
      </c>
      <c r="I10" s="103">
        <v>24.66</v>
      </c>
      <c r="J10" s="2"/>
      <c r="K10" s="105"/>
      <c r="L10" s="95"/>
      <c r="M10" s="9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(SUMIF($G$2:$G$35,B11,$I$2:$I$35))+(SUMIF($G$39:$G$45,B11,$H$39:$H$45))</f>
        <v>320</v>
      </c>
      <c r="D11" s="2"/>
      <c r="E11" s="94">
        <v>9294</v>
      </c>
      <c r="F11" s="94" t="s">
        <v>350</v>
      </c>
      <c r="G11" s="104" t="s">
        <v>8</v>
      </c>
      <c r="H11" s="103">
        <v>169</v>
      </c>
      <c r="I11" s="103">
        <v>169</v>
      </c>
      <c r="J11" s="2"/>
      <c r="K11" s="106"/>
      <c r="L11" s="95"/>
      <c r="M11" s="96"/>
      <c r="O11" s="1">
        <f>IF(C15=0,0,1)</f>
        <v>1</v>
      </c>
      <c r="R11" s="1">
        <f>IF(vend31[[#This Row],[Nº Venda]]&gt;1,1,0)</f>
        <v>1</v>
      </c>
    </row>
    <row r="12" spans="2:18" ht="15.75" x14ac:dyDescent="0.25">
      <c r="B12" s="30" t="s">
        <v>7</v>
      </c>
      <c r="C12" s="31">
        <f>(SUMIF($G$2:$G$35,B12,$I$2:$I$35))+(SUMIF($G$39:$G$45,B12,$H$39:$H$45))</f>
        <v>0</v>
      </c>
      <c r="D12" s="2"/>
      <c r="E12" s="94">
        <v>9295</v>
      </c>
      <c r="F12" s="94" t="s">
        <v>350</v>
      </c>
      <c r="G12" s="104" t="s">
        <v>6</v>
      </c>
      <c r="H12" s="103">
        <v>700</v>
      </c>
      <c r="I12" s="103">
        <v>10</v>
      </c>
      <c r="J12" s="2"/>
      <c r="R12" s="1">
        <f>IF(vend31[[#This Row],[Nº Venda]]&gt;1,1,0)</f>
        <v>1</v>
      </c>
    </row>
    <row r="13" spans="2:18" ht="15.75" x14ac:dyDescent="0.25">
      <c r="B13" s="30" t="s">
        <v>8</v>
      </c>
      <c r="C13" s="31">
        <f>(SUMIF($G$2:$G$35,B13,$I$2:$I$35))+(SUMIF($G$39:$G$45,B13,$H$39:$H$45))</f>
        <v>5662.98</v>
      </c>
      <c r="D13" s="2"/>
      <c r="E13" s="94">
        <v>9296</v>
      </c>
      <c r="F13" s="94" t="s">
        <v>350</v>
      </c>
      <c r="G13" s="104" t="s">
        <v>6</v>
      </c>
      <c r="H13" s="103">
        <v>450</v>
      </c>
      <c r="I13" s="103">
        <v>10</v>
      </c>
      <c r="J13" s="2"/>
      <c r="K13" s="129" t="s">
        <v>21</v>
      </c>
      <c r="L13" s="130"/>
      <c r="M13" s="131"/>
      <c r="R13" s="1">
        <f>IF(vend31[[#This Row],[Nº Venda]]&gt;1,1,0)</f>
        <v>1</v>
      </c>
    </row>
    <row r="14" spans="2:18" ht="15.75" x14ac:dyDescent="0.25">
      <c r="B14" s="30" t="s">
        <v>9</v>
      </c>
      <c r="C14" s="31">
        <f>(SUMIF($G$2:$G$35,B14,$I$2:$I$35))+(SUMIF($G$39:$G$45,B14,$H$39:$H$45))</f>
        <v>799</v>
      </c>
      <c r="D14" s="2"/>
      <c r="E14" s="94">
        <v>9297</v>
      </c>
      <c r="F14" s="94" t="s">
        <v>352</v>
      </c>
      <c r="G14" s="104" t="s">
        <v>8</v>
      </c>
      <c r="H14" s="103">
        <v>599</v>
      </c>
      <c r="I14" s="103">
        <v>599</v>
      </c>
      <c r="J14" s="2"/>
      <c r="K14" s="14" t="s">
        <v>22</v>
      </c>
      <c r="L14" s="6" t="s">
        <v>23</v>
      </c>
      <c r="M14" s="15" t="s">
        <v>24</v>
      </c>
      <c r="R14" s="1">
        <f>IF(vend31[[#This Row],[Nº Venda]]&gt;1,1,0)</f>
        <v>1</v>
      </c>
    </row>
    <row r="15" spans="2:18" ht="15.75" x14ac:dyDescent="0.25">
      <c r="B15" s="28" t="s">
        <v>10</v>
      </c>
      <c r="C15" s="32">
        <f>SUM(C11:C14)</f>
        <v>6781.98</v>
      </c>
      <c r="D15" s="2"/>
      <c r="E15" s="94">
        <v>9298</v>
      </c>
      <c r="F15" s="94" t="s">
        <v>353</v>
      </c>
      <c r="G15" s="104" t="s">
        <v>8</v>
      </c>
      <c r="H15" s="103">
        <v>2690</v>
      </c>
      <c r="I15" s="103">
        <v>2690</v>
      </c>
      <c r="J15" s="2"/>
      <c r="K15" s="105">
        <v>9134</v>
      </c>
      <c r="L15" s="95" t="s">
        <v>164</v>
      </c>
      <c r="M15" s="96" t="s">
        <v>132</v>
      </c>
      <c r="R15" s="1">
        <f>IF(vend31[[#This Row],[Nº Venda]]&gt;1,1,0)</f>
        <v>1</v>
      </c>
    </row>
    <row r="16" spans="2:18" ht="15.75" x14ac:dyDescent="0.25">
      <c r="B16" s="2"/>
      <c r="C16" s="2"/>
      <c r="D16" s="2"/>
      <c r="E16" s="94">
        <v>9299</v>
      </c>
      <c r="F16" s="94" t="s">
        <v>354</v>
      </c>
      <c r="G16" s="104" t="s">
        <v>8</v>
      </c>
      <c r="H16" s="103">
        <v>1550</v>
      </c>
      <c r="I16" s="103">
        <v>40</v>
      </c>
      <c r="J16" s="2"/>
      <c r="K16" s="105">
        <v>9220</v>
      </c>
      <c r="L16" s="95" t="s">
        <v>131</v>
      </c>
      <c r="M16" s="96" t="s">
        <v>132</v>
      </c>
      <c r="R16" s="1">
        <f>IF(vend31[[#This Row],[Nº Venda]]&gt;1,1,0)</f>
        <v>1</v>
      </c>
    </row>
    <row r="17" spans="2:22" ht="15.75" x14ac:dyDescent="0.25">
      <c r="B17" s="127" t="s">
        <v>11</v>
      </c>
      <c r="C17" s="127"/>
      <c r="D17" s="2"/>
      <c r="E17" s="94">
        <v>9300</v>
      </c>
      <c r="F17" s="94" t="s">
        <v>355</v>
      </c>
      <c r="G17" s="104" t="s">
        <v>6</v>
      </c>
      <c r="H17" s="103">
        <v>700</v>
      </c>
      <c r="I17" s="103">
        <v>10</v>
      </c>
      <c r="J17" s="2"/>
      <c r="K17" s="105">
        <v>9250</v>
      </c>
      <c r="L17" s="95" t="s">
        <v>131</v>
      </c>
      <c r="M17" s="96" t="s">
        <v>148</v>
      </c>
      <c r="R17" s="1">
        <f>IF(vend31[[#This Row],[Nº Venda]]&gt;1,1,0)</f>
        <v>1</v>
      </c>
    </row>
    <row r="18" spans="2:22" ht="15.75" x14ac:dyDescent="0.25">
      <c r="B18" s="30">
        <f>COUNT(entr_carn31[OS])</f>
        <v>1</v>
      </c>
      <c r="C18" s="31">
        <f>SUM(entr_carn31[Valor Total])</f>
        <v>450</v>
      </c>
      <c r="D18" s="2"/>
      <c r="E18" s="94">
        <v>9301</v>
      </c>
      <c r="F18" s="94" t="s">
        <v>356</v>
      </c>
      <c r="G18" s="104" t="s">
        <v>6</v>
      </c>
      <c r="H18" s="103">
        <v>500</v>
      </c>
      <c r="I18" s="103">
        <v>10</v>
      </c>
      <c r="J18" s="2"/>
      <c r="K18" s="105">
        <v>9230</v>
      </c>
      <c r="L18" s="95" t="s">
        <v>147</v>
      </c>
      <c r="M18" s="96" t="s">
        <v>132</v>
      </c>
      <c r="R18" s="1">
        <f>IF(vend31[[#This Row],[Nº Venda]]&gt;1,1,0)</f>
        <v>1</v>
      </c>
    </row>
    <row r="19" spans="2:22" ht="15.75" x14ac:dyDescent="0.25">
      <c r="B19" s="28" t="s">
        <v>10</v>
      </c>
      <c r="C19" s="32">
        <f>SUM(C18:C18)</f>
        <v>450</v>
      </c>
      <c r="D19" s="2"/>
      <c r="E19" s="94">
        <v>9302</v>
      </c>
      <c r="F19" s="94" t="s">
        <v>357</v>
      </c>
      <c r="G19" s="104" t="s">
        <v>8</v>
      </c>
      <c r="H19" s="103">
        <v>500</v>
      </c>
      <c r="I19" s="103">
        <v>500</v>
      </c>
      <c r="J19" s="2"/>
      <c r="K19" s="105">
        <v>9149</v>
      </c>
      <c r="L19" s="95" t="s">
        <v>131</v>
      </c>
      <c r="M19" s="96" t="s">
        <v>132</v>
      </c>
      <c r="R19" s="1">
        <f>IF(vend31[[#This Row],[Nº Venda]]&gt;1,1,0)</f>
        <v>1</v>
      </c>
    </row>
    <row r="20" spans="2:22" ht="15.75" x14ac:dyDescent="0.25">
      <c r="B20" s="2"/>
      <c r="C20" s="2"/>
      <c r="D20" s="2"/>
      <c r="E20" s="94">
        <v>9303</v>
      </c>
      <c r="F20" s="104" t="s">
        <v>358</v>
      </c>
      <c r="G20" s="104" t="s">
        <v>9</v>
      </c>
      <c r="H20" s="103">
        <v>650</v>
      </c>
      <c r="I20" s="103">
        <v>300</v>
      </c>
      <c r="J20" s="2"/>
      <c r="K20" s="105">
        <v>9148</v>
      </c>
      <c r="L20" s="95" t="s">
        <v>131</v>
      </c>
      <c r="M20" s="96" t="s">
        <v>132</v>
      </c>
      <c r="R20" s="1">
        <f>IF(vend31[[#This Row],[Nº Venda]]&gt;1,1,0)</f>
        <v>1</v>
      </c>
    </row>
    <row r="21" spans="2:22" ht="15.75" x14ac:dyDescent="0.25">
      <c r="B21" s="28" t="s">
        <v>25</v>
      </c>
      <c r="C21" s="32">
        <f>C5</f>
        <v>11708</v>
      </c>
      <c r="D21" s="2"/>
      <c r="E21" s="94">
        <v>9304</v>
      </c>
      <c r="F21" s="94" t="s">
        <v>358</v>
      </c>
      <c r="G21" s="104" t="s">
        <v>8</v>
      </c>
      <c r="H21" s="103">
        <v>150</v>
      </c>
      <c r="I21" s="103">
        <v>100</v>
      </c>
      <c r="J21" s="2"/>
      <c r="K21" s="105">
        <v>9271</v>
      </c>
      <c r="L21" s="95" t="s">
        <v>147</v>
      </c>
      <c r="M21" s="96" t="s">
        <v>132</v>
      </c>
      <c r="V21" s="1" t="s">
        <v>123</v>
      </c>
    </row>
    <row r="22" spans="2:22" ht="15.75" x14ac:dyDescent="0.25">
      <c r="B22" s="2"/>
      <c r="C22" s="2"/>
      <c r="D22" s="2"/>
      <c r="E22" s="94">
        <v>9304</v>
      </c>
      <c r="F22" s="94" t="s">
        <v>358</v>
      </c>
      <c r="G22" s="104" t="s">
        <v>6</v>
      </c>
      <c r="H22" s="103"/>
      <c r="I22" s="103">
        <v>50</v>
      </c>
      <c r="J22" s="2"/>
      <c r="K22" s="105">
        <v>9127</v>
      </c>
      <c r="L22" s="95" t="s">
        <v>131</v>
      </c>
      <c r="M22" s="96" t="s">
        <v>132</v>
      </c>
    </row>
    <row r="23" spans="2:22" ht="15.75" x14ac:dyDescent="0.25">
      <c r="B23" s="2"/>
      <c r="C23" s="2"/>
      <c r="D23" s="2"/>
      <c r="E23" s="94">
        <v>9305</v>
      </c>
      <c r="F23" s="104" t="s">
        <v>359</v>
      </c>
      <c r="G23" s="104" t="s">
        <v>8</v>
      </c>
      <c r="H23" s="103">
        <v>700</v>
      </c>
      <c r="I23" s="103">
        <v>40</v>
      </c>
      <c r="J23" s="2"/>
      <c r="K23" s="105"/>
      <c r="L23" s="95"/>
      <c r="M23" s="96"/>
    </row>
    <row r="24" spans="2:22" ht="15.75" x14ac:dyDescent="0.25">
      <c r="B24" s="2"/>
      <c r="C24" s="2"/>
      <c r="D24" s="2"/>
      <c r="E24" s="104"/>
      <c r="F24" s="104"/>
      <c r="G24" s="104"/>
      <c r="H24" s="103"/>
      <c r="I24" s="103"/>
      <c r="J24" s="2"/>
      <c r="K24" s="105"/>
      <c r="L24" s="95"/>
      <c r="M24" s="96"/>
    </row>
    <row r="25" spans="2:22" ht="15.75" x14ac:dyDescent="0.25">
      <c r="B25" s="2"/>
      <c r="C25" s="2"/>
      <c r="D25" s="2"/>
      <c r="E25" s="104"/>
      <c r="F25" s="104"/>
      <c r="G25" s="104"/>
      <c r="H25" s="103"/>
      <c r="I25" s="103"/>
      <c r="J25" s="2"/>
      <c r="K25" s="105"/>
      <c r="L25" s="95"/>
      <c r="M25" s="96"/>
    </row>
    <row r="26" spans="2:22" ht="15.75" x14ac:dyDescent="0.25">
      <c r="B26" s="2"/>
      <c r="C26" s="2"/>
      <c r="D26" s="2"/>
      <c r="E26" s="104"/>
      <c r="F26" s="104"/>
      <c r="G26" s="104"/>
      <c r="H26" s="103"/>
      <c r="I26" s="103"/>
      <c r="J26" s="2"/>
      <c r="K26" s="105"/>
      <c r="L26" s="95"/>
      <c r="M26" s="96"/>
    </row>
    <row r="27" spans="2:22" ht="15.75" x14ac:dyDescent="0.25">
      <c r="B27" s="2"/>
      <c r="C27" s="2"/>
      <c r="D27" s="2"/>
      <c r="E27" s="33"/>
      <c r="H27" s="7"/>
      <c r="J27" s="2"/>
      <c r="K27" s="105"/>
      <c r="L27" s="95"/>
      <c r="M27" s="96"/>
    </row>
    <row r="28" spans="2:22" ht="15.75" x14ac:dyDescent="0.25">
      <c r="B28" s="2"/>
      <c r="C28" s="2"/>
      <c r="D28" s="2"/>
      <c r="E28" s="128" t="s">
        <v>26</v>
      </c>
      <c r="F28" s="128"/>
      <c r="G28" s="128"/>
      <c r="H28" s="128"/>
      <c r="I28" s="128"/>
      <c r="J28" s="2"/>
      <c r="K28" s="105"/>
      <c r="L28" s="95"/>
      <c r="M28" s="96"/>
    </row>
    <row r="29" spans="2:22" ht="15.75" x14ac:dyDescent="0.25">
      <c r="B29" s="2"/>
      <c r="C29" s="2"/>
      <c r="D29" s="2"/>
      <c r="E29" s="10" t="s">
        <v>13</v>
      </c>
      <c r="F29" s="10" t="s">
        <v>14</v>
      </c>
      <c r="G29" s="11" t="s">
        <v>15</v>
      </c>
      <c r="H29" s="12" t="s">
        <v>16</v>
      </c>
      <c r="I29" s="13" t="s">
        <v>2</v>
      </c>
      <c r="J29" s="2"/>
      <c r="K29" s="105"/>
      <c r="L29" s="95"/>
      <c r="M29" s="96"/>
    </row>
    <row r="30" spans="2:22" ht="15.75" x14ac:dyDescent="0.25">
      <c r="B30" s="2"/>
      <c r="C30" s="2"/>
      <c r="D30" s="2"/>
      <c r="E30" s="94">
        <v>9134</v>
      </c>
      <c r="F30" s="94" t="s">
        <v>360</v>
      </c>
      <c r="G30" s="104" t="s">
        <v>9</v>
      </c>
      <c r="H30" s="103"/>
      <c r="I30" s="103">
        <v>499</v>
      </c>
      <c r="J30" s="2"/>
      <c r="K30" s="105"/>
      <c r="L30" s="95"/>
      <c r="M30" s="96"/>
    </row>
    <row r="31" spans="2:22" ht="15.75" x14ac:dyDescent="0.25">
      <c r="B31" s="2"/>
      <c r="C31" s="2"/>
      <c r="D31" s="2"/>
      <c r="E31" s="94">
        <v>9220</v>
      </c>
      <c r="F31" s="94" t="s">
        <v>361</v>
      </c>
      <c r="G31" s="104" t="s">
        <v>8</v>
      </c>
      <c r="H31" s="103"/>
      <c r="I31" s="103">
        <v>565</v>
      </c>
      <c r="J31" s="2"/>
      <c r="K31" s="105"/>
      <c r="L31" s="95"/>
      <c r="M31" s="96"/>
    </row>
    <row r="32" spans="2:22" ht="15.75" x14ac:dyDescent="0.25">
      <c r="B32" s="2"/>
      <c r="C32" s="2"/>
      <c r="E32" s="94">
        <v>9221</v>
      </c>
      <c r="F32" s="94" t="s">
        <v>361</v>
      </c>
      <c r="G32" s="104" t="s">
        <v>8</v>
      </c>
      <c r="H32" s="103"/>
      <c r="I32" s="103">
        <v>686</v>
      </c>
    </row>
    <row r="33" spans="5:18" ht="15.75" x14ac:dyDescent="0.25">
      <c r="E33" s="94"/>
      <c r="F33" s="94"/>
      <c r="G33" s="104"/>
      <c r="H33" s="103"/>
      <c r="I33" s="103"/>
      <c r="K33" s="129" t="s">
        <v>11</v>
      </c>
      <c r="L33" s="130"/>
      <c r="M33" s="131"/>
    </row>
    <row r="34" spans="5:18" ht="15.75" x14ac:dyDescent="0.25">
      <c r="E34" s="94"/>
      <c r="F34" s="104"/>
      <c r="G34" s="104"/>
      <c r="H34" s="103"/>
      <c r="I34" s="103"/>
      <c r="K34" s="14" t="s">
        <v>22</v>
      </c>
      <c r="L34" s="6" t="s">
        <v>30</v>
      </c>
      <c r="M34" s="15" t="s">
        <v>31</v>
      </c>
    </row>
    <row r="35" spans="5:18" ht="15.75" x14ac:dyDescent="0.25">
      <c r="E35" s="115"/>
      <c r="F35" s="115"/>
      <c r="G35" s="116"/>
      <c r="H35" s="117"/>
      <c r="I35" s="117"/>
      <c r="K35" s="105"/>
      <c r="L35" s="108"/>
      <c r="M35" s="96"/>
    </row>
    <row r="36" spans="5:18" ht="15.75" x14ac:dyDescent="0.25">
      <c r="E36" s="33"/>
      <c r="K36" s="105">
        <v>9222</v>
      </c>
      <c r="L36" s="108">
        <v>3</v>
      </c>
      <c r="M36" s="96">
        <v>450</v>
      </c>
    </row>
    <row r="37" spans="5:18" ht="15.75" x14ac:dyDescent="0.25">
      <c r="E37" s="128" t="s">
        <v>27</v>
      </c>
      <c r="F37" s="128"/>
      <c r="G37" s="128"/>
      <c r="H37" s="128"/>
      <c r="I37" s="128"/>
      <c r="K37" s="105"/>
      <c r="L37" s="108"/>
      <c r="M37" s="96"/>
    </row>
    <row r="38" spans="5:18" ht="15.75" x14ac:dyDescent="0.25">
      <c r="E38" s="10" t="s">
        <v>22</v>
      </c>
      <c r="F38" s="10" t="s">
        <v>14</v>
      </c>
      <c r="G38" s="11" t="s">
        <v>15</v>
      </c>
      <c r="H38" s="12" t="s">
        <v>28</v>
      </c>
      <c r="I38" s="13" t="s">
        <v>29</v>
      </c>
      <c r="K38" s="105"/>
      <c r="L38" s="108"/>
      <c r="M38" s="96"/>
    </row>
    <row r="39" spans="5:18" ht="15.75" x14ac:dyDescent="0.25">
      <c r="E39" s="94">
        <v>9150</v>
      </c>
      <c r="F39" s="94" t="s">
        <v>176</v>
      </c>
      <c r="G39" s="104" t="s">
        <v>6</v>
      </c>
      <c r="H39" s="103">
        <v>130</v>
      </c>
      <c r="I39" s="103" t="s">
        <v>37</v>
      </c>
      <c r="K39" s="105"/>
      <c r="L39" s="108"/>
      <c r="M39" s="96"/>
    </row>
    <row r="40" spans="5:18" ht="15.75" x14ac:dyDescent="0.25">
      <c r="E40" s="94"/>
      <c r="F40" s="94"/>
      <c r="G40" s="104"/>
      <c r="H40" s="103"/>
      <c r="I40" s="103"/>
      <c r="K40" s="109"/>
      <c r="L40" s="110"/>
      <c r="M40" s="111"/>
      <c r="Q40" s="1" t="s">
        <v>35</v>
      </c>
      <c r="R40" s="1">
        <f>SUM(R6:R21)</f>
        <v>15</v>
      </c>
    </row>
    <row r="41" spans="5:18" ht="15.75" x14ac:dyDescent="0.25">
      <c r="E41" s="94"/>
      <c r="F41" s="94"/>
      <c r="G41" s="104"/>
      <c r="H41" s="103"/>
      <c r="I41" s="103"/>
      <c r="K41" s="44"/>
      <c r="L41" s="41"/>
      <c r="M41" s="40"/>
    </row>
    <row r="42" spans="5:18" ht="15.75" x14ac:dyDescent="0.25">
      <c r="E42" s="94"/>
      <c r="F42" s="94"/>
      <c r="G42" s="104"/>
      <c r="H42" s="103"/>
      <c r="I42" s="103"/>
    </row>
    <row r="43" spans="5:18" ht="15.75" x14ac:dyDescent="0.25">
      <c r="E43" s="94"/>
      <c r="F43" s="104"/>
      <c r="G43" s="104"/>
      <c r="H43" s="103"/>
      <c r="I43" s="103"/>
    </row>
    <row r="44" spans="5:18" ht="15.75" x14ac:dyDescent="0.25">
      <c r="E44" s="115"/>
      <c r="F44" s="115"/>
      <c r="G44" s="116"/>
      <c r="H44" s="117"/>
      <c r="I44" s="103"/>
    </row>
    <row r="45" spans="5:18" ht="15.75" x14ac:dyDescent="0.25">
      <c r="E45" s="104"/>
      <c r="F45" s="104"/>
      <c r="G45" s="104"/>
      <c r="H45" s="103"/>
      <c r="I45" s="103"/>
    </row>
  </sheetData>
  <mergeCells count="9">
    <mergeCell ref="E28:I28"/>
    <mergeCell ref="E37:I37"/>
    <mergeCell ref="K33:M33"/>
    <mergeCell ref="B2:M2"/>
    <mergeCell ref="E4:I4"/>
    <mergeCell ref="K4:M4"/>
    <mergeCell ref="B10:C10"/>
    <mergeCell ref="K13:M13"/>
    <mergeCell ref="B17:C17"/>
  </mergeCells>
  <dataValidations count="2">
    <dataValidation type="list" allowBlank="1" showInputMessage="1" showErrorMessage="1" sqref="M15:M31" xr:uid="{1B0895DF-FBCD-4775-AC20-F1FC8F0A61BC}">
      <formula1>"Sim, Não"</formula1>
    </dataValidation>
    <dataValidation type="list" allowBlank="1" showInputMessage="1" showErrorMessage="1" sqref="L35:L41" xr:uid="{44F82D68-185C-4F12-B428-24394F6238D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A34603-00A6-4FEA-9D1C-F5EF143E0072}">
          <x14:formula1>
            <xm:f>base!$A$2:$A$5</xm:f>
          </x14:formula1>
          <xm:sqref>G30:G35 G39:G45</xm:sqref>
        </x14:dataValidation>
        <x14:dataValidation type="list" allowBlank="1" showInputMessage="1" showErrorMessage="1" xr:uid="{836EF5A8-FCCE-4C30-9BA2-D787F064702C}">
          <x14:formula1>
            <xm:f>base!$E$2:$E$79</xm:f>
          </x14:formula1>
          <xm:sqref>I39:I45</xm:sqref>
        </x14:dataValidation>
        <x14:dataValidation type="list" allowBlank="1" showInputMessage="1" showErrorMessage="1" xr:uid="{08AF118E-E98F-498F-8102-50F719864D67}">
          <x14:formula1>
            <xm:f>base!$A$2:$A$8</xm:f>
          </x14:formula1>
          <xm:sqref>G6:G26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B18" sqref="B18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60</v>
      </c>
      <c r="B1" s="38" t="s">
        <v>61</v>
      </c>
      <c r="E1" s="38" t="s">
        <v>62</v>
      </c>
    </row>
    <row r="2" spans="1:5" x14ac:dyDescent="0.2">
      <c r="A2" s="38" t="s">
        <v>6</v>
      </c>
      <c r="B2" s="38" t="s">
        <v>63</v>
      </c>
      <c r="E2" t="s">
        <v>44</v>
      </c>
    </row>
    <row r="3" spans="1:5" x14ac:dyDescent="0.2">
      <c r="A3" s="38" t="s">
        <v>7</v>
      </c>
      <c r="B3" s="38" t="s">
        <v>64</v>
      </c>
      <c r="E3" t="s">
        <v>65</v>
      </c>
    </row>
    <row r="4" spans="1:5" x14ac:dyDescent="0.2">
      <c r="A4" s="38" t="s">
        <v>8</v>
      </c>
      <c r="B4" s="38" t="s">
        <v>66</v>
      </c>
      <c r="E4" t="s">
        <v>67</v>
      </c>
    </row>
    <row r="5" spans="1:5" x14ac:dyDescent="0.2">
      <c r="A5" s="38" t="s">
        <v>9</v>
      </c>
      <c r="B5" s="38" t="s">
        <v>9</v>
      </c>
      <c r="E5" t="s">
        <v>68</v>
      </c>
    </row>
    <row r="6" spans="1:5" x14ac:dyDescent="0.2">
      <c r="A6" s="38" t="s">
        <v>48</v>
      </c>
      <c r="B6" s="38" t="s">
        <v>69</v>
      </c>
      <c r="E6" t="s">
        <v>32</v>
      </c>
    </row>
    <row r="7" spans="1:5" x14ac:dyDescent="0.2">
      <c r="A7" t="s">
        <v>24</v>
      </c>
      <c r="B7" t="s">
        <v>71</v>
      </c>
      <c r="E7" t="s">
        <v>70</v>
      </c>
    </row>
    <row r="8" spans="1:5" x14ac:dyDescent="0.2">
      <c r="A8" s="38" t="s">
        <v>38</v>
      </c>
      <c r="B8" s="38" t="s">
        <v>72</v>
      </c>
      <c r="E8" t="s">
        <v>50</v>
      </c>
    </row>
    <row r="9" spans="1:5" x14ac:dyDescent="0.2">
      <c r="E9" t="s">
        <v>73</v>
      </c>
    </row>
    <row r="10" spans="1:5" x14ac:dyDescent="0.2">
      <c r="E10" t="s">
        <v>74</v>
      </c>
    </row>
    <row r="11" spans="1:5" x14ac:dyDescent="0.2">
      <c r="E11" t="s">
        <v>75</v>
      </c>
    </row>
    <row r="12" spans="1:5" x14ac:dyDescent="0.2">
      <c r="E12" t="s">
        <v>37</v>
      </c>
    </row>
    <row r="13" spans="1:5" x14ac:dyDescent="0.2">
      <c r="E13" t="s">
        <v>51</v>
      </c>
    </row>
    <row r="14" spans="1:5" x14ac:dyDescent="0.2">
      <c r="E14" t="s">
        <v>45</v>
      </c>
    </row>
    <row r="15" spans="1:5" x14ac:dyDescent="0.2">
      <c r="E15" t="s">
        <v>76</v>
      </c>
    </row>
    <row r="16" spans="1:5" x14ac:dyDescent="0.2">
      <c r="E16" t="s">
        <v>46</v>
      </c>
    </row>
    <row r="17" spans="5:5" x14ac:dyDescent="0.2">
      <c r="E17" t="s">
        <v>40</v>
      </c>
    </row>
    <row r="18" spans="5:5" x14ac:dyDescent="0.2">
      <c r="E18" t="s">
        <v>52</v>
      </c>
    </row>
    <row r="19" spans="5:5" x14ac:dyDescent="0.2">
      <c r="E19" t="s">
        <v>43</v>
      </c>
    </row>
    <row r="20" spans="5:5" x14ac:dyDescent="0.2">
      <c r="E20" t="s">
        <v>77</v>
      </c>
    </row>
    <row r="21" spans="5:5" x14ac:dyDescent="0.2">
      <c r="E21" t="s">
        <v>78</v>
      </c>
    </row>
    <row r="22" spans="5:5" x14ac:dyDescent="0.2">
      <c r="E22" t="s">
        <v>57</v>
      </c>
    </row>
    <row r="23" spans="5:5" x14ac:dyDescent="0.2">
      <c r="E23" t="s">
        <v>34</v>
      </c>
    </row>
    <row r="24" spans="5:5" x14ac:dyDescent="0.2">
      <c r="E24" t="s">
        <v>53</v>
      </c>
    </row>
    <row r="25" spans="5:5" x14ac:dyDescent="0.2">
      <c r="E25" t="s">
        <v>47</v>
      </c>
    </row>
    <row r="26" spans="5:5" x14ac:dyDescent="0.2">
      <c r="E26" t="s">
        <v>39</v>
      </c>
    </row>
    <row r="27" spans="5:5" x14ac:dyDescent="0.2">
      <c r="E27" t="s">
        <v>42</v>
      </c>
    </row>
    <row r="28" spans="5:5" x14ac:dyDescent="0.2">
      <c r="E28" t="s">
        <v>58</v>
      </c>
    </row>
    <row r="29" spans="5:5" x14ac:dyDescent="0.2">
      <c r="E29" t="s">
        <v>59</v>
      </c>
    </row>
    <row r="30" spans="5:5" x14ac:dyDescent="0.2">
      <c r="E30" t="s">
        <v>79</v>
      </c>
    </row>
    <row r="31" spans="5:5" x14ac:dyDescent="0.2">
      <c r="E31" t="s">
        <v>33</v>
      </c>
    </row>
    <row r="32" spans="5:5" x14ac:dyDescent="0.2">
      <c r="E32" t="s">
        <v>80</v>
      </c>
    </row>
    <row r="33" spans="5:5" x14ac:dyDescent="0.2">
      <c r="E33" t="s">
        <v>55</v>
      </c>
    </row>
    <row r="34" spans="5:5" x14ac:dyDescent="0.2">
      <c r="E34" t="s">
        <v>36</v>
      </c>
    </row>
    <row r="35" spans="5:5" x14ac:dyDescent="0.2">
      <c r="E35" t="s">
        <v>54</v>
      </c>
    </row>
    <row r="36" spans="5:5" x14ac:dyDescent="0.2">
      <c r="E36" t="s">
        <v>41</v>
      </c>
    </row>
    <row r="37" spans="5:5" x14ac:dyDescent="0.2">
      <c r="E37" t="s">
        <v>49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2024-06-04T16:18:36Z</cp:lastPrinted>
  <dcterms:created xsi:type="dcterms:W3CDTF">2004-04-07T20:43:43Z</dcterms:created>
  <dcterms:modified xsi:type="dcterms:W3CDTF">2025-05-21T20:20:55Z</dcterms:modified>
  <cp:category/>
  <cp:contentStatus/>
</cp:coreProperties>
</file>