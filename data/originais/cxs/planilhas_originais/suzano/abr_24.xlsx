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comments1.xml" ContentType="application/vnd.openxmlformats-officedocument.spreadsheetml.comments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554" documentId="13_ncr:1_{0824627D-0F44-4D6F-AFE4-CAA07EACE80D}" xr6:coauthVersionLast="47" xr6:coauthVersionMax="47" xr10:uidLastSave="{6C694BBF-E7AD-43D6-92D0-113E44A13447}"/>
  <bookViews>
    <workbookView xWindow="-120" yWindow="-120" windowWidth="20730" windowHeight="11310" tabRatio="895" activeTab="13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12" i="185"/>
  <c r="C14" i="180"/>
  <c r="C12" i="180"/>
  <c r="C13" i="180"/>
  <c r="C11" i="180"/>
  <c r="C12" i="188"/>
  <c r="C13" i="188"/>
  <c r="C14" i="188"/>
  <c r="C11" i="188"/>
  <c r="C12" i="178"/>
  <c r="C13" i="178"/>
  <c r="C14" i="178"/>
  <c r="C11" i="178"/>
  <c r="R20" i="175"/>
  <c r="R19" i="175"/>
  <c r="C18" i="175"/>
  <c r="C19" i="175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5"/>
  <c r="C13" i="195"/>
  <c r="C14" i="195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2" i="198"/>
  <c r="C13" i="198"/>
  <c r="C14" i="198"/>
  <c r="C11" i="174"/>
  <c r="C11" i="173"/>
  <c r="C11" i="172"/>
  <c r="C11" i="171"/>
  <c r="C11" i="170"/>
  <c r="C11" i="103"/>
  <c r="C11" i="177"/>
  <c r="C11" i="176"/>
  <c r="C11" i="182"/>
  <c r="C11" i="183"/>
  <c r="C11" i="181"/>
  <c r="C11" i="179"/>
  <c r="C11" i="184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1" i="174"/>
  <c r="C5" i="173"/>
  <c r="C21" i="173"/>
  <c r="C5" i="172"/>
  <c r="C21" i="172"/>
  <c r="C5" i="171"/>
  <c r="C21" i="171"/>
  <c r="C5" i="170"/>
  <c r="C21" i="170"/>
  <c r="C5" i="103"/>
  <c r="C5" i="178"/>
  <c r="C21" i="178"/>
  <c r="C5" i="177"/>
  <c r="C21" i="177"/>
  <c r="C5" i="176"/>
  <c r="C21" i="176"/>
  <c r="C5" i="180"/>
  <c r="C21" i="180"/>
  <c r="C5" i="182"/>
  <c r="C21" i="182"/>
  <c r="C5" i="183"/>
  <c r="C21" i="183"/>
  <c r="C5" i="181"/>
  <c r="C21" i="181"/>
  <c r="C5" i="179"/>
  <c r="C21" i="179"/>
  <c r="C5" i="184"/>
  <c r="C21" i="184"/>
  <c r="C5" i="185"/>
  <c r="C21" i="185"/>
  <c r="C5" i="186"/>
  <c r="C21" i="186"/>
  <c r="C5" i="187"/>
  <c r="C21" i="187"/>
  <c r="C5" i="189"/>
  <c r="C21" i="189"/>
  <c r="C5" i="190"/>
  <c r="C21" i="190"/>
  <c r="C5" i="191"/>
  <c r="C21" i="191"/>
  <c r="C5" i="188"/>
  <c r="C21" i="188"/>
  <c r="C5" i="193"/>
  <c r="C21" i="193"/>
  <c r="C5" i="195"/>
  <c r="C21" i="195"/>
  <c r="C5" i="194"/>
  <c r="C21" i="194"/>
  <c r="C5" i="197"/>
  <c r="C21" i="197"/>
  <c r="C5" i="196"/>
  <c r="C21" i="196"/>
  <c r="C5" i="192"/>
  <c r="C21" i="192"/>
  <c r="C5" i="199"/>
  <c r="C21" i="199"/>
  <c r="C5" i="198"/>
  <c r="C21" i="198"/>
  <c r="C6" i="174"/>
  <c r="C8" i="174"/>
  <c r="C6" i="173"/>
  <c r="C6" i="172"/>
  <c r="C8" i="172"/>
  <c r="C6" i="171"/>
  <c r="C6" i="170"/>
  <c r="C6" i="103"/>
  <c r="C6" i="178"/>
  <c r="C6" i="177"/>
  <c r="C6" i="176"/>
  <c r="B4" i="200" s="1"/>
  <c r="B6" i="200" s="1"/>
  <c r="C6" i="180"/>
  <c r="C6" i="182"/>
  <c r="C6" i="183"/>
  <c r="C6" i="181"/>
  <c r="C6" i="179"/>
  <c r="C8" i="179"/>
  <c r="C6" i="184"/>
  <c r="C6" i="185"/>
  <c r="C6" i="186"/>
  <c r="C6" i="187"/>
  <c r="C8" i="187"/>
  <c r="C6" i="189"/>
  <c r="C8" i="189"/>
  <c r="C6" i="190"/>
  <c r="C8" i="190"/>
  <c r="C6" i="191"/>
  <c r="C6" i="188"/>
  <c r="C6" i="193"/>
  <c r="C6" i="195"/>
  <c r="C6" i="194"/>
  <c r="C8" i="194"/>
  <c r="C6" i="197"/>
  <c r="C8" i="197"/>
  <c r="C6" i="196"/>
  <c r="C8" i="196"/>
  <c r="C6" i="192"/>
  <c r="C6" i="199"/>
  <c r="C8" i="199"/>
  <c r="C6" i="198"/>
  <c r="R20" i="199"/>
  <c r="R19" i="199"/>
  <c r="C18" i="199"/>
  <c r="C19" i="199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8" i="198"/>
  <c r="C19" i="198"/>
  <c r="B18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8" i="197"/>
  <c r="C19" i="197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71"/>
  <c r="C8" i="180"/>
  <c r="C8" i="186"/>
  <c r="C8" i="173"/>
  <c r="C8" i="192"/>
  <c r="C8" i="183"/>
  <c r="C8" i="175"/>
  <c r="R40" i="194"/>
  <c r="R40" i="190"/>
  <c r="R40" i="183"/>
  <c r="R40" i="192"/>
  <c r="R40" i="196"/>
  <c r="C8" i="191"/>
  <c r="R40" i="198"/>
  <c r="B17" i="200"/>
  <c r="B18" i="200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/>
  <c r="R40" i="170"/>
  <c r="C15" i="175"/>
  <c r="O11" i="175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/>
  <c r="R40" i="171"/>
  <c r="B5" i="200"/>
  <c r="B9" i="200"/>
  <c r="B3" i="200"/>
  <c r="B12" i="200"/>
  <c r="C15" i="196"/>
  <c r="O11" i="196"/>
  <c r="C15" i="189"/>
  <c r="O11" i="189"/>
  <c r="C15" i="188"/>
  <c r="O11" i="188"/>
  <c r="C15" i="185"/>
  <c r="O11" i="185"/>
  <c r="C8" i="195"/>
  <c r="C8" i="193"/>
  <c r="C8" i="178"/>
  <c r="C8" i="198"/>
  <c r="C8" i="185"/>
  <c r="C8" i="181"/>
  <c r="C8" i="170"/>
  <c r="C8" i="177"/>
  <c r="C8" i="182"/>
  <c r="C15" i="198"/>
  <c r="O11" i="198"/>
  <c r="C15" i="199"/>
  <c r="O11" i="199"/>
  <c r="C15" i="192"/>
  <c r="O11" i="192"/>
  <c r="C15" i="197"/>
  <c r="O11" i="197"/>
  <c r="C15" i="194"/>
  <c r="O11" i="194"/>
  <c r="C15" i="193"/>
  <c r="O11" i="193"/>
  <c r="C15" i="191"/>
  <c r="O11" i="191"/>
  <c r="C15" i="190"/>
  <c r="O11" i="190"/>
  <c r="C15" i="187"/>
  <c r="O11" i="187"/>
  <c r="C15" i="186"/>
  <c r="O11" i="186"/>
  <c r="C15" i="184"/>
  <c r="O11" i="184"/>
  <c r="C8" i="184"/>
  <c r="C15" i="179"/>
  <c r="O11" i="179"/>
  <c r="C15" i="181"/>
  <c r="O11" i="181"/>
  <c r="C15" i="183"/>
  <c r="O11" i="183"/>
  <c r="C15" i="182"/>
  <c r="O11" i="182"/>
  <c r="C15" i="180"/>
  <c r="O11" i="180"/>
  <c r="C15" i="176"/>
  <c r="O11" i="176" s="1"/>
  <c r="C15" i="177"/>
  <c r="O11" i="177"/>
  <c r="C15" i="178"/>
  <c r="O11" i="178"/>
  <c r="C15" i="172"/>
  <c r="O11" i="172"/>
  <c r="C15" i="173"/>
  <c r="O11" i="173"/>
  <c r="C15" i="174"/>
  <c r="O11" i="174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C15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88"/>
  <c r="B1" i="193"/>
  <c r="B1" i="195"/>
  <c r="B1" i="194"/>
  <c r="B1" i="197"/>
  <c r="B1" i="196"/>
  <c r="B1" i="192"/>
  <c r="B1" i="199"/>
  <c r="B1" i="198"/>
  <c r="C8" i="176" l="1"/>
  <c r="B13" i="200"/>
  <c r="B11" i="200"/>
  <c r="C15" i="195"/>
  <c r="O11" i="195" s="1"/>
  <c r="B10" i="200"/>
  <c r="B14" i="20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Caixa</author>
  </authors>
  <commentList>
    <comment ref="E9" authorId="0" shapeId="0" xr:uid="{743AB4FA-1CD9-48DE-A07F-3B45100E7078}">
      <text>
        <r>
          <rPr>
            <b/>
            <sz val="9"/>
            <color indexed="81"/>
            <rFont val="Segoe UI"/>
            <charset val="1"/>
          </rPr>
          <t>Caixa:</t>
        </r>
        <r>
          <rPr>
            <sz val="9"/>
            <color indexed="81"/>
            <rFont val="Segoe UI"/>
            <charset val="1"/>
          </rPr>
          <t xml:space="preserve">
OS CANCELADA
&gt; VALOR DA VENDA:
R$ 500,00
 &gt; SINAL: R$ 50,00 via PIX
</t>
        </r>
      </text>
    </comment>
  </commentList>
</comments>
</file>

<file path=xl/sharedStrings.xml><?xml version="1.0" encoding="utf-8"?>
<sst xmlns="http://schemas.openxmlformats.org/spreadsheetml/2006/main" count="2464" uniqueCount="346">
  <si>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</si>
  <si>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</si>
  <si>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</si>
  <si>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</si>
  <si>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</si>
  <si>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</si>
  <si>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</si>
  <si>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</si>
  <si>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</si>
  <si>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</si>
  <si>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</si>
  <si>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</si>
  <si>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</si>
  <si>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</si>
  <si>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</si>
  <si>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</si>
  <si>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</si>
  <si>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</si>
  <si>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</si>
  <si>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</si>
  <si>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</si>
  <si>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</si>
  <si>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</si>
  <si>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</si>
  <si>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</si>
  <si>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</si>
  <si>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</si>
  <si>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</si>
  <si>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</si>
  <si>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</si>
  <si>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</si>
  <si>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</si>
  <si>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</si>
  <si>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</si>
  <si>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</si>
  <si>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</si>
  <si>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</si>
  <si>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</si>
  <si>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</si>
  <si>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</si>
  <si>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</si>
  <si>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</si>
  <si>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</si>
  <si>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</si>
  <si>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</si>
  <si>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</si>
  <si>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</si>
  <si>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</si>
  <si>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</si>
  <si>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</si>
  <si>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</si>
  <si>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</si>
  <si>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</si>
  <si>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</si>
  <si>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</si>
  <si>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</si>
  <si>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</si>
  <si>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</si>
  <si>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</si>
  <si>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</si>
  <si>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</si>
  <si>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</si>
  <si>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</si>
  <si>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</si>
  <si>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</si>
  <si>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</si>
  <si>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</si>
  <si>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</si>
  <si>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</si>
  <si>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</si>
  <si>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</si>
  <si>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</si>
  <si>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</si>
  <si>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</si>
  <si>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</si>
  <si>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</si>
  <si>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</si>
  <si>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</si>
  <si>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</si>
  <si>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</si>
  <si>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</si>
  <si>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</si>
  <si>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</si>
  <si>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</si>
  <si>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</si>
  <si>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</si>
  <si>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</si>
  <si>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</si>
  <si>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</si>
  <si>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</si>
  <si>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</si>
  <si>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</si>
  <si>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</si>
  <si>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</si>
  <si>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</si>
  <si>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</si>
  <si>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</si>
  <si>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</si>
  <si>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</si>
  <si>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</si>
  <si>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</si>
  <si>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</si>
  <si>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</si>
  <si>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</si>
  <si>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</si>
  <si>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</si>
  <si>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</si>
  <si>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</si>
  <si>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</si>
  <si>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</si>
  <si>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</si>
  <si>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</si>
  <si>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</si>
  <si>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</si>
  <si>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</si>
  <si>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</si>
  <si>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</si>
  <si>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</si>
  <si>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</si>
  <si>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</si>
  <si>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</si>
  <si>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</si>
  <si>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</si>
  <si>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</si>
  <si>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</si>
  <si>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</si>
  <si>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CAIO XAVIER DE OLIVEIRA</t>
  </si>
  <si>
    <t>ANDREA CRISTINA</t>
  </si>
  <si>
    <t>ADRIANO  DOS SANTOS</t>
  </si>
  <si>
    <t xml:space="preserve">JOSE ROBERTO </t>
  </si>
  <si>
    <t>GABRIEL AGUSTINHO</t>
  </si>
  <si>
    <t>JOCY</t>
  </si>
  <si>
    <t>JOSE CARLOS</t>
  </si>
  <si>
    <t>benedito de oliveira</t>
  </si>
  <si>
    <t>ana lucia</t>
  </si>
  <si>
    <t>TELMA FERRARIS</t>
  </si>
  <si>
    <t>DANIELA SANTOS</t>
  </si>
  <si>
    <t>JOSEVANE MARIA</t>
  </si>
  <si>
    <t>jose laercio rosa</t>
  </si>
  <si>
    <t>vitoria de jesus</t>
  </si>
  <si>
    <t>carlos aparecido</t>
  </si>
  <si>
    <t>catia carvalhp</t>
  </si>
  <si>
    <t>joana maria</t>
  </si>
  <si>
    <t>marinalva beserra</t>
  </si>
  <si>
    <t>gilmar lopes</t>
  </si>
  <si>
    <t>cleide ana</t>
  </si>
  <si>
    <t>danilly borges</t>
  </si>
  <si>
    <t>axel dos santos</t>
  </si>
  <si>
    <t>fernanda aparecida</t>
  </si>
  <si>
    <t xml:space="preserve">maria parecida </t>
  </si>
  <si>
    <t>ADRIANA GOMES DO NASCIMENTO</t>
  </si>
  <si>
    <t>ALINE PEREIRA GRACIOSO</t>
  </si>
  <si>
    <t>LARISSA CARBONI DE MELO</t>
  </si>
  <si>
    <t>FRANCIELLE DE CASTRO</t>
  </si>
  <si>
    <t>LUAN FARO GLASS</t>
  </si>
  <si>
    <t>NATALIA DE BELLO</t>
  </si>
  <si>
    <t>JONAS APARECIDO GUIMARÃES</t>
  </si>
  <si>
    <t>ANDREILTON SANTOS DE AMORIM</t>
  </si>
  <si>
    <t>TATY</t>
  </si>
  <si>
    <t>SIM</t>
  </si>
  <si>
    <t>ARIANI</t>
  </si>
  <si>
    <t>NÃO</t>
  </si>
  <si>
    <t>SUELY PEREIRA DA S. SANTOS</t>
  </si>
  <si>
    <t>CLEIDE ANA MELO ROQUE DA SILVA</t>
  </si>
  <si>
    <t>SANDRA FERNANDES</t>
  </si>
  <si>
    <t>MARIA REIS R DOS SANTOS</t>
  </si>
  <si>
    <t>JULIANE COELHO DE SOUZA</t>
  </si>
  <si>
    <t>RAFAELA OLIVEIRA DANTAS</t>
  </si>
  <si>
    <t>VALERIA OLIVEIRA</t>
  </si>
  <si>
    <t>DELCIRA</t>
  </si>
  <si>
    <t>Sim</t>
  </si>
  <si>
    <t>jose santos da silva</t>
  </si>
  <si>
    <t>natalia sanches</t>
  </si>
  <si>
    <t>juan nilson</t>
  </si>
  <si>
    <t>fabiana maria de jesus</t>
  </si>
  <si>
    <t>ygor da silva</t>
  </si>
  <si>
    <t>alan patricio</t>
  </si>
  <si>
    <t>nivaldo rabelo dama</t>
  </si>
  <si>
    <t>dasdores francisca</t>
  </si>
  <si>
    <t>stefanni custodio</t>
  </si>
  <si>
    <t>fernando macedo</t>
  </si>
  <si>
    <t>suzana fonseca</t>
  </si>
  <si>
    <t>uilson rodrigues</t>
  </si>
  <si>
    <t>izabel dos santos</t>
  </si>
  <si>
    <t>eliana savoia</t>
  </si>
  <si>
    <t>laercio hilario</t>
  </si>
  <si>
    <t>valdir alves</t>
  </si>
  <si>
    <t>lucas bareto da silva</t>
  </si>
  <si>
    <t>Ana Cleia Vieira Gonçalves</t>
  </si>
  <si>
    <t>Rosileide Santos Lima Severiano</t>
  </si>
  <si>
    <t>Maria de Fatima Barro de Deus</t>
  </si>
  <si>
    <t>José Roberto Lopes</t>
  </si>
  <si>
    <t>Amadeu Guaru Jose de Moraes</t>
  </si>
  <si>
    <t>Cesar Augusto</t>
  </si>
  <si>
    <t xml:space="preserve">aline pereira </t>
  </si>
  <si>
    <t>velderene evaristo</t>
  </si>
  <si>
    <t>andre alves</t>
  </si>
  <si>
    <t>rosangela</t>
  </si>
  <si>
    <t>thaysa</t>
  </si>
  <si>
    <t>ana cleia</t>
  </si>
  <si>
    <t>marcia regina</t>
  </si>
  <si>
    <t>eliana jorge</t>
  </si>
  <si>
    <t>lilian pereira</t>
  </si>
  <si>
    <t>welber anderson</t>
  </si>
  <si>
    <t>rozileide  brito</t>
  </si>
  <si>
    <t>jesus ricardo</t>
  </si>
  <si>
    <t>silas diego</t>
  </si>
  <si>
    <t>sulfite</t>
  </si>
  <si>
    <t>dinheiro</t>
  </si>
  <si>
    <t>ezequel pereira soldado</t>
  </si>
  <si>
    <t xml:space="preserve">sabrina xavier </t>
  </si>
  <si>
    <t>cicera dos santos</t>
  </si>
  <si>
    <t>juliana pereira</t>
  </si>
  <si>
    <t>sandra gorette</t>
  </si>
  <si>
    <t>andressa souza</t>
  </si>
  <si>
    <t>patricia homan</t>
  </si>
  <si>
    <t>ILDA SOARES</t>
  </si>
  <si>
    <t>MARGARETE</t>
  </si>
  <si>
    <t>LARISSA CARBONI</t>
  </si>
  <si>
    <t>JERRI RODRIGUES</t>
  </si>
  <si>
    <t>FRANCISCO BARBOSA</t>
  </si>
  <si>
    <t>ROSIMEIRE FASRIAS</t>
  </si>
  <si>
    <t>THIAGO YURI</t>
  </si>
  <si>
    <t>AFONSO JOSÉ</t>
  </si>
  <si>
    <t>debora lavoura</t>
  </si>
  <si>
    <t>aparecido delmiro</t>
  </si>
  <si>
    <t>frabcisca margareth</t>
  </si>
  <si>
    <t>valeria oliveira</t>
  </si>
  <si>
    <t>iris dos santos</t>
  </si>
  <si>
    <t>ingred ramos</t>
  </si>
  <si>
    <t>afonso jose</t>
  </si>
  <si>
    <t>jose carlos</t>
  </si>
  <si>
    <t>andreilton santos</t>
  </si>
  <si>
    <t>daniel santos</t>
  </si>
  <si>
    <t xml:space="preserve">  </t>
  </si>
  <si>
    <t>renilza da silva</t>
  </si>
  <si>
    <t>oneias mendes</t>
  </si>
  <si>
    <t>arlete vieira</t>
  </si>
  <si>
    <t>edivaldo aparecido</t>
  </si>
  <si>
    <t>marcos antonio</t>
  </si>
  <si>
    <t xml:space="preserve">daniel maxuel </t>
  </si>
  <si>
    <t>reinaldo cordeiro</t>
  </si>
  <si>
    <t>ronivan mendes</t>
  </si>
  <si>
    <t>jocicreide</t>
  </si>
  <si>
    <t>vanderleia viana</t>
  </si>
  <si>
    <t>sandra aparecida</t>
  </si>
  <si>
    <t>gildete balbino</t>
  </si>
  <si>
    <t>maria ferreira</t>
  </si>
  <si>
    <t>alan</t>
  </si>
  <si>
    <t>daiane da silva</t>
  </si>
  <si>
    <t>katia maria</t>
  </si>
  <si>
    <t>mary saito</t>
  </si>
  <si>
    <t>jeferson ronaldo</t>
  </si>
  <si>
    <t>ezequiel pereira</t>
  </si>
  <si>
    <t>adriano dos santos</t>
  </si>
  <si>
    <t>alessandra ferreira</t>
  </si>
  <si>
    <t>maria aparecida</t>
  </si>
  <si>
    <t>heloisa aparecida</t>
  </si>
  <si>
    <t>patricia borges</t>
  </si>
  <si>
    <t>maria imaculada</t>
  </si>
  <si>
    <t xml:space="preserve">                  </t>
  </si>
  <si>
    <t>zilda aparecida</t>
  </si>
  <si>
    <t>denilson alves</t>
  </si>
  <si>
    <t xml:space="preserve">anesia carvalho </t>
  </si>
  <si>
    <t>melquesedeque</t>
  </si>
  <si>
    <t>patricia de fatima</t>
  </si>
  <si>
    <t>marilu senzial</t>
  </si>
  <si>
    <t>sebastiao pereira</t>
  </si>
  <si>
    <t>joice nalie</t>
  </si>
  <si>
    <t>ariana da silva</t>
  </si>
  <si>
    <t xml:space="preserve">leticia jorge </t>
  </si>
  <si>
    <t xml:space="preserve">sandra casa grande </t>
  </si>
  <si>
    <t>gisele moura da silva</t>
  </si>
  <si>
    <t>vagner nunes da conceição</t>
  </si>
  <si>
    <t xml:space="preserve">gisele teixeira cardoso </t>
  </si>
  <si>
    <t xml:space="preserve">hermes macedo </t>
  </si>
  <si>
    <t xml:space="preserve">luiz zacarias </t>
  </si>
  <si>
    <t>gilmar jose</t>
  </si>
  <si>
    <t>liliane coelho</t>
  </si>
  <si>
    <t>zakae shimose</t>
  </si>
  <si>
    <t>NEUZA MARIA</t>
  </si>
  <si>
    <t>GLAUCIA BELLI</t>
  </si>
  <si>
    <t>SANDRO PASSOS</t>
  </si>
  <si>
    <t>FERNANDO JOAO</t>
  </si>
  <si>
    <t>VANESSA APARECIDA</t>
  </si>
  <si>
    <t>CRISTIANE BARROS</t>
  </si>
  <si>
    <t>MARILU CANDIDA</t>
  </si>
  <si>
    <t>EDITE PEREIRA</t>
  </si>
  <si>
    <t>JACIRA ROSA</t>
  </si>
  <si>
    <t>DASDORES FRANCISCA</t>
  </si>
  <si>
    <t>ISMAEL OLIVEIRA</t>
  </si>
  <si>
    <t>fernanda  diva</t>
  </si>
  <si>
    <t>marcos massayuki</t>
  </si>
  <si>
    <t>emillin coelho</t>
  </si>
  <si>
    <t xml:space="preserve">edite pereira </t>
  </si>
  <si>
    <t>eliana souza</t>
  </si>
  <si>
    <t>francieli</t>
  </si>
  <si>
    <t>silvani de fatima</t>
  </si>
  <si>
    <t>simone fragnan</t>
  </si>
  <si>
    <t>SIMONE FRAGNAN</t>
  </si>
  <si>
    <t xml:space="preserve"> JONAS APARECIDA</t>
  </si>
  <si>
    <t>adriano de maurão</t>
  </si>
  <si>
    <t>aparecido  delmiro</t>
  </si>
  <si>
    <t xml:space="preserve">antonio ribeiro </t>
  </si>
  <si>
    <t xml:space="preserve">marice harada </t>
  </si>
  <si>
    <t xml:space="preserve">robeson araujo </t>
  </si>
  <si>
    <t>mirian clara</t>
  </si>
  <si>
    <t>vitoria h .lucena</t>
  </si>
  <si>
    <t>monica miyasshiro</t>
  </si>
  <si>
    <t>aparecida maria</t>
  </si>
  <si>
    <t>valdenice dias</t>
  </si>
  <si>
    <t>joao gustavo</t>
  </si>
  <si>
    <t>rosinete tavares</t>
  </si>
  <si>
    <t>maria neuza</t>
  </si>
  <si>
    <t>veraci eloisa</t>
  </si>
  <si>
    <t>antonio armando</t>
  </si>
  <si>
    <t>isaias xavier</t>
  </si>
  <si>
    <t>maria das gracas</t>
  </si>
  <si>
    <t>luiz carlos</t>
  </si>
  <si>
    <t>eli bezerra</t>
  </si>
  <si>
    <t>maria do carmo</t>
  </si>
  <si>
    <t>odenilson avelino</t>
  </si>
  <si>
    <t>stefannie custodio</t>
  </si>
  <si>
    <t>nivalda rabelo</t>
  </si>
  <si>
    <t>thais eduarda</t>
  </si>
  <si>
    <t>adriana aparecida</t>
  </si>
  <si>
    <t>ellen cristina</t>
  </si>
  <si>
    <t>nicole fortunato</t>
  </si>
  <si>
    <t>fabiana  de souza</t>
  </si>
  <si>
    <t>marice harada</t>
  </si>
  <si>
    <t>telma ferraris</t>
  </si>
  <si>
    <t>BRUNA  FERNANDA</t>
  </si>
  <si>
    <t>LARISSA BORGES</t>
  </si>
  <si>
    <t>RUTH CORREA</t>
  </si>
  <si>
    <t>HELOISA APARECIDA</t>
  </si>
  <si>
    <t xml:space="preserve">eliane evangelista </t>
  </si>
  <si>
    <t>adriana diogines mendes</t>
  </si>
  <si>
    <t xml:space="preserve">edna aparecida </t>
  </si>
  <si>
    <t xml:space="preserve">bruna fernanda </t>
  </si>
  <si>
    <t>minalda de f gonçalves</t>
  </si>
  <si>
    <t>minalda f gonçalves</t>
  </si>
  <si>
    <t>selma da silva</t>
  </si>
  <si>
    <t xml:space="preserve">jose de araujo </t>
  </si>
  <si>
    <t>fernando joao</t>
  </si>
  <si>
    <t>LARISSA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</si>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</sst>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</font>
    <font>
      <b/>
      <sz val="1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4" fontId="0" fillId="0" borderId="13" xfId="2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45" fillId="0" borderId="17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9" fillId="0" borderId="17" xfId="0" applyFont="1" applyBorder="1" applyAlignment="1">
      <alignment horizontal="center"/>
    </xf>
    <xf numFmtId="0" fontId="50" fillId="0" borderId="17" xfId="0" applyFont="1" applyBorder="1" applyAlignment="1">
      <alignment horizontal="center"/>
    </xf>
    <xf numFmtId="164" fontId="51" fillId="0" borderId="17" xfId="2" applyFont="1" applyFill="1" applyBorder="1" applyAlignment="1">
      <alignment horizontal="center"/>
    </xf>
    <xf numFmtId="165" fontId="51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3" totalsRowShown="0" headerRowDxfId="1096" dataDxfId="1094" headerRowBorderDxfId="1095" tableBorderDxfId="1093" totalsRowBorderDxfId="1092">
  <autoFilter ref="E25:I33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6:I43" totalsRowShown="0" headerRowDxfId="1078" dataDxfId="1076" headerRowBorderDxfId="1077" tableBorderDxfId="1075" totalsRowBorderDxfId="1074">
  <autoFilter ref="E36:I43" xr:uid="{B9E2F984-8588-4F2C-9FB9-680284154679}"/>
  <sortState xmlns:xlrd2="http://schemas.microsoft.com/office/spreadsheetml/2017/richdata2" ref="E37:I42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0.xml"/><Relationship Id="rId3" Type="http://schemas.openxmlformats.org/officeDocument/2006/relationships/table" Target="../tables/table55.xml"/><Relationship Id="rId7" Type="http://schemas.openxmlformats.org/officeDocument/2006/relationships/table" Target="../tables/table5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8.xml"/><Relationship Id="rId5" Type="http://schemas.openxmlformats.org/officeDocument/2006/relationships/table" Target="../tables/table57.xml"/><Relationship Id="rId4" Type="http://schemas.openxmlformats.org/officeDocument/2006/relationships/table" Target="../tables/table56.xml"/><Relationship Id="rId9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9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79614.37000000001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60434.479999999996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31.99</v>
      </c>
    </row>
    <row r="6" spans="1:2" ht="15.75" x14ac:dyDescent="0.25">
      <c r="A6" s="28" t="s">
        <v>4</v>
      </c>
      <c r="B6" s="29">
        <f>SUM(B4:B5)</f>
        <v>60466.469999999994</v>
      </c>
    </row>
    <row r="7" spans="1:2" ht="15" x14ac:dyDescent="0.25">
      <c r="A7" s="2"/>
      <c r="B7" s="2"/>
    </row>
    <row r="8" spans="1:2" ht="15" x14ac:dyDescent="0.2">
      <c r="A8" s="110" t="s">
        <v>5</v>
      </c>
      <c r="B8" s="110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9643.2000000000007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5518.95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35869.479999999996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'31'!#REF!)</f>
        <v>#REF!</v>
      </c>
    </row>
    <row r="13" spans="1:2" ht="15" x14ac:dyDescent="0.25">
      <c r="A13" s="30" t="s">
        <v>9</v>
      </c>
      <c r="B13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14885.699999999999</v>
      </c>
    </row>
    <row r="14" spans="1:2" ht="15.75" x14ac:dyDescent="0.25">
      <c r="A14" s="28" t="s">
        <v>10</v>
      </c>
      <c r="B14" s="80" t="e">
        <f ca="1">SUM(B9:B13)</f>
        <v>#REF!</v>
      </c>
    </row>
    <row r="15" spans="1:2" ht="15" x14ac:dyDescent="0.25">
      <c r="A15" s="2"/>
      <c r="B15" s="2"/>
    </row>
    <row r="16" spans="1:2" ht="15" x14ac:dyDescent="0.2">
      <c r="A16" s="110" t="s">
        <v>11</v>
      </c>
      <c r="B16" s="110"/>
    </row>
    <row r="17" spans="1:2" ht="15" x14ac:dyDescent="0.25">
      <c r="A17" s="30">
        <f>COUNT(#REF!)</f>
        <v>0</v>
      </c>
      <c r="B17" s="24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'31'!C18)</f>
        <v>5423.95</v>
      </c>
    </row>
    <row r="18" spans="1:2" ht="15.75" x14ac:dyDescent="0.25">
      <c r="A18" s="28" t="s">
        <v>10</v>
      </c>
      <c r="B18" s="80">
        <f>SUM(B17:B17)</f>
        <v>5423.95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2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45383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2498.9899999999998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2248.9899999999998</v>
      </c>
      <c r="D6" s="2"/>
      <c r="E6" s="18">
        <v>8961</v>
      </c>
      <c r="F6" s="25" t="s">
        <v>126</v>
      </c>
      <c r="G6" s="26" t="s">
        <v>8</v>
      </c>
      <c r="H6" s="8">
        <v>750</v>
      </c>
      <c r="I6" s="8">
        <v>750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8962</v>
      </c>
      <c r="F7" s="25" t="s">
        <v>127</v>
      </c>
      <c r="G7" s="26" t="s">
        <v>8</v>
      </c>
      <c r="H7" s="8">
        <v>600</v>
      </c>
      <c r="I7" s="8">
        <v>600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20</v>
      </c>
      <c r="C8" s="29">
        <f>SUM(C6:C7)</f>
        <v>2248.9899999999998</v>
      </c>
      <c r="D8" s="2"/>
      <c r="E8" s="18">
        <v>8963</v>
      </c>
      <c r="F8" s="25" t="s">
        <v>128</v>
      </c>
      <c r="G8" s="26" t="s">
        <v>8</v>
      </c>
      <c r="H8" s="8">
        <v>800</v>
      </c>
      <c r="I8" s="8">
        <v>300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8963</v>
      </c>
      <c r="F9" s="25" t="s">
        <v>128</v>
      </c>
      <c r="G9" s="26" t="s">
        <v>8</v>
      </c>
      <c r="H9" s="8"/>
      <c r="I9" s="8">
        <v>200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8964</v>
      </c>
      <c r="F10" s="25" t="s">
        <v>129</v>
      </c>
      <c r="G10" s="26" t="s">
        <v>8</v>
      </c>
      <c r="H10" s="8">
        <v>99</v>
      </c>
      <c r="I10" s="8">
        <v>99</v>
      </c>
      <c r="J10" s="2"/>
      <c r="K10" s="25"/>
      <c r="L10" s="9"/>
      <c r="M10" s="16"/>
      <c r="R10" s="1">
        <f>IF(vend1[[#This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8965</v>
      </c>
      <c r="F11" s="25" t="s">
        <v>130</v>
      </c>
      <c r="G11" s="26" t="s">
        <v>8</v>
      </c>
      <c r="H11" s="8">
        <v>249.99</v>
      </c>
      <c r="I11" s="8">
        <v>249.99</v>
      </c>
      <c r="J11" s="2"/>
      <c r="K11" s="27"/>
      <c r="L11" s="9"/>
      <c r="M11" s="16"/>
      <c r="O11" s="1">
        <f>IF(C15=0,0,1)</f>
        <v>1</v>
      </c>
      <c r="R11" s="1">
        <f>IF(vend1[[#This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170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2198.9899999999998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140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2558.9899999999998</v>
      </c>
      <c r="D15" s="2"/>
      <c r="E15" s="18"/>
      <c r="F15" s="25"/>
      <c r="G15" s="26"/>
      <c r="H15" s="8"/>
      <c r="I15" s="8"/>
      <c r="J15" s="2"/>
      <c r="K15" s="25">
        <v>8965</v>
      </c>
      <c r="L15" s="9" t="s">
        <v>131</v>
      </c>
      <c r="M15" s="16" t="s">
        <v>25</v>
      </c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8938</v>
      </c>
      <c r="L16" s="9" t="s">
        <v>160</v>
      </c>
      <c r="M16" s="16" t="s">
        <v>25</v>
      </c>
      <c r="R16" s="1">
        <f>IF(vend1[[#This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COUNT(entr_carn31195[OS])</f>
        <v>0</v>
      </c>
      <c r="C18" s="31">
        <f>SUM(entr_carn31195[Valor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26</v>
      </c>
      <c r="C21" s="32">
        <f>C5</f>
        <v>2498.9899999999998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8938</v>
      </c>
      <c r="F26" s="25" t="s">
        <v>132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8471</v>
      </c>
      <c r="F35" s="25" t="s">
        <v>133</v>
      </c>
      <c r="G35" s="26" t="s">
        <v>7</v>
      </c>
      <c r="H35" s="8">
        <v>100</v>
      </c>
      <c r="I35" s="8" t="s">
        <v>72</v>
      </c>
      <c r="K35" s="25"/>
      <c r="L35" s="41"/>
      <c r="M35" s="16"/>
    </row>
    <row r="36" spans="5:18" ht="15.75" x14ac:dyDescent="0.25">
      <c r="E36" s="18">
        <v>7637</v>
      </c>
      <c r="F36" s="25" t="s">
        <v>134</v>
      </c>
      <c r="G36" s="26" t="s">
        <v>9</v>
      </c>
      <c r="H36" s="8">
        <v>70</v>
      </c>
      <c r="I36" s="8" t="s">
        <v>79</v>
      </c>
      <c r="K36" s="25"/>
      <c r="L36" s="41"/>
      <c r="M36" s="16"/>
    </row>
    <row r="37" spans="5:18" ht="15.75" x14ac:dyDescent="0.25">
      <c r="E37" s="18">
        <v>7637</v>
      </c>
      <c r="F37" s="25" t="s">
        <v>134</v>
      </c>
      <c r="G37" s="26" t="s">
        <v>9</v>
      </c>
      <c r="H37" s="8">
        <v>70</v>
      </c>
      <c r="I37" s="8" t="s">
        <v>80</v>
      </c>
      <c r="K37" s="25"/>
      <c r="L37" s="41"/>
      <c r="M37" s="16"/>
    </row>
    <row r="38" spans="5:18" ht="15.75" x14ac:dyDescent="0.25">
      <c r="E38" s="18">
        <v>7637</v>
      </c>
      <c r="F38" s="25" t="s">
        <v>134</v>
      </c>
      <c r="G38" s="26" t="s">
        <v>7</v>
      </c>
      <c r="H38" s="8">
        <v>70</v>
      </c>
      <c r="I38" s="8" t="s">
        <v>59</v>
      </c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disablePrompts="1"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2" zoomScale="80" zoomScaleNormal="80" workbookViewId="0">
      <selection activeCell="C26" sqref="C2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'01'!B1+1</f>
        <v>45384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8966</v>
      </c>
      <c r="F6" s="25" t="s">
        <v>135</v>
      </c>
      <c r="G6" s="46" t="s">
        <v>40</v>
      </c>
      <c r="H6" s="8"/>
      <c r="I6" s="8"/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8967</v>
      </c>
      <c r="F7" s="25" t="s">
        <v>135</v>
      </c>
      <c r="G7" s="46" t="s">
        <v>40</v>
      </c>
      <c r="H7" s="8"/>
      <c r="I7" s="8"/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20</v>
      </c>
      <c r="C8" s="29">
        <f>SUM(C6:C7)</f>
        <v>0</v>
      </c>
      <c r="D8" s="2"/>
      <c r="E8" s="18">
        <v>8968</v>
      </c>
      <c r="F8" s="25" t="s">
        <v>136</v>
      </c>
      <c r="G8" s="26" t="s">
        <v>40</v>
      </c>
      <c r="H8" s="8"/>
      <c r="I8" s="8"/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8969</v>
      </c>
      <c r="F9" s="25" t="s">
        <v>137</v>
      </c>
      <c r="G9" s="26" t="s">
        <v>40</v>
      </c>
      <c r="H9" s="8"/>
      <c r="I9" s="8"/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3"/>
      <c r="F13" s="64"/>
      <c r="G13" s="94"/>
      <c r="H13" s="75"/>
      <c r="I13" s="75"/>
      <c r="J13" s="2"/>
      <c r="K13" s="112" t="s">
        <v>21</v>
      </c>
      <c r="L13" s="113"/>
      <c r="M13" s="114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3"/>
      <c r="F14" s="64"/>
      <c r="G14" s="94"/>
      <c r="H14" s="75"/>
      <c r="I14" s="75"/>
      <c r="J14" s="2"/>
      <c r="K14" s="14" t="s">
        <v>22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21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21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  <c r="U34" s="1" t="s">
        <v>37</v>
      </c>
    </row>
    <row r="35" spans="5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5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5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5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5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5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5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1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45385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2200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2200</v>
      </c>
      <c r="D6" s="2"/>
      <c r="E6" s="18">
        <v>8970</v>
      </c>
      <c r="F6" s="25" t="s">
        <v>138</v>
      </c>
      <c r="G6" s="46" t="s">
        <v>6</v>
      </c>
      <c r="H6" s="8">
        <v>600</v>
      </c>
      <c r="I6" s="8">
        <v>600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8971</v>
      </c>
      <c r="F7" s="25" t="s">
        <v>139</v>
      </c>
      <c r="G7" s="26" t="s">
        <v>8</v>
      </c>
      <c r="H7" s="8">
        <v>950</v>
      </c>
      <c r="I7" s="8">
        <v>950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20</v>
      </c>
      <c r="C8" s="29">
        <f>SUM(C6:C7)</f>
        <v>2200</v>
      </c>
      <c r="D8" s="2"/>
      <c r="E8" s="18">
        <v>8972</v>
      </c>
      <c r="F8" s="25" t="s">
        <v>145</v>
      </c>
      <c r="G8" s="26" t="s">
        <v>8</v>
      </c>
      <c r="H8" s="8">
        <v>399</v>
      </c>
      <c r="I8" s="8">
        <v>399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8973</v>
      </c>
      <c r="F9" s="25" t="s">
        <v>145</v>
      </c>
      <c r="G9" s="26" t="s">
        <v>8</v>
      </c>
      <c r="H9" s="8">
        <v>251</v>
      </c>
      <c r="I9" s="8">
        <v>251</v>
      </c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772.67000000000007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281.25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1600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68.569999999999993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2722.4900000000002</v>
      </c>
      <c r="D15" s="2"/>
      <c r="E15" s="18"/>
      <c r="F15" s="25"/>
      <c r="G15" s="26"/>
      <c r="H15" s="8"/>
      <c r="I15" s="8"/>
      <c r="J15" s="2"/>
      <c r="K15" s="25">
        <v>8737</v>
      </c>
      <c r="L15" s="9" t="s">
        <v>131</v>
      </c>
      <c r="M15" s="16" t="s">
        <v>25</v>
      </c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8738</v>
      </c>
      <c r="L16" s="9" t="s">
        <v>131</v>
      </c>
      <c r="M16" s="16" t="s">
        <v>25</v>
      </c>
      <c r="R16" s="1">
        <f>IF(vend3[[#This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8929</v>
      </c>
      <c r="L17" s="9" t="s">
        <v>160</v>
      </c>
      <c r="M17" s="16" t="s">
        <v>25</v>
      </c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>
        <v>8955</v>
      </c>
      <c r="L18" s="9" t="s">
        <v>158</v>
      </c>
      <c r="M18" s="16" t="s">
        <v>25</v>
      </c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26</v>
      </c>
      <c r="C21" s="32">
        <f>C5</f>
        <v>2200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8619</v>
      </c>
      <c r="F35" s="25" t="s">
        <v>140</v>
      </c>
      <c r="G35" s="26" t="s">
        <v>7</v>
      </c>
      <c r="H35" s="8">
        <v>106.25</v>
      </c>
      <c r="I35" s="8" t="s">
        <v>81</v>
      </c>
      <c r="K35" s="25"/>
      <c r="L35" s="41"/>
      <c r="M35" s="16"/>
    </row>
    <row r="36" spans="5:18" ht="15.75" x14ac:dyDescent="0.25">
      <c r="E36" s="18">
        <v>8817</v>
      </c>
      <c r="F36" s="25" t="s">
        <v>141</v>
      </c>
      <c r="G36" s="26" t="s">
        <v>7</v>
      </c>
      <c r="H36" s="8">
        <v>175</v>
      </c>
      <c r="I36" s="8" t="s">
        <v>81</v>
      </c>
      <c r="K36" s="25"/>
      <c r="L36" s="41"/>
      <c r="M36" s="16"/>
    </row>
    <row r="37" spans="5:18" ht="15.75" x14ac:dyDescent="0.25">
      <c r="E37" s="18">
        <v>8078</v>
      </c>
      <c r="F37" s="25" t="s">
        <v>142</v>
      </c>
      <c r="G37" s="26" t="s">
        <v>6</v>
      </c>
      <c r="H37" s="8">
        <v>81.25</v>
      </c>
      <c r="I37" s="8" t="s">
        <v>56</v>
      </c>
      <c r="K37" s="25"/>
      <c r="L37" s="41"/>
      <c r="M37" s="16"/>
    </row>
    <row r="38" spans="5:18" ht="15.75" x14ac:dyDescent="0.25">
      <c r="E38" s="18">
        <v>8624</v>
      </c>
      <c r="F38" s="25" t="s">
        <v>143</v>
      </c>
      <c r="G38" s="26" t="s">
        <v>6</v>
      </c>
      <c r="H38" s="8">
        <v>41.42</v>
      </c>
      <c r="I38" s="8" t="s">
        <v>55</v>
      </c>
      <c r="K38" s="25"/>
      <c r="L38" s="41"/>
      <c r="M38" s="16"/>
    </row>
    <row r="39" spans="5:18" ht="15.75" x14ac:dyDescent="0.25">
      <c r="E39" s="18">
        <v>8328</v>
      </c>
      <c r="F39" s="39" t="s">
        <v>143</v>
      </c>
      <c r="G39" s="26" t="s">
        <v>6</v>
      </c>
      <c r="H39" s="8">
        <v>50</v>
      </c>
      <c r="I39" s="8" t="s">
        <v>82</v>
      </c>
      <c r="K39" s="25"/>
      <c r="L39" s="41"/>
      <c r="M39" s="16"/>
    </row>
    <row r="40" spans="5:18" ht="15.75" x14ac:dyDescent="0.25">
      <c r="E40" s="35">
        <v>8456</v>
      </c>
      <c r="F40" s="36" t="s">
        <v>144</v>
      </c>
      <c r="G40" s="37" t="s">
        <v>9</v>
      </c>
      <c r="H40" s="17">
        <v>68.569999999999993</v>
      </c>
      <c r="I40" s="8" t="s">
        <v>55</v>
      </c>
      <c r="K40" s="36"/>
      <c r="L40" s="42"/>
      <c r="M40" s="40"/>
      <c r="Q40" s="1" t="s">
        <v>36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1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45386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530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530</v>
      </c>
      <c r="D6" s="2"/>
      <c r="E6" s="18">
        <v>8974</v>
      </c>
      <c r="F6" s="25" t="s">
        <v>146</v>
      </c>
      <c r="G6" s="46" t="s">
        <v>7</v>
      </c>
      <c r="H6" s="8">
        <v>180</v>
      </c>
      <c r="I6" s="8">
        <v>180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8975</v>
      </c>
      <c r="F7" s="25" t="s">
        <v>147</v>
      </c>
      <c r="G7" s="46" t="s">
        <v>9</v>
      </c>
      <c r="H7" s="8">
        <v>350</v>
      </c>
      <c r="I7" s="8">
        <v>350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20</v>
      </c>
      <c r="C8" s="29">
        <f>SUM(C6:C7)</f>
        <v>530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197.8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180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8.75" x14ac:dyDescent="0.4">
      <c r="B15" s="28" t="s">
        <v>10</v>
      </c>
      <c r="C15" s="32">
        <f>SUM(C11:C14)</f>
        <v>727.8</v>
      </c>
      <c r="D15" s="2"/>
      <c r="E15" s="18"/>
      <c r="F15" s="25"/>
      <c r="G15" s="26"/>
      <c r="H15" s="8"/>
      <c r="I15" s="8"/>
      <c r="J15" s="2"/>
      <c r="K15" s="60">
        <v>8925</v>
      </c>
      <c r="L15" s="9" t="s">
        <v>131</v>
      </c>
      <c r="M15" s="61" t="s">
        <v>25</v>
      </c>
      <c r="R15" s="1">
        <f>IF(vend4[[#This Row],[Nº Venda]]&gt;1,1,0)</f>
        <v>0</v>
      </c>
    </row>
    <row r="16" spans="2:18" ht="19.5" x14ac:dyDescent="0.4">
      <c r="B16" s="2"/>
      <c r="C16" s="2"/>
      <c r="D16" s="2"/>
      <c r="E16" s="18"/>
      <c r="F16" s="25"/>
      <c r="G16" s="26"/>
      <c r="H16" s="8"/>
      <c r="I16" s="8"/>
      <c r="J16" s="2"/>
      <c r="K16" s="62">
        <v>8775</v>
      </c>
      <c r="L16" s="9" t="s">
        <v>158</v>
      </c>
      <c r="M16" s="61" t="s">
        <v>25</v>
      </c>
      <c r="R16" s="1">
        <f>IF(vend4[[#This Row],[Nº Venda]]&gt;1,1,0)</f>
        <v>0</v>
      </c>
    </row>
    <row r="17" spans="2:18" ht="18.75" x14ac:dyDescent="0.4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60">
        <v>8931</v>
      </c>
      <c r="L17" s="9" t="s">
        <v>131</v>
      </c>
      <c r="M17" s="61" t="s">
        <v>25</v>
      </c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>
        <v>8790</v>
      </c>
      <c r="L18" s="9" t="s">
        <v>158</v>
      </c>
      <c r="M18" s="16" t="s">
        <v>25</v>
      </c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8896</v>
      </c>
      <c r="L19" s="9" t="s">
        <v>158</v>
      </c>
      <c r="M19" s="16" t="s">
        <v>25</v>
      </c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26</v>
      </c>
      <c r="C21" s="32">
        <f>C5</f>
        <v>530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8563</v>
      </c>
      <c r="F35" s="25" t="s">
        <v>148</v>
      </c>
      <c r="G35" s="26" t="s">
        <v>6</v>
      </c>
      <c r="H35" s="8">
        <v>142.80000000000001</v>
      </c>
      <c r="I35" s="8" t="s">
        <v>47</v>
      </c>
      <c r="K35" s="25"/>
      <c r="L35" s="41"/>
      <c r="M35" s="16"/>
    </row>
    <row r="36" spans="5:18" ht="15.75" x14ac:dyDescent="0.25">
      <c r="E36" s="18">
        <v>8790</v>
      </c>
      <c r="F36" s="25" t="s">
        <v>149</v>
      </c>
      <c r="G36" s="26" t="s">
        <v>6</v>
      </c>
      <c r="H36" s="8">
        <v>55</v>
      </c>
      <c r="I36" s="8" t="s">
        <v>35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1" zoomScale="69" zoomScaleNormal="69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.85546875" style="1" customWidth="1"/>
    <col min="4" max="4" width="2.7109375" style="1" customWidth="1"/>
    <col min="5" max="5" width="15.5703125" style="34" customWidth="1"/>
    <col min="6" max="6" width="29.710937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7.140625" style="3" customWidth="1"/>
    <col min="12" max="12" width="17.28515625" style="3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'04'!B1+1</f>
        <v>45387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SUMIF(I7:I31,"&gt;0",H7:H31)</f>
        <v>8687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SUM(I7:I41)</f>
        <v>6687</v>
      </c>
      <c r="D6" s="2"/>
      <c r="E6" s="18">
        <v>8976</v>
      </c>
      <c r="F6" s="101" t="s">
        <v>152</v>
      </c>
      <c r="G6" s="101" t="s">
        <v>50</v>
      </c>
      <c r="H6" s="102">
        <v>180</v>
      </c>
      <c r="I6" s="102">
        <v>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8977</v>
      </c>
      <c r="F7" s="59" t="s">
        <v>150</v>
      </c>
      <c r="G7" s="59" t="s">
        <v>9</v>
      </c>
      <c r="H7" s="47">
        <v>600</v>
      </c>
      <c r="I7" s="47">
        <v>600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20</v>
      </c>
      <c r="C8" s="29">
        <f>SUM(C6:C7)</f>
        <v>6687</v>
      </c>
      <c r="D8" s="2"/>
      <c r="E8" s="18">
        <v>8978</v>
      </c>
      <c r="F8" s="25" t="s">
        <v>151</v>
      </c>
      <c r="G8" s="46" t="s">
        <v>8</v>
      </c>
      <c r="H8" s="8">
        <v>1040</v>
      </c>
      <c r="I8" s="8">
        <v>250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>
        <v>8979</v>
      </c>
      <c r="F9" s="25" t="s">
        <v>151</v>
      </c>
      <c r="G9" s="46" t="s">
        <v>8</v>
      </c>
      <c r="H9" s="8">
        <v>350</v>
      </c>
      <c r="I9" s="8">
        <v>200</v>
      </c>
      <c r="J9" s="2"/>
      <c r="K9" s="25"/>
      <c r="L9" s="9"/>
      <c r="M9" s="16"/>
      <c r="R9" s="1">
        <f>IF(vend5[[#This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8980</v>
      </c>
      <c r="F10" s="25" t="s">
        <v>156</v>
      </c>
      <c r="G10" s="46" t="s">
        <v>7</v>
      </c>
      <c r="H10" s="8">
        <v>100</v>
      </c>
      <c r="I10" s="8">
        <v>50</v>
      </c>
      <c r="J10" s="2"/>
      <c r="K10" s="25"/>
      <c r="L10" s="9"/>
      <c r="M10" s="16"/>
      <c r="R10" s="1">
        <f>IF(vend5[[#This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110</v>
      </c>
      <c r="D11" s="2"/>
      <c r="E11" s="18">
        <v>8981</v>
      </c>
      <c r="F11" s="25" t="s">
        <v>153</v>
      </c>
      <c r="G11" s="46" t="s">
        <v>7</v>
      </c>
      <c r="H11" s="8">
        <v>500</v>
      </c>
      <c r="I11" s="8">
        <v>130</v>
      </c>
      <c r="J11" s="2"/>
      <c r="K11" s="27"/>
      <c r="L11" s="9"/>
      <c r="M11" s="16"/>
      <c r="O11" s="1">
        <f>IF(C15=0,0,1)</f>
        <v>1</v>
      </c>
      <c r="R11" s="1">
        <f>IF(vend5[[#This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380</v>
      </c>
      <c r="D12" s="2"/>
      <c r="E12" s="18">
        <v>8982</v>
      </c>
      <c r="F12" s="25" t="s">
        <v>154</v>
      </c>
      <c r="G12" s="26" t="s">
        <v>9</v>
      </c>
      <c r="H12" s="8">
        <v>180</v>
      </c>
      <c r="I12" s="8">
        <v>180</v>
      </c>
      <c r="J12" s="2"/>
      <c r="R12" s="1">
        <f>IF(vend5[[#This Row],[Nº Venda]]&gt;1,1,0)</f>
        <v>1</v>
      </c>
    </row>
    <row r="13" spans="2:18" ht="15.75" x14ac:dyDescent="0.25">
      <c r="B13" s="30" t="s">
        <v>8</v>
      </c>
      <c r="C13" s="31">
        <f t="shared" si="0"/>
        <v>500</v>
      </c>
      <c r="D13" s="2"/>
      <c r="E13" s="18">
        <v>8983</v>
      </c>
      <c r="F13" s="25" t="s">
        <v>155</v>
      </c>
      <c r="G13" s="26" t="s">
        <v>9</v>
      </c>
      <c r="H13" s="8">
        <v>4600</v>
      </c>
      <c r="I13" s="8">
        <v>4600</v>
      </c>
      <c r="J13" s="2"/>
      <c r="K13" s="112" t="s">
        <v>21</v>
      </c>
      <c r="L13" s="113"/>
      <c r="M13" s="114"/>
      <c r="R13" s="1">
        <f>IF(vend5[[#This Row],[Nº Venda]]&gt;1,1,0)</f>
        <v>1</v>
      </c>
    </row>
    <row r="14" spans="2:18" ht="15.75" x14ac:dyDescent="0.25">
      <c r="B14" s="30" t="s">
        <v>9</v>
      </c>
      <c r="C14" s="31">
        <f t="shared" si="0"/>
        <v>6173.66</v>
      </c>
      <c r="D14" s="2"/>
      <c r="E14" s="18">
        <v>8984</v>
      </c>
      <c r="F14" s="25" t="s">
        <v>157</v>
      </c>
      <c r="G14" s="26" t="s">
        <v>9</v>
      </c>
      <c r="H14" s="8">
        <v>567</v>
      </c>
      <c r="I14" s="8">
        <v>267</v>
      </c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1</v>
      </c>
    </row>
    <row r="15" spans="2:18" ht="15.75" x14ac:dyDescent="0.25">
      <c r="B15" s="28" t="s">
        <v>10</v>
      </c>
      <c r="C15" s="32">
        <f>SUM(C11:C14)</f>
        <v>7163.66</v>
      </c>
      <c r="D15" s="2"/>
      <c r="E15" s="18">
        <v>8985</v>
      </c>
      <c r="F15" s="25" t="s">
        <v>163</v>
      </c>
      <c r="G15" s="26" t="s">
        <v>6</v>
      </c>
      <c r="H15" s="8">
        <v>550</v>
      </c>
      <c r="I15" s="8">
        <v>50</v>
      </c>
      <c r="J15" s="2"/>
      <c r="K15" s="25">
        <v>8850</v>
      </c>
      <c r="L15" s="9" t="s">
        <v>158</v>
      </c>
      <c r="M15" s="67" t="s">
        <v>159</v>
      </c>
      <c r="N15" s="16"/>
      <c r="R15" s="1">
        <f>IF(vend5[[#This Row],[Nº Venda]]&gt;1,1,0)</f>
        <v>1</v>
      </c>
    </row>
    <row r="16" spans="2:18" ht="15.75" x14ac:dyDescent="0.25">
      <c r="B16" s="2"/>
      <c r="C16" s="2"/>
      <c r="D16" s="2"/>
      <c r="E16" s="18">
        <v>8986</v>
      </c>
      <c r="F16" s="25" t="s">
        <v>167</v>
      </c>
      <c r="G16" s="26" t="s">
        <v>50</v>
      </c>
      <c r="H16" s="8">
        <v>632</v>
      </c>
      <c r="I16" s="8">
        <v>0</v>
      </c>
      <c r="J16" s="2"/>
      <c r="K16" s="25">
        <v>8825</v>
      </c>
      <c r="L16" s="9" t="s">
        <v>160</v>
      </c>
      <c r="M16" s="66" t="s">
        <v>161</v>
      </c>
      <c r="N16" s="16"/>
      <c r="R16" s="1">
        <f>IF(vend5[[#This Row],[Nº Venda]]&gt;1,1,0)</f>
        <v>1</v>
      </c>
    </row>
    <row r="17" spans="2:18" ht="15.75" x14ac:dyDescent="0.25">
      <c r="B17" s="110" t="s">
        <v>11</v>
      </c>
      <c r="C17" s="110"/>
      <c r="D17" s="2"/>
      <c r="E17" s="18">
        <v>8987</v>
      </c>
      <c r="F17" s="25" t="s">
        <v>151</v>
      </c>
      <c r="G17" s="46" t="s">
        <v>8</v>
      </c>
      <c r="H17" s="8">
        <v>200</v>
      </c>
      <c r="I17" s="8">
        <v>50</v>
      </c>
      <c r="J17" s="2"/>
      <c r="K17" s="25">
        <v>8836</v>
      </c>
      <c r="L17" s="9" t="s">
        <v>158</v>
      </c>
      <c r="M17" s="16" t="s">
        <v>25</v>
      </c>
      <c r="R17" s="1">
        <f>IF(vend5[[#This Row],[Nº Venda]]&gt;1,1,0)</f>
        <v>1</v>
      </c>
    </row>
    <row r="18" spans="2:18" ht="15.75" x14ac:dyDescent="0.25">
      <c r="B18" s="30">
        <f>COUNT(entr_carn5[OS])</f>
        <v>1</v>
      </c>
      <c r="C18" s="31">
        <f>SUM(entr_carn5[Valor Total])</f>
        <v>182</v>
      </c>
      <c r="D18" s="2"/>
      <c r="E18" s="18"/>
      <c r="F18" s="25"/>
      <c r="G18" s="26"/>
      <c r="H18" s="8"/>
      <c r="I18" s="8"/>
      <c r="J18" s="2"/>
      <c r="K18" s="25">
        <v>8863</v>
      </c>
      <c r="L18" s="9" t="s">
        <v>158</v>
      </c>
      <c r="M18" s="16" t="s">
        <v>25</v>
      </c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182</v>
      </c>
      <c r="D19" s="2"/>
      <c r="E19" s="18"/>
      <c r="F19" s="25"/>
      <c r="G19" s="26"/>
      <c r="H19" s="8"/>
      <c r="I19" s="8"/>
      <c r="J19" s="2"/>
      <c r="K19" s="25">
        <v>8864</v>
      </c>
      <c r="L19" s="9" t="s">
        <v>158</v>
      </c>
      <c r="M19" s="16" t="s">
        <v>25</v>
      </c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8913</v>
      </c>
      <c r="L20" s="9" t="s">
        <v>158</v>
      </c>
      <c r="M20" s="16" t="s">
        <v>25</v>
      </c>
      <c r="R20" s="1">
        <f>IF(vend5[[#This Row],[Nº Venda]]&gt;1,1,0)</f>
        <v>0</v>
      </c>
    </row>
    <row r="21" spans="2:18" ht="15.75" x14ac:dyDescent="0.25">
      <c r="B21" s="28" t="s">
        <v>26</v>
      </c>
      <c r="C21" s="32">
        <f>C5</f>
        <v>8687</v>
      </c>
      <c r="D21" s="2"/>
      <c r="E21" s="18"/>
      <c r="F21" s="25"/>
      <c r="G21" s="26"/>
      <c r="H21" s="8"/>
      <c r="I21" s="8"/>
      <c r="J21" s="2"/>
      <c r="K21" s="25">
        <v>8910</v>
      </c>
      <c r="L21" s="9" t="s">
        <v>131</v>
      </c>
      <c r="M21" s="16" t="s">
        <v>25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8702</v>
      </c>
      <c r="L22" s="9" t="s">
        <v>131</v>
      </c>
      <c r="M22" s="16" t="s">
        <v>25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8702</v>
      </c>
      <c r="F26" s="25" t="s">
        <v>168</v>
      </c>
      <c r="G26" s="46" t="s">
        <v>9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8850</v>
      </c>
      <c r="F27" s="25" t="s">
        <v>169</v>
      </c>
      <c r="G27" s="46" t="s">
        <v>6</v>
      </c>
      <c r="H27" s="8"/>
      <c r="I27" s="8">
        <v>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4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4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4:18" ht="15.75" x14ac:dyDescent="0.25">
      <c r="E35" s="18">
        <v>8486</v>
      </c>
      <c r="F35" s="25" t="s">
        <v>162</v>
      </c>
      <c r="G35" s="26" t="s">
        <v>7</v>
      </c>
      <c r="H35" s="8">
        <v>100</v>
      </c>
      <c r="I35" s="8" t="s">
        <v>75</v>
      </c>
      <c r="K35" s="25">
        <v>8850</v>
      </c>
      <c r="L35" s="41">
        <v>2</v>
      </c>
      <c r="M35" s="16">
        <v>182</v>
      </c>
    </row>
    <row r="36" spans="4:18" ht="15.75" x14ac:dyDescent="0.25">
      <c r="E36" s="18">
        <v>8669</v>
      </c>
      <c r="F36" s="25" t="s">
        <v>164</v>
      </c>
      <c r="G36" s="26" t="s">
        <v>9</v>
      </c>
      <c r="H36" s="8">
        <v>106.66</v>
      </c>
      <c r="I36" s="8" t="s">
        <v>54</v>
      </c>
      <c r="K36" s="25"/>
      <c r="L36" s="41"/>
      <c r="M36" s="16"/>
    </row>
    <row r="37" spans="4:18" ht="15.75" x14ac:dyDescent="0.25">
      <c r="E37" s="18">
        <v>8274</v>
      </c>
      <c r="F37" s="25" t="s">
        <v>165</v>
      </c>
      <c r="G37" s="26" t="s">
        <v>7</v>
      </c>
      <c r="H37" s="8">
        <v>100</v>
      </c>
      <c r="I37" s="8" t="s">
        <v>44</v>
      </c>
      <c r="K37" s="25"/>
      <c r="L37" s="41"/>
      <c r="M37" s="16"/>
    </row>
    <row r="38" spans="4:18" ht="15.75" x14ac:dyDescent="0.25">
      <c r="D38" s="103"/>
      <c r="E38" s="18">
        <v>8468</v>
      </c>
      <c r="F38" s="25" t="s">
        <v>166</v>
      </c>
      <c r="G38" s="26" t="s">
        <v>9</v>
      </c>
      <c r="H38" s="8">
        <v>85</v>
      </c>
      <c r="I38" s="8" t="s">
        <v>42</v>
      </c>
      <c r="K38" s="25"/>
      <c r="L38" s="41"/>
      <c r="M38" s="16"/>
    </row>
    <row r="39" spans="4:18" ht="15.75" x14ac:dyDescent="0.25">
      <c r="E39" s="18">
        <v>8468</v>
      </c>
      <c r="F39" s="25" t="s">
        <v>166</v>
      </c>
      <c r="G39" s="26" t="s">
        <v>9</v>
      </c>
      <c r="H39" s="8">
        <v>85</v>
      </c>
      <c r="I39" s="8" t="s">
        <v>54</v>
      </c>
      <c r="K39" s="25"/>
      <c r="L39" s="41"/>
      <c r="M39" s="16"/>
    </row>
    <row r="40" spans="4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12</v>
      </c>
    </row>
    <row r="41" spans="4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G7:G22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U41"/>
  <sheetViews>
    <sheetView showGridLines="0" topLeftCell="A26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'05'!B1+1</f>
        <v>45388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7828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5599</v>
      </c>
      <c r="D6" s="2"/>
      <c r="E6" s="18">
        <v>8988</v>
      </c>
      <c r="F6" s="25" t="s">
        <v>174</v>
      </c>
      <c r="G6" s="26" t="s">
        <v>8</v>
      </c>
      <c r="H6" s="8">
        <v>850</v>
      </c>
      <c r="I6" s="8">
        <v>850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8989</v>
      </c>
      <c r="F7" s="25" t="s">
        <v>174</v>
      </c>
      <c r="G7" s="26" t="s">
        <v>8</v>
      </c>
      <c r="H7" s="8">
        <v>250</v>
      </c>
      <c r="I7" s="8">
        <v>250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20</v>
      </c>
      <c r="C8" s="29">
        <f>SUM(C6:C7)</f>
        <v>5599</v>
      </c>
      <c r="D8" s="2"/>
      <c r="E8" s="93">
        <v>8990</v>
      </c>
      <c r="F8" s="64" t="s">
        <v>176</v>
      </c>
      <c r="G8" s="94" t="s">
        <v>8</v>
      </c>
      <c r="H8" s="75">
        <v>879</v>
      </c>
      <c r="I8" s="75">
        <v>879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8991</v>
      </c>
      <c r="F9" s="25" t="s">
        <v>175</v>
      </c>
      <c r="G9" s="26" t="s">
        <v>6</v>
      </c>
      <c r="H9" s="8">
        <v>30</v>
      </c>
      <c r="I9" s="8">
        <v>30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8992</v>
      </c>
      <c r="F10" s="59" t="s">
        <v>177</v>
      </c>
      <c r="G10" s="26" t="s">
        <v>9</v>
      </c>
      <c r="H10" s="8">
        <v>1799</v>
      </c>
      <c r="I10" s="8">
        <v>50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345</v>
      </c>
      <c r="D11" s="2"/>
      <c r="E11" s="18">
        <v>8993</v>
      </c>
      <c r="F11" s="25" t="s">
        <v>178</v>
      </c>
      <c r="G11" s="26" t="s">
        <v>8</v>
      </c>
      <c r="H11" s="8">
        <v>1100</v>
      </c>
      <c r="I11" s="8">
        <v>1100</v>
      </c>
      <c r="J11" s="2"/>
      <c r="K11" s="27"/>
      <c r="L11" s="9"/>
      <c r="M11" s="16"/>
      <c r="O11" s="1">
        <f>IF(C15=0,0,1)</f>
        <v>1</v>
      </c>
      <c r="R11" s="1">
        <f>IF(vend[[#This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270</v>
      </c>
      <c r="D12" s="2"/>
      <c r="E12" s="18">
        <v>8994</v>
      </c>
      <c r="F12" s="25" t="s">
        <v>178</v>
      </c>
      <c r="G12" s="26" t="s">
        <v>8</v>
      </c>
      <c r="H12" s="8">
        <v>300</v>
      </c>
      <c r="I12" s="8">
        <v>300</v>
      </c>
      <c r="J12" s="2"/>
      <c r="R12" s="1">
        <f>IF(vend[[#This Row],[Nº Venda]]&gt;1,1,0)</f>
        <v>1</v>
      </c>
    </row>
    <row r="13" spans="2:18" ht="15.75" x14ac:dyDescent="0.25">
      <c r="B13" s="30" t="s">
        <v>8</v>
      </c>
      <c r="C13" s="31">
        <f t="shared" si="0"/>
        <v>4689</v>
      </c>
      <c r="D13" s="2"/>
      <c r="E13" s="18">
        <v>8995</v>
      </c>
      <c r="F13" s="25" t="s">
        <v>178</v>
      </c>
      <c r="G13" s="26" t="s">
        <v>8</v>
      </c>
      <c r="H13" s="8">
        <v>600</v>
      </c>
      <c r="I13" s="8">
        <v>600</v>
      </c>
      <c r="J13" s="2"/>
      <c r="K13" s="112" t="s">
        <v>21</v>
      </c>
      <c r="L13" s="113"/>
      <c r="M13" s="114"/>
      <c r="R13" s="1">
        <f>IF(vend[[#This Row],[Nº Venda]]&gt;1,1,0)</f>
        <v>1</v>
      </c>
    </row>
    <row r="14" spans="2:18" ht="15.75" x14ac:dyDescent="0.25">
      <c r="B14" s="30" t="s">
        <v>9</v>
      </c>
      <c r="C14" s="31">
        <f t="shared" si="0"/>
        <v>720</v>
      </c>
      <c r="D14" s="2"/>
      <c r="E14" s="18">
        <v>8996</v>
      </c>
      <c r="F14" s="25" t="s">
        <v>179</v>
      </c>
      <c r="G14" s="26" t="s">
        <v>9</v>
      </c>
      <c r="H14" s="8">
        <v>990</v>
      </c>
      <c r="I14" s="8">
        <v>100</v>
      </c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1</v>
      </c>
    </row>
    <row r="15" spans="2:18" ht="15.75" x14ac:dyDescent="0.25">
      <c r="B15" s="28" t="s">
        <v>10</v>
      </c>
      <c r="C15" s="32">
        <f>SUM(C11:C14)</f>
        <v>6024</v>
      </c>
      <c r="D15" s="2"/>
      <c r="E15" s="18">
        <v>8997</v>
      </c>
      <c r="F15" s="25" t="s">
        <v>181</v>
      </c>
      <c r="G15" s="26" t="s">
        <v>7</v>
      </c>
      <c r="H15" s="8">
        <v>80</v>
      </c>
      <c r="I15" s="8">
        <v>80</v>
      </c>
      <c r="J15" s="2"/>
      <c r="K15" s="18">
        <v>8847</v>
      </c>
      <c r="L15" s="25" t="s">
        <v>158</v>
      </c>
      <c r="M15" s="16" t="s">
        <v>170</v>
      </c>
      <c r="R15" s="1">
        <f>IF(vend[[#This Row],[Nº Venda]]&gt;1,1,0)</f>
        <v>1</v>
      </c>
    </row>
    <row r="16" spans="2:18" ht="15.75" x14ac:dyDescent="0.25">
      <c r="B16" s="2"/>
      <c r="C16" s="2"/>
      <c r="D16" s="2"/>
      <c r="E16" s="18">
        <v>8998</v>
      </c>
      <c r="F16" s="25" t="s">
        <v>186</v>
      </c>
      <c r="G16" s="26" t="s">
        <v>8</v>
      </c>
      <c r="H16" s="8">
        <v>30</v>
      </c>
      <c r="I16" s="8">
        <v>30</v>
      </c>
      <c r="J16" s="2"/>
      <c r="K16" s="25">
        <v>8414</v>
      </c>
      <c r="L16" s="9" t="s">
        <v>131</v>
      </c>
      <c r="M16" s="16" t="s">
        <v>170</v>
      </c>
      <c r="R16" s="1">
        <f>IF(vend[[#This Row],[Nº Venda]]&gt;1,1,0)</f>
        <v>1</v>
      </c>
    </row>
    <row r="17" spans="2:21" ht="15.75" x14ac:dyDescent="0.25">
      <c r="B17" s="110" t="s">
        <v>11</v>
      </c>
      <c r="C17" s="110"/>
      <c r="D17" s="2"/>
      <c r="E17" s="18">
        <v>8999</v>
      </c>
      <c r="F17" s="25" t="s">
        <v>143</v>
      </c>
      <c r="G17" s="26" t="s">
        <v>6</v>
      </c>
      <c r="H17" s="8">
        <v>520</v>
      </c>
      <c r="I17" s="8">
        <v>50</v>
      </c>
      <c r="J17" s="2"/>
      <c r="K17" s="25">
        <v>8872</v>
      </c>
      <c r="L17" s="9" t="s">
        <v>158</v>
      </c>
      <c r="M17" s="16" t="s">
        <v>25</v>
      </c>
      <c r="R17" s="1">
        <f>IF(vend[[#This Row],[Nº Venda]]&gt;1,1,0)</f>
        <v>1</v>
      </c>
    </row>
    <row r="18" spans="2:21" ht="15.75" x14ac:dyDescent="0.25">
      <c r="B18" s="30">
        <f>COUNT(entr_carn6[OS])</f>
        <v>2</v>
      </c>
      <c r="C18" s="31">
        <f>SUM(entr_carn6[Valor Total])</f>
        <v>1170</v>
      </c>
      <c r="D18" s="2"/>
      <c r="E18" s="18">
        <v>9000</v>
      </c>
      <c r="F18" s="25" t="s">
        <v>187</v>
      </c>
      <c r="G18" s="26" t="s">
        <v>9</v>
      </c>
      <c r="H18" s="8">
        <v>400</v>
      </c>
      <c r="I18" s="8">
        <v>100</v>
      </c>
      <c r="J18" s="2"/>
      <c r="K18" s="25">
        <v>8922</v>
      </c>
      <c r="L18" s="9" t="s">
        <v>131</v>
      </c>
      <c r="M18" s="16" t="s">
        <v>25</v>
      </c>
      <c r="R18" s="1">
        <f>IF(vend[[#This Row],[Nº Venda]]&gt;1,1,0)</f>
        <v>1</v>
      </c>
    </row>
    <row r="19" spans="2:21" ht="15.75" x14ac:dyDescent="0.25">
      <c r="B19" s="28" t="s">
        <v>10</v>
      </c>
      <c r="C19" s="32">
        <f>SUM(C18:C18)</f>
        <v>1170</v>
      </c>
      <c r="D19" s="2"/>
      <c r="E19" s="18"/>
      <c r="F19" s="25"/>
      <c r="G19" s="26"/>
      <c r="H19" s="8"/>
      <c r="I19" s="8"/>
      <c r="J19" s="2"/>
      <c r="K19" s="25">
        <v>8921</v>
      </c>
      <c r="L19" s="9" t="s">
        <v>131</v>
      </c>
      <c r="M19" s="16" t="s">
        <v>25</v>
      </c>
      <c r="R19" s="1">
        <f>IF(vend[[#This Row],[Nº Venda]]&gt;1,1,0)</f>
        <v>0</v>
      </c>
    </row>
    <row r="20" spans="2:21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8886</v>
      </c>
      <c r="L20" s="9" t="s">
        <v>131</v>
      </c>
      <c r="M20" s="16" t="s">
        <v>25</v>
      </c>
      <c r="R20" s="1">
        <f>IF(vend[[#This Row],[Nº Venda]]&gt;1,1,0)</f>
        <v>0</v>
      </c>
    </row>
    <row r="21" spans="2:21" ht="15.75" x14ac:dyDescent="0.25">
      <c r="B21" s="28" t="s">
        <v>26</v>
      </c>
      <c r="C21" s="32">
        <f>C5</f>
        <v>7828</v>
      </c>
      <c r="D21" s="2"/>
      <c r="E21" s="18"/>
      <c r="F21" s="25"/>
      <c r="G21" s="26"/>
      <c r="H21" s="8"/>
      <c r="I21" s="8"/>
      <c r="J21" s="2"/>
      <c r="K21" s="25">
        <v>8982</v>
      </c>
      <c r="L21" s="9" t="s">
        <v>160</v>
      </c>
      <c r="M21" s="16" t="s">
        <v>25</v>
      </c>
    </row>
    <row r="22" spans="2:21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1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1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  <c r="U24" s="1" t="s">
        <v>58</v>
      </c>
    </row>
    <row r="25" spans="2:21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21" ht="15.75" x14ac:dyDescent="0.25">
      <c r="B26" s="2"/>
      <c r="C26" s="2"/>
      <c r="D26" s="2"/>
      <c r="E26" s="18">
        <v>8847</v>
      </c>
      <c r="F26" s="25" t="s">
        <v>171</v>
      </c>
      <c r="G26" s="26" t="s">
        <v>9</v>
      </c>
      <c r="H26" s="8"/>
      <c r="I26" s="8">
        <v>280</v>
      </c>
      <c r="J26" s="2"/>
      <c r="K26" s="25"/>
      <c r="L26" s="9"/>
      <c r="M26" s="16"/>
    </row>
    <row r="27" spans="2:21" ht="15.75" x14ac:dyDescent="0.25">
      <c r="B27" s="2"/>
      <c r="C27" s="2"/>
      <c r="D27" s="2"/>
      <c r="E27" s="18">
        <v>8506</v>
      </c>
      <c r="F27" s="25" t="s">
        <v>172</v>
      </c>
      <c r="G27" s="26" t="s">
        <v>8</v>
      </c>
      <c r="H27" s="8"/>
      <c r="I27" s="8">
        <v>550</v>
      </c>
      <c r="J27" s="2"/>
      <c r="K27" s="25"/>
      <c r="L27" s="9"/>
      <c r="M27" s="16"/>
    </row>
    <row r="28" spans="2:21" ht="15.75" x14ac:dyDescent="0.25">
      <c r="B28" s="2"/>
      <c r="C28" s="2"/>
      <c r="D28" s="2"/>
      <c r="E28" s="18">
        <v>8414</v>
      </c>
      <c r="F28" s="25" t="s">
        <v>173</v>
      </c>
      <c r="G28" s="26" t="s">
        <v>8</v>
      </c>
      <c r="H28" s="8"/>
      <c r="I28" s="8">
        <v>130</v>
      </c>
      <c r="J28" s="2"/>
      <c r="K28" s="25"/>
      <c r="L28" s="9"/>
      <c r="M28" s="16"/>
    </row>
    <row r="29" spans="2:21" ht="15.75" x14ac:dyDescent="0.25">
      <c r="B29" s="2"/>
      <c r="C29" s="2"/>
      <c r="D29" s="2"/>
      <c r="E29" s="18">
        <v>8414</v>
      </c>
      <c r="F29" s="25" t="s">
        <v>173</v>
      </c>
      <c r="G29" s="26" t="s">
        <v>7</v>
      </c>
      <c r="H29" s="8"/>
      <c r="I29" s="8">
        <v>70</v>
      </c>
      <c r="J29" s="2"/>
      <c r="K29" s="25"/>
      <c r="L29" s="9"/>
      <c r="M29" s="16"/>
    </row>
    <row r="30" spans="2:21" ht="15.75" x14ac:dyDescent="0.25">
      <c r="B30" s="2"/>
      <c r="C30" s="2"/>
      <c r="D30" s="2"/>
      <c r="E30" s="18">
        <v>8872</v>
      </c>
      <c r="F30" s="39" t="s">
        <v>180</v>
      </c>
      <c r="G30" s="26" t="s">
        <v>6</v>
      </c>
      <c r="H30" s="8"/>
      <c r="I30" s="8">
        <v>150</v>
      </c>
      <c r="J30" s="2"/>
      <c r="K30" s="25"/>
      <c r="L30" s="9"/>
      <c r="M30" s="16"/>
    </row>
    <row r="31" spans="2:21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1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8370</v>
      </c>
      <c r="F35" s="25" t="s">
        <v>182</v>
      </c>
      <c r="G35" s="26" t="s">
        <v>7</v>
      </c>
      <c r="H35" s="8">
        <v>120</v>
      </c>
      <c r="I35" s="8" t="s">
        <v>47</v>
      </c>
      <c r="K35" s="25">
        <v>8847</v>
      </c>
      <c r="L35" s="41">
        <v>7</v>
      </c>
      <c r="M35" s="16">
        <v>720</v>
      </c>
    </row>
    <row r="36" spans="5:18" ht="15.75" x14ac:dyDescent="0.25">
      <c r="E36" s="18">
        <v>8504</v>
      </c>
      <c r="F36" s="25" t="s">
        <v>183</v>
      </c>
      <c r="G36" s="26" t="s">
        <v>6</v>
      </c>
      <c r="H36" s="8">
        <v>115</v>
      </c>
      <c r="I36" s="8" t="s">
        <v>45</v>
      </c>
      <c r="K36" s="25">
        <v>8414</v>
      </c>
      <c r="L36" s="41">
        <v>3</v>
      </c>
      <c r="M36" s="16">
        <v>450</v>
      </c>
    </row>
    <row r="37" spans="5:18" ht="15.75" x14ac:dyDescent="0.25">
      <c r="E37" s="18">
        <v>7735</v>
      </c>
      <c r="F37" s="25" t="s">
        <v>184</v>
      </c>
      <c r="G37" s="26" t="s">
        <v>9</v>
      </c>
      <c r="H37" s="8">
        <v>100</v>
      </c>
      <c r="I37" s="8" t="s">
        <v>47</v>
      </c>
      <c r="K37" s="25"/>
      <c r="L37" s="41"/>
      <c r="M37" s="16"/>
    </row>
    <row r="38" spans="5:18" ht="15.75" x14ac:dyDescent="0.25">
      <c r="E38" s="18">
        <v>7938</v>
      </c>
      <c r="F38" s="25" t="s">
        <v>185</v>
      </c>
      <c r="G38" s="26" t="s">
        <v>9</v>
      </c>
      <c r="H38" s="8">
        <v>90</v>
      </c>
      <c r="I38" s="8" t="s">
        <v>51</v>
      </c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1" zoomScale="80" zoomScaleNormal="80" workbookViewId="0">
      <selection activeCell="C26" sqref="C2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7">
        <f>'06'!B1+1</f>
        <v>45389</v>
      </c>
    </row>
    <row r="2" spans="2:21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5"/>
      <c r="G6" s="85"/>
      <c r="H6" s="86"/>
      <c r="I6" s="86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6"/>
      <c r="F26" s="63"/>
      <c r="G26" s="77"/>
      <c r="H26" s="78"/>
      <c r="I26" s="78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6" zoomScale="80" zoomScaleNormal="8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3.140625" style="3" customWidth="1"/>
    <col min="12" max="12" width="15.140625" style="3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'07'!B1+1</f>
        <v>45390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6960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6150</v>
      </c>
      <c r="D6" s="2"/>
      <c r="E6" s="88">
        <v>9001</v>
      </c>
      <c r="F6" s="8" t="s">
        <v>188</v>
      </c>
      <c r="G6" s="8" t="s">
        <v>9</v>
      </c>
      <c r="H6" s="8">
        <v>1300</v>
      </c>
      <c r="I6" s="8">
        <v>40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8">
        <v>9002</v>
      </c>
      <c r="F7" s="8" t="s">
        <v>188</v>
      </c>
      <c r="G7" s="8" t="s">
        <v>9</v>
      </c>
      <c r="H7" s="8">
        <v>650</v>
      </c>
      <c r="I7" s="8">
        <v>10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20</v>
      </c>
      <c r="C8" s="29">
        <f>SUM(C6:C7)</f>
        <v>6150</v>
      </c>
      <c r="D8" s="2"/>
      <c r="E8" s="88">
        <v>9003</v>
      </c>
      <c r="F8" s="8" t="s">
        <v>189</v>
      </c>
      <c r="G8" s="8" t="s">
        <v>8</v>
      </c>
      <c r="H8" s="8">
        <v>250</v>
      </c>
      <c r="I8" s="8">
        <v>250</v>
      </c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8">
        <v>9004</v>
      </c>
      <c r="F9" s="8" t="s">
        <v>190</v>
      </c>
      <c r="G9" s="8" t="s">
        <v>8</v>
      </c>
      <c r="H9" s="8">
        <v>420</v>
      </c>
      <c r="I9" s="8">
        <v>420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9005</v>
      </c>
      <c r="F10" s="25" t="s">
        <v>191</v>
      </c>
      <c r="G10" s="26" t="s">
        <v>7</v>
      </c>
      <c r="H10" s="8">
        <v>490</v>
      </c>
      <c r="I10" s="8">
        <v>490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84">
        <f>(SUMIF($G$2:$G$31,B11,$I$2:$I$31))+(SUMIF($G$35:$G$42,B11,$H$35:$H$42))</f>
        <v>56</v>
      </c>
      <c r="D11" s="2"/>
      <c r="E11" s="18">
        <v>9006</v>
      </c>
      <c r="F11" s="25" t="s">
        <v>192</v>
      </c>
      <c r="G11" s="26" t="s">
        <v>8</v>
      </c>
      <c r="H11" s="8">
        <v>2249</v>
      </c>
      <c r="I11" s="8">
        <v>2249</v>
      </c>
      <c r="J11" s="2"/>
      <c r="K11" s="27"/>
      <c r="L11" s="9"/>
      <c r="M11" s="16"/>
      <c r="O11" s="1">
        <f>IF(C15=0,0,1)</f>
        <v>1</v>
      </c>
      <c r="R11" s="1">
        <f>IF(vend8[[#This Row],[Nº Venda]]&gt;1,1,0)</f>
        <v>1</v>
      </c>
    </row>
    <row r="12" spans="2:18" ht="15.75" x14ac:dyDescent="0.25">
      <c r="B12" s="30" t="s">
        <v>7</v>
      </c>
      <c r="C12" s="84">
        <f>(SUMIF($G$2:$G$31,B12,$I$2:$I$31))+(SUMIF($G$35:$G$42,B12,$H$35:$H$42))</f>
        <v>649</v>
      </c>
      <c r="D12" s="2"/>
      <c r="E12" s="18">
        <v>9007</v>
      </c>
      <c r="F12" s="25" t="s">
        <v>192</v>
      </c>
      <c r="G12" s="26" t="s">
        <v>8</v>
      </c>
      <c r="H12" s="8">
        <v>901</v>
      </c>
      <c r="I12" s="8">
        <v>901</v>
      </c>
      <c r="J12" s="2"/>
      <c r="R12" s="1">
        <f>IF(vend8[[#This Row],[Nº Venda]]&gt;1,1,0)</f>
        <v>1</v>
      </c>
    </row>
    <row r="13" spans="2:18" ht="15.75" x14ac:dyDescent="0.25">
      <c r="B13" s="30" t="s">
        <v>8</v>
      </c>
      <c r="C13" s="84">
        <f>(SUMIF($G$2:$G$31,B13,$I$2:$I$31))+(SUMIF($G$35:$G$42,B13,$H$35:$H$42))</f>
        <v>4820</v>
      </c>
      <c r="D13" s="2"/>
      <c r="E13" s="18">
        <v>9008</v>
      </c>
      <c r="F13" s="25" t="s">
        <v>193</v>
      </c>
      <c r="G13" s="26" t="s">
        <v>9</v>
      </c>
      <c r="H13" s="8">
        <v>700</v>
      </c>
      <c r="I13" s="8">
        <v>700</v>
      </c>
      <c r="J13" s="2"/>
      <c r="K13" s="112" t="s">
        <v>21</v>
      </c>
      <c r="L13" s="113"/>
      <c r="M13" s="114"/>
      <c r="R13" s="1">
        <f>IF(vend8[[#This Row],[Nº Venda]]&gt;1,1,0)</f>
        <v>1</v>
      </c>
    </row>
    <row r="14" spans="2:18" ht="15.75" x14ac:dyDescent="0.25">
      <c r="B14" s="30" t="s">
        <v>9</v>
      </c>
      <c r="C14" s="84">
        <f>(SUMIF($G$2:$G$31,B14,$I$2:$I$31))+(SUMIF($G$35:$G$42,B14,$H$35:$H$42))</f>
        <v>750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6275</v>
      </c>
      <c r="D15" s="2"/>
      <c r="E15" s="18"/>
      <c r="F15" s="25"/>
      <c r="G15" s="26"/>
      <c r="H15" s="8"/>
      <c r="I15" s="8"/>
      <c r="J15" s="2"/>
      <c r="K15" s="25">
        <v>8937</v>
      </c>
      <c r="L15" s="9" t="s">
        <v>158</v>
      </c>
      <c r="M15" s="16" t="s">
        <v>25</v>
      </c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8945</v>
      </c>
      <c r="L16" s="9" t="s">
        <v>160</v>
      </c>
      <c r="M16" s="16" t="s">
        <v>25</v>
      </c>
      <c r="R16" s="1">
        <f>IF(vend8[[#This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8889</v>
      </c>
      <c r="L17" s="9" t="s">
        <v>160</v>
      </c>
      <c r="M17" s="16" t="s">
        <v>25</v>
      </c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>
        <v>8727</v>
      </c>
      <c r="L18" s="9" t="s">
        <v>158</v>
      </c>
      <c r="M18" s="16" t="s">
        <v>25</v>
      </c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8954</v>
      </c>
      <c r="L19" s="9" t="s">
        <v>158</v>
      </c>
      <c r="M19" s="16" t="s">
        <v>25</v>
      </c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9003</v>
      </c>
      <c r="L20" s="9" t="s">
        <v>160</v>
      </c>
      <c r="M20" s="16" t="s">
        <v>25</v>
      </c>
      <c r="R20" s="1">
        <f>IF(vend8[[#This Row],[Nº Venda]]&gt;1,1,0)</f>
        <v>0</v>
      </c>
    </row>
    <row r="21" spans="2:18" ht="15.75" x14ac:dyDescent="0.25">
      <c r="B21" s="28" t="s">
        <v>26</v>
      </c>
      <c r="C21" s="32">
        <f>C5</f>
        <v>6960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9">
        <v>8978</v>
      </c>
      <c r="F26" s="90" t="s">
        <v>194</v>
      </c>
      <c r="G26" s="91" t="s">
        <v>8</v>
      </c>
      <c r="H26" s="92"/>
      <c r="I26" s="92">
        <v>790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8979</v>
      </c>
      <c r="F27" s="25" t="s">
        <v>194</v>
      </c>
      <c r="G27" s="46" t="s">
        <v>8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8987</v>
      </c>
      <c r="F28" s="25" t="s">
        <v>194</v>
      </c>
      <c r="G28" s="46" t="s">
        <v>8</v>
      </c>
      <c r="H28" s="8"/>
      <c r="I28" s="8">
        <v>60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8987</v>
      </c>
      <c r="F29" s="25" t="s">
        <v>194</v>
      </c>
      <c r="G29" s="46" t="s">
        <v>7</v>
      </c>
      <c r="H29" s="8"/>
      <c r="I29" s="8">
        <v>90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8253</v>
      </c>
      <c r="F35" s="25" t="s">
        <v>195</v>
      </c>
      <c r="G35" s="26" t="s">
        <v>6</v>
      </c>
      <c r="H35" s="8">
        <v>56</v>
      </c>
      <c r="I35" s="8" t="s">
        <v>38</v>
      </c>
      <c r="K35" s="25"/>
      <c r="L35" s="41"/>
      <c r="M35" s="16"/>
    </row>
    <row r="36" spans="5:18" ht="15.75" x14ac:dyDescent="0.25">
      <c r="E36" s="18">
        <v>8479</v>
      </c>
      <c r="F36" s="25" t="s">
        <v>196</v>
      </c>
      <c r="G36" s="26" t="s">
        <v>7</v>
      </c>
      <c r="H36" s="8">
        <v>69</v>
      </c>
      <c r="I36" s="8" t="s">
        <v>45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81"/>
      <c r="G42" s="82"/>
      <c r="H42" s="83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7" zoomScale="80" zoomScaleNormal="80" workbookViewId="0">
      <selection activeCell="L21" sqref="L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45391</v>
      </c>
    </row>
    <row r="2" spans="2:22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22" ht="15" x14ac:dyDescent="0.25">
      <c r="B5" s="23" t="s">
        <v>1</v>
      </c>
      <c r="C5" s="24">
        <f>SUMIF(I6:I31,"&gt;0",H6:H31)</f>
        <v>2580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4739</v>
      </c>
      <c r="D6" s="2"/>
      <c r="E6" s="18">
        <v>9009</v>
      </c>
      <c r="F6" s="25" t="s">
        <v>197</v>
      </c>
      <c r="G6" s="46" t="s">
        <v>8</v>
      </c>
      <c r="H6" s="8">
        <v>180</v>
      </c>
      <c r="I6" s="8">
        <v>180</v>
      </c>
      <c r="J6" s="2"/>
      <c r="K6" s="25" t="s">
        <v>207</v>
      </c>
      <c r="L6" s="9" t="s">
        <v>208</v>
      </c>
      <c r="M6" s="16">
        <v>31.99</v>
      </c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31.99</v>
      </c>
      <c r="D7" s="2"/>
      <c r="E7" s="18">
        <v>9010</v>
      </c>
      <c r="F7" s="25" t="s">
        <v>198</v>
      </c>
      <c r="G7" s="46" t="s">
        <v>8</v>
      </c>
      <c r="H7" s="8">
        <v>500</v>
      </c>
      <c r="I7" s="8">
        <v>500</v>
      </c>
      <c r="J7" s="2"/>
      <c r="K7" s="25"/>
      <c r="L7" s="9"/>
      <c r="M7" s="16"/>
      <c r="R7" s="1">
        <f>IF(vend9[[#This Row],[Nº Venda]]&gt;1,1,0)</f>
        <v>1</v>
      </c>
      <c r="U7" s="1" t="s">
        <v>58</v>
      </c>
    </row>
    <row r="8" spans="2:22" ht="15.75" x14ac:dyDescent="0.25">
      <c r="B8" s="28" t="s">
        <v>20</v>
      </c>
      <c r="C8" s="29">
        <f>SUM(C6:C7)</f>
        <v>4770.99</v>
      </c>
      <c r="D8" s="2"/>
      <c r="E8" s="18">
        <v>9011</v>
      </c>
      <c r="F8" s="25" t="s">
        <v>206</v>
      </c>
      <c r="G8" s="26" t="s">
        <v>9</v>
      </c>
      <c r="H8" s="8">
        <v>1700</v>
      </c>
      <c r="I8" s="8">
        <v>50</v>
      </c>
      <c r="J8" s="2"/>
      <c r="K8" s="25"/>
      <c r="L8" s="9"/>
      <c r="M8" s="16"/>
      <c r="R8" s="1">
        <f>IF(vend9[[#This Row],[Nº Venda]]&gt;1,1,0)</f>
        <v>1</v>
      </c>
      <c r="U8" s="1" t="s">
        <v>58</v>
      </c>
    </row>
    <row r="9" spans="2:22" ht="15.75" x14ac:dyDescent="0.25">
      <c r="B9" s="2"/>
      <c r="C9" s="2"/>
      <c r="D9" s="2"/>
      <c r="E9" s="18">
        <v>9012</v>
      </c>
      <c r="F9" s="25" t="s">
        <v>206</v>
      </c>
      <c r="G9" s="26" t="s">
        <v>9</v>
      </c>
      <c r="H9" s="8">
        <v>200</v>
      </c>
      <c r="I9" s="8">
        <v>50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318.75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4639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199.82999999999998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5157.58</v>
      </c>
      <c r="D15" s="2"/>
      <c r="E15" s="18"/>
      <c r="F15" s="25"/>
      <c r="G15" s="26"/>
      <c r="H15" s="8"/>
      <c r="I15" s="8"/>
      <c r="J15" s="2"/>
      <c r="K15" s="25">
        <v>8958</v>
      </c>
      <c r="L15" s="9" t="s">
        <v>160</v>
      </c>
      <c r="M15" s="16" t="s">
        <v>25</v>
      </c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8897</v>
      </c>
      <c r="L16" s="9" t="s">
        <v>160</v>
      </c>
      <c r="M16" s="16" t="s">
        <v>25</v>
      </c>
      <c r="R16" s="1">
        <f>IF(vend9[[#This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8830</v>
      </c>
      <c r="L17" s="9" t="s">
        <v>131</v>
      </c>
      <c r="M17" s="16" t="s">
        <v>25</v>
      </c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>
        <v>8959</v>
      </c>
      <c r="L18" s="9" t="s">
        <v>131</v>
      </c>
      <c r="M18" s="16" t="s">
        <v>25</v>
      </c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8887</v>
      </c>
      <c r="L19" s="9" t="s">
        <v>131</v>
      </c>
      <c r="M19" s="16" t="s">
        <v>25</v>
      </c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>
        <v>8975</v>
      </c>
      <c r="L20" s="9" t="s">
        <v>160</v>
      </c>
      <c r="M20" s="16" t="s">
        <v>25</v>
      </c>
      <c r="R20" s="1">
        <f>IF(vend9[[#This Row],[Nº Venda]]&gt;1,1,0)</f>
        <v>0</v>
      </c>
    </row>
    <row r="21" spans="2:18" ht="15.75" x14ac:dyDescent="0.25">
      <c r="B21" s="28" t="s">
        <v>26</v>
      </c>
      <c r="C21" s="32">
        <f>C5</f>
        <v>2580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9001</v>
      </c>
      <c r="F26" s="25" t="s">
        <v>199</v>
      </c>
      <c r="G26" s="46" t="s">
        <v>8</v>
      </c>
      <c r="H26" s="8"/>
      <c r="I26" s="8">
        <v>1300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9002</v>
      </c>
      <c r="F27" s="25" t="s">
        <v>199</v>
      </c>
      <c r="G27" s="26" t="s">
        <v>8</v>
      </c>
      <c r="H27" s="8"/>
      <c r="I27" s="8">
        <v>650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8832</v>
      </c>
      <c r="F28" s="25" t="s">
        <v>200</v>
      </c>
      <c r="G28" s="26" t="s">
        <v>8</v>
      </c>
      <c r="H28" s="8"/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8920</v>
      </c>
      <c r="F29" s="25" t="s">
        <v>268</v>
      </c>
      <c r="G29" s="26" t="s">
        <v>8</v>
      </c>
      <c r="H29" s="8"/>
      <c r="I29" s="8">
        <v>350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8899</v>
      </c>
      <c r="F30" s="39" t="s">
        <v>201</v>
      </c>
      <c r="G30" s="26" t="s">
        <v>8</v>
      </c>
      <c r="H30" s="8"/>
      <c r="I30" s="8">
        <v>1459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8214</v>
      </c>
      <c r="F35" s="25" t="s">
        <v>202</v>
      </c>
      <c r="G35" s="26" t="s">
        <v>6</v>
      </c>
      <c r="H35" s="8">
        <v>118.75</v>
      </c>
      <c r="I35" s="8" t="s">
        <v>56</v>
      </c>
      <c r="K35" s="25"/>
      <c r="L35" s="41"/>
      <c r="M35" s="16"/>
    </row>
    <row r="36" spans="5:18" ht="15.75" x14ac:dyDescent="0.25">
      <c r="E36" s="18">
        <v>8260</v>
      </c>
      <c r="F36" s="25" t="s">
        <v>203</v>
      </c>
      <c r="G36" s="26" t="s">
        <v>6</v>
      </c>
      <c r="H36" s="8">
        <v>100</v>
      </c>
      <c r="I36" s="8" t="s">
        <v>44</v>
      </c>
      <c r="K36" s="25"/>
      <c r="L36" s="41"/>
      <c r="M36" s="16"/>
    </row>
    <row r="37" spans="5:18" ht="15.75" x14ac:dyDescent="0.25">
      <c r="E37" s="18">
        <v>8781</v>
      </c>
      <c r="F37" s="25" t="s">
        <v>204</v>
      </c>
      <c r="G37" s="26" t="s">
        <v>9</v>
      </c>
      <c r="H37" s="8">
        <v>99.83</v>
      </c>
      <c r="I37" s="8" t="s">
        <v>42</v>
      </c>
      <c r="K37" s="25"/>
      <c r="L37" s="41"/>
      <c r="M37" s="16"/>
    </row>
    <row r="38" spans="5:18" ht="15.75" x14ac:dyDescent="0.25">
      <c r="E38" s="18">
        <v>8364</v>
      </c>
      <c r="F38" s="25" t="s">
        <v>205</v>
      </c>
      <c r="G38" s="26" t="s">
        <v>6</v>
      </c>
      <c r="H38" s="8">
        <v>100</v>
      </c>
      <c r="I38" s="8" t="s">
        <v>79</v>
      </c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4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45392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SUMIF(I6:I32,"&gt;0",H6:H32)</f>
        <v>435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215</v>
      </c>
      <c r="D6" s="2"/>
      <c r="E6" s="18">
        <v>9013</v>
      </c>
      <c r="F6" s="25" t="s">
        <v>209</v>
      </c>
      <c r="G6" s="46" t="s">
        <v>9</v>
      </c>
      <c r="H6" s="8">
        <v>400</v>
      </c>
      <c r="I6" s="8">
        <v>100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9014</v>
      </c>
      <c r="F7" s="25" t="s">
        <v>210</v>
      </c>
      <c r="G7" s="46" t="s">
        <v>9</v>
      </c>
      <c r="H7" s="8">
        <v>35</v>
      </c>
      <c r="I7" s="8">
        <v>35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20</v>
      </c>
      <c r="C8" s="29">
        <f>SUM(C6:C7)</f>
        <v>215</v>
      </c>
      <c r="D8" s="2"/>
      <c r="E8" s="18">
        <v>9015</v>
      </c>
      <c r="F8" s="25" t="s">
        <v>211</v>
      </c>
      <c r="G8" s="26" t="s">
        <v>40</v>
      </c>
      <c r="H8" s="8">
        <v>0</v>
      </c>
      <c r="I8" s="8">
        <v>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06">
        <v>9016</v>
      </c>
      <c r="F9" s="107" t="s">
        <v>212</v>
      </c>
      <c r="G9" s="108" t="s">
        <v>9</v>
      </c>
      <c r="H9" s="109">
        <v>500</v>
      </c>
      <c r="I9" s="109" t="s">
        <v>345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9017</v>
      </c>
      <c r="F10" s="25" t="s">
        <v>213</v>
      </c>
      <c r="G10" s="26" t="s">
        <v>40</v>
      </c>
      <c r="H10" s="8">
        <v>0</v>
      </c>
      <c r="I10" s="8">
        <v>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353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353</v>
      </c>
      <c r="D15" s="2"/>
      <c r="E15" s="18"/>
      <c r="F15" s="25"/>
      <c r="G15" s="26"/>
      <c r="H15" s="8"/>
      <c r="I15" s="8"/>
      <c r="J15" s="2"/>
      <c r="K15" s="25">
        <v>8940</v>
      </c>
      <c r="L15" s="9" t="s">
        <v>160</v>
      </c>
      <c r="M15" s="16" t="s">
        <v>25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8895</v>
      </c>
      <c r="L16" s="9" t="s">
        <v>160</v>
      </c>
      <c r="M16" s="66" t="s">
        <v>25</v>
      </c>
      <c r="R16" s="1">
        <f>IF(vend10[[#This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8948</v>
      </c>
      <c r="L17" s="9" t="s">
        <v>131</v>
      </c>
      <c r="M17" s="16" t="s">
        <v>25</v>
      </c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>
        <v>9009</v>
      </c>
      <c r="L18" s="9" t="s">
        <v>131</v>
      </c>
      <c r="M18" s="16" t="s">
        <v>25</v>
      </c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8939</v>
      </c>
      <c r="L19" s="9" t="s">
        <v>160</v>
      </c>
      <c r="M19" s="16" t="s">
        <v>25</v>
      </c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9014</v>
      </c>
      <c r="L20" s="9" t="s">
        <v>131</v>
      </c>
      <c r="M20" s="16" t="s">
        <v>25</v>
      </c>
      <c r="R20" s="1">
        <f>IF(vend10[[#This Row],[Nº Venda]]&gt;1,1,0)</f>
        <v>0</v>
      </c>
    </row>
    <row r="21" spans="2:18" ht="15.75" x14ac:dyDescent="0.25">
      <c r="B21" s="28" t="s">
        <v>26</v>
      </c>
      <c r="C21" s="32">
        <f>C5</f>
        <v>435</v>
      </c>
      <c r="D21" s="2"/>
      <c r="E21" s="18"/>
      <c r="F21" s="25"/>
      <c r="G21" s="26"/>
      <c r="H21" s="8"/>
      <c r="I21" s="8"/>
      <c r="J21" s="2"/>
      <c r="K21" s="25">
        <v>8877</v>
      </c>
      <c r="L21" s="9" t="s">
        <v>160</v>
      </c>
      <c r="M21" s="16" t="s">
        <v>25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8868</v>
      </c>
      <c r="L22" s="9" t="s">
        <v>160</v>
      </c>
      <c r="M22" s="16" t="s">
        <v>25</v>
      </c>
    </row>
    <row r="23" spans="2:18" ht="15" x14ac:dyDescent="0.25">
      <c r="B23" s="2"/>
      <c r="C23" s="2"/>
      <c r="D23" s="2"/>
      <c r="E23" s="33"/>
      <c r="H23" s="7"/>
      <c r="J23" s="2"/>
      <c r="K23" s="25">
        <v>8991</v>
      </c>
      <c r="L23" s="9" t="s">
        <v>160</v>
      </c>
      <c r="M23" s="16" t="s">
        <v>25</v>
      </c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8815</v>
      </c>
      <c r="F26" s="25" t="s">
        <v>215</v>
      </c>
      <c r="G26" s="46" t="s">
        <v>9</v>
      </c>
      <c r="H26" s="8"/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12" t="s">
        <v>11</v>
      </c>
      <c r="L33" s="113"/>
      <c r="M33" s="114"/>
    </row>
    <row r="34" spans="5:18" ht="15" x14ac:dyDescent="0.25">
      <c r="E34" s="111" t="s">
        <v>28</v>
      </c>
      <c r="F34" s="111"/>
      <c r="G34" s="111"/>
      <c r="H34" s="111"/>
      <c r="I34" s="111"/>
      <c r="K34" s="14" t="s">
        <v>22</v>
      </c>
      <c r="L34" s="6" t="s">
        <v>31</v>
      </c>
      <c r="M34" s="15" t="s">
        <v>32</v>
      </c>
    </row>
    <row r="35" spans="5:18" ht="15" x14ac:dyDescent="0.25">
      <c r="E35" s="10" t="s">
        <v>22</v>
      </c>
      <c r="F35" s="10" t="s">
        <v>14</v>
      </c>
      <c r="G35" s="11" t="s">
        <v>15</v>
      </c>
      <c r="H35" s="12" t="s">
        <v>29</v>
      </c>
      <c r="I35" s="13" t="s">
        <v>30</v>
      </c>
      <c r="K35" s="25"/>
      <c r="L35" s="41"/>
      <c r="M35" s="16"/>
    </row>
    <row r="36" spans="5:18" ht="15.75" x14ac:dyDescent="0.25">
      <c r="E36" s="18">
        <v>8195</v>
      </c>
      <c r="F36" s="25" t="s">
        <v>199</v>
      </c>
      <c r="G36" s="26" t="s">
        <v>9</v>
      </c>
      <c r="H36" s="8">
        <v>70</v>
      </c>
      <c r="I36" s="8" t="s">
        <v>59</v>
      </c>
      <c r="K36" s="25"/>
      <c r="L36" s="41"/>
      <c r="M36" s="16"/>
    </row>
    <row r="37" spans="5:18" ht="15.75" x14ac:dyDescent="0.25">
      <c r="E37" s="18">
        <v>8156</v>
      </c>
      <c r="F37" s="25" t="s">
        <v>214</v>
      </c>
      <c r="G37" s="26" t="s">
        <v>9</v>
      </c>
      <c r="H37" s="8">
        <v>68</v>
      </c>
      <c r="I37" s="8" t="s">
        <v>56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5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3"/>
  <sheetViews>
    <sheetView showGridLines="0" topLeftCell="B21" zoomScale="80" zoomScaleNormal="8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'10'!B1+1</f>
        <v>45393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800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SUM(I6:I43)</f>
        <v>2220</v>
      </c>
      <c r="D6" s="2"/>
      <c r="E6" s="18">
        <v>9018</v>
      </c>
      <c r="F6" s="25" t="s">
        <v>216</v>
      </c>
      <c r="G6" s="26" t="s">
        <v>7</v>
      </c>
      <c r="H6" s="8">
        <v>800</v>
      </c>
      <c r="I6" s="8">
        <v>100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9019</v>
      </c>
      <c r="F7" s="25" t="s">
        <v>222</v>
      </c>
      <c r="G7" s="26" t="s">
        <v>40</v>
      </c>
      <c r="H7" s="8"/>
      <c r="I7" s="8"/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20</v>
      </c>
      <c r="C8" s="29">
        <f>SUM(C6:C7)</f>
        <v>2220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(SUMIF($G$2:$G$33,B11,$I$2:$I$33))+(SUMIF($G$37:$G$43,B11,$H$37:$H$43))</f>
        <v>799.98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>(SUMIF($G$2:$G$33,B12,$I$2:$I$33))+(SUMIF($G$37:$G$43,B12,$H$37:$H$43))</f>
        <v>100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>(SUMIF($G$2:$G$33,B13,$I$2:$I$33))+(SUMIF($G$37:$G$43,B13,$H$37:$H$43))</f>
        <v>1370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>(SUMIF($G$2:$G$33,B14,$I$2:$I$33))+(SUMIF($G$37:$G$43,B14,$H$37:$H$43))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2269.98</v>
      </c>
      <c r="D15" s="2"/>
      <c r="E15" s="18"/>
      <c r="F15" s="25"/>
      <c r="G15" s="26"/>
      <c r="H15" s="8"/>
      <c r="I15" s="8"/>
      <c r="J15" s="2"/>
      <c r="K15" s="25">
        <v>8919</v>
      </c>
      <c r="L15" s="9" t="s">
        <v>131</v>
      </c>
      <c r="M15" s="16" t="s">
        <v>25</v>
      </c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8962</v>
      </c>
      <c r="L16" s="9" t="s">
        <v>160</v>
      </c>
      <c r="M16" s="16" t="s">
        <v>25</v>
      </c>
      <c r="R16" s="1">
        <f>IF(vend11[[#This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8977</v>
      </c>
      <c r="L17" s="9" t="s">
        <v>160</v>
      </c>
      <c r="M17" s="16" t="s">
        <v>25</v>
      </c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>
        <v>8961</v>
      </c>
      <c r="L18" s="9" t="s">
        <v>160</v>
      </c>
      <c r="M18" s="16" t="s">
        <v>25</v>
      </c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8952</v>
      </c>
      <c r="L19" s="9" t="s">
        <v>158</v>
      </c>
      <c r="M19" s="16" t="s">
        <v>25</v>
      </c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8951</v>
      </c>
      <c r="L20" s="9" t="s">
        <v>158</v>
      </c>
      <c r="M20" s="16" t="s">
        <v>25</v>
      </c>
      <c r="R20" s="1">
        <f>IF(vend11[[#This Row],[Nº Venda]]&gt;1,1,0)</f>
        <v>0</v>
      </c>
    </row>
    <row r="21" spans="2:18" ht="15.75" x14ac:dyDescent="0.25">
      <c r="B21" s="28" t="s">
        <v>26</v>
      </c>
      <c r="C21" s="32">
        <f>C5</f>
        <v>800</v>
      </c>
      <c r="D21" s="2"/>
      <c r="E21" s="18"/>
      <c r="F21" s="25"/>
      <c r="G21" s="26"/>
      <c r="H21" s="8"/>
      <c r="I21" s="8"/>
      <c r="J21" s="2"/>
      <c r="K21" s="25">
        <v>8927</v>
      </c>
      <c r="L21" s="9" t="s">
        <v>131</v>
      </c>
      <c r="M21" s="16" t="s">
        <v>25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8976</v>
      </c>
      <c r="L22" s="9" t="s">
        <v>160</v>
      </c>
      <c r="M22" s="16" t="s">
        <v>25</v>
      </c>
    </row>
    <row r="23" spans="2:18" ht="15" x14ac:dyDescent="0.25">
      <c r="B23" s="2"/>
      <c r="C23" s="2"/>
      <c r="D23" s="2"/>
      <c r="E23" s="33"/>
      <c r="H23" s="7"/>
      <c r="J23" s="2"/>
      <c r="K23" s="25">
        <v>8924</v>
      </c>
      <c r="L23" s="9" t="s">
        <v>158</v>
      </c>
      <c r="M23" s="16" t="s">
        <v>25</v>
      </c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>
        <v>8923</v>
      </c>
      <c r="L24" s="9" t="s">
        <v>158</v>
      </c>
      <c r="M24" s="16" t="s">
        <v>25</v>
      </c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>
        <v>8946</v>
      </c>
      <c r="L25" s="9" t="s">
        <v>160</v>
      </c>
      <c r="M25" s="16" t="s">
        <v>25</v>
      </c>
    </row>
    <row r="26" spans="2:18" ht="15.75" x14ac:dyDescent="0.25">
      <c r="B26" s="2"/>
      <c r="C26" s="2"/>
      <c r="D26" s="2"/>
      <c r="E26" s="18">
        <v>8927</v>
      </c>
      <c r="F26" s="25" t="s">
        <v>217</v>
      </c>
      <c r="G26" s="46" t="s">
        <v>8</v>
      </c>
      <c r="H26" s="8">
        <v>0</v>
      </c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8976</v>
      </c>
      <c r="F27" s="25" t="s">
        <v>218</v>
      </c>
      <c r="G27" s="26" t="s">
        <v>8</v>
      </c>
      <c r="H27" s="8">
        <v>0</v>
      </c>
      <c r="I27" s="8">
        <v>180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8924</v>
      </c>
      <c r="F28" s="25" t="s">
        <v>219</v>
      </c>
      <c r="G28" s="26" t="s">
        <v>8</v>
      </c>
      <c r="H28" s="8">
        <v>0</v>
      </c>
      <c r="I28" s="8">
        <v>160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8923</v>
      </c>
      <c r="F29" s="25" t="s">
        <v>219</v>
      </c>
      <c r="G29" s="26" t="s">
        <v>8</v>
      </c>
      <c r="H29" s="8">
        <v>0</v>
      </c>
      <c r="I29" s="8">
        <v>330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8918</v>
      </c>
      <c r="F30" s="39" t="s">
        <v>220</v>
      </c>
      <c r="G30" s="26" t="s">
        <v>6</v>
      </c>
      <c r="H30" s="8">
        <v>0</v>
      </c>
      <c r="I30" s="8">
        <v>150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8919</v>
      </c>
      <c r="F31" s="36" t="s">
        <v>220</v>
      </c>
      <c r="G31" s="37" t="s">
        <v>6</v>
      </c>
      <c r="H31" s="17">
        <v>0</v>
      </c>
      <c r="I31" s="17">
        <v>150</v>
      </c>
      <c r="J31" s="2"/>
      <c r="K31" s="25"/>
      <c r="L31" s="9"/>
      <c r="M31" s="16"/>
    </row>
    <row r="32" spans="2:18" ht="15.75" x14ac:dyDescent="0.25">
      <c r="B32" s="2"/>
      <c r="C32" s="2"/>
      <c r="E32" s="104">
        <v>8946</v>
      </c>
      <c r="F32" s="105" t="s">
        <v>223</v>
      </c>
      <c r="G32" s="95" t="s">
        <v>6</v>
      </c>
      <c r="H32" s="97">
        <v>0</v>
      </c>
      <c r="I32" s="97">
        <v>450</v>
      </c>
    </row>
    <row r="33" spans="5:18" ht="15.75" x14ac:dyDescent="0.25">
      <c r="E33" s="99"/>
      <c r="F33" s="81"/>
      <c r="G33" s="82"/>
      <c r="H33" s="83"/>
      <c r="I33" s="83"/>
      <c r="K33" s="112" t="s">
        <v>11</v>
      </c>
      <c r="L33" s="113"/>
      <c r="M33" s="114"/>
    </row>
    <row r="34" spans="5:18" ht="15.75" x14ac:dyDescent="0.25">
      <c r="E34" s="99"/>
      <c r="F34" s="81"/>
      <c r="G34" s="82"/>
      <c r="H34" s="83"/>
      <c r="I34" s="83"/>
      <c r="K34" s="14" t="s">
        <v>22</v>
      </c>
      <c r="L34" s="6" t="s">
        <v>31</v>
      </c>
      <c r="M34" s="15" t="s">
        <v>32</v>
      </c>
    </row>
    <row r="35" spans="5:18" ht="15" x14ac:dyDescent="0.25">
      <c r="E35" s="111" t="s">
        <v>28</v>
      </c>
      <c r="F35" s="111"/>
      <c r="G35" s="111"/>
      <c r="H35" s="111"/>
      <c r="I35" s="111"/>
      <c r="K35" s="25"/>
      <c r="L35" s="41"/>
      <c r="M35" s="16"/>
    </row>
    <row r="36" spans="5:18" ht="15" x14ac:dyDescent="0.25">
      <c r="E36" s="10" t="s">
        <v>22</v>
      </c>
      <c r="F36" s="10" t="s">
        <v>14</v>
      </c>
      <c r="G36" s="11" t="s">
        <v>15</v>
      </c>
      <c r="H36" s="12" t="s">
        <v>29</v>
      </c>
      <c r="I36" s="13" t="s">
        <v>30</v>
      </c>
      <c r="K36" s="25"/>
      <c r="L36" s="41"/>
      <c r="M36" s="16"/>
    </row>
    <row r="37" spans="5:18" ht="15.75" x14ac:dyDescent="0.25">
      <c r="E37" s="18">
        <v>8729</v>
      </c>
      <c r="F37" s="25" t="s">
        <v>221</v>
      </c>
      <c r="G37" s="26" t="s">
        <v>6</v>
      </c>
      <c r="H37" s="8">
        <v>49.98</v>
      </c>
      <c r="I37" s="8" t="s">
        <v>35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25"/>
      <c r="G40" s="26"/>
      <c r="H40" s="8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18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36"/>
      <c r="G42" s="37"/>
      <c r="H42" s="17"/>
      <c r="I42" s="8"/>
    </row>
    <row r="43" spans="5:18" ht="15.75" x14ac:dyDescent="0.25">
      <c r="E43" s="43"/>
      <c r="F43" s="39"/>
      <c r="G43" s="26"/>
      <c r="H43" s="8"/>
      <c r="I43" s="8"/>
    </row>
  </sheetData>
  <mergeCells count="9">
    <mergeCell ref="E24:I24"/>
    <mergeCell ref="E35:I35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I37:I43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G37:G43 G26:G34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V41"/>
  <sheetViews>
    <sheetView showGridLines="0" topLeftCell="A24" zoomScale="80" zoomScaleNormal="80" workbookViewId="0">
      <selection activeCell="L22" sqref="L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'11'!B1+1</f>
        <v>45394</v>
      </c>
    </row>
    <row r="2" spans="2:22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22" ht="15" x14ac:dyDescent="0.25">
      <c r="B5" s="23" t="s">
        <v>1</v>
      </c>
      <c r="C5" s="24">
        <f>SUMIF(I6:I31,"&gt;0",H6:H31)</f>
        <v>5720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" x14ac:dyDescent="0.25">
      <c r="B6" s="23" t="s">
        <v>2</v>
      </c>
      <c r="C6" s="24">
        <f>SUM(I6:I41)</f>
        <v>3120</v>
      </c>
      <c r="D6" s="2"/>
      <c r="E6" s="100">
        <v>9020</v>
      </c>
      <c r="F6" s="52" t="s">
        <v>224</v>
      </c>
      <c r="G6" s="52" t="s">
        <v>6</v>
      </c>
      <c r="H6" s="53">
        <v>380</v>
      </c>
      <c r="I6" s="53">
        <v>380</v>
      </c>
      <c r="J6" s="2"/>
      <c r="K6" s="25"/>
      <c r="L6" s="9"/>
      <c r="M6" s="16"/>
      <c r="R6" s="1">
        <f>IF(vend12[[#This Row],[Nº Venda]]&gt;1,1,0)</f>
        <v>1</v>
      </c>
    </row>
    <row r="7" spans="2:22" ht="15" x14ac:dyDescent="0.25">
      <c r="B7" s="23" t="s">
        <v>3</v>
      </c>
      <c r="C7" s="24">
        <f>SUM(M6:M11)</f>
        <v>0</v>
      </c>
      <c r="D7" s="2"/>
      <c r="E7" s="57">
        <v>9021</v>
      </c>
      <c r="F7" s="54" t="s">
        <v>225</v>
      </c>
      <c r="G7" s="54" t="s">
        <v>6</v>
      </c>
      <c r="H7" s="55">
        <v>2880</v>
      </c>
      <c r="I7" s="55">
        <v>300</v>
      </c>
      <c r="J7" s="2"/>
      <c r="K7" s="25"/>
      <c r="L7" s="9"/>
      <c r="M7" s="16"/>
      <c r="R7" s="1">
        <f>IF(vend12[[#This Row],[Nº Venda]]&gt;1,1,0)</f>
        <v>1</v>
      </c>
    </row>
    <row r="8" spans="2:22" ht="15.75" x14ac:dyDescent="0.25">
      <c r="B8" s="28" t="s">
        <v>20</v>
      </c>
      <c r="C8" s="29">
        <f>SUM(C6:C7)</f>
        <v>3120</v>
      </c>
      <c r="D8" s="2"/>
      <c r="E8" s="57">
        <v>9022</v>
      </c>
      <c r="F8" s="54" t="s">
        <v>225</v>
      </c>
      <c r="G8" s="54" t="s">
        <v>6</v>
      </c>
      <c r="H8" s="55">
        <v>499</v>
      </c>
      <c r="I8" s="55">
        <v>100</v>
      </c>
      <c r="J8" s="2"/>
      <c r="K8" s="25"/>
      <c r="L8" s="9"/>
      <c r="M8" s="16"/>
      <c r="R8" s="1">
        <f>IF(vend12[[#This Row],[Nº Venda]]&gt;1,1,0)</f>
        <v>1</v>
      </c>
    </row>
    <row r="9" spans="2:22" ht="15.75" x14ac:dyDescent="0.25">
      <c r="B9" s="2"/>
      <c r="C9" s="2"/>
      <c r="D9" s="2"/>
      <c r="E9" s="18">
        <v>9023</v>
      </c>
      <c r="F9" s="25" t="s">
        <v>225</v>
      </c>
      <c r="G9" s="26" t="s">
        <v>6</v>
      </c>
      <c r="H9" s="8">
        <v>121</v>
      </c>
      <c r="I9" s="8">
        <v>20</v>
      </c>
      <c r="J9" s="2"/>
      <c r="K9" s="25"/>
      <c r="L9" s="9"/>
      <c r="M9" s="16"/>
      <c r="R9" s="1">
        <f>IF(vend12[[#This Row],[Nº Venda]]&gt;1,1,0)</f>
        <v>1</v>
      </c>
    </row>
    <row r="10" spans="2:22" ht="15.75" x14ac:dyDescent="0.25">
      <c r="B10" s="110" t="s">
        <v>5</v>
      </c>
      <c r="C10" s="110"/>
      <c r="D10" s="2"/>
      <c r="E10" s="18">
        <v>9024</v>
      </c>
      <c r="F10" s="25" t="s">
        <v>226</v>
      </c>
      <c r="G10" s="26" t="s">
        <v>50</v>
      </c>
      <c r="H10" s="8"/>
      <c r="I10" s="8"/>
      <c r="J10" s="2"/>
      <c r="K10" s="25"/>
      <c r="L10" s="9"/>
      <c r="M10" s="16"/>
      <c r="R10" s="1">
        <f>IF(vend12[[#This Row],[Nº Venda]]&gt;1,1,0)</f>
        <v>1</v>
      </c>
      <c r="V10" s="1" t="s">
        <v>234</v>
      </c>
    </row>
    <row r="11" spans="2:22" ht="15.75" x14ac:dyDescent="0.25">
      <c r="B11" s="30" t="s">
        <v>6</v>
      </c>
      <c r="C11" s="31">
        <f>(SUMIF($G$2:$G$31,B11,$I$2:$I$31))+(SUMIF($G$35:$G$41,B11,$H$35:$H$41))</f>
        <v>1120</v>
      </c>
      <c r="D11" s="2"/>
      <c r="E11" s="18">
        <v>9025</v>
      </c>
      <c r="F11" s="25" t="s">
        <v>227</v>
      </c>
      <c r="G11" s="26" t="s">
        <v>8</v>
      </c>
      <c r="H11" s="8">
        <v>690</v>
      </c>
      <c r="I11" s="8">
        <v>690</v>
      </c>
      <c r="J11" s="2"/>
      <c r="K11" s="27"/>
      <c r="L11" s="9"/>
      <c r="M11" s="16"/>
      <c r="O11" s="1">
        <f>IF(C15=0,0,1)</f>
        <v>1</v>
      </c>
      <c r="R11" s="1">
        <f>IF(vend12[[#This Row],[Nº Venda]]&gt;1,1,0)</f>
        <v>1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320</v>
      </c>
      <c r="D12" s="2"/>
      <c r="E12" s="18">
        <v>9026</v>
      </c>
      <c r="F12" s="25" t="s">
        <v>228</v>
      </c>
      <c r="G12" s="26" t="s">
        <v>9</v>
      </c>
      <c r="H12" s="8">
        <v>490</v>
      </c>
      <c r="I12" s="8">
        <v>50</v>
      </c>
      <c r="J12" s="2"/>
      <c r="R12" s="1">
        <f>IF(vend12[[#This Row],[Nº Venda]]&gt;1,1,0)</f>
        <v>1</v>
      </c>
    </row>
    <row r="13" spans="2:22" ht="15.75" x14ac:dyDescent="0.25">
      <c r="B13" s="30" t="s">
        <v>8</v>
      </c>
      <c r="C13" s="31">
        <f t="shared" si="0"/>
        <v>970</v>
      </c>
      <c r="D13" s="2"/>
      <c r="E13" s="18">
        <v>9027</v>
      </c>
      <c r="F13" s="25" t="s">
        <v>229</v>
      </c>
      <c r="G13" s="26" t="s">
        <v>9</v>
      </c>
      <c r="H13" s="8">
        <v>660</v>
      </c>
      <c r="I13" s="8">
        <v>660</v>
      </c>
      <c r="J13" s="2"/>
      <c r="K13" s="112" t="s">
        <v>21</v>
      </c>
      <c r="L13" s="113"/>
      <c r="M13" s="114"/>
      <c r="R13" s="1">
        <f>IF(vend12[[#This Row],[Nº Venda]]&gt;1,1,0)</f>
        <v>1</v>
      </c>
    </row>
    <row r="14" spans="2:22" ht="15.75" x14ac:dyDescent="0.25">
      <c r="B14" s="30" t="s">
        <v>9</v>
      </c>
      <c r="C14" s="31">
        <f t="shared" si="0"/>
        <v>710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22" ht="15.75" x14ac:dyDescent="0.25">
      <c r="B15" s="28" t="s">
        <v>10</v>
      </c>
      <c r="C15" s="32">
        <f>SUM(C11:C14)</f>
        <v>3120</v>
      </c>
      <c r="D15" s="2"/>
      <c r="E15" s="18"/>
      <c r="F15" s="25"/>
      <c r="G15" s="26"/>
      <c r="H15" s="8"/>
      <c r="I15" s="8"/>
      <c r="J15" s="2"/>
      <c r="K15" s="25">
        <v>8907</v>
      </c>
      <c r="L15" s="9" t="s">
        <v>160</v>
      </c>
      <c r="M15" s="16" t="s">
        <v>170</v>
      </c>
      <c r="R15" s="1">
        <f>IF(vend12[[#This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8960</v>
      </c>
      <c r="L16" s="9" t="s">
        <v>160</v>
      </c>
      <c r="M16" s="16" t="s">
        <v>25</v>
      </c>
      <c r="R16" s="1">
        <f>IF(vend12[[#This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8984</v>
      </c>
      <c r="L17" s="9" t="s">
        <v>158</v>
      </c>
      <c r="M17" s="16" t="s">
        <v>25</v>
      </c>
      <c r="R17" s="1">
        <f>IF(vend12[[#This Row],[Nº Venda]]&gt;1,1,0)</f>
        <v>0</v>
      </c>
    </row>
    <row r="18" spans="2:18" ht="15.75" x14ac:dyDescent="0.25">
      <c r="B18" s="30">
        <f>COUNT(entr_carn12[OS])</f>
        <v>2</v>
      </c>
      <c r="C18" s="31">
        <f>SUM(entr_carn12[Valor Total])</f>
        <v>150</v>
      </c>
      <c r="D18" s="2"/>
      <c r="E18" s="18"/>
      <c r="F18" s="25"/>
      <c r="G18" s="26"/>
      <c r="H18" s="8"/>
      <c r="I18" s="8"/>
      <c r="J18" s="2"/>
      <c r="K18" s="25">
        <v>8985</v>
      </c>
      <c r="L18" s="9" t="s">
        <v>158</v>
      </c>
      <c r="M18" s="16" t="s">
        <v>170</v>
      </c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150</v>
      </c>
      <c r="D19" s="2"/>
      <c r="E19" s="18"/>
      <c r="F19" s="25"/>
      <c r="G19" s="26"/>
      <c r="H19" s="8"/>
      <c r="I19" s="8"/>
      <c r="J19" s="2"/>
      <c r="K19" s="25">
        <v>8744</v>
      </c>
      <c r="L19" s="9" t="s">
        <v>131</v>
      </c>
      <c r="M19" s="16" t="s">
        <v>25</v>
      </c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8972</v>
      </c>
      <c r="L20" s="9" t="s">
        <v>158</v>
      </c>
      <c r="M20" s="16" t="s">
        <v>25</v>
      </c>
      <c r="R20" s="1">
        <f>IF(vend12[[#This Row],[Nº Venda]]&gt;1,1,0)</f>
        <v>0</v>
      </c>
    </row>
    <row r="21" spans="2:18" ht="15.75" x14ac:dyDescent="0.25">
      <c r="B21" s="28" t="s">
        <v>26</v>
      </c>
      <c r="C21" s="32">
        <f>C5</f>
        <v>5720</v>
      </c>
      <c r="D21" s="2"/>
      <c r="E21" s="18"/>
      <c r="F21" s="25"/>
      <c r="G21" s="26"/>
      <c r="H21" s="8"/>
      <c r="I21" s="8"/>
      <c r="J21" s="2"/>
      <c r="K21" s="25">
        <v>8973</v>
      </c>
      <c r="L21" s="9" t="s">
        <v>158</v>
      </c>
      <c r="M21" s="16" t="s">
        <v>25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8947</v>
      </c>
      <c r="F26" s="56" t="s">
        <v>230</v>
      </c>
      <c r="G26" s="46" t="s">
        <v>6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8907</v>
      </c>
      <c r="F27" s="25" t="s">
        <v>231</v>
      </c>
      <c r="G27" s="26" t="s">
        <v>6</v>
      </c>
      <c r="H27" s="8">
        <v>0</v>
      </c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8984</v>
      </c>
      <c r="F28" s="25" t="s">
        <v>232</v>
      </c>
      <c r="G28" s="26" t="s">
        <v>6</v>
      </c>
      <c r="H28" s="8">
        <v>0</v>
      </c>
      <c r="I28" s="8">
        <v>20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8984</v>
      </c>
      <c r="F29" s="25" t="s">
        <v>232</v>
      </c>
      <c r="G29" s="26" t="s">
        <v>8</v>
      </c>
      <c r="H29" s="8">
        <v>0</v>
      </c>
      <c r="I29" s="8">
        <v>280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8985</v>
      </c>
      <c r="F30" s="39" t="s">
        <v>145</v>
      </c>
      <c r="G30" s="26" t="s">
        <v>7</v>
      </c>
      <c r="H30" s="8">
        <v>0</v>
      </c>
      <c r="I30" s="8">
        <v>100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8854</v>
      </c>
      <c r="F31" s="36" t="s">
        <v>233</v>
      </c>
      <c r="G31" s="37" t="s">
        <v>7</v>
      </c>
      <c r="H31" s="17">
        <v>0</v>
      </c>
      <c r="I31" s="17">
        <v>220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>
        <v>8907</v>
      </c>
      <c r="L35" s="41">
        <v>4</v>
      </c>
      <c r="M35" s="16">
        <v>50</v>
      </c>
    </row>
    <row r="36" spans="5:18" ht="15.75" x14ac:dyDescent="0.25">
      <c r="E36" s="18"/>
      <c r="F36" s="25"/>
      <c r="G36" s="26"/>
      <c r="H36" s="8"/>
      <c r="I36" s="8"/>
      <c r="K36" s="25">
        <v>8985</v>
      </c>
      <c r="L36" s="41">
        <v>4</v>
      </c>
      <c r="M36" s="16">
        <v>100</v>
      </c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abSelected="1" topLeftCell="A18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45395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1620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1520</v>
      </c>
      <c r="D6" s="2"/>
      <c r="E6" s="18">
        <v>9028</v>
      </c>
      <c r="F6" s="25" t="s">
        <v>235</v>
      </c>
      <c r="G6" s="26" t="s">
        <v>6</v>
      </c>
      <c r="H6" s="8">
        <v>700</v>
      </c>
      <c r="I6" s="8">
        <v>200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9029</v>
      </c>
      <c r="F7" s="25" t="s">
        <v>236</v>
      </c>
      <c r="G7" s="26" t="s">
        <v>40</v>
      </c>
      <c r="H7" s="8"/>
      <c r="I7" s="8"/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20</v>
      </c>
      <c r="C8" s="29">
        <f>SUM(C6:C7)</f>
        <v>1520</v>
      </c>
      <c r="D8" s="2"/>
      <c r="E8" s="18">
        <v>9030</v>
      </c>
      <c r="F8" s="25" t="s">
        <v>237</v>
      </c>
      <c r="G8" s="26" t="s">
        <v>40</v>
      </c>
      <c r="H8" s="8"/>
      <c r="I8" s="8"/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9031</v>
      </c>
      <c r="F9" s="25" t="s">
        <v>239</v>
      </c>
      <c r="G9" s="26" t="s">
        <v>9</v>
      </c>
      <c r="H9" s="8">
        <v>870</v>
      </c>
      <c r="I9" s="8">
        <v>870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9032</v>
      </c>
      <c r="F10" s="25" t="s">
        <v>239</v>
      </c>
      <c r="G10" s="26" t="s">
        <v>9</v>
      </c>
      <c r="H10" s="8">
        <v>50</v>
      </c>
      <c r="I10" s="8">
        <v>50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125.72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920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1645.72</v>
      </c>
      <c r="D15" s="2"/>
      <c r="E15" s="18"/>
      <c r="F15" s="25"/>
      <c r="G15" s="26"/>
      <c r="H15" s="8"/>
      <c r="I15" s="8"/>
      <c r="J15" s="2"/>
      <c r="K15" s="25">
        <v>8971</v>
      </c>
      <c r="L15" s="9" t="s">
        <v>131</v>
      </c>
      <c r="M15" s="16" t="s">
        <v>25</v>
      </c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8988</v>
      </c>
      <c r="L16" s="9" t="s">
        <v>160</v>
      </c>
      <c r="M16" s="16" t="s">
        <v>25</v>
      </c>
      <c r="R16" s="1">
        <f>IF(vend13[[#This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9008</v>
      </c>
      <c r="L17" s="9" t="s">
        <v>160</v>
      </c>
      <c r="M17" s="16" t="s">
        <v>25</v>
      </c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>
        <v>8743</v>
      </c>
      <c r="L18" s="9" t="s">
        <v>131</v>
      </c>
      <c r="M18" s="16" t="s">
        <v>25</v>
      </c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26</v>
      </c>
      <c r="C21" s="32">
        <f>C5</f>
        <v>1620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8743</v>
      </c>
      <c r="F26" s="25" t="s">
        <v>238</v>
      </c>
      <c r="G26" s="26" t="s">
        <v>8</v>
      </c>
      <c r="H26" s="8">
        <v>0</v>
      </c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8472</v>
      </c>
      <c r="F35" s="25" t="s">
        <v>237</v>
      </c>
      <c r="G35" s="26" t="s">
        <v>7</v>
      </c>
      <c r="H35" s="8">
        <v>125.72</v>
      </c>
      <c r="I35" s="8" t="s">
        <v>49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1" zoomScale="80" zoomScaleNormal="80" workbookViewId="0">
      <selection activeCell="W24" sqref="W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45396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4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'14'!B1+1</f>
        <v>45397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1950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1250</v>
      </c>
      <c r="D6" s="2"/>
      <c r="E6" s="18">
        <v>9033</v>
      </c>
      <c r="F6" s="25" t="s">
        <v>240</v>
      </c>
      <c r="G6" s="46" t="s">
        <v>9</v>
      </c>
      <c r="H6" s="8">
        <v>1000</v>
      </c>
      <c r="I6" s="8">
        <v>300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9034</v>
      </c>
      <c r="F7" s="25" t="s">
        <v>241</v>
      </c>
      <c r="G7" s="46" t="s">
        <v>7</v>
      </c>
      <c r="H7" s="8">
        <v>800</v>
      </c>
      <c r="I7" s="8">
        <v>300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20</v>
      </c>
      <c r="C8" s="29">
        <f>SUM(C6:C7)</f>
        <v>1250</v>
      </c>
      <c r="D8" s="2"/>
      <c r="E8" s="18">
        <v>9034</v>
      </c>
      <c r="F8" s="25" t="s">
        <v>241</v>
      </c>
      <c r="G8" s="26" t="s">
        <v>8</v>
      </c>
      <c r="H8" s="8"/>
      <c r="I8" s="8">
        <v>500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9035</v>
      </c>
      <c r="F9" s="25" t="s">
        <v>242</v>
      </c>
      <c r="G9" s="26" t="s">
        <v>6</v>
      </c>
      <c r="H9" s="8">
        <v>100</v>
      </c>
      <c r="I9" s="8">
        <v>100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9036</v>
      </c>
      <c r="F10" s="25" t="s">
        <v>242</v>
      </c>
      <c r="G10" s="26" t="s">
        <v>40</v>
      </c>
      <c r="H10" s="8"/>
      <c r="I10" s="8"/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501</v>
      </c>
      <c r="D11" s="2"/>
      <c r="E11" s="18">
        <v>9037</v>
      </c>
      <c r="F11" s="25" t="s">
        <v>243</v>
      </c>
      <c r="G11" s="26" t="s">
        <v>6</v>
      </c>
      <c r="H11" s="8">
        <v>50</v>
      </c>
      <c r="I11" s="8">
        <v>50</v>
      </c>
      <c r="J11" s="2"/>
      <c r="K11" s="27"/>
      <c r="L11" s="9"/>
      <c r="M11" s="16"/>
      <c r="O11" s="1">
        <f>IF(C15=0,0,1)</f>
        <v>1</v>
      </c>
      <c r="R11" s="1">
        <f>IF(vend15[[#This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500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1601</v>
      </c>
      <c r="D15" s="2"/>
      <c r="E15" s="18"/>
      <c r="F15" s="25"/>
      <c r="G15" s="26"/>
      <c r="H15" s="8"/>
      <c r="I15" s="8"/>
      <c r="J15" s="2"/>
      <c r="K15" s="25">
        <v>8934</v>
      </c>
      <c r="L15" s="9" t="s">
        <v>158</v>
      </c>
      <c r="M15" s="16" t="s">
        <v>25</v>
      </c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8933</v>
      </c>
      <c r="L16" s="9" t="s">
        <v>158</v>
      </c>
      <c r="M16" s="16" t="s">
        <v>25</v>
      </c>
      <c r="R16" s="1">
        <f>IF(vend15[[#This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8917</v>
      </c>
      <c r="L17" s="9" t="s">
        <v>131</v>
      </c>
      <c r="M17" s="16" t="s">
        <v>25</v>
      </c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18"/>
      <c r="F18" s="25"/>
      <c r="G18" s="26"/>
      <c r="H18" s="8"/>
      <c r="I18" s="8"/>
      <c r="J18" s="2"/>
      <c r="K18" s="25">
        <v>8902</v>
      </c>
      <c r="L18" s="9" t="s">
        <v>160</v>
      </c>
      <c r="M18" s="16" t="s">
        <v>25</v>
      </c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8953</v>
      </c>
      <c r="L19" s="9" t="s">
        <v>160</v>
      </c>
      <c r="M19" s="16" t="s">
        <v>25</v>
      </c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8" t="s">
        <v>26</v>
      </c>
      <c r="C21" s="32">
        <f>C5</f>
        <v>1950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8266</v>
      </c>
      <c r="F35" s="25" t="s">
        <v>244</v>
      </c>
      <c r="G35" s="26" t="s">
        <v>6</v>
      </c>
      <c r="H35" s="8">
        <v>110</v>
      </c>
      <c r="I35" s="8" t="s">
        <v>45</v>
      </c>
      <c r="K35" s="25"/>
      <c r="L35" s="41"/>
      <c r="M35" s="16"/>
    </row>
    <row r="36" spans="5:18" ht="15.75" x14ac:dyDescent="0.25">
      <c r="E36" s="18">
        <v>8266</v>
      </c>
      <c r="F36" s="25" t="s">
        <v>244</v>
      </c>
      <c r="G36" s="26" t="s">
        <v>6</v>
      </c>
      <c r="H36" s="8">
        <v>110</v>
      </c>
      <c r="I36" s="8" t="s">
        <v>79</v>
      </c>
      <c r="K36" s="25"/>
      <c r="L36" s="41"/>
      <c r="M36" s="16"/>
    </row>
    <row r="37" spans="5:18" ht="15.75" x14ac:dyDescent="0.25">
      <c r="E37" s="18">
        <v>8034</v>
      </c>
      <c r="F37" s="25" t="s">
        <v>245</v>
      </c>
      <c r="G37" s="26" t="s">
        <v>6</v>
      </c>
      <c r="H37" s="8">
        <v>131</v>
      </c>
      <c r="I37" s="8" t="s">
        <v>43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6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'15'!B1+1</f>
        <v>45398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1398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774</v>
      </c>
      <c r="D6" s="2"/>
      <c r="E6" s="18">
        <v>9038</v>
      </c>
      <c r="F6" s="25" t="s">
        <v>246</v>
      </c>
      <c r="G6" s="46" t="s">
        <v>8</v>
      </c>
      <c r="H6" s="8">
        <v>599</v>
      </c>
      <c r="I6" s="8">
        <v>599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9039</v>
      </c>
      <c r="F7" s="25" t="s">
        <v>247</v>
      </c>
      <c r="G7" s="46" t="s">
        <v>6</v>
      </c>
      <c r="H7" s="8">
        <v>599</v>
      </c>
      <c r="I7" s="8">
        <v>150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20</v>
      </c>
      <c r="C8" s="29">
        <f>SUM(C6:C7)</f>
        <v>774</v>
      </c>
      <c r="D8" s="2"/>
      <c r="E8" s="18">
        <v>9040</v>
      </c>
      <c r="F8" s="25" t="s">
        <v>248</v>
      </c>
      <c r="G8" s="26" t="s">
        <v>40</v>
      </c>
      <c r="H8" s="8"/>
      <c r="I8" s="8"/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>
        <v>9041</v>
      </c>
      <c r="F9" s="25" t="s">
        <v>250</v>
      </c>
      <c r="G9" s="26" t="s">
        <v>7</v>
      </c>
      <c r="H9" s="8">
        <v>200</v>
      </c>
      <c r="I9" s="8">
        <v>25</v>
      </c>
      <c r="J9" s="2"/>
      <c r="K9" s="25"/>
      <c r="L9" s="9"/>
      <c r="M9" s="16"/>
      <c r="R9" s="1">
        <f>IF(vend16[[#This Row],[Nº Venda]]&gt;1,1,0)</f>
        <v>1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104.98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599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853.98</v>
      </c>
      <c r="D15" s="2"/>
      <c r="E15" s="18"/>
      <c r="F15" s="25"/>
      <c r="G15" s="26"/>
      <c r="H15" s="8"/>
      <c r="I15" s="8"/>
      <c r="J15" s="2"/>
      <c r="K15" s="64">
        <v>8990</v>
      </c>
      <c r="L15" s="9" t="s">
        <v>158</v>
      </c>
      <c r="M15" s="72" t="s">
        <v>25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8827</v>
      </c>
      <c r="L16" s="9" t="s">
        <v>131</v>
      </c>
      <c r="M16" s="16" t="s">
        <v>25</v>
      </c>
      <c r="R16" s="1">
        <f>IF(vend16[[#This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8829</v>
      </c>
      <c r="L17" s="9" t="s">
        <v>131</v>
      </c>
      <c r="M17" s="16" t="s">
        <v>25</v>
      </c>
      <c r="R17" s="1">
        <f>IF(vend16[[#This Row],[Nº Venda]]&gt;1,1,0)</f>
        <v>0</v>
      </c>
    </row>
    <row r="18" spans="2:18" ht="15.75" x14ac:dyDescent="0.25">
      <c r="B18" s="30">
        <f>COUNT(entr_carn16[OS])</f>
        <v>0</v>
      </c>
      <c r="C18" s="31">
        <f>SUM(entr_carn16[Valor Total])</f>
        <v>0</v>
      </c>
      <c r="D18" s="2"/>
      <c r="E18" s="18"/>
      <c r="F18" s="25"/>
      <c r="G18" s="26"/>
      <c r="H18" s="8"/>
      <c r="I18" s="8"/>
      <c r="J18" s="2"/>
      <c r="K18" s="25">
        <v>8969</v>
      </c>
      <c r="L18" s="9" t="s">
        <v>131</v>
      </c>
      <c r="M18" s="16" t="s">
        <v>25</v>
      </c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64">
        <v>8909</v>
      </c>
      <c r="L19" s="9" t="s">
        <v>131</v>
      </c>
      <c r="M19" s="72" t="s">
        <v>25</v>
      </c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9032</v>
      </c>
      <c r="L20" s="9" t="s">
        <v>160</v>
      </c>
      <c r="M20" s="16" t="s">
        <v>25</v>
      </c>
      <c r="R20" s="1">
        <f>IF(vend16[[#This Row],[Nº Venda]]&gt;1,1,0)</f>
        <v>0</v>
      </c>
    </row>
    <row r="21" spans="2:18" ht="15.75" x14ac:dyDescent="0.25">
      <c r="B21" s="28" t="s">
        <v>26</v>
      </c>
      <c r="C21" s="32">
        <f>C5</f>
        <v>1398</v>
      </c>
      <c r="D21" s="2"/>
      <c r="E21" s="18"/>
      <c r="F21" s="25"/>
      <c r="G21" s="26"/>
      <c r="H21" s="8"/>
      <c r="I21" s="8"/>
      <c r="J21" s="2"/>
      <c r="K21" s="25">
        <v>8918</v>
      </c>
      <c r="L21" s="9" t="s">
        <v>131</v>
      </c>
      <c r="M21" s="16" t="s">
        <v>25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9000</v>
      </c>
      <c r="L22" s="9" t="s">
        <v>160</v>
      </c>
      <c r="M22" s="16" t="s">
        <v>25</v>
      </c>
    </row>
    <row r="23" spans="2:18" ht="15" x14ac:dyDescent="0.25">
      <c r="B23" s="2"/>
      <c r="C23" s="2"/>
      <c r="D23" s="2"/>
      <c r="E23" s="33"/>
      <c r="H23" s="7"/>
      <c r="J23" s="2"/>
      <c r="K23" s="25">
        <v>8859</v>
      </c>
      <c r="L23" s="9" t="s">
        <v>160</v>
      </c>
      <c r="M23" s="16" t="s">
        <v>25</v>
      </c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3042</v>
      </c>
      <c r="F35" s="25" t="s">
        <v>249</v>
      </c>
      <c r="G35" s="26" t="s">
        <v>7</v>
      </c>
      <c r="H35" s="8">
        <v>26.66</v>
      </c>
      <c r="I35" s="8" t="s">
        <v>39</v>
      </c>
      <c r="K35" s="25"/>
      <c r="L35" s="41"/>
      <c r="M35" s="16"/>
    </row>
    <row r="36" spans="5:18" ht="15.75" x14ac:dyDescent="0.25">
      <c r="E36" s="18">
        <v>3042</v>
      </c>
      <c r="F36" s="25" t="s">
        <v>249</v>
      </c>
      <c r="G36" s="26" t="s">
        <v>7</v>
      </c>
      <c r="H36" s="8">
        <v>26.66</v>
      </c>
      <c r="I36" s="8" t="s">
        <v>53</v>
      </c>
      <c r="K36" s="25"/>
      <c r="L36" s="41"/>
      <c r="M36" s="16"/>
    </row>
    <row r="37" spans="5:18" ht="15.75" x14ac:dyDescent="0.25">
      <c r="E37" s="18">
        <v>3042</v>
      </c>
      <c r="F37" s="25" t="s">
        <v>249</v>
      </c>
      <c r="G37" s="26" t="s">
        <v>7</v>
      </c>
      <c r="H37" s="8">
        <v>26.66</v>
      </c>
      <c r="I37" s="8" t="s">
        <v>47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45399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3068.5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1968.5</v>
      </c>
      <c r="D6" s="2"/>
      <c r="E6" s="18">
        <v>9042</v>
      </c>
      <c r="F6" s="25" t="s">
        <v>251</v>
      </c>
      <c r="G6" s="26" t="s">
        <v>8</v>
      </c>
      <c r="H6" s="8">
        <v>148.5</v>
      </c>
      <c r="I6" s="8">
        <v>148.5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9043</v>
      </c>
      <c r="F7" s="25" t="s">
        <v>252</v>
      </c>
      <c r="G7" s="26" t="s">
        <v>6</v>
      </c>
      <c r="H7" s="8">
        <v>20</v>
      </c>
      <c r="I7" s="8">
        <v>20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20</v>
      </c>
      <c r="C8" s="29">
        <f>SUM(C6:C7)</f>
        <v>1968.5</v>
      </c>
      <c r="D8" s="2"/>
      <c r="E8" s="18">
        <v>9044</v>
      </c>
      <c r="F8" s="25" t="s">
        <v>258</v>
      </c>
      <c r="G8" s="26" t="s">
        <v>7</v>
      </c>
      <c r="H8" s="8">
        <v>1100</v>
      </c>
      <c r="I8" s="8">
        <v>100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9045</v>
      </c>
      <c r="F9" s="25" t="s">
        <v>258</v>
      </c>
      <c r="G9" s="26" t="s">
        <v>7</v>
      </c>
      <c r="H9" s="8">
        <v>300</v>
      </c>
      <c r="I9" s="8">
        <v>100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9046</v>
      </c>
      <c r="F10" s="25" t="s">
        <v>257</v>
      </c>
      <c r="G10" s="26" t="s">
        <v>8</v>
      </c>
      <c r="H10" s="8">
        <v>1250</v>
      </c>
      <c r="I10" s="8">
        <v>750</v>
      </c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v>270</v>
      </c>
      <c r="D11" s="2"/>
      <c r="E11" s="18">
        <v>9047</v>
      </c>
      <c r="F11" s="25" t="s">
        <v>257</v>
      </c>
      <c r="G11" s="26" t="s">
        <v>8</v>
      </c>
      <c r="H11" s="8">
        <v>250</v>
      </c>
      <c r="I11" s="8">
        <v>250</v>
      </c>
      <c r="J11" s="2"/>
      <c r="K11" s="27"/>
      <c r="L11" s="9"/>
      <c r="M11" s="16"/>
      <c r="O11" s="1">
        <f>IF(C15=0,0,1)</f>
        <v>1</v>
      </c>
      <c r="R11" s="1">
        <f>IF(vend17[[#This Row],[Nº Venda]]&gt;1,1,0)</f>
        <v>1</v>
      </c>
    </row>
    <row r="12" spans="2:18" ht="15.75" x14ac:dyDescent="0.25">
      <c r="B12" s="30" t="s">
        <v>7</v>
      </c>
      <c r="C12" s="31">
        <f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ref="C13:C14" si="0">(SUMIF($G$2:$G$31,B13,$I$2:$I$31))+(SUMIF($G$35:$G$41,B13,$H$35:$H$41))</f>
        <v>1448.5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2118.5</v>
      </c>
      <c r="D15" s="2"/>
      <c r="E15" s="18"/>
      <c r="F15" s="25"/>
      <c r="G15" s="26"/>
      <c r="H15" s="8"/>
      <c r="I15" s="8"/>
      <c r="J15" s="2"/>
      <c r="K15" s="25">
        <v>8506</v>
      </c>
      <c r="L15" s="9" t="s">
        <v>131</v>
      </c>
      <c r="M15" s="16" t="s">
        <v>25</v>
      </c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8970</v>
      </c>
      <c r="L17" s="9" t="s">
        <v>160</v>
      </c>
      <c r="M17" s="16" t="s">
        <v>25</v>
      </c>
      <c r="R17" s="1">
        <f>IF(vend17[[#This Row],[Nº Venda]]&gt;1,1,0)</f>
        <v>0</v>
      </c>
    </row>
    <row r="18" spans="2:18" ht="15.75" x14ac:dyDescent="0.25">
      <c r="B18" s="30">
        <f>COUNT(entr_carn17[OS])</f>
        <v>0</v>
      </c>
      <c r="C18" s="31">
        <f>SUM(entr_carn17[Valor Total])</f>
        <v>0</v>
      </c>
      <c r="D18" s="2"/>
      <c r="E18" s="18"/>
      <c r="F18" s="25"/>
      <c r="G18" s="26"/>
      <c r="H18" s="8"/>
      <c r="I18" s="8"/>
      <c r="J18" s="2"/>
      <c r="K18" s="25">
        <v>9040</v>
      </c>
      <c r="L18" s="9" t="s">
        <v>131</v>
      </c>
      <c r="M18" s="16" t="s">
        <v>25</v>
      </c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8963</v>
      </c>
      <c r="L19" s="9" t="s">
        <v>160</v>
      </c>
      <c r="M19" s="16" t="s">
        <v>25</v>
      </c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8" t="s">
        <v>26</v>
      </c>
      <c r="C21" s="32">
        <f>C5</f>
        <v>3068.5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9013</v>
      </c>
      <c r="F26" s="25" t="s">
        <v>253</v>
      </c>
      <c r="G26" s="26" t="s">
        <v>9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8963</v>
      </c>
      <c r="F27" s="25" t="s">
        <v>254</v>
      </c>
      <c r="G27" s="26" t="s">
        <v>8</v>
      </c>
      <c r="H27" s="8"/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8832</v>
      </c>
      <c r="F28" s="25" t="s">
        <v>259</v>
      </c>
      <c r="G28" s="26" t="s">
        <v>6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2076938</v>
      </c>
      <c r="F35" s="25" t="s">
        <v>255</v>
      </c>
      <c r="G35" s="26" t="s">
        <v>6</v>
      </c>
      <c r="H35" s="8">
        <v>35</v>
      </c>
      <c r="I35" s="8" t="s">
        <v>100</v>
      </c>
      <c r="K35" s="25"/>
      <c r="L35" s="41"/>
      <c r="M35" s="16"/>
    </row>
    <row r="36" spans="5:18" ht="15.75" x14ac:dyDescent="0.25">
      <c r="E36" s="18">
        <v>2076868</v>
      </c>
      <c r="F36" s="25" t="s">
        <v>255</v>
      </c>
      <c r="G36" s="26" t="s">
        <v>6</v>
      </c>
      <c r="H36" s="8">
        <v>35</v>
      </c>
      <c r="I36" s="8" t="s">
        <v>101</v>
      </c>
      <c r="K36" s="25"/>
      <c r="L36" s="41"/>
      <c r="M36" s="16"/>
    </row>
    <row r="37" spans="5:18" ht="15.75" x14ac:dyDescent="0.25">
      <c r="E37" s="18">
        <v>8617</v>
      </c>
      <c r="F37" s="25" t="s">
        <v>256</v>
      </c>
      <c r="G37" s="26" t="s">
        <v>6</v>
      </c>
      <c r="H37" s="8">
        <v>75</v>
      </c>
      <c r="I37" s="8" t="s">
        <v>75</v>
      </c>
      <c r="K37" s="25"/>
      <c r="L37" s="41"/>
      <c r="M37" s="16"/>
    </row>
    <row r="38" spans="5:18" ht="15.75" x14ac:dyDescent="0.25">
      <c r="E38" s="18" t="s">
        <v>260</v>
      </c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8" zoomScale="80" zoomScaleNormal="80" workbookViewId="0">
      <selection activeCell="K44" sqref="K44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'17'!B1+1</f>
        <v>45400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320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420</v>
      </c>
      <c r="D6" s="2"/>
      <c r="E6" s="93">
        <v>9048</v>
      </c>
      <c r="F6" s="64" t="s">
        <v>261</v>
      </c>
      <c r="G6" s="94" t="s">
        <v>6</v>
      </c>
      <c r="H6" s="75">
        <v>35</v>
      </c>
      <c r="I6" s="75">
        <v>35</v>
      </c>
      <c r="J6" s="2"/>
      <c r="K6" s="25"/>
      <c r="L6" s="70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9049</v>
      </c>
      <c r="F7" s="25" t="s">
        <v>280</v>
      </c>
      <c r="G7" s="26" t="s">
        <v>50</v>
      </c>
      <c r="H7" s="8"/>
      <c r="I7" s="8"/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20</v>
      </c>
      <c r="C8" s="29">
        <f>SUM(C6:C7)</f>
        <v>420</v>
      </c>
      <c r="D8" s="2"/>
      <c r="E8" s="18">
        <v>9050</v>
      </c>
      <c r="F8" s="25" t="s">
        <v>262</v>
      </c>
      <c r="G8" s="26" t="s">
        <v>8</v>
      </c>
      <c r="H8" s="8">
        <v>250</v>
      </c>
      <c r="I8" s="8">
        <v>250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9051</v>
      </c>
      <c r="F9" s="25" t="s">
        <v>263</v>
      </c>
      <c r="G9" s="26" t="s">
        <v>40</v>
      </c>
      <c r="H9" s="8"/>
      <c r="I9" s="8"/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9052</v>
      </c>
      <c r="F10" s="25" t="s">
        <v>263</v>
      </c>
      <c r="G10" s="26" t="s">
        <v>40</v>
      </c>
      <c r="H10" s="8"/>
      <c r="I10" s="8"/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245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250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254.9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749.9</v>
      </c>
      <c r="D15" s="2"/>
      <c r="E15" s="18"/>
      <c r="F15" s="25"/>
      <c r="G15" s="26"/>
      <c r="H15" s="8"/>
      <c r="I15" s="8"/>
      <c r="J15" s="2"/>
      <c r="K15" s="25">
        <v>9047</v>
      </c>
      <c r="L15" s="9" t="s">
        <v>131</v>
      </c>
      <c r="M15" s="16" t="s">
        <v>25</v>
      </c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9010</v>
      </c>
      <c r="L16" s="9" t="s">
        <v>160</v>
      </c>
      <c r="M16" s="16" t="s">
        <v>25</v>
      </c>
      <c r="R16" s="1">
        <f>IF(vend18[[#This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9042</v>
      </c>
      <c r="L17" s="9" t="s">
        <v>160</v>
      </c>
      <c r="M17" s="16" t="s">
        <v>25</v>
      </c>
      <c r="R17" s="1">
        <f>IF(vend18[[#This Row],[Nº Venda]]&gt;1,1,0)</f>
        <v>0</v>
      </c>
    </row>
    <row r="18" spans="2:18" ht="15.75" x14ac:dyDescent="0.25">
      <c r="B18" s="30">
        <f>COUNT(entr_carn18[OS])</f>
        <v>0</v>
      </c>
      <c r="C18" s="31">
        <f>SUM(entr_carn18[Valor Total])</f>
        <v>0</v>
      </c>
      <c r="D18" s="2"/>
      <c r="E18" s="18"/>
      <c r="F18" s="25"/>
      <c r="G18" s="26"/>
      <c r="H18" s="8"/>
      <c r="I18" s="8"/>
      <c r="J18" s="2"/>
      <c r="K18" s="25">
        <v>9050</v>
      </c>
      <c r="L18" s="9" t="s">
        <v>131</v>
      </c>
      <c r="M18" s="16" t="s">
        <v>25</v>
      </c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9024</v>
      </c>
      <c r="L19" s="9" t="s">
        <v>344</v>
      </c>
      <c r="M19" s="16" t="s">
        <v>25</v>
      </c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8" t="s">
        <v>26</v>
      </c>
      <c r="C21" s="32">
        <f>C5</f>
        <v>320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8"/>
      <c r="F23" s="68"/>
      <c r="G23" s="68"/>
      <c r="H23" s="69"/>
      <c r="I23" s="69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9024</v>
      </c>
      <c r="F26" s="25" t="s">
        <v>226</v>
      </c>
      <c r="G26" s="26" t="s">
        <v>9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8862</v>
      </c>
      <c r="F27" s="25" t="s">
        <v>267</v>
      </c>
      <c r="G27" s="26" t="s">
        <v>6</v>
      </c>
      <c r="H27" s="8">
        <v>0</v>
      </c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8636</v>
      </c>
      <c r="F35" s="25" t="s">
        <v>264</v>
      </c>
      <c r="G35" s="26" t="s">
        <v>9</v>
      </c>
      <c r="H35" s="8">
        <v>50</v>
      </c>
      <c r="I35" s="8" t="s">
        <v>53</v>
      </c>
      <c r="K35" s="25"/>
      <c r="L35" s="41"/>
      <c r="M35" s="16"/>
    </row>
    <row r="36" spans="5:18" ht="15.75" x14ac:dyDescent="0.25">
      <c r="E36" s="18">
        <v>8587</v>
      </c>
      <c r="F36" s="25" t="s">
        <v>265</v>
      </c>
      <c r="G36" s="26" t="s">
        <v>6</v>
      </c>
      <c r="H36" s="8">
        <v>110</v>
      </c>
      <c r="I36" s="8" t="s">
        <v>54</v>
      </c>
      <c r="K36" s="25"/>
      <c r="L36" s="41"/>
      <c r="M36" s="16"/>
    </row>
    <row r="37" spans="5:18" ht="15.75" x14ac:dyDescent="0.25">
      <c r="E37" s="18">
        <v>8104</v>
      </c>
      <c r="F37" s="25" t="s">
        <v>266</v>
      </c>
      <c r="G37" s="26" t="s">
        <v>9</v>
      </c>
      <c r="H37" s="8">
        <v>169.9</v>
      </c>
      <c r="I37" s="8" t="s">
        <v>35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8" zoomScale="80" zoomScaleNormal="80" zoomScaleSheetLayoutView="7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7">
        <f>'18'!B1+1</f>
        <v>45401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3978.9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1310</v>
      </c>
      <c r="D6" s="2"/>
      <c r="E6" s="18">
        <v>9053</v>
      </c>
      <c r="F6" s="25" t="s">
        <v>269</v>
      </c>
      <c r="G6" s="26" t="s">
        <v>7</v>
      </c>
      <c r="H6" s="8">
        <v>35</v>
      </c>
      <c r="I6" s="8">
        <v>35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9054</v>
      </c>
      <c r="F7" s="25" t="s">
        <v>276</v>
      </c>
      <c r="G7" s="26" t="s">
        <v>6</v>
      </c>
      <c r="H7" s="71">
        <v>600</v>
      </c>
      <c r="I7" s="8">
        <v>200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20</v>
      </c>
      <c r="C8" s="29">
        <f>SUM(C6:C7)</f>
        <v>1310</v>
      </c>
      <c r="D8" s="2"/>
      <c r="E8" s="18">
        <v>9055</v>
      </c>
      <c r="F8" s="25" t="s">
        <v>270</v>
      </c>
      <c r="G8" s="26" t="s">
        <v>9</v>
      </c>
      <c r="H8" s="8">
        <v>220</v>
      </c>
      <c r="I8" s="8">
        <v>220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3">
        <v>9056</v>
      </c>
      <c r="F9" s="64" t="s">
        <v>271</v>
      </c>
      <c r="G9" s="94" t="s">
        <v>9</v>
      </c>
      <c r="H9" s="75">
        <v>110</v>
      </c>
      <c r="I9" s="75">
        <v>110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9057</v>
      </c>
      <c r="F10" s="25" t="s">
        <v>272</v>
      </c>
      <c r="G10" s="26" t="s">
        <v>9</v>
      </c>
      <c r="H10" s="8">
        <v>799</v>
      </c>
      <c r="I10" s="8">
        <v>100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>
        <v>9058</v>
      </c>
      <c r="F11" s="25" t="s">
        <v>273</v>
      </c>
      <c r="G11" s="26" t="s">
        <v>7</v>
      </c>
      <c r="H11" s="8">
        <v>600</v>
      </c>
      <c r="I11" s="8">
        <v>100</v>
      </c>
      <c r="J11" s="2"/>
      <c r="K11" s="27"/>
      <c r="L11" s="9"/>
      <c r="M11" s="16"/>
      <c r="O11" s="1">
        <f>IF(C15=0,0,1)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520</v>
      </c>
      <c r="D12" s="2"/>
      <c r="E12" s="18">
        <v>9059</v>
      </c>
      <c r="F12" s="25" t="s">
        <v>274</v>
      </c>
      <c r="G12" s="26" t="s">
        <v>7</v>
      </c>
      <c r="H12" s="8">
        <v>1000</v>
      </c>
      <c r="I12" s="8">
        <v>50</v>
      </c>
      <c r="J12" s="2"/>
      <c r="R12" s="1">
        <f>IF(vend19[[#This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9060</v>
      </c>
      <c r="F13" s="25" t="s">
        <v>274</v>
      </c>
      <c r="G13" s="26" t="s">
        <v>7</v>
      </c>
      <c r="H13" s="8">
        <v>250</v>
      </c>
      <c r="I13" s="8">
        <v>25</v>
      </c>
      <c r="J13" s="2"/>
      <c r="K13" s="112" t="s">
        <v>21</v>
      </c>
      <c r="L13" s="113"/>
      <c r="M13" s="114"/>
      <c r="R13" s="1">
        <f>IF(vend19[[#This Row],[Nº Venda]]&gt;1,1,0)</f>
        <v>1</v>
      </c>
    </row>
    <row r="14" spans="2:18" ht="15.75" x14ac:dyDescent="0.25">
      <c r="B14" s="30" t="s">
        <v>9</v>
      </c>
      <c r="C14" s="31">
        <f t="shared" si="0"/>
        <v>879</v>
      </c>
      <c r="D14" s="2"/>
      <c r="E14" s="18">
        <v>9061</v>
      </c>
      <c r="F14" s="25" t="s">
        <v>274</v>
      </c>
      <c r="G14" s="26" t="s">
        <v>7</v>
      </c>
      <c r="H14" s="8">
        <v>250</v>
      </c>
      <c r="I14" s="8">
        <v>25</v>
      </c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1</v>
      </c>
    </row>
    <row r="15" spans="2:18" ht="15.75" x14ac:dyDescent="0.25">
      <c r="B15" s="28" t="s">
        <v>10</v>
      </c>
      <c r="C15" s="32">
        <f>SUM(C11:C14)</f>
        <v>1649</v>
      </c>
      <c r="D15" s="2"/>
      <c r="E15" s="18">
        <v>9062</v>
      </c>
      <c r="F15" s="25" t="s">
        <v>276</v>
      </c>
      <c r="G15" s="26" t="s">
        <v>7</v>
      </c>
      <c r="H15" s="8">
        <v>35</v>
      </c>
      <c r="I15" s="8">
        <v>35</v>
      </c>
      <c r="J15" s="2"/>
      <c r="K15" s="25">
        <v>9056</v>
      </c>
      <c r="L15" s="9" t="s">
        <v>160</v>
      </c>
      <c r="M15" s="16" t="s">
        <v>25</v>
      </c>
      <c r="R15" s="1">
        <f>IF(vend19[[#This Row],[Nº Venda]]&gt;1,1,0)</f>
        <v>1</v>
      </c>
    </row>
    <row r="16" spans="2:18" ht="15.75" x14ac:dyDescent="0.25">
      <c r="B16" s="2"/>
      <c r="C16" s="2"/>
      <c r="D16" s="2"/>
      <c r="E16" s="18">
        <v>9063</v>
      </c>
      <c r="F16" s="25" t="s">
        <v>275</v>
      </c>
      <c r="G16" s="26" t="s">
        <v>9</v>
      </c>
      <c r="H16" s="8">
        <v>79.900000000000006</v>
      </c>
      <c r="I16" s="8">
        <v>10</v>
      </c>
      <c r="J16" s="2"/>
      <c r="K16" s="25">
        <v>9049</v>
      </c>
      <c r="L16" s="9" t="s">
        <v>131</v>
      </c>
      <c r="M16" s="16" t="s">
        <v>25</v>
      </c>
      <c r="R16" s="1">
        <f>IF(vend19[[#This Row],[Nº Venda]]&gt;1,1,0)</f>
        <v>1</v>
      </c>
    </row>
    <row r="17" spans="2:22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8947</v>
      </c>
      <c r="L17" s="9" t="s">
        <v>160</v>
      </c>
      <c r="M17" s="16" t="s">
        <v>25</v>
      </c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18"/>
      <c r="F18" s="25"/>
      <c r="G18" s="26"/>
      <c r="H18" s="8"/>
      <c r="I18" s="8"/>
      <c r="J18" s="2"/>
      <c r="K18" s="25">
        <v>8435</v>
      </c>
      <c r="L18" s="9" t="s">
        <v>158</v>
      </c>
      <c r="M18" s="16" t="s">
        <v>25</v>
      </c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8983</v>
      </c>
      <c r="L19" s="9" t="s">
        <v>131</v>
      </c>
      <c r="M19" s="16" t="s">
        <v>25</v>
      </c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9001</v>
      </c>
      <c r="L20" s="9" t="s">
        <v>160</v>
      </c>
      <c r="M20" s="16" t="s">
        <v>25</v>
      </c>
      <c r="R20" s="1">
        <f>IF(vend19[[#This Row],[Nº Venda]]&gt;1,1,0)</f>
        <v>0</v>
      </c>
      <c r="V20" s="1" t="s">
        <v>58</v>
      </c>
    </row>
    <row r="21" spans="2:22" ht="15.75" x14ac:dyDescent="0.25">
      <c r="B21" s="28" t="s">
        <v>26</v>
      </c>
      <c r="C21" s="32">
        <f>C5</f>
        <v>3978.9</v>
      </c>
      <c r="D21" s="2"/>
      <c r="E21" s="18"/>
      <c r="F21" s="25"/>
      <c r="G21" s="26"/>
      <c r="H21" s="8"/>
      <c r="I21" s="8"/>
      <c r="J21" s="2"/>
      <c r="K21" s="25">
        <v>8995</v>
      </c>
      <c r="L21" s="9" t="s">
        <v>158</v>
      </c>
      <c r="M21" s="16" t="s">
        <v>25</v>
      </c>
    </row>
    <row r="22" spans="2:22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8994</v>
      </c>
      <c r="L22" s="9" t="s">
        <v>158</v>
      </c>
      <c r="M22" s="16" t="s">
        <v>25</v>
      </c>
    </row>
    <row r="23" spans="2:22" ht="15" x14ac:dyDescent="0.25">
      <c r="B23" s="2"/>
      <c r="C23" s="2"/>
      <c r="D23" s="2"/>
      <c r="E23" s="33"/>
      <c r="H23" s="7"/>
      <c r="J23" s="2"/>
      <c r="K23" s="25">
        <v>8993</v>
      </c>
      <c r="L23" s="9" t="s">
        <v>158</v>
      </c>
      <c r="M23" s="16" t="s">
        <v>25</v>
      </c>
    </row>
    <row r="24" spans="2:22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>
        <v>9006</v>
      </c>
      <c r="L24" s="9" t="s">
        <v>160</v>
      </c>
      <c r="M24" s="16" t="s">
        <v>25</v>
      </c>
    </row>
    <row r="25" spans="2:22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>
        <v>9007</v>
      </c>
      <c r="L25" s="9" t="s">
        <v>160</v>
      </c>
      <c r="M25" s="16" t="s">
        <v>25</v>
      </c>
    </row>
    <row r="26" spans="2:22" ht="15.75" x14ac:dyDescent="0.25">
      <c r="B26" s="2"/>
      <c r="C26" s="2"/>
      <c r="D26" s="2"/>
      <c r="E26" s="18">
        <v>8435</v>
      </c>
      <c r="F26" s="39" t="s">
        <v>277</v>
      </c>
      <c r="G26" s="26" t="s">
        <v>9</v>
      </c>
      <c r="H26" s="8">
        <v>0</v>
      </c>
      <c r="I26" s="8">
        <v>350</v>
      </c>
      <c r="J26" s="2"/>
      <c r="K26" s="25">
        <v>7879</v>
      </c>
      <c r="L26" s="9" t="s">
        <v>158</v>
      </c>
      <c r="M26" s="16" t="s">
        <v>25</v>
      </c>
    </row>
    <row r="27" spans="2:22" ht="15.75" x14ac:dyDescent="0.25">
      <c r="B27" s="2"/>
      <c r="C27" s="2"/>
      <c r="D27" s="2"/>
      <c r="E27" s="18">
        <v>8999</v>
      </c>
      <c r="F27" s="25" t="s">
        <v>143</v>
      </c>
      <c r="G27" s="26" t="s">
        <v>6</v>
      </c>
      <c r="H27" s="8">
        <v>0</v>
      </c>
      <c r="I27" s="8">
        <v>50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5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8468</v>
      </c>
      <c r="F35" s="25" t="s">
        <v>278</v>
      </c>
      <c r="G35" s="26" t="s">
        <v>9</v>
      </c>
      <c r="H35" s="8">
        <v>89</v>
      </c>
      <c r="I35" s="8" t="s">
        <v>45</v>
      </c>
      <c r="K35" s="25"/>
      <c r="L35" s="41"/>
      <c r="M35" s="16"/>
    </row>
    <row r="36" spans="5:18" ht="15.75" x14ac:dyDescent="0.25">
      <c r="E36" s="18">
        <v>8487</v>
      </c>
      <c r="F36" s="25" t="s">
        <v>279</v>
      </c>
      <c r="G36" s="26" t="s">
        <v>7</v>
      </c>
      <c r="H36" s="8">
        <v>250</v>
      </c>
      <c r="I36" s="8" t="s">
        <v>76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1" zoomScale="80" zoomScaleNormal="80" workbookViewId="0">
      <selection activeCell="L15" sqref="L15:L1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'19'!B1+1</f>
        <v>45402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9182.99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2949</v>
      </c>
      <c r="D6" s="2"/>
      <c r="E6" s="18">
        <v>9064</v>
      </c>
      <c r="F6" s="25" t="s">
        <v>281</v>
      </c>
      <c r="G6" s="26" t="s">
        <v>6</v>
      </c>
      <c r="H6" s="8">
        <v>2600</v>
      </c>
      <c r="I6" s="8">
        <v>5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9065</v>
      </c>
      <c r="F7" s="25" t="s">
        <v>281</v>
      </c>
      <c r="G7" s="26" t="s">
        <v>6</v>
      </c>
      <c r="H7" s="8">
        <v>400</v>
      </c>
      <c r="I7" s="8">
        <v>5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20</v>
      </c>
      <c r="C8" s="29">
        <f>SUM(C6:C7)</f>
        <v>2949</v>
      </c>
      <c r="D8" s="2"/>
      <c r="E8" s="18">
        <v>9066</v>
      </c>
      <c r="F8" s="25" t="s">
        <v>282</v>
      </c>
      <c r="G8" s="26" t="s">
        <v>8</v>
      </c>
      <c r="H8" s="8">
        <v>850</v>
      </c>
      <c r="I8" s="8">
        <v>850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9067</v>
      </c>
      <c r="F9" s="25" t="s">
        <v>282</v>
      </c>
      <c r="G9" s="26" t="s">
        <v>8</v>
      </c>
      <c r="H9" s="8">
        <v>350</v>
      </c>
      <c r="I9" s="8">
        <v>350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9068</v>
      </c>
      <c r="F10" s="25" t="s">
        <v>283</v>
      </c>
      <c r="G10" s="26" t="s">
        <v>9</v>
      </c>
      <c r="H10" s="8">
        <v>900</v>
      </c>
      <c r="I10" s="8">
        <v>100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280</v>
      </c>
      <c r="D11" s="2"/>
      <c r="E11" s="18">
        <v>9069</v>
      </c>
      <c r="F11" s="25" t="s">
        <v>283</v>
      </c>
      <c r="G11" s="26" t="s">
        <v>9</v>
      </c>
      <c r="H11" s="8">
        <v>355</v>
      </c>
      <c r="I11" s="8">
        <v>100</v>
      </c>
      <c r="J11" s="2"/>
      <c r="K11" s="27"/>
      <c r="L11" s="9"/>
      <c r="M11" s="16"/>
      <c r="O11" s="1">
        <f>IF(C15=0,0,1)</f>
        <v>1</v>
      </c>
      <c r="R11" s="1">
        <f>IF(vend20[[#This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520</v>
      </c>
      <c r="D12" s="2"/>
      <c r="E12" s="18">
        <v>9070</v>
      </c>
      <c r="F12" s="25" t="s">
        <v>284</v>
      </c>
      <c r="G12" s="26" t="s">
        <v>6</v>
      </c>
      <c r="H12" s="8">
        <v>579</v>
      </c>
      <c r="I12" s="8">
        <v>200</v>
      </c>
      <c r="J12" s="2"/>
      <c r="R12" s="1">
        <f>IF(vend20[[#This Row],[Nº Venda]]&gt;1,1,0)</f>
        <v>1</v>
      </c>
    </row>
    <row r="13" spans="2:18" ht="15.75" x14ac:dyDescent="0.25">
      <c r="B13" s="30" t="s">
        <v>8</v>
      </c>
      <c r="C13" s="31">
        <f t="shared" si="0"/>
        <v>1679</v>
      </c>
      <c r="D13" s="2"/>
      <c r="E13" s="18">
        <v>9070</v>
      </c>
      <c r="F13" s="25" t="s">
        <v>284</v>
      </c>
      <c r="G13" s="26" t="s">
        <v>8</v>
      </c>
      <c r="H13" s="8"/>
      <c r="I13" s="8">
        <v>379</v>
      </c>
      <c r="J13" s="2"/>
      <c r="K13" s="112" t="s">
        <v>21</v>
      </c>
      <c r="L13" s="113"/>
      <c r="M13" s="114"/>
      <c r="R13" s="1">
        <f>IF(vend20[[#This Row],[Nº Venda]]&gt;1,1,0)</f>
        <v>1</v>
      </c>
    </row>
    <row r="14" spans="2:18" ht="15.75" x14ac:dyDescent="0.25">
      <c r="B14" s="30" t="s">
        <v>9</v>
      </c>
      <c r="C14" s="31">
        <f t="shared" si="0"/>
        <v>620</v>
      </c>
      <c r="D14" s="2"/>
      <c r="E14" s="18">
        <v>9071</v>
      </c>
      <c r="F14" s="25" t="s">
        <v>285</v>
      </c>
      <c r="G14" s="26" t="s">
        <v>9</v>
      </c>
      <c r="H14" s="8">
        <v>220</v>
      </c>
      <c r="I14" s="8">
        <v>220</v>
      </c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1</v>
      </c>
    </row>
    <row r="15" spans="2:18" ht="15.75" x14ac:dyDescent="0.25">
      <c r="B15" s="28" t="s">
        <v>10</v>
      </c>
      <c r="C15" s="32">
        <f>SUM(C11:C14)</f>
        <v>3099</v>
      </c>
      <c r="D15" s="2"/>
      <c r="E15" s="18">
        <v>9072</v>
      </c>
      <c r="F15" s="25" t="s">
        <v>286</v>
      </c>
      <c r="G15" s="26" t="s">
        <v>9</v>
      </c>
      <c r="H15" s="8">
        <v>1004</v>
      </c>
      <c r="I15" s="8">
        <v>100</v>
      </c>
      <c r="J15" s="2"/>
      <c r="K15" s="64">
        <v>9071</v>
      </c>
      <c r="L15" s="9" t="s">
        <v>131</v>
      </c>
      <c r="M15" s="16" t="s">
        <v>25</v>
      </c>
      <c r="R15" s="1">
        <f>IF(vend20[[#This Row],[Nº Venda]]&gt;1,1,0)</f>
        <v>1</v>
      </c>
    </row>
    <row r="16" spans="2:18" ht="15.75" x14ac:dyDescent="0.25">
      <c r="B16" s="2"/>
      <c r="C16" s="2"/>
      <c r="D16" s="2"/>
      <c r="E16" s="18">
        <v>9073</v>
      </c>
      <c r="F16" s="25" t="s">
        <v>286</v>
      </c>
      <c r="G16" s="26" t="s">
        <v>9</v>
      </c>
      <c r="H16" s="8">
        <v>404.99</v>
      </c>
      <c r="I16" s="8">
        <v>100</v>
      </c>
      <c r="J16" s="2"/>
      <c r="K16" s="64">
        <v>9049</v>
      </c>
      <c r="L16" s="9" t="s">
        <v>131</v>
      </c>
      <c r="M16" s="72" t="s">
        <v>25</v>
      </c>
      <c r="R16" s="1">
        <f>IF(vend20[[#This Row],[Nº Venda]]&gt;1,1,0)</f>
        <v>1</v>
      </c>
    </row>
    <row r="17" spans="2:18" ht="15.75" x14ac:dyDescent="0.25">
      <c r="B17" s="110" t="s">
        <v>11</v>
      </c>
      <c r="C17" s="110"/>
      <c r="D17" s="2"/>
      <c r="E17" s="18">
        <v>9076</v>
      </c>
      <c r="F17" s="26" t="s">
        <v>287</v>
      </c>
      <c r="G17" s="26" t="s">
        <v>7</v>
      </c>
      <c r="H17" s="8">
        <v>500</v>
      </c>
      <c r="I17" s="8">
        <v>20</v>
      </c>
      <c r="J17" s="2"/>
      <c r="K17" s="25">
        <v>8885</v>
      </c>
      <c r="L17" s="9" t="s">
        <v>160</v>
      </c>
      <c r="M17" s="16" t="s">
        <v>170</v>
      </c>
      <c r="R17" s="1">
        <f>IF(vend20[[#This Row],[Nº Venda]]&gt;1,1,0)</f>
        <v>1</v>
      </c>
    </row>
    <row r="18" spans="2:18" ht="15.75" x14ac:dyDescent="0.25">
      <c r="B18" s="30">
        <f>COUNT(entr_carn20[OS])</f>
        <v>1</v>
      </c>
      <c r="C18" s="31">
        <f>SUM(entr_carn20[Valor Total])</f>
        <v>1500</v>
      </c>
      <c r="D18" s="2"/>
      <c r="E18" s="18">
        <v>9077</v>
      </c>
      <c r="F18" s="25" t="s">
        <v>289</v>
      </c>
      <c r="G18" s="26" t="s">
        <v>7</v>
      </c>
      <c r="H18" s="8">
        <v>1000</v>
      </c>
      <c r="I18" s="8">
        <v>500</v>
      </c>
      <c r="J18" s="2"/>
      <c r="K18" s="25">
        <v>8882</v>
      </c>
      <c r="L18" s="9" t="s">
        <v>160</v>
      </c>
      <c r="M18" s="16" t="s">
        <v>25</v>
      </c>
      <c r="R18" s="1">
        <f>IF(vend20[[#This Row],[Nº Venda]]&gt;1,1,0)</f>
        <v>1</v>
      </c>
    </row>
    <row r="19" spans="2:18" ht="15.75" x14ac:dyDescent="0.25">
      <c r="B19" s="28" t="s">
        <v>10</v>
      </c>
      <c r="C19" s="32">
        <f>SUM(C18:C18)</f>
        <v>1500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" x14ac:dyDescent="0.25">
      <c r="B20" s="2"/>
      <c r="C20" s="2"/>
      <c r="D20" s="2"/>
      <c r="E20" s="59"/>
      <c r="F20" s="59"/>
      <c r="G20" s="59"/>
      <c r="H20" s="47"/>
      <c r="I20" s="47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8" t="s">
        <v>26</v>
      </c>
      <c r="C21" s="32">
        <f>C5</f>
        <v>9182.99</v>
      </c>
      <c r="D21" s="2"/>
      <c r="E21" s="59"/>
      <c r="F21" s="59"/>
      <c r="G21" s="59"/>
      <c r="H21" s="47"/>
      <c r="I21" s="47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9049</v>
      </c>
      <c r="F26" s="25" t="s">
        <v>280</v>
      </c>
      <c r="G26" s="26" t="s">
        <v>6</v>
      </c>
      <c r="H26" s="8">
        <v>20</v>
      </c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8762</v>
      </c>
      <c r="F35" s="25" t="s">
        <v>288</v>
      </c>
      <c r="G35" s="26" t="s">
        <v>8</v>
      </c>
      <c r="H35" s="8">
        <v>100</v>
      </c>
      <c r="I35" s="8" t="s">
        <v>54</v>
      </c>
      <c r="K35" s="25">
        <v>8885</v>
      </c>
      <c r="L35" s="41">
        <v>5</v>
      </c>
      <c r="M35" s="72">
        <v>1500</v>
      </c>
    </row>
    <row r="36" spans="5:18" ht="15.75" x14ac:dyDescent="0.25">
      <c r="E36" s="18">
        <v>8401</v>
      </c>
      <c r="F36" s="25" t="s">
        <v>290</v>
      </c>
      <c r="G36" s="26" t="s">
        <v>6</v>
      </c>
      <c r="H36" s="8">
        <v>50</v>
      </c>
      <c r="I36" s="8" t="s">
        <v>77</v>
      </c>
      <c r="K36" s="64"/>
      <c r="L36" s="73"/>
      <c r="M36" s="72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G22 G6:G19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4" zoomScale="80" zoomScaleNormal="80" workbookViewId="0">
      <selection activeCell="L39" sqref="L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45403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G35:G41 G26:G31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B1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45404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3620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1990</v>
      </c>
      <c r="D6" s="2"/>
      <c r="E6" s="18">
        <v>9074</v>
      </c>
      <c r="F6" s="25" t="s">
        <v>291</v>
      </c>
      <c r="G6" s="26" t="s">
        <v>8</v>
      </c>
      <c r="H6" s="8">
        <v>350</v>
      </c>
      <c r="I6" s="8">
        <v>350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9075</v>
      </c>
      <c r="F7" s="25" t="s">
        <v>292</v>
      </c>
      <c r="G7" s="26" t="s">
        <v>6</v>
      </c>
      <c r="H7" s="8">
        <v>50</v>
      </c>
      <c r="I7" s="8">
        <v>50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20</v>
      </c>
      <c r="C8" s="29">
        <f>SUM(C6:C7)</f>
        <v>1990</v>
      </c>
      <c r="D8" s="2"/>
      <c r="E8" s="18">
        <v>9078</v>
      </c>
      <c r="F8" s="25" t="s">
        <v>293</v>
      </c>
      <c r="G8" s="26" t="s">
        <v>40</v>
      </c>
      <c r="H8" s="8"/>
      <c r="I8" s="8"/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9079</v>
      </c>
      <c r="F9" s="25" t="s">
        <v>295</v>
      </c>
      <c r="G9" s="26" t="s">
        <v>7</v>
      </c>
      <c r="H9" s="8">
        <v>35</v>
      </c>
      <c r="I9" s="8">
        <v>35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9080</v>
      </c>
      <c r="F10" s="25" t="s">
        <v>297</v>
      </c>
      <c r="G10" s="26" t="s">
        <v>8</v>
      </c>
      <c r="H10" s="8">
        <v>690</v>
      </c>
      <c r="I10" s="8">
        <v>490</v>
      </c>
      <c r="J10" s="2"/>
      <c r="K10" s="25"/>
      <c r="L10" s="9"/>
      <c r="M10" s="1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315</v>
      </c>
      <c r="D11" s="2"/>
      <c r="E11" s="18">
        <v>9080</v>
      </c>
      <c r="F11" s="25" t="s">
        <v>297</v>
      </c>
      <c r="G11" s="26" t="s">
        <v>9</v>
      </c>
      <c r="H11" s="8"/>
      <c r="I11" s="8">
        <v>200</v>
      </c>
      <c r="J11" s="2"/>
      <c r="K11" s="27"/>
      <c r="L11" s="9"/>
      <c r="M11" s="16"/>
      <c r="O11" s="1">
        <f>IF(C15=0,0,1)</f>
        <v>1</v>
      </c>
      <c r="R11" s="1">
        <f>IF(vend22[[#This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155</v>
      </c>
      <c r="D12" s="2"/>
      <c r="E12" s="18">
        <v>9081</v>
      </c>
      <c r="F12" s="25" t="s">
        <v>298</v>
      </c>
      <c r="G12" s="26" t="s">
        <v>6</v>
      </c>
      <c r="H12" s="8">
        <v>1455</v>
      </c>
      <c r="I12" s="8">
        <v>5</v>
      </c>
      <c r="J12" s="2"/>
      <c r="R12" s="1">
        <f>IF(vend22[[#This Row],[Nº Venda]]&gt;1,1,0)</f>
        <v>1</v>
      </c>
    </row>
    <row r="13" spans="2:18" ht="15.75" x14ac:dyDescent="0.25">
      <c r="B13" s="30" t="s">
        <v>8</v>
      </c>
      <c r="C13" s="31">
        <f t="shared" si="0"/>
        <v>1320</v>
      </c>
      <c r="D13" s="2"/>
      <c r="E13" s="18">
        <v>9082</v>
      </c>
      <c r="F13" s="25" t="s">
        <v>298</v>
      </c>
      <c r="G13" s="26" t="s">
        <v>6</v>
      </c>
      <c r="H13" s="8">
        <v>250</v>
      </c>
      <c r="I13" s="8">
        <v>5</v>
      </c>
      <c r="J13" s="2"/>
      <c r="K13" s="112" t="s">
        <v>21</v>
      </c>
      <c r="L13" s="113"/>
      <c r="M13" s="114"/>
      <c r="R13" s="1">
        <f>IF(vend22[[#This Row],[Nº Venda]]&gt;1,1,0)</f>
        <v>1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>
        <v>9083</v>
      </c>
      <c r="F14" s="25" t="s">
        <v>298</v>
      </c>
      <c r="G14" s="26" t="s">
        <v>6</v>
      </c>
      <c r="H14" s="8">
        <v>790</v>
      </c>
      <c r="I14" s="8">
        <v>5</v>
      </c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1</v>
      </c>
    </row>
    <row r="15" spans="2:18" ht="15.75" x14ac:dyDescent="0.25">
      <c r="B15" s="28" t="s">
        <v>10</v>
      </c>
      <c r="C15" s="32">
        <f>SUM(C11:C14)</f>
        <v>1990</v>
      </c>
      <c r="D15" s="2"/>
      <c r="E15" s="18"/>
      <c r="F15" s="25"/>
      <c r="G15" s="26"/>
      <c r="H15" s="8"/>
      <c r="I15" s="8"/>
      <c r="J15" s="2"/>
      <c r="K15" s="25">
        <v>9005</v>
      </c>
      <c r="L15" s="9" t="s">
        <v>160</v>
      </c>
      <c r="M15" s="16" t="s">
        <v>25</v>
      </c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9055</v>
      </c>
      <c r="L16" s="9" t="s">
        <v>131</v>
      </c>
      <c r="M16" s="16" t="s">
        <v>25</v>
      </c>
      <c r="R16" s="1">
        <f>IF(vend22[[#This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8968</v>
      </c>
      <c r="L17" s="9" t="s">
        <v>131</v>
      </c>
      <c r="M17" s="16" t="s">
        <v>25</v>
      </c>
      <c r="R17" s="1">
        <f>IF(vend22[[#This Row],[Nº Venda]]&gt;1,1,0)</f>
        <v>0</v>
      </c>
    </row>
    <row r="18" spans="2:18" ht="15.75" x14ac:dyDescent="0.25">
      <c r="B18" s="30">
        <f>COUNT(entr_carn22[OS])</f>
        <v>1</v>
      </c>
      <c r="C18" s="31">
        <f>SUM(entr_carn22[Valor Total])</f>
        <v>1426.95</v>
      </c>
      <c r="D18" s="2"/>
      <c r="E18" s="18"/>
      <c r="F18" s="25"/>
      <c r="G18" s="26"/>
      <c r="H18" s="8"/>
      <c r="I18" s="8"/>
      <c r="J18" s="2"/>
      <c r="K18" s="25">
        <v>8981</v>
      </c>
      <c r="L18" s="9" t="s">
        <v>160</v>
      </c>
      <c r="M18" s="16" t="s">
        <v>25</v>
      </c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1426.95</v>
      </c>
      <c r="D19" s="2"/>
      <c r="E19" s="18"/>
      <c r="F19" s="25"/>
      <c r="G19" s="26"/>
      <c r="H19" s="8"/>
      <c r="I19" s="8"/>
      <c r="J19" s="2"/>
      <c r="K19" s="25">
        <v>9079</v>
      </c>
      <c r="L19" s="9" t="s">
        <v>131</v>
      </c>
      <c r="M19" s="16" t="s">
        <v>25</v>
      </c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9080</v>
      </c>
      <c r="L20" s="9" t="s">
        <v>131</v>
      </c>
      <c r="M20" s="16" t="s">
        <v>25</v>
      </c>
      <c r="R20" s="1">
        <f>IF(vend22[[#This Row],[Nº Venda]]&gt;1,1,0)</f>
        <v>0</v>
      </c>
    </row>
    <row r="21" spans="2:18" ht="15.75" x14ac:dyDescent="0.25">
      <c r="B21" s="28" t="s">
        <v>26</v>
      </c>
      <c r="C21" s="32">
        <f>C5</f>
        <v>3620</v>
      </c>
      <c r="D21" s="2"/>
      <c r="E21" s="18"/>
      <c r="F21" s="25"/>
      <c r="G21" s="26"/>
      <c r="H21" s="8"/>
      <c r="I21" s="8"/>
      <c r="J21" s="2"/>
      <c r="K21" s="25">
        <v>8862</v>
      </c>
      <c r="L21" s="9" t="s">
        <v>160</v>
      </c>
      <c r="M21" s="16" t="s">
        <v>25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9076</v>
      </c>
      <c r="F26" s="25" t="s">
        <v>294</v>
      </c>
      <c r="G26" s="26" t="s">
        <v>8</v>
      </c>
      <c r="H26" s="8">
        <v>0</v>
      </c>
      <c r="I26" s="8">
        <v>480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8981</v>
      </c>
      <c r="F27" s="25" t="s">
        <v>296</v>
      </c>
      <c r="G27" s="26" t="s">
        <v>7</v>
      </c>
      <c r="H27" s="8">
        <v>0</v>
      </c>
      <c r="I27" s="8">
        <v>120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8981</v>
      </c>
      <c r="F28" s="25" t="s">
        <v>296</v>
      </c>
      <c r="G28" s="26" t="s">
        <v>6</v>
      </c>
      <c r="H28" s="8">
        <v>0</v>
      </c>
      <c r="I28" s="8">
        <v>250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>
        <v>8862</v>
      </c>
      <c r="L35" s="41">
        <v>9</v>
      </c>
      <c r="M35" s="16">
        <v>1426.95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24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45405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2590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20</v>
      </c>
      <c r="C8" s="29">
        <f>SUM(C6:C7)</f>
        <v>2590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4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4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4">
        <f>(SUMIF($G$2:$G$31,B13,$I$2:$I$31))+(SUMIF($G$35:$G$44,B13,$H$35:$H$44))</f>
        <v>2540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IF(vend23[[#This Row],[Nº Venda]]&gt;1,1,0)</f>
        <v>0</v>
      </c>
    </row>
    <row r="14" spans="2:18" ht="15.75" x14ac:dyDescent="0.25">
      <c r="B14" s="30" t="s">
        <v>9</v>
      </c>
      <c r="C14" s="84">
        <f>(SUMIF($G$2:$G$31,B14,$I$2:$I$31))+(SUMIF($G$35:$G$44,B14,$H$35:$H$44))</f>
        <v>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2590</v>
      </c>
      <c r="D15" s="2"/>
      <c r="E15" s="18"/>
      <c r="F15" s="25"/>
      <c r="G15" s="26"/>
      <c r="H15" s="8"/>
      <c r="I15" s="8"/>
      <c r="J15" s="2"/>
      <c r="K15" s="25">
        <v>8936</v>
      </c>
      <c r="L15" s="9" t="s">
        <v>131</v>
      </c>
      <c r="M15" s="16" t="s">
        <v>25</v>
      </c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8980</v>
      </c>
      <c r="L16" s="9" t="s">
        <v>158</v>
      </c>
      <c r="M16" s="16" t="s">
        <v>25</v>
      </c>
      <c r="R16" s="1">
        <f>IF(vend23[[#This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9027</v>
      </c>
      <c r="L17" s="9" t="s">
        <v>131</v>
      </c>
      <c r="M17" s="16" t="s">
        <v>25</v>
      </c>
      <c r="R17" s="1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18"/>
      <c r="F18" s="25"/>
      <c r="G18" s="26"/>
      <c r="H18" s="8"/>
      <c r="I18" s="8"/>
      <c r="J18" s="2"/>
      <c r="K18" s="25">
        <v>9020</v>
      </c>
      <c r="L18" s="9" t="s">
        <v>131</v>
      </c>
      <c r="M18" s="16" t="s">
        <v>25</v>
      </c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9017</v>
      </c>
      <c r="L19" s="9" t="s">
        <v>131</v>
      </c>
      <c r="M19" s="16" t="s">
        <v>25</v>
      </c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9081</v>
      </c>
      <c r="F26" s="25" t="s">
        <v>299</v>
      </c>
      <c r="G26" s="26" t="s">
        <v>8</v>
      </c>
      <c r="H26" s="8">
        <v>0</v>
      </c>
      <c r="I26" s="8">
        <v>1500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9082</v>
      </c>
      <c r="F27" s="25" t="s">
        <v>299</v>
      </c>
      <c r="G27" s="26" t="s">
        <v>8</v>
      </c>
      <c r="H27" s="8">
        <v>0</v>
      </c>
      <c r="I27" s="8">
        <v>790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9083</v>
      </c>
      <c r="F28" s="25" t="s">
        <v>299</v>
      </c>
      <c r="G28" s="26" t="s">
        <v>8</v>
      </c>
      <c r="H28" s="8">
        <v>0</v>
      </c>
      <c r="I28" s="8">
        <v>250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8980</v>
      </c>
      <c r="F29" s="25" t="s">
        <v>300</v>
      </c>
      <c r="G29" s="26" t="s">
        <v>9</v>
      </c>
      <c r="H29" s="8">
        <v>0</v>
      </c>
      <c r="I29" s="8">
        <v>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98"/>
      <c r="F42" s="81"/>
      <c r="G42" s="82"/>
      <c r="H42" s="83"/>
      <c r="I42" s="17"/>
    </row>
    <row r="43" spans="5:18" ht="15.75" x14ac:dyDescent="0.25">
      <c r="E43" s="98"/>
      <c r="F43" s="96"/>
      <c r="G43" s="95"/>
      <c r="H43" s="97"/>
      <c r="I43" s="8"/>
    </row>
    <row r="44" spans="5:18" ht="15.75" x14ac:dyDescent="0.25">
      <c r="E44" s="99"/>
      <c r="F44" s="81"/>
      <c r="G44" s="82"/>
      <c r="H44" s="83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2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45406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300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3380</v>
      </c>
      <c r="D6" s="2"/>
      <c r="E6" s="18">
        <v>9084</v>
      </c>
      <c r="F6" s="25" t="s">
        <v>301</v>
      </c>
      <c r="G6" s="26" t="s">
        <v>8</v>
      </c>
      <c r="H6" s="8">
        <v>150</v>
      </c>
      <c r="I6" s="8">
        <v>150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9085</v>
      </c>
      <c r="F7" s="25" t="s">
        <v>301</v>
      </c>
      <c r="G7" s="26" t="s">
        <v>8</v>
      </c>
      <c r="H7" s="8">
        <v>150</v>
      </c>
      <c r="I7" s="8">
        <v>150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20</v>
      </c>
      <c r="C8" s="29">
        <f>SUM(C6:C7)</f>
        <v>3380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880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3380</v>
      </c>
      <c r="D15" s="2"/>
      <c r="E15" s="18"/>
      <c r="F15" s="25"/>
      <c r="G15" s="26"/>
      <c r="H15" s="8"/>
      <c r="I15" s="8"/>
      <c r="J15" s="2"/>
      <c r="K15" s="25">
        <v>9004</v>
      </c>
      <c r="L15" s="9" t="s">
        <v>158</v>
      </c>
      <c r="M15" s="16" t="s">
        <v>25</v>
      </c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9031</v>
      </c>
      <c r="L16" s="9" t="s">
        <v>160</v>
      </c>
      <c r="M16" s="16" t="s">
        <v>25</v>
      </c>
      <c r="R16" s="1">
        <f>IF(vend24[[#This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9022</v>
      </c>
      <c r="L17" s="9" t="s">
        <v>158</v>
      </c>
      <c r="M17" s="16" t="s">
        <v>25</v>
      </c>
      <c r="R17" s="1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8" t="s">
        <v>26</v>
      </c>
      <c r="C21" s="32">
        <f>C5</f>
        <v>300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9021</v>
      </c>
      <c r="F26" s="25" t="s">
        <v>302</v>
      </c>
      <c r="G26" s="26" t="s">
        <v>6</v>
      </c>
      <c r="H26" s="8">
        <v>0</v>
      </c>
      <c r="I26" s="8">
        <v>2500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9021</v>
      </c>
      <c r="F27" s="25" t="s">
        <v>302</v>
      </c>
      <c r="G27" s="26" t="s">
        <v>8</v>
      </c>
      <c r="H27" s="8">
        <v>0</v>
      </c>
      <c r="I27" s="8">
        <v>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9022</v>
      </c>
      <c r="F28" s="25" t="s">
        <v>302</v>
      </c>
      <c r="G28" s="26" t="s">
        <v>8</v>
      </c>
      <c r="H28" s="8">
        <v>0</v>
      </c>
      <c r="I28" s="8">
        <v>399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9023</v>
      </c>
      <c r="F29" s="25" t="s">
        <v>302</v>
      </c>
      <c r="G29" s="26" t="s">
        <v>8</v>
      </c>
      <c r="H29" s="8">
        <v>0</v>
      </c>
      <c r="I29" s="8">
        <v>101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6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45407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1471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9086</v>
      </c>
      <c r="F6" s="25" t="s">
        <v>303</v>
      </c>
      <c r="G6" s="26" t="s">
        <v>7</v>
      </c>
      <c r="H6" s="8">
        <v>800</v>
      </c>
      <c r="I6" s="8">
        <v>150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9087</v>
      </c>
      <c r="F7" s="25" t="s">
        <v>304</v>
      </c>
      <c r="G7" s="26" t="s">
        <v>7</v>
      </c>
      <c r="H7" s="8">
        <v>100</v>
      </c>
      <c r="I7" s="8">
        <v>50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20</v>
      </c>
      <c r="C8" s="29">
        <f>SUM(C6:C7)</f>
        <v>400</v>
      </c>
      <c r="D8" s="2"/>
      <c r="E8" s="18">
        <v>9088</v>
      </c>
      <c r="F8" s="25" t="s">
        <v>305</v>
      </c>
      <c r="G8" s="26" t="s">
        <v>6</v>
      </c>
      <c r="H8" s="8">
        <v>130</v>
      </c>
      <c r="I8" s="8">
        <v>130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9089</v>
      </c>
      <c r="F9" s="25" t="s">
        <v>306</v>
      </c>
      <c r="G9" s="26" t="s">
        <v>7</v>
      </c>
      <c r="H9" s="8">
        <v>441</v>
      </c>
      <c r="I9" s="8">
        <v>70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10" t="s">
        <v>5</v>
      </c>
      <c r="C10" s="110"/>
      <c r="D10" s="2"/>
      <c r="E10" s="18"/>
      <c r="F10" s="25"/>
      <c r="G10" s="26" t="s">
        <v>8</v>
      </c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IF(C15=0,0,1)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270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18"/>
      <c r="F13" s="25"/>
      <c r="G13" s="26"/>
      <c r="H13" s="8"/>
      <c r="I13" s="8" t="s">
        <v>58</v>
      </c>
      <c r="J13" s="2"/>
      <c r="K13" s="112" t="s">
        <v>21</v>
      </c>
      <c r="L13" s="113"/>
      <c r="M13" s="114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427.14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2:18" ht="15.75" x14ac:dyDescent="0.25">
      <c r="B15" s="28" t="s">
        <v>10</v>
      </c>
      <c r="C15" s="32">
        <f ca="1">SUM(C11:C14)</f>
        <v>927.14</v>
      </c>
      <c r="D15" s="2"/>
      <c r="E15" s="18"/>
      <c r="F15" s="25"/>
      <c r="G15" s="26"/>
      <c r="H15" s="8"/>
      <c r="I15" s="8"/>
      <c r="J15" s="2"/>
      <c r="K15" s="25">
        <v>9088</v>
      </c>
      <c r="L15" s="9" t="s">
        <v>131</v>
      </c>
      <c r="M15" s="16" t="s">
        <v>25</v>
      </c>
      <c r="R15" s="1">
        <f>IF(vend25[[#This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8908</v>
      </c>
      <c r="L16" s="9" t="s">
        <v>131</v>
      </c>
      <c r="M16" s="16" t="s">
        <v>25</v>
      </c>
      <c r="R16" s="1">
        <f>IF(vend25[[#This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8" t="s">
        <v>26</v>
      </c>
      <c r="C21" s="32">
        <f>C5</f>
        <v>1471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8655</v>
      </c>
      <c r="F35" s="25" t="s">
        <v>307</v>
      </c>
      <c r="G35" s="26" t="s">
        <v>9</v>
      </c>
      <c r="H35" s="78">
        <v>60</v>
      </c>
      <c r="I35" s="8" t="s">
        <v>47</v>
      </c>
      <c r="K35" s="25"/>
      <c r="L35" s="41"/>
      <c r="M35" s="16"/>
    </row>
    <row r="36" spans="5:18" ht="15.75" x14ac:dyDescent="0.25">
      <c r="E36" s="18">
        <v>8493</v>
      </c>
      <c r="F36" s="25" t="s">
        <v>308</v>
      </c>
      <c r="G36" s="26" t="s">
        <v>9</v>
      </c>
      <c r="H36" s="8">
        <v>130</v>
      </c>
      <c r="I36" s="8" t="s">
        <v>53</v>
      </c>
      <c r="K36" s="25"/>
      <c r="L36" s="41"/>
      <c r="M36" s="16"/>
    </row>
    <row r="37" spans="5:18" ht="15.75" x14ac:dyDescent="0.25">
      <c r="E37" s="18">
        <v>8551</v>
      </c>
      <c r="F37" s="25" t="s">
        <v>309</v>
      </c>
      <c r="G37" s="26" t="s">
        <v>9</v>
      </c>
      <c r="H37" s="8">
        <v>98.57</v>
      </c>
      <c r="I37" s="8" t="s">
        <v>35</v>
      </c>
      <c r="K37" s="25"/>
      <c r="L37" s="41"/>
      <c r="M37" s="16"/>
    </row>
    <row r="38" spans="5:18" ht="15.75" x14ac:dyDescent="0.25">
      <c r="E38" s="18">
        <v>8551</v>
      </c>
      <c r="F38" s="25" t="s">
        <v>309</v>
      </c>
      <c r="G38" s="26" t="s">
        <v>9</v>
      </c>
      <c r="H38" s="8">
        <v>98.57</v>
      </c>
      <c r="I38" s="8" t="s">
        <v>55</v>
      </c>
      <c r="K38" s="25"/>
      <c r="L38" s="41"/>
      <c r="M38" s="16"/>
    </row>
    <row r="39" spans="5:18" ht="15.75" x14ac:dyDescent="0.25">
      <c r="E39" s="18">
        <v>8337</v>
      </c>
      <c r="F39" s="39" t="s">
        <v>310</v>
      </c>
      <c r="G39" s="26" t="s">
        <v>6</v>
      </c>
      <c r="H39" s="8">
        <v>100</v>
      </c>
      <c r="I39" s="8" t="s">
        <v>52</v>
      </c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9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45408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6393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4240</v>
      </c>
      <c r="D6" s="2"/>
      <c r="E6" s="18">
        <v>9090</v>
      </c>
      <c r="F6" s="25" t="s">
        <v>311</v>
      </c>
      <c r="G6" s="26" t="s">
        <v>9</v>
      </c>
      <c r="H6" s="8">
        <v>300</v>
      </c>
      <c r="I6" s="8">
        <v>30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9091</v>
      </c>
      <c r="F7" s="25" t="s">
        <v>312</v>
      </c>
      <c r="G7" s="26"/>
      <c r="H7" s="8">
        <v>900</v>
      </c>
      <c r="I7" s="8"/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20</v>
      </c>
      <c r="C8" s="29">
        <f>SUM(C6:C7)</f>
        <v>4240</v>
      </c>
      <c r="D8" s="2"/>
      <c r="E8" s="18">
        <v>9092</v>
      </c>
      <c r="F8" s="25" t="s">
        <v>313</v>
      </c>
      <c r="G8" s="26" t="s">
        <v>6</v>
      </c>
      <c r="H8" s="8">
        <v>690</v>
      </c>
      <c r="I8" s="8">
        <v>10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9093</v>
      </c>
      <c r="F9" s="25" t="s">
        <v>314</v>
      </c>
      <c r="G9" s="26" t="s">
        <v>6</v>
      </c>
      <c r="H9" s="8">
        <v>600</v>
      </c>
      <c r="I9" s="8">
        <v>100</v>
      </c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9094</v>
      </c>
      <c r="F10" s="25" t="s">
        <v>315</v>
      </c>
      <c r="G10" s="26" t="s">
        <v>6</v>
      </c>
      <c r="H10" s="8">
        <v>400</v>
      </c>
      <c r="I10" s="8">
        <v>1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507</v>
      </c>
      <c r="D11" s="2"/>
      <c r="E11" s="18">
        <v>9095</v>
      </c>
      <c r="F11" s="25" t="s">
        <v>315</v>
      </c>
      <c r="G11" s="26" t="s">
        <v>6</v>
      </c>
      <c r="H11" s="8">
        <v>400</v>
      </c>
      <c r="I11" s="8">
        <v>1</v>
      </c>
      <c r="J11" s="2"/>
      <c r="K11" s="27"/>
      <c r="L11" s="9"/>
      <c r="M11" s="16"/>
      <c r="O11" s="1">
        <f>IF(C15=0,0,1)</f>
        <v>1</v>
      </c>
      <c r="R11" s="1">
        <f>IF(vend26[[#This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384</v>
      </c>
      <c r="D12" s="2"/>
      <c r="E12" s="18">
        <v>9096</v>
      </c>
      <c r="F12" s="25" t="s">
        <v>316</v>
      </c>
      <c r="G12" s="26" t="s">
        <v>8</v>
      </c>
      <c r="H12" s="8">
        <v>550</v>
      </c>
      <c r="I12" s="8">
        <v>550</v>
      </c>
      <c r="J12" s="2"/>
      <c r="R12" s="1">
        <f>IF(vend26[[#This Row],[Nº Venda]]&gt;1,1,0)</f>
        <v>1</v>
      </c>
    </row>
    <row r="13" spans="2:18" ht="15.75" x14ac:dyDescent="0.25">
      <c r="B13" s="30" t="s">
        <v>8</v>
      </c>
      <c r="C13" s="31">
        <f t="shared" si="0"/>
        <v>3220</v>
      </c>
      <c r="D13" s="2"/>
      <c r="E13" s="18">
        <v>9097</v>
      </c>
      <c r="F13" s="25" t="s">
        <v>317</v>
      </c>
      <c r="G13" s="26" t="s">
        <v>7</v>
      </c>
      <c r="H13" s="8">
        <v>284</v>
      </c>
      <c r="I13" s="8">
        <v>234</v>
      </c>
      <c r="J13" s="2"/>
      <c r="K13" s="112" t="s">
        <v>21</v>
      </c>
      <c r="L13" s="113"/>
      <c r="M13" s="114"/>
      <c r="R13" s="1">
        <f>IF(vend26[[#This Row],[Nº Venda]]&gt;1,1,0)</f>
        <v>1</v>
      </c>
    </row>
    <row r="14" spans="2:18" ht="15.75" x14ac:dyDescent="0.25">
      <c r="B14" s="30" t="s">
        <v>9</v>
      </c>
      <c r="C14" s="31">
        <f t="shared" si="0"/>
        <v>433.1</v>
      </c>
      <c r="D14" s="2"/>
      <c r="E14" s="18">
        <v>9097</v>
      </c>
      <c r="F14" s="25" t="s">
        <v>317</v>
      </c>
      <c r="G14" s="26" t="s">
        <v>7</v>
      </c>
      <c r="H14" s="8"/>
      <c r="I14" s="8">
        <v>50</v>
      </c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1</v>
      </c>
    </row>
    <row r="15" spans="2:18" ht="15.75" x14ac:dyDescent="0.25">
      <c r="B15" s="28" t="s">
        <v>10</v>
      </c>
      <c r="C15" s="32">
        <f>SUM(C11:C14)</f>
        <v>4544.1000000000004</v>
      </c>
      <c r="D15" s="2"/>
      <c r="E15" s="18">
        <v>9098</v>
      </c>
      <c r="F15" s="25" t="s">
        <v>318</v>
      </c>
      <c r="G15" s="26" t="s">
        <v>9</v>
      </c>
      <c r="H15" s="8">
        <v>99</v>
      </c>
      <c r="I15" s="8">
        <v>99</v>
      </c>
      <c r="J15" s="2"/>
      <c r="K15" s="25">
        <v>8978</v>
      </c>
      <c r="L15" s="9" t="s">
        <v>158</v>
      </c>
      <c r="M15" s="16" t="s">
        <v>25</v>
      </c>
      <c r="R15" s="1">
        <f>IF(vend26[[#This Row],[Nº Venda]]&gt;1,1,0)</f>
        <v>1</v>
      </c>
    </row>
    <row r="16" spans="2:18" ht="15.75" x14ac:dyDescent="0.25">
      <c r="B16" s="2"/>
      <c r="C16" s="2"/>
      <c r="D16" s="2"/>
      <c r="E16" s="18">
        <v>9099</v>
      </c>
      <c r="F16" s="25" t="s">
        <v>319</v>
      </c>
      <c r="G16" s="26" t="s">
        <v>8</v>
      </c>
      <c r="H16" s="8">
        <v>490</v>
      </c>
      <c r="I16" s="8">
        <v>490</v>
      </c>
      <c r="J16" s="2"/>
      <c r="K16" s="25">
        <v>8996</v>
      </c>
      <c r="L16" s="9" t="s">
        <v>160</v>
      </c>
      <c r="M16" s="16" t="s">
        <v>170</v>
      </c>
      <c r="R16" s="1">
        <f>IF(vend26[[#This Row],[Nº Venda]]&gt;1,1,0)</f>
        <v>1</v>
      </c>
    </row>
    <row r="17" spans="2:18" ht="15.75" x14ac:dyDescent="0.25">
      <c r="B17" s="110" t="s">
        <v>11</v>
      </c>
      <c r="C17" s="110"/>
      <c r="D17" s="2"/>
      <c r="E17" s="18">
        <v>9100</v>
      </c>
      <c r="F17" s="25" t="s">
        <v>320</v>
      </c>
      <c r="G17" s="26" t="s">
        <v>8</v>
      </c>
      <c r="H17" s="8">
        <v>1600</v>
      </c>
      <c r="I17" s="8">
        <v>1600</v>
      </c>
      <c r="J17" s="2"/>
      <c r="K17" s="25">
        <v>9034</v>
      </c>
      <c r="L17" s="9" t="s">
        <v>131</v>
      </c>
      <c r="M17" s="16" t="s">
        <v>25</v>
      </c>
      <c r="R17" s="1">
        <f>IF(vend26[[#This Row],[Nº Venda]]&gt;1,1,0)</f>
        <v>1</v>
      </c>
    </row>
    <row r="18" spans="2:18" ht="15.75" x14ac:dyDescent="0.25">
      <c r="B18" s="30">
        <f>COUNT(entr_carn26[OS])</f>
        <v>1</v>
      </c>
      <c r="C18" s="31">
        <f>SUM(entr_carn26[Valor Total])</f>
        <v>495</v>
      </c>
      <c r="D18" s="2"/>
      <c r="E18" s="18">
        <v>9101</v>
      </c>
      <c r="F18" s="25" t="s">
        <v>321</v>
      </c>
      <c r="G18" s="26" t="s">
        <v>8</v>
      </c>
      <c r="H18" s="8">
        <v>480</v>
      </c>
      <c r="I18" s="8">
        <v>480</v>
      </c>
      <c r="J18" s="2"/>
      <c r="K18" s="25">
        <v>9098</v>
      </c>
      <c r="L18" s="9" t="s">
        <v>131</v>
      </c>
      <c r="M18" s="16" t="s">
        <v>25</v>
      </c>
      <c r="R18" s="1">
        <f>IF(vend26[[#This Row],[Nº Venda]]&gt;1,1,0)</f>
        <v>1</v>
      </c>
    </row>
    <row r="19" spans="2:18" ht="15.75" x14ac:dyDescent="0.25">
      <c r="B19" s="28" t="s">
        <v>10</v>
      </c>
      <c r="C19" s="32">
        <f>SUM(C18:C18)</f>
        <v>495</v>
      </c>
      <c r="D19" s="2"/>
      <c r="E19" s="18">
        <v>9102</v>
      </c>
      <c r="F19" s="25" t="s">
        <v>326</v>
      </c>
      <c r="G19" s="26" t="s">
        <v>7</v>
      </c>
      <c r="H19" s="8">
        <v>500</v>
      </c>
      <c r="I19" s="8">
        <v>100</v>
      </c>
      <c r="J19" s="2"/>
      <c r="K19" s="25"/>
      <c r="L19" s="9"/>
      <c r="M19" s="16"/>
      <c r="R19" s="1">
        <f>IF(vend26[[#This Row],[Nº Venda]]&gt;1,1,0)</f>
        <v>1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8" t="s">
        <v>26</v>
      </c>
      <c r="C21" s="32">
        <f>C5</f>
        <v>6393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8996</v>
      </c>
      <c r="F26" s="25" t="s">
        <v>322</v>
      </c>
      <c r="G26" s="26" t="s">
        <v>6</v>
      </c>
      <c r="H26" s="8">
        <v>0</v>
      </c>
      <c r="I26" s="8">
        <v>395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8992</v>
      </c>
      <c r="F27" s="25" t="s">
        <v>323</v>
      </c>
      <c r="G27" s="26" t="s">
        <v>8</v>
      </c>
      <c r="H27" s="8">
        <v>0</v>
      </c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8248</v>
      </c>
      <c r="F35" s="25" t="s">
        <v>324</v>
      </c>
      <c r="G35" s="26" t="s">
        <v>9</v>
      </c>
      <c r="H35" s="8">
        <v>95</v>
      </c>
      <c r="I35" s="8" t="s">
        <v>44</v>
      </c>
      <c r="K35" s="25">
        <v>8996</v>
      </c>
      <c r="L35" s="41">
        <v>5</v>
      </c>
      <c r="M35" s="16">
        <v>495</v>
      </c>
    </row>
    <row r="36" spans="5:18" ht="15.75" x14ac:dyDescent="0.25">
      <c r="E36" s="18">
        <v>8110</v>
      </c>
      <c r="F36" s="25" t="s">
        <v>325</v>
      </c>
      <c r="G36" s="26" t="s">
        <v>9</v>
      </c>
      <c r="H36" s="8">
        <v>71.599999999999994</v>
      </c>
      <c r="I36" s="8" t="s">
        <v>61</v>
      </c>
      <c r="K36" s="25"/>
      <c r="L36" s="41"/>
      <c r="M36" s="16"/>
    </row>
    <row r="37" spans="5:18" ht="15.75" x14ac:dyDescent="0.25">
      <c r="E37" s="18">
        <v>3871</v>
      </c>
      <c r="F37" s="25" t="s">
        <v>173</v>
      </c>
      <c r="G37" s="26" t="s">
        <v>9</v>
      </c>
      <c r="H37" s="8">
        <v>137.5</v>
      </c>
      <c r="I37" s="8" t="s">
        <v>34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4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45409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2099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1670</v>
      </c>
      <c r="D6" s="2"/>
      <c r="E6" s="18">
        <v>9103</v>
      </c>
      <c r="F6" s="25" t="s">
        <v>327</v>
      </c>
      <c r="G6" s="26" t="s">
        <v>8</v>
      </c>
      <c r="H6" s="8">
        <v>500</v>
      </c>
      <c r="I6" s="8">
        <v>500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9104</v>
      </c>
      <c r="F7" s="25" t="s">
        <v>328</v>
      </c>
      <c r="G7" s="26" t="s">
        <v>8</v>
      </c>
      <c r="H7" s="8">
        <v>650</v>
      </c>
      <c r="I7" s="8">
        <v>50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20</v>
      </c>
      <c r="C8" s="29">
        <f>SUM(C6:C7)</f>
        <v>1670</v>
      </c>
      <c r="D8" s="2"/>
      <c r="E8" s="18">
        <v>9105</v>
      </c>
      <c r="F8" s="25" t="s">
        <v>330</v>
      </c>
      <c r="G8" s="26" t="s">
        <v>9</v>
      </c>
      <c r="H8" s="8">
        <v>49</v>
      </c>
      <c r="I8" s="8">
        <v>49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1371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49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1670</v>
      </c>
      <c r="D15" s="2"/>
      <c r="E15" s="18"/>
      <c r="F15" s="25"/>
      <c r="G15" s="26"/>
      <c r="H15" s="8"/>
      <c r="I15" s="8"/>
      <c r="J15" s="2"/>
      <c r="K15" s="25">
        <v>9076</v>
      </c>
      <c r="L15" s="9" t="s">
        <v>160</v>
      </c>
      <c r="M15" s="16" t="s">
        <v>25</v>
      </c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9077</v>
      </c>
      <c r="L16" s="9" t="s">
        <v>158</v>
      </c>
      <c r="M16" s="16" t="s">
        <v>25</v>
      </c>
      <c r="R16" s="1">
        <f>IF(vend27[[#This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9087</v>
      </c>
      <c r="L17" s="9" t="s">
        <v>158</v>
      </c>
      <c r="M17" s="16" t="s">
        <v>25</v>
      </c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18"/>
      <c r="F18" s="25"/>
      <c r="G18" s="26"/>
      <c r="H18" s="8"/>
      <c r="I18" s="8"/>
      <c r="J18" s="2"/>
      <c r="K18" s="25">
        <v>9025</v>
      </c>
      <c r="L18" s="9" t="s">
        <v>131</v>
      </c>
      <c r="M18" s="16" t="s">
        <v>25</v>
      </c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9015</v>
      </c>
      <c r="L19" s="9" t="s">
        <v>160</v>
      </c>
      <c r="M19" s="16" t="s">
        <v>25</v>
      </c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8" t="s">
        <v>26</v>
      </c>
      <c r="C21" s="32">
        <f>C5</f>
        <v>2099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9077</v>
      </c>
      <c r="F26" s="25" t="s">
        <v>178</v>
      </c>
      <c r="G26" s="26" t="s">
        <v>8</v>
      </c>
      <c r="H26" s="8">
        <v>0</v>
      </c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9087</v>
      </c>
      <c r="F27" s="25" t="s">
        <v>329</v>
      </c>
      <c r="G27" s="26" t="s">
        <v>7</v>
      </c>
      <c r="H27" s="8">
        <v>0</v>
      </c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9089</v>
      </c>
      <c r="F28" s="25" t="s">
        <v>306</v>
      </c>
      <c r="G28" s="26" t="s">
        <v>8</v>
      </c>
      <c r="H28" s="8">
        <v>0</v>
      </c>
      <c r="I28" s="8">
        <v>321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9091</v>
      </c>
      <c r="F29" s="25" t="s">
        <v>312</v>
      </c>
      <c r="G29" s="26" t="s">
        <v>6</v>
      </c>
      <c r="H29" s="8">
        <v>900</v>
      </c>
      <c r="I29" s="8">
        <v>200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3" zoomScale="80" zoomScaleNormal="80" workbookViewId="0">
      <selection activeCell="K15" sqref="K15: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45410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31" zoomScale="80" zoomScaleNormal="80" workbookViewId="0">
      <selection activeCell="K35" sqref="K35:M3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5">
        <f>'28'!B1+1</f>
        <v>45411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983.99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1209</v>
      </c>
      <c r="D6" s="2"/>
      <c r="E6" s="18">
        <v>9106</v>
      </c>
      <c r="F6" s="25" t="s">
        <v>331</v>
      </c>
      <c r="G6" s="26" t="s">
        <v>9</v>
      </c>
      <c r="H6" s="8">
        <v>125</v>
      </c>
      <c r="I6" s="8">
        <v>25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9107</v>
      </c>
      <c r="F7" s="25" t="s">
        <v>331</v>
      </c>
      <c r="G7" s="26" t="s">
        <v>9</v>
      </c>
      <c r="H7" s="8">
        <v>199.99</v>
      </c>
      <c r="I7" s="8">
        <v>25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20</v>
      </c>
      <c r="C8" s="29">
        <f>SUM(C6:C7)</f>
        <v>1209</v>
      </c>
      <c r="D8" s="2"/>
      <c r="E8" s="18">
        <v>9108</v>
      </c>
      <c r="F8" s="25" t="s">
        <v>332</v>
      </c>
      <c r="G8" s="26" t="s">
        <v>7</v>
      </c>
      <c r="H8" s="8">
        <v>159</v>
      </c>
      <c r="I8" s="8">
        <v>159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9109</v>
      </c>
      <c r="F9" s="25" t="s">
        <v>333</v>
      </c>
      <c r="G9" s="26" t="s">
        <v>8</v>
      </c>
      <c r="H9" s="8">
        <v>200</v>
      </c>
      <c r="I9" s="8">
        <v>200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9110</v>
      </c>
      <c r="F10" s="25" t="s">
        <v>334</v>
      </c>
      <c r="G10" s="26" t="s">
        <v>9</v>
      </c>
      <c r="H10" s="8">
        <v>300</v>
      </c>
      <c r="I10" s="8">
        <v>300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159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850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1209</v>
      </c>
      <c r="D15" s="2"/>
      <c r="E15" s="18"/>
      <c r="F15" s="25"/>
      <c r="G15" s="26"/>
      <c r="H15" s="8"/>
      <c r="I15" s="8"/>
      <c r="J15" s="2"/>
      <c r="K15" s="25">
        <v>9046</v>
      </c>
      <c r="L15" s="9" t="s">
        <v>131</v>
      </c>
      <c r="M15" s="16" t="s">
        <v>25</v>
      </c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9109</v>
      </c>
      <c r="L16" s="9" t="s">
        <v>131</v>
      </c>
      <c r="M16" s="16" t="s">
        <v>25</v>
      </c>
      <c r="R16" s="1">
        <f>IF(vend29[[#This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9108</v>
      </c>
      <c r="L17" s="9" t="s">
        <v>131</v>
      </c>
      <c r="M17" s="16" t="s">
        <v>25</v>
      </c>
      <c r="R17" s="1">
        <f>IF(vend29[[#This Row],[Nº Venda]]&gt;1,1,0)</f>
        <v>0</v>
      </c>
    </row>
    <row r="18" spans="2:18" ht="15.75" x14ac:dyDescent="0.25">
      <c r="B18" s="30">
        <f>COUNT(entr_carn29[OS])</f>
        <v>1</v>
      </c>
      <c r="C18" s="31">
        <f>SUM(entr_carn29[Valor Total])</f>
        <v>500</v>
      </c>
      <c r="D18" s="2"/>
      <c r="E18" s="18"/>
      <c r="F18" s="25"/>
      <c r="G18" s="26"/>
      <c r="H18" s="8"/>
      <c r="I18" s="8"/>
      <c r="J18" s="2"/>
      <c r="K18" s="25">
        <v>9110</v>
      </c>
      <c r="L18" s="9" t="s">
        <v>131</v>
      </c>
      <c r="M18" s="16" t="s">
        <v>25</v>
      </c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500</v>
      </c>
      <c r="D19" s="2"/>
      <c r="E19" s="18"/>
      <c r="F19" s="25"/>
      <c r="G19" s="26"/>
      <c r="H19" s="8"/>
      <c r="I19" s="8"/>
      <c r="J19" s="2"/>
      <c r="K19" s="25">
        <v>9058</v>
      </c>
      <c r="L19" s="9" t="s">
        <v>158</v>
      </c>
      <c r="M19" s="16" t="s">
        <v>170</v>
      </c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8" t="s">
        <v>26</v>
      </c>
      <c r="C21" s="32">
        <f>C5</f>
        <v>983.99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9046</v>
      </c>
      <c r="F26" s="25" t="s">
        <v>334</v>
      </c>
      <c r="G26" s="26" t="s">
        <v>9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>
        <v>9058</v>
      </c>
      <c r="L35" s="41">
        <v>7</v>
      </c>
      <c r="M35" s="16">
        <v>500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G35:G41 G26:G31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7" zoomScale="80" zoomScaleNormal="8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hidden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45412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4990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1054.99</v>
      </c>
      <c r="D6" s="2"/>
      <c r="E6" s="18">
        <v>9111</v>
      </c>
      <c r="F6" s="25" t="s">
        <v>335</v>
      </c>
      <c r="G6" s="26" t="s">
        <v>8</v>
      </c>
      <c r="H6" s="8">
        <v>340</v>
      </c>
      <c r="I6" s="8">
        <v>300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9112</v>
      </c>
      <c r="F7" s="25" t="s">
        <v>336</v>
      </c>
      <c r="G7" s="26" t="s">
        <v>8</v>
      </c>
      <c r="H7" s="8">
        <v>1900</v>
      </c>
      <c r="I7" s="8">
        <v>50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20</v>
      </c>
      <c r="C8" s="29">
        <f>SUM(C6:C7)</f>
        <v>1054.99</v>
      </c>
      <c r="D8" s="2"/>
      <c r="E8" s="18">
        <v>9113</v>
      </c>
      <c r="F8" s="25" t="s">
        <v>336</v>
      </c>
      <c r="G8" s="26" t="s">
        <v>8</v>
      </c>
      <c r="H8" s="8">
        <v>1060</v>
      </c>
      <c r="I8" s="8">
        <v>50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9114</v>
      </c>
      <c r="F9" s="25" t="s">
        <v>256</v>
      </c>
      <c r="G9" s="26" t="s">
        <v>40</v>
      </c>
      <c r="H9" s="8"/>
      <c r="I9" s="8" t="s">
        <v>58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110" t="s">
        <v>5</v>
      </c>
      <c r="C10" s="110"/>
      <c r="D10" s="2"/>
      <c r="E10" s="18">
        <v>9115</v>
      </c>
      <c r="F10" s="25" t="s">
        <v>337</v>
      </c>
      <c r="G10" s="26" t="s">
        <v>40</v>
      </c>
      <c r="H10" s="8"/>
      <c r="I10" s="8"/>
      <c r="J10" s="2"/>
      <c r="K10" s="25"/>
      <c r="L10" s="9"/>
      <c r="M10" s="16"/>
      <c r="R10" s="1">
        <f>IF(vend30[[#This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225</v>
      </c>
      <c r="D11" s="2"/>
      <c r="E11" s="18">
        <v>9916</v>
      </c>
      <c r="F11" s="25" t="s">
        <v>342</v>
      </c>
      <c r="G11" s="26" t="s">
        <v>7</v>
      </c>
      <c r="H11" s="8">
        <v>1690</v>
      </c>
      <c r="I11" s="8">
        <v>200</v>
      </c>
      <c r="J11" s="2"/>
      <c r="K11" s="27"/>
      <c r="L11" s="9"/>
      <c r="M11" s="16"/>
      <c r="O11" s="1">
        <f>IF(C15=0,0,1)</f>
        <v>1</v>
      </c>
      <c r="R11" s="1">
        <f>IF(vend30[[#This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380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674.99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237.5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1517.49</v>
      </c>
      <c r="D15" s="2"/>
      <c r="E15" s="18"/>
      <c r="F15" s="25"/>
      <c r="G15" s="26"/>
      <c r="H15" s="8"/>
      <c r="I15" s="8"/>
      <c r="J15" s="2"/>
      <c r="K15" s="25">
        <v>9106</v>
      </c>
      <c r="L15" s="9" t="s">
        <v>158</v>
      </c>
      <c r="M15" s="16" t="s">
        <v>25</v>
      </c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8891</v>
      </c>
      <c r="L16" s="9" t="s">
        <v>160</v>
      </c>
      <c r="M16" s="16" t="s">
        <v>25</v>
      </c>
      <c r="R16" s="1">
        <f>IF(vend30[[#This Row],[Nº Venda]]&gt;1,1,0)</f>
        <v>0</v>
      </c>
    </row>
    <row r="17" spans="2:22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>
        <v>9105</v>
      </c>
      <c r="L17" s="9" t="s">
        <v>160</v>
      </c>
      <c r="M17" s="16" t="s">
        <v>25</v>
      </c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18"/>
      <c r="F18" s="25"/>
      <c r="G18" s="26"/>
      <c r="H18" s="8"/>
      <c r="I18" s="8"/>
      <c r="J18" s="2"/>
      <c r="K18" s="25">
        <v>9070</v>
      </c>
      <c r="L18" s="9" t="s">
        <v>158</v>
      </c>
      <c r="M18" s="16" t="s">
        <v>25</v>
      </c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9038</v>
      </c>
      <c r="L19" s="9" t="s">
        <v>131</v>
      </c>
      <c r="M19" s="16" t="s">
        <v>25</v>
      </c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9111</v>
      </c>
      <c r="L20" s="9" t="s">
        <v>131</v>
      </c>
      <c r="M20" s="16" t="s">
        <v>25</v>
      </c>
      <c r="R20" s="1">
        <f>IF(vend30[[#This Row],[Nº Venda]]&gt;1,1,0)</f>
        <v>0</v>
      </c>
    </row>
    <row r="21" spans="2:22" ht="15.75" x14ac:dyDescent="0.25">
      <c r="B21" s="28" t="s">
        <v>26</v>
      </c>
      <c r="C21" s="32">
        <f>C5</f>
        <v>4990</v>
      </c>
      <c r="D21" s="2"/>
      <c r="E21" s="18"/>
      <c r="F21" s="25"/>
      <c r="G21" s="26"/>
      <c r="H21" s="8"/>
      <c r="I21" s="8"/>
      <c r="J21" s="2"/>
      <c r="K21" s="25">
        <v>9074</v>
      </c>
      <c r="L21" s="9" t="s">
        <v>160</v>
      </c>
      <c r="M21" s="16" t="s">
        <v>25</v>
      </c>
      <c r="V21" s="1" t="s">
        <v>125</v>
      </c>
    </row>
    <row r="22" spans="2:22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9062</v>
      </c>
      <c r="L22" s="9" t="s">
        <v>131</v>
      </c>
      <c r="M22" s="16" t="s">
        <v>25</v>
      </c>
    </row>
    <row r="23" spans="2:22" ht="15" x14ac:dyDescent="0.25">
      <c r="B23" s="2"/>
      <c r="C23" s="2"/>
      <c r="D23" s="2"/>
      <c r="E23" s="33"/>
      <c r="H23" s="7"/>
      <c r="J23" s="2"/>
      <c r="K23" s="25">
        <v>9019</v>
      </c>
      <c r="L23" s="9" t="s">
        <v>131</v>
      </c>
      <c r="M23" s="16" t="s">
        <v>25</v>
      </c>
    </row>
    <row r="24" spans="2:22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9106</v>
      </c>
      <c r="F26" s="25" t="s">
        <v>338</v>
      </c>
      <c r="G26" s="26" t="s">
        <v>8</v>
      </c>
      <c r="H26" s="8">
        <v>0</v>
      </c>
      <c r="I26" s="8">
        <v>100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9107</v>
      </c>
      <c r="F27" s="25" t="s">
        <v>338</v>
      </c>
      <c r="G27" s="26" t="s">
        <v>8</v>
      </c>
      <c r="H27" s="8">
        <v>0</v>
      </c>
      <c r="I27" s="8">
        <v>174.99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>
        <v>9069</v>
      </c>
      <c r="F28" s="25" t="s">
        <v>343</v>
      </c>
      <c r="G28" s="26" t="s">
        <v>7</v>
      </c>
      <c r="H28" s="8">
        <v>0</v>
      </c>
      <c r="I28" s="8">
        <v>80</v>
      </c>
      <c r="J28" s="2"/>
      <c r="K28" s="25"/>
      <c r="L28" s="9"/>
      <c r="M28" s="16"/>
    </row>
    <row r="29" spans="2:22" ht="15.75" x14ac:dyDescent="0.25">
      <c r="B29" s="2"/>
      <c r="C29" s="2"/>
      <c r="D29" s="2"/>
      <c r="E29" s="18">
        <v>9068</v>
      </c>
      <c r="F29" s="25" t="s">
        <v>343</v>
      </c>
      <c r="G29" s="26" t="s">
        <v>7</v>
      </c>
      <c r="H29" s="8">
        <v>0</v>
      </c>
      <c r="I29" s="8">
        <v>100</v>
      </c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8703</v>
      </c>
      <c r="F35" s="25" t="s">
        <v>339</v>
      </c>
      <c r="G35" s="26" t="s">
        <v>6</v>
      </c>
      <c r="H35" s="8">
        <v>115</v>
      </c>
      <c r="I35" s="8" t="s">
        <v>42</v>
      </c>
      <c r="K35" s="25"/>
      <c r="L35" s="41"/>
      <c r="M35" s="16"/>
    </row>
    <row r="36" spans="5:18" ht="15.75" x14ac:dyDescent="0.25">
      <c r="E36" s="18">
        <v>8703</v>
      </c>
      <c r="F36" s="25" t="s">
        <v>340</v>
      </c>
      <c r="G36" s="26" t="s">
        <v>6</v>
      </c>
      <c r="H36" s="8">
        <v>110</v>
      </c>
      <c r="I36" s="8" t="s">
        <v>54</v>
      </c>
      <c r="K36" s="25"/>
      <c r="L36" s="41"/>
      <c r="M36" s="16"/>
    </row>
    <row r="37" spans="5:18" ht="15.75" x14ac:dyDescent="0.25">
      <c r="E37" s="18">
        <v>8754</v>
      </c>
      <c r="F37" s="25" t="s">
        <v>341</v>
      </c>
      <c r="G37" s="26" t="s">
        <v>9</v>
      </c>
      <c r="H37" s="8">
        <v>237.5</v>
      </c>
      <c r="I37" s="8" t="s">
        <v>81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2" zoomScale="80" zoomScaleNormal="80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45413</v>
      </c>
    </row>
    <row r="2" spans="2:18" ht="18.75" x14ac:dyDescent="0.2">
      <c r="B2" s="115" t="s">
        <v>12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8" t="s">
        <v>1</v>
      </c>
      <c r="F4" s="118"/>
      <c r="G4" s="118"/>
      <c r="H4" s="118"/>
      <c r="I4" s="118"/>
      <c r="J4" s="22"/>
      <c r="K4" s="112" t="s">
        <v>3</v>
      </c>
      <c r="L4" s="113"/>
      <c r="M4" s="114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10" t="s">
        <v>5</v>
      </c>
      <c r="C10" s="11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2" t="s">
        <v>21</v>
      </c>
      <c r="L13" s="113"/>
      <c r="M13" s="114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110" t="s">
        <v>11</v>
      </c>
      <c r="C17" s="110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30">
        <f>COUNT(entr_carn31[OS])</f>
        <v>0</v>
      </c>
      <c r="C18" s="31">
        <f>SUM(entr_carn31[Valor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1" t="s">
        <v>27</v>
      </c>
      <c r="F24" s="111"/>
      <c r="G24" s="111"/>
      <c r="H24" s="111"/>
      <c r="I24" s="11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11" t="s">
        <v>28</v>
      </c>
      <c r="F33" s="111"/>
      <c r="G33" s="111"/>
      <c r="H33" s="111"/>
      <c r="I33" s="111"/>
      <c r="K33" s="112" t="s">
        <v>11</v>
      </c>
      <c r="L33" s="113"/>
      <c r="M33" s="114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48896A60-CF65-4297-AD79-D88F13BF7A80}">
          <x14:formula1>
            <xm:f>base!$A$2:$A$8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base!$A$2:$A$5</xm:f>
          </x14:formula1>
          <xm:sqref>G26:G31 G35:G41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9</v>
      </c>
      <c r="E5" t="s">
        <v>70</v>
      </c>
    </row>
    <row r="6" spans="1:5" x14ac:dyDescent="0.2">
      <c r="A6" s="38" t="s">
        <v>50</v>
      </c>
      <c r="B6" s="38" t="s">
        <v>71</v>
      </c>
      <c r="E6" t="s">
        <v>33</v>
      </c>
    </row>
    <row r="7" spans="1:5" x14ac:dyDescent="0.2">
      <c r="A7" t="s">
        <v>24</v>
      </c>
      <c r="B7" t="s">
        <v>73</v>
      </c>
      <c r="E7" t="s">
        <v>72</v>
      </c>
    </row>
    <row r="8" spans="1:5" x14ac:dyDescent="0.2">
      <c r="A8" s="38" t="s">
        <v>40</v>
      </c>
      <c r="B8" s="38" t="s">
        <v>74</v>
      </c>
      <c r="E8" t="s">
        <v>52</v>
      </c>
    </row>
    <row r="9" spans="1:5" x14ac:dyDescent="0.2">
      <c r="E9" t="s">
        <v>75</v>
      </c>
    </row>
    <row r="10" spans="1:5" x14ac:dyDescent="0.2">
      <c r="E10" t="s">
        <v>76</v>
      </c>
    </row>
    <row r="11" spans="1:5" x14ac:dyDescent="0.2">
      <c r="E11" t="s">
        <v>77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78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81</v>
      </c>
    </row>
    <row r="31" spans="5:5" x14ac:dyDescent="0.2">
      <c r="E31" t="s">
        <v>34</v>
      </c>
    </row>
    <row r="32" spans="5:5" x14ac:dyDescent="0.2">
      <c r="E32" t="s">
        <v>82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2024-05-11T14:12:29Z</cp:lastPrinted>
  <dcterms:created xsi:type="dcterms:W3CDTF">2004-04-07T20:43:43Z</dcterms:created>
  <dcterms:modified xsi:type="dcterms:W3CDTF">2025-05-08T18:35:22Z</dcterms:modified>
  <cp:category/>
  <cp:contentStatus/>
</cp:coreProperties>
</file>