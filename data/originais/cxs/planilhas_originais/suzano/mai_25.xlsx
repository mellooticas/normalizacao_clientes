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omments2.xml" ContentType="application/vnd.openxmlformats-officedocument.spreadsheetml.comments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537" documentId="13_ncr:1_{FBC77D67-0C5A-4FBA-B35F-F02F09241556}" xr6:coauthVersionLast="47" xr6:coauthVersionMax="47" xr10:uidLastSave="{E62D706D-643C-42FD-AF40-22A5A729D63F}"/>
  <bookViews>
    <workbookView minimized="1" xWindow="3660" yWindow="1545" windowWidth="20730" windowHeight="11160" tabRatio="895" firstSheet="6" activeTab="3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24">'24'!$A$1:$M$41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8" l="1"/>
  <c r="C13" i="178"/>
  <c r="C14" i="178"/>
  <c r="C15" i="178"/>
  <c r="C11" i="178"/>
  <c r="C6" i="200" l="1"/>
  <c r="C6" i="172"/>
  <c r="C6" i="180"/>
  <c r="C6" i="186"/>
  <c r="C12" i="170"/>
  <c r="C13" i="170"/>
  <c r="C14" i="170"/>
  <c r="C15" i="170"/>
  <c r="C11" i="170"/>
  <c r="C12" i="188"/>
  <c r="C13" i="188"/>
  <c r="C14" i="188"/>
  <c r="C15" i="188"/>
  <c r="C11" i="18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2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16" i="171"/>
  <c r="R15" i="171"/>
  <c r="C19" i="171"/>
  <c r="C20" i="171" s="1"/>
  <c r="B19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36" i="171"/>
  <c r="B13" i="200"/>
  <c r="B5" i="200"/>
  <c r="B11" i="200"/>
  <c r="B10" i="200"/>
  <c r="B9" i="200"/>
  <c r="B3" i="200"/>
  <c r="B12" i="200"/>
  <c r="C16" i="196"/>
  <c r="C16" i="189"/>
  <c r="C16" i="188"/>
  <c r="C16" i="185"/>
  <c r="C16" i="198"/>
  <c r="C16" i="199"/>
  <c r="C16" i="192"/>
  <c r="C16" i="197"/>
  <c r="C16" i="194"/>
  <c r="C16" i="195"/>
  <c r="C6" i="195" s="1"/>
  <c r="C16" i="193"/>
  <c r="C16" i="191"/>
  <c r="C16" i="190"/>
  <c r="C16" i="187"/>
  <c r="C16" i="186"/>
  <c r="O11" i="186" s="1"/>
  <c r="C16" i="184"/>
  <c r="C16" i="179"/>
  <c r="C16" i="181"/>
  <c r="C16" i="183"/>
  <c r="C16" i="182"/>
  <c r="C16" i="180"/>
  <c r="O11" i="180" s="1"/>
  <c r="C16" i="176"/>
  <c r="C16" i="177"/>
  <c r="C16" i="178"/>
  <c r="C16" i="172"/>
  <c r="O11" i="172" s="1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99"/>
  <c r="C6" i="199"/>
  <c r="C8" i="199" s="1"/>
  <c r="O11" i="192"/>
  <c r="C6" i="192"/>
  <c r="C8" i="192" s="1"/>
  <c r="O11" i="196"/>
  <c r="C6" i="196"/>
  <c r="C8" i="196" s="1"/>
  <c r="O11" i="197"/>
  <c r="C6" i="197"/>
  <c r="C8" i="197" s="1"/>
  <c r="O11" i="194"/>
  <c r="C6" i="194"/>
  <c r="C8" i="194" s="1"/>
  <c r="O11" i="193"/>
  <c r="C6" i="193"/>
  <c r="C8" i="193" s="1"/>
  <c r="O11" i="191"/>
  <c r="C6" i="191"/>
  <c r="C8" i="191" s="1"/>
  <c r="O11" i="190"/>
  <c r="C6" i="190"/>
  <c r="C8" i="190" s="1"/>
  <c r="O11" i="189"/>
  <c r="C6" i="189"/>
  <c r="C8" i="189" s="1"/>
  <c r="O11" i="187"/>
  <c r="C6" i="187"/>
  <c r="C8" i="187" s="1"/>
  <c r="O11" i="185"/>
  <c r="C6" i="185"/>
  <c r="C8" i="185" s="1"/>
  <c r="O11" i="184"/>
  <c r="C6" i="184"/>
  <c r="C8" i="184" s="1"/>
  <c r="O11" i="179"/>
  <c r="C6" i="179"/>
  <c r="C8" i="179" s="1"/>
  <c r="O11" i="181"/>
  <c r="C6" i="181"/>
  <c r="C8" i="181" s="1"/>
  <c r="O11" i="183"/>
  <c r="C6" i="183"/>
  <c r="C8" i="183" s="1"/>
  <c r="O11" i="182"/>
  <c r="C6" i="182"/>
  <c r="C8" i="182" s="1"/>
  <c r="O11" i="176"/>
  <c r="C6" i="176"/>
  <c r="C8" i="176" s="1"/>
  <c r="O11" i="177"/>
  <c r="C6" i="177"/>
  <c r="C8" i="177" s="1"/>
  <c r="O11" i="178"/>
  <c r="C6" i="178"/>
  <c r="C8" i="178" s="1"/>
  <c r="O11" i="170"/>
  <c r="C6" i="170"/>
  <c r="C8" i="170" s="1"/>
  <c r="O11" i="171"/>
  <c r="C6" i="171"/>
  <c r="C8" i="171" s="1"/>
  <c r="O11" i="173"/>
  <c r="C6" i="173"/>
  <c r="C8" i="173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Caixa</author>
  </authors>
  <commentList>
    <comment ref="E16" authorId="0" shapeId="0" xr:uid="{2865D3A7-6D32-4951-A98B-229FA7735EA1}">
      <text>
        <r>
          <rPr>
            <b/>
            <sz val="9"/>
            <color indexed="81"/>
            <rFont val="Segoe UI"/>
            <family val="2"/>
          </rPr>
          <t>Caixa:</t>
        </r>
        <r>
          <rPr>
            <sz val="9"/>
            <color indexed="81"/>
            <rFont val="Segoe UI"/>
            <family val="2"/>
          </rPr>
          <t xml:space="preserve">
OS foi duplicada (10767)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Caixa</author>
  </authors>
  <commentList>
    <comment ref="E6" authorId="0" shapeId="0" xr:uid="{4F6B97A0-33A9-4863-960B-A1F8AAA5EA00}">
      <text>
        <r>
          <rPr>
            <b/>
            <sz val="9"/>
            <color indexed="81"/>
            <rFont val="Segoe UI"/>
            <family val="2"/>
          </rPr>
          <t>Caixa:</t>
        </r>
        <r>
          <rPr>
            <sz val="9"/>
            <color indexed="81"/>
            <rFont val="Segoe UI"/>
            <family val="2"/>
          </rPr>
          <t xml:space="preserve">
OS do cliente duplicada com a OS 10921</t>
        </r>
      </text>
    </comment>
  </commentList>
</comments>
</file>

<file path=xl/sharedStrings.xml><?xml version="1.0" encoding="utf-8"?>
<sst xmlns="http://schemas.openxmlformats.org/spreadsheetml/2006/main" count="2791" uniqueCount="420">
  <si>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</si>
  <si>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</si>
  <si>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</si>
  <si>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</si>
  <si>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</si>
  <si>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</si>
  <si>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</si>
  <si>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</si>
  <si>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</si>
  <si>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</si>
  <si>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</si>
  <si>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</si>
  <si>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</si>
  <si>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</si>
  <si>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</si>
  <si>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</si>
  <si>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</si>
  <si>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</si>
  <si>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</si>
  <si>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</si>
  <si>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</si>
  <si>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</si>
  <si>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</si>
  <si>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</si>
  <si>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</si>
  <si>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</si>
  <si>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</si>
  <si>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</si>
  <si>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</si>
  <si>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</si>
  <si>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</si>
  <si>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</si>
  <si>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</si>
  <si>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</si>
  <si>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</si>
  <si>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</si>
  <si>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</si>
  <si>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</si>
  <si>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</si>
  <si>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</si>
  <si>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</si>
  <si>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</si>
  <si>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</si>
  <si>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</si>
  <si>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</si>
  <si>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</si>
  <si>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</si>
  <si>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</si>
  <si>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</si>
  <si>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</si>
  <si>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</si>
  <si>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</si>
  <si>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</si>
  <si>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</si>
  <si>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</si>
  <si>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</si>
  <si>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</si>
  <si>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</si>
  <si>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</si>
  <si>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</si>
  <si>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</si>
  <si>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</si>
  <si>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</si>
  <si>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</si>
  <si>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</si>
  <si>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</si>
  <si>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</si>
  <si>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</si>
  <si>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</si>
  <si>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</si>
  <si>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</si>
  <si>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</si>
  <si>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</si>
  <si>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</si>
  <si>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</si>
  <si>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</si>
  <si>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</si>
  <si>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</si>
  <si>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</si>
  <si>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</si>
  <si>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</si>
  <si>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</si>
  <si>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</si>
  <si>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</si>
  <si>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</si>
  <si>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</si>
  <si>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</si>
  <si>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</si>
  <si>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</si>
  <si>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</si>
  <si>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</si>
  <si>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</si>
  <si>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</si>
  <si>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</si>
  <si>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</si>
  <si>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</si>
  <si>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</si>
  <si>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</si>
  <si>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</si>
  <si>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</si>
  <si>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</si>
  <si>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</si>
  <si>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</si>
  <si>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</si>
  <si>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</si>
  <si>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</si>
  <si>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</si>
  <si>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</si>
  <si>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</si>
  <si>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</si>
  <si>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</si>
  <si>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</si>
  <si>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</si>
  <si>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</si>
  <si>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</si>
  <si>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</si>
  <si>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</si>
  <si>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</si>
  <si>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</si>
  <si>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</si>
  <si>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</si>
  <si>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</si>
  <si>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</si>
  <si>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</si>
  <si>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</si>
  <si>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</si>
  <si>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</si>
  <si>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</si>
  <si>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</si>
  <si>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</si>
  <si>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</si>
  <si>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</si>
  <si>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</si>
  <si>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</si>
  <si>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</si>
  <si>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</si>
  <si>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suzano 1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</si>
  <si>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</si>
  <si>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</si>
  <si>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</si>
  <si>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</si>
  <si>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</si>
  <si>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</si>
  <si>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</si>
  <si>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ANTONIO TORRES SOBRINHO</t>
  </si>
  <si>
    <t>SACOLA PAPEL KRAFT</t>
  </si>
  <si>
    <t>CAFÉ DA MANHA</t>
  </si>
  <si>
    <t>CAMILA PEREIRA</t>
  </si>
  <si>
    <t>MARIA S DE ARAUJO</t>
  </si>
  <si>
    <t>Não</t>
  </si>
  <si>
    <t>MARIOT MIRANDA DE AGUIAR</t>
  </si>
  <si>
    <t>MARIA MESSIAS BARROS</t>
  </si>
  <si>
    <t>EDILENE SILVA DE SANTANA</t>
  </si>
  <si>
    <t>VERALDA MOREIRA DE SANTANA</t>
  </si>
  <si>
    <t>HEIDI ANTONIA PAULINA SASSAKI</t>
  </si>
  <si>
    <t>MARIA NEUSA DOS SANTOS</t>
  </si>
  <si>
    <t>MARIA ISABEL MARTINS FAGUNDES</t>
  </si>
  <si>
    <t>HEITOR RODRIGUES FIGUEREDO</t>
  </si>
  <si>
    <t>ROBERTO MARCOS BARBOSA</t>
  </si>
  <si>
    <t>JOAO SANTANA DE SIQUEIRA</t>
  </si>
  <si>
    <t>NELMA DE FATIMA</t>
  </si>
  <si>
    <t>GABRIELA ITALA ALVES</t>
  </si>
  <si>
    <t>VALDEMIRA MARIA DOS SANTOS</t>
  </si>
  <si>
    <t>JOSINA BEZERRA DA SILVA</t>
  </si>
  <si>
    <t>DÉBORA  MAGALHÃES DA SILVA</t>
  </si>
  <si>
    <t>RITA DE CASSIA DE SOUZA FREITAS</t>
  </si>
  <si>
    <t>MARIA BETANIA PEREIRA SANTOS</t>
  </si>
  <si>
    <t>CYNTHIA SOUZA LEITE DOS SANTOS</t>
  </si>
  <si>
    <t>KAIQUE GOMES MIRANDA ELIAS</t>
  </si>
  <si>
    <t>LAERTE PADUA FONTANA</t>
  </si>
  <si>
    <t xml:space="preserve">, </t>
  </si>
  <si>
    <t>PEDRO ALVES DE LIMA</t>
  </si>
  <si>
    <t>PÃO</t>
  </si>
  <si>
    <t>MARCIO HENRIQUE FERREIRA</t>
  </si>
  <si>
    <t>LUCIANE ALMEIDA DA SILVA</t>
  </si>
  <si>
    <t>JÉSSICA CONCEIÇÃO PEREIRA</t>
  </si>
  <si>
    <t>NEUSA PAULINA DE SIQUEIRA</t>
  </si>
  <si>
    <t>NEUSA  PAULINA DE SIQUEIRA</t>
  </si>
  <si>
    <t>LUCIANO JOSÉ DA SILVA</t>
  </si>
  <si>
    <t>GENI CARLOS RANGEL</t>
  </si>
  <si>
    <t>ANA LÚCIA DOS SANTOS FERREIRA</t>
  </si>
  <si>
    <t>JOSÉ LUIZ DA SILVA GOMES</t>
  </si>
  <si>
    <t>MARIA DE FATIMA SOARES SILVA</t>
  </si>
  <si>
    <t>LARISSA DOS SANTOS GONÇALVES</t>
  </si>
  <si>
    <t xml:space="preserve">FABIO TASHIO WATANABE </t>
  </si>
  <si>
    <t xml:space="preserve">JOÃO SANTANA DE SIQUEIRA </t>
  </si>
  <si>
    <t>MARIA S DE ARAUJO/RODRIGO S DE ARAUJO</t>
  </si>
  <si>
    <t>JOÃO ROCHA DE OLIVEIRA</t>
  </si>
  <si>
    <t>SILVANA FERREIRA GOMES</t>
  </si>
  <si>
    <t>MITUCO OTUYAMA TAKAHASKI</t>
  </si>
  <si>
    <t>,</t>
  </si>
  <si>
    <t>,,,,,,,,,,,,,,,,,,,,,,,,,,,,,,,,,,,,,,,,,,,,,,,,,,,,,,,,,,,,,,,,,,,,,,,,,,,,,,,,,,,,,,,,,,,,,,,,,,,,,,,,,,,,,,,,,,,,,,,,,,,,,,,,,,,,,,,,,,,,,,,,,,,,,,,,,,,,,,,,,,,,,,,,,,,,,,,,,,,,,,,,,,,,,,,,,,,,</t>
  </si>
  <si>
    <t xml:space="preserve">LAERCIO TADEU </t>
  </si>
  <si>
    <t>FERNANDO DE ANDRADE</t>
  </si>
  <si>
    <t>SONIA DA SILVA</t>
  </si>
  <si>
    <t>ROSANGELA CELESTINO</t>
  </si>
  <si>
    <t>DIEGO SILVA VIANA</t>
  </si>
  <si>
    <t>MARIA JOSE SOUZA (acordo)</t>
  </si>
  <si>
    <t>VAGNER NUNES DA CONCEIÇÃO</t>
  </si>
  <si>
    <t xml:space="preserve">KETTELLYN ARAUJO DE OLIVEIRA </t>
  </si>
  <si>
    <t xml:space="preserve">MARIA JOSE </t>
  </si>
  <si>
    <t xml:space="preserve">JOÃO ROCHA  DE OLIVEIRA </t>
  </si>
  <si>
    <t>SILVIA SANTANA DE LEMOS</t>
  </si>
  <si>
    <t>ANA LUCIA DA SILVA TAVARES</t>
  </si>
  <si>
    <t>MARCIA CRISTINA VASCONSELO</t>
  </si>
  <si>
    <t xml:space="preserve"> CICERO ROBERTO DA SILVA</t>
  </si>
  <si>
    <t>FABIANO EIBEIRO</t>
  </si>
  <si>
    <t>ANDRE SASSO BRANDÃO</t>
  </si>
  <si>
    <t>JOSE ARAUJO RODRIGUES</t>
  </si>
  <si>
    <t>Sim</t>
  </si>
  <si>
    <t>VALDEMICE BATISTA</t>
  </si>
  <si>
    <t>VALDEMICE BATISTA (ADIANTOU METADE DA PARC.)</t>
  </si>
  <si>
    <t>DANIEL MARTINS</t>
  </si>
  <si>
    <t>ANFRISIO FERREIRA</t>
  </si>
  <si>
    <t>MARIA LUZIA DOS SANTOS</t>
  </si>
  <si>
    <t>JOSE HUGO LIMA</t>
  </si>
  <si>
    <t>RICARDO CAPINI</t>
  </si>
  <si>
    <t xml:space="preserve">MARGARIDA OLIVEIRA NASCIMENTO </t>
  </si>
  <si>
    <t>ADRIANA VICTORINO GUEDES</t>
  </si>
  <si>
    <t>ZENILDA MOTA DOS SANTOS</t>
  </si>
  <si>
    <t>JACOB FIRMINO</t>
  </si>
  <si>
    <t>MIRIAM DE SOUZA</t>
  </si>
  <si>
    <t>ALBERTO BENTO DA SILVA</t>
  </si>
  <si>
    <t>GABRIEL HENRIQUE TAVARES</t>
  </si>
  <si>
    <t>HENRIQUE RICHARDESON PEREIRA</t>
  </si>
  <si>
    <t>GABRIELE PEREIRA PIRES</t>
  </si>
  <si>
    <t>PAULO ROGERIO GUIMARAES</t>
  </si>
  <si>
    <t>SACOLA PAPEL</t>
  </si>
  <si>
    <t>RITA DE CASSIA DE SOUZA</t>
  </si>
  <si>
    <t>zenilda mota dos santos cabral</t>
  </si>
  <si>
    <t>ELZA DIAS SILVERIO</t>
  </si>
  <si>
    <t>ELZA SILVEIRA BRASIL</t>
  </si>
  <si>
    <t>RETIRADA DEPOSITO JR</t>
  </si>
  <si>
    <t>RAABE DE JESUS</t>
  </si>
  <si>
    <t>RODRIGO BISPO</t>
  </si>
  <si>
    <t>JOAO ADOLFO BUZZERIO</t>
  </si>
  <si>
    <t>VANDA BALOGO</t>
  </si>
  <si>
    <t>DANIEL SANTOS</t>
  </si>
  <si>
    <t>ELIANE PEDROSO ALVES</t>
  </si>
  <si>
    <t>IDELSITA ALVES DA SILVA</t>
  </si>
  <si>
    <t>GISLAINE PASSARELLI</t>
  </si>
  <si>
    <t xml:space="preserve">ANTONIO MARQUES </t>
  </si>
  <si>
    <t>CONCEIÇÃO AP MARQUES MOURA</t>
  </si>
  <si>
    <t xml:space="preserve">WALDETE ALVES DOS SANTOS </t>
  </si>
  <si>
    <t>KATIA DE OLIVEIRA MOURA</t>
  </si>
  <si>
    <t>ERICA DA SILVA BARBOSA</t>
  </si>
  <si>
    <t>SERGIO SHIGUELO HIRASKA</t>
  </si>
  <si>
    <t>ANTONIA LIMA DOS SANTOS</t>
  </si>
  <si>
    <t xml:space="preserve">SILVIA SANTANA </t>
  </si>
  <si>
    <t>CLAIS INGRID OLIVEIRA</t>
  </si>
  <si>
    <t>GILBERTO DE ALMEIDA</t>
  </si>
  <si>
    <t xml:space="preserve">VAGNER GOMES DE ALMEIDA </t>
  </si>
  <si>
    <t>MAURY AMORIM ARAUJO</t>
  </si>
  <si>
    <t>MAURO YOSHITANI</t>
  </si>
  <si>
    <t>SANDRA FERNANDES</t>
  </si>
  <si>
    <t>PALOMA DOMINGUES</t>
  </si>
  <si>
    <t>PAULO ROBERTO PEREIRA</t>
  </si>
  <si>
    <t xml:space="preserve"> MIRIAN DE OLIVEIRA SANTANA</t>
  </si>
  <si>
    <t>MIRIAN DE OLIVEIRA SANTANA</t>
  </si>
  <si>
    <t>ADRIANO ALVES</t>
  </si>
  <si>
    <t>RETIRADA DEPOSITO</t>
  </si>
  <si>
    <t>Maria Silva de Araújo</t>
  </si>
  <si>
    <t>CARMELINA DA CONCEIÇÃO</t>
  </si>
  <si>
    <t>EDVANIA CARVALHO</t>
  </si>
  <si>
    <t>MARCELO RODRIGUES DA SILVA</t>
  </si>
  <si>
    <t>RUAN DOS SANTOS</t>
  </si>
  <si>
    <t>MARIA LUCILENE NONATO NETO</t>
  </si>
  <si>
    <r>
      <t xml:space="preserve">CAFÉ DA MANHA, ref. </t>
    </r>
    <r>
      <rPr>
        <b/>
        <sz val="10"/>
        <rFont val="Century Gothic"/>
        <family val="2"/>
      </rPr>
      <t>28/04/2025</t>
    </r>
  </si>
  <si>
    <t>CAFE DA MANHA</t>
  </si>
  <si>
    <t xml:space="preserve">CAFÉ DA MANHA </t>
  </si>
  <si>
    <t>EDUARDO ADRIANO</t>
  </si>
  <si>
    <t>CECIIA BOAVENTURA</t>
  </si>
  <si>
    <t>ROBERTO PEZZUOL</t>
  </si>
  <si>
    <t>MICHELY VITAL DE OLIVEIRA</t>
  </si>
  <si>
    <t>SILVANA REJANE FERREIRA</t>
  </si>
  <si>
    <t>MARIA LUCILENE</t>
  </si>
  <si>
    <t>*</t>
  </si>
  <si>
    <t>JAQUELINE MELO DA SILVA</t>
  </si>
  <si>
    <t>SIRLEI BUENO BORGES</t>
  </si>
  <si>
    <t>VALDEMIRA MARIA DOS SANTOS TEIXEIRA</t>
  </si>
  <si>
    <t>QUITERIA MARIA</t>
  </si>
  <si>
    <t>MARIA SANDRA</t>
  </si>
  <si>
    <t>HEITOR RODRIGUES</t>
  </si>
  <si>
    <t>CAMILA VIANA RODRIGUES</t>
  </si>
  <si>
    <t>RUTI ELIAS DOS SANTOS LIMA</t>
  </si>
  <si>
    <t>ROSE MEIRE</t>
  </si>
  <si>
    <t>RONIELIA DA SILVA</t>
  </si>
  <si>
    <t>EDILSON DA CONCEIÇÃO</t>
  </si>
  <si>
    <t xml:space="preserve">PATRICIA PAULINO </t>
  </si>
  <si>
    <t>Depósito bancário: Junior</t>
  </si>
  <si>
    <t>TERESINHA MENDES</t>
  </si>
  <si>
    <t>ROSILEIDE BRITO</t>
  </si>
  <si>
    <t>MARIA HELENICE</t>
  </si>
  <si>
    <t>MAURICIO MONTEIRO DOS SANTOS</t>
  </si>
  <si>
    <t>SILVANA REJANE</t>
  </si>
  <si>
    <t>SIMONICA TAVARES</t>
  </si>
  <si>
    <t>LIDIANE MATOS ROCHA</t>
  </si>
  <si>
    <t>ROZILEIDE BRITO RIBEIRO</t>
  </si>
  <si>
    <t>MONICA APARECIDA DOS SANTOS</t>
  </si>
  <si>
    <t>EDISON LUIS BEBIANO</t>
  </si>
  <si>
    <t>ROBERTO PEZZOL</t>
  </si>
  <si>
    <t>DEPOSITO BANCARIO JUNIOR</t>
  </si>
  <si>
    <t>DEISYANE DE CASTRO</t>
  </si>
  <si>
    <t>LAERCIO TADEU</t>
  </si>
  <si>
    <t>FLAVIA MARIA CRISTINA</t>
  </si>
  <si>
    <t>ISAQUE SOUZA FERNANDES</t>
  </si>
  <si>
    <t>BRUNA DOS SANTOS</t>
  </si>
  <si>
    <t>ROBERTO APARECIDO</t>
  </si>
  <si>
    <t>RAISSA MILENA</t>
  </si>
  <si>
    <t>DEPOSITO BANCARIO JR</t>
  </si>
  <si>
    <t>MARILENE AGOSTINHO</t>
  </si>
  <si>
    <t>MARIA DAS GRAÇAS ALCANTARA</t>
  </si>
  <si>
    <t>IRES QUEIROZ DOS SANTOS</t>
  </si>
  <si>
    <t>DAIANE DA SILVA ANDRADE</t>
  </si>
  <si>
    <t>PRETUCIO</t>
  </si>
  <si>
    <t>CAFÉ DA MANHÃ</t>
  </si>
  <si>
    <t>ROGERIO FAUSTINO DA SILVA</t>
  </si>
  <si>
    <t>HERMELINDA MARIA DE CARVALHO</t>
  </si>
  <si>
    <t>APARECIDA LIMA</t>
  </si>
  <si>
    <t>SARAH DE ALMEIDA</t>
  </si>
  <si>
    <t>PAULA GOMES SANTANA</t>
  </si>
  <si>
    <t>TATIANA SANTOS OLIVEIRA</t>
  </si>
  <si>
    <t>SARA RAQUEL OLIVEIRA SANTANA</t>
  </si>
  <si>
    <t>KAYLLAINE PEREIRA</t>
  </si>
  <si>
    <t>marta vaz</t>
  </si>
  <si>
    <t>LUANA SILVA</t>
  </si>
  <si>
    <t>KARYNNE SOUZA</t>
  </si>
  <si>
    <t>josé roberto lopes</t>
  </si>
  <si>
    <t>pix</t>
  </si>
  <si>
    <t>Pão</t>
  </si>
  <si>
    <t xml:space="preserve">SILVIO NORIMATSU </t>
  </si>
  <si>
    <t>MICHELE SANTOS FONSECA</t>
  </si>
  <si>
    <t xml:space="preserve">ANA FLAVIA FERREIRA CASTRO </t>
  </si>
  <si>
    <t xml:space="preserve">LAURA FERREIRA DE CASTRO </t>
  </si>
  <si>
    <t>MARY SATO</t>
  </si>
  <si>
    <t>ELIANE PEDROSO ALVES DA SILVA</t>
  </si>
  <si>
    <t xml:space="preserve">SARA ROCHA DE JESUS </t>
  </si>
  <si>
    <t>RICARDO HENRIQUE VIEIRA DA SILVA</t>
  </si>
  <si>
    <t>ronielia da silva</t>
  </si>
  <si>
    <t>JOÃO JOSÉ BALOGH VELOSO</t>
  </si>
  <si>
    <t>ANA PAULA SANTOS DA SILVA</t>
  </si>
  <si>
    <t>RAQUEL DIOGO ROSA</t>
  </si>
  <si>
    <t xml:space="preserve">CARMELINA DA CONCEIÇÃO CARBONI CARDOSO </t>
  </si>
  <si>
    <t>LILIAN CRISTINA COUTINHO</t>
  </si>
  <si>
    <t>MARIA JOSÉ FRANCISCO</t>
  </si>
  <si>
    <t>MARY SAITO</t>
  </si>
  <si>
    <t xml:space="preserve">deposito </t>
  </si>
  <si>
    <t>MARIA DAS GRAÇAS</t>
  </si>
  <si>
    <t>ADRIANA APARECIDA BRAZ DA SILVA</t>
  </si>
  <si>
    <t>PAULO AUGUSTO DA SILVA</t>
  </si>
  <si>
    <t>RAQUEL PIRES DA SILVA</t>
  </si>
  <si>
    <t>DÉBORA MAGALHÃES DA SILVA</t>
  </si>
  <si>
    <t>AUZILENE LIMA PEREIRA</t>
  </si>
  <si>
    <t>DORALICE DA CUNHA MARQUES</t>
  </si>
  <si>
    <t>JACKSON WILLIAN GOMES DE ALMEIDA</t>
  </si>
  <si>
    <t>CINTHYA SOUZA LEITE DOS SANTOS</t>
  </si>
  <si>
    <t>KELLY DOS SANTOS FARIA BARBOSA</t>
  </si>
  <si>
    <t>ALINE CRISTINA SANCHES FONSECA</t>
  </si>
  <si>
    <t>LEILA PRESTELO DOS SANTOS</t>
  </si>
  <si>
    <t>ELIANA SALUSTINO MARTINS</t>
  </si>
  <si>
    <t>CAMILA PEREIRA DA SILVA</t>
  </si>
  <si>
    <t>FERNANDA MAGDA BATISTA DE PAULA</t>
  </si>
  <si>
    <t>LUCAS DIAS FERENANDES DE LIMA</t>
  </si>
  <si>
    <t>JOSÉ ROBERTO LOPES</t>
  </si>
  <si>
    <t>WANTUIR GADELHA DOS SANTOS</t>
  </si>
  <si>
    <t>ANISIA RODRIGUES DE SOUZA</t>
  </si>
  <si>
    <t>SONIA APARECIDA SANTOS BATISTA</t>
  </si>
  <si>
    <t>AGNALDO SANTOS FILHO</t>
  </si>
  <si>
    <t xml:space="preserve">CAMILA NONATO SALES </t>
  </si>
  <si>
    <t xml:space="preserve">  </t>
  </si>
  <si>
    <t>ANACLETO ROSA ORTIZ</t>
  </si>
  <si>
    <t>MATHEUS OLIVEIRA CAMPOS PAIS</t>
  </si>
  <si>
    <t>ANA CAROLINY DE ALMEIRA</t>
  </si>
  <si>
    <t>MARILU CANDIDA JACOB</t>
  </si>
  <si>
    <t>EVELYN DE AGUIAR CANDIDO</t>
  </si>
  <si>
    <t>FLAVIA DE OLIVEIRA BARROS DOS SANTOS</t>
  </si>
  <si>
    <t>KAREN SOARES DE JESUS</t>
  </si>
  <si>
    <t>SIDILAINE APARECIDA DE PAULA</t>
  </si>
  <si>
    <t>PAULO ROBERTO DO NASCIMENTO</t>
  </si>
  <si>
    <t>MARCIA FERREIRA DE SOUZA</t>
  </si>
  <si>
    <t>HELENA RODRIGUES PINTO</t>
  </si>
  <si>
    <t>DEISYANE DE CASTRO SANTOS</t>
  </si>
  <si>
    <t>SILVANA LUCIA DE CASTRO SANTOS</t>
  </si>
  <si>
    <t>ONILIA CRISTINA VIEIRA RAMOS</t>
  </si>
  <si>
    <t>SAQUINHO BRINDE</t>
  </si>
  <si>
    <t>JANEIDE EMILIANO DA SILVA</t>
  </si>
  <si>
    <t>DEPÓSITO</t>
  </si>
  <si>
    <t>GILVANIA CAVALCANTE DOS SANTOS</t>
  </si>
  <si>
    <t>ANA CLARA ROCHA MACEDO</t>
  </si>
  <si>
    <t>ROSE MEIRE SATURINO</t>
  </si>
  <si>
    <t>HISAO KOBA</t>
  </si>
  <si>
    <t>ROZILEIDE BRITO RIBEIRO DO NASCIMENTO</t>
  </si>
  <si>
    <t>ALESSANDRA JOSE LEITE MELLO</t>
  </si>
  <si>
    <t>ALESSANDRA JOSE LEITE MELLO (JURANDIR)</t>
  </si>
  <si>
    <t>ROSIMEIRI NOGUEIRA UEDA</t>
  </si>
  <si>
    <t>IVONE SILVA FRANÇA</t>
  </si>
  <si>
    <t>MOYSES CHAHADE FILHO</t>
  </si>
  <si>
    <t>SIMONE IGNACIO</t>
  </si>
  <si>
    <t>FATIMA APARECIDA MENEZES</t>
  </si>
  <si>
    <t>VALQUIRIA BATISTA FERNANDES</t>
  </si>
  <si>
    <t>SIMONE MARISTELA DA SILVA</t>
  </si>
  <si>
    <t>ARIANI DIAS FERNANDEZ LIBANO</t>
  </si>
  <si>
    <t>QUITERIA MARIA DOS SANTOS</t>
  </si>
  <si>
    <t>ARILDSON RIBEIRO DE SOUZA</t>
  </si>
  <si>
    <t>DEBORA MAGALHAES</t>
  </si>
  <si>
    <t>Adriana Aparecida Braz da Silva</t>
  </si>
  <si>
    <t>Maria de Fátima Soares Silva</t>
  </si>
  <si>
    <t>FABÍOLA DOS SANTOS</t>
  </si>
  <si>
    <t>RENATA TONI FIRMINO GONÇALVES</t>
  </si>
  <si>
    <t>SARA RAQUEL OLIVEIRA DE SANTANA</t>
  </si>
  <si>
    <t>DIVA RAMIRES DE CAMARGO</t>
  </si>
  <si>
    <t>KAIO CEZAR DA SILVA SANDES</t>
  </si>
  <si>
    <t>CAFÉ</t>
  </si>
  <si>
    <t>VICTOR ANTONIO OLIVEIRA SILVA</t>
  </si>
  <si>
    <t>TATIANA GOMES RODRIGUES</t>
  </si>
  <si>
    <t>NIVALDA RABELO DAMA</t>
  </si>
  <si>
    <t xml:space="preserve">MARIA VITORIAS </t>
  </si>
  <si>
    <t>CLAUDEMIR DE OLIVEIRA</t>
  </si>
  <si>
    <t>Pró-labore: Taty</t>
  </si>
  <si>
    <t>MAURA ALICE DE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</si>
</sst>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sz val="1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4" fontId="40" fillId="0" borderId="12" xfId="2" applyFont="1" applyFill="1" applyBorder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164" fontId="0" fillId="5" borderId="11" xfId="2" applyFont="1" applyFill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" fontId="40" fillId="0" borderId="19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64" fontId="40" fillId="0" borderId="13" xfId="2" applyFont="1" applyFill="1" applyBorder="1" applyAlignment="1">
      <alignment horizontal="center" vertical="center"/>
    </xf>
    <xf numFmtId="164" fontId="36" fillId="0" borderId="12" xfId="2" applyFont="1" applyFill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7" totalsRowShown="0" headerRowDxfId="1567" dataDxfId="1565" headerRowBorderDxfId="1566" tableBorderDxfId="1564" totalsRowBorderDxfId="1563">
  <autoFilter ref="E5:I27" xr:uid="{00000000-0009-0000-0100-000014000000}"/>
  <sortState xmlns:xlrd2="http://schemas.microsoft.com/office/spreadsheetml/2017/richdata2" ref="E6:I27">
    <sortCondition ref="E5:E27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30:I36" totalsRowShown="0" headerRowDxfId="1549" dataDxfId="1547" headerRowBorderDxfId="1548" tableBorderDxfId="1546" totalsRowBorderDxfId="1545">
  <autoFilter ref="E30:I36" xr:uid="{00000000-0009-0000-0100-000016000000}"/>
  <sortState xmlns:xlrd2="http://schemas.microsoft.com/office/spreadsheetml/2017/richdata2" ref="E31:I36">
    <sortCondition ref="E30:E36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9:I41" totalsRowShown="0" headerRowDxfId="1531" dataDxfId="1529" headerRowBorderDxfId="1530" tableBorderDxfId="1528" totalsRowBorderDxfId="1527">
  <autoFilter ref="E39:I41" xr:uid="{B9E2F984-8588-4F2C-9FB9-680284154679}"/>
  <sortState xmlns:xlrd2="http://schemas.microsoft.com/office/spreadsheetml/2017/richdata2" ref="E40:I41">
    <sortCondition ref="E30:E36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3" totalsRowShown="0" headerRowDxfId="1261" dataDxfId="1259" headerRowBorderDxfId="1260" tableBorderDxfId="1258" totalsRowBorderDxfId="1257">
  <autoFilter ref="E34:I43" xr:uid="{B9E2F984-8588-4F2C-9FB9-680284154679}"/>
  <sortState xmlns:xlrd2="http://schemas.microsoft.com/office/spreadsheetml/2017/richdata2" ref="E35:I43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2" totalsRowShown="0" headerRowDxfId="1161" dataDxfId="1159" headerRowBorderDxfId="1160" tableBorderDxfId="1158" totalsRowBorderDxfId="1157">
  <autoFilter ref="K14:M32" xr:uid="{C83FE64B-E221-4DAA-89EA-5307A7BC98B3}"/>
  <sortState xmlns:xlrd2="http://schemas.microsoft.com/office/spreadsheetml/2017/richdata2" ref="K15:M32">
    <sortCondition ref="K14:K32"/>
  </sortState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2">
    <sortCondition ref="E35:E4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5:M42" totalsRowShown="0" headerRowDxfId="1143" dataDxfId="1141" headerRowBorderDxfId="1142" tableBorderDxfId="1140" totalsRowBorderDxfId="1139">
  <autoFilter ref="K35:M42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 dataCellStyle="Moeda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7.xml"/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P4" sqref="P4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7"/>
      <c r="C1" s="107"/>
      <c r="L1" s="108" t="s">
        <v>136</v>
      </c>
      <c r="M1" s="108"/>
      <c r="P1" t="s">
        <v>122</v>
      </c>
    </row>
    <row r="2" spans="1:16" ht="15" x14ac:dyDescent="0.2">
      <c r="A2" s="6" t="s">
        <v>0</v>
      </c>
      <c r="B2" s="13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t="s">
        <v>123</v>
      </c>
    </row>
    <row r="3" spans="1:16" ht="15" x14ac:dyDescent="0.25">
      <c r="A3" s="7" t="s">
        <v>1</v>
      </c>
      <c r="B3" s="8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97317.91</v>
      </c>
      <c r="P3" t="s">
        <v>124</v>
      </c>
    </row>
    <row r="4" spans="1:16" ht="15" x14ac:dyDescent="0.25">
      <c r="A4" s="7" t="s">
        <v>2</v>
      </c>
      <c r="B4" s="30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86971.290000000008</v>
      </c>
      <c r="C4" s="56"/>
      <c r="D4" s="57"/>
      <c r="E4" s="56" t="s">
        <v>137</v>
      </c>
      <c r="F4" s="56"/>
      <c r="G4" s="56"/>
      <c r="H4" s="56"/>
      <c r="I4" s="56"/>
      <c r="J4" s="57"/>
      <c r="K4" s="56" t="s">
        <v>138</v>
      </c>
      <c r="L4" s="56"/>
      <c r="M4" s="56"/>
      <c r="P4" t="s">
        <v>125</v>
      </c>
    </row>
    <row r="5" spans="1:16" ht="15" x14ac:dyDescent="0.25">
      <c r="A5" s="7" t="s">
        <v>3</v>
      </c>
      <c r="B5" s="30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3820.31</v>
      </c>
      <c r="C5" s="56"/>
      <c r="D5" s="57"/>
      <c r="E5" s="57"/>
      <c r="F5" s="57"/>
      <c r="G5" s="57"/>
      <c r="H5" s="57"/>
      <c r="I5" s="57"/>
      <c r="J5" s="57"/>
      <c r="K5" s="57"/>
      <c r="L5" s="57"/>
      <c r="M5" s="57"/>
      <c r="P5" t="s">
        <v>126</v>
      </c>
    </row>
    <row r="6" spans="1:16" ht="15.75" x14ac:dyDescent="0.25">
      <c r="A6" s="9" t="s">
        <v>4</v>
      </c>
      <c r="B6" s="33">
        <f ca="1">SUM(B4:B5)</f>
        <v>90791.6</v>
      </c>
      <c r="C6" s="56">
        <f>C16</f>
        <v>0</v>
      </c>
      <c r="D6" s="57"/>
      <c r="E6" s="57"/>
      <c r="F6" s="57"/>
      <c r="G6" s="57"/>
      <c r="H6" s="57"/>
      <c r="I6" s="57"/>
      <c r="J6" s="57"/>
      <c r="K6" s="57"/>
      <c r="L6" s="57"/>
      <c r="M6" s="57"/>
      <c r="P6" t="s">
        <v>127</v>
      </c>
    </row>
    <row r="7" spans="1:16" ht="15" x14ac:dyDescent="0.25">
      <c r="A7" s="2"/>
      <c r="B7" s="28"/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P7" t="s">
        <v>128</v>
      </c>
    </row>
    <row r="8" spans="1:16" ht="15" x14ac:dyDescent="0.25">
      <c r="A8" s="104" t="s">
        <v>5</v>
      </c>
      <c r="B8" s="105"/>
      <c r="C8" s="56"/>
      <c r="D8" s="57"/>
      <c r="E8" s="57"/>
      <c r="F8" s="57"/>
      <c r="G8" s="57"/>
      <c r="H8" s="57"/>
      <c r="I8" s="57"/>
      <c r="J8" s="57"/>
      <c r="K8" s="57"/>
      <c r="L8" s="57"/>
      <c r="M8" s="57"/>
      <c r="P8" t="s">
        <v>129</v>
      </c>
    </row>
    <row r="9" spans="1:16" ht="15" x14ac:dyDescent="0.25">
      <c r="A9" s="10" t="s">
        <v>6</v>
      </c>
      <c r="B9" s="30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6341.1</v>
      </c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P9" t="s">
        <v>130</v>
      </c>
    </row>
    <row r="10" spans="1:16" ht="15" x14ac:dyDescent="0.25">
      <c r="A10" s="10" t="s">
        <v>7</v>
      </c>
      <c r="B10" s="66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10048.970000000001</v>
      </c>
      <c r="C10" s="72"/>
      <c r="D10" s="57"/>
      <c r="E10" s="57"/>
      <c r="F10" s="57"/>
      <c r="G10" s="57"/>
      <c r="H10" s="57"/>
      <c r="I10" s="57"/>
      <c r="J10" s="57"/>
      <c r="K10" s="57"/>
      <c r="L10" s="57"/>
      <c r="M10" s="57"/>
      <c r="P10" t="s">
        <v>131</v>
      </c>
    </row>
    <row r="11" spans="1:16" ht="15" x14ac:dyDescent="0.25">
      <c r="A11" s="10" t="s">
        <v>8</v>
      </c>
      <c r="B11" s="67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53841.15</v>
      </c>
      <c r="C11" s="63"/>
      <c r="D11" s="57"/>
      <c r="E11" s="57"/>
      <c r="F11" s="57"/>
      <c r="G11" s="57"/>
      <c r="H11" s="57"/>
      <c r="I11" s="57"/>
      <c r="J11" s="57"/>
      <c r="K11" s="57"/>
      <c r="L11" s="57"/>
      <c r="M11" s="57"/>
      <c r="P11" t="s">
        <v>132</v>
      </c>
    </row>
    <row r="12" spans="1:16" ht="15" x14ac:dyDescent="0.25">
      <c r="A12" s="10" t="s">
        <v>9</v>
      </c>
      <c r="B12" s="67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3"/>
      <c r="D12" s="57"/>
      <c r="E12" s="57"/>
      <c r="F12" s="57"/>
      <c r="G12" s="57"/>
      <c r="H12" s="57"/>
      <c r="I12" s="57"/>
      <c r="J12" s="57"/>
      <c r="K12" s="57"/>
      <c r="L12" s="57"/>
      <c r="M12" s="57"/>
      <c r="P12" t="s">
        <v>133</v>
      </c>
    </row>
    <row r="13" spans="1:16" ht="15" x14ac:dyDescent="0.25">
      <c r="A13" s="10" t="s">
        <v>10</v>
      </c>
      <c r="B13" s="67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16740.070000000003</v>
      </c>
      <c r="C13" s="63"/>
      <c r="D13" s="57"/>
      <c r="E13" s="57"/>
      <c r="F13" s="57"/>
      <c r="G13" s="57"/>
      <c r="H13" s="57"/>
      <c r="I13" s="57"/>
      <c r="J13" s="57"/>
      <c r="K13" s="56" t="s">
        <v>142</v>
      </c>
      <c r="L13" s="56"/>
      <c r="M13" s="56"/>
      <c r="P13" t="s">
        <v>134</v>
      </c>
    </row>
    <row r="14" spans="1:16" ht="15.75" x14ac:dyDescent="0.25">
      <c r="A14" s="9" t="s">
        <v>11</v>
      </c>
      <c r="B14" s="58">
        <f ca="1">SUM(B9:B13)</f>
        <v>86971.290000000008</v>
      </c>
      <c r="C14" s="63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6" ht="15" x14ac:dyDescent="0.25">
      <c r="A15" s="2"/>
      <c r="B15" s="68"/>
      <c r="C15" s="63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6" ht="15" x14ac:dyDescent="0.25">
      <c r="A16" s="104" t="s">
        <v>12</v>
      </c>
      <c r="B16" s="106"/>
      <c r="C16" s="73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 spans="1:13" ht="15" x14ac:dyDescent="0.25">
      <c r="A17" s="10">
        <f>COUNT(#REF!)</f>
        <v>0</v>
      </c>
      <c r="B17" s="30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9770.1</v>
      </c>
      <c r="C17" s="56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1:13" ht="15.75" x14ac:dyDescent="0.25">
      <c r="A18" s="9" t="s">
        <v>11</v>
      </c>
      <c r="B18" s="58">
        <f>SUM(B17:B17)</f>
        <v>9770.1</v>
      </c>
      <c r="C18" s="72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1:13" ht="13.5" x14ac:dyDescent="0.25">
      <c r="B19" s="62"/>
      <c r="C19" s="63"/>
      <c r="D19" s="57"/>
      <c r="E19" s="57"/>
      <c r="F19" s="57"/>
      <c r="G19" s="57"/>
      <c r="H19" s="57"/>
      <c r="I19" s="57"/>
      <c r="J19" s="57"/>
      <c r="K19" s="57"/>
      <c r="L19" s="57"/>
      <c r="M19" s="57"/>
    </row>
    <row r="20" spans="1:13" ht="13.5" x14ac:dyDescent="0.25">
      <c r="B20" s="74"/>
      <c r="C20" s="73"/>
      <c r="D20" s="57"/>
      <c r="E20" s="57"/>
      <c r="F20" s="57"/>
      <c r="G20" s="57"/>
      <c r="H20" s="57"/>
      <c r="I20" s="57"/>
      <c r="J20" s="57"/>
      <c r="K20" s="57"/>
      <c r="L20" s="57"/>
      <c r="M20" s="57"/>
    </row>
    <row r="21" spans="1:13" ht="13.5" x14ac:dyDescent="0.25">
      <c r="B21" s="56"/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13.5" x14ac:dyDescent="0.25">
      <c r="B22" s="56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spans="1:13" ht="13.5" x14ac:dyDescent="0.25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1:13" ht="13.5" x14ac:dyDescent="0.25">
      <c r="B24" s="57"/>
      <c r="C24" s="57"/>
      <c r="D24" s="57"/>
      <c r="E24" s="62" t="s">
        <v>139</v>
      </c>
      <c r="F24" s="56"/>
      <c r="G24" s="56"/>
      <c r="H24" s="56"/>
      <c r="I24" s="63"/>
      <c r="J24" s="57"/>
      <c r="K24" s="57"/>
      <c r="L24" s="57"/>
      <c r="M24" s="57"/>
    </row>
    <row r="25" spans="1:13" ht="13.5" x14ac:dyDescent="0.25">
      <c r="B25" s="57"/>
      <c r="C25" s="57"/>
      <c r="D25" s="57"/>
      <c r="E25" s="61"/>
      <c r="F25" s="57"/>
      <c r="G25" s="57"/>
      <c r="H25" s="57"/>
      <c r="I25" s="64"/>
      <c r="J25" s="57"/>
      <c r="K25" s="57"/>
      <c r="L25" s="57"/>
      <c r="M25" s="57"/>
    </row>
    <row r="26" spans="1:13" ht="13.5" x14ac:dyDescent="0.25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spans="1:13" ht="13.5" x14ac:dyDescent="0.25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3.5" x14ac:dyDescent="0.25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</row>
    <row r="29" spans="1:13" ht="13.5" x14ac:dyDescent="0.25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</row>
    <row r="30" spans="1:13" ht="13.5" x14ac:dyDescent="0.25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</row>
    <row r="31" spans="1:13" ht="13.5" x14ac:dyDescent="0.25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</row>
    <row r="32" spans="1:13" ht="13.5" x14ac:dyDescent="0.25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spans="2:13" ht="13.5" x14ac:dyDescent="0.25">
      <c r="B33" s="57"/>
      <c r="C33" s="57"/>
      <c r="D33" s="57"/>
      <c r="E33" s="62" t="s">
        <v>140</v>
      </c>
      <c r="F33" s="56"/>
      <c r="G33" s="56"/>
      <c r="H33" s="56"/>
      <c r="I33" s="63"/>
      <c r="J33" s="57"/>
      <c r="K33" s="62" t="s">
        <v>141</v>
      </c>
      <c r="L33" s="56"/>
      <c r="M33" s="63"/>
    </row>
    <row r="34" spans="2:13" ht="13.5" x14ac:dyDescent="0.25">
      <c r="B34" s="57"/>
      <c r="C34" s="57"/>
      <c r="D34" s="57"/>
      <c r="E34" s="61"/>
      <c r="F34" s="57"/>
      <c r="G34" s="57"/>
      <c r="H34" s="57"/>
      <c r="I34" s="64"/>
      <c r="J34" s="57"/>
      <c r="K34" s="65"/>
      <c r="L34" s="57"/>
      <c r="M34" s="64"/>
    </row>
    <row r="35" spans="2:13" ht="16.5" customHeight="1" x14ac:dyDescent="0.25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64"/>
    </row>
    <row r="36" spans="2:13" ht="16.5" customHeight="1" x14ac:dyDescent="0.25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64"/>
    </row>
    <row r="37" spans="2:13" ht="16.5" customHeight="1" x14ac:dyDescent="0.25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64"/>
    </row>
    <row r="38" spans="2:13" ht="16.5" customHeight="1" x14ac:dyDescent="0.25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64"/>
    </row>
    <row r="39" spans="2:13" ht="16.5" customHeight="1" x14ac:dyDescent="0.25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64"/>
    </row>
    <row r="40" spans="2:13" ht="16.5" customHeight="1" x14ac:dyDescent="0.25"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64"/>
    </row>
    <row r="41" spans="2:13" ht="16.5" customHeight="1" x14ac:dyDescent="0.25"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64"/>
    </row>
    <row r="42" spans="2:13" ht="13.5" x14ac:dyDescent="0.25"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spans="2:13" ht="13.5" x14ac:dyDescent="0.25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spans="2:13" ht="13.5" x14ac:dyDescent="0.25"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spans="2:13" ht="13.5" x14ac:dyDescent="0.25"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v>45778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0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0</v>
      </c>
      <c r="D6" s="31"/>
      <c r="E6" s="75"/>
      <c r="F6" s="76"/>
      <c r="G6" s="52"/>
      <c r="H6" s="40"/>
      <c r="I6" s="40"/>
      <c r="J6" s="31"/>
      <c r="K6" s="76"/>
      <c r="L6" s="90"/>
      <c r="M6" s="45"/>
      <c r="R6" s="1">
        <f>IF(vend1[[#This Row],[Nº Venda]]&gt;1,1,0)</f>
        <v>0</v>
      </c>
    </row>
    <row r="7" spans="2:18" ht="16.5" x14ac:dyDescent="0.3">
      <c r="B7" s="29" t="s">
        <v>3</v>
      </c>
      <c r="C7" s="30">
        <f>SUM(M6:M11)</f>
        <v>0</v>
      </c>
      <c r="D7" s="31"/>
      <c r="E7" s="75"/>
      <c r="F7" s="76"/>
      <c r="G7" s="52"/>
      <c r="H7" s="40"/>
      <c r="I7" s="40"/>
      <c r="J7" s="31"/>
      <c r="K7" s="76"/>
      <c r="L7" s="90"/>
      <c r="M7" s="45"/>
      <c r="R7" s="1">
        <f>IF(vend1[[#This Row],[Nº Venda]]&gt;1,1,0)</f>
        <v>0</v>
      </c>
    </row>
    <row r="8" spans="2:18" ht="16.5" x14ac:dyDescent="0.3">
      <c r="B8" s="32" t="s">
        <v>21</v>
      </c>
      <c r="C8" s="33">
        <f>SUM(C6:C7)</f>
        <v>0</v>
      </c>
      <c r="D8" s="31"/>
      <c r="E8" s="75"/>
      <c r="F8" s="76"/>
      <c r="G8" s="52"/>
      <c r="H8" s="40"/>
      <c r="I8" s="40"/>
      <c r="J8" s="31"/>
      <c r="K8" s="76"/>
      <c r="L8" s="90"/>
      <c r="M8" s="45"/>
      <c r="R8" s="1">
        <f>IF(vend1[[#This Row],[Nº Venda]]&gt;1,1,0)</f>
        <v>0</v>
      </c>
    </row>
    <row r="9" spans="2:18" ht="16.5" x14ac:dyDescent="0.3">
      <c r="B9" s="28"/>
      <c r="C9" s="28"/>
      <c r="D9" s="31"/>
      <c r="E9" s="75"/>
      <c r="F9" s="76"/>
      <c r="G9" s="52"/>
      <c r="H9" s="40"/>
      <c r="I9" s="40"/>
      <c r="J9" s="31"/>
      <c r="K9" s="76"/>
      <c r="L9" s="90"/>
      <c r="M9" s="45"/>
      <c r="R9" s="1">
        <f>IF(vend1[[#This Row],[Nº Venda]]&gt;1,1,0)</f>
        <v>0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90"/>
      <c r="M10" s="45"/>
      <c r="R10" s="1">
        <f>IF(vend1[[#This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IF(vend1[[#This Row],[Nº Venda]]&gt;1,1,0)</f>
        <v>0</v>
      </c>
    </row>
    <row r="13" spans="2:18" ht="16.5" x14ac:dyDescent="0.3">
      <c r="B13" s="29" t="s">
        <v>8</v>
      </c>
      <c r="C13" s="69">
        <f t="shared" si="0"/>
        <v>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IF(vend1[[#This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IF(vend1[[#This Row],[Nº Venda]]&gt;1,1,0)</f>
        <v>0</v>
      </c>
    </row>
    <row r="15" spans="2:18" ht="16.5" x14ac:dyDescent="0.3">
      <c r="B15" s="29" t="s">
        <v>10</v>
      </c>
      <c r="C15" s="69">
        <f t="shared" si="0"/>
        <v>0</v>
      </c>
      <c r="D15" s="31"/>
      <c r="E15" s="75"/>
      <c r="F15" s="76"/>
      <c r="G15" s="52"/>
      <c r="H15" s="40"/>
      <c r="I15" s="40"/>
      <c r="J15" s="31"/>
      <c r="K15" s="75"/>
      <c r="L15" s="90"/>
      <c r="M15" s="45"/>
      <c r="R15" s="1">
        <f>IF(vend1[[#This Row],[Nº Venda]]&gt;1,1,0)</f>
        <v>0</v>
      </c>
    </row>
    <row r="16" spans="2:18" ht="16.5" x14ac:dyDescent="0.3">
      <c r="B16" s="32" t="s">
        <v>11</v>
      </c>
      <c r="C16" s="70">
        <f>SUM(C11:C15)</f>
        <v>0</v>
      </c>
      <c r="D16" s="31"/>
      <c r="E16" s="75"/>
      <c r="F16" s="76"/>
      <c r="G16" s="52"/>
      <c r="H16" s="40"/>
      <c r="I16" s="40"/>
      <c r="J16" s="31"/>
      <c r="K16" s="75"/>
      <c r="L16" s="90"/>
      <c r="M16" s="45"/>
      <c r="R16" s="1">
        <f>IF(vend1[[#This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/>
      <c r="L17" s="90"/>
      <c r="M17" s="45"/>
      <c r="R17" s="1">
        <f>IF(vend1[[#This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/>
      <c r="L18" s="90"/>
      <c r="M18" s="45"/>
      <c r="R18" s="1">
        <f>IF(vend1[[#This Row],[Nº Venda]]&gt;1,1,0)</f>
        <v>0</v>
      </c>
    </row>
    <row r="19" spans="2:18" ht="16.5" x14ac:dyDescent="0.3">
      <c r="B19" s="29">
        <f>COUNT(entr_carn1[OS])</f>
        <v>0</v>
      </c>
      <c r="C19" s="69">
        <f>SUM(entr_carn1[Valor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IF(vend1[[#This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IF(vend1[[#This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0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2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40"/>
      <c r="I35" s="40"/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75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0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topLeftCell="A2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31.2851562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'01'!B1+1</f>
        <v>45779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2123.4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1712.4</v>
      </c>
      <c r="D6" s="31"/>
      <c r="E6" s="75">
        <v>10918</v>
      </c>
      <c r="F6" s="76" t="s">
        <v>150</v>
      </c>
      <c r="G6" s="52" t="s">
        <v>8</v>
      </c>
      <c r="H6" s="40">
        <v>110</v>
      </c>
      <c r="I6" s="40">
        <v>110</v>
      </c>
      <c r="J6" s="31"/>
      <c r="K6" s="76" t="s">
        <v>145</v>
      </c>
      <c r="L6" s="90" t="s">
        <v>7</v>
      </c>
      <c r="M6" s="45">
        <v>40</v>
      </c>
      <c r="R6" s="1">
        <f>IF(vend2[[#This Row],[Nº Venda]]&gt;1,1,0)</f>
        <v>1</v>
      </c>
    </row>
    <row r="7" spans="2:18" ht="16.5" x14ac:dyDescent="0.3">
      <c r="B7" s="29" t="s">
        <v>3</v>
      </c>
      <c r="C7" s="30">
        <f>SUM(M6:M11)</f>
        <v>45.730000000000004</v>
      </c>
      <c r="D7" s="31"/>
      <c r="E7" s="75">
        <v>10919</v>
      </c>
      <c r="F7" s="76" t="s">
        <v>144</v>
      </c>
      <c r="G7" s="51" t="s">
        <v>6</v>
      </c>
      <c r="H7" s="40">
        <v>105</v>
      </c>
      <c r="I7" s="40">
        <v>105</v>
      </c>
      <c r="J7" s="31"/>
      <c r="K7" s="76" t="s">
        <v>146</v>
      </c>
      <c r="L7" s="90" t="s">
        <v>10</v>
      </c>
      <c r="M7" s="45">
        <v>2.84</v>
      </c>
      <c r="R7" s="1">
        <f>IF(vend2[[#This Row],[Nº Venda]]&gt;1,1,0)</f>
        <v>1</v>
      </c>
    </row>
    <row r="8" spans="2:18" ht="16.5" x14ac:dyDescent="0.3">
      <c r="B8" s="32" t="s">
        <v>21</v>
      </c>
      <c r="C8" s="33">
        <f>SUM(C6:C7)</f>
        <v>1758.13</v>
      </c>
      <c r="D8" s="31"/>
      <c r="E8" s="75">
        <v>10920</v>
      </c>
      <c r="F8" s="76" t="s">
        <v>147</v>
      </c>
      <c r="G8" s="51" t="s">
        <v>7</v>
      </c>
      <c r="H8" s="40">
        <v>119.4</v>
      </c>
      <c r="I8" s="40">
        <v>119.4</v>
      </c>
      <c r="J8" s="31"/>
      <c r="K8" s="76" t="s">
        <v>267</v>
      </c>
      <c r="L8" s="90" t="s">
        <v>10</v>
      </c>
      <c r="M8" s="45">
        <v>2.89</v>
      </c>
      <c r="R8" s="1">
        <f>IF(vend2[[#This Row],[Nº Venda]]&gt;1,1,0)</f>
        <v>1</v>
      </c>
    </row>
    <row r="9" spans="2:18" ht="16.5" x14ac:dyDescent="0.3">
      <c r="B9" s="28"/>
      <c r="C9" s="28"/>
      <c r="D9" s="31"/>
      <c r="E9" s="75">
        <v>10921</v>
      </c>
      <c r="F9" s="76" t="s">
        <v>148</v>
      </c>
      <c r="G9" s="52" t="s">
        <v>46</v>
      </c>
      <c r="H9" s="40">
        <v>702</v>
      </c>
      <c r="I9" s="40">
        <v>0</v>
      </c>
      <c r="J9" s="31"/>
      <c r="K9" s="76"/>
      <c r="L9" s="90"/>
      <c r="M9" s="45"/>
      <c r="R9" s="1">
        <f>IF(vend2[[#This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10922</v>
      </c>
      <c r="F10" s="76" t="s">
        <v>151</v>
      </c>
      <c r="G10" s="52" t="s">
        <v>8</v>
      </c>
      <c r="H10" s="40">
        <v>899</v>
      </c>
      <c r="I10" s="40">
        <v>390</v>
      </c>
      <c r="J10" s="31"/>
      <c r="K10" s="76"/>
      <c r="L10" s="90"/>
      <c r="M10" s="45"/>
      <c r="R10" s="1">
        <f>IF(vend2[[#This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353</v>
      </c>
      <c r="D11" s="31"/>
      <c r="E11" s="75">
        <v>10923</v>
      </c>
      <c r="F11" s="76" t="s">
        <v>152</v>
      </c>
      <c r="G11" s="52" t="s">
        <v>7</v>
      </c>
      <c r="H11" s="40">
        <v>250</v>
      </c>
      <c r="I11" s="40">
        <v>250</v>
      </c>
      <c r="J11" s="31"/>
      <c r="K11" s="39"/>
      <c r="L11" s="90"/>
      <c r="M11" s="45"/>
      <c r="O11" s="1">
        <f>IF(C16=0,0,1)</f>
        <v>1</v>
      </c>
      <c r="R11" s="1">
        <f>IF(vend2[[#This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369.4</v>
      </c>
      <c r="D12" s="31"/>
      <c r="E12" s="75">
        <v>10924</v>
      </c>
      <c r="F12" s="76" t="s">
        <v>176</v>
      </c>
      <c r="G12" s="52" t="s">
        <v>46</v>
      </c>
      <c r="H12" s="40">
        <v>537</v>
      </c>
      <c r="I12" s="40">
        <v>0</v>
      </c>
      <c r="J12" s="31"/>
      <c r="K12" s="34"/>
      <c r="L12" s="34"/>
      <c r="M12" s="34"/>
      <c r="R12" s="1">
        <f>IF(vend2[[#This Row],[Nº Venda]]&gt;1,1,0)</f>
        <v>1</v>
      </c>
    </row>
    <row r="13" spans="2:18" ht="16.5" x14ac:dyDescent="0.3">
      <c r="B13" s="29" t="s">
        <v>8</v>
      </c>
      <c r="C13" s="69">
        <f t="shared" si="0"/>
        <v>990</v>
      </c>
      <c r="D13" s="31"/>
      <c r="E13" s="75">
        <v>10925</v>
      </c>
      <c r="F13" s="76" t="s">
        <v>154</v>
      </c>
      <c r="G13" s="52" t="s">
        <v>46</v>
      </c>
      <c r="H13" s="40">
        <v>537</v>
      </c>
      <c r="I13" s="40">
        <v>0</v>
      </c>
      <c r="J13" s="31"/>
      <c r="K13" s="113" t="s">
        <v>142</v>
      </c>
      <c r="L13" s="114"/>
      <c r="M13" s="115"/>
      <c r="R13" s="1">
        <f>IF(vend2[[#This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10926</v>
      </c>
      <c r="F14" s="76" t="s">
        <v>153</v>
      </c>
      <c r="G14" s="52" t="s">
        <v>6</v>
      </c>
      <c r="H14" s="40">
        <v>150</v>
      </c>
      <c r="I14" s="40">
        <v>50</v>
      </c>
      <c r="J14" s="31"/>
      <c r="K14" s="23" t="s">
        <v>22</v>
      </c>
      <c r="L14" s="24" t="s">
        <v>23</v>
      </c>
      <c r="M14" s="25" t="s">
        <v>24</v>
      </c>
      <c r="R14" s="1">
        <f>IF(vend2[[#This Row],[Nº Venda]]&gt;1,1,0)</f>
        <v>1</v>
      </c>
    </row>
    <row r="15" spans="2:18" ht="16.5" x14ac:dyDescent="0.3">
      <c r="B15" s="29" t="s">
        <v>10</v>
      </c>
      <c r="C15" s="69">
        <f t="shared" si="0"/>
        <v>0</v>
      </c>
      <c r="D15" s="31"/>
      <c r="E15" s="75">
        <v>10927</v>
      </c>
      <c r="F15" s="76" t="s">
        <v>177</v>
      </c>
      <c r="G15" s="52" t="s">
        <v>46</v>
      </c>
      <c r="H15" s="40">
        <v>316</v>
      </c>
      <c r="I15" s="40">
        <v>0</v>
      </c>
      <c r="J15" s="31"/>
      <c r="K15" s="75">
        <v>10895</v>
      </c>
      <c r="L15" s="90" t="s">
        <v>128</v>
      </c>
      <c r="M15" s="45" t="s">
        <v>149</v>
      </c>
      <c r="R15" s="1">
        <f>IF(vend2[[#This Row],[Nº Venda]]&gt;1,1,0)</f>
        <v>1</v>
      </c>
    </row>
    <row r="16" spans="2:18" ht="16.5" x14ac:dyDescent="0.3">
      <c r="B16" s="32" t="s">
        <v>11</v>
      </c>
      <c r="C16" s="70">
        <f>SUM(C11:C15)</f>
        <v>1712.4</v>
      </c>
      <c r="D16" s="31"/>
      <c r="E16" s="75">
        <v>10928</v>
      </c>
      <c r="F16" s="76" t="s">
        <v>266</v>
      </c>
      <c r="G16" s="52" t="s">
        <v>46</v>
      </c>
      <c r="H16" s="40">
        <v>0</v>
      </c>
      <c r="I16" s="40">
        <v>0</v>
      </c>
      <c r="J16" s="31"/>
      <c r="K16" s="75">
        <v>10919</v>
      </c>
      <c r="L16" s="90" t="s">
        <v>128</v>
      </c>
      <c r="M16" s="45" t="s">
        <v>149</v>
      </c>
      <c r="R16" s="1">
        <f>IF(vend2[[#This Row],[Nº Venda]]&gt;1,1,0)</f>
        <v>1</v>
      </c>
    </row>
    <row r="17" spans="2:18" ht="16.5" x14ac:dyDescent="0.3">
      <c r="B17" s="28"/>
      <c r="C17" s="28"/>
      <c r="D17" s="31"/>
      <c r="E17" s="75">
        <v>10929</v>
      </c>
      <c r="F17" s="76" t="s">
        <v>156</v>
      </c>
      <c r="G17" s="52" t="s">
        <v>8</v>
      </c>
      <c r="H17" s="40">
        <v>490</v>
      </c>
      <c r="I17" s="40">
        <v>490</v>
      </c>
      <c r="J17" s="31"/>
      <c r="K17" s="75">
        <v>10920</v>
      </c>
      <c r="L17" s="90" t="s">
        <v>128</v>
      </c>
      <c r="M17" s="45" t="s">
        <v>149</v>
      </c>
      <c r="R17" s="1">
        <f>IF(vend2[[#This Row],[Nº Venda]]&gt;1,1,0)</f>
        <v>1</v>
      </c>
    </row>
    <row r="18" spans="2:18" ht="16.5" x14ac:dyDescent="0.3">
      <c r="B18" s="120" t="s">
        <v>12</v>
      </c>
      <c r="C18" s="121"/>
      <c r="D18" s="31"/>
      <c r="E18" s="75">
        <v>10930</v>
      </c>
      <c r="F18" s="76" t="s">
        <v>155</v>
      </c>
      <c r="G18" s="52" t="s">
        <v>36</v>
      </c>
      <c r="H18" s="40">
        <v>0</v>
      </c>
      <c r="I18" s="40">
        <v>0</v>
      </c>
      <c r="J18" s="31"/>
      <c r="K18" s="75">
        <v>10923</v>
      </c>
      <c r="L18" s="90" t="s">
        <v>128</v>
      </c>
      <c r="M18" s="45" t="s">
        <v>149</v>
      </c>
      <c r="R18" s="1">
        <f>IF(vend2[[#This Row],[Nº Venda]]&gt;1,1,0)</f>
        <v>1</v>
      </c>
    </row>
    <row r="19" spans="2:18" ht="16.5" x14ac:dyDescent="0.3">
      <c r="B19" s="29">
        <f>COUNT(entr_carn2[OS])</f>
        <v>0</v>
      </c>
      <c r="C19" s="69">
        <f>SUM(entr_carn2[Valor Total])</f>
        <v>0</v>
      </c>
      <c r="D19" s="31"/>
      <c r="E19" s="75"/>
      <c r="F19" s="76"/>
      <c r="G19" s="52"/>
      <c r="H19" s="40"/>
      <c r="I19" s="40"/>
      <c r="J19" s="31"/>
      <c r="K19" s="75">
        <v>10929</v>
      </c>
      <c r="L19" s="90" t="s">
        <v>130</v>
      </c>
      <c r="M19" s="45" t="s">
        <v>149</v>
      </c>
      <c r="R19" s="1">
        <f>IF(vend2[[#This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IF(vend2[[#This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2123.4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2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10659</v>
      </c>
      <c r="F35" s="76" t="s">
        <v>155</v>
      </c>
      <c r="G35" s="52" t="s">
        <v>6</v>
      </c>
      <c r="H35" s="40">
        <v>99</v>
      </c>
      <c r="I35" s="40" t="s">
        <v>48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75">
        <v>10659</v>
      </c>
      <c r="F36" s="76" t="s">
        <v>155</v>
      </c>
      <c r="G36" s="52" t="s">
        <v>6</v>
      </c>
      <c r="H36" s="40">
        <v>99</v>
      </c>
      <c r="I36" s="40" t="s">
        <v>71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13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topLeftCell="A4" zoomScale="90" zoomScaleNormal="90" workbookViewId="0">
      <selection activeCell="E13" sqref="E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'02'!B1+1</f>
        <v>45780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SUMIF(I6:I36,"&gt;0",H6:H36)</f>
        <v>10624.75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7546.25</v>
      </c>
      <c r="D6" s="31"/>
      <c r="E6" s="75">
        <v>10931</v>
      </c>
      <c r="F6" s="76" t="s">
        <v>159</v>
      </c>
      <c r="G6" s="52" t="s">
        <v>6</v>
      </c>
      <c r="H6" s="40">
        <v>49</v>
      </c>
      <c r="I6" s="40">
        <v>20</v>
      </c>
      <c r="J6" s="31"/>
      <c r="K6" s="76"/>
      <c r="L6" s="90"/>
      <c r="M6" s="45"/>
      <c r="R6" s="1">
        <f>IF(vend3[[#This Row],[Nº Venda]]&gt;1,1,0)</f>
        <v>1</v>
      </c>
    </row>
    <row r="7" spans="2:18" ht="16.5" x14ac:dyDescent="0.3">
      <c r="B7" s="29" t="s">
        <v>3</v>
      </c>
      <c r="C7" s="30">
        <f>SUM(M6:M11)</f>
        <v>0</v>
      </c>
      <c r="D7" s="31"/>
      <c r="E7" s="75">
        <v>10932</v>
      </c>
      <c r="F7" s="76" t="s">
        <v>158</v>
      </c>
      <c r="G7" s="52" t="s">
        <v>10</v>
      </c>
      <c r="H7" s="40">
        <v>1649</v>
      </c>
      <c r="I7" s="40">
        <v>749.5</v>
      </c>
      <c r="J7" s="31"/>
      <c r="K7" s="76"/>
      <c r="L7" s="90"/>
      <c r="M7" s="45"/>
      <c r="R7" s="1">
        <f>IF(vend3[[#This Row],[Nº Venda]]&gt;1,1,0)</f>
        <v>1</v>
      </c>
    </row>
    <row r="8" spans="2:18" ht="16.5" x14ac:dyDescent="0.3">
      <c r="B8" s="32" t="s">
        <v>21</v>
      </c>
      <c r="C8" s="33">
        <f>SUM(C6:C7)</f>
        <v>7546.25</v>
      </c>
      <c r="D8" s="31"/>
      <c r="E8" s="75">
        <v>10933</v>
      </c>
      <c r="F8" s="76" t="s">
        <v>158</v>
      </c>
      <c r="G8" s="52" t="s">
        <v>10</v>
      </c>
      <c r="H8" s="40">
        <v>150</v>
      </c>
      <c r="I8" s="40">
        <v>150</v>
      </c>
      <c r="J8" s="31"/>
      <c r="K8" s="76"/>
      <c r="L8" s="90"/>
      <c r="M8" s="45"/>
      <c r="R8" s="1">
        <f>IF(vend3[[#This Row],[Nº Venda]]&gt;1,1,0)</f>
        <v>1</v>
      </c>
    </row>
    <row r="9" spans="2:18" ht="16.5" x14ac:dyDescent="0.3">
      <c r="B9" s="28"/>
      <c r="C9" s="28"/>
      <c r="D9" s="31"/>
      <c r="E9" s="75">
        <v>10934</v>
      </c>
      <c r="F9" s="76" t="s">
        <v>157</v>
      </c>
      <c r="G9" s="51" t="s">
        <v>7</v>
      </c>
      <c r="H9" s="40">
        <v>49.75</v>
      </c>
      <c r="I9" s="40">
        <v>49.75</v>
      </c>
      <c r="J9" s="31"/>
      <c r="K9" s="76" t="s">
        <v>170</v>
      </c>
      <c r="L9" s="90"/>
      <c r="M9" s="45"/>
      <c r="R9" s="1">
        <f>IF(vend3[[#This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10935</v>
      </c>
      <c r="F10" s="76" t="s">
        <v>160</v>
      </c>
      <c r="G10" s="52" t="s">
        <v>6</v>
      </c>
      <c r="H10" s="40">
        <v>100</v>
      </c>
      <c r="I10" s="40">
        <v>100</v>
      </c>
      <c r="J10" s="31"/>
      <c r="K10" s="76"/>
      <c r="L10" s="90"/>
      <c r="M10" s="45"/>
      <c r="R10" s="1">
        <f>IF(vend3[[#This Row],[Nº Venda]]&gt;1,1,0)</f>
        <v>1</v>
      </c>
    </row>
    <row r="11" spans="2:18" ht="16.5" x14ac:dyDescent="0.3">
      <c r="B11" s="29" t="s">
        <v>6</v>
      </c>
      <c r="C11" s="69">
        <f>(SUMIF($G$2:$G$36,B11,$I$2:$I$36))+(SUMIF($G$40:$G$41,B11,$H$40:$H$41))</f>
        <v>420</v>
      </c>
      <c r="D11" s="31"/>
      <c r="E11" s="75">
        <v>10936</v>
      </c>
      <c r="F11" s="76" t="s">
        <v>161</v>
      </c>
      <c r="G11" s="52" t="s">
        <v>10</v>
      </c>
      <c r="H11" s="40">
        <v>459</v>
      </c>
      <c r="I11" s="40">
        <v>459</v>
      </c>
      <c r="J11" s="31"/>
      <c r="K11" s="39"/>
      <c r="L11" s="90"/>
      <c r="M11" s="45"/>
      <c r="O11" s="1">
        <f>IF(C16=0,0,1)</f>
        <v>1</v>
      </c>
      <c r="R11" s="1">
        <f>IF(vend3[[#This Row],[Nº Venda]]&gt;1,1,0)</f>
        <v>1</v>
      </c>
    </row>
    <row r="12" spans="2:18" ht="16.5" x14ac:dyDescent="0.3">
      <c r="B12" s="29" t="s">
        <v>7</v>
      </c>
      <c r="C12" s="69">
        <f>(SUMIF($G$2:$G$36,B12,$I$2:$I$36))+(SUMIF($G$40:$G$41,B12,$H$40:$H$41))</f>
        <v>49.75</v>
      </c>
      <c r="D12" s="31"/>
      <c r="E12" s="75">
        <v>10937</v>
      </c>
      <c r="F12" s="76" t="s">
        <v>162</v>
      </c>
      <c r="G12" s="52" t="s">
        <v>8</v>
      </c>
      <c r="H12" s="40">
        <v>1100</v>
      </c>
      <c r="I12" s="40">
        <v>37.5</v>
      </c>
      <c r="J12" s="31"/>
      <c r="K12" s="34"/>
      <c r="L12" s="34"/>
      <c r="M12" s="34"/>
      <c r="R12" s="1">
        <f>IF(vend3[[#This Row],[Nº Venda]]&gt;1,1,0)</f>
        <v>1</v>
      </c>
    </row>
    <row r="13" spans="2:18" ht="16.5" x14ac:dyDescent="0.3">
      <c r="B13" s="29" t="s">
        <v>8</v>
      </c>
      <c r="C13" s="69">
        <f>(SUMIF($G$2:$G$36,B13,$I$2:$I$36))+(SUMIF($G$40:$G$41,B13,$H$40:$H$41))</f>
        <v>5039</v>
      </c>
      <c r="D13" s="31"/>
      <c r="E13" s="75">
        <v>10938</v>
      </c>
      <c r="F13" s="76" t="s">
        <v>162</v>
      </c>
      <c r="G13" s="52" t="s">
        <v>8</v>
      </c>
      <c r="H13" s="40">
        <v>200</v>
      </c>
      <c r="I13" s="40">
        <v>37.5</v>
      </c>
      <c r="J13" s="31"/>
      <c r="K13" s="113" t="s">
        <v>142</v>
      </c>
      <c r="L13" s="114"/>
      <c r="M13" s="115"/>
      <c r="R13" s="1">
        <f>IF(vend3[[#This Row],[Nº Venda]]&gt;1,1,0)</f>
        <v>1</v>
      </c>
    </row>
    <row r="14" spans="2:18" ht="16.5" x14ac:dyDescent="0.3">
      <c r="B14" s="29" t="s">
        <v>9</v>
      </c>
      <c r="C14" s="69">
        <f>(SUMIF($G$2:$G$36,B14,$I$2:$I$36))+(SUMIF($G$40:$G$41,B14,$H$40:$H$41))</f>
        <v>0</v>
      </c>
      <c r="D14" s="31"/>
      <c r="E14" s="75">
        <v>10939</v>
      </c>
      <c r="F14" s="76" t="s">
        <v>162</v>
      </c>
      <c r="G14" s="52" t="s">
        <v>46</v>
      </c>
      <c r="H14" s="40">
        <v>0</v>
      </c>
      <c r="I14" s="40">
        <v>0</v>
      </c>
      <c r="J14" s="31"/>
      <c r="K14" s="23" t="s">
        <v>22</v>
      </c>
      <c r="L14" s="24" t="s">
        <v>23</v>
      </c>
      <c r="M14" s="25" t="s">
        <v>24</v>
      </c>
      <c r="R14" s="1">
        <f>IF(vend3[[#This Row],[Nº Venda]]&gt;1,1,0)</f>
        <v>1</v>
      </c>
    </row>
    <row r="15" spans="2:18" ht="16.5" x14ac:dyDescent="0.3">
      <c r="B15" s="29" t="s">
        <v>10</v>
      </c>
      <c r="C15" s="69">
        <f>(SUMIF($G$2:$G$36,B15,$I$2:$I$36))+(SUMIF($G$40:$G$41,B15,$H$40:$H$41))</f>
        <v>2037.5</v>
      </c>
      <c r="D15" s="31"/>
      <c r="E15" s="75">
        <v>10940</v>
      </c>
      <c r="F15" s="76" t="s">
        <v>162</v>
      </c>
      <c r="G15" s="52" t="s">
        <v>8</v>
      </c>
      <c r="H15" s="40">
        <v>590</v>
      </c>
      <c r="I15" s="40">
        <v>75</v>
      </c>
      <c r="J15" s="31"/>
      <c r="K15" s="75">
        <v>10859</v>
      </c>
      <c r="L15" s="90" t="s">
        <v>130</v>
      </c>
      <c r="M15" s="45" t="s">
        <v>149</v>
      </c>
      <c r="R15" s="1">
        <f>IF(vend3[[#This Row],[Nº Venda]]&gt;1,1,0)</f>
        <v>1</v>
      </c>
    </row>
    <row r="16" spans="2:18" ht="16.5" x14ac:dyDescent="0.3">
      <c r="B16" s="32" t="s">
        <v>11</v>
      </c>
      <c r="C16" s="70">
        <f>SUM(C11:C15)</f>
        <v>7546.25</v>
      </c>
      <c r="D16" s="31"/>
      <c r="E16" s="75">
        <v>10941</v>
      </c>
      <c r="F16" s="76" t="s">
        <v>164</v>
      </c>
      <c r="G16" s="52" t="s">
        <v>8</v>
      </c>
      <c r="H16" s="40">
        <v>550</v>
      </c>
      <c r="I16" s="40">
        <v>50</v>
      </c>
      <c r="J16" s="31"/>
      <c r="K16" s="75">
        <v>10934</v>
      </c>
      <c r="L16" s="90" t="s">
        <v>128</v>
      </c>
      <c r="M16" s="45" t="s">
        <v>149</v>
      </c>
      <c r="R16" s="1">
        <f>IF(vend3[[#This Row],[Nº Venda]]&gt;1,1,0)</f>
        <v>1</v>
      </c>
    </row>
    <row r="17" spans="2:18" ht="16.5" x14ac:dyDescent="0.3">
      <c r="B17" s="28"/>
      <c r="C17" s="28"/>
      <c r="D17" s="31"/>
      <c r="E17" s="75">
        <v>10942</v>
      </c>
      <c r="F17" s="76" t="s">
        <v>165</v>
      </c>
      <c r="G17" s="52" t="s">
        <v>10</v>
      </c>
      <c r="H17" s="40">
        <v>450</v>
      </c>
      <c r="I17" s="40">
        <v>50</v>
      </c>
      <c r="J17" s="31"/>
      <c r="K17" s="75">
        <v>10935</v>
      </c>
      <c r="L17" s="90" t="s">
        <v>128</v>
      </c>
      <c r="M17" s="45" t="s">
        <v>149</v>
      </c>
      <c r="R17" s="1">
        <f>IF(vend3[[#This Row],[Nº Venda]]&gt;1,1,0)</f>
        <v>1</v>
      </c>
    </row>
    <row r="18" spans="2:18" ht="16.5" x14ac:dyDescent="0.3">
      <c r="B18" s="120" t="s">
        <v>12</v>
      </c>
      <c r="C18" s="121"/>
      <c r="D18" s="31"/>
      <c r="E18" s="75">
        <v>10942</v>
      </c>
      <c r="F18" s="76" t="s">
        <v>165</v>
      </c>
      <c r="G18" s="52" t="s">
        <v>6</v>
      </c>
      <c r="H18" s="40">
        <v>0</v>
      </c>
      <c r="I18" s="40">
        <v>100</v>
      </c>
      <c r="J18" s="31"/>
      <c r="K18" s="75">
        <v>10814</v>
      </c>
      <c r="L18" s="90" t="s">
        <v>130</v>
      </c>
      <c r="M18" s="45" t="s">
        <v>149</v>
      </c>
      <c r="R18" s="1">
        <f>IF(vend3[[#This Row],[Nº Venda]]&gt;1,1,0)</f>
        <v>1</v>
      </c>
    </row>
    <row r="19" spans="2:18" ht="16.5" x14ac:dyDescent="0.3">
      <c r="B19" s="29">
        <f>COUNT(entr_carn3[OS])</f>
        <v>0</v>
      </c>
      <c r="C19" s="69">
        <f>SUM(entr_carn3[Valor Total])</f>
        <v>0</v>
      </c>
      <c r="D19" s="31"/>
      <c r="E19" s="75">
        <v>10943</v>
      </c>
      <c r="F19" s="76" t="s">
        <v>166</v>
      </c>
      <c r="G19" s="52" t="s">
        <v>8</v>
      </c>
      <c r="H19" s="40">
        <v>120</v>
      </c>
      <c r="I19" s="40">
        <v>120</v>
      </c>
      <c r="J19" s="31"/>
      <c r="K19" s="75">
        <v>10913</v>
      </c>
      <c r="L19" s="90" t="s">
        <v>134</v>
      </c>
      <c r="M19" s="45" t="s">
        <v>149</v>
      </c>
      <c r="R19" s="1">
        <f>IF(vend3[[#This Row],[Nº Venda]]&gt;1,1,0)</f>
        <v>1</v>
      </c>
    </row>
    <row r="20" spans="2:18" ht="16.5" x14ac:dyDescent="0.3">
      <c r="B20" s="32" t="s">
        <v>11</v>
      </c>
      <c r="C20" s="70">
        <f>SUM(C19:C19)</f>
        <v>0</v>
      </c>
      <c r="D20" s="31"/>
      <c r="E20" s="75">
        <v>10944</v>
      </c>
      <c r="F20" s="52" t="s">
        <v>167</v>
      </c>
      <c r="G20" s="52" t="s">
        <v>8</v>
      </c>
      <c r="H20" s="40">
        <v>2100</v>
      </c>
      <c r="I20" s="40">
        <v>2100</v>
      </c>
      <c r="J20" s="31"/>
      <c r="K20" s="75">
        <v>10943</v>
      </c>
      <c r="L20" s="90" t="s">
        <v>130</v>
      </c>
      <c r="M20" s="45" t="s">
        <v>149</v>
      </c>
      <c r="R20" s="1">
        <f>IF(vend3[[#This Row],[Nº Venda]]&gt;1,1,0)</f>
        <v>1</v>
      </c>
    </row>
    <row r="21" spans="2:18" ht="16.5" x14ac:dyDescent="0.3">
      <c r="B21" s="28"/>
      <c r="C21" s="28"/>
      <c r="D21" s="31"/>
      <c r="E21" s="75">
        <v>10945</v>
      </c>
      <c r="F21" s="52" t="s">
        <v>167</v>
      </c>
      <c r="G21" s="52" t="s">
        <v>8</v>
      </c>
      <c r="H21" s="40">
        <v>700</v>
      </c>
      <c r="I21" s="40">
        <v>700</v>
      </c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10624.75</v>
      </c>
      <c r="D22" s="31"/>
      <c r="E22" s="81">
        <v>10946</v>
      </c>
      <c r="F22" s="52" t="s">
        <v>167</v>
      </c>
      <c r="G22" s="52" t="s">
        <v>46</v>
      </c>
      <c r="H22" s="40">
        <v>0</v>
      </c>
      <c r="I22" s="40">
        <v>0</v>
      </c>
      <c r="J22" s="31"/>
      <c r="K22" s="75"/>
      <c r="L22" s="90"/>
      <c r="M22" s="45"/>
    </row>
    <row r="23" spans="2:18" ht="16.5" x14ac:dyDescent="0.3">
      <c r="B23" s="31"/>
      <c r="C23" s="31"/>
      <c r="D23" s="31"/>
      <c r="E23" s="81">
        <v>10947</v>
      </c>
      <c r="F23" s="52" t="s">
        <v>168</v>
      </c>
      <c r="G23" s="52" t="s">
        <v>10</v>
      </c>
      <c r="H23" s="40">
        <v>239</v>
      </c>
      <c r="I23" s="40">
        <v>239</v>
      </c>
      <c r="J23" s="31"/>
      <c r="K23" s="75"/>
      <c r="L23" s="90"/>
      <c r="M23" s="45"/>
    </row>
    <row r="24" spans="2:18" ht="16.5" x14ac:dyDescent="0.3">
      <c r="B24" s="31"/>
      <c r="C24" s="31"/>
      <c r="D24" s="31"/>
      <c r="E24" s="81">
        <v>10948</v>
      </c>
      <c r="F24" s="52" t="s">
        <v>169</v>
      </c>
      <c r="G24" s="52" t="s">
        <v>8</v>
      </c>
      <c r="H24" s="40">
        <v>120</v>
      </c>
      <c r="I24" s="40">
        <v>120</v>
      </c>
      <c r="J24" s="31"/>
      <c r="K24" s="75"/>
      <c r="L24" s="90"/>
      <c r="M24" s="45"/>
    </row>
    <row r="25" spans="2:18" ht="16.5" x14ac:dyDescent="0.3">
      <c r="B25" s="31"/>
      <c r="C25" s="31"/>
      <c r="D25" s="31"/>
      <c r="E25" s="81">
        <v>10949</v>
      </c>
      <c r="F25" s="52" t="s">
        <v>163</v>
      </c>
      <c r="G25" s="52" t="s">
        <v>8</v>
      </c>
      <c r="H25" s="40">
        <v>1999</v>
      </c>
      <c r="I25" s="40">
        <v>1799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81">
        <v>10949</v>
      </c>
      <c r="F26" s="52" t="s">
        <v>163</v>
      </c>
      <c r="G26" s="52" t="s">
        <v>6</v>
      </c>
      <c r="H26" s="40">
        <v>0</v>
      </c>
      <c r="I26" s="40">
        <v>200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81">
        <v>10950</v>
      </c>
      <c r="F27" s="52" t="s">
        <v>163</v>
      </c>
      <c r="G27" s="52" t="s">
        <v>46</v>
      </c>
      <c r="H27" s="40">
        <v>0</v>
      </c>
      <c r="I27" s="40">
        <v>0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36"/>
      <c r="F28" s="36"/>
      <c r="G28" s="36"/>
      <c r="H28" s="37"/>
      <c r="I28" s="38"/>
      <c r="J28" s="31"/>
      <c r="K28" s="75"/>
      <c r="L28" s="90"/>
      <c r="M28" s="45"/>
    </row>
    <row r="29" spans="2:18" ht="16.5" x14ac:dyDescent="0.3">
      <c r="B29" s="31"/>
      <c r="C29" s="31"/>
      <c r="D29" s="31"/>
      <c r="E29" s="111" t="s">
        <v>139</v>
      </c>
      <c r="F29" s="112"/>
      <c r="G29" s="112"/>
      <c r="H29" s="112"/>
      <c r="I29" s="112"/>
      <c r="J29" s="31"/>
      <c r="K29" s="75"/>
      <c r="L29" s="90"/>
      <c r="M29" s="45"/>
    </row>
    <row r="30" spans="2:18" ht="16.5" x14ac:dyDescent="0.3">
      <c r="B30" s="31"/>
      <c r="C30" s="31"/>
      <c r="D30" s="31"/>
      <c r="E30" s="16" t="s">
        <v>14</v>
      </c>
      <c r="F30" s="15" t="s">
        <v>15</v>
      </c>
      <c r="G30" s="16" t="s">
        <v>16</v>
      </c>
      <c r="H30" s="17" t="s">
        <v>17</v>
      </c>
      <c r="I30" s="17" t="s">
        <v>2</v>
      </c>
      <c r="J30" s="31"/>
      <c r="K30" s="75"/>
      <c r="L30" s="90"/>
      <c r="M30" s="45"/>
    </row>
    <row r="31" spans="2:18" ht="16.5" x14ac:dyDescent="0.3">
      <c r="B31" s="31"/>
      <c r="C31" s="31"/>
      <c r="D31" s="31"/>
      <c r="E31" s="75"/>
      <c r="F31" s="76"/>
      <c r="G31" s="51"/>
      <c r="H31" s="40"/>
      <c r="I31" s="40"/>
      <c r="J31" s="31"/>
      <c r="K31" s="75"/>
      <c r="L31" s="90"/>
      <c r="M31" s="45"/>
    </row>
    <row r="32" spans="2:18" ht="16.5" x14ac:dyDescent="0.3">
      <c r="B32" s="31"/>
      <c r="C32" s="31"/>
      <c r="D32" s="39"/>
      <c r="E32" s="75"/>
      <c r="F32" s="76"/>
      <c r="G32" s="52"/>
      <c r="H32" s="40"/>
      <c r="I32" s="40"/>
      <c r="J32" s="39"/>
      <c r="K32" s="34"/>
      <c r="L32" s="34"/>
      <c r="M32" s="34"/>
    </row>
    <row r="33" spans="2:18" ht="16.5" x14ac:dyDescent="0.3">
      <c r="B33" s="31"/>
      <c r="C33" s="31"/>
      <c r="D33" s="39"/>
      <c r="E33" s="75"/>
      <c r="F33" s="76"/>
      <c r="G33" s="52"/>
      <c r="H33" s="40"/>
      <c r="I33" s="40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75"/>
      <c r="F34" s="76"/>
      <c r="G34" s="52"/>
      <c r="H34" s="40"/>
      <c r="I34" s="40"/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52"/>
      <c r="G35" s="52"/>
      <c r="H35" s="40"/>
      <c r="I35" s="40"/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77"/>
      <c r="F36" s="78"/>
      <c r="G36" s="43"/>
      <c r="H36" s="44"/>
      <c r="I36" s="44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36"/>
      <c r="F37" s="36"/>
      <c r="G37" s="36"/>
      <c r="H37" s="38"/>
      <c r="I37" s="38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111" t="s">
        <v>140</v>
      </c>
      <c r="F38" s="112"/>
      <c r="G38" s="112"/>
      <c r="H38" s="112"/>
      <c r="I38" s="112"/>
      <c r="J38" s="39"/>
      <c r="K38" s="75"/>
      <c r="L38" s="75"/>
      <c r="M38" s="90"/>
    </row>
    <row r="39" spans="2:18" ht="16.5" customHeight="1" x14ac:dyDescent="0.3">
      <c r="B39" s="39"/>
      <c r="C39" s="39"/>
      <c r="D39" s="39"/>
      <c r="E39" s="16" t="s">
        <v>22</v>
      </c>
      <c r="F39" s="15" t="s">
        <v>15</v>
      </c>
      <c r="G39" s="16" t="s">
        <v>16</v>
      </c>
      <c r="H39" s="17" t="s">
        <v>26</v>
      </c>
      <c r="I39" s="17" t="s">
        <v>27</v>
      </c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5">
        <v>10058</v>
      </c>
      <c r="F40" s="76" t="s">
        <v>171</v>
      </c>
      <c r="G40" s="52" t="s">
        <v>10</v>
      </c>
      <c r="H40" s="40">
        <v>290</v>
      </c>
      <c r="I40" s="40" t="s">
        <v>92</v>
      </c>
      <c r="J40" s="39"/>
      <c r="K40" s="77"/>
      <c r="L40" s="77"/>
      <c r="M40" s="91"/>
      <c r="Q40" s="1" t="s">
        <v>33</v>
      </c>
      <c r="R40" s="1">
        <f>SUM(R6:R21)</f>
        <v>15</v>
      </c>
    </row>
    <row r="41" spans="2:18" ht="16.5" customHeight="1" x14ac:dyDescent="0.25">
      <c r="B41" s="39"/>
      <c r="C41" s="39"/>
      <c r="D41" s="39"/>
      <c r="E41" s="75">
        <v>10353</v>
      </c>
      <c r="F41" s="76" t="s">
        <v>271</v>
      </c>
      <c r="G41" s="52" t="s">
        <v>10</v>
      </c>
      <c r="H41" s="40">
        <v>100</v>
      </c>
      <c r="I41" s="40" t="s">
        <v>74</v>
      </c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9:I29"/>
    <mergeCell ref="E38:I38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72B55E-E645-40AF-B663-A157B0ECB6D8}">
          <x14:formula1>
            <xm:f>base!$E$2:$E$79</xm:f>
          </x14:formula1>
          <xm:sqref>I40:I41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E31:E36 E40:E41 K35:K41 K15:K31 E6:E27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G31:G36 G40:G41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90" zoomScaleNormal="9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'03'!B1+1</f>
        <v>45781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0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0</v>
      </c>
      <c r="D6" s="31"/>
      <c r="E6" s="75"/>
      <c r="F6" s="76"/>
      <c r="G6" s="51"/>
      <c r="H6" s="40"/>
      <c r="I6" s="40"/>
      <c r="J6" s="31"/>
      <c r="K6" s="76"/>
      <c r="L6" s="90"/>
      <c r="M6" s="45"/>
      <c r="R6" s="1">
        <f>IF(vend4[[#This Row],[Nº Venda]]&gt;1,1,0)</f>
        <v>0</v>
      </c>
    </row>
    <row r="7" spans="2:18" ht="16.5" x14ac:dyDescent="0.3">
      <c r="B7" s="29" t="s">
        <v>3</v>
      </c>
      <c r="C7" s="30">
        <f>SUM(M6:M11)</f>
        <v>0</v>
      </c>
      <c r="D7" s="31"/>
      <c r="E7" s="75"/>
      <c r="F7" s="76"/>
      <c r="G7" s="51"/>
      <c r="H7" s="40"/>
      <c r="I7" s="40"/>
      <c r="J7" s="31"/>
      <c r="K7" s="76"/>
      <c r="L7" s="90"/>
      <c r="M7" s="45"/>
      <c r="R7" s="1">
        <f>IF(vend4[[#This Row],[Nº Venda]]&gt;1,1,0)</f>
        <v>0</v>
      </c>
    </row>
    <row r="8" spans="2:18" ht="16.5" x14ac:dyDescent="0.3">
      <c r="B8" s="32" t="s">
        <v>21</v>
      </c>
      <c r="C8" s="33">
        <f>SUM(C6:C7)</f>
        <v>0</v>
      </c>
      <c r="D8" s="31"/>
      <c r="E8" s="75"/>
      <c r="F8" s="76"/>
      <c r="G8" s="51"/>
      <c r="H8" s="40"/>
      <c r="I8" s="40"/>
      <c r="J8" s="31"/>
      <c r="K8" s="76"/>
      <c r="L8" s="90"/>
      <c r="M8" s="45"/>
      <c r="R8" s="1">
        <f>IF(vend4[[#This Row],[Nº Venda]]&gt;1,1,0)</f>
        <v>0</v>
      </c>
    </row>
    <row r="9" spans="2:18" ht="16.5" x14ac:dyDescent="0.3">
      <c r="B9" s="28"/>
      <c r="C9" s="28"/>
      <c r="D9" s="31"/>
      <c r="E9" s="75"/>
      <c r="F9" s="76"/>
      <c r="G9" s="51"/>
      <c r="H9" s="40"/>
      <c r="I9" s="40"/>
      <c r="J9" s="31"/>
      <c r="K9" s="76"/>
      <c r="L9" s="90"/>
      <c r="M9" s="45"/>
      <c r="R9" s="1">
        <f>IF(vend4[[#This Row],[Nº Venda]]&gt;1,1,0)</f>
        <v>0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90"/>
      <c r="M10" s="45"/>
      <c r="R10" s="1">
        <f>IF(vend4[[#This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0</v>
      </c>
      <c r="R11" s="1">
        <f>IF(vend4[[#This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IF(vend4[[#This Row],[Nº Venda]]&gt;1,1,0)</f>
        <v>0</v>
      </c>
    </row>
    <row r="13" spans="2:18" ht="16.5" x14ac:dyDescent="0.3">
      <c r="B13" s="29" t="s">
        <v>8</v>
      </c>
      <c r="C13" s="69">
        <f t="shared" si="0"/>
        <v>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IF(vend4[[#This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IF(vend4[[#This Row],[Nº Venda]]&gt;1,1,0)</f>
        <v>0</v>
      </c>
    </row>
    <row r="15" spans="2:18" ht="16.5" x14ac:dyDescent="0.3">
      <c r="B15" s="29" t="s">
        <v>10</v>
      </c>
      <c r="C15" s="69">
        <f t="shared" si="0"/>
        <v>0</v>
      </c>
      <c r="D15" s="31"/>
      <c r="E15" s="75"/>
      <c r="F15" s="76"/>
      <c r="G15" s="52"/>
      <c r="H15" s="40"/>
      <c r="I15" s="40"/>
      <c r="J15" s="31"/>
      <c r="K15" s="75"/>
      <c r="L15" s="90"/>
      <c r="M15" s="45"/>
      <c r="R15" s="1">
        <f>IF(vend4[[#This Row],[Nº Venda]]&gt;1,1,0)</f>
        <v>0</v>
      </c>
    </row>
    <row r="16" spans="2:18" ht="16.5" x14ac:dyDescent="0.3">
      <c r="B16" s="32" t="s">
        <v>11</v>
      </c>
      <c r="C16" s="70">
        <f>SUM(C11:C15)</f>
        <v>0</v>
      </c>
      <c r="D16" s="31"/>
      <c r="E16" s="75"/>
      <c r="F16" s="76"/>
      <c r="G16" s="52"/>
      <c r="H16" s="40"/>
      <c r="I16" s="40"/>
      <c r="J16" s="31"/>
      <c r="K16" s="75"/>
      <c r="L16" s="90"/>
      <c r="M16" s="45"/>
      <c r="R16" s="1">
        <f>IF(vend4[[#This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/>
      <c r="L17" s="90"/>
      <c r="M17" s="45"/>
      <c r="R17" s="1">
        <f>IF(vend4[[#This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/>
      <c r="L18" s="90"/>
      <c r="M18" s="45"/>
      <c r="R18" s="1">
        <f>IF(vend4[[#This Row],[Nº Venda]]&gt;1,1,0)</f>
        <v>0</v>
      </c>
    </row>
    <row r="19" spans="2:18" ht="16.5" x14ac:dyDescent="0.3">
      <c r="B19" s="29">
        <f>COUNT(entr_carn4[OS])</f>
        <v>0</v>
      </c>
      <c r="C19" s="69">
        <f>SUM(entr_carn4[Valor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IF(vend4[[#This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IF(vend4[[#This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0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1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1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1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40"/>
      <c r="I35" s="40"/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75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0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zoomScale="90" zoomScaleNormal="90" zoomScaleSheetLayoutView="9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'04'!B1+1</f>
        <v>45782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3748.99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2542.88</v>
      </c>
      <c r="D6" s="31"/>
      <c r="E6" s="75">
        <v>10951</v>
      </c>
      <c r="F6" s="76" t="s">
        <v>173</v>
      </c>
      <c r="G6" s="51" t="s">
        <v>36</v>
      </c>
      <c r="H6" s="40"/>
      <c r="I6" s="40"/>
      <c r="J6" s="31"/>
      <c r="K6" s="76" t="s">
        <v>172</v>
      </c>
      <c r="L6" s="90" t="s">
        <v>10</v>
      </c>
      <c r="M6" s="45">
        <v>1.97</v>
      </c>
      <c r="R6" s="1">
        <f>IF(vend5[[#This Row],[Nº Venda]]&gt;1,1,0)</f>
        <v>1</v>
      </c>
    </row>
    <row r="7" spans="2:18" ht="16.5" x14ac:dyDescent="0.3">
      <c r="B7" s="29" t="s">
        <v>3</v>
      </c>
      <c r="C7" s="30">
        <f>SUM(M6:M11)</f>
        <v>1.97</v>
      </c>
      <c r="D7" s="31"/>
      <c r="E7" s="75">
        <v>10952</v>
      </c>
      <c r="F7" s="76" t="s">
        <v>174</v>
      </c>
      <c r="G7" s="51" t="s">
        <v>8</v>
      </c>
      <c r="H7" s="40">
        <v>690</v>
      </c>
      <c r="I7" s="40">
        <v>690</v>
      </c>
      <c r="J7" s="31"/>
      <c r="K7" s="76"/>
      <c r="L7" s="90"/>
      <c r="M7" s="45"/>
      <c r="R7" s="1">
        <f>IF(vend5[[#This Row],[Nº Venda]]&gt;1,1,0)</f>
        <v>1</v>
      </c>
    </row>
    <row r="8" spans="2:18" ht="16.5" x14ac:dyDescent="0.3">
      <c r="B8" s="32" t="s">
        <v>21</v>
      </c>
      <c r="C8" s="33">
        <f>SUM(C6:C7)</f>
        <v>2544.85</v>
      </c>
      <c r="D8" s="31"/>
      <c r="E8" s="75">
        <v>10953</v>
      </c>
      <c r="F8" s="76" t="s">
        <v>175</v>
      </c>
      <c r="G8" s="51" t="s">
        <v>6</v>
      </c>
      <c r="H8" s="40">
        <v>22</v>
      </c>
      <c r="I8" s="40">
        <v>22</v>
      </c>
      <c r="J8" s="31"/>
      <c r="K8" s="76"/>
      <c r="L8" s="90"/>
      <c r="M8" s="45"/>
      <c r="R8" s="1">
        <f>IF(vend5[[#This Row],[Nº Venda]]&gt;1,1,0)</f>
        <v>1</v>
      </c>
    </row>
    <row r="9" spans="2:18" ht="16.5" x14ac:dyDescent="0.3">
      <c r="B9" s="28"/>
      <c r="C9" s="28"/>
      <c r="D9" s="31"/>
      <c r="E9" s="75">
        <v>10954</v>
      </c>
      <c r="F9" s="76" t="s">
        <v>180</v>
      </c>
      <c r="G9" s="51" t="s">
        <v>36</v>
      </c>
      <c r="H9" s="40"/>
      <c r="I9" s="40"/>
      <c r="J9" s="31"/>
      <c r="K9" s="76"/>
      <c r="L9" s="90"/>
      <c r="M9" s="45"/>
      <c r="R9" s="1">
        <f>IF(vend5[[#This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10955</v>
      </c>
      <c r="F10" s="76" t="s">
        <v>182</v>
      </c>
      <c r="G10" s="51" t="s">
        <v>10</v>
      </c>
      <c r="H10" s="40">
        <v>454</v>
      </c>
      <c r="I10" s="40">
        <v>23</v>
      </c>
      <c r="J10" s="31"/>
      <c r="K10" s="76"/>
      <c r="L10" s="90"/>
      <c r="M10" s="45"/>
      <c r="R10" s="1">
        <f>IF(vend5[[#This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71.900000000000006</v>
      </c>
      <c r="D11" s="31"/>
      <c r="E11" s="75">
        <v>10956</v>
      </c>
      <c r="F11" s="76" t="s">
        <v>182</v>
      </c>
      <c r="G11" s="51" t="s">
        <v>10</v>
      </c>
      <c r="H11" s="40">
        <v>613</v>
      </c>
      <c r="I11" s="40">
        <v>22.99</v>
      </c>
      <c r="J11" s="31"/>
      <c r="K11" s="39"/>
      <c r="L11" s="90"/>
      <c r="M11" s="45"/>
      <c r="O11" s="1">
        <f>IF(C16=0,0,1)</f>
        <v>1</v>
      </c>
      <c r="R11" s="1">
        <f>IF(vend5[[#This Row],[Nº Venda]]&gt;1,1,0)</f>
        <v>1</v>
      </c>
    </row>
    <row r="12" spans="2:18" ht="16.5" x14ac:dyDescent="0.3">
      <c r="B12" s="29" t="s">
        <v>7</v>
      </c>
      <c r="C12" s="69">
        <f>(SUMIF($G$2:$G$31,B12,$I$2:$I$31))+(SUMIF($G$35:$G$41,B12,$H$35:$H$41))</f>
        <v>125</v>
      </c>
      <c r="D12" s="31"/>
      <c r="E12" s="75">
        <v>10958</v>
      </c>
      <c r="F12" s="76" t="s">
        <v>183</v>
      </c>
      <c r="G12" s="52" t="s">
        <v>10</v>
      </c>
      <c r="H12" s="40">
        <v>490</v>
      </c>
      <c r="I12" s="40">
        <v>130</v>
      </c>
      <c r="J12" s="31"/>
      <c r="K12" s="34"/>
      <c r="L12" s="34"/>
      <c r="M12" s="34"/>
      <c r="R12" s="1">
        <f>IF(vend5[[#This Row],[Nº Venda]]&gt;1,1,0)</f>
        <v>1</v>
      </c>
    </row>
    <row r="13" spans="2:18" ht="16.5" x14ac:dyDescent="0.3">
      <c r="B13" s="29" t="s">
        <v>8</v>
      </c>
      <c r="C13" s="69">
        <f>(SUMIF($G$2:$G$31,B13,$I$2:$I$31))+(SUMIF($G$35:$G$41,B13,$H$35:$H$41))</f>
        <v>2169.9899999999998</v>
      </c>
      <c r="D13" s="31"/>
      <c r="E13" s="81">
        <v>10959</v>
      </c>
      <c r="F13" s="52" t="s">
        <v>214</v>
      </c>
      <c r="G13" s="52" t="s">
        <v>8</v>
      </c>
      <c r="H13" s="40">
        <v>39.99</v>
      </c>
      <c r="I13" s="40">
        <v>39.99</v>
      </c>
      <c r="J13" s="31"/>
      <c r="K13" s="113" t="s">
        <v>142</v>
      </c>
      <c r="L13" s="114"/>
      <c r="M13" s="115"/>
      <c r="R13" s="1">
        <f>IF(vend5[[#This Row],[Nº Venda]]&gt;1,1,0)</f>
        <v>1</v>
      </c>
    </row>
    <row r="14" spans="2:18" ht="16.5" x14ac:dyDescent="0.3">
      <c r="B14" s="29" t="s">
        <v>9</v>
      </c>
      <c r="C14" s="69">
        <f>(SUMIF($G$2:$G$31,B14,$I$2:$I$31))+(SUMIF($G$35:$G$41,B14,$H$35:$H$41))</f>
        <v>0</v>
      </c>
      <c r="D14" s="31"/>
      <c r="E14" s="81">
        <v>10960</v>
      </c>
      <c r="F14" s="52" t="s">
        <v>184</v>
      </c>
      <c r="G14" s="52" t="s">
        <v>8</v>
      </c>
      <c r="H14" s="40">
        <v>50</v>
      </c>
      <c r="I14" s="40">
        <v>50</v>
      </c>
      <c r="J14" s="31"/>
      <c r="K14" s="23" t="s">
        <v>22</v>
      </c>
      <c r="L14" s="24" t="s">
        <v>23</v>
      </c>
      <c r="M14" s="25" t="s">
        <v>24</v>
      </c>
      <c r="R14" s="1">
        <f>IF(vend5[[#This Row],[Nº Venda]]&gt;1,1,0)</f>
        <v>1</v>
      </c>
    </row>
    <row r="15" spans="2:18" ht="16.5" x14ac:dyDescent="0.3">
      <c r="B15" s="29" t="s">
        <v>10</v>
      </c>
      <c r="C15" s="69">
        <f>(SUMIF($G$2:$G$31,B15,$I$2:$I$31))+(SUMIF($G$35:$G$41,B15,$H$35:$H$41))</f>
        <v>175.99</v>
      </c>
      <c r="D15" s="31"/>
      <c r="H15" s="40"/>
      <c r="I15" s="40"/>
      <c r="J15" s="31"/>
      <c r="K15" s="75">
        <v>10880</v>
      </c>
      <c r="L15" s="90" t="s">
        <v>130</v>
      </c>
      <c r="M15" s="45" t="s">
        <v>149</v>
      </c>
      <c r="R15" s="1">
        <f>IF(vend5[[#This Row],[Nº Venda]]&gt;1,1,0)</f>
        <v>0</v>
      </c>
    </row>
    <row r="16" spans="2:18" ht="16.5" x14ac:dyDescent="0.3">
      <c r="B16" s="32" t="s">
        <v>11</v>
      </c>
      <c r="C16" s="70">
        <f>SUM(C11:C15)</f>
        <v>2542.88</v>
      </c>
      <c r="D16" s="31"/>
      <c r="E16" s="75"/>
      <c r="F16" s="76"/>
      <c r="G16" s="52"/>
      <c r="H16" s="40"/>
      <c r="I16" s="40"/>
      <c r="J16" s="31"/>
      <c r="K16" s="75">
        <v>10931</v>
      </c>
      <c r="L16" s="90" t="s">
        <v>130</v>
      </c>
      <c r="M16" s="45" t="s">
        <v>149</v>
      </c>
      <c r="R16" s="1">
        <f>IF(vend5[[#This Row],[Nº Venda]]&gt;1,1,0)</f>
        <v>0</v>
      </c>
    </row>
    <row r="17" spans="2:13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10953</v>
      </c>
      <c r="L17" s="90" t="s">
        <v>130</v>
      </c>
      <c r="M17" s="45" t="s">
        <v>149</v>
      </c>
    </row>
    <row r="18" spans="2:13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10959</v>
      </c>
      <c r="L18" s="90" t="s">
        <v>134</v>
      </c>
      <c r="M18" s="45" t="s">
        <v>149</v>
      </c>
    </row>
    <row r="19" spans="2:13" ht="16.5" x14ac:dyDescent="0.3">
      <c r="B19" s="29">
        <f>COUNT(entr_carn5[OS])</f>
        <v>0</v>
      </c>
      <c r="C19" s="69">
        <f>SUM(entr_carn5[Valor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</row>
    <row r="20" spans="2:13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</row>
    <row r="21" spans="2:13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3" ht="16.5" x14ac:dyDescent="0.3">
      <c r="B22" s="32" t="s">
        <v>25</v>
      </c>
      <c r="C22" s="35">
        <f>C5</f>
        <v>3748.99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3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3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3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3" ht="16.5" x14ac:dyDescent="0.3">
      <c r="B26" s="31"/>
      <c r="C26" s="31"/>
      <c r="D26" s="31"/>
      <c r="E26" s="75">
        <v>10924</v>
      </c>
      <c r="F26" s="76" t="s">
        <v>176</v>
      </c>
      <c r="G26" s="51" t="s">
        <v>8</v>
      </c>
      <c r="H26" s="40">
        <v>537</v>
      </c>
      <c r="I26" s="40">
        <v>537</v>
      </c>
      <c r="J26" s="31"/>
      <c r="K26" s="75"/>
      <c r="L26" s="90"/>
      <c r="M26" s="45"/>
    </row>
    <row r="27" spans="2:13" ht="16.5" x14ac:dyDescent="0.3">
      <c r="B27" s="31"/>
      <c r="C27" s="31"/>
      <c r="D27" s="31"/>
      <c r="E27" s="75">
        <v>10925</v>
      </c>
      <c r="F27" s="76" t="s">
        <v>154</v>
      </c>
      <c r="G27" s="51" t="s">
        <v>8</v>
      </c>
      <c r="H27" s="40">
        <v>537</v>
      </c>
      <c r="I27" s="40">
        <v>537</v>
      </c>
      <c r="J27" s="31"/>
      <c r="K27" s="75"/>
      <c r="L27" s="90"/>
      <c r="M27" s="45"/>
    </row>
    <row r="28" spans="2:13" ht="16.5" x14ac:dyDescent="0.3">
      <c r="B28" s="31"/>
      <c r="C28" s="31"/>
      <c r="D28" s="31"/>
      <c r="E28" s="75">
        <v>10927</v>
      </c>
      <c r="F28" s="76" t="s">
        <v>176</v>
      </c>
      <c r="G28" s="51" t="s">
        <v>8</v>
      </c>
      <c r="H28" s="40">
        <v>316</v>
      </c>
      <c r="I28" s="40">
        <v>316</v>
      </c>
      <c r="J28" s="31"/>
      <c r="K28" s="75"/>
      <c r="L28" s="90"/>
      <c r="M28" s="45"/>
    </row>
    <row r="29" spans="2:13" ht="16.5" x14ac:dyDescent="0.3">
      <c r="B29" s="31"/>
      <c r="C29" s="31"/>
      <c r="D29" s="31"/>
      <c r="E29" s="75">
        <v>10931</v>
      </c>
      <c r="F29" s="52" t="s">
        <v>185</v>
      </c>
      <c r="G29" s="52" t="s">
        <v>7</v>
      </c>
      <c r="H29" s="40"/>
      <c r="I29" s="40">
        <v>29</v>
      </c>
      <c r="J29" s="31"/>
      <c r="K29" s="75"/>
      <c r="L29" s="90"/>
      <c r="M29" s="45"/>
    </row>
    <row r="30" spans="2:13" ht="16.5" x14ac:dyDescent="0.3">
      <c r="B30" s="31"/>
      <c r="C30" s="31"/>
      <c r="D30" s="31"/>
      <c r="E30" s="81"/>
      <c r="F30" s="52"/>
      <c r="G30" s="52"/>
      <c r="H30" s="40"/>
      <c r="I30" s="40"/>
      <c r="J30" s="31"/>
      <c r="K30" s="75"/>
      <c r="L30" s="90"/>
      <c r="M30" s="45"/>
    </row>
    <row r="31" spans="2:13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3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10821</v>
      </c>
      <c r="F35" s="76" t="s">
        <v>178</v>
      </c>
      <c r="G35" s="52" t="s">
        <v>6</v>
      </c>
      <c r="H35" s="40">
        <v>49.9</v>
      </c>
      <c r="I35" s="40" t="s">
        <v>32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9">
        <v>10787</v>
      </c>
      <c r="F36" s="76" t="s">
        <v>179</v>
      </c>
      <c r="G36" s="52" t="s">
        <v>7</v>
      </c>
      <c r="H36" s="40">
        <v>96</v>
      </c>
      <c r="I36" s="40" t="s">
        <v>49</v>
      </c>
      <c r="J36" s="39"/>
      <c r="K36" s="75"/>
      <c r="L36" s="75"/>
      <c r="M36" s="90"/>
      <c r="Q36" s="1" t="s">
        <v>33</v>
      </c>
      <c r="R36" s="1">
        <f>SUM(R6:R17)</f>
        <v>9</v>
      </c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5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E35:E41 K35:K41 K15:K31 E6:E14 E16:E22 E26:E29 E31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G35:G41 G31 G26:G29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G16:G22 G6:G14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>
    <pageSetUpPr fitToPage="1"/>
  </sheetPr>
  <dimension ref="A1:R45"/>
  <sheetViews>
    <sheetView showGridLines="0" view="pageBreakPreview" zoomScale="6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3.42578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8.5" x14ac:dyDescent="0.45">
      <c r="A1" s="1" t="s">
        <v>190</v>
      </c>
      <c r="B1" s="109">
        <f>'05'!B1+1</f>
        <v>45783</v>
      </c>
      <c r="C1" s="109"/>
      <c r="L1" s="110" t="s">
        <v>136</v>
      </c>
      <c r="M1" s="110"/>
    </row>
    <row r="2" spans="1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1:18" ht="16.5" x14ac:dyDescent="0.3">
      <c r="B5" s="29" t="s">
        <v>1</v>
      </c>
      <c r="C5" s="30">
        <f>SUMIF(I6:I31,"&gt;0",H6:H31)</f>
        <v>802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1:18" ht="16.5" x14ac:dyDescent="0.3">
      <c r="B6" s="29" t="s">
        <v>2</v>
      </c>
      <c r="C6" s="30">
        <f>C16</f>
        <v>306.25</v>
      </c>
      <c r="D6" s="31"/>
      <c r="E6" s="75">
        <v>10961</v>
      </c>
      <c r="F6" s="76" t="s">
        <v>186</v>
      </c>
      <c r="G6" s="52" t="s">
        <v>46</v>
      </c>
      <c r="H6" s="40">
        <v>0</v>
      </c>
      <c r="I6" s="40">
        <v>0</v>
      </c>
      <c r="J6" s="31"/>
      <c r="K6" s="76" t="s">
        <v>146</v>
      </c>
      <c r="L6" s="90" t="s">
        <v>10</v>
      </c>
      <c r="M6" s="45">
        <v>3.61</v>
      </c>
      <c r="R6" s="1">
        <f>IF(vend[[#This Row],[Nº Venda]]&gt;1,1,0)</f>
        <v>1</v>
      </c>
    </row>
    <row r="7" spans="1:18" ht="16.5" x14ac:dyDescent="0.3">
      <c r="B7" s="29" t="s">
        <v>3</v>
      </c>
      <c r="C7" s="30">
        <f>SUM(M6:M11)</f>
        <v>3.61</v>
      </c>
      <c r="D7" s="31"/>
      <c r="E7" s="75">
        <v>10962</v>
      </c>
      <c r="F7" s="76" t="s">
        <v>187</v>
      </c>
      <c r="G7" s="52" t="s">
        <v>46</v>
      </c>
      <c r="H7" s="40">
        <v>40</v>
      </c>
      <c r="I7" s="40">
        <v>0</v>
      </c>
      <c r="J7" s="31"/>
      <c r="K7" s="76"/>
      <c r="L7" s="90"/>
      <c r="M7" s="45"/>
      <c r="R7" s="1">
        <f>IF(vend[[#This Row],[Nº Venda]]&gt;1,1,0)</f>
        <v>1</v>
      </c>
    </row>
    <row r="8" spans="1:18" ht="16.5" x14ac:dyDescent="0.3">
      <c r="B8" s="32" t="s">
        <v>21</v>
      </c>
      <c r="C8" s="33">
        <f>SUM(C6:C7)</f>
        <v>309.86</v>
      </c>
      <c r="D8" s="31"/>
      <c r="E8" s="75">
        <v>10963</v>
      </c>
      <c r="F8" s="76" t="s">
        <v>188</v>
      </c>
      <c r="G8" s="52" t="s">
        <v>36</v>
      </c>
      <c r="H8" s="40"/>
      <c r="I8" s="40"/>
      <c r="J8" s="31"/>
      <c r="K8" s="76"/>
      <c r="L8" s="90"/>
      <c r="M8" s="45"/>
      <c r="R8" s="1">
        <f>IF(vend[[#This Row],[Nº Venda]]&gt;1,1,0)</f>
        <v>1</v>
      </c>
    </row>
    <row r="9" spans="1:18" ht="16.5" x14ac:dyDescent="0.3">
      <c r="B9" s="28"/>
      <c r="C9" s="28"/>
      <c r="D9" s="31"/>
      <c r="E9" s="75">
        <v>10964</v>
      </c>
      <c r="F9" s="76" t="s">
        <v>189</v>
      </c>
      <c r="G9" s="52" t="s">
        <v>6</v>
      </c>
      <c r="H9" s="40">
        <v>100</v>
      </c>
      <c r="I9" s="40">
        <v>100</v>
      </c>
      <c r="J9" s="31"/>
      <c r="K9" s="76"/>
      <c r="L9" s="90"/>
      <c r="M9" s="45"/>
      <c r="R9" s="1">
        <f>IF(vend[[#This Row],[Nº Venda]]&gt;1,1,0)</f>
        <v>1</v>
      </c>
    </row>
    <row r="10" spans="1:18" ht="16.5" x14ac:dyDescent="0.3">
      <c r="B10" s="120" t="s">
        <v>5</v>
      </c>
      <c r="C10" s="121"/>
      <c r="D10" s="31"/>
      <c r="E10" s="75"/>
      <c r="F10" s="52"/>
      <c r="G10" s="52"/>
      <c r="H10" s="40"/>
      <c r="I10" s="40"/>
      <c r="J10" s="31"/>
      <c r="K10" s="76"/>
      <c r="L10" s="90"/>
      <c r="M10" s="45"/>
      <c r="R10" s="1">
        <f>IF(vend[[#This Row],[Nº Venda]]&gt;1,1,0)</f>
        <v>0</v>
      </c>
    </row>
    <row r="11" spans="1:18" ht="16.5" x14ac:dyDescent="0.3">
      <c r="B11" s="29" t="s">
        <v>6</v>
      </c>
      <c r="C11" s="71">
        <f>(SUMIF($G$2:$G$31,B11,$I$2:$I$31))+(SUMIF($G$35:$G$41,B11,$H$35:$H$41))</f>
        <v>100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1</v>
      </c>
      <c r="R11" s="1">
        <f>IF(vend[[#This Row],[Nº Venda]]&gt;1,1,0)</f>
        <v>0</v>
      </c>
    </row>
    <row r="12" spans="1:18" ht="16.5" x14ac:dyDescent="0.3">
      <c r="B12" s="29" t="s">
        <v>7</v>
      </c>
      <c r="C12" s="71">
        <f>(SUMIF($G$2:$G$31,B12,$I$2:$I$31))+(SUMIF($G$35:$G$41,B12,$H$35:$H$41))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IF(vend[[#This Row],[Nº Venda]]&gt;1,1,0)</f>
        <v>0</v>
      </c>
    </row>
    <row r="13" spans="1:18" ht="16.5" x14ac:dyDescent="0.3">
      <c r="B13" s="29" t="s">
        <v>8</v>
      </c>
      <c r="C13" s="71">
        <f>(SUMIF($G$2:$G$31,B13,$I$2:$I$31))+(SUMIF($G$35:$G$41,B13,$H$35:$H$41))</f>
        <v>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IF(vend[[#This Row],[Nº Venda]]&gt;1,1,0)</f>
        <v>0</v>
      </c>
    </row>
    <row r="14" spans="1:18" ht="16.5" x14ac:dyDescent="0.3">
      <c r="B14" s="29" t="s">
        <v>9</v>
      </c>
      <c r="C14" s="71">
        <f>(SUMIF($G$2:$G$31,B14,$I$2:$I$31))+(SUMIF($G$35:$G$41,B14,$H$35:$H$41))</f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IF(vend[[#This Row],[Nº Venda]]&gt;1,1,0)</f>
        <v>0</v>
      </c>
    </row>
    <row r="15" spans="1:18" ht="16.5" x14ac:dyDescent="0.3">
      <c r="B15" s="29" t="s">
        <v>10</v>
      </c>
      <c r="C15" s="71">
        <f>(SUMIF($G$2:$G$31,B15,$I$2:$I$31))+(SUMIF($G$35:$G$41,B15,$H$35:$H$41))</f>
        <v>206.25</v>
      </c>
      <c r="D15" s="31"/>
      <c r="E15" s="75"/>
      <c r="F15" s="76"/>
      <c r="G15" s="52"/>
      <c r="H15" s="40"/>
      <c r="I15" s="40"/>
      <c r="J15" s="31"/>
      <c r="K15" s="75">
        <v>10833</v>
      </c>
      <c r="L15" s="90" t="s">
        <v>128</v>
      </c>
      <c r="M15" s="45" t="s">
        <v>149</v>
      </c>
      <c r="R15" s="1">
        <f>IF(vend[[#This Row],[Nº Venda]]&gt;1,1,0)</f>
        <v>0</v>
      </c>
    </row>
    <row r="16" spans="1:18" ht="16.5" x14ac:dyDescent="0.3">
      <c r="B16" s="32" t="s">
        <v>11</v>
      </c>
      <c r="C16" s="70">
        <f>SUM(C11:C15)</f>
        <v>306.25</v>
      </c>
      <c r="D16" s="31"/>
      <c r="E16" s="75"/>
      <c r="F16" s="76"/>
      <c r="G16" s="52"/>
      <c r="H16" s="40"/>
      <c r="I16" s="40"/>
      <c r="J16" s="31"/>
      <c r="K16" s="75">
        <v>10954</v>
      </c>
      <c r="L16" s="90" t="s">
        <v>128</v>
      </c>
      <c r="M16" s="45" t="s">
        <v>149</v>
      </c>
      <c r="R16" s="1">
        <f>IF(vend[[#This Row],[Nº Venda]]&gt;1,1,0)</f>
        <v>0</v>
      </c>
    </row>
    <row r="17" spans="1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10845</v>
      </c>
      <c r="L17" s="90" t="s">
        <v>130</v>
      </c>
      <c r="M17" s="45" t="s">
        <v>149</v>
      </c>
      <c r="R17" s="1">
        <f>IF(vend[[#This Row],[Nº Venda]]&gt;1,1,0)</f>
        <v>0</v>
      </c>
    </row>
    <row r="18" spans="1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10770</v>
      </c>
      <c r="L18" s="90" t="s">
        <v>128</v>
      </c>
      <c r="M18" s="45" t="s">
        <v>149</v>
      </c>
      <c r="R18" s="1">
        <f>IF(vend[[#This Row],[Nº Venda]]&gt;1,1,0)</f>
        <v>0</v>
      </c>
    </row>
    <row r="19" spans="1:18" ht="16.5" x14ac:dyDescent="0.3">
      <c r="B19" s="29">
        <f>COUNT(entr_carn6[OS])</f>
        <v>0</v>
      </c>
      <c r="C19" s="69">
        <f>SUM(entr_carn6[Valor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IF(vend[[#This Row],[Nº Venda]]&gt;1,1,0)</f>
        <v>0</v>
      </c>
    </row>
    <row r="20" spans="1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IF(vend[[#This Row],[Nº Venda]]&gt;1,1,0)</f>
        <v>0</v>
      </c>
    </row>
    <row r="21" spans="1:18" ht="16.5" x14ac:dyDescent="0.3">
      <c r="A21" s="1" t="s">
        <v>191</v>
      </c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1:18" ht="16.5" x14ac:dyDescent="0.3">
      <c r="B22" s="32" t="s">
        <v>25</v>
      </c>
      <c r="C22" s="35">
        <f>C5</f>
        <v>802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1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1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1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1:18" ht="16.5" x14ac:dyDescent="0.3">
      <c r="B26" s="31"/>
      <c r="C26" s="31"/>
      <c r="D26" s="31"/>
      <c r="E26" s="75">
        <v>10921</v>
      </c>
      <c r="F26" s="76" t="s">
        <v>261</v>
      </c>
      <c r="G26" s="52" t="s">
        <v>10</v>
      </c>
      <c r="H26" s="40">
        <v>702</v>
      </c>
      <c r="I26" s="40">
        <v>50</v>
      </c>
      <c r="J26" s="31"/>
      <c r="K26" s="75"/>
      <c r="L26" s="90"/>
      <c r="M26" s="45"/>
    </row>
    <row r="27" spans="1:18" ht="16.5" x14ac:dyDescent="0.3">
      <c r="B27" s="31"/>
      <c r="C27" s="31"/>
      <c r="D27" s="31"/>
      <c r="E27" s="75"/>
      <c r="F27" s="76"/>
      <c r="G27" s="52"/>
      <c r="H27" s="40" t="s">
        <v>54</v>
      </c>
      <c r="I27" s="40"/>
      <c r="J27" s="31"/>
      <c r="K27" s="75"/>
      <c r="L27" s="90"/>
      <c r="M27" s="45"/>
    </row>
    <row r="28" spans="1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1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1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1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1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10202</v>
      </c>
      <c r="F35" s="76" t="s">
        <v>181</v>
      </c>
      <c r="G35" s="52" t="s">
        <v>10</v>
      </c>
      <c r="H35" s="40">
        <v>156.25</v>
      </c>
      <c r="I35" s="40" t="s">
        <v>78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75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4</v>
      </c>
    </row>
    <row r="41" spans="2:18" ht="16.5" customHeight="1" x14ac:dyDescent="0.25">
      <c r="B41" s="39"/>
      <c r="C41" s="39"/>
      <c r="D41" s="39"/>
      <c r="E41" s="83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53"/>
      <c r="G42" s="53"/>
      <c r="H42" s="54"/>
      <c r="I42" s="54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" right="0.7" top="0.75" bottom="0.75" header="0.3" footer="0.3"/>
  <pageSetup paperSize="9" scale="59" fitToHeight="0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E35:E41 K15:K31 K35:K41 E26:E31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5"/>
  <sheetViews>
    <sheetView showGridLines="0" view="pageBreakPreview" topLeftCell="A17" zoomScale="80" zoomScaleNormal="95" zoomScaleSheetLayoutView="80" workbookViewId="0">
      <selection activeCell="M19" sqref="M1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0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'06'!B1+1</f>
        <v>45784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2728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3670.65</v>
      </c>
      <c r="D6" s="31"/>
      <c r="E6" s="75">
        <v>10965</v>
      </c>
      <c r="F6" s="49" t="s">
        <v>192</v>
      </c>
      <c r="G6" s="49" t="s">
        <v>8</v>
      </c>
      <c r="H6" s="50">
        <v>979</v>
      </c>
      <c r="I6" s="50">
        <v>100</v>
      </c>
      <c r="J6" s="31"/>
      <c r="K6" s="76" t="s">
        <v>146</v>
      </c>
      <c r="L6" s="90" t="s">
        <v>10</v>
      </c>
      <c r="M6" s="45">
        <v>9.7899999999999991</v>
      </c>
      <c r="R6" s="1">
        <f>IF(vend7[[#This Row],[Nº Venda]]&gt;1,1,0)</f>
        <v>1</v>
      </c>
    </row>
    <row r="7" spans="2:18" ht="16.5" x14ac:dyDescent="0.3">
      <c r="B7" s="29" t="s">
        <v>3</v>
      </c>
      <c r="C7" s="30">
        <f>SUM(M6:M11)</f>
        <v>9.7899999999999991</v>
      </c>
      <c r="D7" s="31"/>
      <c r="E7" s="75">
        <v>10966</v>
      </c>
      <c r="F7" s="76" t="s">
        <v>196</v>
      </c>
      <c r="G7" s="52" t="s">
        <v>10</v>
      </c>
      <c r="H7" s="40">
        <v>1490</v>
      </c>
      <c r="I7" s="40">
        <v>500</v>
      </c>
      <c r="J7" s="31"/>
      <c r="K7" s="76"/>
      <c r="L7" s="90"/>
      <c r="M7" s="45"/>
      <c r="R7" s="1">
        <f>IF(vend7[[#This Row],[Nº Venda]]&gt;1,1,0)</f>
        <v>1</v>
      </c>
    </row>
    <row r="8" spans="2:18" ht="16.5" x14ac:dyDescent="0.3">
      <c r="B8" s="32" t="s">
        <v>21</v>
      </c>
      <c r="C8" s="33">
        <f>SUM(C6:C7)</f>
        <v>3680.44</v>
      </c>
      <c r="D8" s="31"/>
      <c r="E8" s="75">
        <v>10967</v>
      </c>
      <c r="F8" s="51" t="s">
        <v>194</v>
      </c>
      <c r="G8" s="51" t="s">
        <v>36</v>
      </c>
      <c r="H8" s="40"/>
      <c r="I8" s="40"/>
      <c r="J8" s="31"/>
      <c r="K8" s="76"/>
      <c r="L8" s="90"/>
      <c r="M8" s="45"/>
      <c r="R8" s="1">
        <f>IF(vend7[[#This Row],[Nº Venda]]&gt;1,1,0)</f>
        <v>1</v>
      </c>
    </row>
    <row r="9" spans="2:18" ht="16.5" x14ac:dyDescent="0.3">
      <c r="B9" s="28"/>
      <c r="C9" s="28"/>
      <c r="D9" s="31"/>
      <c r="E9" s="75">
        <v>10968</v>
      </c>
      <c r="F9" s="76" t="s">
        <v>195</v>
      </c>
      <c r="G9" s="52" t="s">
        <v>10</v>
      </c>
      <c r="H9" s="40">
        <v>199</v>
      </c>
      <c r="I9" s="40">
        <v>199</v>
      </c>
      <c r="J9" s="31"/>
      <c r="K9" s="76"/>
      <c r="L9" s="90"/>
      <c r="M9" s="45"/>
      <c r="R9" s="1">
        <f>IF(vend7[[#This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10969</v>
      </c>
      <c r="F10" s="76" t="s">
        <v>200</v>
      </c>
      <c r="G10" s="52" t="s">
        <v>6</v>
      </c>
      <c r="H10" s="40">
        <v>20</v>
      </c>
      <c r="I10" s="40">
        <v>20</v>
      </c>
      <c r="J10" s="31"/>
      <c r="K10" s="76"/>
      <c r="L10" s="90"/>
      <c r="M10" s="45"/>
      <c r="R10" s="1">
        <f>IF(vend7[[#This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867.65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1</v>
      </c>
      <c r="R11" s="1">
        <f>IF(vend7[[#This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40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IF(vend7[[#This Row],[Nº Venda]]&gt;1,1,0)</f>
        <v>0</v>
      </c>
    </row>
    <row r="13" spans="2:18" ht="16.5" x14ac:dyDescent="0.3">
      <c r="B13" s="29" t="s">
        <v>8</v>
      </c>
      <c r="C13" s="69">
        <f t="shared" si="0"/>
        <v>1840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IF(vend7[[#This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IF(vend7[[#This Row],[Nº Venda]]&gt;1,1,0)</f>
        <v>0</v>
      </c>
    </row>
    <row r="15" spans="2:18" ht="16.5" x14ac:dyDescent="0.3">
      <c r="B15" s="29" t="s">
        <v>10</v>
      </c>
      <c r="C15" s="69">
        <f t="shared" si="0"/>
        <v>923</v>
      </c>
      <c r="D15" s="31"/>
      <c r="E15" s="75"/>
      <c r="F15" s="76"/>
      <c r="G15" s="52"/>
      <c r="H15" s="40"/>
      <c r="I15" s="40"/>
      <c r="J15" s="31"/>
      <c r="K15" s="75">
        <v>10643</v>
      </c>
      <c r="L15" s="90" t="s">
        <v>130</v>
      </c>
      <c r="M15" s="55" t="s">
        <v>149</v>
      </c>
      <c r="R15" s="1">
        <f>IF(vend7[[#This Row],[Nº Venda]]&gt;1,1,0)</f>
        <v>0</v>
      </c>
    </row>
    <row r="16" spans="2:18" ht="16.5" x14ac:dyDescent="0.3">
      <c r="B16" s="32" t="s">
        <v>11</v>
      </c>
      <c r="C16" s="70">
        <f>SUM(C11:C15)</f>
        <v>3670.65</v>
      </c>
      <c r="D16" s="31"/>
      <c r="E16" s="75"/>
      <c r="F16" s="76"/>
      <c r="G16" s="52"/>
      <c r="H16" s="40"/>
      <c r="I16" s="40"/>
      <c r="J16" s="31"/>
      <c r="K16" s="75">
        <v>10730</v>
      </c>
      <c r="L16" s="90" t="s">
        <v>130</v>
      </c>
      <c r="M16" s="45" t="s">
        <v>149</v>
      </c>
      <c r="R16" s="1">
        <f>IF(vend7[[#This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10892</v>
      </c>
      <c r="L17" s="90" t="s">
        <v>130</v>
      </c>
      <c r="M17" s="45" t="s">
        <v>149</v>
      </c>
      <c r="R17" s="1">
        <f>IF(vend7[[#This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10904</v>
      </c>
      <c r="L18" s="90" t="s">
        <v>128</v>
      </c>
      <c r="M18" s="45" t="s">
        <v>149</v>
      </c>
      <c r="R18" s="1">
        <f>IF(vend7[[#This Row],[Nº Venda]]&gt;1,1,0)</f>
        <v>0</v>
      </c>
    </row>
    <row r="19" spans="2:18" ht="16.5" x14ac:dyDescent="0.3">
      <c r="B19" s="29">
        <f>COUNT(entr_carn7[OS])</f>
        <v>0</v>
      </c>
      <c r="C19" s="69">
        <f>SUM(entr_carn7[Valor Total])</f>
        <v>0</v>
      </c>
      <c r="D19" s="31"/>
      <c r="E19" s="75"/>
      <c r="F19" s="76"/>
      <c r="G19" s="52"/>
      <c r="H19" s="40"/>
      <c r="I19" s="40"/>
      <c r="J19" s="31"/>
      <c r="K19" s="75">
        <v>10918</v>
      </c>
      <c r="L19" s="90" t="s">
        <v>128</v>
      </c>
      <c r="M19" s="45" t="s">
        <v>149</v>
      </c>
      <c r="R19" s="1">
        <f>IF(vend7[[#This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>
        <v>10962</v>
      </c>
      <c r="L20" s="90" t="s">
        <v>128</v>
      </c>
      <c r="M20" s="45" t="s">
        <v>149</v>
      </c>
      <c r="R20" s="1">
        <f>IF(vend7[[#This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10963</v>
      </c>
      <c r="L21" s="90" t="s">
        <v>128</v>
      </c>
      <c r="M21" s="45" t="s">
        <v>149</v>
      </c>
    </row>
    <row r="22" spans="2:18" ht="16.5" x14ac:dyDescent="0.3">
      <c r="B22" s="32" t="s">
        <v>25</v>
      </c>
      <c r="C22" s="35">
        <f>C5</f>
        <v>2728</v>
      </c>
      <c r="D22" s="31"/>
      <c r="E22" s="77"/>
      <c r="F22" s="76"/>
      <c r="G22" s="52"/>
      <c r="H22" s="40"/>
      <c r="I22" s="40"/>
      <c r="J22" s="31"/>
      <c r="K22" s="75">
        <v>10964</v>
      </c>
      <c r="L22" s="90" t="s">
        <v>134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>
        <v>10968</v>
      </c>
      <c r="L23" s="90" t="s">
        <v>134</v>
      </c>
      <c r="M23" s="45" t="s">
        <v>149</v>
      </c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>
        <v>10969</v>
      </c>
      <c r="L24" s="90" t="s">
        <v>128</v>
      </c>
      <c r="M24" s="45" t="s">
        <v>149</v>
      </c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10858</v>
      </c>
      <c r="F26" s="101" t="s">
        <v>205</v>
      </c>
      <c r="G26" s="79" t="s">
        <v>6</v>
      </c>
      <c r="H26" s="50">
        <v>0</v>
      </c>
      <c r="I26" s="50">
        <v>679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10937</v>
      </c>
      <c r="F27" s="98" t="s">
        <v>279</v>
      </c>
      <c r="G27" s="51" t="s">
        <v>8</v>
      </c>
      <c r="H27" s="40">
        <v>0</v>
      </c>
      <c r="I27" s="40">
        <v>1062.5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>
        <v>10938</v>
      </c>
      <c r="F28" s="100" t="s">
        <v>279</v>
      </c>
      <c r="G28" s="52" t="s">
        <v>8</v>
      </c>
      <c r="H28" s="40">
        <v>0</v>
      </c>
      <c r="I28" s="40">
        <v>162.5</v>
      </c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>
        <v>10940</v>
      </c>
      <c r="F29" s="100" t="s">
        <v>279</v>
      </c>
      <c r="G29" s="52" t="s">
        <v>8</v>
      </c>
      <c r="H29" s="40">
        <v>0</v>
      </c>
      <c r="I29" s="40">
        <v>515</v>
      </c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>
        <v>10962</v>
      </c>
      <c r="F30" s="98" t="s">
        <v>201</v>
      </c>
      <c r="G30" s="52" t="s">
        <v>7</v>
      </c>
      <c r="H30" s="40">
        <v>40</v>
      </c>
      <c r="I30" s="40">
        <v>40</v>
      </c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99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7596</v>
      </c>
      <c r="F35" s="76" t="s">
        <v>197</v>
      </c>
      <c r="G35" s="52" t="s">
        <v>6</v>
      </c>
      <c r="H35" s="40">
        <v>71.5</v>
      </c>
      <c r="I35" s="40" t="s">
        <v>66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77">
        <v>9058</v>
      </c>
      <c r="F36" s="76" t="s">
        <v>198</v>
      </c>
      <c r="G36" s="52" t="s">
        <v>10</v>
      </c>
      <c r="H36" s="40">
        <v>100</v>
      </c>
      <c r="I36" s="40" t="s">
        <v>57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83">
        <v>10001</v>
      </c>
      <c r="F37" s="76" t="s">
        <v>193</v>
      </c>
      <c r="G37" s="52" t="s">
        <v>6</v>
      </c>
      <c r="H37" s="40">
        <v>97.15</v>
      </c>
      <c r="I37" s="40" t="s">
        <v>56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>
        <v>10386</v>
      </c>
      <c r="F38" s="76" t="s">
        <v>199</v>
      </c>
      <c r="G38" s="52" t="s">
        <v>10</v>
      </c>
      <c r="H38" s="40">
        <v>124</v>
      </c>
      <c r="I38" s="40" t="s">
        <v>37</v>
      </c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5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6"/>
  <sheetViews>
    <sheetView showGridLines="0" topLeftCell="C7" zoomScale="90" zoomScaleNormal="9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'07'!B1+1</f>
        <v>45785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5473.99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5987.14</v>
      </c>
      <c r="D6" s="31"/>
      <c r="E6" s="81">
        <v>10957</v>
      </c>
      <c r="F6" s="52" t="s">
        <v>202</v>
      </c>
      <c r="G6" s="52" t="s">
        <v>36</v>
      </c>
      <c r="H6" s="40"/>
      <c r="I6" s="40"/>
      <c r="J6" s="31"/>
      <c r="K6" s="76" t="s">
        <v>172</v>
      </c>
      <c r="L6" s="90" t="s">
        <v>10</v>
      </c>
      <c r="M6" s="45">
        <v>1.83</v>
      </c>
      <c r="R6" s="1">
        <f>IF(vend8[[#This Row],[Nº Venda]]&gt;1,1,0)</f>
        <v>1</v>
      </c>
    </row>
    <row r="7" spans="2:18" ht="16.5" x14ac:dyDescent="0.3">
      <c r="B7" s="29" t="s">
        <v>3</v>
      </c>
      <c r="C7" s="30">
        <f>SUM(M6:M11)</f>
        <v>1.83</v>
      </c>
      <c r="D7" s="31"/>
      <c r="E7" s="75">
        <v>10970</v>
      </c>
      <c r="F7" s="40" t="s">
        <v>204</v>
      </c>
      <c r="G7" s="40" t="s">
        <v>7</v>
      </c>
      <c r="H7" s="40">
        <v>39.99</v>
      </c>
      <c r="I7" s="40">
        <v>39.99</v>
      </c>
      <c r="J7" s="31"/>
      <c r="K7" s="76"/>
      <c r="L7" s="90"/>
      <c r="M7" s="45"/>
      <c r="R7" s="1">
        <f>IF(vend8[[#This Row],[Nº Venda]]&gt;1,1,0)</f>
        <v>1</v>
      </c>
    </row>
    <row r="8" spans="2:18" ht="16.5" x14ac:dyDescent="0.3">
      <c r="B8" s="32" t="s">
        <v>21</v>
      </c>
      <c r="C8" s="33">
        <f>SUM(C6:C7)</f>
        <v>5988.97</v>
      </c>
      <c r="D8" s="31"/>
      <c r="E8" s="75">
        <v>10971</v>
      </c>
      <c r="F8" s="40" t="s">
        <v>206</v>
      </c>
      <c r="G8" s="40" t="s">
        <v>8</v>
      </c>
      <c r="H8" s="40">
        <v>1490</v>
      </c>
      <c r="I8" s="40">
        <v>1490</v>
      </c>
      <c r="J8" s="31"/>
      <c r="K8" s="76"/>
      <c r="L8" s="90"/>
      <c r="M8" s="45"/>
      <c r="R8" s="1">
        <f>IF(vend8[[#This Row],[Nº Venda]]&gt;1,1,0)</f>
        <v>1</v>
      </c>
    </row>
    <row r="9" spans="2:18" ht="16.5" x14ac:dyDescent="0.3">
      <c r="B9" s="28"/>
      <c r="C9" s="28"/>
      <c r="D9" s="31"/>
      <c r="E9" s="75">
        <v>10972</v>
      </c>
      <c r="F9" s="40" t="s">
        <v>206</v>
      </c>
      <c r="G9" s="40" t="s">
        <v>8</v>
      </c>
      <c r="H9" s="40">
        <v>399</v>
      </c>
      <c r="I9" s="40">
        <v>399</v>
      </c>
      <c r="J9" s="31"/>
      <c r="K9" s="76"/>
      <c r="L9" s="90"/>
      <c r="M9" s="45"/>
      <c r="R9" s="1">
        <f>IF(vend8[[#This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10973</v>
      </c>
      <c r="F10" s="40" t="s">
        <v>206</v>
      </c>
      <c r="G10" s="40" t="s">
        <v>46</v>
      </c>
      <c r="H10" s="40"/>
      <c r="I10" s="40"/>
      <c r="J10" s="31"/>
      <c r="K10" s="76"/>
      <c r="L10" s="90"/>
      <c r="M10" s="45"/>
      <c r="R10" s="1">
        <f>IF(vend8[[#This Row],[Nº Venda]]&gt;1,1,0)</f>
        <v>1</v>
      </c>
    </row>
    <row r="11" spans="2:18" ht="16.5" x14ac:dyDescent="0.3">
      <c r="B11" s="29" t="s">
        <v>6</v>
      </c>
      <c r="C11" s="92">
        <f>(SUMIF($G$2:$G$31,B11,$I$2:$I$31))+(SUMIF($G$35:$G$43,B11,$H$35:$H$43))</f>
        <v>770</v>
      </c>
      <c r="D11" s="31"/>
      <c r="E11" s="75">
        <v>10974</v>
      </c>
      <c r="F11" s="76" t="s">
        <v>212</v>
      </c>
      <c r="G11" s="52" t="s">
        <v>6</v>
      </c>
      <c r="H11" s="40">
        <v>130</v>
      </c>
      <c r="I11" s="40">
        <v>130</v>
      </c>
      <c r="J11" s="31"/>
      <c r="K11" s="39"/>
      <c r="L11" s="90"/>
      <c r="M11" s="45"/>
      <c r="O11" s="1">
        <f>IF(C16=0,0,1)</f>
        <v>1</v>
      </c>
      <c r="R11" s="1">
        <f>IF(vend8[[#This Row],[Nº Venda]]&gt;1,1,0)</f>
        <v>1</v>
      </c>
    </row>
    <row r="12" spans="2:18" ht="16.5" x14ac:dyDescent="0.3">
      <c r="B12" s="29" t="s">
        <v>7</v>
      </c>
      <c r="C12" s="92">
        <f>(SUMIF($G$2:$G$31,B12,$I$2:$I$31))+(SUMIF($G$35:$G$43,B12,$H$35:$H$43))</f>
        <v>764.13000000000011</v>
      </c>
      <c r="D12" s="31"/>
      <c r="E12" s="75">
        <v>10975</v>
      </c>
      <c r="F12" s="76" t="s">
        <v>213</v>
      </c>
      <c r="G12" s="52" t="s">
        <v>6</v>
      </c>
      <c r="H12" s="40">
        <v>1150</v>
      </c>
      <c r="I12" s="40">
        <v>400</v>
      </c>
      <c r="J12" s="31"/>
      <c r="K12" s="34"/>
      <c r="L12" s="34"/>
      <c r="M12" s="34"/>
      <c r="R12" s="1">
        <f>IF(vend8[[#This Row],[Nº Venda]]&gt;1,1,0)</f>
        <v>1</v>
      </c>
    </row>
    <row r="13" spans="2:18" ht="16.5" x14ac:dyDescent="0.3">
      <c r="B13" s="29" t="s">
        <v>8</v>
      </c>
      <c r="C13" s="92">
        <f>(SUMIF($G$2:$G$31,B13,$I$2:$I$31))+(SUMIF($G$35:$G$43,B13,$H$35:$H$43))</f>
        <v>3754</v>
      </c>
      <c r="D13" s="31"/>
      <c r="E13" s="75">
        <v>10976</v>
      </c>
      <c r="F13" s="76" t="s">
        <v>207</v>
      </c>
      <c r="G13" s="52" t="s">
        <v>36</v>
      </c>
      <c r="H13" s="40"/>
      <c r="I13" s="40"/>
      <c r="J13" s="31"/>
      <c r="K13" s="113" t="s">
        <v>142</v>
      </c>
      <c r="L13" s="114"/>
      <c r="M13" s="115"/>
      <c r="R13" s="1">
        <f>IF(vend8[[#This Row],[Nº Venda]]&gt;1,1,0)</f>
        <v>1</v>
      </c>
    </row>
    <row r="14" spans="2:18" ht="16.5" x14ac:dyDescent="0.3">
      <c r="B14" s="29" t="s">
        <v>9</v>
      </c>
      <c r="C14" s="92">
        <f>(SUMIF($G$2:$G$31,B14,$I$2:$I$31))+(SUMIF($G$35:$G$43,B14,$H$35:$H$43))</f>
        <v>0</v>
      </c>
      <c r="D14" s="31"/>
      <c r="E14" s="75">
        <v>10977</v>
      </c>
      <c r="F14" s="76" t="s">
        <v>215</v>
      </c>
      <c r="G14" s="52" t="s">
        <v>6</v>
      </c>
      <c r="H14" s="40">
        <v>240</v>
      </c>
      <c r="I14" s="40">
        <v>240</v>
      </c>
      <c r="J14" s="31"/>
      <c r="K14" s="23" t="s">
        <v>22</v>
      </c>
      <c r="L14" s="24" t="s">
        <v>23</v>
      </c>
      <c r="M14" s="25" t="s">
        <v>24</v>
      </c>
      <c r="R14" s="1">
        <f>IF(vend8[[#This Row],[Nº Venda]]&gt;1,1,0)</f>
        <v>1</v>
      </c>
    </row>
    <row r="15" spans="2:18" ht="16.5" x14ac:dyDescent="0.3">
      <c r="B15" s="29" t="s">
        <v>10</v>
      </c>
      <c r="C15" s="92">
        <f>(SUMIF($G$2:$G$31,B15,$I$2:$I$31))+(SUMIF($G$35:$G$43,B15,$H$35:$H$43))</f>
        <v>699.00999999999988</v>
      </c>
      <c r="D15" s="31"/>
      <c r="E15" s="75">
        <v>10978</v>
      </c>
      <c r="F15" s="76" t="s">
        <v>222</v>
      </c>
      <c r="G15" s="52" t="s">
        <v>7</v>
      </c>
      <c r="H15" s="40">
        <v>929</v>
      </c>
      <c r="I15" s="40">
        <v>100</v>
      </c>
      <c r="J15" s="31"/>
      <c r="K15" s="75">
        <v>10914</v>
      </c>
      <c r="L15" s="90" t="s">
        <v>134</v>
      </c>
      <c r="M15" s="45" t="s">
        <v>149</v>
      </c>
      <c r="R15" s="1">
        <f>IF(vend8[[#This Row],[Nº Venda]]&gt;1,1,0)</f>
        <v>1</v>
      </c>
    </row>
    <row r="16" spans="2:18" ht="16.5" x14ac:dyDescent="0.3">
      <c r="B16" s="32" t="s">
        <v>11</v>
      </c>
      <c r="C16" s="70">
        <f>SUM(C11:C15)</f>
        <v>5987.14</v>
      </c>
      <c r="D16" s="31"/>
      <c r="E16" s="75">
        <v>10979</v>
      </c>
      <c r="F16" s="76" t="s">
        <v>217</v>
      </c>
      <c r="G16" s="52" t="s">
        <v>46</v>
      </c>
      <c r="H16" s="40">
        <v>699</v>
      </c>
      <c r="I16" s="40">
        <v>0</v>
      </c>
      <c r="J16" s="31"/>
      <c r="K16" s="75">
        <v>10940</v>
      </c>
      <c r="L16" s="90" t="s">
        <v>128</v>
      </c>
      <c r="M16" s="45" t="s">
        <v>149</v>
      </c>
      <c r="R16" s="1">
        <f>IF(vend8[[#This Row],[Nº Venda]]&gt;1,1,0)</f>
        <v>1</v>
      </c>
    </row>
    <row r="17" spans="2:18" ht="16.5" x14ac:dyDescent="0.3">
      <c r="B17" s="28"/>
      <c r="C17" s="28"/>
      <c r="D17" s="31"/>
      <c r="E17" s="81">
        <v>10980</v>
      </c>
      <c r="F17" s="52" t="s">
        <v>218</v>
      </c>
      <c r="G17" s="52" t="s">
        <v>8</v>
      </c>
      <c r="H17" s="40">
        <v>49</v>
      </c>
      <c r="I17" s="40">
        <v>49</v>
      </c>
      <c r="J17" s="31"/>
      <c r="K17" s="75">
        <v>10970</v>
      </c>
      <c r="L17" s="90" t="s">
        <v>134</v>
      </c>
      <c r="M17" s="45" t="s">
        <v>149</v>
      </c>
      <c r="R17" s="1">
        <f>IF(vend8[[#This Row],[Nº Venda]]&gt;1,1,0)</f>
        <v>1</v>
      </c>
    </row>
    <row r="18" spans="2:18" ht="16.5" x14ac:dyDescent="0.3">
      <c r="B18" s="120" t="s">
        <v>12</v>
      </c>
      <c r="C18" s="121"/>
      <c r="D18" s="31"/>
      <c r="E18" s="75">
        <v>10981</v>
      </c>
      <c r="F18" s="76" t="s">
        <v>219</v>
      </c>
      <c r="G18" s="52" t="s">
        <v>36</v>
      </c>
      <c r="H18" s="40"/>
      <c r="I18" s="40"/>
      <c r="J18" s="31"/>
      <c r="K18" s="75">
        <v>10753</v>
      </c>
      <c r="L18" s="90" t="s">
        <v>130</v>
      </c>
      <c r="M18" s="45" t="s">
        <v>149</v>
      </c>
      <c r="R18" s="1">
        <f>IF(vend8[[#This Row],[Nº Venda]]&gt;1,1,0)</f>
        <v>1</v>
      </c>
    </row>
    <row r="19" spans="2:18" ht="16.5" x14ac:dyDescent="0.3">
      <c r="B19" s="29">
        <f>COUNT(entr_carn8[OS])</f>
        <v>1</v>
      </c>
      <c r="C19" s="69">
        <f>SUM(entr_carn8[Valor Total])</f>
        <v>590</v>
      </c>
      <c r="D19" s="31"/>
      <c r="E19" s="75">
        <v>10982</v>
      </c>
      <c r="F19" s="76" t="s">
        <v>224</v>
      </c>
      <c r="G19" s="52" t="s">
        <v>8</v>
      </c>
      <c r="H19" s="40">
        <v>1047</v>
      </c>
      <c r="I19" s="40">
        <v>1047</v>
      </c>
      <c r="J19" s="31"/>
      <c r="K19" s="75">
        <v>10417</v>
      </c>
      <c r="L19" s="90" t="s">
        <v>134</v>
      </c>
      <c r="M19" s="45" t="s">
        <v>209</v>
      </c>
      <c r="R19" s="1">
        <f>IF(vend8[[#This Row],[Nº Venda]]&gt;1,1,0)</f>
        <v>1</v>
      </c>
    </row>
    <row r="20" spans="2:18" ht="16.5" x14ac:dyDescent="0.3">
      <c r="B20" s="32" t="s">
        <v>11</v>
      </c>
      <c r="C20" s="70">
        <f>SUM(C19:C19)</f>
        <v>590</v>
      </c>
      <c r="D20" s="31"/>
      <c r="E20" s="75"/>
      <c r="F20" s="52"/>
      <c r="G20" s="52"/>
      <c r="H20" s="40"/>
      <c r="I20" s="40"/>
      <c r="J20" s="31"/>
      <c r="K20" s="75">
        <v>10964</v>
      </c>
      <c r="L20" s="90" t="s">
        <v>134</v>
      </c>
      <c r="M20" s="45" t="s">
        <v>149</v>
      </c>
      <c r="R20" s="1">
        <f>IF(vend8[[#This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10733</v>
      </c>
      <c r="L21" s="90" t="s">
        <v>128</v>
      </c>
      <c r="M21" s="45" t="s">
        <v>149</v>
      </c>
    </row>
    <row r="22" spans="2:18" ht="16.5" x14ac:dyDescent="0.3">
      <c r="B22" s="32" t="s">
        <v>25</v>
      </c>
      <c r="C22" s="35">
        <f>C5</f>
        <v>5473.99</v>
      </c>
      <c r="D22" s="31"/>
      <c r="E22" s="77"/>
      <c r="F22" s="76"/>
      <c r="G22" s="52"/>
      <c r="H22" s="40"/>
      <c r="I22" s="40"/>
      <c r="J22" s="31"/>
      <c r="K22" s="75">
        <v>10974</v>
      </c>
      <c r="L22" s="90" t="s">
        <v>134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10914</v>
      </c>
      <c r="F26" s="79" t="s">
        <v>202</v>
      </c>
      <c r="G26" s="79" t="s">
        <v>8</v>
      </c>
      <c r="H26" s="50"/>
      <c r="I26" s="50">
        <v>769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10417</v>
      </c>
      <c r="F27" s="76" t="s">
        <v>208</v>
      </c>
      <c r="G27" s="51" t="s">
        <v>7</v>
      </c>
      <c r="H27" s="40"/>
      <c r="I27" s="40">
        <v>200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1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1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76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9891</v>
      </c>
      <c r="F35" s="76" t="s">
        <v>203</v>
      </c>
      <c r="G35" s="52" t="s">
        <v>7</v>
      </c>
      <c r="H35" s="40">
        <v>82.37</v>
      </c>
      <c r="I35" s="40" t="s">
        <v>39</v>
      </c>
      <c r="J35" s="39"/>
      <c r="K35" s="75">
        <v>10417</v>
      </c>
      <c r="L35" s="75">
        <v>6</v>
      </c>
      <c r="M35" s="90">
        <v>590</v>
      </c>
    </row>
    <row r="36" spans="2:18" ht="16.5" customHeight="1" x14ac:dyDescent="0.25">
      <c r="B36" s="39"/>
      <c r="C36" s="39"/>
      <c r="D36" s="39"/>
      <c r="E36" s="82">
        <v>9836</v>
      </c>
      <c r="F36" s="76" t="s">
        <v>203</v>
      </c>
      <c r="G36" s="52" t="s">
        <v>7</v>
      </c>
      <c r="H36" s="40">
        <v>150</v>
      </c>
      <c r="I36" s="40" t="s">
        <v>39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>
        <v>10468</v>
      </c>
      <c r="F37" s="76" t="s">
        <v>210</v>
      </c>
      <c r="G37" s="52" t="s">
        <v>7</v>
      </c>
      <c r="H37" s="40">
        <v>127.85</v>
      </c>
      <c r="I37" s="40" t="s">
        <v>45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>
        <v>10468</v>
      </c>
      <c r="F38" s="76" t="s">
        <v>211</v>
      </c>
      <c r="G38" s="52" t="s">
        <v>7</v>
      </c>
      <c r="H38" s="40">
        <v>63.92</v>
      </c>
      <c r="I38" s="40" t="s">
        <v>37</v>
      </c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>
        <v>10012</v>
      </c>
      <c r="F39" s="52" t="s">
        <v>216</v>
      </c>
      <c r="G39" s="52" t="s">
        <v>10</v>
      </c>
      <c r="H39" s="40">
        <v>243.75</v>
      </c>
      <c r="I39" s="40" t="s">
        <v>39</v>
      </c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>
        <v>10732</v>
      </c>
      <c r="F40" s="78" t="s">
        <v>220</v>
      </c>
      <c r="G40" s="43" t="s">
        <v>10</v>
      </c>
      <c r="H40" s="44">
        <v>146.66</v>
      </c>
      <c r="I40" s="40" t="s">
        <v>38</v>
      </c>
      <c r="J40" s="39"/>
      <c r="K40" s="77"/>
      <c r="L40" s="77"/>
      <c r="M40" s="91"/>
      <c r="Q40" s="1" t="s">
        <v>33</v>
      </c>
      <c r="R40" s="1">
        <f>SUM(R6:R21)</f>
        <v>14</v>
      </c>
    </row>
    <row r="41" spans="2:18" ht="16.5" customHeight="1" x14ac:dyDescent="0.25">
      <c r="B41" s="39"/>
      <c r="C41" s="39"/>
      <c r="D41" s="39"/>
      <c r="E41" s="83">
        <v>8814</v>
      </c>
      <c r="F41" s="52" t="s">
        <v>221</v>
      </c>
      <c r="G41" s="52" t="s">
        <v>10</v>
      </c>
      <c r="H41" s="40">
        <v>117</v>
      </c>
      <c r="I41" s="40" t="s">
        <v>72</v>
      </c>
      <c r="J41" s="39"/>
      <c r="K41" s="75"/>
      <c r="L41" s="75"/>
      <c r="M41" s="91"/>
    </row>
    <row r="42" spans="2:18" ht="17.25" x14ac:dyDescent="0.3">
      <c r="B42" s="39"/>
      <c r="C42" s="39"/>
      <c r="D42" s="39"/>
      <c r="E42" s="41">
        <v>10439</v>
      </c>
      <c r="F42" s="21" t="s">
        <v>223</v>
      </c>
      <c r="G42" s="21" t="s">
        <v>10</v>
      </c>
      <c r="H42" s="22">
        <v>95.8</v>
      </c>
      <c r="I42" s="22" t="s">
        <v>49</v>
      </c>
      <c r="J42" s="39"/>
      <c r="K42" s="34"/>
      <c r="L42" s="34"/>
      <c r="M42" s="34"/>
    </row>
    <row r="43" spans="2:18" ht="17.25" x14ac:dyDescent="0.3">
      <c r="B43" s="39"/>
      <c r="C43" s="39"/>
      <c r="D43" s="39"/>
      <c r="E43" s="41">
        <v>10439</v>
      </c>
      <c r="F43" s="21" t="s">
        <v>223</v>
      </c>
      <c r="G43" s="21" t="s">
        <v>10</v>
      </c>
      <c r="H43" s="22">
        <v>95.8</v>
      </c>
      <c r="I43" s="22" t="s">
        <v>43</v>
      </c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  <row r="46" spans="2:18" ht="13.5" x14ac:dyDescent="0.25">
      <c r="B46" s="39"/>
      <c r="C46" s="39"/>
      <c r="D46" s="39"/>
      <c r="E46" s="36"/>
      <c r="F46" s="36"/>
      <c r="G46" s="36"/>
      <c r="H46" s="38"/>
      <c r="I46" s="38"/>
      <c r="J46" s="39"/>
      <c r="K46" s="34"/>
      <c r="L46" s="34"/>
      <c r="M46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22 M2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3D5943B-C733-4E59-92F6-7382BCD9A03B}">
          <x14:formula1>
            <xm:f>base!$E$2:$E$79</xm:f>
          </x14:formula1>
          <xm:sqref>I35:I43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E26:E31 E35:E41 K35:K41 E6:E16 E18:E22 K15:K22 K25:K31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L15:L22 L25:L31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G35:G43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G6:G16 G18:G22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view="pageBreakPreview" topLeftCell="B2" zoomScale="60" zoomScaleNormal="90" workbookViewId="0">
      <selection activeCell="V35" sqref="V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9">
        <f>'08'!B1+1</f>
        <v>45786</v>
      </c>
      <c r="C1" s="109"/>
      <c r="L1" s="110" t="s">
        <v>136</v>
      </c>
      <c r="M1" s="110"/>
    </row>
    <row r="2" spans="2:22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22" ht="16.5" x14ac:dyDescent="0.3">
      <c r="B5" s="29" t="s">
        <v>1</v>
      </c>
      <c r="C5" s="30">
        <f>SUMIF(I6:I31,"&gt;0",H6:H31)</f>
        <v>3041.4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22" ht="16.5" x14ac:dyDescent="0.3">
      <c r="B6" s="29" t="s">
        <v>2</v>
      </c>
      <c r="C6" s="30">
        <f>C16</f>
        <v>1612.3999999999999</v>
      </c>
      <c r="D6" s="31"/>
      <c r="E6" s="75">
        <v>10981</v>
      </c>
      <c r="F6" s="76" t="s">
        <v>229</v>
      </c>
      <c r="G6" s="52" t="s">
        <v>36</v>
      </c>
      <c r="H6" s="40"/>
      <c r="I6" s="40"/>
      <c r="J6" s="31"/>
      <c r="K6" s="76" t="s">
        <v>227</v>
      </c>
      <c r="L6" s="90" t="s">
        <v>7</v>
      </c>
      <c r="M6" s="45">
        <v>12</v>
      </c>
      <c r="R6" s="1">
        <f>IF(vend9[[#This Row],[Nº Venda]]&gt;1,1,0)</f>
        <v>1</v>
      </c>
    </row>
    <row r="7" spans="2:22" ht="16.5" x14ac:dyDescent="0.3">
      <c r="B7" s="29" t="s">
        <v>3</v>
      </c>
      <c r="C7" s="30">
        <f>SUM(M6:M11)</f>
        <v>462</v>
      </c>
      <c r="D7" s="31"/>
      <c r="E7" s="75">
        <v>10983</v>
      </c>
      <c r="F7" s="76" t="s">
        <v>226</v>
      </c>
      <c r="G7" s="51" t="s">
        <v>8</v>
      </c>
      <c r="H7" s="40">
        <v>99</v>
      </c>
      <c r="I7" s="40">
        <v>99</v>
      </c>
      <c r="J7" s="31"/>
      <c r="K7" s="76" t="s">
        <v>232</v>
      </c>
      <c r="L7" s="90" t="s">
        <v>6</v>
      </c>
      <c r="M7" s="45">
        <v>450</v>
      </c>
      <c r="R7" s="1">
        <f>IF(vend9[[#This Row],[Nº Venda]]&gt;1,1,0)</f>
        <v>1</v>
      </c>
    </row>
    <row r="8" spans="2:22" ht="16.5" x14ac:dyDescent="0.3">
      <c r="B8" s="32" t="s">
        <v>21</v>
      </c>
      <c r="C8" s="33">
        <f>SUM(C6:C7)</f>
        <v>2074.3999999999996</v>
      </c>
      <c r="D8" s="31"/>
      <c r="E8" s="75">
        <v>10984</v>
      </c>
      <c r="F8" s="76" t="s">
        <v>225</v>
      </c>
      <c r="G8" s="51" t="s">
        <v>7</v>
      </c>
      <c r="H8" s="40">
        <v>170</v>
      </c>
      <c r="I8" s="40">
        <v>170</v>
      </c>
      <c r="J8" s="31"/>
      <c r="K8" s="76"/>
      <c r="L8" s="90"/>
      <c r="M8" s="45"/>
      <c r="R8" s="1">
        <f>IF(vend9[[#This Row],[Nº Venda]]&gt;1,1,0)</f>
        <v>1</v>
      </c>
    </row>
    <row r="9" spans="2:22" ht="16.5" x14ac:dyDescent="0.3">
      <c r="B9" s="28"/>
      <c r="C9" s="28"/>
      <c r="D9" s="31"/>
      <c r="E9" s="75">
        <v>10985</v>
      </c>
      <c r="F9" s="76" t="s">
        <v>231</v>
      </c>
      <c r="G9" s="52" t="s">
        <v>6</v>
      </c>
      <c r="H9" s="40">
        <v>1899</v>
      </c>
      <c r="I9" s="40">
        <v>450</v>
      </c>
      <c r="J9" s="31"/>
      <c r="K9" s="76"/>
      <c r="L9" s="90"/>
      <c r="M9" s="45"/>
      <c r="R9" s="1">
        <f>IF(vend9[[#This Row],[Nº Venda]]&gt;1,1,0)</f>
        <v>1</v>
      </c>
    </row>
    <row r="10" spans="2:22" ht="16.5" x14ac:dyDescent="0.3">
      <c r="B10" s="120" t="s">
        <v>5</v>
      </c>
      <c r="C10" s="121"/>
      <c r="D10" s="31"/>
      <c r="E10" s="75">
        <v>10986</v>
      </c>
      <c r="F10" s="76" t="s">
        <v>225</v>
      </c>
      <c r="G10" s="52" t="s">
        <v>8</v>
      </c>
      <c r="H10" s="40">
        <v>19.600000000000001</v>
      </c>
      <c r="I10" s="40">
        <v>19.600000000000001</v>
      </c>
      <c r="J10" s="31"/>
      <c r="K10" s="76"/>
      <c r="L10" s="90"/>
      <c r="M10" s="45"/>
      <c r="R10" s="1">
        <f>IF(vend9[[#This Row],[Nº Venda]]&gt;1,1,0)</f>
        <v>1</v>
      </c>
    </row>
    <row r="11" spans="2:22" ht="16.5" x14ac:dyDescent="0.3">
      <c r="B11" s="29" t="s">
        <v>6</v>
      </c>
      <c r="C11" s="69">
        <f>(SUMIF($G$2:$G$31,B11,$I$2:$I$31))+(SUMIF($G$36:$G$41,B11,$H$36:$H$41))</f>
        <v>450</v>
      </c>
      <c r="D11" s="31"/>
      <c r="E11" s="75">
        <v>10987</v>
      </c>
      <c r="F11" s="76" t="s">
        <v>228</v>
      </c>
      <c r="G11" s="52" t="s">
        <v>10</v>
      </c>
      <c r="H11" s="40">
        <v>9.8000000000000007</v>
      </c>
      <c r="I11" s="40">
        <v>9.8000000000000007</v>
      </c>
      <c r="J11" s="31"/>
      <c r="K11" s="39"/>
      <c r="L11" s="90"/>
      <c r="M11" s="45"/>
      <c r="O11" s="1">
        <f>IF(C16=0,0,1)</f>
        <v>1</v>
      </c>
      <c r="R11" s="1">
        <f>IF(vend9[[#This Row],[Nº Venda]]&gt;1,1,0)</f>
        <v>1</v>
      </c>
    </row>
    <row r="12" spans="2:22" ht="16.5" x14ac:dyDescent="0.3">
      <c r="B12" s="29" t="s">
        <v>7</v>
      </c>
      <c r="C12" s="69">
        <f>(SUMIF($G$2:$G$31,B12,$I$2:$I$31))+(SUMIF($G$36:$G$41,B12,$H$36:$H$41))</f>
        <v>170</v>
      </c>
      <c r="D12" s="31"/>
      <c r="E12" s="75">
        <v>10988</v>
      </c>
      <c r="F12" s="76" t="s">
        <v>230</v>
      </c>
      <c r="G12" s="52" t="s">
        <v>8</v>
      </c>
      <c r="H12" s="40">
        <v>690</v>
      </c>
      <c r="I12" s="40">
        <v>590</v>
      </c>
      <c r="J12" s="31"/>
      <c r="K12" s="34"/>
      <c r="L12" s="34"/>
      <c r="M12" s="34"/>
      <c r="R12" s="1">
        <f>IF(vend9[[#This Row],[Nº Venda]]&gt;1,1,0)</f>
        <v>1</v>
      </c>
      <c r="V12" s="1">
        <v>0</v>
      </c>
    </row>
    <row r="13" spans="2:22" ht="16.5" x14ac:dyDescent="0.3">
      <c r="B13" s="29" t="s">
        <v>8</v>
      </c>
      <c r="C13" s="69">
        <f>(SUMIF($G$2:$G$31,B13,$I$2:$I$31))+(SUMIF($G$36:$G$41,B13,$H$36:$H$41))</f>
        <v>708.6</v>
      </c>
      <c r="D13" s="31"/>
      <c r="E13" s="75">
        <v>10989</v>
      </c>
      <c r="F13" s="76" t="s">
        <v>233</v>
      </c>
      <c r="G13" s="52" t="s">
        <v>10</v>
      </c>
      <c r="H13" s="40">
        <v>154</v>
      </c>
      <c r="I13" s="40">
        <v>154</v>
      </c>
      <c r="J13" s="31"/>
      <c r="K13" s="113" t="s">
        <v>142</v>
      </c>
      <c r="L13" s="114"/>
      <c r="M13" s="115"/>
      <c r="R13" s="1">
        <f>IF(vend9[[#This Row],[Nº Venda]]&gt;1,1,0)</f>
        <v>1</v>
      </c>
    </row>
    <row r="14" spans="2:22" ht="16.5" x14ac:dyDescent="0.3">
      <c r="B14" s="29" t="s">
        <v>9</v>
      </c>
      <c r="C14" s="69">
        <f>(SUMIF($G$2:$G$31,B14,$I$2:$I$31))+(SUMIF($G$36:$G$41,B14,$H$36:$H$41))</f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IF(vend9[[#This Row],[Nº Venda]]&gt;1,1,0)</f>
        <v>0</v>
      </c>
    </row>
    <row r="15" spans="2:22" ht="16.5" x14ac:dyDescent="0.3">
      <c r="B15" s="29" t="s">
        <v>10</v>
      </c>
      <c r="C15" s="69">
        <f>(SUMIF($G$2:$G$31,B15,$I$2:$I$31))+(SUMIF($G$36:$G$41,B15,$H$36:$H$41))</f>
        <v>283.8</v>
      </c>
      <c r="D15" s="31"/>
      <c r="E15" s="75"/>
      <c r="F15" s="76"/>
      <c r="G15" s="52"/>
      <c r="H15" s="40"/>
      <c r="I15" s="40"/>
      <c r="J15" s="31"/>
      <c r="K15" s="75">
        <v>9874</v>
      </c>
      <c r="L15" s="90" t="s">
        <v>130</v>
      </c>
      <c r="M15" s="45" t="s">
        <v>149</v>
      </c>
      <c r="R15" s="1">
        <f>IF(vend9[[#This Row],[Nº Venda]]&gt;1,1,0)</f>
        <v>0</v>
      </c>
    </row>
    <row r="16" spans="2:22" ht="16.5" x14ac:dyDescent="0.3">
      <c r="B16" s="32" t="s">
        <v>11</v>
      </c>
      <c r="C16" s="70">
        <f>SUM(C11:C15)</f>
        <v>1612.3999999999999</v>
      </c>
      <c r="D16" s="31"/>
      <c r="E16" s="75"/>
      <c r="F16" s="76"/>
      <c r="G16" s="52"/>
      <c r="H16" s="40"/>
      <c r="I16" s="40"/>
      <c r="J16" s="31"/>
      <c r="K16" s="75">
        <v>10921</v>
      </c>
      <c r="L16" s="90" t="s">
        <v>134</v>
      </c>
      <c r="M16" s="45" t="s">
        <v>209</v>
      </c>
      <c r="R16" s="1">
        <f>IF(vend9[[#This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10942</v>
      </c>
      <c r="L17" s="90" t="s">
        <v>130</v>
      </c>
      <c r="M17" s="45" t="s">
        <v>209</v>
      </c>
      <c r="R17" s="1">
        <f>IF(vend9[[#This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10960</v>
      </c>
      <c r="L18" s="90" t="s">
        <v>134</v>
      </c>
      <c r="M18" s="45" t="s">
        <v>149</v>
      </c>
      <c r="R18" s="1">
        <f>IF(vend9[[#This Row],[Nº Venda]]&gt;1,1,0)</f>
        <v>0</v>
      </c>
    </row>
    <row r="19" spans="2:18" ht="16.5" x14ac:dyDescent="0.3">
      <c r="B19" s="29">
        <f>COUNT(entr_carn9[OS])</f>
        <v>2</v>
      </c>
      <c r="C19" s="69">
        <f>SUM(entr_carn9[Valor Total])</f>
        <v>832</v>
      </c>
      <c r="D19" s="31"/>
      <c r="E19" s="75"/>
      <c r="F19" s="76"/>
      <c r="G19" s="52"/>
      <c r="H19" s="40"/>
      <c r="I19" s="40"/>
      <c r="J19" s="31"/>
      <c r="K19" s="75">
        <v>10984</v>
      </c>
      <c r="L19" s="90" t="s">
        <v>130</v>
      </c>
      <c r="M19" s="45" t="s">
        <v>149</v>
      </c>
      <c r="R19" s="1">
        <f>IF(vend9[[#This Row],[Nº Venda]]&gt;1,1,0)</f>
        <v>0</v>
      </c>
    </row>
    <row r="20" spans="2:18" ht="16.5" x14ac:dyDescent="0.3">
      <c r="B20" s="32" t="s">
        <v>11</v>
      </c>
      <c r="C20" s="70">
        <f>SUM(C19:C19)</f>
        <v>832</v>
      </c>
      <c r="D20" s="31"/>
      <c r="E20" s="75"/>
      <c r="F20" s="76"/>
      <c r="G20" s="52"/>
      <c r="H20" s="40"/>
      <c r="I20" s="40"/>
      <c r="J20" s="31"/>
      <c r="K20" s="75">
        <v>10986</v>
      </c>
      <c r="L20" s="90" t="s">
        <v>128</v>
      </c>
      <c r="M20" s="45" t="s">
        <v>149</v>
      </c>
      <c r="R20" s="1">
        <f>IF(vend9[[#This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10987</v>
      </c>
      <c r="L21" s="90" t="s">
        <v>128</v>
      </c>
      <c r="M21" s="45" t="s">
        <v>149</v>
      </c>
    </row>
    <row r="22" spans="2:18" ht="16.5" x14ac:dyDescent="0.3">
      <c r="B22" s="32" t="s">
        <v>25</v>
      </c>
      <c r="C22" s="35">
        <f>C5</f>
        <v>3041.4</v>
      </c>
      <c r="D22" s="31"/>
      <c r="E22" s="77"/>
      <c r="F22" s="76"/>
      <c r="G22" s="52"/>
      <c r="H22" s="40"/>
      <c r="I22" s="40"/>
      <c r="J22" s="31"/>
      <c r="K22" s="75">
        <v>10988</v>
      </c>
      <c r="L22" s="90" t="s">
        <v>130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>
        <v>10989</v>
      </c>
      <c r="L23" s="90" t="s">
        <v>130</v>
      </c>
      <c r="M23" s="45" t="s">
        <v>149</v>
      </c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10921</v>
      </c>
      <c r="F26" s="76" t="s">
        <v>261</v>
      </c>
      <c r="G26" s="51" t="s">
        <v>10</v>
      </c>
      <c r="H26" s="40"/>
      <c r="I26" s="40">
        <v>120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J35" s="39"/>
      <c r="K35" s="75">
        <v>10921</v>
      </c>
      <c r="L35" s="75">
        <v>7</v>
      </c>
      <c r="M35" s="90">
        <v>532</v>
      </c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>
        <v>10942</v>
      </c>
      <c r="L36" s="75">
        <v>6</v>
      </c>
      <c r="M36" s="90">
        <v>300</v>
      </c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8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K35:K41 K15:K31 E36:E41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I36:I41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G36:G41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6"/>
  <sheetViews>
    <sheetView showGridLines="0" view="pageLayout" topLeftCell="F2" zoomScaleNormal="90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'09'!B1+1</f>
        <v>45787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SUMIF(I6:I32,"&gt;0",H6:H32)</f>
        <v>5960.99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8017.24</v>
      </c>
      <c r="D6" s="31"/>
      <c r="E6" s="75">
        <v>10990</v>
      </c>
      <c r="F6" s="76" t="s">
        <v>235</v>
      </c>
      <c r="G6" s="51" t="s">
        <v>8</v>
      </c>
      <c r="H6" s="40">
        <v>867</v>
      </c>
      <c r="I6" s="40">
        <v>867</v>
      </c>
      <c r="J6" s="31"/>
      <c r="K6" s="76" t="s">
        <v>146</v>
      </c>
      <c r="L6" s="90" t="s">
        <v>10</v>
      </c>
      <c r="M6" s="45">
        <v>1.83</v>
      </c>
      <c r="R6" s="1">
        <f>IF(vend10[[#This Row],[Nº Venda]]&gt;1,1,0)</f>
        <v>1</v>
      </c>
    </row>
    <row r="7" spans="2:18" ht="16.5" x14ac:dyDescent="0.3">
      <c r="B7" s="29" t="s">
        <v>3</v>
      </c>
      <c r="C7" s="30">
        <f>SUM(M6:M11)</f>
        <v>351.83</v>
      </c>
      <c r="D7" s="31"/>
      <c r="E7" s="81">
        <v>10991</v>
      </c>
      <c r="F7" s="52" t="s">
        <v>238</v>
      </c>
      <c r="G7" s="52" t="s">
        <v>46</v>
      </c>
      <c r="H7" s="40">
        <v>850</v>
      </c>
      <c r="I7" s="40">
        <v>0</v>
      </c>
      <c r="J7" s="31"/>
      <c r="K7" s="76" t="s">
        <v>232</v>
      </c>
      <c r="L7" s="90" t="s">
        <v>6</v>
      </c>
      <c r="M7" s="45">
        <v>350</v>
      </c>
      <c r="R7" s="1">
        <f>IF(vend10[[#This Row],[Nº Venda]]&gt;1,1,0)</f>
        <v>1</v>
      </c>
    </row>
    <row r="8" spans="2:18" ht="16.5" x14ac:dyDescent="0.3">
      <c r="B8" s="32" t="s">
        <v>21</v>
      </c>
      <c r="C8" s="33">
        <f>SUM(C6:C7)</f>
        <v>8369.07</v>
      </c>
      <c r="D8" s="31"/>
      <c r="E8" s="81">
        <v>10992</v>
      </c>
      <c r="F8" s="52" t="s">
        <v>239</v>
      </c>
      <c r="G8" s="52" t="s">
        <v>8</v>
      </c>
      <c r="H8" s="40">
        <v>500</v>
      </c>
      <c r="I8" s="40">
        <v>500</v>
      </c>
      <c r="J8" s="31"/>
      <c r="K8" s="76"/>
      <c r="L8" s="90"/>
      <c r="M8" s="45"/>
      <c r="R8" s="1">
        <f>IF(vend10[[#This Row],[Nº Venda]]&gt;1,1,0)</f>
        <v>1</v>
      </c>
    </row>
    <row r="9" spans="2:18" ht="16.5" x14ac:dyDescent="0.3">
      <c r="B9" s="28"/>
      <c r="C9" s="28"/>
      <c r="D9" s="31"/>
      <c r="E9" s="81">
        <v>10993</v>
      </c>
      <c r="F9" s="52" t="s">
        <v>239</v>
      </c>
      <c r="G9" s="52" t="s">
        <v>8</v>
      </c>
      <c r="H9" s="40">
        <v>499.99</v>
      </c>
      <c r="I9" s="40">
        <v>499.99</v>
      </c>
      <c r="J9" s="31"/>
      <c r="K9" s="76"/>
      <c r="L9" s="90"/>
      <c r="M9" s="45"/>
      <c r="R9" s="1">
        <f>IF(vend10[[#This Row],[Nº Venda]]&gt;1,1,0)</f>
        <v>1</v>
      </c>
    </row>
    <row r="10" spans="2:18" ht="16.5" x14ac:dyDescent="0.3">
      <c r="B10" s="120" t="s">
        <v>5</v>
      </c>
      <c r="C10" s="121"/>
      <c r="D10" s="31"/>
      <c r="E10" s="81">
        <v>10994</v>
      </c>
      <c r="F10" s="52" t="s">
        <v>240</v>
      </c>
      <c r="G10" s="52" t="s">
        <v>8</v>
      </c>
      <c r="H10" s="40">
        <v>2200</v>
      </c>
      <c r="I10" s="40">
        <v>2200</v>
      </c>
      <c r="J10" s="31"/>
      <c r="K10" s="76"/>
      <c r="L10" s="90"/>
      <c r="M10" s="45"/>
      <c r="R10" s="1">
        <f>IF(vend10[[#This Row],[Nº Venda]]&gt;1,1,0)</f>
        <v>1</v>
      </c>
    </row>
    <row r="11" spans="2:18" ht="16.5" x14ac:dyDescent="0.3">
      <c r="B11" s="29" t="s">
        <v>6</v>
      </c>
      <c r="C11" s="69">
        <f>(SUMIF($G$2:$G$32,B11,$I$2:$I$32))+(SUMIF($G$36:$G$42,B11,$H$36:$H$42))</f>
        <v>350</v>
      </c>
      <c r="D11" s="31"/>
      <c r="E11" s="81">
        <v>10995</v>
      </c>
      <c r="F11" s="52" t="s">
        <v>240</v>
      </c>
      <c r="G11" s="52" t="s">
        <v>46</v>
      </c>
      <c r="H11" s="40">
        <v>0</v>
      </c>
      <c r="I11" s="40">
        <v>0</v>
      </c>
      <c r="J11" s="31"/>
      <c r="K11" s="39"/>
      <c r="L11" s="90"/>
      <c r="M11" s="45"/>
      <c r="O11" s="1">
        <f>IF(C16=0,0,1)</f>
        <v>1</v>
      </c>
      <c r="R11" s="1">
        <f>IF(vend10[[#This Row],[Nº Venda]]&gt;1,1,0)</f>
        <v>1</v>
      </c>
    </row>
    <row r="12" spans="2:18" ht="16.5" x14ac:dyDescent="0.3">
      <c r="B12" s="29" t="s">
        <v>7</v>
      </c>
      <c r="C12" s="69">
        <f>(SUMIF($G$2:$G$32,B12,$I$2:$I$32))+(SUMIF($G$36:$G$42,B12,$H$36:$H$42))</f>
        <v>69.75</v>
      </c>
      <c r="D12" s="31"/>
      <c r="E12" s="81">
        <v>10996</v>
      </c>
      <c r="F12" s="52" t="s">
        <v>240</v>
      </c>
      <c r="G12" s="52" t="s">
        <v>8</v>
      </c>
      <c r="H12" s="40">
        <v>330</v>
      </c>
      <c r="I12" s="40">
        <v>330</v>
      </c>
      <c r="J12" s="31"/>
      <c r="K12" s="34"/>
      <c r="L12" s="34"/>
      <c r="M12" s="34"/>
      <c r="R12" s="1">
        <f>IF(vend10[[#This Row],[Nº Venda]]&gt;1,1,0)</f>
        <v>1</v>
      </c>
    </row>
    <row r="13" spans="2:18" ht="16.5" x14ac:dyDescent="0.3">
      <c r="B13" s="29" t="s">
        <v>8</v>
      </c>
      <c r="C13" s="69">
        <f>(SUMIF($G$2:$G$32,B13,$I$2:$I$32))+(SUMIF($G$36:$G$42,B13,$H$36:$H$42))</f>
        <v>6960.99</v>
      </c>
      <c r="D13" s="31"/>
      <c r="E13" s="81">
        <v>10997</v>
      </c>
      <c r="F13" s="52" t="s">
        <v>241</v>
      </c>
      <c r="G13" s="52" t="s">
        <v>8</v>
      </c>
      <c r="H13" s="40">
        <v>999</v>
      </c>
      <c r="I13" s="40">
        <v>999</v>
      </c>
      <c r="J13" s="31"/>
      <c r="K13" s="113" t="s">
        <v>142</v>
      </c>
      <c r="L13" s="114"/>
      <c r="M13" s="115"/>
      <c r="R13" s="1">
        <f>IF(vend10[[#This Row],[Nº Venda]]&gt;1,1,0)</f>
        <v>1</v>
      </c>
    </row>
    <row r="14" spans="2:18" ht="16.5" x14ac:dyDescent="0.3">
      <c r="B14" s="29" t="s">
        <v>9</v>
      </c>
      <c r="C14" s="69">
        <f>(SUMIF($G$2:$G$32,B14,$I$2:$I$32))+(SUMIF($G$36:$G$42,B14,$H$36:$H$42))</f>
        <v>0</v>
      </c>
      <c r="D14" s="31"/>
      <c r="E14" s="75">
        <v>10998</v>
      </c>
      <c r="F14" s="76" t="s">
        <v>242</v>
      </c>
      <c r="G14" s="52" t="s">
        <v>8</v>
      </c>
      <c r="H14" s="40">
        <v>565</v>
      </c>
      <c r="I14" s="40">
        <v>565</v>
      </c>
      <c r="J14" s="31"/>
      <c r="K14" s="23" t="s">
        <v>22</v>
      </c>
      <c r="L14" s="24" t="s">
        <v>23</v>
      </c>
      <c r="M14" s="25" t="s">
        <v>24</v>
      </c>
      <c r="R14" s="1">
        <f>IF(vend10[[#This Row],[Nº Venda]]&gt;1,1,0)</f>
        <v>1</v>
      </c>
    </row>
    <row r="15" spans="2:18" ht="16.5" x14ac:dyDescent="0.3">
      <c r="B15" s="29" t="s">
        <v>10</v>
      </c>
      <c r="C15" s="69">
        <f>(SUMIF($G$2:$G$32,B15,$I$2:$I$32))+(SUMIF($G$36:$G$42,B15,$H$36:$H$42))</f>
        <v>636.5</v>
      </c>
      <c r="D15" s="31"/>
      <c r="E15" s="75"/>
      <c r="F15" s="76"/>
      <c r="G15" s="52"/>
      <c r="H15" s="40"/>
      <c r="I15" s="40"/>
      <c r="J15" s="31"/>
      <c r="K15" s="75">
        <v>10467</v>
      </c>
      <c r="L15" s="90" t="s">
        <v>123</v>
      </c>
      <c r="M15" s="45" t="s">
        <v>149</v>
      </c>
      <c r="R15" s="1">
        <f>IF(vend10[[#This Row],[Nº Venda]]&gt;1,1,0)</f>
        <v>0</v>
      </c>
    </row>
    <row r="16" spans="2:18" ht="16.5" x14ac:dyDescent="0.3">
      <c r="B16" s="32" t="s">
        <v>11</v>
      </c>
      <c r="C16" s="70">
        <f>SUM(C11:C15)</f>
        <v>8017.24</v>
      </c>
      <c r="D16" s="31"/>
      <c r="E16" s="75"/>
      <c r="F16" s="76"/>
      <c r="G16" s="52"/>
      <c r="H16" s="40"/>
      <c r="I16" s="40"/>
      <c r="J16" s="31"/>
      <c r="K16" s="75">
        <v>10776</v>
      </c>
      <c r="L16" s="90" t="s">
        <v>128</v>
      </c>
      <c r="M16" s="45" t="s">
        <v>149</v>
      </c>
      <c r="R16" s="1">
        <f>IF(vend10[[#This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10812</v>
      </c>
      <c r="L17" s="90" t="s">
        <v>128</v>
      </c>
      <c r="M17" s="45" t="s">
        <v>149</v>
      </c>
      <c r="R17" s="1">
        <f>IF(vend10[[#This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10862</v>
      </c>
      <c r="L18" s="90" t="s">
        <v>134</v>
      </c>
      <c r="M18" s="45" t="s">
        <v>149</v>
      </c>
      <c r="R18" s="1">
        <f>IF(vend10[[#This Row],[Nº Venda]]&gt;1,1,0)</f>
        <v>0</v>
      </c>
    </row>
    <row r="19" spans="2:18" ht="16.5" x14ac:dyDescent="0.3">
      <c r="B19" s="29">
        <f>COUNT(entr_carn10[OS])</f>
        <v>1</v>
      </c>
      <c r="C19" s="69">
        <f>SUM(entr_carn10[Valor Total])</f>
        <v>600</v>
      </c>
      <c r="D19" s="31"/>
      <c r="E19" s="75"/>
      <c r="F19" s="76"/>
      <c r="G19" s="52"/>
      <c r="H19" s="40"/>
      <c r="I19" s="40"/>
      <c r="J19" s="31"/>
      <c r="K19" s="75">
        <v>10863</v>
      </c>
      <c r="L19" s="90" t="s">
        <v>130</v>
      </c>
      <c r="M19" s="45" t="s">
        <v>149</v>
      </c>
      <c r="R19" s="1">
        <f>IF(vend10[[#This Row],[Nº Venda]]&gt;1,1,0)</f>
        <v>0</v>
      </c>
    </row>
    <row r="20" spans="2:18" ht="16.5" x14ac:dyDescent="0.3">
      <c r="B20" s="32" t="s">
        <v>11</v>
      </c>
      <c r="C20" s="70">
        <f>SUM(C19:C19)</f>
        <v>600</v>
      </c>
      <c r="D20" s="31"/>
      <c r="E20" s="75"/>
      <c r="F20" s="52"/>
      <c r="G20" s="52"/>
      <c r="H20" s="40"/>
      <c r="I20" s="40"/>
      <c r="J20" s="31"/>
      <c r="K20" s="75">
        <v>10864</v>
      </c>
      <c r="L20" s="90" t="s">
        <v>130</v>
      </c>
      <c r="M20" s="45" t="s">
        <v>149</v>
      </c>
      <c r="R20" s="1">
        <f>IF(vend10[[#This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10865</v>
      </c>
      <c r="L21" s="90" t="s">
        <v>130</v>
      </c>
      <c r="M21" s="45" t="s">
        <v>149</v>
      </c>
    </row>
    <row r="22" spans="2:18" ht="16.5" x14ac:dyDescent="0.3">
      <c r="B22" s="32" t="s">
        <v>25</v>
      </c>
      <c r="C22" s="35">
        <f>C5</f>
        <v>5960.99</v>
      </c>
      <c r="D22" s="31"/>
      <c r="E22" s="77"/>
      <c r="F22" s="76"/>
      <c r="G22" s="52"/>
      <c r="H22" s="40"/>
      <c r="I22" s="40"/>
      <c r="J22" s="31"/>
      <c r="K22" s="75">
        <v>10866</v>
      </c>
      <c r="L22" s="90" t="s">
        <v>130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>
        <v>10869</v>
      </c>
      <c r="L23" s="90" t="s">
        <v>130</v>
      </c>
      <c r="M23" s="45" t="s">
        <v>149</v>
      </c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>
        <v>10894</v>
      </c>
      <c r="L24" s="90" t="s">
        <v>128</v>
      </c>
      <c r="M24" s="45" t="s">
        <v>149</v>
      </c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>
        <v>10902</v>
      </c>
      <c r="L25" s="90" t="s">
        <v>128</v>
      </c>
      <c r="M25" s="45" t="s">
        <v>209</v>
      </c>
    </row>
    <row r="26" spans="2:18" ht="16.5" x14ac:dyDescent="0.3">
      <c r="B26" s="31"/>
      <c r="C26" s="31"/>
      <c r="D26" s="31"/>
      <c r="E26" s="75">
        <v>10812</v>
      </c>
      <c r="F26" s="76" t="s">
        <v>236</v>
      </c>
      <c r="G26" s="51" t="s">
        <v>6</v>
      </c>
      <c r="H26" s="40">
        <v>0</v>
      </c>
      <c r="I26" s="40">
        <v>350</v>
      </c>
      <c r="J26" s="31"/>
      <c r="K26" s="75">
        <v>10925</v>
      </c>
      <c r="L26" s="90" t="s">
        <v>134</v>
      </c>
      <c r="M26" s="45" t="s">
        <v>149</v>
      </c>
    </row>
    <row r="27" spans="2:18" ht="16.5" x14ac:dyDescent="0.3">
      <c r="B27" s="31"/>
      <c r="C27" s="31"/>
      <c r="D27" s="31"/>
      <c r="E27" s="75">
        <v>10894</v>
      </c>
      <c r="F27" s="76" t="s">
        <v>237</v>
      </c>
      <c r="G27" s="52" t="s">
        <v>8</v>
      </c>
      <c r="H27" s="40">
        <v>0</v>
      </c>
      <c r="I27" s="40">
        <v>1000</v>
      </c>
      <c r="J27" s="31"/>
      <c r="K27" s="75">
        <v>10936</v>
      </c>
      <c r="L27" s="90" t="s">
        <v>130</v>
      </c>
      <c r="M27" s="45" t="s">
        <v>149</v>
      </c>
    </row>
    <row r="28" spans="2:18" ht="16.5" x14ac:dyDescent="0.3">
      <c r="B28" s="31"/>
      <c r="C28" s="31"/>
      <c r="D28" s="31"/>
      <c r="E28" s="75">
        <v>10902</v>
      </c>
      <c r="F28" s="76" t="s">
        <v>288</v>
      </c>
      <c r="G28" s="51" t="s">
        <v>10</v>
      </c>
      <c r="H28" s="40">
        <v>0</v>
      </c>
      <c r="I28" s="40">
        <v>75</v>
      </c>
      <c r="J28" s="31"/>
      <c r="K28" s="75">
        <v>10947</v>
      </c>
      <c r="L28" s="90" t="s">
        <v>130</v>
      </c>
      <c r="M28" s="45" t="s">
        <v>149</v>
      </c>
    </row>
    <row r="29" spans="2:18" ht="16.5" x14ac:dyDescent="0.3">
      <c r="B29" s="31"/>
      <c r="C29" s="31"/>
      <c r="D29" s="31"/>
      <c r="E29" s="75">
        <v>10903</v>
      </c>
      <c r="F29" s="76" t="s">
        <v>288</v>
      </c>
      <c r="G29" s="52" t="s">
        <v>10</v>
      </c>
      <c r="H29" s="40">
        <v>0</v>
      </c>
      <c r="I29" s="40">
        <v>75</v>
      </c>
      <c r="J29" s="31"/>
      <c r="K29" s="75">
        <v>10976</v>
      </c>
      <c r="L29" s="90" t="s">
        <v>128</v>
      </c>
      <c r="M29" s="45" t="s">
        <v>149</v>
      </c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>
        <v>10980</v>
      </c>
      <c r="L30" s="90" t="s">
        <v>130</v>
      </c>
      <c r="M30" s="45" t="s">
        <v>149</v>
      </c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>
        <v>10984</v>
      </c>
      <c r="L31" s="90" t="s">
        <v>128</v>
      </c>
      <c r="M31" s="45" t="s">
        <v>149</v>
      </c>
    </row>
    <row r="32" spans="2:18" ht="17.25" x14ac:dyDescent="0.3">
      <c r="B32" s="31"/>
      <c r="C32" s="31"/>
      <c r="D32" s="39"/>
      <c r="E32" s="103"/>
      <c r="F32" s="102"/>
      <c r="G32" s="21"/>
      <c r="H32" s="22"/>
      <c r="I32" s="22"/>
      <c r="J32" s="39"/>
      <c r="K32" s="75"/>
      <c r="L32" s="90"/>
      <c r="M32" s="45"/>
    </row>
    <row r="33" spans="2:18" ht="16.5" x14ac:dyDescent="0.3">
      <c r="B33" s="31"/>
      <c r="C33" s="31"/>
      <c r="D33" s="39"/>
      <c r="E33" s="46"/>
      <c r="F33" s="46"/>
      <c r="G33" s="46"/>
      <c r="H33" s="47"/>
      <c r="I33" s="47"/>
      <c r="J33" s="39"/>
      <c r="K33" s="34"/>
      <c r="L33" s="34"/>
      <c r="M33" s="34"/>
    </row>
    <row r="34" spans="2:18" ht="15" x14ac:dyDescent="0.25">
      <c r="B34" s="39"/>
      <c r="C34" s="39"/>
      <c r="D34" s="39"/>
      <c r="E34" s="111" t="s">
        <v>143</v>
      </c>
      <c r="F34" s="111"/>
      <c r="G34" s="111"/>
      <c r="H34" s="111"/>
      <c r="I34" s="111"/>
      <c r="J34" s="39"/>
      <c r="K34" s="113" t="s">
        <v>141</v>
      </c>
      <c r="L34" s="114"/>
      <c r="M34" s="115"/>
    </row>
    <row r="35" spans="2:18" ht="16.5" customHeight="1" x14ac:dyDescent="0.3">
      <c r="B35" s="39"/>
      <c r="C35" s="39"/>
      <c r="D35" s="39"/>
      <c r="E35" s="84" t="s">
        <v>22</v>
      </c>
      <c r="F35" s="85" t="s">
        <v>15</v>
      </c>
      <c r="G35" s="86" t="s">
        <v>16</v>
      </c>
      <c r="H35" s="87" t="s">
        <v>26</v>
      </c>
      <c r="I35" s="88" t="s">
        <v>27</v>
      </c>
      <c r="J35" s="39"/>
      <c r="K35" s="24" t="s">
        <v>22</v>
      </c>
      <c r="L35" s="23" t="s">
        <v>28</v>
      </c>
      <c r="M35" s="24" t="s">
        <v>29</v>
      </c>
    </row>
    <row r="36" spans="2:18" ht="16.5" customHeight="1" x14ac:dyDescent="0.25">
      <c r="B36" s="39"/>
      <c r="C36" s="39"/>
      <c r="D36" s="39"/>
      <c r="E36" s="93">
        <v>9936</v>
      </c>
      <c r="F36" s="94" t="s">
        <v>234</v>
      </c>
      <c r="G36" s="95" t="s">
        <v>7</v>
      </c>
      <c r="H36" s="96">
        <v>69.75</v>
      </c>
      <c r="I36" s="40" t="s">
        <v>52</v>
      </c>
      <c r="J36" s="39"/>
      <c r="K36" s="75">
        <v>10902</v>
      </c>
      <c r="L36" s="75">
        <v>7</v>
      </c>
      <c r="M36" s="90">
        <v>600</v>
      </c>
    </row>
    <row r="37" spans="2:18" ht="16.5" customHeight="1" x14ac:dyDescent="0.25">
      <c r="B37" s="39"/>
      <c r="C37" s="39"/>
      <c r="D37" s="39"/>
      <c r="E37" s="77">
        <v>10041</v>
      </c>
      <c r="F37" s="76" t="s">
        <v>245</v>
      </c>
      <c r="G37" s="52" t="s">
        <v>10</v>
      </c>
      <c r="H37" s="40">
        <v>200</v>
      </c>
      <c r="I37" s="40" t="s">
        <v>34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83">
        <v>10210</v>
      </c>
      <c r="F38" s="76" t="s">
        <v>243</v>
      </c>
      <c r="G38" s="52" t="s">
        <v>10</v>
      </c>
      <c r="H38" s="40">
        <v>161</v>
      </c>
      <c r="I38" s="40" t="s">
        <v>83</v>
      </c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>
        <v>10442</v>
      </c>
      <c r="F39" s="76" t="s">
        <v>244</v>
      </c>
      <c r="G39" s="52" t="s">
        <v>10</v>
      </c>
      <c r="H39" s="40">
        <v>125.5</v>
      </c>
      <c r="I39" s="40" t="s">
        <v>90</v>
      </c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5"/>
      <c r="F40" s="52"/>
      <c r="G40" s="52"/>
      <c r="H40" s="40"/>
      <c r="I40" s="40"/>
      <c r="J40" s="39"/>
      <c r="K40" s="75"/>
      <c r="L40" s="75"/>
      <c r="M40" s="90"/>
      <c r="Q40" s="1" t="s">
        <v>33</v>
      </c>
      <c r="R40" s="1">
        <f>SUM(R6:R21)</f>
        <v>9</v>
      </c>
    </row>
    <row r="41" spans="2:18" ht="16.5" customHeight="1" x14ac:dyDescent="0.25">
      <c r="B41" s="39"/>
      <c r="C41" s="39"/>
      <c r="D41" s="39"/>
      <c r="E41" s="77"/>
      <c r="F41" s="78"/>
      <c r="G41" s="43"/>
      <c r="H41" s="44"/>
      <c r="I41" s="40"/>
      <c r="J41" s="39"/>
      <c r="K41" s="77"/>
      <c r="L41" s="77"/>
      <c r="M41" s="91"/>
    </row>
    <row r="42" spans="2:18" ht="17.25" x14ac:dyDescent="0.3">
      <c r="B42" s="39"/>
      <c r="C42" s="39"/>
      <c r="D42" s="39"/>
      <c r="E42" s="48"/>
      <c r="F42" s="19"/>
      <c r="G42" s="19"/>
      <c r="H42" s="20"/>
      <c r="I42" s="20"/>
      <c r="J42" s="39"/>
      <c r="K42" s="75"/>
      <c r="L42" s="75"/>
      <c r="M42" s="91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  <row r="46" spans="2:18" ht="13.5" x14ac:dyDescent="0.25">
      <c r="K46" s="34"/>
      <c r="L46" s="34"/>
      <c r="M46" s="34"/>
    </row>
  </sheetData>
  <mergeCells count="11">
    <mergeCell ref="B1:C1"/>
    <mergeCell ref="L1:M1"/>
    <mergeCell ref="E24:I24"/>
    <mergeCell ref="E34:I34"/>
    <mergeCell ref="K34:M34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6:L42" xr:uid="{AD9A0320-9A30-41B2-9FAF-D01289640E0B}">
      <formula1>"1,2,3,4,5,6,7,8,9,10"</formula1>
    </dataValidation>
    <dataValidation type="list" allowBlank="1" showInputMessage="1" showErrorMessage="1" sqref="M15 M17:M32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K36:K42 E35 E37:E41 E26:E31 E8:E12 E14:E22 E6 K15:K32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G37:G42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G27 G6 G14:G22 G8:G12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zoomScale="90" zoomScaleNormal="90" workbookViewId="0">
      <selection activeCell="G34" sqref="G34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'10'!B1+1</f>
        <v>45788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0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0</v>
      </c>
      <c r="D6" s="31"/>
      <c r="E6" s="75"/>
      <c r="F6" s="76"/>
      <c r="G6" s="52"/>
      <c r="H6" s="40"/>
      <c r="I6" s="40"/>
      <c r="J6" s="31"/>
      <c r="K6" s="76"/>
      <c r="L6" s="90"/>
      <c r="M6" s="45"/>
      <c r="R6" s="1">
        <f>IF(vend11[[#This Row],[Nº Venda]]&gt;1,1,0)</f>
        <v>0</v>
      </c>
    </row>
    <row r="7" spans="2:18" ht="16.5" x14ac:dyDescent="0.3">
      <c r="B7" s="29" t="s">
        <v>3</v>
      </c>
      <c r="C7" s="30">
        <f>SUM(M6:M11)</f>
        <v>0</v>
      </c>
      <c r="D7" s="31"/>
      <c r="E7" s="75"/>
      <c r="F7" s="76"/>
      <c r="G7" s="52"/>
      <c r="H7" s="40"/>
      <c r="I7" s="40"/>
      <c r="J7" s="31"/>
      <c r="K7" s="76"/>
      <c r="L7" s="90"/>
      <c r="M7" s="45"/>
      <c r="R7" s="1">
        <f>IF(vend11[[#This Row],[Nº Venda]]&gt;1,1,0)</f>
        <v>0</v>
      </c>
    </row>
    <row r="8" spans="2:18" ht="16.5" x14ac:dyDescent="0.3">
      <c r="B8" s="32" t="s">
        <v>21</v>
      </c>
      <c r="C8" s="33">
        <f>SUM(C6:C7)</f>
        <v>0</v>
      </c>
      <c r="D8" s="31"/>
      <c r="E8" s="75"/>
      <c r="F8" s="76"/>
      <c r="G8" s="52"/>
      <c r="H8" s="40"/>
      <c r="I8" s="40"/>
      <c r="J8" s="31"/>
      <c r="K8" s="76"/>
      <c r="L8" s="90"/>
      <c r="M8" s="45"/>
      <c r="R8" s="1">
        <f>IF(vend11[[#This Row],[Nº Venda]]&gt;1,1,0)</f>
        <v>0</v>
      </c>
    </row>
    <row r="9" spans="2:18" ht="16.5" x14ac:dyDescent="0.3">
      <c r="B9" s="28"/>
      <c r="C9" s="28"/>
      <c r="D9" s="31"/>
      <c r="E9" s="75"/>
      <c r="F9" s="76"/>
      <c r="G9" s="52"/>
      <c r="H9" s="40"/>
      <c r="I9" s="40"/>
      <c r="J9" s="31"/>
      <c r="K9" s="76"/>
      <c r="L9" s="90"/>
      <c r="M9" s="45"/>
      <c r="R9" s="1">
        <f>IF(vend11[[#This Row],[Nº Venda]]&gt;1,1,0)</f>
        <v>0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90"/>
      <c r="M10" s="45"/>
      <c r="R10" s="1">
        <f>IF(vend11[[#This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0</v>
      </c>
      <c r="R11" s="1">
        <f>IF(vend11[[#This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IF(vend11[[#This Row],[Nº Venda]]&gt;1,1,0)</f>
        <v>0</v>
      </c>
    </row>
    <row r="13" spans="2:18" ht="16.5" x14ac:dyDescent="0.3">
      <c r="B13" s="29" t="s">
        <v>8</v>
      </c>
      <c r="C13" s="69">
        <f t="shared" si="0"/>
        <v>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IF(vend11[[#This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IF(vend11[[#This Row],[Nº Venda]]&gt;1,1,0)</f>
        <v>0</v>
      </c>
    </row>
    <row r="15" spans="2:18" ht="16.5" x14ac:dyDescent="0.3">
      <c r="B15" s="29" t="s">
        <v>10</v>
      </c>
      <c r="C15" s="69">
        <f t="shared" si="0"/>
        <v>0</v>
      </c>
      <c r="D15" s="31"/>
      <c r="E15" s="75"/>
      <c r="F15" s="76"/>
      <c r="G15" s="52"/>
      <c r="H15" s="40"/>
      <c r="I15" s="40"/>
      <c r="J15" s="31"/>
      <c r="K15" s="75"/>
      <c r="L15" s="90"/>
      <c r="M15" s="45"/>
      <c r="R15" s="1">
        <f>IF(vend11[[#This Row],[Nº Venda]]&gt;1,1,0)</f>
        <v>0</v>
      </c>
    </row>
    <row r="16" spans="2:18" ht="16.5" x14ac:dyDescent="0.3">
      <c r="B16" s="32" t="s">
        <v>11</v>
      </c>
      <c r="C16" s="70">
        <f>SUM(C11:C15)</f>
        <v>0</v>
      </c>
      <c r="D16" s="31"/>
      <c r="E16" s="75"/>
      <c r="F16" s="76"/>
      <c r="G16" s="52"/>
      <c r="H16" s="40"/>
      <c r="I16" s="40"/>
      <c r="J16" s="31"/>
      <c r="K16" s="75"/>
      <c r="L16" s="90"/>
      <c r="M16" s="45"/>
      <c r="R16" s="1">
        <f>IF(vend11[[#This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/>
      <c r="L17" s="90"/>
      <c r="M17" s="45"/>
      <c r="R17" s="1">
        <f>IF(vend11[[#This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/>
      <c r="L18" s="90"/>
      <c r="M18" s="45"/>
      <c r="R18" s="1">
        <f>IF(vend11[[#This Row],[Nº Venda]]&gt;1,1,0)</f>
        <v>0</v>
      </c>
    </row>
    <row r="19" spans="2:18" ht="16.5" x14ac:dyDescent="0.3">
      <c r="B19" s="29">
        <f>COUNT(entr_carn11[OS])</f>
        <v>0</v>
      </c>
      <c r="C19" s="69">
        <f>SUM(entr_carn11[Valor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IF(vend11[[#This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IF(vend11[[#This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0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1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40"/>
      <c r="I35" s="40"/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0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topLeftCell="A2" zoomScale="90" zoomScaleNormal="90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'11'!B1+1</f>
        <v>45789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1056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1414.05</v>
      </c>
      <c r="D6" s="31"/>
      <c r="E6" s="75">
        <v>10998</v>
      </c>
      <c r="F6" s="49" t="s">
        <v>246</v>
      </c>
      <c r="G6" s="49" t="s">
        <v>10</v>
      </c>
      <c r="H6" s="50">
        <v>550</v>
      </c>
      <c r="I6" s="50">
        <v>550</v>
      </c>
      <c r="J6" s="31"/>
      <c r="K6" s="76" t="s">
        <v>146</v>
      </c>
      <c r="L6" s="90" t="s">
        <v>10</v>
      </c>
      <c r="M6" s="45">
        <v>1.89</v>
      </c>
      <c r="R6" s="1">
        <f>IF(vend12[[#This Row],[Nº Venda]]&gt;1,1,0)</f>
        <v>1</v>
      </c>
    </row>
    <row r="7" spans="2:18" ht="16.5" x14ac:dyDescent="0.3">
      <c r="B7" s="29" t="s">
        <v>3</v>
      </c>
      <c r="C7" s="30">
        <f>SUM(M6:M11)</f>
        <v>85.89</v>
      </c>
      <c r="D7" s="31"/>
      <c r="E7" s="75">
        <v>10999</v>
      </c>
      <c r="F7" s="51" t="s">
        <v>247</v>
      </c>
      <c r="G7" s="51" t="s">
        <v>8</v>
      </c>
      <c r="H7" s="40">
        <v>310</v>
      </c>
      <c r="I7" s="40">
        <v>310</v>
      </c>
      <c r="J7" s="31"/>
      <c r="K7" s="76" t="s">
        <v>289</v>
      </c>
      <c r="L7" s="90" t="s">
        <v>6</v>
      </c>
      <c r="M7" s="45">
        <v>84</v>
      </c>
      <c r="R7" s="1">
        <f>IF(vend12[[#This Row],[Nº Venda]]&gt;1,1,0)</f>
        <v>1</v>
      </c>
    </row>
    <row r="8" spans="2:18" ht="16.5" x14ac:dyDescent="0.3">
      <c r="B8" s="32" t="s">
        <v>21</v>
      </c>
      <c r="C8" s="33">
        <f>SUM(C6:C7)</f>
        <v>1499.94</v>
      </c>
      <c r="D8" s="31"/>
      <c r="E8" s="75">
        <v>11000</v>
      </c>
      <c r="F8" s="51" t="s">
        <v>248</v>
      </c>
      <c r="G8" s="51" t="s">
        <v>46</v>
      </c>
      <c r="H8" s="40"/>
      <c r="I8" s="40"/>
      <c r="J8" s="31"/>
      <c r="K8" s="76"/>
      <c r="L8" s="90"/>
      <c r="M8" s="45"/>
      <c r="R8" s="1">
        <f>IF(vend12[[#This Row],[Nº Venda]]&gt;1,1,0)</f>
        <v>1</v>
      </c>
    </row>
    <row r="9" spans="2:18" ht="16.5" x14ac:dyDescent="0.3">
      <c r="B9" s="28"/>
      <c r="C9" s="28"/>
      <c r="D9" s="31"/>
      <c r="E9" s="75">
        <v>11001</v>
      </c>
      <c r="F9" s="76" t="s">
        <v>249</v>
      </c>
      <c r="G9" s="52" t="s">
        <v>8</v>
      </c>
      <c r="H9" s="40">
        <v>196</v>
      </c>
      <c r="I9" s="40">
        <v>196</v>
      </c>
      <c r="J9" s="31"/>
      <c r="K9" s="76"/>
      <c r="L9" s="90"/>
      <c r="M9" s="45"/>
      <c r="R9" s="1">
        <f>IF(vend12[[#This Row],[Nº Venda]]&gt;1,1,0)</f>
        <v>1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90"/>
      <c r="M10" s="45"/>
      <c r="R10" s="1">
        <f>IF(vend12[[#This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84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1</v>
      </c>
      <c r="R11" s="1">
        <f>IF(vend12[[#This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140</v>
      </c>
      <c r="D12" s="31"/>
      <c r="E12" s="75"/>
      <c r="F12" s="76"/>
      <c r="G12" s="52"/>
      <c r="H12" s="40" t="s">
        <v>54</v>
      </c>
      <c r="I12" s="40"/>
      <c r="J12" s="31"/>
      <c r="K12" s="34"/>
      <c r="L12" s="34"/>
      <c r="M12" s="34"/>
      <c r="R12" s="1">
        <f>IF(vend12[[#This Row],[Nº Venda]]&gt;1,1,0)</f>
        <v>0</v>
      </c>
    </row>
    <row r="13" spans="2:18" ht="16.5" x14ac:dyDescent="0.3">
      <c r="B13" s="29" t="s">
        <v>8</v>
      </c>
      <c r="C13" s="69">
        <f t="shared" si="0"/>
        <v>506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IF(vend12[[#This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IF(vend12[[#This Row],[Nº Venda]]&gt;1,1,0)</f>
        <v>0</v>
      </c>
    </row>
    <row r="15" spans="2:18" ht="16.5" x14ac:dyDescent="0.3">
      <c r="B15" s="29" t="s">
        <v>10</v>
      </c>
      <c r="C15" s="69">
        <f t="shared" si="0"/>
        <v>684.05</v>
      </c>
      <c r="D15" s="31"/>
      <c r="E15" s="75"/>
      <c r="F15" s="76"/>
      <c r="G15" s="52"/>
      <c r="H15" s="40"/>
      <c r="I15" s="40"/>
      <c r="J15" s="31"/>
      <c r="K15" s="75">
        <v>10999</v>
      </c>
      <c r="L15" s="90" t="s">
        <v>130</v>
      </c>
      <c r="M15" s="45" t="s">
        <v>149</v>
      </c>
      <c r="R15" s="1">
        <f>IF(vend12[[#This Row],[Nº Venda]]&gt;1,1,0)</f>
        <v>0</v>
      </c>
    </row>
    <row r="16" spans="2:18" ht="16.5" x14ac:dyDescent="0.3">
      <c r="B16" s="32" t="s">
        <v>11</v>
      </c>
      <c r="C16" s="70">
        <f>SUM(C11:C15)</f>
        <v>1414.05</v>
      </c>
      <c r="D16" s="31"/>
      <c r="E16" s="75"/>
      <c r="F16" s="76"/>
      <c r="G16" s="52"/>
      <c r="H16" s="40"/>
      <c r="I16" s="40"/>
      <c r="J16" s="31"/>
      <c r="K16" s="75"/>
      <c r="L16" s="90"/>
      <c r="M16" s="45"/>
      <c r="R16" s="1">
        <f>IF(vend12[[#This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/>
      <c r="L17" s="90"/>
      <c r="M17" s="45"/>
      <c r="R17" s="1">
        <f>IF(vend12[[#This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/>
      <c r="L18" s="90"/>
      <c r="M18" s="45"/>
      <c r="R18" s="1">
        <f>IF(vend12[[#This Row],[Nº Venda]]&gt;1,1,0)</f>
        <v>0</v>
      </c>
    </row>
    <row r="19" spans="2:18" ht="16.5" x14ac:dyDescent="0.3">
      <c r="B19" s="29">
        <f>COUNT(entr_carn12[OS])</f>
        <v>0</v>
      </c>
      <c r="C19" s="69">
        <f>SUM(entr_carn12[Valor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IF(vend12[[#This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IF(vend12[[#This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1056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51"/>
      <c r="G26" s="51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10360</v>
      </c>
      <c r="F35" s="76" t="s">
        <v>250</v>
      </c>
      <c r="G35" s="52" t="s">
        <v>6</v>
      </c>
      <c r="H35" s="40">
        <v>84</v>
      </c>
      <c r="I35" s="40" t="s">
        <v>74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>
        <v>9886</v>
      </c>
      <c r="F36" s="76" t="s">
        <v>203</v>
      </c>
      <c r="G36" s="52" t="s">
        <v>7</v>
      </c>
      <c r="H36" s="40">
        <v>140</v>
      </c>
      <c r="I36" s="40" t="s">
        <v>93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>
        <v>10811</v>
      </c>
      <c r="F37" s="76" t="s">
        <v>251</v>
      </c>
      <c r="G37" s="52" t="s">
        <v>10</v>
      </c>
      <c r="H37" s="40">
        <v>134.05000000000001</v>
      </c>
      <c r="I37" s="40" t="s">
        <v>38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4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'12'!B1+1</f>
        <v>45790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12230.9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8189</v>
      </c>
      <c r="D6" s="31"/>
      <c r="E6" s="75">
        <v>11002</v>
      </c>
      <c r="F6" s="76" t="s">
        <v>252</v>
      </c>
      <c r="G6" s="52" t="s">
        <v>6</v>
      </c>
      <c r="H6" s="40">
        <v>1350</v>
      </c>
      <c r="I6" s="40">
        <v>100</v>
      </c>
      <c r="J6" s="31"/>
      <c r="K6" s="76" t="s">
        <v>260</v>
      </c>
      <c r="L6" s="90" t="s">
        <v>6</v>
      </c>
      <c r="M6" s="45">
        <v>505</v>
      </c>
      <c r="R6" s="1">
        <f>IF(vend13[[#This Row],[Nº Venda]]&gt;1,1,0)</f>
        <v>1</v>
      </c>
    </row>
    <row r="7" spans="2:18" ht="16.5" x14ac:dyDescent="0.3">
      <c r="B7" s="29" t="s">
        <v>3</v>
      </c>
      <c r="C7" s="30">
        <f>SUM(M6:M11)</f>
        <v>506.97</v>
      </c>
      <c r="D7" s="31"/>
      <c r="E7" s="75">
        <v>11003</v>
      </c>
      <c r="F7" s="76" t="s">
        <v>254</v>
      </c>
      <c r="G7" s="52" t="s">
        <v>10</v>
      </c>
      <c r="H7" s="40">
        <v>1199</v>
      </c>
      <c r="I7" s="40">
        <v>479</v>
      </c>
      <c r="J7" s="31"/>
      <c r="K7" s="76" t="s">
        <v>269</v>
      </c>
      <c r="L7" s="90" t="s">
        <v>10</v>
      </c>
      <c r="M7" s="45">
        <v>1.97</v>
      </c>
      <c r="R7" s="1">
        <f>IF(vend13[[#This Row],[Nº Venda]]&gt;1,1,0)</f>
        <v>1</v>
      </c>
    </row>
    <row r="8" spans="2:18" ht="16.5" x14ac:dyDescent="0.3">
      <c r="B8" s="32" t="s">
        <v>21</v>
      </c>
      <c r="C8" s="33">
        <f>SUM(C6:C7)</f>
        <v>8695.9699999999993</v>
      </c>
      <c r="D8" s="31"/>
      <c r="E8" s="75">
        <v>11004</v>
      </c>
      <c r="F8" s="76" t="s">
        <v>255</v>
      </c>
      <c r="G8" s="52" t="s">
        <v>10</v>
      </c>
      <c r="H8" s="40">
        <v>599.9</v>
      </c>
      <c r="I8" s="40">
        <v>240</v>
      </c>
      <c r="J8" s="31"/>
      <c r="K8" s="76"/>
      <c r="L8" s="90"/>
      <c r="M8" s="45"/>
      <c r="R8" s="1">
        <f>IF(vend13[[#This Row],[Nº Venda]]&gt;1,1,0)</f>
        <v>1</v>
      </c>
    </row>
    <row r="9" spans="2:18" ht="16.5" x14ac:dyDescent="0.3">
      <c r="B9" s="28"/>
      <c r="C9" s="28"/>
      <c r="D9" s="31"/>
      <c r="E9" s="75">
        <v>11005</v>
      </c>
      <c r="F9" s="76" t="s">
        <v>253</v>
      </c>
      <c r="G9" s="52" t="s">
        <v>8</v>
      </c>
      <c r="H9" s="40">
        <v>3590</v>
      </c>
      <c r="I9" s="40">
        <v>3590</v>
      </c>
      <c r="J9" s="31"/>
      <c r="K9" s="76"/>
      <c r="L9" s="90"/>
      <c r="M9" s="45"/>
      <c r="R9" s="1">
        <f>IF(vend13[[#This Row],[Nº Venda]]&gt;1,1,0)</f>
        <v>1</v>
      </c>
    </row>
    <row r="10" spans="2:18" ht="16.5" x14ac:dyDescent="0.3">
      <c r="B10" s="120" t="s">
        <v>5</v>
      </c>
      <c r="C10" s="121"/>
      <c r="D10" s="31"/>
      <c r="E10" s="81">
        <v>11006</v>
      </c>
      <c r="F10" s="52" t="s">
        <v>253</v>
      </c>
      <c r="G10" s="52" t="s">
        <v>36</v>
      </c>
      <c r="H10" s="40"/>
      <c r="I10" s="40"/>
      <c r="J10" s="31"/>
      <c r="K10" s="76"/>
      <c r="L10" s="90"/>
      <c r="M10" s="45"/>
      <c r="R10" s="1">
        <f>IF(vend13[[#This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350</v>
      </c>
      <c r="D11" s="31"/>
      <c r="E11" s="75">
        <v>11007</v>
      </c>
      <c r="F11" s="76" t="s">
        <v>256</v>
      </c>
      <c r="G11" s="52" t="s">
        <v>6</v>
      </c>
      <c r="H11" s="40">
        <v>802</v>
      </c>
      <c r="I11" s="40">
        <v>250</v>
      </c>
      <c r="J11" s="31"/>
      <c r="K11" s="39"/>
      <c r="L11" s="90"/>
      <c r="M11" s="45"/>
      <c r="O11" s="1">
        <f>IF(C16=0,0,1)</f>
        <v>1</v>
      </c>
      <c r="R11" s="1">
        <f>IF(vend13[[#This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1000</v>
      </c>
      <c r="D12" s="31"/>
      <c r="E12" s="75">
        <v>11008</v>
      </c>
      <c r="F12" s="76" t="s">
        <v>257</v>
      </c>
      <c r="G12" s="52" t="s">
        <v>7</v>
      </c>
      <c r="H12" s="40">
        <v>1490</v>
      </c>
      <c r="I12" s="40">
        <v>1000</v>
      </c>
      <c r="J12" s="31"/>
      <c r="K12" s="34"/>
      <c r="L12" s="34"/>
      <c r="M12" s="34"/>
      <c r="R12" s="1">
        <f>IF(vend13[[#This Row],[Nº Venda]]&gt;1,1,0)</f>
        <v>1</v>
      </c>
    </row>
    <row r="13" spans="2:18" ht="16.5" x14ac:dyDescent="0.3">
      <c r="B13" s="29" t="s">
        <v>8</v>
      </c>
      <c r="C13" s="69">
        <f t="shared" si="0"/>
        <v>5920</v>
      </c>
      <c r="D13" s="31"/>
      <c r="E13" s="75">
        <v>11008</v>
      </c>
      <c r="F13" s="76" t="s">
        <v>258</v>
      </c>
      <c r="G13" s="52" t="s">
        <v>8</v>
      </c>
      <c r="H13" s="40"/>
      <c r="I13" s="40">
        <v>490</v>
      </c>
      <c r="J13" s="31"/>
      <c r="K13" s="113" t="s">
        <v>142</v>
      </c>
      <c r="L13" s="114"/>
      <c r="M13" s="115"/>
      <c r="R13" s="1">
        <f>IF(vend13[[#This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11009</v>
      </c>
      <c r="F14" s="76" t="s">
        <v>258</v>
      </c>
      <c r="G14" s="52" t="s">
        <v>8</v>
      </c>
      <c r="H14" s="40">
        <v>480</v>
      </c>
      <c r="I14" s="40">
        <v>25</v>
      </c>
      <c r="J14" s="31"/>
      <c r="K14" s="23" t="s">
        <v>22</v>
      </c>
      <c r="L14" s="24" t="s">
        <v>23</v>
      </c>
      <c r="M14" s="25" t="s">
        <v>24</v>
      </c>
      <c r="R14" s="1">
        <f>IF(vend13[[#This Row],[Nº Venda]]&gt;1,1,0)</f>
        <v>1</v>
      </c>
    </row>
    <row r="15" spans="2:18" ht="16.5" x14ac:dyDescent="0.3">
      <c r="B15" s="29" t="s">
        <v>10</v>
      </c>
      <c r="C15" s="69">
        <f t="shared" si="0"/>
        <v>919</v>
      </c>
      <c r="D15" s="31"/>
      <c r="E15" s="75">
        <v>11010</v>
      </c>
      <c r="F15" s="76" t="s">
        <v>258</v>
      </c>
      <c r="G15" s="52" t="s">
        <v>8</v>
      </c>
      <c r="H15" s="40">
        <v>480</v>
      </c>
      <c r="I15" s="40">
        <v>25</v>
      </c>
      <c r="J15" s="31"/>
      <c r="K15" s="75">
        <v>10882</v>
      </c>
      <c r="L15" s="90" t="s">
        <v>128</v>
      </c>
      <c r="M15" s="45" t="s">
        <v>149</v>
      </c>
      <c r="R15" s="1">
        <f>IF(vend13[[#This Row],[Nº Venda]]&gt;1,1,0)</f>
        <v>1</v>
      </c>
    </row>
    <row r="16" spans="2:18" ht="16.5" x14ac:dyDescent="0.3">
      <c r="B16" s="32" t="s">
        <v>11</v>
      </c>
      <c r="C16" s="70">
        <f>SUM(C11:C15)</f>
        <v>8189</v>
      </c>
      <c r="D16" s="31"/>
      <c r="E16" s="75">
        <v>11011</v>
      </c>
      <c r="F16" s="76" t="s">
        <v>259</v>
      </c>
      <c r="G16" s="52" t="s">
        <v>8</v>
      </c>
      <c r="H16" s="40">
        <v>1390</v>
      </c>
      <c r="I16" s="40">
        <v>1190</v>
      </c>
      <c r="J16" s="31"/>
      <c r="K16" s="75">
        <v>10826</v>
      </c>
      <c r="L16" s="90" t="s">
        <v>130</v>
      </c>
      <c r="M16" s="45" t="s">
        <v>149</v>
      </c>
      <c r="R16" s="1">
        <f>IF(vend13[[#This Row],[Nº Venda]]&gt;1,1,0)</f>
        <v>1</v>
      </c>
    </row>
    <row r="17" spans="2:18" ht="16.5" x14ac:dyDescent="0.3">
      <c r="B17" s="28"/>
      <c r="C17" s="28"/>
      <c r="D17" s="31"/>
      <c r="E17" s="75">
        <v>11011</v>
      </c>
      <c r="F17" s="76" t="s">
        <v>259</v>
      </c>
      <c r="G17" s="52" t="s">
        <v>10</v>
      </c>
      <c r="H17" s="40"/>
      <c r="I17" s="40">
        <v>200</v>
      </c>
      <c r="J17" s="31"/>
      <c r="K17" s="75">
        <v>10958</v>
      </c>
      <c r="L17" s="90" t="s">
        <v>128</v>
      </c>
      <c r="M17" s="45" t="s">
        <v>209</v>
      </c>
      <c r="R17" s="1">
        <f>IF(vend13[[#This Row],[Nº Venda]]&gt;1,1,0)</f>
        <v>1</v>
      </c>
    </row>
    <row r="18" spans="2:18" ht="16.5" x14ac:dyDescent="0.3">
      <c r="B18" s="120" t="s">
        <v>12</v>
      </c>
      <c r="C18" s="121"/>
      <c r="D18" s="31"/>
      <c r="E18" s="75">
        <v>11012</v>
      </c>
      <c r="F18" s="76" t="s">
        <v>259</v>
      </c>
      <c r="G18" s="52" t="s">
        <v>46</v>
      </c>
      <c r="H18" s="40" t="s">
        <v>54</v>
      </c>
      <c r="I18" s="40"/>
      <c r="J18" s="31"/>
      <c r="K18" s="75"/>
      <c r="L18" s="90"/>
      <c r="M18" s="45"/>
      <c r="R18" s="1">
        <f>IF(vend13[[#This Row],[Nº Venda]]&gt;1,1,0)</f>
        <v>1</v>
      </c>
    </row>
    <row r="19" spans="2:18" ht="16.5" x14ac:dyDescent="0.3">
      <c r="B19" s="29">
        <f>COUNT(entr_carn13[OS])</f>
        <v>1</v>
      </c>
      <c r="C19" s="69">
        <f>SUM(entr_carn13[Valor Total])</f>
        <v>370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IF(vend13[[#This Row],[Nº Venda]]&gt;1,1,0)</f>
        <v>0</v>
      </c>
    </row>
    <row r="20" spans="2:18" ht="16.5" x14ac:dyDescent="0.3">
      <c r="B20" s="32" t="s">
        <v>11</v>
      </c>
      <c r="C20" s="70">
        <f>SUM(C19:C19)</f>
        <v>370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IF(vend13[[#This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12230.9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81">
        <v>10991</v>
      </c>
      <c r="F26" s="52" t="s">
        <v>238</v>
      </c>
      <c r="G26" s="52" t="s">
        <v>8</v>
      </c>
      <c r="H26" s="40">
        <v>850</v>
      </c>
      <c r="I26" s="40">
        <v>600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40"/>
      <c r="I35" s="40"/>
      <c r="J35" s="39"/>
      <c r="K35" s="75">
        <v>10958</v>
      </c>
      <c r="L35" s="75">
        <v>6</v>
      </c>
      <c r="M35" s="90">
        <v>370</v>
      </c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13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K15:K31 E26:E31 E35:E41 K35:K41 E6 E8:E22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topLeftCell="C1" zoomScale="90" zoomScaleNormal="90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'13'!B1+1</f>
        <v>45791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1269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1456.12</v>
      </c>
      <c r="D6" s="31"/>
      <c r="E6" s="75">
        <v>11013</v>
      </c>
      <c r="F6" s="76" t="s">
        <v>263</v>
      </c>
      <c r="G6" s="51" t="s">
        <v>36</v>
      </c>
      <c r="H6" s="40"/>
      <c r="I6" s="40"/>
      <c r="J6" s="31"/>
      <c r="K6" s="76" t="s">
        <v>268</v>
      </c>
      <c r="L6" s="90" t="s">
        <v>10</v>
      </c>
      <c r="M6" s="45">
        <v>1.89</v>
      </c>
      <c r="R6" s="1">
        <f>IF(vend14[[#This Row],[Nº Venda]]&gt;1,1,0)</f>
        <v>1</v>
      </c>
    </row>
    <row r="7" spans="2:18" ht="16.5" x14ac:dyDescent="0.3">
      <c r="B7" s="29" t="s">
        <v>3</v>
      </c>
      <c r="C7" s="30">
        <f>SUM(M6:M11)</f>
        <v>1.89</v>
      </c>
      <c r="D7" s="31"/>
      <c r="E7" s="75">
        <v>11014</v>
      </c>
      <c r="F7" s="76" t="s">
        <v>264</v>
      </c>
      <c r="G7" s="52" t="s">
        <v>8</v>
      </c>
      <c r="H7" s="40">
        <v>750</v>
      </c>
      <c r="I7" s="40">
        <v>750</v>
      </c>
      <c r="J7" s="31"/>
      <c r="K7" s="76"/>
      <c r="L7" s="90"/>
      <c r="M7" s="45"/>
      <c r="R7" s="1">
        <f>IF(vend14[[#This Row],[Nº Venda]]&gt;1,1,0)</f>
        <v>1</v>
      </c>
    </row>
    <row r="8" spans="2:18" ht="16.5" x14ac:dyDescent="0.3">
      <c r="B8" s="32" t="s">
        <v>21</v>
      </c>
      <c r="C8" s="33">
        <f>SUM(C6:C7)</f>
        <v>1458.01</v>
      </c>
      <c r="D8" s="31"/>
      <c r="E8" s="75">
        <v>11015</v>
      </c>
      <c r="F8" s="76" t="s">
        <v>273</v>
      </c>
      <c r="G8" s="52" t="s">
        <v>8</v>
      </c>
      <c r="H8" s="40">
        <v>49</v>
      </c>
      <c r="I8" s="40">
        <v>49</v>
      </c>
      <c r="J8" s="31"/>
      <c r="K8" s="76"/>
      <c r="L8" s="90"/>
      <c r="M8" s="45"/>
      <c r="R8" s="1">
        <f>IF(vend14[[#This Row],[Nº Venda]]&gt;1,1,0)</f>
        <v>1</v>
      </c>
    </row>
    <row r="9" spans="2:18" ht="16.5" x14ac:dyDescent="0.3">
      <c r="B9" s="28"/>
      <c r="C9" s="28"/>
      <c r="D9" s="31"/>
      <c r="E9" s="75">
        <v>11016</v>
      </c>
      <c r="F9" s="76" t="s">
        <v>272</v>
      </c>
      <c r="G9" s="52" t="s">
        <v>10</v>
      </c>
      <c r="H9" s="40">
        <v>470</v>
      </c>
      <c r="I9" s="40">
        <v>200</v>
      </c>
      <c r="J9" s="31"/>
      <c r="K9" s="76"/>
      <c r="L9" s="90"/>
      <c r="M9" s="45"/>
      <c r="R9" s="1">
        <f>IF(vend14[[#This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11018</v>
      </c>
      <c r="F10" s="76" t="s">
        <v>262</v>
      </c>
      <c r="G10" s="51" t="s">
        <v>276</v>
      </c>
      <c r="H10" s="40">
        <v>50</v>
      </c>
      <c r="I10" s="40"/>
      <c r="J10" s="31"/>
      <c r="K10" s="76"/>
      <c r="L10" s="90"/>
      <c r="M10" s="45"/>
      <c r="R10" s="1">
        <f>IF(vend14[[#This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1</v>
      </c>
      <c r="R11" s="1">
        <f>IF(vend14[[#This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133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IF(vend14[[#This Row],[Nº Venda]]&gt;1,1,0)</f>
        <v>0</v>
      </c>
    </row>
    <row r="13" spans="2:18" ht="16.5" x14ac:dyDescent="0.3">
      <c r="B13" s="29" t="s">
        <v>8</v>
      </c>
      <c r="C13" s="69">
        <f t="shared" si="0"/>
        <v>799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IF(vend14[[#This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IF(vend14[[#This Row],[Nº Venda]]&gt;1,1,0)</f>
        <v>0</v>
      </c>
    </row>
    <row r="15" spans="2:18" ht="16.5" x14ac:dyDescent="0.3">
      <c r="B15" s="29" t="s">
        <v>10</v>
      </c>
      <c r="C15" s="69">
        <f t="shared" si="0"/>
        <v>524.12</v>
      </c>
      <c r="D15" s="31"/>
      <c r="E15" s="75"/>
      <c r="F15" s="76"/>
      <c r="G15" s="52"/>
      <c r="H15" s="40"/>
      <c r="I15" s="40"/>
      <c r="J15" s="31"/>
      <c r="K15" s="75">
        <v>10891</v>
      </c>
      <c r="L15" s="90" t="s">
        <v>130</v>
      </c>
      <c r="M15" s="45" t="s">
        <v>209</v>
      </c>
      <c r="R15" s="1">
        <f>IF(vend14[[#This Row],[Nº Venda]]&gt;1,1,0)</f>
        <v>0</v>
      </c>
    </row>
    <row r="16" spans="2:18" ht="16.5" x14ac:dyDescent="0.3">
      <c r="B16" s="32" t="s">
        <v>11</v>
      </c>
      <c r="C16" s="70">
        <f>SUM(C11:C15)</f>
        <v>1456.12</v>
      </c>
      <c r="D16" s="31"/>
      <c r="E16" s="75"/>
      <c r="F16" s="76"/>
      <c r="G16" s="52"/>
      <c r="H16" s="40"/>
      <c r="I16" s="40"/>
      <c r="J16" s="31"/>
      <c r="K16" s="75">
        <v>11015</v>
      </c>
      <c r="L16" s="90" t="s">
        <v>130</v>
      </c>
      <c r="M16" s="45" t="s">
        <v>149</v>
      </c>
      <c r="R16" s="1">
        <f>IF(vend14[[#This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11000</v>
      </c>
      <c r="L17" s="90" t="s">
        <v>134</v>
      </c>
      <c r="M17" s="45" t="s">
        <v>149</v>
      </c>
      <c r="R17" s="1">
        <f>IF(vend14[[#This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10914</v>
      </c>
      <c r="L18" s="90" t="s">
        <v>134</v>
      </c>
      <c r="M18" s="45" t="s">
        <v>149</v>
      </c>
      <c r="R18" s="1">
        <f>IF(vend14[[#This Row],[Nº Venda]]&gt;1,1,0)</f>
        <v>0</v>
      </c>
    </row>
    <row r="19" spans="2:18" ht="16.5" x14ac:dyDescent="0.3">
      <c r="B19" s="29">
        <f>COUNT(entr_carn14[OS])</f>
        <v>1</v>
      </c>
      <c r="C19" s="69">
        <f>SUM(entr_carn14[Valor Total])</f>
        <v>805</v>
      </c>
      <c r="D19" s="31"/>
      <c r="E19" s="75"/>
      <c r="F19" s="76"/>
      <c r="G19" s="52"/>
      <c r="H19" s="40"/>
      <c r="I19" s="40"/>
      <c r="J19" s="31"/>
      <c r="K19" s="75">
        <v>10907</v>
      </c>
      <c r="L19" s="90" t="s">
        <v>130</v>
      </c>
      <c r="M19" s="45" t="s">
        <v>149</v>
      </c>
      <c r="R19" s="1">
        <f>IF(vend14[[#This Row],[Nº Venda]]&gt;1,1,0)</f>
        <v>0</v>
      </c>
    </row>
    <row r="20" spans="2:18" ht="16.5" x14ac:dyDescent="0.3">
      <c r="B20" s="32" t="s">
        <v>11</v>
      </c>
      <c r="C20" s="70">
        <f>SUM(C19:C19)</f>
        <v>805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IF(vend14[[#This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1269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2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97">
        <v>10323</v>
      </c>
      <c r="F35" s="80" t="s">
        <v>265</v>
      </c>
      <c r="G35" s="79" t="s">
        <v>7</v>
      </c>
      <c r="H35" s="50">
        <v>133</v>
      </c>
      <c r="I35" s="50" t="s">
        <v>68</v>
      </c>
      <c r="J35" s="39"/>
      <c r="K35" s="75">
        <v>10891</v>
      </c>
      <c r="L35" s="75">
        <v>7</v>
      </c>
      <c r="M35" s="90">
        <v>805</v>
      </c>
    </row>
    <row r="36" spans="2:18" ht="16.5" customHeight="1" x14ac:dyDescent="0.25">
      <c r="B36" s="39"/>
      <c r="C36" s="39"/>
      <c r="D36" s="39"/>
      <c r="E36" s="75">
        <v>10041</v>
      </c>
      <c r="F36" s="76" t="s">
        <v>245</v>
      </c>
      <c r="G36" s="52" t="s">
        <v>10</v>
      </c>
      <c r="H36" s="40">
        <v>200</v>
      </c>
      <c r="I36" s="40" t="s">
        <v>34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>
        <v>10495</v>
      </c>
      <c r="F37" s="76" t="s">
        <v>270</v>
      </c>
      <c r="G37" s="52" t="s">
        <v>10</v>
      </c>
      <c r="H37" s="40">
        <v>124.12</v>
      </c>
      <c r="I37" s="40" t="s">
        <v>78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5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G36:G41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'14'!B1+1</f>
        <v>45792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628.9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2170.9</v>
      </c>
      <c r="D6" s="31"/>
      <c r="E6" s="75">
        <v>11017</v>
      </c>
      <c r="F6" s="76" t="s">
        <v>274</v>
      </c>
      <c r="G6" s="51" t="s">
        <v>36</v>
      </c>
      <c r="H6" s="40"/>
      <c r="I6" s="40"/>
      <c r="J6" s="31"/>
      <c r="K6" s="76" t="s">
        <v>268</v>
      </c>
      <c r="L6" s="90" t="s">
        <v>10</v>
      </c>
      <c r="M6" s="45">
        <v>1.97</v>
      </c>
      <c r="R6" s="1">
        <f>IF(vend15[[#This Row],[Nº Venda]]&gt;1,1,0)</f>
        <v>1</v>
      </c>
    </row>
    <row r="7" spans="2:18" ht="16.5" x14ac:dyDescent="0.3">
      <c r="B7" s="29" t="s">
        <v>3</v>
      </c>
      <c r="C7" s="30">
        <f>SUM(M6:M11)</f>
        <v>125.97</v>
      </c>
      <c r="D7" s="31"/>
      <c r="E7" s="75">
        <v>11019</v>
      </c>
      <c r="F7" s="76" t="s">
        <v>282</v>
      </c>
      <c r="G7" s="51" t="s">
        <v>8</v>
      </c>
      <c r="H7" s="40">
        <v>49.9</v>
      </c>
      <c r="I7" s="40">
        <v>49.9</v>
      </c>
      <c r="J7" s="31"/>
      <c r="K7" s="76" t="s">
        <v>260</v>
      </c>
      <c r="L7" s="90" t="s">
        <v>6</v>
      </c>
      <c r="M7" s="45">
        <v>124</v>
      </c>
      <c r="R7" s="1">
        <f>IF(vend15[[#This Row],[Nº Venda]]&gt;1,1,0)</f>
        <v>1</v>
      </c>
    </row>
    <row r="8" spans="2:18" ht="16.5" x14ac:dyDescent="0.3">
      <c r="B8" s="32" t="s">
        <v>21</v>
      </c>
      <c r="C8" s="33">
        <f>SUM(C6:C7)</f>
        <v>2296.87</v>
      </c>
      <c r="D8" s="31"/>
      <c r="E8" s="75">
        <v>11020</v>
      </c>
      <c r="F8" s="76" t="s">
        <v>283</v>
      </c>
      <c r="G8" s="52" t="s">
        <v>10</v>
      </c>
      <c r="H8" s="40">
        <v>579</v>
      </c>
      <c r="I8" s="40">
        <v>579</v>
      </c>
      <c r="J8" s="31"/>
      <c r="K8" s="76"/>
      <c r="L8" s="90"/>
      <c r="M8" s="45"/>
      <c r="R8" s="1">
        <f>IF(vend15[[#This Row],[Nº Venda]]&gt;1,1,0)</f>
        <v>1</v>
      </c>
    </row>
    <row r="9" spans="2:18" ht="16.5" x14ac:dyDescent="0.3">
      <c r="B9" s="28"/>
      <c r="C9" s="28"/>
      <c r="D9" s="31"/>
      <c r="E9" s="75"/>
      <c r="F9" s="76"/>
      <c r="G9" s="52"/>
      <c r="H9" s="40"/>
      <c r="I9" s="40"/>
      <c r="J9" s="31"/>
      <c r="K9" s="76"/>
      <c r="L9" s="90"/>
      <c r="M9" s="45"/>
      <c r="R9" s="1">
        <f>IF(vend15[[#This Row],[Nº Venda]]&gt;1,1,0)</f>
        <v>0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90"/>
      <c r="M10" s="45"/>
      <c r="R10" s="1">
        <f>IF(vend15[[#This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124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1</v>
      </c>
      <c r="R11" s="1">
        <f>IF(vend15[[#This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800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IF(vend15[[#This Row],[Nº Venda]]&gt;1,1,0)</f>
        <v>0</v>
      </c>
    </row>
    <row r="13" spans="2:18" ht="16.5" x14ac:dyDescent="0.3">
      <c r="B13" s="29" t="s">
        <v>8</v>
      </c>
      <c r="C13" s="69">
        <f t="shared" si="0"/>
        <v>49.9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IF(vend15[[#This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IF(vend15[[#This Row],[Nº Venda]]&gt;1,1,0)</f>
        <v>0</v>
      </c>
    </row>
    <row r="15" spans="2:18" ht="16.5" x14ac:dyDescent="0.3">
      <c r="B15" s="29" t="s">
        <v>10</v>
      </c>
      <c r="C15" s="69">
        <f t="shared" si="0"/>
        <v>1197</v>
      </c>
      <c r="D15" s="31"/>
      <c r="E15" s="75"/>
      <c r="F15" s="76"/>
      <c r="G15" s="52"/>
      <c r="H15" s="40"/>
      <c r="I15" s="40"/>
      <c r="J15" s="31"/>
      <c r="K15" s="75">
        <v>10928</v>
      </c>
      <c r="L15" s="90" t="s">
        <v>128</v>
      </c>
      <c r="M15" s="45" t="s">
        <v>149</v>
      </c>
      <c r="R15" s="1">
        <f>IF(vend15[[#This Row],[Nº Venda]]&gt;1,1,0)</f>
        <v>0</v>
      </c>
    </row>
    <row r="16" spans="2:18" ht="16.5" x14ac:dyDescent="0.3">
      <c r="B16" s="32" t="s">
        <v>11</v>
      </c>
      <c r="C16" s="70">
        <f>SUM(C11:C15)</f>
        <v>2170.9</v>
      </c>
      <c r="D16" s="31"/>
      <c r="E16" s="75"/>
      <c r="F16" s="76"/>
      <c r="G16" s="52"/>
      <c r="H16" s="40"/>
      <c r="I16" s="40"/>
      <c r="J16" s="31"/>
      <c r="K16" s="75">
        <v>10767</v>
      </c>
      <c r="L16" s="90" t="s">
        <v>128</v>
      </c>
      <c r="M16" s="45" t="s">
        <v>149</v>
      </c>
      <c r="R16" s="1">
        <f>IF(vend15[[#This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10952</v>
      </c>
      <c r="L17" s="90" t="s">
        <v>128</v>
      </c>
      <c r="M17" s="45" t="s">
        <v>149</v>
      </c>
      <c r="R17" s="1">
        <f>IF(vend15[[#This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10998</v>
      </c>
      <c r="L18" s="90" t="s">
        <v>128</v>
      </c>
      <c r="M18" s="45" t="s">
        <v>149</v>
      </c>
      <c r="R18" s="1">
        <f>IF(vend15[[#This Row],[Nº Venda]]&gt;1,1,0)</f>
        <v>0</v>
      </c>
    </row>
    <row r="19" spans="2:18" ht="16.5" x14ac:dyDescent="0.3">
      <c r="B19" s="29">
        <f>COUNT(entr_carn15[OS])</f>
        <v>0</v>
      </c>
      <c r="C19" s="69">
        <f>SUM(entr_carn15[Valor Total])</f>
        <v>0</v>
      </c>
      <c r="D19" s="31"/>
      <c r="E19" s="75"/>
      <c r="F19" s="76"/>
      <c r="G19" s="52"/>
      <c r="H19" s="40"/>
      <c r="I19" s="40"/>
      <c r="J19" s="31"/>
      <c r="K19" s="75">
        <v>10907</v>
      </c>
      <c r="L19" s="90" t="s">
        <v>130</v>
      </c>
      <c r="M19" s="45" t="s">
        <v>149</v>
      </c>
      <c r="R19" s="1">
        <f>IF(vend15[[#This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IF(vend15[[#This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628.9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10928</v>
      </c>
      <c r="F26" s="76" t="s">
        <v>275</v>
      </c>
      <c r="G26" s="51" t="s">
        <v>7</v>
      </c>
      <c r="H26" s="40"/>
      <c r="I26" s="40">
        <v>800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10125</v>
      </c>
      <c r="F35" s="76" t="s">
        <v>277</v>
      </c>
      <c r="G35" s="52" t="s">
        <v>10</v>
      </c>
      <c r="H35" s="40">
        <v>68</v>
      </c>
      <c r="I35" s="40" t="s">
        <v>75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>
        <v>10137</v>
      </c>
      <c r="F36" s="76" t="s">
        <v>278</v>
      </c>
      <c r="G36" s="52" t="s">
        <v>6</v>
      </c>
      <c r="H36" s="40">
        <v>124</v>
      </c>
      <c r="I36" s="40" t="s">
        <v>34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>
        <v>9981</v>
      </c>
      <c r="F37" s="76" t="s">
        <v>280</v>
      </c>
      <c r="G37" s="52" t="s">
        <v>10</v>
      </c>
      <c r="H37" s="40">
        <v>150</v>
      </c>
      <c r="I37" s="40" t="s">
        <v>37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>
        <v>9981</v>
      </c>
      <c r="F38" s="76" t="s">
        <v>280</v>
      </c>
      <c r="G38" s="52" t="s">
        <v>10</v>
      </c>
      <c r="H38" s="40">
        <v>150</v>
      </c>
      <c r="I38" s="40" t="s">
        <v>40</v>
      </c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>
        <v>9980</v>
      </c>
      <c r="F39" s="52" t="s">
        <v>281</v>
      </c>
      <c r="G39" s="52" t="s">
        <v>10</v>
      </c>
      <c r="H39" s="40">
        <v>100</v>
      </c>
      <c r="I39" s="40" t="s">
        <v>40</v>
      </c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5">
        <v>9981</v>
      </c>
      <c r="F40" s="76" t="s">
        <v>280</v>
      </c>
      <c r="G40" s="52" t="s">
        <v>10</v>
      </c>
      <c r="H40" s="40">
        <v>150</v>
      </c>
      <c r="I40" s="40" t="s">
        <v>56</v>
      </c>
      <c r="J40" s="39"/>
      <c r="K40" s="77"/>
      <c r="L40" s="77"/>
      <c r="M40" s="91"/>
      <c r="Q40" s="1" t="s">
        <v>33</v>
      </c>
      <c r="R40" s="1">
        <f>SUM(R6:R21)</f>
        <v>3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K15:K31 K35:K41 E35:E41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topLeftCell="C1" zoomScale="90" zoomScaleNormal="9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'15'!B1+1</f>
        <v>45793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3085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2642</v>
      </c>
      <c r="D6" s="31"/>
      <c r="E6" s="75">
        <v>11021</v>
      </c>
      <c r="F6" s="76" t="s">
        <v>284</v>
      </c>
      <c r="G6" s="51" t="s">
        <v>36</v>
      </c>
      <c r="H6" s="40"/>
      <c r="I6" s="40"/>
      <c r="J6" s="31"/>
      <c r="K6" s="76" t="s">
        <v>146</v>
      </c>
      <c r="L6" s="90" t="s">
        <v>10</v>
      </c>
      <c r="M6" s="45">
        <v>3.98</v>
      </c>
      <c r="R6" s="1">
        <f>IF(vend16[[#This Row],[Nº Venda]]&gt;1,1,0)</f>
        <v>1</v>
      </c>
    </row>
    <row r="7" spans="2:18" ht="16.5" x14ac:dyDescent="0.3">
      <c r="B7" s="29" t="s">
        <v>3</v>
      </c>
      <c r="C7" s="30">
        <f>SUM(M6:M11)</f>
        <v>3.98</v>
      </c>
      <c r="D7" s="31"/>
      <c r="E7" s="75">
        <v>11022</v>
      </c>
      <c r="F7" s="76" t="s">
        <v>287</v>
      </c>
      <c r="G7" s="51" t="s">
        <v>7</v>
      </c>
      <c r="H7" s="40">
        <v>896</v>
      </c>
      <c r="I7" s="40">
        <v>25</v>
      </c>
      <c r="J7" s="31"/>
      <c r="K7" s="76"/>
      <c r="L7" s="90"/>
      <c r="M7" s="45"/>
      <c r="R7" s="1">
        <f>IF(vend16[[#This Row],[Nº Venda]]&gt;1,1,0)</f>
        <v>1</v>
      </c>
    </row>
    <row r="8" spans="2:18" ht="16.5" x14ac:dyDescent="0.3">
      <c r="B8" s="32" t="s">
        <v>21</v>
      </c>
      <c r="C8" s="33">
        <f>SUM(C6:C7)</f>
        <v>2645.98</v>
      </c>
      <c r="D8" s="31"/>
      <c r="E8" s="75">
        <v>11023</v>
      </c>
      <c r="F8" s="76" t="s">
        <v>285</v>
      </c>
      <c r="G8" s="52" t="s">
        <v>8</v>
      </c>
      <c r="H8" s="40">
        <v>1000</v>
      </c>
      <c r="I8" s="40">
        <v>1000</v>
      </c>
      <c r="J8" s="31"/>
      <c r="K8" s="76"/>
      <c r="L8" s="90"/>
      <c r="M8" s="45"/>
      <c r="R8" s="1">
        <f>IF(vend16[[#This Row],[Nº Venda]]&gt;1,1,0)</f>
        <v>1</v>
      </c>
    </row>
    <row r="9" spans="2:18" ht="16.5" x14ac:dyDescent="0.3">
      <c r="B9" s="28"/>
      <c r="C9" s="28"/>
      <c r="D9" s="31"/>
      <c r="E9" s="75">
        <v>11024</v>
      </c>
      <c r="F9" s="76" t="s">
        <v>291</v>
      </c>
      <c r="G9" s="52" t="s">
        <v>10</v>
      </c>
      <c r="H9" s="40">
        <v>179</v>
      </c>
      <c r="I9" s="40">
        <v>20</v>
      </c>
      <c r="J9" s="31"/>
      <c r="K9" s="76"/>
      <c r="L9" s="90"/>
      <c r="M9" s="45"/>
      <c r="R9" s="1">
        <f>IF(vend16[[#This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11025</v>
      </c>
      <c r="F10" s="76" t="s">
        <v>287</v>
      </c>
      <c r="G10" s="52" t="s">
        <v>7</v>
      </c>
      <c r="H10" s="40">
        <v>1000</v>
      </c>
      <c r="I10" s="40">
        <v>25</v>
      </c>
      <c r="J10" s="31"/>
      <c r="K10" s="76"/>
      <c r="L10" s="90"/>
      <c r="M10" s="45"/>
      <c r="R10" s="1">
        <f>IF(vend16[[#This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0</v>
      </c>
      <c r="D11" s="31"/>
      <c r="E11" s="75">
        <v>11026</v>
      </c>
      <c r="F11" s="76" t="s">
        <v>286</v>
      </c>
      <c r="G11" s="52" t="s">
        <v>46</v>
      </c>
      <c r="H11" s="40">
        <v>35</v>
      </c>
      <c r="I11" s="40"/>
      <c r="J11" s="31"/>
      <c r="K11" s="39"/>
      <c r="L11" s="90"/>
      <c r="M11" s="45"/>
      <c r="O11" s="1">
        <f>IF(C16=0,0,1)</f>
        <v>1</v>
      </c>
      <c r="R11" s="1">
        <f>IF(vend16[[#This Row],[Nº Venda]]&gt;1,1,0)</f>
        <v>1</v>
      </c>
    </row>
    <row r="12" spans="2:18" ht="16.5" x14ac:dyDescent="0.3">
      <c r="B12" s="29" t="s">
        <v>7</v>
      </c>
      <c r="C12" s="69">
        <f>(SUMIF($G$2:$G$31,B12,$I$2:$I$31))+(SUMIF($G$35:$G$41,B12,$H$35:$H$41))</f>
        <v>50</v>
      </c>
      <c r="D12" s="31"/>
      <c r="E12" s="75">
        <v>11027</v>
      </c>
      <c r="F12" s="76" t="s">
        <v>291</v>
      </c>
      <c r="G12" s="52" t="s">
        <v>10</v>
      </c>
      <c r="H12" s="40">
        <v>10</v>
      </c>
      <c r="I12" s="40">
        <v>10</v>
      </c>
      <c r="J12" s="31"/>
      <c r="K12" s="34"/>
      <c r="L12" s="34"/>
      <c r="M12" s="34"/>
      <c r="R12" s="1">
        <f>IF(vend16[[#This Row],[Nº Venda]]&gt;1,1,0)</f>
        <v>1</v>
      </c>
    </row>
    <row r="13" spans="2:18" ht="16.5" x14ac:dyDescent="0.3">
      <c r="B13" s="29" t="s">
        <v>8</v>
      </c>
      <c r="C13" s="69">
        <f>(SUMIF($G$2:$G$31,B13,$I$2:$I$31))+(SUMIF($G$35:$G$41,B13,$H$35:$H$41))</f>
        <v>2250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IF(vend16[[#This Row],[Nº Venda]]&gt;1,1,0)</f>
        <v>0</v>
      </c>
    </row>
    <row r="14" spans="2:18" ht="16.5" x14ac:dyDescent="0.3">
      <c r="B14" s="29" t="s">
        <v>9</v>
      </c>
      <c r="C14" s="69">
        <f>(SUMIF($G$2:$G$31,B14,$I$2:$I$31))+(SUMIF($G$35:$G$41,B14,$H$35:$H$41))</f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IF(vend16[[#This Row],[Nº Venda]]&gt;1,1,0)</f>
        <v>0</v>
      </c>
    </row>
    <row r="15" spans="2:18" ht="16.5" x14ac:dyDescent="0.3">
      <c r="B15" s="29" t="s">
        <v>10</v>
      </c>
      <c r="C15" s="69">
        <f>(SUMIF($G$2:$G$31,B15,$I$2:$I$31))+(SUMIF($G$35:$G$41,B15,$H$35:$H$41))</f>
        <v>342</v>
      </c>
      <c r="D15" s="31"/>
      <c r="E15" s="75"/>
      <c r="F15" s="76"/>
      <c r="G15" s="52"/>
      <c r="H15" s="40"/>
      <c r="I15" s="40"/>
      <c r="J15" s="31"/>
      <c r="K15" s="75">
        <v>10898</v>
      </c>
      <c r="L15" s="90" t="s">
        <v>130</v>
      </c>
      <c r="M15" s="45" t="s">
        <v>149</v>
      </c>
      <c r="R15" s="1">
        <f>IF(vend16[[#This Row],[Nº Venda]]&gt;1,1,0)</f>
        <v>0</v>
      </c>
    </row>
    <row r="16" spans="2:18" ht="16.5" x14ac:dyDescent="0.3">
      <c r="B16" s="32" t="s">
        <v>11</v>
      </c>
      <c r="C16" s="70">
        <f>SUM(C11:C15)</f>
        <v>2642</v>
      </c>
      <c r="D16" s="31"/>
      <c r="E16" s="75"/>
      <c r="F16" s="76"/>
      <c r="G16" s="52"/>
      <c r="H16" s="40"/>
      <c r="I16" s="40"/>
      <c r="J16" s="31"/>
      <c r="K16" s="75">
        <v>10922</v>
      </c>
      <c r="L16" s="90" t="s">
        <v>128</v>
      </c>
      <c r="M16" s="45" t="s">
        <v>209</v>
      </c>
      <c r="R16" s="1">
        <f>IF(vend16[[#This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10924</v>
      </c>
      <c r="L17" s="90" t="s">
        <v>134</v>
      </c>
      <c r="M17" s="45" t="s">
        <v>149</v>
      </c>
      <c r="R17" s="1">
        <f>IF(vend16[[#This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11024</v>
      </c>
      <c r="L18" s="90" t="s">
        <v>130</v>
      </c>
      <c r="M18" s="45" t="s">
        <v>209</v>
      </c>
      <c r="R18" s="1">
        <f>IF(vend16[[#This Row],[Nº Venda]]&gt;1,1,0)</f>
        <v>0</v>
      </c>
    </row>
    <row r="19" spans="2:18" ht="16.5" x14ac:dyDescent="0.3">
      <c r="B19" s="29">
        <f>COUNT(entr_carn16[OS])</f>
        <v>2</v>
      </c>
      <c r="C19" s="69">
        <f>SUM(entr_carn16[Valor Total])</f>
        <v>668</v>
      </c>
      <c r="D19" s="31"/>
      <c r="E19" s="75"/>
      <c r="F19" s="76"/>
      <c r="G19" s="52"/>
      <c r="H19" s="40"/>
      <c r="I19" s="40"/>
      <c r="J19" s="31"/>
      <c r="K19" s="75">
        <v>11027</v>
      </c>
      <c r="L19" s="90" t="s">
        <v>130</v>
      </c>
      <c r="M19" s="45" t="s">
        <v>149</v>
      </c>
      <c r="R19" s="1">
        <f>IF(vend16[[#This Row],[Nº Venda]]&gt;1,1,0)</f>
        <v>0</v>
      </c>
    </row>
    <row r="20" spans="2:18" ht="16.5" x14ac:dyDescent="0.3">
      <c r="B20" s="32" t="s">
        <v>11</v>
      </c>
      <c r="C20" s="70">
        <f>SUM(C19:C19)</f>
        <v>668</v>
      </c>
      <c r="D20" s="31"/>
      <c r="E20" s="75"/>
      <c r="F20" s="52"/>
      <c r="G20" s="52"/>
      <c r="H20" s="40"/>
      <c r="I20" s="40"/>
      <c r="J20" s="31"/>
      <c r="K20" s="75">
        <v>11016</v>
      </c>
      <c r="L20" s="90" t="s">
        <v>128</v>
      </c>
      <c r="M20" s="45" t="s">
        <v>149</v>
      </c>
      <c r="R20" s="1">
        <f>IF(vend16[[#This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11061</v>
      </c>
      <c r="L21" s="90" t="s">
        <v>130</v>
      </c>
      <c r="M21" s="45" t="s">
        <v>149</v>
      </c>
    </row>
    <row r="22" spans="2:18" ht="16.5" x14ac:dyDescent="0.3">
      <c r="B22" s="32" t="s">
        <v>25</v>
      </c>
      <c r="C22" s="35">
        <f>C5</f>
        <v>3085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11002</v>
      </c>
      <c r="F26" s="76" t="s">
        <v>252</v>
      </c>
      <c r="G26" s="51" t="s">
        <v>8</v>
      </c>
      <c r="H26" s="40"/>
      <c r="I26" s="40">
        <v>1250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81">
        <v>10991</v>
      </c>
      <c r="F27" s="52" t="s">
        <v>238</v>
      </c>
      <c r="G27" s="52" t="s">
        <v>10</v>
      </c>
      <c r="H27" s="40"/>
      <c r="I27" s="40">
        <v>100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10309</v>
      </c>
      <c r="F35" s="76" t="s">
        <v>290</v>
      </c>
      <c r="G35" s="52" t="s">
        <v>10</v>
      </c>
      <c r="H35" s="40">
        <v>106</v>
      </c>
      <c r="I35" s="40" t="s">
        <v>43</v>
      </c>
      <c r="J35" s="39"/>
      <c r="K35" s="75">
        <v>10922</v>
      </c>
      <c r="L35" s="75">
        <v>10</v>
      </c>
      <c r="M35" s="90">
        <v>509</v>
      </c>
    </row>
    <row r="36" spans="2:18" ht="16.5" customHeight="1" x14ac:dyDescent="0.25">
      <c r="B36" s="39"/>
      <c r="C36" s="39"/>
      <c r="D36" s="39"/>
      <c r="E36" s="75">
        <v>10309</v>
      </c>
      <c r="F36" s="76" t="s">
        <v>290</v>
      </c>
      <c r="G36" s="52" t="s">
        <v>10</v>
      </c>
      <c r="H36" s="40">
        <v>106</v>
      </c>
      <c r="I36" s="40" t="s">
        <v>74</v>
      </c>
      <c r="J36" s="39"/>
      <c r="K36" s="75">
        <v>11024</v>
      </c>
      <c r="L36" s="75">
        <v>4</v>
      </c>
      <c r="M36" s="90">
        <v>159</v>
      </c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7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K15:K31 K35:K41 E29:E31 E26:E27 E35:E41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G29:G31 G35:G41 G26:G27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topLeftCell="C4" zoomScale="90" zoomScaleNormal="90" workbookViewId="0">
      <selection activeCell="F27" sqref="F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'16'!B1+1</f>
        <v>45794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5249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4389</v>
      </c>
      <c r="D6" s="31"/>
      <c r="E6" s="75">
        <v>11028</v>
      </c>
      <c r="F6" s="76" t="s">
        <v>293</v>
      </c>
      <c r="G6" s="52" t="s">
        <v>10</v>
      </c>
      <c r="H6" s="40">
        <v>60</v>
      </c>
      <c r="I6" s="40">
        <v>60</v>
      </c>
      <c r="J6" s="31"/>
      <c r="K6" s="76" t="s">
        <v>268</v>
      </c>
      <c r="L6" s="90" t="s">
        <v>10</v>
      </c>
      <c r="M6" s="45">
        <v>3.78</v>
      </c>
      <c r="R6" s="1">
        <f>IF(vend17[[#This Row],[Nº Venda]]&gt;1,1,0)</f>
        <v>1</v>
      </c>
    </row>
    <row r="7" spans="2:18" ht="16.5" x14ac:dyDescent="0.3">
      <c r="B7" s="29" t="s">
        <v>3</v>
      </c>
      <c r="C7" s="30">
        <f>SUM(M6:M11)</f>
        <v>383.78</v>
      </c>
      <c r="D7" s="31"/>
      <c r="E7" s="75">
        <v>11029</v>
      </c>
      <c r="F7" s="76" t="s">
        <v>292</v>
      </c>
      <c r="G7" s="52" t="s">
        <v>6</v>
      </c>
      <c r="H7" s="40">
        <v>899</v>
      </c>
      <c r="I7" s="40">
        <v>50</v>
      </c>
      <c r="J7" s="31"/>
      <c r="K7" s="76" t="s">
        <v>301</v>
      </c>
      <c r="L7" s="90" t="s">
        <v>6</v>
      </c>
      <c r="M7" s="45">
        <v>380</v>
      </c>
      <c r="R7" s="1">
        <f>IF(vend17[[#This Row],[Nº Venda]]&gt;1,1,0)</f>
        <v>1</v>
      </c>
    </row>
    <row r="8" spans="2:18" ht="16.5" x14ac:dyDescent="0.3">
      <c r="B8" s="32" t="s">
        <v>21</v>
      </c>
      <c r="C8" s="33">
        <f>SUM(C6:C7)</f>
        <v>4772.78</v>
      </c>
      <c r="D8" s="31"/>
      <c r="E8" s="75">
        <v>11030</v>
      </c>
      <c r="F8" s="76" t="s">
        <v>295</v>
      </c>
      <c r="G8" s="52" t="s">
        <v>10</v>
      </c>
      <c r="H8" s="40">
        <v>110</v>
      </c>
      <c r="I8" s="40">
        <v>110</v>
      </c>
      <c r="J8" s="31"/>
      <c r="K8" s="76"/>
      <c r="L8" s="90"/>
      <c r="M8" s="45"/>
      <c r="R8" s="1">
        <f>IF(vend17[[#This Row],[Nº Venda]]&gt;1,1,0)</f>
        <v>1</v>
      </c>
    </row>
    <row r="9" spans="2:18" ht="16.5" x14ac:dyDescent="0.3">
      <c r="B9" s="28"/>
      <c r="C9" s="28"/>
      <c r="D9" s="31"/>
      <c r="E9" s="75">
        <v>11031</v>
      </c>
      <c r="F9" s="76" t="s">
        <v>296</v>
      </c>
      <c r="G9" s="52" t="s">
        <v>8</v>
      </c>
      <c r="H9" s="40">
        <v>500</v>
      </c>
      <c r="I9" s="40">
        <v>500</v>
      </c>
      <c r="J9" s="31"/>
      <c r="K9" s="76"/>
      <c r="L9" s="90"/>
      <c r="M9" s="45"/>
      <c r="R9" s="1">
        <f>IF(vend17[[#This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11032</v>
      </c>
      <c r="F10" s="76" t="s">
        <v>297</v>
      </c>
      <c r="G10" s="52" t="s">
        <v>6</v>
      </c>
      <c r="H10" s="40">
        <v>900</v>
      </c>
      <c r="I10" s="40">
        <v>100</v>
      </c>
      <c r="J10" s="31"/>
      <c r="K10" s="76"/>
      <c r="L10" s="90"/>
      <c r="M10" s="45"/>
      <c r="R10" s="1">
        <f>IF(vend17[[#This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380</v>
      </c>
      <c r="D11" s="31"/>
      <c r="E11" s="75">
        <v>11033</v>
      </c>
      <c r="F11" s="76" t="s">
        <v>299</v>
      </c>
      <c r="G11" s="52" t="s">
        <v>8</v>
      </c>
      <c r="H11" s="40">
        <v>750</v>
      </c>
      <c r="I11" s="40">
        <v>750</v>
      </c>
      <c r="J11" s="31"/>
      <c r="K11" s="39"/>
      <c r="L11" s="90"/>
      <c r="M11" s="45"/>
      <c r="O11" s="1">
        <f>IF(C16=0,0,1)</f>
        <v>1</v>
      </c>
      <c r="R11" s="1">
        <f>IF(vend17[[#This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>
        <v>11034</v>
      </c>
      <c r="F12" s="76" t="s">
        <v>299</v>
      </c>
      <c r="G12" s="52" t="s">
        <v>46</v>
      </c>
      <c r="H12" s="40"/>
      <c r="I12" s="40"/>
      <c r="J12" s="31"/>
      <c r="K12" s="34"/>
      <c r="L12" s="34"/>
      <c r="M12" s="34"/>
      <c r="R12" s="1">
        <f>IF(vend17[[#This Row],[Nº Venda]]&gt;1,1,0)</f>
        <v>1</v>
      </c>
    </row>
    <row r="13" spans="2:18" ht="16.5" x14ac:dyDescent="0.3">
      <c r="B13" s="29" t="s">
        <v>8</v>
      </c>
      <c r="C13" s="69">
        <f t="shared" si="0"/>
        <v>3809</v>
      </c>
      <c r="D13" s="31"/>
      <c r="E13" s="75">
        <v>11035</v>
      </c>
      <c r="F13" s="76" t="s">
        <v>299</v>
      </c>
      <c r="G13" s="52" t="s">
        <v>8</v>
      </c>
      <c r="H13" s="40">
        <v>750</v>
      </c>
      <c r="I13" s="40">
        <v>750</v>
      </c>
      <c r="J13" s="31"/>
      <c r="K13" s="113" t="s">
        <v>142</v>
      </c>
      <c r="L13" s="114"/>
      <c r="M13" s="115"/>
      <c r="R13" s="1">
        <f>IF(vend17[[#This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11036</v>
      </c>
      <c r="F14" s="76" t="s">
        <v>299</v>
      </c>
      <c r="G14" s="52" t="s">
        <v>46</v>
      </c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IF(vend17[[#This Row],[Nº Venda]]&gt;1,1,0)</f>
        <v>1</v>
      </c>
    </row>
    <row r="15" spans="2:18" ht="16.5" x14ac:dyDescent="0.3">
      <c r="B15" s="29" t="s">
        <v>10</v>
      </c>
      <c r="C15" s="69">
        <f t="shared" si="0"/>
        <v>200</v>
      </c>
      <c r="D15" s="31"/>
      <c r="E15" s="75">
        <v>11037</v>
      </c>
      <c r="F15" s="76" t="s">
        <v>173</v>
      </c>
      <c r="G15" s="52" t="s">
        <v>36</v>
      </c>
      <c r="H15" s="40"/>
      <c r="I15" s="40"/>
      <c r="J15" s="31"/>
      <c r="K15" s="75">
        <v>10754</v>
      </c>
      <c r="L15" s="90" t="s">
        <v>130</v>
      </c>
      <c r="M15" s="45" t="s">
        <v>149</v>
      </c>
      <c r="R15" s="1">
        <f>IF(vend17[[#This Row],[Nº Venda]]&gt;1,1,0)</f>
        <v>1</v>
      </c>
    </row>
    <row r="16" spans="2:18" ht="16.5" x14ac:dyDescent="0.3">
      <c r="B16" s="32" t="s">
        <v>11</v>
      </c>
      <c r="C16" s="70">
        <f>SUM(C11:C15)</f>
        <v>4389</v>
      </c>
      <c r="D16" s="31"/>
      <c r="E16" s="75">
        <v>11038</v>
      </c>
      <c r="F16" s="76" t="s">
        <v>173</v>
      </c>
      <c r="G16" s="52" t="s">
        <v>10</v>
      </c>
      <c r="H16" s="40">
        <v>270</v>
      </c>
      <c r="I16" s="40">
        <v>30</v>
      </c>
      <c r="J16" s="31"/>
      <c r="K16" s="75">
        <v>10996</v>
      </c>
      <c r="L16" s="90" t="s">
        <v>130</v>
      </c>
      <c r="M16" s="45" t="s">
        <v>149</v>
      </c>
      <c r="R16" s="1">
        <f>IF(vend17[[#This Row],[Nº Venda]]&gt;1,1,0)</f>
        <v>1</v>
      </c>
    </row>
    <row r="17" spans="2:18" ht="16.5" x14ac:dyDescent="0.3">
      <c r="B17" s="28"/>
      <c r="C17" s="28"/>
      <c r="D17" s="31"/>
      <c r="E17" s="75">
        <v>11039</v>
      </c>
      <c r="F17" s="76" t="s">
        <v>298</v>
      </c>
      <c r="G17" s="52" t="s">
        <v>8</v>
      </c>
      <c r="H17" s="40">
        <v>980</v>
      </c>
      <c r="I17" s="40">
        <v>980</v>
      </c>
      <c r="J17" s="31"/>
      <c r="K17" s="75">
        <v>11001</v>
      </c>
      <c r="L17" s="90" t="s">
        <v>130</v>
      </c>
      <c r="M17" s="45" t="s">
        <v>149</v>
      </c>
      <c r="R17" s="1">
        <f>IF(vend17[[#This Row],[Nº Venda]]&gt;1,1,0)</f>
        <v>1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11017</v>
      </c>
      <c r="L18" s="90" t="s">
        <v>128</v>
      </c>
      <c r="M18" s="45" t="s">
        <v>149</v>
      </c>
      <c r="R18" s="1">
        <f>IF(vend17[[#This Row],[Nº Venda]]&gt;1,1,0)</f>
        <v>0</v>
      </c>
    </row>
    <row r="19" spans="2:18" ht="16.5" x14ac:dyDescent="0.3">
      <c r="B19" s="29">
        <f>COUNT(entr_carn17[OS])</f>
        <v>1</v>
      </c>
      <c r="C19" s="69">
        <f>SUM(entr_carn17[Valor Total])</f>
        <v>700</v>
      </c>
      <c r="D19" s="31"/>
      <c r="E19" s="75"/>
      <c r="F19" s="76"/>
      <c r="G19" s="52"/>
      <c r="H19" s="40"/>
      <c r="I19" s="40"/>
      <c r="J19" s="31"/>
      <c r="K19" s="75">
        <v>11028</v>
      </c>
      <c r="L19" s="90" t="s">
        <v>128</v>
      </c>
      <c r="M19" s="45" t="s">
        <v>149</v>
      </c>
      <c r="R19" s="1">
        <f>IF(vend17[[#This Row],[Nº Venda]]&gt;1,1,0)</f>
        <v>0</v>
      </c>
    </row>
    <row r="20" spans="2:18" ht="16.5" x14ac:dyDescent="0.3">
      <c r="B20" s="32" t="s">
        <v>11</v>
      </c>
      <c r="C20" s="70">
        <f>SUM(C19:C19)</f>
        <v>700</v>
      </c>
      <c r="D20" s="31"/>
      <c r="E20" s="75"/>
      <c r="F20" s="52"/>
      <c r="G20" s="52"/>
      <c r="H20" s="40"/>
      <c r="I20" s="40"/>
      <c r="J20" s="31"/>
      <c r="K20" s="75">
        <v>11030</v>
      </c>
      <c r="L20" s="90" t="s">
        <v>130</v>
      </c>
      <c r="M20" s="45" t="s">
        <v>149</v>
      </c>
      <c r="R20" s="1">
        <f>IF(vend17[[#This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5249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11017</v>
      </c>
      <c r="F26" s="76" t="s">
        <v>294</v>
      </c>
      <c r="G26" s="52" t="s">
        <v>6</v>
      </c>
      <c r="H26" s="40">
        <v>30</v>
      </c>
      <c r="I26" s="40">
        <v>30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10978</v>
      </c>
      <c r="F27" s="76" t="s">
        <v>222</v>
      </c>
      <c r="G27" s="52" t="s">
        <v>8</v>
      </c>
      <c r="H27" s="40"/>
      <c r="I27" s="40">
        <v>829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>
        <v>11016</v>
      </c>
      <c r="F28" s="52" t="s">
        <v>300</v>
      </c>
      <c r="G28" s="52" t="s">
        <v>6</v>
      </c>
      <c r="H28" s="40"/>
      <c r="I28" s="40">
        <v>200</v>
      </c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40"/>
      <c r="I35" s="40"/>
      <c r="J35" s="39"/>
      <c r="K35" s="75">
        <v>11032</v>
      </c>
      <c r="L35" s="75">
        <v>7</v>
      </c>
      <c r="M35" s="90">
        <v>700</v>
      </c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12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K15:K31 E35:E41 K35:K41 E26:E27 E29:E31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G35:G41 G29:G31 G26:G27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zoomScale="90" zoomScaleNormal="9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22">
        <f>'17'!B1+1</f>
        <v>45795</v>
      </c>
      <c r="C1" s="122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0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0</v>
      </c>
      <c r="D6" s="31"/>
      <c r="E6" s="75"/>
      <c r="F6" s="76"/>
      <c r="G6" s="52"/>
      <c r="H6" s="40"/>
      <c r="I6" s="40"/>
      <c r="J6" s="31"/>
      <c r="K6" s="76"/>
      <c r="L6" s="42"/>
      <c r="M6" s="45"/>
      <c r="R6" s="1">
        <f>IF(vend18[[#This Row],[Nº Venda]]&gt;1,1,0)</f>
        <v>0</v>
      </c>
    </row>
    <row r="7" spans="2:18" ht="16.5" x14ac:dyDescent="0.3">
      <c r="B7" s="29" t="s">
        <v>3</v>
      </c>
      <c r="C7" s="30">
        <f>SUM(M6:M11)</f>
        <v>0</v>
      </c>
      <c r="D7" s="31"/>
      <c r="E7" s="75"/>
      <c r="F7" s="76"/>
      <c r="G7" s="52"/>
      <c r="H7" s="40"/>
      <c r="I7" s="40"/>
      <c r="J7" s="31"/>
      <c r="K7" s="76"/>
      <c r="L7" s="90"/>
      <c r="M7" s="45"/>
      <c r="R7" s="1">
        <f>IF(vend18[[#This Row],[Nº Venda]]&gt;1,1,0)</f>
        <v>0</v>
      </c>
    </row>
    <row r="8" spans="2:18" ht="16.5" x14ac:dyDescent="0.3">
      <c r="B8" s="32" t="s">
        <v>21</v>
      </c>
      <c r="C8" s="33">
        <f>SUM(C6:C7)</f>
        <v>0</v>
      </c>
      <c r="D8" s="31"/>
      <c r="E8" s="75"/>
      <c r="F8" s="76"/>
      <c r="G8" s="52"/>
      <c r="H8" s="40"/>
      <c r="I8" s="40"/>
      <c r="J8" s="31"/>
      <c r="K8" s="76"/>
      <c r="L8" s="90"/>
      <c r="M8" s="45"/>
      <c r="R8" s="1">
        <f>IF(vend18[[#This Row],[Nº Venda]]&gt;1,1,0)</f>
        <v>0</v>
      </c>
    </row>
    <row r="9" spans="2:18" ht="16.5" x14ac:dyDescent="0.3">
      <c r="B9" s="28"/>
      <c r="C9" s="28"/>
      <c r="D9" s="31"/>
      <c r="E9" s="75"/>
      <c r="F9" s="76"/>
      <c r="G9" s="52"/>
      <c r="H9" s="40"/>
      <c r="I9" s="40"/>
      <c r="J9" s="31"/>
      <c r="K9" s="76"/>
      <c r="L9" s="90"/>
      <c r="M9" s="45"/>
      <c r="R9" s="1">
        <f>IF(vend18[[#This Row],[Nº Venda]]&gt;1,1,0)</f>
        <v>0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90"/>
      <c r="M10" s="45"/>
      <c r="R10" s="1">
        <f>IF(vend18[[#This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IF(vend18[[#This Row],[Nº Venda]]&gt;1,1,0)</f>
        <v>0</v>
      </c>
    </row>
    <row r="13" spans="2:18" ht="16.5" x14ac:dyDescent="0.3">
      <c r="B13" s="29" t="s">
        <v>8</v>
      </c>
      <c r="C13" s="69">
        <f t="shared" si="0"/>
        <v>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IF(vend18[[#This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IF(vend18[[#This Row],[Nº Venda]]&gt;1,1,0)</f>
        <v>0</v>
      </c>
    </row>
    <row r="15" spans="2:18" ht="16.5" x14ac:dyDescent="0.3">
      <c r="B15" s="29" t="s">
        <v>10</v>
      </c>
      <c r="C15" s="69">
        <f t="shared" si="0"/>
        <v>0</v>
      </c>
      <c r="D15" s="31"/>
      <c r="E15" s="75"/>
      <c r="F15" s="76"/>
      <c r="G15" s="52"/>
      <c r="H15" s="40"/>
      <c r="I15" s="40"/>
      <c r="J15" s="31"/>
      <c r="K15" s="75"/>
      <c r="L15" s="90"/>
      <c r="M15" s="45"/>
      <c r="R15" s="1">
        <f>IF(vend18[[#This Row],[Nº Venda]]&gt;1,1,0)</f>
        <v>0</v>
      </c>
    </row>
    <row r="16" spans="2:18" ht="16.5" x14ac:dyDescent="0.3">
      <c r="B16" s="32" t="s">
        <v>11</v>
      </c>
      <c r="C16" s="70">
        <f>SUM(C11:C15)</f>
        <v>0</v>
      </c>
      <c r="D16" s="31"/>
      <c r="E16" s="75"/>
      <c r="F16" s="76"/>
      <c r="G16" s="52"/>
      <c r="H16" s="40"/>
      <c r="I16" s="40"/>
      <c r="J16" s="31"/>
      <c r="K16" s="75"/>
      <c r="L16" s="90"/>
      <c r="M16" s="45"/>
      <c r="R16" s="1">
        <f>IF(vend18[[#This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/>
      <c r="L17" s="90"/>
      <c r="M17" s="45"/>
      <c r="R17" s="1">
        <f>IF(vend18[[#This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/>
      <c r="L18" s="90"/>
      <c r="M18" s="45"/>
      <c r="R18" s="1">
        <f>IF(vend18[[#This Row],[Nº Venda]]&gt;1,1,0)</f>
        <v>0</v>
      </c>
    </row>
    <row r="19" spans="2:18" ht="16.5" x14ac:dyDescent="0.3">
      <c r="B19" s="29">
        <f>COUNT(entr_carn18[OS])</f>
        <v>0</v>
      </c>
      <c r="C19" s="69">
        <f>SUM(entr_carn18[Valor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IF(vend18[[#This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IF(vend18[[#This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0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60"/>
      <c r="G23" s="43"/>
      <c r="H23" s="44"/>
      <c r="I23" s="44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2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40"/>
      <c r="I35" s="40"/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0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zoomScale="90" zoomScaleNormal="90" zoomScaleSheetLayoutView="70" workbookViewId="0">
      <selection activeCell="K12" sqref="K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'18'!B1+1</f>
        <v>45796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7104.77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6451.27</v>
      </c>
      <c r="D6" s="31"/>
      <c r="E6" s="75">
        <v>11040</v>
      </c>
      <c r="F6" s="76" t="s">
        <v>311</v>
      </c>
      <c r="G6" s="52" t="s">
        <v>6</v>
      </c>
      <c r="H6" s="40">
        <v>899</v>
      </c>
      <c r="I6" s="40">
        <v>10</v>
      </c>
      <c r="J6" s="31"/>
      <c r="K6" s="76" t="s">
        <v>146</v>
      </c>
      <c r="L6" s="90" t="s">
        <v>10</v>
      </c>
      <c r="M6" s="45">
        <v>3.59</v>
      </c>
      <c r="R6" s="1">
        <f>IF(vend19[[#This Row],[Nº Venda]]&gt;1,1,0)</f>
        <v>1</v>
      </c>
    </row>
    <row r="7" spans="2:18" ht="16.5" x14ac:dyDescent="0.3">
      <c r="B7" s="29" t="s">
        <v>3</v>
      </c>
      <c r="C7" s="30">
        <f>SUM(M6:M11)</f>
        <v>353.59</v>
      </c>
      <c r="D7" s="31"/>
      <c r="E7" s="75">
        <v>11041</v>
      </c>
      <c r="F7" s="76" t="s">
        <v>304</v>
      </c>
      <c r="G7" s="52" t="s">
        <v>8</v>
      </c>
      <c r="H7" s="40">
        <v>1477.77</v>
      </c>
      <c r="I7" s="40">
        <v>1000</v>
      </c>
      <c r="J7" s="31"/>
      <c r="K7" s="76" t="s">
        <v>309</v>
      </c>
      <c r="L7" s="90" t="s">
        <v>6</v>
      </c>
      <c r="M7" s="45">
        <v>350</v>
      </c>
      <c r="R7" s="1">
        <f>IF(vend19[[#This Row],[Nº Venda]]&gt;1,1,0)</f>
        <v>1</v>
      </c>
    </row>
    <row r="8" spans="2:18" ht="16.5" x14ac:dyDescent="0.3">
      <c r="B8" s="32" t="s">
        <v>21</v>
      </c>
      <c r="C8" s="33">
        <f>SUM(C6:C7)</f>
        <v>6804.8600000000006</v>
      </c>
      <c r="D8" s="31"/>
      <c r="E8" s="75">
        <v>11041</v>
      </c>
      <c r="F8" s="76" t="s">
        <v>304</v>
      </c>
      <c r="G8" s="52" t="s">
        <v>8</v>
      </c>
      <c r="H8" s="40"/>
      <c r="I8" s="40">
        <v>477.77</v>
      </c>
      <c r="J8" s="31"/>
      <c r="K8" s="76"/>
      <c r="L8" s="90"/>
      <c r="M8" s="45"/>
      <c r="R8" s="1">
        <f>IF(vend19[[#This Row],[Nº Venda]]&gt;1,1,0)</f>
        <v>1</v>
      </c>
    </row>
    <row r="9" spans="2:18" ht="16.5" x14ac:dyDescent="0.3">
      <c r="B9" s="28"/>
      <c r="C9" s="28"/>
      <c r="D9" s="31"/>
      <c r="E9" s="75">
        <v>11042</v>
      </c>
      <c r="F9" s="76" t="s">
        <v>305</v>
      </c>
      <c r="G9" s="52" t="s">
        <v>8</v>
      </c>
      <c r="H9" s="40">
        <v>900</v>
      </c>
      <c r="I9" s="40">
        <v>900</v>
      </c>
      <c r="J9" s="31"/>
      <c r="K9" s="76"/>
      <c r="L9" s="90"/>
      <c r="M9" s="45"/>
      <c r="R9" s="1">
        <f>IF(vend19[[#This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11043</v>
      </c>
      <c r="F10" s="76" t="s">
        <v>308</v>
      </c>
      <c r="G10" s="52" t="s">
        <v>8</v>
      </c>
      <c r="H10" s="40">
        <v>950</v>
      </c>
      <c r="I10" s="40">
        <v>300</v>
      </c>
      <c r="J10" s="31"/>
      <c r="K10" s="76"/>
      <c r="L10" s="90"/>
      <c r="M10" s="45"/>
      <c r="R10" s="1">
        <f>IF(vend19[[#This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359</v>
      </c>
      <c r="D11" s="31"/>
      <c r="E11" s="75">
        <v>11044</v>
      </c>
      <c r="F11" s="76" t="s">
        <v>308</v>
      </c>
      <c r="G11" s="52" t="s">
        <v>8</v>
      </c>
      <c r="H11" s="40">
        <v>150</v>
      </c>
      <c r="I11" s="40">
        <v>30</v>
      </c>
      <c r="J11" s="31"/>
      <c r="K11" s="39"/>
      <c r="L11" s="90"/>
      <c r="M11" s="45"/>
      <c r="O11" s="1">
        <f>IF(C16=0,0,1)</f>
        <v>1</v>
      </c>
      <c r="R11" s="1">
        <f>IF(vend19[[#This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>
        <v>11045</v>
      </c>
      <c r="F12" s="76" t="s">
        <v>310</v>
      </c>
      <c r="G12" s="52" t="s">
        <v>36</v>
      </c>
      <c r="H12" s="40"/>
      <c r="I12" s="40"/>
      <c r="J12" s="31"/>
      <c r="K12" s="34"/>
      <c r="L12" s="34"/>
      <c r="M12" s="34"/>
      <c r="R12" s="1">
        <f>IF(vend19[[#This Row],[Nº Venda]]&gt;1,1,0)</f>
        <v>1</v>
      </c>
    </row>
    <row r="13" spans="2:18" ht="16.5" x14ac:dyDescent="0.3">
      <c r="B13" s="29" t="s">
        <v>8</v>
      </c>
      <c r="C13" s="69">
        <f t="shared" si="0"/>
        <v>5859.77</v>
      </c>
      <c r="D13" s="31"/>
      <c r="E13" s="75">
        <v>11046</v>
      </c>
      <c r="F13" s="76" t="s">
        <v>306</v>
      </c>
      <c r="G13" s="52" t="s">
        <v>10</v>
      </c>
      <c r="H13" s="40">
        <v>160</v>
      </c>
      <c r="I13" s="40">
        <v>160</v>
      </c>
      <c r="J13" s="31"/>
      <c r="K13" s="113" t="s">
        <v>142</v>
      </c>
      <c r="L13" s="114"/>
      <c r="M13" s="115"/>
      <c r="R13" s="1">
        <f>IF(vend19[[#This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11047</v>
      </c>
      <c r="F14" s="76" t="s">
        <v>307</v>
      </c>
      <c r="G14" s="52" t="s">
        <v>8</v>
      </c>
      <c r="H14" s="40">
        <v>590</v>
      </c>
      <c r="I14" s="40">
        <v>295</v>
      </c>
      <c r="J14" s="31"/>
      <c r="K14" s="23" t="s">
        <v>22</v>
      </c>
      <c r="L14" s="24" t="s">
        <v>23</v>
      </c>
      <c r="M14" s="25" t="s">
        <v>24</v>
      </c>
      <c r="R14" s="1">
        <f>IF(vend19[[#This Row],[Nº Venda]]&gt;1,1,0)</f>
        <v>1</v>
      </c>
    </row>
    <row r="15" spans="2:18" ht="16.5" x14ac:dyDescent="0.3">
      <c r="B15" s="29" t="s">
        <v>10</v>
      </c>
      <c r="C15" s="69">
        <f t="shared" si="0"/>
        <v>232.5</v>
      </c>
      <c r="D15" s="31"/>
      <c r="E15" s="75"/>
      <c r="F15" s="76"/>
      <c r="G15" s="52"/>
      <c r="H15" s="40"/>
      <c r="I15" s="40"/>
      <c r="J15" s="31"/>
      <c r="K15" s="75">
        <v>10884</v>
      </c>
      <c r="L15" s="90" t="s">
        <v>128</v>
      </c>
      <c r="M15" s="45" t="s">
        <v>149</v>
      </c>
      <c r="R15" s="1">
        <f>IF(vend19[[#This Row],[Nº Venda]]&gt;1,1,0)</f>
        <v>0</v>
      </c>
    </row>
    <row r="16" spans="2:18" ht="16.5" x14ac:dyDescent="0.3">
      <c r="B16" s="32" t="s">
        <v>11</v>
      </c>
      <c r="C16" s="70">
        <f>SUM(C11:C15)</f>
        <v>6451.27</v>
      </c>
      <c r="D16" s="31"/>
      <c r="E16" s="75">
        <v>11048</v>
      </c>
      <c r="F16" s="76" t="s">
        <v>312</v>
      </c>
      <c r="G16" s="52" t="s">
        <v>8</v>
      </c>
      <c r="H16" s="40">
        <v>1179</v>
      </c>
      <c r="I16" s="40">
        <v>1179</v>
      </c>
      <c r="J16" s="31"/>
      <c r="K16" s="75">
        <v>10965</v>
      </c>
      <c r="L16" s="90" t="s">
        <v>128</v>
      </c>
      <c r="M16" s="45" t="s">
        <v>149</v>
      </c>
      <c r="R16" s="1">
        <f>IF(vend19[[#This Row],[Nº Venda]]&gt;1,1,0)</f>
        <v>1</v>
      </c>
    </row>
    <row r="17" spans="2:22" ht="16.5" x14ac:dyDescent="0.3">
      <c r="B17" s="28"/>
      <c r="C17" s="28"/>
      <c r="D17" s="31"/>
      <c r="E17" s="75">
        <v>11049</v>
      </c>
      <c r="F17" s="76" t="s">
        <v>313</v>
      </c>
      <c r="G17" s="52" t="s">
        <v>8</v>
      </c>
      <c r="H17" s="40">
        <v>799</v>
      </c>
      <c r="I17" s="40">
        <v>799</v>
      </c>
      <c r="J17" s="31"/>
      <c r="K17" s="75">
        <v>10977</v>
      </c>
      <c r="L17" s="90" t="s">
        <v>134</v>
      </c>
      <c r="M17" s="45" t="s">
        <v>149</v>
      </c>
      <c r="R17" s="1">
        <f>IF(vend19[[#This Row],[Nº Venda]]&gt;1,1,0)</f>
        <v>1</v>
      </c>
    </row>
    <row r="18" spans="2:22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10981</v>
      </c>
      <c r="L18" s="90" t="s">
        <v>128</v>
      </c>
      <c r="M18" s="45" t="s">
        <v>149</v>
      </c>
      <c r="R18" s="1">
        <f>IF(vend19[[#This Row],[Nº Venda]]&gt;1,1,0)</f>
        <v>0</v>
      </c>
    </row>
    <row r="19" spans="2:22" ht="16.5" x14ac:dyDescent="0.3">
      <c r="B19" s="29">
        <f>COUNT(entr_carn19[OS])</f>
        <v>0</v>
      </c>
      <c r="C19" s="69">
        <f>SUM(entr_carn19[Valor Total])</f>
        <v>0</v>
      </c>
      <c r="D19" s="31"/>
      <c r="E19" s="75"/>
      <c r="F19" s="76"/>
      <c r="G19" s="52"/>
      <c r="H19" s="40"/>
      <c r="I19" s="40"/>
      <c r="J19" s="31"/>
      <c r="K19" s="75">
        <v>10998</v>
      </c>
      <c r="L19" s="90" t="s">
        <v>134</v>
      </c>
      <c r="M19" s="45" t="s">
        <v>149</v>
      </c>
      <c r="R19" s="1">
        <f>IF(vend19[[#This Row],[Nº Venda]]&gt;1,1,0)</f>
        <v>0</v>
      </c>
    </row>
    <row r="20" spans="2:22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>
        <v>11013</v>
      </c>
      <c r="L20" s="90" t="s">
        <v>130</v>
      </c>
      <c r="M20" s="45" t="s">
        <v>149</v>
      </c>
      <c r="R20" s="1">
        <f>IF(vend19[[#This Row],[Nº Venda]]&gt;1,1,0)</f>
        <v>0</v>
      </c>
      <c r="V20" s="1" t="s">
        <v>54</v>
      </c>
    </row>
    <row r="21" spans="2:22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11046</v>
      </c>
      <c r="L21" s="90" t="s">
        <v>130</v>
      </c>
      <c r="M21" s="45" t="s">
        <v>149</v>
      </c>
    </row>
    <row r="22" spans="2:22" ht="16.5" x14ac:dyDescent="0.3">
      <c r="B22" s="32" t="s">
        <v>25</v>
      </c>
      <c r="C22" s="35">
        <f>C5</f>
        <v>7104.77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22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22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22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22" ht="16.5" x14ac:dyDescent="0.3">
      <c r="B26" s="31"/>
      <c r="C26" s="31"/>
      <c r="D26" s="31"/>
      <c r="E26" s="75">
        <v>11029</v>
      </c>
      <c r="F26" s="76" t="s">
        <v>292</v>
      </c>
      <c r="G26" s="52" t="s">
        <v>6</v>
      </c>
      <c r="H26" s="40"/>
      <c r="I26" s="40">
        <v>349</v>
      </c>
      <c r="J26" s="31"/>
      <c r="K26" s="75"/>
      <c r="L26" s="90"/>
      <c r="M26" s="45"/>
    </row>
    <row r="27" spans="2:22" ht="16.5" x14ac:dyDescent="0.3">
      <c r="B27" s="31"/>
      <c r="C27" s="31"/>
      <c r="D27" s="31"/>
      <c r="E27" s="75">
        <v>10965</v>
      </c>
      <c r="F27" s="76" t="s">
        <v>303</v>
      </c>
      <c r="G27" s="52" t="s">
        <v>8</v>
      </c>
      <c r="H27" s="40"/>
      <c r="I27" s="40">
        <v>879</v>
      </c>
      <c r="J27" s="31"/>
      <c r="K27" s="75"/>
      <c r="L27" s="90"/>
      <c r="M27" s="45"/>
    </row>
    <row r="28" spans="2:22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22" ht="16.5" x14ac:dyDescent="0.3">
      <c r="B29" s="31"/>
      <c r="C29" s="31"/>
      <c r="D29" s="31"/>
      <c r="E29" s="75"/>
      <c r="F29" s="76"/>
      <c r="G29" s="52"/>
      <c r="H29" s="52"/>
      <c r="I29" s="40"/>
      <c r="J29" s="31"/>
      <c r="K29" s="75"/>
      <c r="L29" s="90"/>
      <c r="M29" s="45"/>
    </row>
    <row r="30" spans="2:22" ht="16.5" x14ac:dyDescent="0.3">
      <c r="B30" s="31"/>
      <c r="C30" s="31"/>
      <c r="D30" s="31"/>
      <c r="E30" s="75"/>
      <c r="F30" s="76"/>
      <c r="G30" s="52"/>
      <c r="H30" s="40"/>
      <c r="I30" s="40"/>
      <c r="J30" s="31"/>
      <c r="K30" s="75"/>
      <c r="L30" s="90"/>
      <c r="M30" s="45"/>
    </row>
    <row r="31" spans="2:22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22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9845</v>
      </c>
      <c r="F35" s="76" t="s">
        <v>302</v>
      </c>
      <c r="G35" s="52" t="s">
        <v>10</v>
      </c>
      <c r="H35" s="40">
        <v>72.5</v>
      </c>
      <c r="I35" s="40" t="s">
        <v>39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11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E26:E31 K15:K31 E35:E41 K35:K41 E6:E22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G27:G28 G30:G31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G26 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topLeftCell="C1" zoomScale="90" zoomScaleNormal="9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22">
        <f>'19'!B1+1</f>
        <v>45797</v>
      </c>
      <c r="C1" s="122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5158.8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3104.92</v>
      </c>
      <c r="D6" s="31"/>
      <c r="E6" s="75">
        <v>11050</v>
      </c>
      <c r="F6" s="76" t="s">
        <v>316</v>
      </c>
      <c r="G6" s="52" t="s">
        <v>10</v>
      </c>
      <c r="H6" s="40">
        <v>400</v>
      </c>
      <c r="I6" s="40">
        <v>200</v>
      </c>
      <c r="J6" s="31"/>
      <c r="K6" s="76" t="s">
        <v>315</v>
      </c>
      <c r="L6" s="90" t="s">
        <v>10</v>
      </c>
      <c r="M6" s="45">
        <v>2.56</v>
      </c>
      <c r="R6" s="1">
        <f>IF(vend20[[#This Row],[Nº Venda]]&gt;1,1,0)</f>
        <v>1</v>
      </c>
    </row>
    <row r="7" spans="2:18" ht="16.5" x14ac:dyDescent="0.3">
      <c r="B7" s="29" t="s">
        <v>3</v>
      </c>
      <c r="C7" s="30">
        <f>SUM(M6:M11)</f>
        <v>12.56</v>
      </c>
      <c r="D7" s="31"/>
      <c r="E7" s="75">
        <v>11051</v>
      </c>
      <c r="F7" s="76" t="s">
        <v>316</v>
      </c>
      <c r="G7" s="52" t="s">
        <v>10</v>
      </c>
      <c r="H7" s="40">
        <v>1090</v>
      </c>
      <c r="I7" s="40">
        <v>300</v>
      </c>
      <c r="J7" s="31"/>
      <c r="K7" s="76" t="s">
        <v>289</v>
      </c>
      <c r="L7" s="90" t="s">
        <v>6</v>
      </c>
      <c r="M7" s="45">
        <v>10</v>
      </c>
      <c r="R7" s="1">
        <f>IF(vend20[[#This Row],[Nº Venda]]&gt;1,1,0)</f>
        <v>1</v>
      </c>
    </row>
    <row r="8" spans="2:18" ht="16.5" x14ac:dyDescent="0.3">
      <c r="B8" s="32" t="s">
        <v>21</v>
      </c>
      <c r="C8" s="33">
        <f>SUM(C6:C7)</f>
        <v>3117.48</v>
      </c>
      <c r="D8" s="31"/>
      <c r="E8" s="75">
        <v>11052</v>
      </c>
      <c r="F8" s="76" t="s">
        <v>317</v>
      </c>
      <c r="G8" s="52" t="s">
        <v>7</v>
      </c>
      <c r="H8" s="40">
        <v>1999</v>
      </c>
      <c r="I8" s="40">
        <v>1999</v>
      </c>
      <c r="J8" s="31"/>
      <c r="K8" s="76"/>
      <c r="L8" s="90"/>
      <c r="M8" s="45"/>
      <c r="R8" s="1">
        <f>IF(vend20[[#This Row],[Nº Venda]]&gt;1,1,0)</f>
        <v>1</v>
      </c>
    </row>
    <row r="9" spans="2:18" ht="16.5" x14ac:dyDescent="0.3">
      <c r="B9" s="28"/>
      <c r="C9" s="28"/>
      <c r="D9" s="31"/>
      <c r="E9" s="75">
        <v>11053</v>
      </c>
      <c r="F9" s="76" t="s">
        <v>314</v>
      </c>
      <c r="G9" s="52" t="s">
        <v>10</v>
      </c>
      <c r="H9" s="40">
        <v>60</v>
      </c>
      <c r="I9" s="40">
        <v>60</v>
      </c>
      <c r="J9" s="31"/>
      <c r="K9" s="76"/>
      <c r="L9" s="90"/>
      <c r="M9" s="45"/>
      <c r="R9" s="1">
        <f>IF(vend20[[#This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11054</v>
      </c>
      <c r="F10" s="76" t="s">
        <v>321</v>
      </c>
      <c r="G10" s="52" t="s">
        <v>10</v>
      </c>
      <c r="H10" s="40">
        <v>930</v>
      </c>
      <c r="I10" s="40">
        <v>200</v>
      </c>
      <c r="J10" s="31"/>
      <c r="K10" s="76"/>
      <c r="L10" s="90"/>
      <c r="M10" s="45"/>
      <c r="R10" s="1">
        <f>IF(vend20[[#This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10</v>
      </c>
      <c r="D11" s="31"/>
      <c r="E11" s="75">
        <v>11055</v>
      </c>
      <c r="F11" s="76" t="s">
        <v>318</v>
      </c>
      <c r="G11" s="52" t="s">
        <v>7</v>
      </c>
      <c r="H11" s="40">
        <v>9.8000000000000007</v>
      </c>
      <c r="I11" s="40">
        <v>9.8000000000000007</v>
      </c>
      <c r="J11" s="31"/>
      <c r="K11" s="39"/>
      <c r="L11" s="90"/>
      <c r="M11" s="45"/>
      <c r="O11" s="1">
        <f>IF(C16=0,0,1)</f>
        <v>1</v>
      </c>
      <c r="R11" s="1">
        <f>IF(vend20[[#This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2043.8</v>
      </c>
      <c r="D12" s="31"/>
      <c r="E12" s="75">
        <v>11056</v>
      </c>
      <c r="F12" s="76" t="s">
        <v>319</v>
      </c>
      <c r="G12" s="52" t="s">
        <v>36</v>
      </c>
      <c r="H12" s="40">
        <v>0</v>
      </c>
      <c r="I12" s="40">
        <v>0</v>
      </c>
      <c r="J12" s="31"/>
      <c r="K12" s="34"/>
      <c r="L12" s="34"/>
      <c r="M12" s="34"/>
      <c r="R12" s="1">
        <f>IF(vend20[[#This Row],[Nº Venda]]&gt;1,1,0)</f>
        <v>1</v>
      </c>
    </row>
    <row r="13" spans="2:18" ht="16.5" x14ac:dyDescent="0.3">
      <c r="B13" s="29" t="s">
        <v>8</v>
      </c>
      <c r="C13" s="69">
        <f t="shared" si="0"/>
        <v>0</v>
      </c>
      <c r="D13" s="31"/>
      <c r="E13" s="75">
        <v>11057</v>
      </c>
      <c r="F13" s="76" t="s">
        <v>320</v>
      </c>
      <c r="G13" s="52" t="s">
        <v>7</v>
      </c>
      <c r="H13" s="40">
        <v>35</v>
      </c>
      <c r="I13" s="40">
        <v>35</v>
      </c>
      <c r="J13" s="31"/>
      <c r="K13" s="113" t="s">
        <v>142</v>
      </c>
      <c r="L13" s="114"/>
      <c r="M13" s="115"/>
      <c r="R13" s="1">
        <f>IF(vend20[[#This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11058</v>
      </c>
      <c r="F14" s="76" t="s">
        <v>322</v>
      </c>
      <c r="G14" s="52" t="s">
        <v>10</v>
      </c>
      <c r="H14" s="40">
        <v>600</v>
      </c>
      <c r="I14" s="40">
        <v>120</v>
      </c>
      <c r="J14" s="31"/>
      <c r="K14" s="23" t="s">
        <v>22</v>
      </c>
      <c r="L14" s="24" t="s">
        <v>23</v>
      </c>
      <c r="M14" s="25" t="s">
        <v>24</v>
      </c>
      <c r="R14" s="1">
        <f>IF(vend20[[#This Row],[Nº Venda]]&gt;1,1,0)</f>
        <v>1</v>
      </c>
    </row>
    <row r="15" spans="2:18" ht="16.5" x14ac:dyDescent="0.3">
      <c r="B15" s="29" t="s">
        <v>10</v>
      </c>
      <c r="C15" s="69">
        <f t="shared" si="0"/>
        <v>1051.1199999999999</v>
      </c>
      <c r="D15" s="31"/>
      <c r="E15" s="75">
        <v>11059</v>
      </c>
      <c r="F15" s="76" t="s">
        <v>323</v>
      </c>
      <c r="G15" s="52" t="s">
        <v>46</v>
      </c>
      <c r="H15" s="40">
        <v>0</v>
      </c>
      <c r="I15" s="40">
        <v>0</v>
      </c>
      <c r="J15" s="31"/>
      <c r="K15" s="75">
        <v>10562</v>
      </c>
      <c r="L15" s="90" t="s">
        <v>123</v>
      </c>
      <c r="M15" s="45" t="s">
        <v>209</v>
      </c>
      <c r="R15" s="1">
        <f>IF(vend20[[#This Row],[Nº Venda]]&gt;1,1,0)</f>
        <v>1</v>
      </c>
    </row>
    <row r="16" spans="2:18" ht="16.5" x14ac:dyDescent="0.3">
      <c r="B16" s="32" t="s">
        <v>11</v>
      </c>
      <c r="C16" s="70">
        <f>SUM(C11:C15)</f>
        <v>3104.92</v>
      </c>
      <c r="D16" s="31"/>
      <c r="E16" s="75"/>
      <c r="F16" s="76"/>
      <c r="G16" s="52"/>
      <c r="H16" s="40"/>
      <c r="I16" s="40"/>
      <c r="J16" s="31"/>
      <c r="K16" s="75">
        <v>10563</v>
      </c>
      <c r="L16" s="90" t="s">
        <v>128</v>
      </c>
      <c r="M16" s="45" t="s">
        <v>149</v>
      </c>
      <c r="R16" s="1">
        <f>IF(vend20[[#This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10897</v>
      </c>
      <c r="L17" s="90" t="s">
        <v>130</v>
      </c>
      <c r="M17" s="45" t="s">
        <v>149</v>
      </c>
      <c r="R17" s="1">
        <f>IF(vend20[[#This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10912</v>
      </c>
      <c r="L18" s="90" t="s">
        <v>134</v>
      </c>
      <c r="M18" s="45" t="s">
        <v>149</v>
      </c>
      <c r="R18" s="1">
        <f>IF(vend20[[#This Row],[Nº Venda]]&gt;1,1,0)</f>
        <v>0</v>
      </c>
    </row>
    <row r="19" spans="2:18" ht="16.5" x14ac:dyDescent="0.3">
      <c r="B19" s="29">
        <f>COUNT(entr_carn20[OS])</f>
        <v>1</v>
      </c>
      <c r="C19" s="69">
        <f>SUM(entr_carn20[Valor Total])</f>
        <v>439</v>
      </c>
      <c r="D19" s="31"/>
      <c r="E19" s="75"/>
      <c r="F19" s="76"/>
      <c r="G19" s="52"/>
      <c r="H19" s="40"/>
      <c r="I19" s="40"/>
      <c r="J19" s="31"/>
      <c r="K19" s="75">
        <v>10972</v>
      </c>
      <c r="L19" s="90" t="s">
        <v>128</v>
      </c>
      <c r="M19" s="45" t="s">
        <v>149</v>
      </c>
      <c r="R19" s="1">
        <f>IF(vend20[[#This Row],[Nº Venda]]&gt;1,1,0)</f>
        <v>0</v>
      </c>
    </row>
    <row r="20" spans="2:18" ht="16.5" x14ac:dyDescent="0.3">
      <c r="B20" s="32" t="s">
        <v>11</v>
      </c>
      <c r="C20" s="70">
        <f>SUM(C19:C19)</f>
        <v>439</v>
      </c>
      <c r="D20" s="31"/>
      <c r="E20" s="75"/>
      <c r="F20" s="52"/>
      <c r="G20" s="52"/>
      <c r="H20" s="40"/>
      <c r="I20" s="40"/>
      <c r="J20" s="31"/>
      <c r="K20" s="75">
        <v>10982</v>
      </c>
      <c r="L20" s="90" t="s">
        <v>134</v>
      </c>
      <c r="M20" s="45" t="s">
        <v>149</v>
      </c>
      <c r="R20" s="1">
        <f>IF(vend20[[#This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11026</v>
      </c>
      <c r="L21" s="90" t="s">
        <v>128</v>
      </c>
      <c r="M21" s="45" t="s">
        <v>149</v>
      </c>
    </row>
    <row r="22" spans="2:18" ht="16.5" x14ac:dyDescent="0.3">
      <c r="B22" s="32" t="s">
        <v>25</v>
      </c>
      <c r="C22" s="35">
        <f>C5</f>
        <v>5158.8</v>
      </c>
      <c r="D22" s="31"/>
      <c r="E22" s="77"/>
      <c r="F22" s="76"/>
      <c r="G22" s="52"/>
      <c r="H22" s="40"/>
      <c r="I22" s="40"/>
      <c r="J22" s="31"/>
      <c r="K22" s="75">
        <v>11045</v>
      </c>
      <c r="L22" s="90" t="s">
        <v>134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>
        <v>11053</v>
      </c>
      <c r="L23" s="90" t="s">
        <v>128</v>
      </c>
      <c r="M23" s="45" t="s">
        <v>149</v>
      </c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>
        <v>11055</v>
      </c>
      <c r="L24" s="90" t="s">
        <v>130</v>
      </c>
      <c r="M24" s="45" t="s">
        <v>149</v>
      </c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>
        <v>11056</v>
      </c>
      <c r="L25" s="90" t="s">
        <v>130</v>
      </c>
      <c r="M25" s="45" t="s">
        <v>149</v>
      </c>
    </row>
    <row r="26" spans="2:18" ht="16.5" x14ac:dyDescent="0.3">
      <c r="B26" s="31"/>
      <c r="C26" s="31"/>
      <c r="D26" s="31"/>
      <c r="E26" s="75">
        <v>10562</v>
      </c>
      <c r="F26" s="76" t="s">
        <v>325</v>
      </c>
      <c r="G26" s="52" t="s">
        <v>6</v>
      </c>
      <c r="H26" s="40">
        <v>0</v>
      </c>
      <c r="I26" s="40">
        <v>10</v>
      </c>
      <c r="J26" s="31"/>
      <c r="K26" s="75">
        <v>11057</v>
      </c>
      <c r="L26" s="90" t="s">
        <v>130</v>
      </c>
      <c r="M26" s="45" t="s">
        <v>149</v>
      </c>
    </row>
    <row r="27" spans="2:18" ht="16.5" x14ac:dyDescent="0.3">
      <c r="B27" s="31"/>
      <c r="C27" s="31"/>
      <c r="D27" s="31"/>
      <c r="E27" s="75">
        <v>11026</v>
      </c>
      <c r="F27" s="76" t="s">
        <v>338</v>
      </c>
      <c r="G27" s="52" t="s">
        <v>10</v>
      </c>
      <c r="H27" s="40">
        <v>35</v>
      </c>
      <c r="I27" s="40">
        <v>35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10337</v>
      </c>
      <c r="F35" s="76" t="s">
        <v>324</v>
      </c>
      <c r="G35" s="52" t="s">
        <v>10</v>
      </c>
      <c r="H35" s="40">
        <v>136.12</v>
      </c>
      <c r="I35" s="40" t="s">
        <v>53</v>
      </c>
      <c r="J35" s="39"/>
      <c r="K35" s="75">
        <v>10562</v>
      </c>
      <c r="L35" s="75">
        <v>5</v>
      </c>
      <c r="M35" s="90">
        <v>439</v>
      </c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10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topLeftCell="C1" zoomScale="90" zoomScaleNormal="9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'20'!B1+1</f>
        <v>45798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3438.99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2849.9700000000003</v>
      </c>
      <c r="D6" s="31"/>
      <c r="E6" s="75">
        <v>11060</v>
      </c>
      <c r="F6" s="76" t="s">
        <v>326</v>
      </c>
      <c r="G6" s="52" t="s">
        <v>8</v>
      </c>
      <c r="H6" s="40">
        <v>550</v>
      </c>
      <c r="I6" s="40">
        <v>550</v>
      </c>
      <c r="J6" s="31"/>
      <c r="K6" s="76" t="s">
        <v>329</v>
      </c>
      <c r="L6" s="90" t="s">
        <v>328</v>
      </c>
      <c r="M6" s="45">
        <v>3.28</v>
      </c>
      <c r="R6" s="1">
        <f>IF(vend21[[#This Row],[Nº Venda]]&gt;1,1,0)</f>
        <v>1</v>
      </c>
    </row>
    <row r="7" spans="2:18" ht="16.5" x14ac:dyDescent="0.3">
      <c r="B7" s="29" t="s">
        <v>3</v>
      </c>
      <c r="C7" s="30">
        <f>SUM(M6:M11)</f>
        <v>83.28</v>
      </c>
      <c r="D7" s="31"/>
      <c r="E7" s="75">
        <v>11061</v>
      </c>
      <c r="F7" s="76" t="s">
        <v>330</v>
      </c>
      <c r="G7" s="52" t="s">
        <v>6</v>
      </c>
      <c r="H7" s="40">
        <v>80</v>
      </c>
      <c r="I7" s="40">
        <v>80</v>
      </c>
      <c r="J7" s="31"/>
      <c r="K7" s="76" t="s">
        <v>289</v>
      </c>
      <c r="L7" s="90" t="s">
        <v>6</v>
      </c>
      <c r="M7" s="45">
        <v>80</v>
      </c>
      <c r="R7" s="1">
        <f>IF(vend21[[#This Row],[Nº Venda]]&gt;1,1,0)</f>
        <v>1</v>
      </c>
    </row>
    <row r="8" spans="2:18" ht="16.5" x14ac:dyDescent="0.3">
      <c r="B8" s="32" t="s">
        <v>21</v>
      </c>
      <c r="C8" s="33">
        <f>SUM(C6:C7)</f>
        <v>2933.2500000000005</v>
      </c>
      <c r="D8" s="31"/>
      <c r="E8" s="75">
        <v>11062</v>
      </c>
      <c r="F8" s="76" t="s">
        <v>331</v>
      </c>
      <c r="G8" s="52" t="s">
        <v>10</v>
      </c>
      <c r="H8" s="40">
        <v>39.99</v>
      </c>
      <c r="I8" s="40">
        <v>39.99</v>
      </c>
      <c r="J8" s="31"/>
      <c r="K8" s="76"/>
      <c r="L8" s="90"/>
      <c r="M8" s="45"/>
      <c r="R8" s="1">
        <f>IF(vend21[[#This Row],[Nº Venda]]&gt;1,1,0)</f>
        <v>1</v>
      </c>
    </row>
    <row r="9" spans="2:18" ht="16.5" x14ac:dyDescent="0.3">
      <c r="B9" s="28"/>
      <c r="C9" s="28"/>
      <c r="D9" s="31"/>
      <c r="E9" s="75">
        <v>11063</v>
      </c>
      <c r="F9" s="76" t="s">
        <v>332</v>
      </c>
      <c r="G9" s="52" t="s">
        <v>10</v>
      </c>
      <c r="H9" s="40">
        <v>1890</v>
      </c>
      <c r="I9" s="40">
        <v>150</v>
      </c>
      <c r="J9" s="31"/>
      <c r="K9" s="76"/>
      <c r="L9" s="90"/>
      <c r="M9" s="45"/>
      <c r="R9" s="1">
        <f>IF(vend21[[#This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11064</v>
      </c>
      <c r="F10" s="76" t="s">
        <v>333</v>
      </c>
      <c r="G10" s="52" t="s">
        <v>10</v>
      </c>
      <c r="H10" s="40">
        <v>490</v>
      </c>
      <c r="I10" s="40">
        <v>150</v>
      </c>
      <c r="J10" s="31"/>
      <c r="K10" s="76"/>
      <c r="L10" s="90"/>
      <c r="M10" s="45"/>
      <c r="R10" s="1">
        <f>IF(vend21[[#This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80</v>
      </c>
      <c r="D11" s="31"/>
      <c r="E11" s="75">
        <v>11065</v>
      </c>
      <c r="F11" s="76" t="s">
        <v>333</v>
      </c>
      <c r="G11" s="52" t="s">
        <v>46</v>
      </c>
      <c r="H11" s="40">
        <v>0</v>
      </c>
      <c r="I11" s="40">
        <v>0</v>
      </c>
      <c r="J11" s="31"/>
      <c r="K11" s="39"/>
      <c r="L11" s="90"/>
      <c r="M11" s="45"/>
      <c r="O11" s="1">
        <f>IF(C16=0,0,1)</f>
        <v>1</v>
      </c>
      <c r="R11" s="1">
        <f>IF(vend21[[#This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>
        <v>11066</v>
      </c>
      <c r="F12" s="76" t="s">
        <v>332</v>
      </c>
      <c r="G12" s="52" t="s">
        <v>10</v>
      </c>
      <c r="H12" s="40">
        <v>389</v>
      </c>
      <c r="I12" s="40">
        <v>50</v>
      </c>
      <c r="J12" s="31"/>
      <c r="K12" s="34"/>
      <c r="L12" s="34"/>
      <c r="M12" s="34"/>
      <c r="R12" s="1">
        <f>IF(vend21[[#This Row],[Nº Venda]]&gt;1,1,0)</f>
        <v>1</v>
      </c>
    </row>
    <row r="13" spans="2:18" ht="16.5" x14ac:dyDescent="0.3">
      <c r="B13" s="29" t="s">
        <v>8</v>
      </c>
      <c r="C13" s="69">
        <f t="shared" si="0"/>
        <v>550</v>
      </c>
      <c r="D13" s="31"/>
      <c r="E13" s="75">
        <v>11067</v>
      </c>
      <c r="F13" s="76" t="s">
        <v>334</v>
      </c>
      <c r="G13" s="52" t="s">
        <v>46</v>
      </c>
      <c r="H13" s="40">
        <v>39</v>
      </c>
      <c r="I13" s="40">
        <v>0</v>
      </c>
      <c r="J13" s="31"/>
      <c r="K13" s="113" t="s">
        <v>142</v>
      </c>
      <c r="L13" s="114"/>
      <c r="M13" s="115"/>
      <c r="R13" s="1">
        <f>IF(vend21[[#This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IF(vend21[[#This Row],[Nº Venda]]&gt;1,1,0)</f>
        <v>0</v>
      </c>
    </row>
    <row r="15" spans="2:18" ht="16.5" x14ac:dyDescent="0.3">
      <c r="B15" s="29" t="s">
        <v>10</v>
      </c>
      <c r="C15" s="69">
        <f t="shared" si="0"/>
        <v>2219.9700000000003</v>
      </c>
      <c r="D15" s="31"/>
      <c r="E15" s="75"/>
      <c r="F15" s="76"/>
      <c r="G15" s="52"/>
      <c r="H15" s="40"/>
      <c r="I15" s="40"/>
      <c r="J15" s="31"/>
      <c r="K15" s="75">
        <v>11062</v>
      </c>
      <c r="L15" s="90" t="s">
        <v>134</v>
      </c>
      <c r="M15" s="45" t="s">
        <v>149</v>
      </c>
      <c r="R15" s="1">
        <f>IF(vend21[[#This Row],[Nº Venda]]&gt;1,1,0)</f>
        <v>0</v>
      </c>
    </row>
    <row r="16" spans="2:18" ht="16.5" x14ac:dyDescent="0.3">
      <c r="B16" s="32" t="s">
        <v>11</v>
      </c>
      <c r="C16" s="70">
        <f>SUM(C11:C15)</f>
        <v>2849.9700000000003</v>
      </c>
      <c r="D16" s="31"/>
      <c r="E16" s="75"/>
      <c r="F16" s="76"/>
      <c r="G16" s="52"/>
      <c r="H16" s="40"/>
      <c r="I16" s="40"/>
      <c r="J16" s="31"/>
      <c r="K16" s="75">
        <v>10885</v>
      </c>
      <c r="L16" s="90" t="s">
        <v>130</v>
      </c>
      <c r="M16" s="45" t="s">
        <v>149</v>
      </c>
      <c r="R16" s="1">
        <f>IF(vend21[[#This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10991</v>
      </c>
      <c r="L17" s="90" t="s">
        <v>128</v>
      </c>
      <c r="M17" s="45" t="s">
        <v>149</v>
      </c>
      <c r="R17" s="1">
        <f>IF(vend21[[#This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10765</v>
      </c>
      <c r="L18" s="90" t="s">
        <v>130</v>
      </c>
      <c r="M18" s="45" t="s">
        <v>149</v>
      </c>
      <c r="R18" s="1">
        <f>IF(vend21[[#This Row],[Nº Venda]]&gt;1,1,0)</f>
        <v>0</v>
      </c>
    </row>
    <row r="19" spans="2:18" ht="16.5" x14ac:dyDescent="0.3">
      <c r="B19" s="29">
        <f>COUNT(entr_carn21[OS])</f>
        <v>0</v>
      </c>
      <c r="C19" s="69">
        <f>SUM(entr_carn21[Valor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IF(vend21[[#This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IF(vend21[[#This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3438.99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10765</v>
      </c>
      <c r="F26" s="76" t="s">
        <v>327</v>
      </c>
      <c r="G26" s="52" t="s">
        <v>10</v>
      </c>
      <c r="H26" s="40"/>
      <c r="I26" s="40">
        <v>1040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10991</v>
      </c>
      <c r="F27" s="76" t="s">
        <v>335</v>
      </c>
      <c r="G27" s="52" t="s">
        <v>10</v>
      </c>
      <c r="H27" s="40"/>
      <c r="I27" s="40">
        <v>150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10559</v>
      </c>
      <c r="F35" s="76" t="s">
        <v>336</v>
      </c>
      <c r="G35" s="52" t="s">
        <v>10</v>
      </c>
      <c r="H35" s="40">
        <v>96.66</v>
      </c>
      <c r="I35" s="40" t="s">
        <v>38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>
        <v>10559</v>
      </c>
      <c r="F36" s="76" t="s">
        <v>336</v>
      </c>
      <c r="G36" s="52" t="s">
        <v>10</v>
      </c>
      <c r="H36" s="40">
        <v>96.66</v>
      </c>
      <c r="I36" s="40" t="s">
        <v>50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>
        <v>10559</v>
      </c>
      <c r="F37" s="76" t="s">
        <v>336</v>
      </c>
      <c r="G37" s="52" t="s">
        <v>10</v>
      </c>
      <c r="H37" s="40">
        <v>96.66</v>
      </c>
      <c r="I37" s="40" t="s">
        <v>41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>
        <v>10104</v>
      </c>
      <c r="F38" s="76" t="s">
        <v>337</v>
      </c>
      <c r="G38" s="52" t="s">
        <v>10</v>
      </c>
      <c r="H38" s="40">
        <v>350</v>
      </c>
      <c r="I38" s="40" t="s">
        <v>92</v>
      </c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8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zoomScale="90" zoomScaleNormal="9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8.5703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'21'!B1+1</f>
        <v>45799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1158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1594.22</v>
      </c>
      <c r="D6" s="31"/>
      <c r="E6" s="75">
        <v>11068</v>
      </c>
      <c r="F6" s="76" t="s">
        <v>339</v>
      </c>
      <c r="G6" s="52" t="s">
        <v>8</v>
      </c>
      <c r="H6" s="40">
        <v>299</v>
      </c>
      <c r="I6" s="40">
        <v>299</v>
      </c>
      <c r="J6" s="31"/>
      <c r="K6" s="76" t="s">
        <v>172</v>
      </c>
      <c r="L6" s="52" t="s">
        <v>10</v>
      </c>
      <c r="M6" s="45">
        <v>2.76</v>
      </c>
      <c r="R6" s="1">
        <f>IF(vend22[[#This Row],[Nº Venda]]&gt;1,1,0)</f>
        <v>1</v>
      </c>
    </row>
    <row r="7" spans="2:18" ht="16.5" x14ac:dyDescent="0.3">
      <c r="B7" s="29" t="s">
        <v>3</v>
      </c>
      <c r="C7" s="30">
        <f>SUM(M6:M11)</f>
        <v>140.81</v>
      </c>
      <c r="D7" s="31"/>
      <c r="E7" s="75">
        <v>11069</v>
      </c>
      <c r="F7" s="76" t="s">
        <v>340</v>
      </c>
      <c r="G7" s="52" t="s">
        <v>8</v>
      </c>
      <c r="H7" s="40">
        <v>500</v>
      </c>
      <c r="I7" s="40">
        <v>500</v>
      </c>
      <c r="J7" s="31"/>
      <c r="K7" s="76" t="s">
        <v>346</v>
      </c>
      <c r="L7" s="52" t="s">
        <v>6</v>
      </c>
      <c r="M7" s="45">
        <v>138.05000000000001</v>
      </c>
      <c r="R7" s="1">
        <f>IF(vend22[[#This Row],[Nº Venda]]&gt;1,1,0)</f>
        <v>1</v>
      </c>
    </row>
    <row r="8" spans="2:18" ht="16.5" x14ac:dyDescent="0.3">
      <c r="B8" s="32" t="s">
        <v>21</v>
      </c>
      <c r="C8" s="33">
        <f>SUM(C6:C7)</f>
        <v>1735.03</v>
      </c>
      <c r="D8" s="31"/>
      <c r="E8" s="75">
        <v>11070</v>
      </c>
      <c r="F8" s="76" t="s">
        <v>341</v>
      </c>
      <c r="G8" s="52" t="s">
        <v>10</v>
      </c>
      <c r="H8" s="40">
        <v>270</v>
      </c>
      <c r="I8" s="40">
        <v>270</v>
      </c>
      <c r="J8" s="31"/>
      <c r="K8" s="76"/>
      <c r="L8" s="52"/>
      <c r="M8" s="45"/>
      <c r="R8" s="1">
        <f>IF(vend22[[#This Row],[Nº Venda]]&gt;1,1,0)</f>
        <v>1</v>
      </c>
    </row>
    <row r="9" spans="2:18" ht="16.5" x14ac:dyDescent="0.3">
      <c r="B9" s="28"/>
      <c r="C9" s="28"/>
      <c r="D9" s="31"/>
      <c r="E9" s="75">
        <v>11071</v>
      </c>
      <c r="F9" s="76" t="s">
        <v>222</v>
      </c>
      <c r="G9" s="52" t="s">
        <v>46</v>
      </c>
      <c r="H9" s="40">
        <v>0</v>
      </c>
      <c r="I9" s="40">
        <v>0</v>
      </c>
      <c r="J9" s="31"/>
      <c r="K9" s="76"/>
      <c r="L9" s="52"/>
      <c r="M9" s="45"/>
      <c r="R9" s="1">
        <f>IF(vend22[[#This Row],[Nº Venda]]&gt;1,1,0)</f>
        <v>1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52"/>
      <c r="M10" s="45"/>
      <c r="R10" s="1">
        <f>IF(vend22[[#This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138.05000000000001</v>
      </c>
      <c r="D11" s="31"/>
      <c r="E11" s="75"/>
      <c r="F11" s="76"/>
      <c r="G11" s="52"/>
      <c r="H11" s="40"/>
      <c r="I11" s="40"/>
      <c r="J11" s="31"/>
      <c r="K11" s="39"/>
      <c r="L11" s="52"/>
      <c r="M11" s="45"/>
      <c r="O11" s="1">
        <f>IF(C16=0,0,1)</f>
        <v>1</v>
      </c>
      <c r="R11" s="1">
        <f>IF(vend22[[#This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50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IF(vend22[[#This Row],[Nº Venda]]&gt;1,1,0)</f>
        <v>0</v>
      </c>
    </row>
    <row r="13" spans="2:18" ht="16.5" x14ac:dyDescent="0.3">
      <c r="B13" s="29" t="s">
        <v>8</v>
      </c>
      <c r="C13" s="69">
        <f t="shared" si="0"/>
        <v>834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IF(vend22[[#This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IF(vend22[[#This Row],[Nº Venda]]&gt;1,1,0)</f>
        <v>0</v>
      </c>
    </row>
    <row r="15" spans="2:18" ht="16.5" x14ac:dyDescent="0.3">
      <c r="B15" s="29" t="s">
        <v>10</v>
      </c>
      <c r="C15" s="69">
        <f t="shared" si="0"/>
        <v>572.17000000000007</v>
      </c>
      <c r="D15" s="31"/>
      <c r="E15" s="75"/>
      <c r="F15" s="76"/>
      <c r="G15" s="52"/>
      <c r="H15" s="40"/>
      <c r="I15" s="40"/>
      <c r="J15" s="31"/>
      <c r="K15" s="75">
        <v>10782</v>
      </c>
      <c r="L15" s="90" t="s">
        <v>128</v>
      </c>
      <c r="M15" s="45" t="s">
        <v>149</v>
      </c>
      <c r="R15" s="1">
        <f>IF(vend22[[#This Row],[Nº Venda]]&gt;1,1,0)</f>
        <v>0</v>
      </c>
    </row>
    <row r="16" spans="2:18" ht="16.5" x14ac:dyDescent="0.3">
      <c r="B16" s="32" t="s">
        <v>11</v>
      </c>
      <c r="C16" s="70">
        <f>SUM(C11:C15)</f>
        <v>1594.22</v>
      </c>
      <c r="D16" s="31"/>
      <c r="E16" s="75"/>
      <c r="F16" s="76"/>
      <c r="G16" s="52"/>
      <c r="H16" s="40"/>
      <c r="I16" s="40"/>
      <c r="J16" s="31"/>
      <c r="K16" s="75">
        <v>10874</v>
      </c>
      <c r="L16" s="90" t="s">
        <v>130</v>
      </c>
      <c r="M16" s="45" t="s">
        <v>149</v>
      </c>
      <c r="R16" s="1">
        <f>IF(vend22[[#This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10875</v>
      </c>
      <c r="L17" s="90" t="s">
        <v>130</v>
      </c>
      <c r="M17" s="45" t="s">
        <v>149</v>
      </c>
      <c r="R17" s="1">
        <f>IF(vend22[[#This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10883</v>
      </c>
      <c r="L18" s="90" t="s">
        <v>128</v>
      </c>
      <c r="M18" s="45" t="s">
        <v>149</v>
      </c>
      <c r="R18" s="1">
        <f>IF(vend22[[#This Row],[Nº Venda]]&gt;1,1,0)</f>
        <v>0</v>
      </c>
    </row>
    <row r="19" spans="2:18" ht="16.5" x14ac:dyDescent="0.3">
      <c r="B19" s="29">
        <f>COUNT(entr_carn22[OS])</f>
        <v>1</v>
      </c>
      <c r="C19" s="69">
        <f>SUM(entr_carn22[Valor Total])</f>
        <v>770</v>
      </c>
      <c r="D19" s="31"/>
      <c r="E19" s="75"/>
      <c r="F19" s="76"/>
      <c r="G19" s="52"/>
      <c r="H19" s="40"/>
      <c r="I19" s="40"/>
      <c r="J19" s="31"/>
      <c r="K19" s="75">
        <v>11018</v>
      </c>
      <c r="L19" s="90" t="s">
        <v>128</v>
      </c>
      <c r="M19" s="45" t="s">
        <v>149</v>
      </c>
      <c r="R19" s="1">
        <f>IF(vend22[[#This Row],[Nº Venda]]&gt;1,1,0)</f>
        <v>0</v>
      </c>
    </row>
    <row r="20" spans="2:18" ht="16.5" x14ac:dyDescent="0.3">
      <c r="B20" s="32" t="s">
        <v>11</v>
      </c>
      <c r="C20" s="70">
        <f>SUM(C19:C19)</f>
        <v>770</v>
      </c>
      <c r="D20" s="31"/>
      <c r="E20" s="75"/>
      <c r="F20" s="52"/>
      <c r="G20" s="52"/>
      <c r="H20" s="40"/>
      <c r="I20" s="40"/>
      <c r="J20" s="31"/>
      <c r="K20" s="75">
        <v>11044</v>
      </c>
      <c r="L20" s="90" t="s">
        <v>128</v>
      </c>
      <c r="M20" s="45" t="s">
        <v>209</v>
      </c>
      <c r="R20" s="1">
        <f>IF(vend22[[#This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1158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11018</v>
      </c>
      <c r="F26" s="76" t="s">
        <v>342</v>
      </c>
      <c r="G26" s="52" t="s">
        <v>7</v>
      </c>
      <c r="H26" s="40">
        <v>50</v>
      </c>
      <c r="I26" s="40">
        <v>50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11067</v>
      </c>
      <c r="F27" s="76" t="s">
        <v>345</v>
      </c>
      <c r="G27" s="52" t="s">
        <v>8</v>
      </c>
      <c r="H27" s="40">
        <v>39</v>
      </c>
      <c r="I27" s="40">
        <v>35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>
        <v>11067</v>
      </c>
      <c r="F28" s="76" t="s">
        <v>345</v>
      </c>
      <c r="G28" s="52" t="s">
        <v>6</v>
      </c>
      <c r="H28" s="40">
        <v>0</v>
      </c>
      <c r="I28" s="40">
        <v>4</v>
      </c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9118</v>
      </c>
      <c r="F35" s="76" t="s">
        <v>343</v>
      </c>
      <c r="G35" s="52" t="s">
        <v>10</v>
      </c>
      <c r="H35" s="40">
        <v>118.75</v>
      </c>
      <c r="I35" s="40" t="s">
        <v>47</v>
      </c>
      <c r="J35" s="39"/>
      <c r="K35" s="75">
        <v>11043</v>
      </c>
      <c r="L35" s="75">
        <v>8</v>
      </c>
      <c r="M35" s="90">
        <v>770</v>
      </c>
    </row>
    <row r="36" spans="2:18" ht="16.5" customHeight="1" x14ac:dyDescent="0.25">
      <c r="B36" s="39"/>
      <c r="C36" s="39"/>
      <c r="D36" s="39"/>
      <c r="E36" s="77">
        <v>9704</v>
      </c>
      <c r="F36" s="76" t="s">
        <v>344</v>
      </c>
      <c r="G36" s="52" t="s">
        <v>10</v>
      </c>
      <c r="H36" s="40">
        <v>83.42</v>
      </c>
      <c r="I36" s="40" t="s">
        <v>57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83">
        <v>9960</v>
      </c>
      <c r="F37" s="76" t="s">
        <v>286</v>
      </c>
      <c r="G37" s="52" t="s">
        <v>10</v>
      </c>
      <c r="H37" s="40">
        <v>100</v>
      </c>
      <c r="I37" s="40" t="s">
        <v>52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>
        <v>10811</v>
      </c>
      <c r="F38" s="76" t="s">
        <v>251</v>
      </c>
      <c r="G38" s="52" t="s">
        <v>6</v>
      </c>
      <c r="H38" s="40">
        <v>134.05000000000001</v>
      </c>
      <c r="I38" s="40" t="s">
        <v>50</v>
      </c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 t="s">
        <v>54</v>
      </c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4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 L6:L11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'22'!B1+1</f>
        <v>45800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1948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1478.1100000000001</v>
      </c>
      <c r="D6" s="31"/>
      <c r="E6" s="75">
        <v>11072</v>
      </c>
      <c r="F6" s="76" t="s">
        <v>349</v>
      </c>
      <c r="G6" s="52" t="s">
        <v>6</v>
      </c>
      <c r="H6" s="40">
        <v>899</v>
      </c>
      <c r="I6" s="40">
        <v>10</v>
      </c>
      <c r="J6" s="31"/>
      <c r="K6" s="76" t="s">
        <v>172</v>
      </c>
      <c r="L6" s="90" t="s">
        <v>10</v>
      </c>
      <c r="M6" s="45">
        <v>2.4300000000000002</v>
      </c>
      <c r="R6" s="1">
        <f>IF(vend23[[#This Row],[Nº Venda]]&gt;1,1,0)</f>
        <v>1</v>
      </c>
    </row>
    <row r="7" spans="2:18" ht="16.5" x14ac:dyDescent="0.3">
      <c r="B7" s="29" t="s">
        <v>3</v>
      </c>
      <c r="C7" s="30">
        <f>SUM(M6:M11)</f>
        <v>2.4300000000000002</v>
      </c>
      <c r="D7" s="31"/>
      <c r="E7" s="75">
        <v>11073</v>
      </c>
      <c r="F7" s="76" t="s">
        <v>350</v>
      </c>
      <c r="G7" s="52" t="s">
        <v>8</v>
      </c>
      <c r="H7" s="40">
        <v>550</v>
      </c>
      <c r="I7" s="40">
        <v>550</v>
      </c>
      <c r="J7" s="31"/>
      <c r="K7" s="76"/>
      <c r="L7" s="90"/>
      <c r="M7" s="45"/>
      <c r="R7" s="1">
        <f>IF(vend23[[#This Row],[Nº Venda]]&gt;1,1,0)</f>
        <v>1</v>
      </c>
    </row>
    <row r="8" spans="2:18" ht="16.5" x14ac:dyDescent="0.3">
      <c r="B8" s="32" t="s">
        <v>21</v>
      </c>
      <c r="C8" s="33">
        <f>SUM(C6:C7)</f>
        <v>1480.5400000000002</v>
      </c>
      <c r="D8" s="31"/>
      <c r="E8" s="75">
        <v>11074</v>
      </c>
      <c r="F8" s="76" t="s">
        <v>335</v>
      </c>
      <c r="G8" s="52" t="s">
        <v>46</v>
      </c>
      <c r="H8" s="40">
        <v>100</v>
      </c>
      <c r="I8" s="40">
        <v>0</v>
      </c>
      <c r="J8" s="31"/>
      <c r="K8" s="76"/>
      <c r="L8" s="90"/>
      <c r="M8" s="45"/>
      <c r="R8" s="1">
        <f>IF(vend23[[#This Row],[Nº Venda]]&gt;1,1,0)</f>
        <v>1</v>
      </c>
    </row>
    <row r="9" spans="2:18" ht="16.5" x14ac:dyDescent="0.3">
      <c r="B9" s="28"/>
      <c r="C9" s="28"/>
      <c r="D9" s="31"/>
      <c r="E9" s="75">
        <v>11075</v>
      </c>
      <c r="F9" s="76" t="s">
        <v>352</v>
      </c>
      <c r="G9" s="52" t="s">
        <v>6</v>
      </c>
      <c r="H9" s="40">
        <v>499</v>
      </c>
      <c r="I9" s="40">
        <v>4</v>
      </c>
      <c r="J9" s="31"/>
      <c r="K9" s="76"/>
      <c r="L9" s="90"/>
      <c r="M9" s="45"/>
      <c r="R9" s="1">
        <f>IF(vend23[[#This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11076</v>
      </c>
      <c r="F10" s="76" t="s">
        <v>352</v>
      </c>
      <c r="G10" s="52" t="s">
        <v>46</v>
      </c>
      <c r="H10" s="40">
        <v>0</v>
      </c>
      <c r="I10" s="40">
        <v>0</v>
      </c>
      <c r="J10" s="31"/>
      <c r="K10" s="76"/>
      <c r="L10" s="90"/>
      <c r="M10" s="45"/>
      <c r="R10" s="1">
        <f>IF(vend23[[#This Row],[Nº Venda]]&gt;1,1,0)</f>
        <v>1</v>
      </c>
    </row>
    <row r="11" spans="2:18" ht="16.5" x14ac:dyDescent="0.3">
      <c r="B11" s="29" t="s">
        <v>6</v>
      </c>
      <c r="C11" s="71">
        <f>(SUMIF($G$2:$G$31,B11,$I$2:$I$31))+(SUMIF($G$35:$G$41,B11,$H$35:$H$41))</f>
        <v>214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1</v>
      </c>
      <c r="R11" s="1">
        <f>IF(vend23[[#This Row],[Nº Venda]]&gt;1,1,0)</f>
        <v>0</v>
      </c>
    </row>
    <row r="12" spans="2:18" ht="16.5" x14ac:dyDescent="0.3">
      <c r="B12" s="29" t="s">
        <v>7</v>
      </c>
      <c r="C12" s="71">
        <f>(SUMIF($G$2:$G$31,B12,$I$2:$I$31))+(SUMIF($G$35:$G$41,B12,$H$35:$H$41))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IF(vend23[[#This Row],[Nº Venda]]&gt;1,1,0)</f>
        <v>0</v>
      </c>
    </row>
    <row r="13" spans="2:18" ht="16.5" x14ac:dyDescent="0.3">
      <c r="B13" s="29" t="s">
        <v>8</v>
      </c>
      <c r="C13" s="71">
        <f>(SUMIF($G$2:$G$31,B13,$I$2:$I$31))+(SUMIF($G$35:$G$41,B13,$H$35:$H$41))</f>
        <v>650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IF(vend23[[#This Row],[Nº Venda]]&gt;1,1,0)</f>
        <v>0</v>
      </c>
    </row>
    <row r="14" spans="2:18" ht="16.5" x14ac:dyDescent="0.3">
      <c r="B14" s="29" t="s">
        <v>9</v>
      </c>
      <c r="C14" s="71">
        <f>(SUMIF($G$2:$G$31,B14,$I$2:$I$31))+(SUMIF($G$35:$G$41,B14,$H$35:$H$41))</f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IF(vend23[[#This Row],[Nº Venda]]&gt;1,1,0)</f>
        <v>0</v>
      </c>
    </row>
    <row r="15" spans="2:18" ht="16.5" x14ac:dyDescent="0.3">
      <c r="B15" s="29" t="s">
        <v>10</v>
      </c>
      <c r="C15" s="71">
        <f>(SUMIF($G$2:$G$31,B15,$I$2:$I$31))+(SUMIF($G$35:$G$41,B15,$H$35:$H$41))</f>
        <v>614.11</v>
      </c>
      <c r="D15" s="31"/>
      <c r="E15" s="75"/>
      <c r="F15" s="76"/>
      <c r="G15" s="52"/>
      <c r="H15" s="40"/>
      <c r="I15" s="40"/>
      <c r="J15" s="31"/>
      <c r="K15" s="75">
        <v>10903</v>
      </c>
      <c r="L15" s="90" t="s">
        <v>128</v>
      </c>
      <c r="M15" s="45" t="s">
        <v>209</v>
      </c>
      <c r="R15" s="1">
        <f>IF(vend23[[#This Row],[Nº Venda]]&gt;1,1,0)</f>
        <v>0</v>
      </c>
    </row>
    <row r="16" spans="2:18" ht="16.5" x14ac:dyDescent="0.3">
      <c r="B16" s="32" t="s">
        <v>11</v>
      </c>
      <c r="C16" s="70">
        <f>SUM(C11:C15)</f>
        <v>1478.1100000000001</v>
      </c>
      <c r="D16" s="31"/>
      <c r="E16" s="75"/>
      <c r="F16" s="76"/>
      <c r="G16" s="52"/>
      <c r="H16" s="40"/>
      <c r="I16" s="40"/>
      <c r="J16" s="31"/>
      <c r="K16" s="75">
        <v>10915</v>
      </c>
      <c r="L16" s="90" t="s">
        <v>130</v>
      </c>
      <c r="M16" s="45" t="s">
        <v>209</v>
      </c>
      <c r="R16" s="1">
        <f>IF(vend23[[#This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10941</v>
      </c>
      <c r="L17" s="90" t="s">
        <v>130</v>
      </c>
      <c r="M17" s="45" t="s">
        <v>209</v>
      </c>
      <c r="R17" s="1">
        <f>IF(vend23[[#This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10956</v>
      </c>
      <c r="L18" s="90" t="s">
        <v>134</v>
      </c>
      <c r="M18" s="45" t="s">
        <v>209</v>
      </c>
      <c r="R18" s="1">
        <f>IF(vend23[[#This Row],[Nº Venda]]&gt;1,1,0)</f>
        <v>0</v>
      </c>
    </row>
    <row r="19" spans="2:18" ht="16.5" x14ac:dyDescent="0.3">
      <c r="B19" s="29">
        <f>COUNT(entr_carn23[OS])</f>
        <v>3</v>
      </c>
      <c r="C19" s="69">
        <f>SUM(entr_carn23[Valor Total])</f>
        <v>2026.1999999999998</v>
      </c>
      <c r="D19" s="31"/>
      <c r="E19" s="75"/>
      <c r="F19" s="76"/>
      <c r="G19" s="52"/>
      <c r="H19" s="40"/>
      <c r="I19" s="40"/>
      <c r="J19" s="31"/>
      <c r="K19" s="75">
        <v>11014</v>
      </c>
      <c r="L19" s="90" t="s">
        <v>128</v>
      </c>
      <c r="M19" s="45" t="s">
        <v>149</v>
      </c>
      <c r="R19" s="1">
        <f>IF(vend23[[#This Row],[Nº Venda]]&gt;1,1,0)</f>
        <v>0</v>
      </c>
    </row>
    <row r="20" spans="2:18" ht="16.5" x14ac:dyDescent="0.3">
      <c r="B20" s="32" t="s">
        <v>11</v>
      </c>
      <c r="C20" s="70">
        <f>SUM(C19:C19)</f>
        <v>2026.1999999999998</v>
      </c>
      <c r="D20" s="31"/>
      <c r="E20" s="75"/>
      <c r="F20" s="52"/>
      <c r="G20" s="52"/>
      <c r="H20" s="40"/>
      <c r="I20" s="40"/>
      <c r="J20" s="31"/>
      <c r="K20" s="75">
        <v>11023</v>
      </c>
      <c r="L20" s="90" t="s">
        <v>128</v>
      </c>
      <c r="M20" s="45" t="s">
        <v>149</v>
      </c>
      <c r="R20" s="1">
        <f>IF(vend23[[#This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11043</v>
      </c>
      <c r="L21" s="90" t="s">
        <v>128</v>
      </c>
      <c r="M21" s="45" t="s">
        <v>209</v>
      </c>
    </row>
    <row r="22" spans="2:18" ht="16.5" x14ac:dyDescent="0.3">
      <c r="B22" s="32" t="s">
        <v>25</v>
      </c>
      <c r="C22" s="35">
        <f>C5</f>
        <v>1948</v>
      </c>
      <c r="D22" s="31"/>
      <c r="E22" s="77"/>
      <c r="F22" s="76"/>
      <c r="G22" s="52"/>
      <c r="H22" s="40"/>
      <c r="I22" s="40"/>
      <c r="J22" s="31"/>
      <c r="K22" s="75">
        <v>11071</v>
      </c>
      <c r="L22" s="90" t="s">
        <v>130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10915</v>
      </c>
      <c r="F26" s="76" t="s">
        <v>405</v>
      </c>
      <c r="G26" s="52" t="s">
        <v>10</v>
      </c>
      <c r="H26" s="40">
        <v>0</v>
      </c>
      <c r="I26" s="40">
        <v>200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10941</v>
      </c>
      <c r="F27" s="76" t="s">
        <v>351</v>
      </c>
      <c r="G27" s="52" t="s">
        <v>8</v>
      </c>
      <c r="H27" s="40">
        <v>0</v>
      </c>
      <c r="I27" s="40">
        <v>100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>
        <v>10941</v>
      </c>
      <c r="F28" s="76" t="s">
        <v>351</v>
      </c>
      <c r="G28" s="52" t="s">
        <v>6</v>
      </c>
      <c r="H28" s="40">
        <v>0</v>
      </c>
      <c r="I28" s="40">
        <v>100</v>
      </c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>
        <v>10955</v>
      </c>
      <c r="F29" s="52" t="s">
        <v>406</v>
      </c>
      <c r="G29" s="52" t="s">
        <v>10</v>
      </c>
      <c r="H29" s="40">
        <v>0</v>
      </c>
      <c r="I29" s="40">
        <v>137.1</v>
      </c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>
        <v>10956</v>
      </c>
      <c r="F30" s="76" t="s">
        <v>406</v>
      </c>
      <c r="G30" s="52" t="s">
        <v>10</v>
      </c>
      <c r="H30" s="40">
        <v>0</v>
      </c>
      <c r="I30" s="40">
        <v>137.01</v>
      </c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>
        <v>11040</v>
      </c>
      <c r="F31" s="78" t="s">
        <v>347</v>
      </c>
      <c r="G31" s="43" t="s">
        <v>6</v>
      </c>
      <c r="H31" s="40">
        <v>0</v>
      </c>
      <c r="I31" s="44">
        <v>100</v>
      </c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10915</v>
      </c>
      <c r="F35" s="76" t="s">
        <v>348</v>
      </c>
      <c r="G35" s="52" t="s">
        <v>10</v>
      </c>
      <c r="H35" s="40">
        <v>140</v>
      </c>
      <c r="I35" s="40" t="s">
        <v>32</v>
      </c>
      <c r="J35" s="39"/>
      <c r="K35" s="75">
        <v>10915</v>
      </c>
      <c r="L35" s="75">
        <v>7</v>
      </c>
      <c r="M35" s="90">
        <v>979.3</v>
      </c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>
        <v>10941</v>
      </c>
      <c r="L36" s="75">
        <v>6</v>
      </c>
      <c r="M36" s="90">
        <v>300</v>
      </c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>
        <v>10955</v>
      </c>
      <c r="L37" s="75">
        <v>5</v>
      </c>
      <c r="M37" s="90">
        <v>746.9</v>
      </c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5</v>
      </c>
    </row>
    <row r="41" spans="2:18" ht="16.5" customHeight="1" x14ac:dyDescent="0.25">
      <c r="B41" s="39"/>
      <c r="C41" s="39"/>
      <c r="D41" s="39"/>
      <c r="E41" s="83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U45"/>
  <sheetViews>
    <sheetView showGridLines="0" view="pageBreakPreview" topLeftCell="C1" zoomScale="60" zoomScaleNormal="9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8.57031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9">
        <f>'23'!B1+1</f>
        <v>45801</v>
      </c>
      <c r="C1" s="109"/>
      <c r="L1" s="110" t="s">
        <v>136</v>
      </c>
      <c r="M1" s="110"/>
    </row>
    <row r="2" spans="2:21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  <c r="U2" s="1" t="s">
        <v>54</v>
      </c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21" ht="16.5" x14ac:dyDescent="0.3">
      <c r="B5" s="29" t="s">
        <v>1</v>
      </c>
      <c r="C5" s="30">
        <f>SUMIF(I6:I31,"&gt;0",H6:H31)</f>
        <v>2665.05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21" ht="16.5" x14ac:dyDescent="0.3">
      <c r="B6" s="29" t="s">
        <v>2</v>
      </c>
      <c r="C6" s="30">
        <f>C16</f>
        <v>5635.05</v>
      </c>
      <c r="D6" s="31"/>
      <c r="E6" s="75">
        <v>11077</v>
      </c>
      <c r="F6" s="76" t="s">
        <v>355</v>
      </c>
      <c r="G6" s="52" t="s">
        <v>46</v>
      </c>
      <c r="H6" s="40"/>
      <c r="I6" s="40"/>
      <c r="J6" s="31"/>
      <c r="K6" s="76" t="s">
        <v>418</v>
      </c>
      <c r="L6" s="90" t="s">
        <v>6</v>
      </c>
      <c r="M6" s="45">
        <v>52.59</v>
      </c>
      <c r="R6" s="1">
        <f>IF(vend24[[#This Row],[Nº Venda]]&gt;1,1,0)</f>
        <v>1</v>
      </c>
    </row>
    <row r="7" spans="2:21" ht="16.5" x14ac:dyDescent="0.3">
      <c r="B7" s="29" t="s">
        <v>3</v>
      </c>
      <c r="C7" s="30">
        <f>SUM(M6:M11)</f>
        <v>61.980000000000004</v>
      </c>
      <c r="D7" s="31"/>
      <c r="E7" s="75">
        <v>11078</v>
      </c>
      <c r="F7" s="76" t="s">
        <v>358</v>
      </c>
      <c r="G7" s="52" t="s">
        <v>7</v>
      </c>
      <c r="H7" s="40">
        <v>350</v>
      </c>
      <c r="I7" s="40">
        <v>50</v>
      </c>
      <c r="J7" s="31"/>
      <c r="K7" s="76" t="s">
        <v>172</v>
      </c>
      <c r="L7" s="90" t="s">
        <v>10</v>
      </c>
      <c r="M7" s="45">
        <v>9.39</v>
      </c>
      <c r="R7" s="1">
        <f>IF(vend24[[#This Row],[Nº Venda]]&gt;1,1,0)</f>
        <v>1</v>
      </c>
    </row>
    <row r="8" spans="2:21" ht="16.5" x14ac:dyDescent="0.3">
      <c r="B8" s="32" t="s">
        <v>21</v>
      </c>
      <c r="C8" s="33">
        <f>SUM(C6:C7)</f>
        <v>5697.03</v>
      </c>
      <c r="D8" s="31"/>
      <c r="E8" s="75">
        <v>11079</v>
      </c>
      <c r="F8" s="76" t="s">
        <v>356</v>
      </c>
      <c r="G8" s="52" t="s">
        <v>6</v>
      </c>
      <c r="H8" s="40">
        <v>399</v>
      </c>
      <c r="I8" s="40">
        <v>20</v>
      </c>
      <c r="J8" s="31"/>
      <c r="K8" s="76"/>
      <c r="L8" s="90"/>
      <c r="M8" s="45"/>
      <c r="R8" s="1">
        <f>IF(vend24[[#This Row],[Nº Venda]]&gt;1,1,0)</f>
        <v>1</v>
      </c>
    </row>
    <row r="9" spans="2:21" ht="16.5" x14ac:dyDescent="0.3">
      <c r="B9" s="28"/>
      <c r="C9" s="28"/>
      <c r="D9" s="31"/>
      <c r="E9" s="75">
        <v>11080</v>
      </c>
      <c r="F9" s="76" t="s">
        <v>357</v>
      </c>
      <c r="G9" s="52" t="s">
        <v>10</v>
      </c>
      <c r="H9" s="40">
        <v>490</v>
      </c>
      <c r="I9" s="40">
        <v>490</v>
      </c>
      <c r="J9" s="31"/>
      <c r="K9" s="76"/>
      <c r="L9" s="90"/>
      <c r="M9" s="45"/>
      <c r="R9" s="1">
        <f>IF(vend24[[#This Row],[Nº Venda]]&gt;1,1,0)</f>
        <v>1</v>
      </c>
    </row>
    <row r="10" spans="2:21" ht="16.5" x14ac:dyDescent="0.3">
      <c r="B10" s="120" t="s">
        <v>5</v>
      </c>
      <c r="C10" s="121"/>
      <c r="D10" s="31"/>
      <c r="E10" s="75">
        <v>11081</v>
      </c>
      <c r="F10" s="76" t="s">
        <v>359</v>
      </c>
      <c r="G10" s="52" t="s">
        <v>8</v>
      </c>
      <c r="H10" s="40">
        <v>414</v>
      </c>
      <c r="I10" s="40">
        <v>414</v>
      </c>
      <c r="J10" s="31"/>
      <c r="K10" s="76"/>
      <c r="L10" s="90"/>
      <c r="M10" s="45"/>
      <c r="R10" s="1">
        <f>IF(vend24[[#This Row],[Nº Venda]]&gt;1,1,0)</f>
        <v>1</v>
      </c>
    </row>
    <row r="11" spans="2:21" ht="16.5" x14ac:dyDescent="0.3">
      <c r="B11" s="29" t="s">
        <v>6</v>
      </c>
      <c r="C11" s="69">
        <f>(SUMIF($G$2:$G$31,B11,$I$2:$I$31))+(SUMIF($G$35:$G$41,B11,$H$35:$H$41))</f>
        <v>20</v>
      </c>
      <c r="D11" s="31"/>
      <c r="E11" s="75">
        <v>11082</v>
      </c>
      <c r="F11" s="76" t="s">
        <v>360</v>
      </c>
      <c r="G11" s="52" t="s">
        <v>8</v>
      </c>
      <c r="H11" s="40">
        <v>990</v>
      </c>
      <c r="I11" s="40">
        <v>990</v>
      </c>
      <c r="J11" s="31"/>
      <c r="K11" s="39"/>
      <c r="L11" s="90"/>
      <c r="M11" s="45"/>
      <c r="O11" s="1">
        <f>IF(C16=0,0,1)</f>
        <v>1</v>
      </c>
      <c r="R11" s="1">
        <f>IF(vend24[[#This Row],[Nº Venda]]&gt;1,1,0)</f>
        <v>1</v>
      </c>
    </row>
    <row r="12" spans="2:21" ht="16.5" x14ac:dyDescent="0.3">
      <c r="B12" s="29" t="s">
        <v>7</v>
      </c>
      <c r="C12" s="69">
        <f t="shared" ref="C12:C15" si="0">(SUMIF($G$2:$G$31,B12,$I$2:$I$31))+(SUMIF($G$35:$G$41,B12,$H$35:$H$41))</f>
        <v>3171.05</v>
      </c>
      <c r="D12" s="31"/>
      <c r="E12" s="75">
        <v>11083</v>
      </c>
      <c r="F12" s="76" t="s">
        <v>358</v>
      </c>
      <c r="G12" s="52" t="s">
        <v>7</v>
      </c>
      <c r="H12" s="40">
        <v>22.05</v>
      </c>
      <c r="I12" s="40">
        <v>22.05</v>
      </c>
      <c r="J12" s="31"/>
      <c r="K12" s="34"/>
      <c r="L12" s="34"/>
      <c r="M12" s="34"/>
      <c r="R12" s="1">
        <f>IF(vend24[[#This Row],[Nº Venda]]&gt;1,1,0)</f>
        <v>1</v>
      </c>
    </row>
    <row r="13" spans="2:21" ht="16.5" x14ac:dyDescent="0.3">
      <c r="B13" s="29" t="s">
        <v>8</v>
      </c>
      <c r="C13" s="69">
        <f t="shared" si="0"/>
        <v>1954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IF(vend24[[#This Row],[Nº Venda]]&gt;1,1,0)</f>
        <v>0</v>
      </c>
    </row>
    <row r="14" spans="2:21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IF(vend24[[#This Row],[Nº Venda]]&gt;1,1,0)</f>
        <v>0</v>
      </c>
    </row>
    <row r="15" spans="2:21" ht="16.5" x14ac:dyDescent="0.3">
      <c r="B15" s="29" t="s">
        <v>10</v>
      </c>
      <c r="C15" s="69">
        <f t="shared" si="0"/>
        <v>490</v>
      </c>
      <c r="D15" s="31"/>
      <c r="E15" s="75"/>
      <c r="F15" s="76"/>
      <c r="G15" s="52"/>
      <c r="H15" s="40"/>
      <c r="I15" s="40"/>
      <c r="J15" s="31"/>
      <c r="K15" s="75">
        <v>10878</v>
      </c>
      <c r="L15" s="90" t="s">
        <v>130</v>
      </c>
      <c r="M15" s="45" t="s">
        <v>149</v>
      </c>
      <c r="R15" s="1">
        <f>IF(vend24[[#This Row],[Nº Venda]]&gt;1,1,0)</f>
        <v>0</v>
      </c>
    </row>
    <row r="16" spans="2:21" ht="16.5" x14ac:dyDescent="0.3">
      <c r="B16" s="32" t="s">
        <v>11</v>
      </c>
      <c r="C16" s="70">
        <f>SUM(C11:C15)</f>
        <v>5635.05</v>
      </c>
      <c r="D16" s="31"/>
      <c r="E16" s="75"/>
      <c r="F16" s="76"/>
      <c r="G16" s="52"/>
      <c r="H16" s="40"/>
      <c r="I16" s="40"/>
      <c r="J16" s="31"/>
      <c r="K16" s="75">
        <v>10877</v>
      </c>
      <c r="L16" s="90" t="s">
        <v>130</v>
      </c>
      <c r="M16" s="45" t="s">
        <v>149</v>
      </c>
      <c r="R16" s="1">
        <f>IF(vend24[[#This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10990</v>
      </c>
      <c r="L17" s="90" t="s">
        <v>134</v>
      </c>
      <c r="M17" s="45" t="s">
        <v>149</v>
      </c>
      <c r="R17" s="1">
        <f>IF(vend24[[#This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10831</v>
      </c>
      <c r="L18" s="90" t="s">
        <v>128</v>
      </c>
      <c r="M18" s="45" t="s">
        <v>149</v>
      </c>
      <c r="R18" s="1">
        <f>IF(vend24[[#This Row],[Nº Venda]]&gt;1,1,0)</f>
        <v>0</v>
      </c>
    </row>
    <row r="19" spans="2:18" ht="16.5" x14ac:dyDescent="0.3">
      <c r="B19" s="29">
        <f>COUNT(entr_carn24[OS])</f>
        <v>0</v>
      </c>
      <c r="C19" s="69">
        <f>SUM(entr_carn24[Valor Total])</f>
        <v>0</v>
      </c>
      <c r="D19" s="31"/>
      <c r="E19" s="75"/>
      <c r="F19" s="76"/>
      <c r="G19" s="52"/>
      <c r="H19" s="40"/>
      <c r="I19" s="40"/>
      <c r="J19" s="31"/>
      <c r="K19" s="75">
        <v>11007</v>
      </c>
      <c r="L19" s="90" t="s">
        <v>130</v>
      </c>
      <c r="M19" s="45" t="s">
        <v>149</v>
      </c>
      <c r="R19" s="1">
        <f>IF(vend24[[#This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>
        <v>10945</v>
      </c>
      <c r="L20" s="90" t="s">
        <v>128</v>
      </c>
      <c r="M20" s="45" t="s">
        <v>149</v>
      </c>
      <c r="R20" s="1">
        <f>IF(vend24[[#This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10993</v>
      </c>
      <c r="L21" s="90" t="s">
        <v>128</v>
      </c>
      <c r="M21" s="45" t="s">
        <v>149</v>
      </c>
    </row>
    <row r="22" spans="2:18" ht="16.5" x14ac:dyDescent="0.3">
      <c r="B22" s="32" t="s">
        <v>25</v>
      </c>
      <c r="C22" s="35">
        <f>C5</f>
        <v>2665.05</v>
      </c>
      <c r="D22" s="31"/>
      <c r="E22" s="77"/>
      <c r="F22" s="76"/>
      <c r="G22" s="52"/>
      <c r="H22" s="40"/>
      <c r="I22" s="40"/>
      <c r="J22" s="31"/>
      <c r="K22" s="75">
        <v>10992</v>
      </c>
      <c r="L22" s="90" t="s">
        <v>128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>
        <v>11081</v>
      </c>
      <c r="L23" s="90" t="s">
        <v>130</v>
      </c>
      <c r="M23" s="45" t="s">
        <v>149</v>
      </c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>
        <v>11083</v>
      </c>
      <c r="L24" s="90" t="s">
        <v>128</v>
      </c>
      <c r="M24" s="45" t="s">
        <v>149</v>
      </c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10877</v>
      </c>
      <c r="F26" s="76" t="s">
        <v>353</v>
      </c>
      <c r="G26" s="52" t="s">
        <v>7</v>
      </c>
      <c r="H26" s="40"/>
      <c r="I26" s="40">
        <v>3040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10878</v>
      </c>
      <c r="F27" s="76" t="s">
        <v>353</v>
      </c>
      <c r="G27" s="52" t="s">
        <v>7</v>
      </c>
      <c r="H27" s="40"/>
      <c r="I27" s="40">
        <v>59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>
        <v>10831</v>
      </c>
      <c r="F28" s="76" t="s">
        <v>354</v>
      </c>
      <c r="G28" s="52" t="s">
        <v>8</v>
      </c>
      <c r="H28" s="40"/>
      <c r="I28" s="40">
        <v>550</v>
      </c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40"/>
      <c r="I35" s="40"/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7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zoomScale="90" zoomScaleNormal="9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'24'!B1+1</f>
        <v>45802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0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 ca="1">C16</f>
        <v>0</v>
      </c>
      <c r="D6" s="31"/>
      <c r="E6" s="75"/>
      <c r="F6" s="76"/>
      <c r="G6" s="52"/>
      <c r="H6" s="40"/>
      <c r="I6" s="40"/>
      <c r="J6" s="31"/>
      <c r="K6" s="76"/>
      <c r="L6" s="90"/>
      <c r="M6" s="45"/>
      <c r="R6" s="1">
        <f>IF(vend25[[#This Row],[Nº Venda]]&gt;1,1,0)</f>
        <v>0</v>
      </c>
    </row>
    <row r="7" spans="2:18" ht="16.5" x14ac:dyDescent="0.3">
      <c r="B7" s="29" t="s">
        <v>3</v>
      </c>
      <c r="C7" s="30">
        <f>SUM(M6:M11)</f>
        <v>0</v>
      </c>
      <c r="D7" s="31"/>
      <c r="E7" s="75"/>
      <c r="F7" s="76"/>
      <c r="G7" s="52"/>
      <c r="H7" s="40"/>
      <c r="I7" s="40"/>
      <c r="J7" s="31"/>
      <c r="K7" s="76"/>
      <c r="L7" s="90"/>
      <c r="M7" s="45"/>
      <c r="R7" s="1">
        <f>IF(vend25[[#This Row],[Nº Venda]]&gt;1,1,0)</f>
        <v>0</v>
      </c>
    </row>
    <row r="8" spans="2:18" ht="16.5" x14ac:dyDescent="0.3">
      <c r="B8" s="32" t="s">
        <v>21</v>
      </c>
      <c r="C8" s="33">
        <f ca="1">SUM(C6:C7)</f>
        <v>0</v>
      </c>
      <c r="D8" s="31"/>
      <c r="E8" s="75"/>
      <c r="F8" s="76"/>
      <c r="G8" s="52"/>
      <c r="H8" s="40"/>
      <c r="I8" s="40"/>
      <c r="J8" s="31"/>
      <c r="K8" s="76"/>
      <c r="L8" s="90"/>
      <c r="M8" s="45"/>
      <c r="R8" s="1">
        <f>IF(vend25[[#This Row],[Nº Venda]]&gt;1,1,0)</f>
        <v>0</v>
      </c>
    </row>
    <row r="9" spans="2:18" ht="16.5" x14ac:dyDescent="0.3">
      <c r="B9" s="28"/>
      <c r="C9" s="28"/>
      <c r="D9" s="31"/>
      <c r="E9" s="75"/>
      <c r="F9" s="76"/>
      <c r="G9" s="52"/>
      <c r="H9" s="40"/>
      <c r="I9" s="40"/>
      <c r="J9" s="31"/>
      <c r="K9" s="76"/>
      <c r="L9" s="90"/>
      <c r="M9" s="45"/>
      <c r="R9" s="1">
        <f>IF(vend25[[#This Row],[Nº Venda]]&gt;1,1,0)</f>
        <v>0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/>
      <c r="J10" s="31"/>
      <c r="K10" s="76"/>
      <c r="L10" s="90"/>
      <c r="M10" s="45"/>
      <c r="R10" s="1">
        <f>IF(vend25[[#This Row],[Nº Venda]]&gt;1,1,0)</f>
        <v>0</v>
      </c>
    </row>
    <row r="11" spans="2:18" ht="16.5" x14ac:dyDescent="0.3">
      <c r="B11" s="29" t="s">
        <v>6</v>
      </c>
      <c r="C11" s="69">
        <f ca="1">(SUMIF($G$2:$G$31,B11,$I$2:$I$31))+(SUMIF($G$35:$G$41,B11,$H$36:$H$41))</f>
        <v>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29" t="s">
        <v>7</v>
      </c>
      <c r="C12" s="69">
        <f ca="1">(SUMIF($G$2:$G$31,B12,$I$2:$I$31))+(SUMIF($G$35:$G$41,B12,$H$36:$H$41))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IF(vend25[[#This Row],[Nº Venda]]&gt;1,1,0)</f>
        <v>0</v>
      </c>
    </row>
    <row r="13" spans="2:18" ht="16.5" x14ac:dyDescent="0.3">
      <c r="B13" s="29" t="s">
        <v>8</v>
      </c>
      <c r="C13" s="69">
        <f ca="1">(SUMIF($G$2:$G$31,B13,$I$2:$I$31))+(SUMIF($G$35:$G$41,B13,$H$36:$H$41))</f>
        <v>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IF(vend25[[#This Row],[Nº Venda]]&gt;1,1,0)</f>
        <v>0</v>
      </c>
    </row>
    <row r="14" spans="2:18" ht="16.5" x14ac:dyDescent="0.3">
      <c r="B14" s="29" t="s">
        <v>9</v>
      </c>
      <c r="C14" s="69">
        <f ca="1">(SUMIF($G$2:$G$31,B14,$I$2:$I$31))+(SUMIF($G$35:$G$41,B14,$H$36:$H$41))</f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IF(vend25[[#This Row],[Nº Venda]]&gt;1,1,0)</f>
        <v>0</v>
      </c>
    </row>
    <row r="15" spans="2:18" ht="16.5" x14ac:dyDescent="0.3">
      <c r="B15" s="29" t="s">
        <v>10</v>
      </c>
      <c r="C15" s="69">
        <f ca="1">(SUMIF($G$2:$G$31,B15,$I$2:$I$31))+(SUMIF($G$35:$G$41,B15,$H$36:$H$41))</f>
        <v>0</v>
      </c>
      <c r="D15" s="31"/>
      <c r="E15" s="75"/>
      <c r="F15" s="76"/>
      <c r="G15" s="52"/>
      <c r="H15" s="40"/>
      <c r="I15" s="40"/>
      <c r="J15" s="31"/>
      <c r="K15" s="75"/>
      <c r="L15" s="90"/>
      <c r="M15" s="45"/>
      <c r="R15" s="1">
        <f>IF(vend25[[#This Row],[Nº Venda]]&gt;1,1,0)</f>
        <v>0</v>
      </c>
    </row>
    <row r="16" spans="2:18" ht="16.5" x14ac:dyDescent="0.3">
      <c r="B16" s="32" t="s">
        <v>11</v>
      </c>
      <c r="C16" s="70">
        <f ca="1">SUM(C11:C15)</f>
        <v>0</v>
      </c>
      <c r="D16" s="31"/>
      <c r="E16" s="75"/>
      <c r="F16" s="76"/>
      <c r="G16" s="52"/>
      <c r="H16" s="40"/>
      <c r="I16" s="40"/>
      <c r="J16" s="31"/>
      <c r="K16" s="75"/>
      <c r="L16" s="90"/>
      <c r="M16" s="45"/>
      <c r="R16" s="1">
        <f>IF(vend25[[#This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/>
      <c r="L17" s="90"/>
      <c r="M17" s="45"/>
      <c r="R17" s="1">
        <f>IF(vend25[[#This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/>
      <c r="L18" s="90"/>
      <c r="M18" s="45"/>
      <c r="R18" s="1">
        <f>IF(vend25[[#This Row],[Nº Venda]]&gt;1,1,0)</f>
        <v>0</v>
      </c>
    </row>
    <row r="19" spans="2:18" ht="16.5" x14ac:dyDescent="0.3">
      <c r="B19" s="29">
        <f>COUNT(entr_carn25[OS])</f>
        <v>0</v>
      </c>
      <c r="C19" s="69">
        <f>SUM(entr_carn25[Valor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IF(vend25[[#This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IF(vend25[[#This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0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2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/>
      <c r="F35" s="76"/>
      <c r="G35" s="52"/>
      <c r="H35" s="50"/>
      <c r="I35" s="40"/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0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Y45"/>
  <sheetViews>
    <sheetView showGridLines="0" zoomScale="90" zoomScaleNormal="9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7.285156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'25'!B1+1</f>
        <v>45803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3647.99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2033.99</v>
      </c>
      <c r="D6" s="31"/>
      <c r="E6" s="75">
        <v>11084</v>
      </c>
      <c r="F6" s="76" t="s">
        <v>362</v>
      </c>
      <c r="G6" s="52" t="s">
        <v>7</v>
      </c>
      <c r="H6" s="40">
        <v>39.99</v>
      </c>
      <c r="I6" s="40">
        <v>39.99</v>
      </c>
      <c r="J6" s="31"/>
      <c r="K6" s="76" t="s">
        <v>172</v>
      </c>
      <c r="L6" s="90" t="s">
        <v>10</v>
      </c>
      <c r="M6" s="45">
        <v>3.05</v>
      </c>
      <c r="R6" s="1">
        <f>IF(vend26[[#This Row],[Nº Venda]]&gt;1,1,0)</f>
        <v>1</v>
      </c>
    </row>
    <row r="7" spans="2:18" ht="16.5" x14ac:dyDescent="0.3">
      <c r="B7" s="29" t="s">
        <v>3</v>
      </c>
      <c r="C7" s="30">
        <f>SUM(M6:M11)</f>
        <v>3.05</v>
      </c>
      <c r="D7" s="31"/>
      <c r="E7" s="75">
        <v>11085</v>
      </c>
      <c r="F7" s="76" t="s">
        <v>363</v>
      </c>
      <c r="G7" s="52" t="s">
        <v>6</v>
      </c>
      <c r="H7" s="40">
        <v>40</v>
      </c>
      <c r="I7" s="40">
        <v>40</v>
      </c>
      <c r="J7" s="31"/>
      <c r="K7" s="76"/>
      <c r="L7" s="90"/>
      <c r="M7" s="45"/>
      <c r="R7" s="1">
        <f>IF(vend26[[#This Row],[Nº Venda]]&gt;1,1,0)</f>
        <v>1</v>
      </c>
    </row>
    <row r="8" spans="2:18" ht="16.5" x14ac:dyDescent="0.3">
      <c r="B8" s="32" t="s">
        <v>21</v>
      </c>
      <c r="C8" s="33">
        <f>SUM(C6:C7)</f>
        <v>2037.04</v>
      </c>
      <c r="D8" s="31"/>
      <c r="E8" s="75">
        <v>11086</v>
      </c>
      <c r="F8" s="76" t="s">
        <v>364</v>
      </c>
      <c r="G8" s="52" t="s">
        <v>6</v>
      </c>
      <c r="H8" s="40">
        <v>215</v>
      </c>
      <c r="I8" s="40">
        <v>215</v>
      </c>
      <c r="J8" s="31"/>
      <c r="K8" s="76"/>
      <c r="L8" s="90"/>
      <c r="M8" s="45"/>
      <c r="R8" s="1">
        <f>IF(vend26[[#This Row],[Nº Venda]]&gt;1,1,0)</f>
        <v>1</v>
      </c>
    </row>
    <row r="9" spans="2:18" ht="16.5" x14ac:dyDescent="0.3">
      <c r="B9" s="28"/>
      <c r="C9" s="28"/>
      <c r="D9" s="31"/>
      <c r="E9" s="75">
        <v>11087</v>
      </c>
      <c r="F9" s="76" t="s">
        <v>364</v>
      </c>
      <c r="G9" s="52" t="s">
        <v>6</v>
      </c>
      <c r="H9" s="40">
        <v>215</v>
      </c>
      <c r="I9" s="40">
        <v>215</v>
      </c>
      <c r="J9" s="31"/>
      <c r="K9" s="76"/>
      <c r="L9" s="90"/>
      <c r="M9" s="45"/>
      <c r="R9" s="1">
        <f>IF(vend26[[#This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11088</v>
      </c>
      <c r="F10" s="76" t="s">
        <v>368</v>
      </c>
      <c r="G10" s="52" t="s">
        <v>8</v>
      </c>
      <c r="H10" s="40">
        <v>599</v>
      </c>
      <c r="I10" s="40">
        <v>599</v>
      </c>
      <c r="J10" s="31"/>
      <c r="K10" s="76"/>
      <c r="L10" s="90"/>
      <c r="M10" s="45"/>
      <c r="R10" s="1">
        <f>IF(vend26[[#This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470</v>
      </c>
      <c r="D11" s="31"/>
      <c r="E11" s="75">
        <v>11089</v>
      </c>
      <c r="F11" s="76" t="s">
        <v>366</v>
      </c>
      <c r="G11" s="52" t="s">
        <v>8</v>
      </c>
      <c r="H11" s="40">
        <v>490</v>
      </c>
      <c r="I11" s="40">
        <v>490</v>
      </c>
      <c r="J11" s="31"/>
      <c r="K11" s="39"/>
      <c r="L11" s="90"/>
      <c r="M11" s="45"/>
      <c r="O11" s="1">
        <f>IF(C16=0,0,1)</f>
        <v>1</v>
      </c>
      <c r="R11" s="1">
        <f>IF(vend26[[#This Row],[Nº Venda]]&gt;1,1,0)</f>
        <v>1</v>
      </c>
    </row>
    <row r="12" spans="2:18" ht="16.5" x14ac:dyDescent="0.3">
      <c r="B12" s="29" t="s">
        <v>7</v>
      </c>
      <c r="C12" s="69">
        <f>(SUMIF($G$2:$G$31,B12,$I$2:$I$31))+(SUMIF($G$35:$G$41,B12,$H$35:$H$41))</f>
        <v>39.99</v>
      </c>
      <c r="D12" s="31"/>
      <c r="E12" s="75">
        <v>11090</v>
      </c>
      <c r="F12" s="76" t="s">
        <v>365</v>
      </c>
      <c r="G12" s="52" t="s">
        <v>10</v>
      </c>
      <c r="H12" s="40">
        <v>325</v>
      </c>
      <c r="I12" s="40">
        <v>100</v>
      </c>
      <c r="J12" s="31"/>
      <c r="K12" s="34"/>
      <c r="L12" s="34"/>
      <c r="M12" s="34"/>
      <c r="R12" s="1">
        <f>IF(vend26[[#This Row],[Nº Venda]]&gt;1,1,0)</f>
        <v>1</v>
      </c>
    </row>
    <row r="13" spans="2:18" ht="16.5" x14ac:dyDescent="0.3">
      <c r="B13" s="29" t="s">
        <v>8</v>
      </c>
      <c r="C13" s="69">
        <f>(SUMIF($G$2:$G$31,B13,$I$2:$I$31))+(SUMIF($G$35:$G$41,B13,$H$35:$H$41))</f>
        <v>1089</v>
      </c>
      <c r="D13" s="31"/>
      <c r="E13" s="75">
        <v>11091</v>
      </c>
      <c r="F13" s="76" t="s">
        <v>365</v>
      </c>
      <c r="G13" s="52" t="s">
        <v>10</v>
      </c>
      <c r="H13" s="40">
        <v>325</v>
      </c>
      <c r="I13" s="40">
        <v>100</v>
      </c>
      <c r="J13" s="31"/>
      <c r="K13" s="113" t="s">
        <v>142</v>
      </c>
      <c r="L13" s="114"/>
      <c r="M13" s="115"/>
      <c r="R13" s="1">
        <f>IF(vend26[[#This Row],[Nº Venda]]&gt;1,1,0)</f>
        <v>1</v>
      </c>
    </row>
    <row r="14" spans="2:18" ht="16.5" x14ac:dyDescent="0.3">
      <c r="B14" s="29" t="s">
        <v>9</v>
      </c>
      <c r="C14" s="69">
        <f>(SUMIF($G$2:$G$31,B14,$I$2:$I$31))+(SUMIF($G$35:$G$41,B14,$H$35:$H$41))</f>
        <v>0</v>
      </c>
      <c r="D14" s="31"/>
      <c r="E14" s="75">
        <v>11092</v>
      </c>
      <c r="F14" s="76" t="s">
        <v>367</v>
      </c>
      <c r="G14" s="52" t="s">
        <v>10</v>
      </c>
      <c r="H14" s="40">
        <v>1399</v>
      </c>
      <c r="I14" s="40">
        <v>100</v>
      </c>
      <c r="J14" s="31"/>
      <c r="K14" s="23" t="s">
        <v>22</v>
      </c>
      <c r="L14" s="24" t="s">
        <v>23</v>
      </c>
      <c r="M14" s="25" t="s">
        <v>24</v>
      </c>
      <c r="R14" s="1">
        <f>IF(vend26[[#This Row],[Nº Venda]]&gt;1,1,0)</f>
        <v>1</v>
      </c>
    </row>
    <row r="15" spans="2:18" ht="16.5" x14ac:dyDescent="0.3">
      <c r="B15" s="29" t="s">
        <v>10</v>
      </c>
      <c r="C15" s="69">
        <f>(SUMIF($G$2:$G$31,B15,$I$2:$I$31))+(SUMIF($G$35:$G$41,B15,$H$35:$H$41))</f>
        <v>435</v>
      </c>
      <c r="D15" s="31"/>
      <c r="E15" s="75"/>
      <c r="F15" s="76"/>
      <c r="G15" s="52"/>
      <c r="H15" s="40"/>
      <c r="I15" s="40"/>
      <c r="J15" s="31"/>
      <c r="K15" s="75">
        <v>10997</v>
      </c>
      <c r="L15" s="90" t="s">
        <v>134</v>
      </c>
      <c r="M15" s="45" t="s">
        <v>149</v>
      </c>
      <c r="R15" s="1">
        <f>IF(vend26[[#This Row],[Nº Venda]]&gt;1,1,0)</f>
        <v>0</v>
      </c>
    </row>
    <row r="16" spans="2:18" ht="16.5" x14ac:dyDescent="0.3">
      <c r="B16" s="32" t="s">
        <v>11</v>
      </c>
      <c r="C16" s="70">
        <f>SUM(C11:C15)</f>
        <v>2033.99</v>
      </c>
      <c r="D16" s="31"/>
      <c r="E16" s="75"/>
      <c r="F16" s="76"/>
      <c r="G16" s="52"/>
      <c r="H16" s="40"/>
      <c r="I16" s="40"/>
      <c r="J16" s="31"/>
      <c r="K16" s="75">
        <v>10966</v>
      </c>
      <c r="L16" s="90" t="s">
        <v>130</v>
      </c>
      <c r="M16" s="45" t="s">
        <v>209</v>
      </c>
      <c r="R16" s="1">
        <f>IF(vend26[[#This Row],[Nº Venda]]&gt;1,1,0)</f>
        <v>0</v>
      </c>
    </row>
    <row r="17" spans="2:25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10926</v>
      </c>
      <c r="L17" s="90" t="s">
        <v>128</v>
      </c>
      <c r="M17" s="45" t="s">
        <v>149</v>
      </c>
      <c r="R17" s="1">
        <f>IF(vend26[[#This Row],[Nº Venda]]&gt;1,1,0)</f>
        <v>0</v>
      </c>
    </row>
    <row r="18" spans="2:25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11069</v>
      </c>
      <c r="L18" s="90" t="s">
        <v>128</v>
      </c>
      <c r="M18" s="45" t="s">
        <v>149</v>
      </c>
      <c r="R18" s="1">
        <f>IF(vend26[[#This Row],[Nº Venda]]&gt;1,1,0)</f>
        <v>0</v>
      </c>
    </row>
    <row r="19" spans="2:25" ht="16.5" x14ac:dyDescent="0.3">
      <c r="B19" s="29">
        <f>COUNT(entr_carn26[OS])</f>
        <v>1</v>
      </c>
      <c r="C19" s="69">
        <f>SUM(entr_carn26[Valor Total])</f>
        <v>890</v>
      </c>
      <c r="D19" s="31"/>
      <c r="E19" s="75"/>
      <c r="F19" s="76"/>
      <c r="G19" s="52"/>
      <c r="H19" s="40"/>
      <c r="I19" s="40"/>
      <c r="J19" s="31"/>
      <c r="K19" s="75">
        <v>11049</v>
      </c>
      <c r="L19" s="90" t="s">
        <v>130</v>
      </c>
      <c r="M19" s="45" t="s">
        <v>149</v>
      </c>
      <c r="R19" s="1">
        <f>IF(vend26[[#This Row],[Nº Venda]]&gt;1,1,0)</f>
        <v>0</v>
      </c>
    </row>
    <row r="20" spans="2:25" ht="16.5" x14ac:dyDescent="0.3">
      <c r="B20" s="32" t="s">
        <v>11</v>
      </c>
      <c r="C20" s="70">
        <f>SUM(C19:C19)</f>
        <v>890</v>
      </c>
      <c r="D20" s="31"/>
      <c r="E20" s="75"/>
      <c r="F20" s="52"/>
      <c r="G20" s="52"/>
      <c r="H20" s="40"/>
      <c r="I20" s="40"/>
      <c r="J20" s="31"/>
      <c r="K20" s="75">
        <v>10766</v>
      </c>
      <c r="L20" s="90" t="s">
        <v>130</v>
      </c>
      <c r="M20" s="45" t="s">
        <v>149</v>
      </c>
      <c r="R20" s="1">
        <f>IF(vend26[[#This Row],[Nº Venda]]&gt;1,1,0)</f>
        <v>0</v>
      </c>
      <c r="Y20" s="1" t="s">
        <v>369</v>
      </c>
    </row>
    <row r="21" spans="2:25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25" ht="16.5" x14ac:dyDescent="0.3">
      <c r="B22" s="32" t="s">
        <v>25</v>
      </c>
      <c r="C22" s="35">
        <f>C5</f>
        <v>3647.99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25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25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25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25" ht="16.5" x14ac:dyDescent="0.3">
      <c r="B26" s="31"/>
      <c r="C26" s="31"/>
      <c r="D26" s="31"/>
      <c r="E26" s="75"/>
      <c r="F26" s="76"/>
      <c r="G26" s="52"/>
      <c r="H26" s="40"/>
      <c r="I26" s="40"/>
      <c r="J26" s="31"/>
      <c r="K26" s="75"/>
      <c r="L26" s="90"/>
      <c r="M26" s="45"/>
    </row>
    <row r="27" spans="2:25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25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25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25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25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25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10398</v>
      </c>
      <c r="F35" s="76" t="s">
        <v>361</v>
      </c>
      <c r="G35" s="52" t="s">
        <v>10</v>
      </c>
      <c r="H35" s="40">
        <v>125</v>
      </c>
      <c r="I35" s="40" t="s">
        <v>72</v>
      </c>
      <c r="J35" s="39"/>
      <c r="K35" s="75">
        <v>10966</v>
      </c>
      <c r="L35" s="75">
        <v>7</v>
      </c>
      <c r="M35" s="90">
        <v>890</v>
      </c>
    </row>
    <row r="36" spans="2:18" ht="16.5" customHeight="1" x14ac:dyDescent="0.25">
      <c r="B36" s="39"/>
      <c r="C36" s="39"/>
      <c r="D36" s="39"/>
      <c r="E36" s="82">
        <v>10398</v>
      </c>
      <c r="F36" s="76" t="s">
        <v>361</v>
      </c>
      <c r="G36" s="52" t="s">
        <v>10</v>
      </c>
      <c r="H36" s="40">
        <v>10</v>
      </c>
      <c r="I36" s="40" t="s">
        <v>73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9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E26:E31 E35:E41 K35:K41 K15:K31 E16:E22 E6:E15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topLeftCell="B1" zoomScale="90" zoomScaleNormal="9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1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'26'!B1+1</f>
        <v>45804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3638.9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2297.9</v>
      </c>
      <c r="D6" s="31"/>
      <c r="E6" s="75">
        <v>11093</v>
      </c>
      <c r="F6" s="76" t="s">
        <v>370</v>
      </c>
      <c r="G6" s="52" t="s">
        <v>7</v>
      </c>
      <c r="H6" s="40">
        <v>120</v>
      </c>
      <c r="I6" s="40">
        <v>120</v>
      </c>
      <c r="J6" s="31"/>
      <c r="K6" s="76" t="s">
        <v>172</v>
      </c>
      <c r="L6" s="90" t="s">
        <v>10</v>
      </c>
      <c r="M6" s="45">
        <v>2.4300000000000002</v>
      </c>
      <c r="R6" s="1">
        <f>IF(vend27[[#This Row],[Nº Venda]]&gt;1,1,0)</f>
        <v>1</v>
      </c>
    </row>
    <row r="7" spans="2:18" ht="16.5" x14ac:dyDescent="0.3">
      <c r="B7" s="29" t="s">
        <v>3</v>
      </c>
      <c r="C7" s="30">
        <f>SUM(M6:M11)</f>
        <v>2.4300000000000002</v>
      </c>
      <c r="D7" s="31"/>
      <c r="E7" s="75">
        <v>11094</v>
      </c>
      <c r="F7" s="76" t="s">
        <v>371</v>
      </c>
      <c r="G7" s="52" t="s">
        <v>8</v>
      </c>
      <c r="H7" s="40">
        <v>1610</v>
      </c>
      <c r="I7" s="40">
        <v>1610</v>
      </c>
      <c r="J7" s="31"/>
      <c r="K7" s="76" t="s">
        <v>54</v>
      </c>
      <c r="L7" s="90"/>
      <c r="M7" s="45"/>
      <c r="R7" s="1">
        <f>IF(vend27[[#This Row],[Nº Venda]]&gt;1,1,0)</f>
        <v>1</v>
      </c>
    </row>
    <row r="8" spans="2:18" ht="16.5" x14ac:dyDescent="0.3">
      <c r="B8" s="32" t="s">
        <v>21</v>
      </c>
      <c r="C8" s="33">
        <f>SUM(C6:C7)</f>
        <v>2300.33</v>
      </c>
      <c r="D8" s="31"/>
      <c r="E8" s="75">
        <v>11095</v>
      </c>
      <c r="F8" s="76" t="s">
        <v>377</v>
      </c>
      <c r="G8" s="52" t="s">
        <v>7</v>
      </c>
      <c r="H8" s="40">
        <v>499</v>
      </c>
      <c r="I8" s="40">
        <v>10</v>
      </c>
      <c r="J8" s="31"/>
      <c r="K8" s="76"/>
      <c r="L8" s="90"/>
      <c r="M8" s="45"/>
      <c r="R8" s="1">
        <f>IF(vend27[[#This Row],[Nº Venda]]&gt;1,1,0)</f>
        <v>1</v>
      </c>
    </row>
    <row r="9" spans="2:18" ht="16.5" x14ac:dyDescent="0.3">
      <c r="B9" s="28"/>
      <c r="C9" s="28"/>
      <c r="D9" s="31"/>
      <c r="E9" s="75">
        <v>11096</v>
      </c>
      <c r="F9" s="76" t="s">
        <v>372</v>
      </c>
      <c r="G9" s="52" t="s">
        <v>7</v>
      </c>
      <c r="H9" s="40">
        <v>591</v>
      </c>
      <c r="I9" s="40">
        <v>50</v>
      </c>
      <c r="J9" s="31"/>
      <c r="K9" s="76"/>
      <c r="L9" s="90"/>
      <c r="M9" s="45"/>
      <c r="R9" s="1">
        <f>IF(vend27[[#This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11097</v>
      </c>
      <c r="F10" s="76" t="s">
        <v>372</v>
      </c>
      <c r="G10" s="52" t="s">
        <v>7</v>
      </c>
      <c r="H10" s="40">
        <v>499</v>
      </c>
      <c r="I10" s="40">
        <v>50</v>
      </c>
      <c r="J10" s="31"/>
      <c r="K10" s="76"/>
      <c r="L10" s="90"/>
      <c r="M10" s="45"/>
      <c r="R10" s="1">
        <f>IF(vend27[[#This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8</v>
      </c>
      <c r="D11" s="31"/>
      <c r="E11" s="75">
        <v>11098</v>
      </c>
      <c r="F11" s="76" t="s">
        <v>374</v>
      </c>
      <c r="G11" s="52" t="s">
        <v>8</v>
      </c>
      <c r="H11" s="40">
        <v>39.9</v>
      </c>
      <c r="I11" s="40">
        <v>39.9</v>
      </c>
      <c r="J11" s="31"/>
      <c r="K11" s="39"/>
      <c r="L11" s="90"/>
      <c r="M11" s="45"/>
      <c r="O11" s="1">
        <f>IF(C16=0,0,1)</f>
        <v>1</v>
      </c>
      <c r="R11" s="1">
        <f>IF(vend27[[#This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230</v>
      </c>
      <c r="D12" s="31"/>
      <c r="E12" s="75">
        <v>11099</v>
      </c>
      <c r="F12" s="76" t="s">
        <v>375</v>
      </c>
      <c r="G12" s="52" t="s">
        <v>46</v>
      </c>
      <c r="H12" s="40">
        <v>180</v>
      </c>
      <c r="I12" s="40"/>
      <c r="J12" s="31"/>
      <c r="K12" s="34"/>
      <c r="L12" s="34"/>
      <c r="M12" s="34"/>
      <c r="R12" s="1">
        <f>IF(vend27[[#This Row],[Nº Venda]]&gt;1,1,0)</f>
        <v>1</v>
      </c>
    </row>
    <row r="13" spans="2:18" ht="16.5" x14ac:dyDescent="0.3">
      <c r="B13" s="29" t="s">
        <v>8</v>
      </c>
      <c r="C13" s="69">
        <f t="shared" si="0"/>
        <v>1929.9</v>
      </c>
      <c r="D13" s="31"/>
      <c r="E13" s="75">
        <v>11100</v>
      </c>
      <c r="F13" s="76" t="s">
        <v>371</v>
      </c>
      <c r="G13" s="52" t="s">
        <v>8</v>
      </c>
      <c r="H13" s="40">
        <v>280</v>
      </c>
      <c r="I13" s="40">
        <v>280</v>
      </c>
      <c r="J13" s="31"/>
      <c r="K13" s="113" t="s">
        <v>142</v>
      </c>
      <c r="L13" s="114"/>
      <c r="M13" s="115"/>
      <c r="R13" s="1">
        <f>IF(vend27[[#This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IF(vend27[[#This Row],[Nº Venda]]&gt;1,1,0)</f>
        <v>0</v>
      </c>
    </row>
    <row r="15" spans="2:18" ht="16.5" x14ac:dyDescent="0.3">
      <c r="B15" s="29" t="s">
        <v>10</v>
      </c>
      <c r="C15" s="69">
        <f t="shared" si="0"/>
        <v>130</v>
      </c>
      <c r="D15" s="31"/>
      <c r="E15" s="75"/>
      <c r="F15" s="76"/>
      <c r="G15" s="52"/>
      <c r="H15" s="40"/>
      <c r="I15" s="40"/>
      <c r="J15" s="31"/>
      <c r="K15" s="75">
        <v>10803</v>
      </c>
      <c r="L15" s="90" t="s">
        <v>130</v>
      </c>
      <c r="M15" s="45" t="s">
        <v>149</v>
      </c>
      <c r="R15" s="1">
        <f>IF(vend27[[#This Row],[Nº Venda]]&gt;1,1,0)</f>
        <v>0</v>
      </c>
    </row>
    <row r="16" spans="2:18" ht="16.5" x14ac:dyDescent="0.3">
      <c r="B16" s="32" t="s">
        <v>11</v>
      </c>
      <c r="C16" s="70">
        <f>SUM(C11:C15)</f>
        <v>2297.9</v>
      </c>
      <c r="D16" s="31"/>
      <c r="E16" s="75"/>
      <c r="F16" s="76"/>
      <c r="G16" s="52"/>
      <c r="H16" s="40"/>
      <c r="I16" s="40"/>
      <c r="J16" s="31"/>
      <c r="K16" s="75">
        <v>10957</v>
      </c>
      <c r="L16" s="90" t="s">
        <v>128</v>
      </c>
      <c r="M16" s="45" t="s">
        <v>149</v>
      </c>
      <c r="R16" s="1">
        <f>IF(vend27[[#This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11060</v>
      </c>
      <c r="L17" s="90" t="s">
        <v>134</v>
      </c>
      <c r="M17" s="45" t="s">
        <v>149</v>
      </c>
      <c r="R17" s="1">
        <f>IF(vend27[[#This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/>
      <c r="L18" s="90"/>
      <c r="M18" s="45"/>
      <c r="R18" s="1">
        <f>IF(vend27[[#This Row],[Nº Venda]]&gt;1,1,0)</f>
        <v>0</v>
      </c>
    </row>
    <row r="19" spans="2:18" ht="16.5" x14ac:dyDescent="0.3">
      <c r="B19" s="29">
        <f>COUNT(entr_carn27[OS])</f>
        <v>0</v>
      </c>
      <c r="C19" s="69">
        <f>SUM(entr_carn27[Valor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IF(vend27[[#This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IF(vend27[[#This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3638.9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10804</v>
      </c>
      <c r="F26" s="76" t="s">
        <v>376</v>
      </c>
      <c r="G26" s="52" t="s">
        <v>6</v>
      </c>
      <c r="H26" s="40"/>
      <c r="I26" s="40">
        <v>8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10804</v>
      </c>
      <c r="F27" s="76" t="s">
        <v>376</v>
      </c>
      <c r="G27" s="52" t="s">
        <v>10</v>
      </c>
      <c r="H27" s="40"/>
      <c r="I27" s="40">
        <v>100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10832</v>
      </c>
      <c r="F35" s="76" t="s">
        <v>373</v>
      </c>
      <c r="G35" s="52" t="s">
        <v>10</v>
      </c>
      <c r="H35" s="40">
        <v>30</v>
      </c>
      <c r="I35" s="40" t="s">
        <v>66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8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zoomScale="90" zoomScaleNormal="9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'27'!B1+1</f>
        <v>45805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1802.69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1270.19</v>
      </c>
      <c r="D6" s="31"/>
      <c r="E6" s="75">
        <v>11101</v>
      </c>
      <c r="F6" s="76" t="s">
        <v>378</v>
      </c>
      <c r="G6" s="52" t="s">
        <v>6</v>
      </c>
      <c r="H6" s="40">
        <v>280</v>
      </c>
      <c r="I6" s="40">
        <v>50</v>
      </c>
      <c r="J6" s="31"/>
      <c r="K6" s="76" t="s">
        <v>172</v>
      </c>
      <c r="L6" s="90" t="s">
        <v>10</v>
      </c>
      <c r="M6" s="45">
        <v>3.39</v>
      </c>
      <c r="R6" s="1">
        <f>IF(vend28[[#This Row],[Nº Venda]]&gt;1,1,0)</f>
        <v>1</v>
      </c>
    </row>
    <row r="7" spans="2:18" ht="16.5" x14ac:dyDescent="0.3">
      <c r="B7" s="29" t="s">
        <v>3</v>
      </c>
      <c r="C7" s="30">
        <f>SUM(M6:M11)</f>
        <v>1037.2900000000002</v>
      </c>
      <c r="D7" s="31"/>
      <c r="E7" s="75">
        <v>11102</v>
      </c>
      <c r="F7" s="76" t="s">
        <v>379</v>
      </c>
      <c r="G7" s="52" t="s">
        <v>10</v>
      </c>
      <c r="H7" s="40">
        <v>590</v>
      </c>
      <c r="I7" s="40">
        <v>100</v>
      </c>
      <c r="J7" s="31"/>
      <c r="K7" s="76" t="s">
        <v>384</v>
      </c>
      <c r="L7" s="90" t="s">
        <v>10</v>
      </c>
      <c r="M7" s="45">
        <v>9.5</v>
      </c>
      <c r="R7" s="1">
        <f>IF(vend28[[#This Row],[Nº Venda]]&gt;1,1,0)</f>
        <v>1</v>
      </c>
    </row>
    <row r="8" spans="2:18" ht="16.5" x14ac:dyDescent="0.3">
      <c r="B8" s="32" t="s">
        <v>21</v>
      </c>
      <c r="C8" s="33">
        <f>SUM(C6:C7)</f>
        <v>2307.4800000000005</v>
      </c>
      <c r="D8" s="31"/>
      <c r="E8" s="75">
        <v>11103</v>
      </c>
      <c r="F8" s="76" t="s">
        <v>379</v>
      </c>
      <c r="G8" s="52" t="s">
        <v>46</v>
      </c>
      <c r="H8" s="40"/>
      <c r="I8" s="40"/>
      <c r="J8" s="31"/>
      <c r="K8" s="76" t="s">
        <v>386</v>
      </c>
      <c r="L8" s="90" t="s">
        <v>6</v>
      </c>
      <c r="M8" s="45">
        <v>1024.4000000000001</v>
      </c>
      <c r="R8" s="1">
        <f>IF(vend28[[#This Row],[Nº Venda]]&gt;1,1,0)</f>
        <v>1</v>
      </c>
    </row>
    <row r="9" spans="2:18" ht="16.5" x14ac:dyDescent="0.3">
      <c r="B9" s="28"/>
      <c r="C9" s="28"/>
      <c r="D9" s="31"/>
      <c r="E9" s="75">
        <v>11104</v>
      </c>
      <c r="F9" s="76" t="s">
        <v>379</v>
      </c>
      <c r="G9" s="52" t="s">
        <v>7</v>
      </c>
      <c r="H9" s="40">
        <v>14.7</v>
      </c>
      <c r="I9" s="40">
        <v>14.7</v>
      </c>
      <c r="J9" s="31"/>
      <c r="K9" s="76"/>
      <c r="L9" s="90"/>
      <c r="M9" s="45"/>
      <c r="R9" s="1">
        <f>IF(vend28[[#This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11105</v>
      </c>
      <c r="F10" s="76" t="s">
        <v>382</v>
      </c>
      <c r="G10" s="52" t="s">
        <v>36</v>
      </c>
      <c r="H10" s="40"/>
      <c r="I10" s="40"/>
      <c r="J10" s="31"/>
      <c r="K10" s="76"/>
      <c r="L10" s="90"/>
      <c r="M10" s="45"/>
      <c r="R10" s="1">
        <f>IF(vend28[[#This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185</v>
      </c>
      <c r="D11" s="31"/>
      <c r="E11" s="75">
        <v>11106</v>
      </c>
      <c r="F11" s="76" t="s">
        <v>383</v>
      </c>
      <c r="G11" s="52" t="s">
        <v>10</v>
      </c>
      <c r="H11" s="40">
        <v>39.99</v>
      </c>
      <c r="I11" s="40">
        <v>39.99</v>
      </c>
      <c r="J11" s="31"/>
      <c r="K11" s="39"/>
      <c r="L11" s="90"/>
      <c r="M11" s="45"/>
      <c r="O11" s="1">
        <f>IF(C16=0,0,1)</f>
        <v>1</v>
      </c>
      <c r="R11" s="1">
        <f>IF(vend28[[#This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173.7</v>
      </c>
      <c r="D12" s="31"/>
      <c r="E12" s="75">
        <v>11107</v>
      </c>
      <c r="F12" s="76" t="s">
        <v>387</v>
      </c>
      <c r="G12" s="52" t="s">
        <v>8</v>
      </c>
      <c r="H12" s="40">
        <v>699</v>
      </c>
      <c r="I12" s="40">
        <v>699</v>
      </c>
      <c r="J12" s="31"/>
      <c r="K12" s="34"/>
      <c r="L12" s="34"/>
      <c r="M12" s="34"/>
      <c r="R12" s="1">
        <f>IF(vend28[[#This Row],[Nº Venda]]&gt;1,1,0)</f>
        <v>1</v>
      </c>
    </row>
    <row r="13" spans="2:18" ht="16.5" x14ac:dyDescent="0.3">
      <c r="B13" s="29" t="s">
        <v>8</v>
      </c>
      <c r="C13" s="69">
        <f t="shared" si="0"/>
        <v>699</v>
      </c>
      <c r="D13" s="31"/>
      <c r="E13" s="75">
        <v>11108</v>
      </c>
      <c r="F13" s="76" t="s">
        <v>385</v>
      </c>
      <c r="G13" s="52" t="s">
        <v>6</v>
      </c>
      <c r="H13" s="40">
        <v>20</v>
      </c>
      <c r="I13" s="40">
        <v>20</v>
      </c>
      <c r="J13" s="31"/>
      <c r="K13" s="113" t="s">
        <v>142</v>
      </c>
      <c r="L13" s="114"/>
      <c r="M13" s="115"/>
      <c r="R13" s="1">
        <f>IF(vend28[[#This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11109</v>
      </c>
      <c r="F14" s="76" t="s">
        <v>388</v>
      </c>
      <c r="G14" s="52" t="s">
        <v>7</v>
      </c>
      <c r="H14" s="40">
        <v>159</v>
      </c>
      <c r="I14" s="40">
        <v>159</v>
      </c>
      <c r="J14" s="31"/>
      <c r="K14" s="23" t="s">
        <v>22</v>
      </c>
      <c r="L14" s="24" t="s">
        <v>23</v>
      </c>
      <c r="M14" s="25" t="s">
        <v>24</v>
      </c>
      <c r="R14" s="1">
        <f>IF(vend28[[#This Row],[Nº Venda]]&gt;1,1,0)</f>
        <v>1</v>
      </c>
    </row>
    <row r="15" spans="2:18" ht="16.5" x14ac:dyDescent="0.3">
      <c r="B15" s="29" t="s">
        <v>10</v>
      </c>
      <c r="C15" s="69">
        <f t="shared" si="0"/>
        <v>212.49</v>
      </c>
      <c r="D15" s="31"/>
      <c r="E15" s="75"/>
      <c r="F15" s="76"/>
      <c r="G15" s="52"/>
      <c r="H15" s="40"/>
      <c r="I15" s="40"/>
      <c r="J15" s="31"/>
      <c r="K15" s="75">
        <v>10967</v>
      </c>
      <c r="L15" s="90" t="s">
        <v>128</v>
      </c>
      <c r="M15" s="45" t="s">
        <v>149</v>
      </c>
      <c r="R15" s="1">
        <f>IF(vend28[[#This Row],[Nº Venda]]&gt;1,1,0)</f>
        <v>0</v>
      </c>
    </row>
    <row r="16" spans="2:18" ht="16.5" x14ac:dyDescent="0.3">
      <c r="B16" s="32" t="s">
        <v>11</v>
      </c>
      <c r="C16" s="70">
        <f>SUM(C11:C15)</f>
        <v>1270.19</v>
      </c>
      <c r="D16" s="31"/>
      <c r="E16" s="75"/>
      <c r="F16" s="76"/>
      <c r="G16" s="52"/>
      <c r="H16" s="40"/>
      <c r="I16" s="40"/>
      <c r="J16" s="31"/>
      <c r="K16" s="75">
        <v>11021</v>
      </c>
      <c r="L16" s="90" t="s">
        <v>128</v>
      </c>
      <c r="M16" s="45" t="s">
        <v>149</v>
      </c>
      <c r="R16" s="1">
        <f>IF(vend28[[#This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11031</v>
      </c>
      <c r="L17" s="90" t="s">
        <v>128</v>
      </c>
      <c r="M17" s="45" t="s">
        <v>149</v>
      </c>
      <c r="R17" s="1">
        <f>IF(vend28[[#This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 t="s">
        <v>54</v>
      </c>
      <c r="J18" s="31"/>
      <c r="K18" s="75">
        <v>11039</v>
      </c>
      <c r="L18" s="90" t="s">
        <v>128</v>
      </c>
      <c r="M18" s="45" t="s">
        <v>149</v>
      </c>
      <c r="R18" s="1">
        <f>IF(vend28[[#This Row],[Nº Venda]]&gt;1,1,0)</f>
        <v>0</v>
      </c>
    </row>
    <row r="19" spans="2:18" ht="16.5" x14ac:dyDescent="0.3">
      <c r="B19" s="29">
        <f>COUNT(entr_carn28[OS])</f>
        <v>0</v>
      </c>
      <c r="C19" s="69">
        <f>SUM(entr_carn28[Valor Total])</f>
        <v>0</v>
      </c>
      <c r="D19" s="31"/>
      <c r="E19" s="75"/>
      <c r="F19" s="76"/>
      <c r="G19" s="52"/>
      <c r="H19" s="40"/>
      <c r="I19" s="40"/>
      <c r="J19" s="31"/>
      <c r="K19" s="75">
        <v>11051</v>
      </c>
      <c r="L19" s="90" t="s">
        <v>134</v>
      </c>
      <c r="M19" s="45" t="s">
        <v>149</v>
      </c>
      <c r="R19" s="1">
        <f>IF(vend28[[#This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>
        <v>11061</v>
      </c>
      <c r="L20" s="90" t="s">
        <v>130</v>
      </c>
      <c r="M20" s="45" t="s">
        <v>149</v>
      </c>
      <c r="R20" s="1">
        <f>IF(vend28[[#This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11068</v>
      </c>
      <c r="L21" s="90" t="s">
        <v>128</v>
      </c>
      <c r="M21" s="45" t="s">
        <v>149</v>
      </c>
    </row>
    <row r="22" spans="2:18" ht="16.5" x14ac:dyDescent="0.3">
      <c r="B22" s="32" t="s">
        <v>25</v>
      </c>
      <c r="C22" s="35">
        <f>C5</f>
        <v>1802.69</v>
      </c>
      <c r="D22" s="31"/>
      <c r="E22" s="77"/>
      <c r="F22" s="76"/>
      <c r="G22" s="52"/>
      <c r="H22" s="40"/>
      <c r="I22" s="40"/>
      <c r="J22" s="31"/>
      <c r="K22" s="75">
        <v>11104</v>
      </c>
      <c r="L22" s="90" t="s">
        <v>128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>
        <v>11109</v>
      </c>
      <c r="L23" s="90" t="s">
        <v>130</v>
      </c>
      <c r="M23" s="45" t="s">
        <v>149</v>
      </c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/>
      <c r="F26" s="76"/>
      <c r="G26" s="52"/>
      <c r="H26" s="40"/>
      <c r="I26" s="40"/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10891</v>
      </c>
      <c r="F35" s="76" t="s">
        <v>380</v>
      </c>
      <c r="G35" s="52" t="s">
        <v>6</v>
      </c>
      <c r="H35" s="40">
        <v>115</v>
      </c>
      <c r="I35" s="40" t="s">
        <v>32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>
        <v>9845</v>
      </c>
      <c r="F36" s="76" t="s">
        <v>381</v>
      </c>
      <c r="G36" s="52" t="s">
        <v>10</v>
      </c>
      <c r="H36" s="40">
        <v>72.5</v>
      </c>
      <c r="I36" s="40" t="s">
        <v>47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9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topLeftCell="B1" zoomScale="90" zoomScaleNormal="9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40.140625" style="11" bestFit="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'28'!B1+1</f>
        <v>45806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2310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2490</v>
      </c>
      <c r="D6" s="31"/>
      <c r="E6" s="75">
        <v>11110</v>
      </c>
      <c r="F6" s="76" t="s">
        <v>389</v>
      </c>
      <c r="G6" s="52" t="s">
        <v>36</v>
      </c>
      <c r="H6" s="40"/>
      <c r="I6" s="40"/>
      <c r="J6" s="31"/>
      <c r="K6" s="76" t="s">
        <v>172</v>
      </c>
      <c r="L6" s="90" t="s">
        <v>10</v>
      </c>
      <c r="M6" s="45">
        <v>3.81</v>
      </c>
      <c r="R6" s="1">
        <f>IF(vend29[[#This Row],[Nº Venda]]&gt;1,1,0)</f>
        <v>1</v>
      </c>
    </row>
    <row r="7" spans="2:18" ht="16.5" x14ac:dyDescent="0.3">
      <c r="B7" s="29" t="s">
        <v>3</v>
      </c>
      <c r="C7" s="30">
        <f>SUM(M6:M11)</f>
        <v>3.81</v>
      </c>
      <c r="D7" s="31"/>
      <c r="E7" s="75">
        <v>11111</v>
      </c>
      <c r="F7" s="76" t="s">
        <v>390</v>
      </c>
      <c r="G7" s="52" t="s">
        <v>6</v>
      </c>
      <c r="H7" s="40">
        <v>70</v>
      </c>
      <c r="I7" s="40">
        <v>50</v>
      </c>
      <c r="J7" s="31"/>
      <c r="K7" s="76"/>
      <c r="L7" s="90"/>
      <c r="M7" s="45"/>
      <c r="R7" s="1">
        <f>IF(vend29[[#This Row],[Nº Venda]]&gt;1,1,0)</f>
        <v>1</v>
      </c>
    </row>
    <row r="8" spans="2:18" ht="16.5" x14ac:dyDescent="0.3">
      <c r="B8" s="32" t="s">
        <v>21</v>
      </c>
      <c r="C8" s="33">
        <f>SUM(C6:C7)</f>
        <v>2493.81</v>
      </c>
      <c r="D8" s="31"/>
      <c r="E8" s="75">
        <v>11112</v>
      </c>
      <c r="F8" s="76" t="s">
        <v>393</v>
      </c>
      <c r="G8" s="52" t="s">
        <v>8</v>
      </c>
      <c r="H8" s="40">
        <v>1390</v>
      </c>
      <c r="I8" s="40">
        <v>1390</v>
      </c>
      <c r="J8" s="31"/>
      <c r="K8" s="76"/>
      <c r="L8" s="90"/>
      <c r="M8" s="45"/>
      <c r="R8" s="1">
        <f>IF(vend29[[#This Row],[Nº Venda]]&gt;1,1,0)</f>
        <v>1</v>
      </c>
    </row>
    <row r="9" spans="2:18" ht="16.5" x14ac:dyDescent="0.3">
      <c r="B9" s="28"/>
      <c r="C9" s="28"/>
      <c r="D9" s="31"/>
      <c r="E9" s="75">
        <v>11113</v>
      </c>
      <c r="F9" s="76" t="s">
        <v>392</v>
      </c>
      <c r="G9" s="52" t="s">
        <v>8</v>
      </c>
      <c r="H9" s="40">
        <v>850</v>
      </c>
      <c r="I9" s="40">
        <v>850</v>
      </c>
      <c r="J9" s="31"/>
      <c r="K9" s="76"/>
      <c r="L9" s="90"/>
      <c r="M9" s="45"/>
      <c r="R9" s="1">
        <f>IF(vend29[[#This Row],[Nº Venda]]&gt;1,1,0)</f>
        <v>1</v>
      </c>
    </row>
    <row r="10" spans="2:18" ht="16.5" x14ac:dyDescent="0.3">
      <c r="B10" s="120" t="s">
        <v>5</v>
      </c>
      <c r="C10" s="121"/>
      <c r="D10" s="31"/>
      <c r="E10" s="75"/>
      <c r="F10" s="76"/>
      <c r="G10" s="52"/>
      <c r="H10" s="40"/>
      <c r="I10" s="40" t="s">
        <v>54</v>
      </c>
      <c r="J10" s="31"/>
      <c r="K10" s="76"/>
      <c r="L10" s="90"/>
      <c r="M10" s="45"/>
      <c r="R10" s="1">
        <f>IF(vend29[[#This Row],[Nº Venda]]&gt;1,1,0)</f>
        <v>0</v>
      </c>
    </row>
    <row r="11" spans="2:18" ht="16.5" x14ac:dyDescent="0.3">
      <c r="B11" s="29" t="s">
        <v>6</v>
      </c>
      <c r="C11" s="69">
        <f>(SUMIF($G$2:$G$31,B11,$I$2:$I$31))+(SUMIF($G$35:$G$41,B11,$H$35:$H$41))</f>
        <v>250</v>
      </c>
      <c r="D11" s="31"/>
      <c r="E11" s="75"/>
      <c r="F11" s="76"/>
      <c r="G11" s="52"/>
      <c r="H11" s="40"/>
      <c r="I11" s="40"/>
      <c r="J11" s="31"/>
      <c r="K11" s="39"/>
      <c r="L11" s="90"/>
      <c r="M11" s="45"/>
      <c r="O11" s="1">
        <f>IF(C16=0,0,1)</f>
        <v>1</v>
      </c>
      <c r="R11" s="1">
        <f>IF(vend29[[#This Row],[Nº Venda]]&gt;1,1,0)</f>
        <v>0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/>
      <c r="F12" s="76"/>
      <c r="G12" s="52"/>
      <c r="H12" s="40"/>
      <c r="I12" s="40"/>
      <c r="J12" s="31"/>
      <c r="K12" s="34"/>
      <c r="L12" s="34"/>
      <c r="M12" s="34"/>
      <c r="R12" s="1">
        <f>IF(vend29[[#This Row],[Nº Venda]]&gt;1,1,0)</f>
        <v>0</v>
      </c>
    </row>
    <row r="13" spans="2:18" ht="16.5" x14ac:dyDescent="0.3">
      <c r="B13" s="29" t="s">
        <v>8</v>
      </c>
      <c r="C13" s="69">
        <f t="shared" si="0"/>
        <v>2240</v>
      </c>
      <c r="D13" s="31"/>
      <c r="E13" s="75"/>
      <c r="F13" s="76"/>
      <c r="G13" s="52"/>
      <c r="H13" s="40"/>
      <c r="I13" s="40"/>
      <c r="J13" s="31"/>
      <c r="K13" s="113" t="s">
        <v>142</v>
      </c>
      <c r="L13" s="114"/>
      <c r="M13" s="115"/>
      <c r="R13" s="1">
        <f>IF(vend29[[#This Row],[Nº Venda]]&gt;1,1,0)</f>
        <v>0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/>
      <c r="F14" s="76"/>
      <c r="G14" s="52"/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IF(vend29[[#This Row],[Nº Venda]]&gt;1,1,0)</f>
        <v>0</v>
      </c>
    </row>
    <row r="15" spans="2:18" ht="16.5" x14ac:dyDescent="0.3">
      <c r="B15" s="29" t="s">
        <v>10</v>
      </c>
      <c r="C15" s="69">
        <f t="shared" si="0"/>
        <v>0</v>
      </c>
      <c r="D15" s="31"/>
      <c r="E15" s="75"/>
      <c r="F15" s="76"/>
      <c r="G15" s="52"/>
      <c r="H15" s="40"/>
      <c r="I15" s="40"/>
      <c r="J15" s="31"/>
      <c r="K15" s="75">
        <v>10930</v>
      </c>
      <c r="L15" s="90" t="s">
        <v>128</v>
      </c>
      <c r="M15" s="45" t="s">
        <v>149</v>
      </c>
      <c r="R15" s="1">
        <f>IF(vend29[[#This Row],[Nº Venda]]&gt;1,1,0)</f>
        <v>0</v>
      </c>
    </row>
    <row r="16" spans="2:18" ht="16.5" x14ac:dyDescent="0.3">
      <c r="B16" s="32" t="s">
        <v>11</v>
      </c>
      <c r="C16" s="70">
        <f>SUM(C11:C15)</f>
        <v>2490</v>
      </c>
      <c r="D16" s="31"/>
      <c r="E16" s="75"/>
      <c r="F16" s="76"/>
      <c r="G16" s="52"/>
      <c r="H16" s="40"/>
      <c r="I16" s="40"/>
      <c r="J16" s="31"/>
      <c r="K16" s="75">
        <v>10978</v>
      </c>
      <c r="L16" s="90" t="s">
        <v>130</v>
      </c>
      <c r="M16" s="45" t="s">
        <v>149</v>
      </c>
      <c r="R16" s="1">
        <f>IF(vend29[[#This Row],[Nº Venda]]&gt;1,1,0)</f>
        <v>0</v>
      </c>
    </row>
    <row r="17" spans="2:18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>
        <v>11004</v>
      </c>
      <c r="L17" s="90" t="s">
        <v>130</v>
      </c>
      <c r="M17" s="45" t="s">
        <v>209</v>
      </c>
      <c r="R17" s="1">
        <f>IF(vend29[[#This Row],[Nº Venda]]&gt;1,1,0)</f>
        <v>0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11020</v>
      </c>
      <c r="L18" s="90" t="s">
        <v>130</v>
      </c>
      <c r="M18" s="45" t="s">
        <v>149</v>
      </c>
      <c r="R18" s="1">
        <f>IF(vend29[[#This Row],[Nº Venda]]&gt;1,1,0)</f>
        <v>0</v>
      </c>
    </row>
    <row r="19" spans="2:18" ht="16.5" x14ac:dyDescent="0.3">
      <c r="B19" s="29">
        <f>COUNT(entr_carn29[OS])</f>
        <v>2</v>
      </c>
      <c r="C19" s="69">
        <f>SUM(entr_carn29[Valor Total])</f>
        <v>1079.9000000000001</v>
      </c>
      <c r="D19" s="31"/>
      <c r="E19" s="75"/>
      <c r="F19" s="76"/>
      <c r="G19" s="52"/>
      <c r="H19" s="40"/>
      <c r="I19" s="40"/>
      <c r="J19" s="31"/>
      <c r="K19" s="75">
        <v>11032</v>
      </c>
      <c r="L19" s="90" t="s">
        <v>130</v>
      </c>
      <c r="M19" s="45" t="s">
        <v>149</v>
      </c>
      <c r="R19" s="1">
        <f>IF(vend29[[#This Row],[Nº Venda]]&gt;1,1,0)</f>
        <v>0</v>
      </c>
    </row>
    <row r="20" spans="2:18" ht="16.5" x14ac:dyDescent="0.3">
      <c r="B20" s="32" t="s">
        <v>11</v>
      </c>
      <c r="C20" s="70">
        <f>SUM(C19:C19)</f>
        <v>1079.9000000000001</v>
      </c>
      <c r="D20" s="31"/>
      <c r="E20" s="75"/>
      <c r="F20" s="52"/>
      <c r="G20" s="52"/>
      <c r="H20" s="40"/>
      <c r="I20" s="40"/>
      <c r="J20" s="31"/>
      <c r="K20" s="75">
        <v>11070</v>
      </c>
      <c r="L20" s="90" t="s">
        <v>128</v>
      </c>
      <c r="M20" s="45" t="s">
        <v>149</v>
      </c>
      <c r="R20" s="1">
        <f>IF(vend29[[#This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</row>
    <row r="22" spans="2:18" ht="16.5" x14ac:dyDescent="0.3">
      <c r="B22" s="32" t="s">
        <v>25</v>
      </c>
      <c r="C22" s="35">
        <f>C5</f>
        <v>2310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18" ht="16.5" x14ac:dyDescent="0.3">
      <c r="B26" s="31"/>
      <c r="C26" s="31"/>
      <c r="D26" s="31"/>
      <c r="E26" s="75">
        <v>11032</v>
      </c>
      <c r="F26" s="76" t="s">
        <v>391</v>
      </c>
      <c r="G26" s="52" t="s">
        <v>6</v>
      </c>
      <c r="H26" s="40"/>
      <c r="I26" s="40">
        <v>100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/>
      <c r="F27" s="76"/>
      <c r="G27" s="52"/>
      <c r="H27" s="40"/>
      <c r="I27" s="40"/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10811</v>
      </c>
      <c r="F35" s="76" t="s">
        <v>155</v>
      </c>
      <c r="G35" s="52" t="s">
        <v>6</v>
      </c>
      <c r="H35" s="40">
        <v>100</v>
      </c>
      <c r="I35" s="40" t="s">
        <v>72</v>
      </c>
      <c r="J35" s="39"/>
      <c r="K35" s="75">
        <v>11004</v>
      </c>
      <c r="L35" s="75">
        <v>3</v>
      </c>
      <c r="M35" s="90">
        <v>359.9</v>
      </c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>
        <v>11003</v>
      </c>
      <c r="L36" s="75">
        <v>7</v>
      </c>
      <c r="M36" s="90">
        <v>720</v>
      </c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4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tabSelected="1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'29'!B1+1</f>
        <v>45807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2065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2515</v>
      </c>
      <c r="D6" s="31"/>
      <c r="E6" s="75">
        <v>11114</v>
      </c>
      <c r="F6" s="76" t="s">
        <v>396</v>
      </c>
      <c r="G6" s="52" t="s">
        <v>46</v>
      </c>
      <c r="H6" s="40">
        <v>299.5</v>
      </c>
      <c r="I6" s="40"/>
      <c r="J6" s="31"/>
      <c r="K6" s="76" t="s">
        <v>172</v>
      </c>
      <c r="L6" s="90" t="s">
        <v>10</v>
      </c>
      <c r="M6" s="45">
        <v>3.86</v>
      </c>
      <c r="R6" s="1">
        <f>IF(vend30[[#This Row],[Nº Venda]]&gt;1,1,0)</f>
        <v>1</v>
      </c>
    </row>
    <row r="7" spans="2:18" ht="16.5" x14ac:dyDescent="0.3">
      <c r="B7" s="29" t="s">
        <v>3</v>
      </c>
      <c r="C7" s="30">
        <f>SUM(M6:M11)</f>
        <v>3.86</v>
      </c>
      <c r="D7" s="31"/>
      <c r="E7" s="75">
        <v>11115</v>
      </c>
      <c r="F7" s="76" t="s">
        <v>396</v>
      </c>
      <c r="G7" s="52" t="s">
        <v>46</v>
      </c>
      <c r="H7" s="40">
        <v>299.5</v>
      </c>
      <c r="I7" s="40"/>
      <c r="J7" s="31"/>
      <c r="K7" s="76"/>
      <c r="L7" s="90"/>
      <c r="M7" s="45"/>
      <c r="R7" s="1">
        <f>IF(vend30[[#This Row],[Nº Venda]]&gt;1,1,0)</f>
        <v>1</v>
      </c>
    </row>
    <row r="8" spans="2:18" ht="16.5" x14ac:dyDescent="0.3">
      <c r="B8" s="32" t="s">
        <v>21</v>
      </c>
      <c r="C8" s="33">
        <f>SUM(C6:C7)</f>
        <v>2518.86</v>
      </c>
      <c r="D8" s="31"/>
      <c r="E8" s="75">
        <v>11116</v>
      </c>
      <c r="F8" s="76" t="s">
        <v>394</v>
      </c>
      <c r="G8" s="52" t="s">
        <v>8</v>
      </c>
      <c r="H8" s="40">
        <v>890</v>
      </c>
      <c r="I8" s="40">
        <v>890</v>
      </c>
      <c r="J8" s="31"/>
      <c r="K8" s="76"/>
      <c r="L8" s="90"/>
      <c r="M8" s="45"/>
      <c r="R8" s="1">
        <f>IF(vend30[[#This Row],[Nº Venda]]&gt;1,1,0)</f>
        <v>1</v>
      </c>
    </row>
    <row r="9" spans="2:18" ht="16.5" x14ac:dyDescent="0.3">
      <c r="B9" s="28"/>
      <c r="C9" s="28"/>
      <c r="D9" s="31"/>
      <c r="E9" s="75">
        <v>11117</v>
      </c>
      <c r="F9" s="76" t="s">
        <v>394</v>
      </c>
      <c r="G9" s="52" t="s">
        <v>8</v>
      </c>
      <c r="H9" s="40">
        <v>200</v>
      </c>
      <c r="I9" s="40">
        <v>200</v>
      </c>
      <c r="J9" s="31"/>
      <c r="K9" s="76"/>
      <c r="L9" s="90"/>
      <c r="M9" s="45"/>
      <c r="R9" s="1">
        <f>IF(vend30[[#This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11118</v>
      </c>
      <c r="F10" s="76" t="s">
        <v>395</v>
      </c>
      <c r="G10" s="52" t="s">
        <v>6</v>
      </c>
      <c r="H10" s="40">
        <v>110</v>
      </c>
      <c r="I10" s="40">
        <v>10</v>
      </c>
      <c r="J10" s="31"/>
      <c r="K10" s="76"/>
      <c r="L10" s="90"/>
      <c r="M10" s="45"/>
      <c r="R10" s="1">
        <f>IF(vend30[[#This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186.5</v>
      </c>
      <c r="D11" s="31"/>
      <c r="E11" s="75">
        <v>11119</v>
      </c>
      <c r="F11" s="76" t="s">
        <v>397</v>
      </c>
      <c r="G11" s="52" t="s">
        <v>6</v>
      </c>
      <c r="H11" s="40">
        <v>865</v>
      </c>
      <c r="I11" s="40">
        <v>50</v>
      </c>
      <c r="J11" s="31"/>
      <c r="K11" s="39"/>
      <c r="L11" s="90"/>
      <c r="M11" s="45"/>
      <c r="O11" s="1">
        <f>IF(C16=0,0,1)</f>
        <v>1</v>
      </c>
      <c r="R11" s="1">
        <f>IF(vend30[[#This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0</v>
      </c>
      <c r="D12" s="31"/>
      <c r="E12" s="75">
        <v>11120</v>
      </c>
      <c r="F12" s="76" t="s">
        <v>355</v>
      </c>
      <c r="G12" s="52" t="s">
        <v>46</v>
      </c>
      <c r="H12" s="40"/>
      <c r="I12" s="40"/>
      <c r="J12" s="31"/>
      <c r="K12" s="34"/>
      <c r="L12" s="34"/>
      <c r="M12" s="34"/>
      <c r="R12" s="1">
        <f>IF(vend30[[#This Row],[Nº Venda]]&gt;1,1,0)</f>
        <v>1</v>
      </c>
    </row>
    <row r="13" spans="2:18" ht="16.5" x14ac:dyDescent="0.3">
      <c r="B13" s="29" t="s">
        <v>8</v>
      </c>
      <c r="C13" s="69">
        <f t="shared" si="0"/>
        <v>1939</v>
      </c>
      <c r="D13" s="31"/>
      <c r="E13" s="75">
        <v>11121</v>
      </c>
      <c r="F13" s="76" t="s">
        <v>401</v>
      </c>
      <c r="G13" s="52" t="s">
        <v>46</v>
      </c>
      <c r="H13" s="40"/>
      <c r="I13" s="40"/>
      <c r="J13" s="31"/>
      <c r="K13" s="113" t="s">
        <v>142</v>
      </c>
      <c r="L13" s="114"/>
      <c r="M13" s="115"/>
      <c r="R13" s="1">
        <f>IF(vend30[[#This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11122</v>
      </c>
      <c r="F14" s="76" t="s">
        <v>400</v>
      </c>
      <c r="G14" s="52" t="s">
        <v>36</v>
      </c>
      <c r="H14" s="40"/>
      <c r="I14" s="40"/>
      <c r="J14" s="31"/>
      <c r="K14" s="23" t="s">
        <v>22</v>
      </c>
      <c r="L14" s="24" t="s">
        <v>23</v>
      </c>
      <c r="M14" s="25" t="s">
        <v>24</v>
      </c>
      <c r="R14" s="1">
        <f>IF(vend30[[#This Row],[Nº Venda]]&gt;1,1,0)</f>
        <v>1</v>
      </c>
    </row>
    <row r="15" spans="2:18" ht="16.5" x14ac:dyDescent="0.3">
      <c r="B15" s="29" t="s">
        <v>10</v>
      </c>
      <c r="C15" s="69">
        <f t="shared" si="0"/>
        <v>389.5</v>
      </c>
      <c r="D15" s="31"/>
      <c r="E15" s="75"/>
      <c r="F15" s="76"/>
      <c r="G15" s="52"/>
      <c r="H15" s="40"/>
      <c r="I15" s="40"/>
      <c r="J15" s="31"/>
      <c r="K15" s="75">
        <v>10937</v>
      </c>
      <c r="L15" s="90" t="s">
        <v>128</v>
      </c>
      <c r="M15" s="45" t="s">
        <v>149</v>
      </c>
      <c r="R15" s="1">
        <f>IF(vend30[[#This Row],[Nº Venda]]&gt;1,1,0)</f>
        <v>0</v>
      </c>
    </row>
    <row r="16" spans="2:18" ht="16.5" x14ac:dyDescent="0.3">
      <c r="B16" s="32" t="s">
        <v>11</v>
      </c>
      <c r="C16" s="70">
        <f>SUM(C11:C15)</f>
        <v>2515</v>
      </c>
      <c r="D16" s="31"/>
      <c r="E16" s="75"/>
      <c r="F16" s="76"/>
      <c r="G16" s="52"/>
      <c r="H16" s="40"/>
      <c r="I16" s="40"/>
      <c r="J16" s="31"/>
      <c r="K16" s="75"/>
      <c r="L16" s="90"/>
      <c r="M16" s="45"/>
      <c r="R16" s="1">
        <f>IF(vend30[[#This Row],[Nº Venda]]&gt;1,1,0)</f>
        <v>0</v>
      </c>
    </row>
    <row r="17" spans="2:22" ht="16.5" x14ac:dyDescent="0.3">
      <c r="B17" s="28"/>
      <c r="C17" s="28"/>
      <c r="D17" s="31"/>
      <c r="E17" s="75"/>
      <c r="F17" s="76"/>
      <c r="G17" s="52"/>
      <c r="H17" s="40"/>
      <c r="I17" s="40"/>
      <c r="J17" s="31"/>
      <c r="K17" s="75"/>
      <c r="L17" s="90"/>
      <c r="M17" s="45"/>
      <c r="R17" s="1">
        <f>IF(vend30[[#This Row],[Nº Venda]]&gt;1,1,0)</f>
        <v>0</v>
      </c>
    </row>
    <row r="18" spans="2:22" ht="16.5" x14ac:dyDescent="0.3">
      <c r="B18" s="120" t="s">
        <v>12</v>
      </c>
      <c r="C18" s="121"/>
      <c r="D18" s="31"/>
      <c r="E18" s="75"/>
      <c r="F18" s="76" t="s">
        <v>54</v>
      </c>
      <c r="G18" s="52"/>
      <c r="H18" s="40"/>
      <c r="I18" s="40"/>
      <c r="J18" s="31"/>
      <c r="K18" s="75"/>
      <c r="L18" s="90"/>
      <c r="M18" s="45"/>
      <c r="R18" s="1">
        <f>IF(vend30[[#This Row],[Nº Venda]]&gt;1,1,0)</f>
        <v>0</v>
      </c>
    </row>
    <row r="19" spans="2:22" ht="16.5" x14ac:dyDescent="0.3">
      <c r="B19" s="29">
        <f>COUNT(entr_carn30[OS])</f>
        <v>0</v>
      </c>
      <c r="C19" s="69">
        <f>SUM(entr_carn30[Valor Total])</f>
        <v>0</v>
      </c>
      <c r="D19" s="31"/>
      <c r="E19" s="75"/>
      <c r="F19" s="76"/>
      <c r="G19" s="52"/>
      <c r="H19" s="40"/>
      <c r="I19" s="40"/>
      <c r="J19" s="31"/>
      <c r="K19" s="75"/>
      <c r="L19" s="90"/>
      <c r="M19" s="45"/>
      <c r="R19" s="1">
        <f>IF(vend30[[#This Row],[Nº Venda]]&gt;1,1,0)</f>
        <v>0</v>
      </c>
    </row>
    <row r="20" spans="2:22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/>
      <c r="L20" s="90"/>
      <c r="M20" s="45"/>
      <c r="R20" s="1">
        <f>IF(vend30[[#This Row],[Nº Venda]]&gt;1,1,0)</f>
        <v>0</v>
      </c>
    </row>
    <row r="21" spans="2:22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/>
      <c r="L21" s="90"/>
      <c r="M21" s="45"/>
      <c r="V21" s="1" t="s">
        <v>121</v>
      </c>
    </row>
    <row r="22" spans="2:22" ht="16.5" x14ac:dyDescent="0.3">
      <c r="B22" s="32" t="s">
        <v>25</v>
      </c>
      <c r="C22" s="35">
        <f>C5</f>
        <v>2065</v>
      </c>
      <c r="D22" s="31"/>
      <c r="E22" s="77"/>
      <c r="F22" s="76"/>
      <c r="G22" s="52"/>
      <c r="H22" s="40"/>
      <c r="I22" s="40"/>
      <c r="J22" s="31"/>
      <c r="K22" s="75"/>
      <c r="L22" s="90"/>
      <c r="M22" s="45"/>
    </row>
    <row r="23" spans="2:22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/>
      <c r="L23" s="90"/>
      <c r="M23" s="45"/>
    </row>
    <row r="24" spans="2:22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/>
      <c r="L24" s="90"/>
      <c r="M24" s="45"/>
    </row>
    <row r="25" spans="2:22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/>
      <c r="L25" s="90"/>
      <c r="M25" s="45"/>
    </row>
    <row r="26" spans="2:22" ht="16.5" x14ac:dyDescent="0.3">
      <c r="B26" s="31"/>
      <c r="C26" s="31"/>
      <c r="D26" s="31"/>
      <c r="E26" s="75">
        <v>11650</v>
      </c>
      <c r="F26" s="76" t="s">
        <v>419</v>
      </c>
      <c r="G26" s="52" t="s">
        <v>8</v>
      </c>
      <c r="H26" s="40"/>
      <c r="I26" s="40">
        <v>280</v>
      </c>
      <c r="J26" s="31"/>
      <c r="K26" s="75"/>
      <c r="L26" s="90"/>
      <c r="M26" s="45"/>
    </row>
    <row r="27" spans="2:22" ht="16.5" x14ac:dyDescent="0.3">
      <c r="B27" s="31"/>
      <c r="C27" s="31"/>
      <c r="D27" s="31"/>
      <c r="E27" s="75">
        <v>11649</v>
      </c>
      <c r="F27" s="76" t="s">
        <v>419</v>
      </c>
      <c r="G27" s="52" t="s">
        <v>8</v>
      </c>
      <c r="H27" s="40"/>
      <c r="I27" s="40">
        <v>569</v>
      </c>
      <c r="J27" s="31"/>
      <c r="K27" s="75"/>
      <c r="L27" s="90"/>
      <c r="M27" s="45"/>
    </row>
    <row r="28" spans="2:22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22" ht="16.5" x14ac:dyDescent="0.3">
      <c r="B29" s="31"/>
      <c r="C29" s="31"/>
      <c r="D29" s="31"/>
      <c r="E29" s="75"/>
      <c r="F29" s="76"/>
      <c r="G29" s="52"/>
      <c r="H29" s="40"/>
      <c r="I29" s="40" t="s">
        <v>54</v>
      </c>
      <c r="J29" s="31"/>
      <c r="K29" s="75"/>
      <c r="L29" s="90"/>
      <c r="M29" s="45"/>
    </row>
    <row r="30" spans="2:22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22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22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9942</v>
      </c>
      <c r="F35" s="76" t="s">
        <v>398</v>
      </c>
      <c r="G35" s="52" t="s">
        <v>6</v>
      </c>
      <c r="H35" s="40">
        <v>100</v>
      </c>
      <c r="I35" s="40" t="s">
        <v>56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>
        <v>10620</v>
      </c>
      <c r="F36" s="76" t="s">
        <v>399</v>
      </c>
      <c r="G36" s="52" t="s">
        <v>6</v>
      </c>
      <c r="H36" s="40">
        <v>26.5</v>
      </c>
      <c r="I36" s="40" t="s">
        <v>41</v>
      </c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>
        <v>9981</v>
      </c>
      <c r="F37" s="76" t="s">
        <v>402</v>
      </c>
      <c r="G37" s="52" t="s">
        <v>10</v>
      </c>
      <c r="H37" s="40">
        <v>150</v>
      </c>
      <c r="I37" s="40" t="s">
        <v>57</v>
      </c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>
        <v>9750</v>
      </c>
      <c r="F38" s="76" t="s">
        <v>403</v>
      </c>
      <c r="G38" s="52" t="s">
        <v>10</v>
      </c>
      <c r="H38" s="40">
        <v>189.5</v>
      </c>
      <c r="I38" s="40" t="s">
        <v>95</v>
      </c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>
        <v>10941</v>
      </c>
      <c r="F39" s="52" t="s">
        <v>404</v>
      </c>
      <c r="G39" s="52" t="s">
        <v>10</v>
      </c>
      <c r="H39" s="40">
        <v>50</v>
      </c>
      <c r="I39" s="40" t="s">
        <v>38</v>
      </c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9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topLeftCell="C1" zoomScale="90" zoomScaleNormal="90" workbookViewId="0">
      <selection activeCell="K7" sqref="K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1" customWidth="1"/>
    <col min="6" max="6" width="34.7109375" style="11" customWidth="1"/>
    <col min="7" max="7" width="15.7109375" style="11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9">
        <f>'30'!B1+1</f>
        <v>45808</v>
      </c>
      <c r="C1" s="109"/>
      <c r="L1" s="110" t="s">
        <v>136</v>
      </c>
      <c r="M1" s="110"/>
    </row>
    <row r="2" spans="2:18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6" t="s">
        <v>0</v>
      </c>
      <c r="C4" s="27">
        <v>0</v>
      </c>
      <c r="D4" s="59"/>
      <c r="E4" s="119" t="s">
        <v>137</v>
      </c>
      <c r="F4" s="119"/>
      <c r="G4" s="119"/>
      <c r="H4" s="119"/>
      <c r="I4" s="119"/>
      <c r="J4" s="31"/>
      <c r="K4" s="113" t="s">
        <v>138</v>
      </c>
      <c r="L4" s="114"/>
      <c r="M4" s="115"/>
    </row>
    <row r="5" spans="2:18" ht="16.5" x14ac:dyDescent="0.3">
      <c r="B5" s="29" t="s">
        <v>1</v>
      </c>
      <c r="C5" s="30">
        <f>SUMIF(I6:I31,"&gt;0",H6:H31)</f>
        <v>4357.3999999999996</v>
      </c>
      <c r="D5" s="31"/>
      <c r="E5" s="15" t="s">
        <v>14</v>
      </c>
      <c r="F5" s="15" t="s">
        <v>15</v>
      </c>
      <c r="G5" s="16" t="s">
        <v>16</v>
      </c>
      <c r="H5" s="17" t="s">
        <v>17</v>
      </c>
      <c r="I5" s="18" t="s">
        <v>2</v>
      </c>
      <c r="J5" s="31"/>
      <c r="K5" s="23" t="s">
        <v>18</v>
      </c>
      <c r="L5" s="24" t="s">
        <v>19</v>
      </c>
      <c r="M5" s="25" t="s">
        <v>20</v>
      </c>
    </row>
    <row r="6" spans="2:18" ht="16.5" x14ac:dyDescent="0.3">
      <c r="B6" s="29" t="s">
        <v>2</v>
      </c>
      <c r="C6" s="30">
        <f>C16</f>
        <v>3594.3900000000003</v>
      </c>
      <c r="D6" s="31"/>
      <c r="E6" s="75">
        <v>11123</v>
      </c>
      <c r="F6" s="76" t="s">
        <v>407</v>
      </c>
      <c r="G6" s="52" t="s">
        <v>8</v>
      </c>
      <c r="H6" s="40">
        <v>250</v>
      </c>
      <c r="I6" s="40">
        <v>250</v>
      </c>
      <c r="J6" s="31"/>
      <c r="K6" s="76" t="s">
        <v>412</v>
      </c>
      <c r="L6" s="90" t="s">
        <v>7</v>
      </c>
      <c r="M6" s="45">
        <v>29.98</v>
      </c>
      <c r="R6" s="1">
        <f>IF(vend31[[#This Row],[Nº Venda]]&gt;1,1,0)</f>
        <v>1</v>
      </c>
    </row>
    <row r="7" spans="2:18" ht="16.5" x14ac:dyDescent="0.3">
      <c r="B7" s="29" t="s">
        <v>3</v>
      </c>
      <c r="C7" s="30">
        <f>SUM(M6:M11)</f>
        <v>129.97999999999999</v>
      </c>
      <c r="D7" s="31"/>
      <c r="E7" s="75">
        <v>11124</v>
      </c>
      <c r="F7" s="76" t="s">
        <v>408</v>
      </c>
      <c r="G7" s="52" t="s">
        <v>7</v>
      </c>
      <c r="H7" s="40">
        <v>590</v>
      </c>
      <c r="I7" s="40">
        <v>590</v>
      </c>
      <c r="J7" s="31"/>
      <c r="K7" s="76" t="s">
        <v>289</v>
      </c>
      <c r="L7" s="90" t="s">
        <v>6</v>
      </c>
      <c r="M7" s="45">
        <v>100</v>
      </c>
      <c r="R7" s="1">
        <f>IF(vend31[[#This Row],[Nº Venda]]&gt;1,1,0)</f>
        <v>1</v>
      </c>
    </row>
    <row r="8" spans="2:18" ht="16.5" x14ac:dyDescent="0.3">
      <c r="B8" s="32" t="s">
        <v>21</v>
      </c>
      <c r="C8" s="33">
        <f>SUM(C6:C7)</f>
        <v>3724.3700000000003</v>
      </c>
      <c r="D8" s="31"/>
      <c r="E8" s="75">
        <v>11125</v>
      </c>
      <c r="F8" s="76" t="s">
        <v>408</v>
      </c>
      <c r="G8" s="52" t="s">
        <v>46</v>
      </c>
      <c r="H8" s="40">
        <v>0</v>
      </c>
      <c r="I8" s="40">
        <v>0</v>
      </c>
      <c r="J8" s="31"/>
      <c r="K8" s="76"/>
      <c r="L8" s="90"/>
      <c r="M8" s="45"/>
      <c r="R8" s="1">
        <f>IF(vend31[[#This Row],[Nº Venda]]&gt;1,1,0)</f>
        <v>1</v>
      </c>
    </row>
    <row r="9" spans="2:18" ht="16.5" x14ac:dyDescent="0.3">
      <c r="B9" s="28"/>
      <c r="C9" s="28"/>
      <c r="D9" s="31"/>
      <c r="E9" s="75">
        <v>11126</v>
      </c>
      <c r="F9" s="76" t="s">
        <v>410</v>
      </c>
      <c r="G9" s="52" t="s">
        <v>10</v>
      </c>
      <c r="H9" s="40">
        <v>30</v>
      </c>
      <c r="I9" s="40">
        <v>30</v>
      </c>
      <c r="J9" s="31"/>
      <c r="K9" s="76"/>
      <c r="L9" s="90"/>
      <c r="M9" s="45"/>
      <c r="R9" s="1">
        <f>IF(vend31[[#This Row],[Nº Venda]]&gt;1,1,0)</f>
        <v>1</v>
      </c>
    </row>
    <row r="10" spans="2:18" ht="16.5" x14ac:dyDescent="0.3">
      <c r="B10" s="120" t="s">
        <v>5</v>
      </c>
      <c r="C10" s="121"/>
      <c r="D10" s="31"/>
      <c r="E10" s="75">
        <v>11127</v>
      </c>
      <c r="F10" s="76" t="s">
        <v>417</v>
      </c>
      <c r="G10" s="52" t="s">
        <v>7</v>
      </c>
      <c r="H10" s="40">
        <v>860</v>
      </c>
      <c r="I10" s="40">
        <v>10</v>
      </c>
      <c r="J10" s="31"/>
      <c r="K10" s="76"/>
      <c r="L10" s="90"/>
      <c r="M10" s="45"/>
      <c r="R10" s="1">
        <f>IF(vend31[[#This Row],[Nº Venda]]&gt;1,1,0)</f>
        <v>1</v>
      </c>
    </row>
    <row r="11" spans="2:18" ht="16.5" x14ac:dyDescent="0.3">
      <c r="B11" s="29" t="s">
        <v>6</v>
      </c>
      <c r="C11" s="69">
        <f>(SUMIF($G$2:$G$31,B11,$I$2:$I$31))+(SUMIF($G$35:$G$41,B11,$H$35:$H$41))</f>
        <v>100</v>
      </c>
      <c r="D11" s="31"/>
      <c r="E11" s="75">
        <v>11128</v>
      </c>
      <c r="F11" s="76" t="s">
        <v>413</v>
      </c>
      <c r="G11" s="52" t="s">
        <v>10</v>
      </c>
      <c r="H11" s="40">
        <v>359</v>
      </c>
      <c r="I11" s="40">
        <v>359</v>
      </c>
      <c r="J11" s="31"/>
      <c r="K11" s="39"/>
      <c r="L11" s="90"/>
      <c r="M11" s="45"/>
      <c r="O11" s="1">
        <f>IF(C16=0,0,1)</f>
        <v>1</v>
      </c>
      <c r="R11" s="1">
        <f>IF(vend31[[#This Row],[Nº Venda]]&gt;1,1,0)</f>
        <v>1</v>
      </c>
    </row>
    <row r="12" spans="2:18" ht="16.5" x14ac:dyDescent="0.3">
      <c r="B12" s="29" t="s">
        <v>7</v>
      </c>
      <c r="C12" s="69">
        <f t="shared" ref="C12:C15" si="0">(SUMIF($G$2:$G$31,B12,$I$2:$I$31))+(SUMIF($G$35:$G$41,B12,$H$35:$H$41))</f>
        <v>629.4</v>
      </c>
      <c r="D12" s="31"/>
      <c r="E12" s="75">
        <v>11129</v>
      </c>
      <c r="F12" s="76" t="s">
        <v>411</v>
      </c>
      <c r="G12" s="52" t="s">
        <v>10</v>
      </c>
      <c r="H12" s="40">
        <v>370</v>
      </c>
      <c r="I12" s="40">
        <v>370</v>
      </c>
      <c r="J12" s="31"/>
      <c r="K12" s="34"/>
      <c r="L12" s="34"/>
      <c r="M12" s="34"/>
      <c r="R12" s="1">
        <f>IF(vend31[[#This Row],[Nº Venda]]&gt;1,1,0)</f>
        <v>1</v>
      </c>
    </row>
    <row r="13" spans="2:18" ht="16.5" x14ac:dyDescent="0.3">
      <c r="B13" s="29" t="s">
        <v>8</v>
      </c>
      <c r="C13" s="69">
        <f t="shared" si="0"/>
        <v>1300</v>
      </c>
      <c r="D13" s="31"/>
      <c r="E13" s="75">
        <v>11130</v>
      </c>
      <c r="F13" s="76" t="s">
        <v>415</v>
      </c>
      <c r="G13" s="52" t="s">
        <v>10</v>
      </c>
      <c r="H13" s="40">
        <v>999</v>
      </c>
      <c r="I13" s="40">
        <v>399.99</v>
      </c>
      <c r="J13" s="31"/>
      <c r="K13" s="113" t="s">
        <v>142</v>
      </c>
      <c r="L13" s="114"/>
      <c r="M13" s="115"/>
      <c r="R13" s="1">
        <f>IF(vend31[[#This Row],[Nº Venda]]&gt;1,1,0)</f>
        <v>1</v>
      </c>
    </row>
    <row r="14" spans="2:18" ht="16.5" x14ac:dyDescent="0.3">
      <c r="B14" s="29" t="s">
        <v>9</v>
      </c>
      <c r="C14" s="69">
        <f t="shared" si="0"/>
        <v>0</v>
      </c>
      <c r="D14" s="31"/>
      <c r="E14" s="75">
        <v>11131</v>
      </c>
      <c r="F14" s="76" t="s">
        <v>416</v>
      </c>
      <c r="G14" s="52" t="s">
        <v>10</v>
      </c>
      <c r="H14" s="40">
        <v>320</v>
      </c>
      <c r="I14" s="40">
        <v>300</v>
      </c>
      <c r="J14" s="31"/>
      <c r="K14" s="23" t="s">
        <v>22</v>
      </c>
      <c r="L14" s="24" t="s">
        <v>23</v>
      </c>
      <c r="M14" s="25" t="s">
        <v>24</v>
      </c>
      <c r="R14" s="1">
        <f>IF(vend31[[#This Row],[Nº Venda]]&gt;1,1,0)</f>
        <v>1</v>
      </c>
    </row>
    <row r="15" spans="2:18" ht="16.5" x14ac:dyDescent="0.3">
      <c r="B15" s="29" t="s">
        <v>10</v>
      </c>
      <c r="C15" s="69">
        <f t="shared" si="0"/>
        <v>1564.99</v>
      </c>
      <c r="D15" s="31"/>
      <c r="E15" s="75">
        <v>11131</v>
      </c>
      <c r="F15" s="76" t="s">
        <v>416</v>
      </c>
      <c r="G15" s="52" t="s">
        <v>8</v>
      </c>
      <c r="H15" s="40">
        <v>0</v>
      </c>
      <c r="I15" s="40">
        <v>20</v>
      </c>
      <c r="J15" s="31"/>
      <c r="K15" s="75">
        <v>10835</v>
      </c>
      <c r="L15" s="90" t="s">
        <v>128</v>
      </c>
      <c r="M15" s="45" t="s">
        <v>149</v>
      </c>
      <c r="R15" s="1">
        <f>IF(vend31[[#This Row],[Nº Venda]]&gt;1,1,0)</f>
        <v>1</v>
      </c>
    </row>
    <row r="16" spans="2:18" ht="16.5" x14ac:dyDescent="0.3">
      <c r="B16" s="32" t="s">
        <v>11</v>
      </c>
      <c r="C16" s="70">
        <f>SUM(C11:C15)</f>
        <v>3594.3900000000003</v>
      </c>
      <c r="D16" s="31"/>
      <c r="E16" s="75">
        <v>11132</v>
      </c>
      <c r="F16" s="76" t="s">
        <v>416</v>
      </c>
      <c r="G16" s="52" t="s">
        <v>8</v>
      </c>
      <c r="H16" s="40">
        <v>550</v>
      </c>
      <c r="I16" s="40">
        <v>550</v>
      </c>
      <c r="J16" s="31"/>
      <c r="K16" s="75">
        <v>10911</v>
      </c>
      <c r="L16" s="90" t="s">
        <v>134</v>
      </c>
      <c r="M16" s="45" t="s">
        <v>149</v>
      </c>
      <c r="R16" s="1">
        <f>IF(vend31[[#This Row],[Nº Venda]]&gt;1,1,0)</f>
        <v>1</v>
      </c>
    </row>
    <row r="17" spans="2:18" ht="16.5" x14ac:dyDescent="0.3">
      <c r="B17" s="28"/>
      <c r="C17" s="28"/>
      <c r="D17" s="31"/>
      <c r="E17" s="75">
        <v>11133</v>
      </c>
      <c r="F17" s="76" t="s">
        <v>416</v>
      </c>
      <c r="G17" s="52" t="s">
        <v>7</v>
      </c>
      <c r="H17" s="40">
        <v>29.4</v>
      </c>
      <c r="I17" s="40">
        <v>29.4</v>
      </c>
      <c r="J17" s="31"/>
      <c r="K17" s="75">
        <v>10927</v>
      </c>
      <c r="L17" s="90" t="s">
        <v>134</v>
      </c>
      <c r="M17" s="45" t="s">
        <v>149</v>
      </c>
      <c r="R17" s="1">
        <f>IF(vend31[[#This Row],[Nº Venda]]&gt;1,1,0)</f>
        <v>1</v>
      </c>
    </row>
    <row r="18" spans="2:18" ht="16.5" x14ac:dyDescent="0.3">
      <c r="B18" s="120" t="s">
        <v>12</v>
      </c>
      <c r="C18" s="121"/>
      <c r="D18" s="31"/>
      <c r="E18" s="75"/>
      <c r="F18" s="76"/>
      <c r="G18" s="52"/>
      <c r="H18" s="40"/>
      <c r="I18" s="40"/>
      <c r="J18" s="31"/>
      <c r="K18" s="75">
        <v>10938</v>
      </c>
      <c r="L18" s="90" t="s">
        <v>128</v>
      </c>
      <c r="M18" s="45" t="s">
        <v>149</v>
      </c>
      <c r="R18" s="1">
        <f>IF(vend31[[#This Row],[Nº Venda]]&gt;1,1,0)</f>
        <v>0</v>
      </c>
    </row>
    <row r="19" spans="2:18" ht="16.5" x14ac:dyDescent="0.3">
      <c r="B19" s="29">
        <f>COUNT(entr_carn31[OS])</f>
        <v>0</v>
      </c>
      <c r="C19" s="69">
        <f>SUM(entr_carn31[Valor Total])</f>
        <v>0</v>
      </c>
      <c r="D19" s="31"/>
      <c r="E19" s="75"/>
      <c r="F19" s="76"/>
      <c r="G19" s="52"/>
      <c r="H19" s="40"/>
      <c r="I19" s="40"/>
      <c r="J19" s="31"/>
      <c r="K19" s="75">
        <v>10971</v>
      </c>
      <c r="L19" s="90" t="s">
        <v>128</v>
      </c>
      <c r="M19" s="45" t="s">
        <v>149</v>
      </c>
      <c r="R19" s="1">
        <f>IF(vend31[[#This Row],[Nº Venda]]&gt;1,1,0)</f>
        <v>0</v>
      </c>
    </row>
    <row r="20" spans="2:18" ht="16.5" x14ac:dyDescent="0.3">
      <c r="B20" s="32" t="s">
        <v>11</v>
      </c>
      <c r="C20" s="70">
        <f>SUM(C19:C19)</f>
        <v>0</v>
      </c>
      <c r="D20" s="31"/>
      <c r="E20" s="75"/>
      <c r="F20" s="52"/>
      <c r="G20" s="52"/>
      <c r="H20" s="40"/>
      <c r="I20" s="40"/>
      <c r="J20" s="31"/>
      <c r="K20" s="75">
        <v>10994</v>
      </c>
      <c r="L20" s="90" t="s">
        <v>130</v>
      </c>
      <c r="M20" s="45" t="s">
        <v>149</v>
      </c>
      <c r="R20" s="1">
        <f>IF(vend31[[#This Row],[Nº Venda]]&gt;1,1,0)</f>
        <v>0</v>
      </c>
    </row>
    <row r="21" spans="2:18" ht="16.5" x14ac:dyDescent="0.3">
      <c r="B21" s="28"/>
      <c r="C21" s="28"/>
      <c r="D21" s="31"/>
      <c r="E21" s="75"/>
      <c r="F21" s="76"/>
      <c r="G21" s="52"/>
      <c r="H21" s="40"/>
      <c r="I21" s="40"/>
      <c r="J21" s="31"/>
      <c r="K21" s="75">
        <v>11002</v>
      </c>
      <c r="L21" s="90" t="s">
        <v>128</v>
      </c>
      <c r="M21" s="45" t="s">
        <v>149</v>
      </c>
    </row>
    <row r="22" spans="2:18" ht="16.5" x14ac:dyDescent="0.3">
      <c r="B22" s="32" t="s">
        <v>25</v>
      </c>
      <c r="C22" s="35">
        <f>C5</f>
        <v>4357.3999999999996</v>
      </c>
      <c r="D22" s="31"/>
      <c r="E22" s="77"/>
      <c r="F22" s="76"/>
      <c r="G22" s="52"/>
      <c r="H22" s="40"/>
      <c r="I22" s="40"/>
      <c r="J22" s="31"/>
      <c r="K22" s="75">
        <v>11058</v>
      </c>
      <c r="L22" s="90" t="s">
        <v>134</v>
      </c>
      <c r="M22" s="45" t="s">
        <v>149</v>
      </c>
    </row>
    <row r="23" spans="2:18" ht="16.5" x14ac:dyDescent="0.3">
      <c r="B23" s="31"/>
      <c r="C23" s="31"/>
      <c r="D23" s="31"/>
      <c r="E23" s="36"/>
      <c r="F23" s="36"/>
      <c r="G23" s="36"/>
      <c r="H23" s="37"/>
      <c r="I23" s="38"/>
      <c r="J23" s="31"/>
      <c r="K23" s="75">
        <v>11118</v>
      </c>
      <c r="L23" s="90" t="s">
        <v>130</v>
      </c>
      <c r="M23" s="45" t="s">
        <v>149</v>
      </c>
    </row>
    <row r="24" spans="2:18" ht="16.5" x14ac:dyDescent="0.3">
      <c r="B24" s="31"/>
      <c r="C24" s="31"/>
      <c r="D24" s="31"/>
      <c r="E24" s="111" t="s">
        <v>139</v>
      </c>
      <c r="F24" s="112"/>
      <c r="G24" s="112"/>
      <c r="H24" s="112"/>
      <c r="I24" s="112"/>
      <c r="J24" s="31"/>
      <c r="K24" s="75">
        <v>11123</v>
      </c>
      <c r="L24" s="90" t="s">
        <v>130</v>
      </c>
      <c r="M24" s="45" t="s">
        <v>149</v>
      </c>
    </row>
    <row r="25" spans="2:18" ht="16.5" x14ac:dyDescent="0.3">
      <c r="B25" s="31"/>
      <c r="C25" s="31"/>
      <c r="D25" s="31"/>
      <c r="E25" s="16" t="s">
        <v>14</v>
      </c>
      <c r="F25" s="15" t="s">
        <v>15</v>
      </c>
      <c r="G25" s="16" t="s">
        <v>16</v>
      </c>
      <c r="H25" s="17" t="s">
        <v>17</v>
      </c>
      <c r="I25" s="17" t="s">
        <v>2</v>
      </c>
      <c r="J25" s="31"/>
      <c r="K25" s="75">
        <v>11133</v>
      </c>
      <c r="L25" s="90" t="s">
        <v>130</v>
      </c>
      <c r="M25" s="45" t="s">
        <v>149</v>
      </c>
    </row>
    <row r="26" spans="2:18" ht="16.5" x14ac:dyDescent="0.3">
      <c r="B26" s="31"/>
      <c r="C26" s="31"/>
      <c r="D26" s="31"/>
      <c r="E26" s="75">
        <v>11058</v>
      </c>
      <c r="F26" s="76" t="s">
        <v>409</v>
      </c>
      <c r="G26" s="52" t="s">
        <v>8</v>
      </c>
      <c r="H26" s="40">
        <v>0</v>
      </c>
      <c r="I26" s="40">
        <v>480</v>
      </c>
      <c r="J26" s="31"/>
      <c r="K26" s="75"/>
      <c r="L26" s="90"/>
      <c r="M26" s="45"/>
    </row>
    <row r="27" spans="2:18" ht="16.5" x14ac:dyDescent="0.3">
      <c r="B27" s="31"/>
      <c r="C27" s="31"/>
      <c r="D27" s="31"/>
      <c r="E27" s="75">
        <v>11118</v>
      </c>
      <c r="F27" s="76" t="s">
        <v>395</v>
      </c>
      <c r="G27" s="52" t="s">
        <v>6</v>
      </c>
      <c r="H27" s="40">
        <v>0</v>
      </c>
      <c r="I27" s="40">
        <v>100</v>
      </c>
      <c r="J27" s="31"/>
      <c r="K27" s="75"/>
      <c r="L27" s="90"/>
      <c r="M27" s="45"/>
    </row>
    <row r="28" spans="2:18" ht="16.5" x14ac:dyDescent="0.3">
      <c r="B28" s="31"/>
      <c r="C28" s="31"/>
      <c r="D28" s="31"/>
      <c r="E28" s="75"/>
      <c r="F28" s="76"/>
      <c r="G28" s="52"/>
      <c r="H28" s="40"/>
      <c r="I28" s="40"/>
      <c r="J28" s="31"/>
      <c r="K28" s="75"/>
      <c r="L28" s="90"/>
      <c r="M28" s="45"/>
    </row>
    <row r="29" spans="2:18" ht="16.5" x14ac:dyDescent="0.3">
      <c r="B29" s="31"/>
      <c r="C29" s="31"/>
      <c r="D29" s="31"/>
      <c r="E29" s="75"/>
      <c r="F29" s="76"/>
      <c r="G29" s="52"/>
      <c r="H29" s="40"/>
      <c r="I29" s="40"/>
      <c r="J29" s="31"/>
      <c r="K29" s="75"/>
      <c r="L29" s="90"/>
      <c r="M29" s="45"/>
    </row>
    <row r="30" spans="2:18" ht="16.5" x14ac:dyDescent="0.3">
      <c r="B30" s="31"/>
      <c r="C30" s="31"/>
      <c r="D30" s="31"/>
      <c r="E30" s="75"/>
      <c r="F30" s="52"/>
      <c r="G30" s="52"/>
      <c r="H30" s="40"/>
      <c r="I30" s="40"/>
      <c r="J30" s="31"/>
      <c r="K30" s="75"/>
      <c r="L30" s="90"/>
      <c r="M30" s="45"/>
    </row>
    <row r="31" spans="2:18" ht="16.5" x14ac:dyDescent="0.3">
      <c r="B31" s="31"/>
      <c r="C31" s="31"/>
      <c r="D31" s="31"/>
      <c r="E31" s="77"/>
      <c r="F31" s="78"/>
      <c r="G31" s="43"/>
      <c r="H31" s="44"/>
      <c r="I31" s="44"/>
      <c r="J31" s="31"/>
      <c r="K31" s="75"/>
      <c r="L31" s="90"/>
      <c r="M31" s="45"/>
    </row>
    <row r="32" spans="2:18" ht="16.5" x14ac:dyDescent="0.3">
      <c r="B32" s="31"/>
      <c r="C32" s="31"/>
      <c r="D32" s="39"/>
      <c r="E32" s="36"/>
      <c r="F32" s="36"/>
      <c r="G32" s="36"/>
      <c r="H32" s="38"/>
      <c r="I32" s="38"/>
      <c r="J32" s="39"/>
      <c r="K32" s="34"/>
      <c r="L32" s="34"/>
      <c r="M32" s="34"/>
    </row>
    <row r="33" spans="2:18" ht="16.5" x14ac:dyDescent="0.3">
      <c r="B33" s="31"/>
      <c r="C33" s="31"/>
      <c r="D33" s="39"/>
      <c r="E33" s="111" t="s">
        <v>140</v>
      </c>
      <c r="F33" s="112"/>
      <c r="G33" s="112"/>
      <c r="H33" s="112"/>
      <c r="I33" s="112"/>
      <c r="J33" s="39"/>
      <c r="K33" s="113" t="s">
        <v>141</v>
      </c>
      <c r="L33" s="114"/>
      <c r="M33" s="115"/>
    </row>
    <row r="34" spans="2:18" ht="16.5" x14ac:dyDescent="0.3">
      <c r="B34" s="39"/>
      <c r="C34" s="39"/>
      <c r="D34" s="39"/>
      <c r="E34" s="16" t="s">
        <v>22</v>
      </c>
      <c r="F34" s="15" t="s">
        <v>15</v>
      </c>
      <c r="G34" s="16" t="s">
        <v>16</v>
      </c>
      <c r="H34" s="17" t="s">
        <v>26</v>
      </c>
      <c r="I34" s="17" t="s">
        <v>27</v>
      </c>
      <c r="J34" s="39"/>
      <c r="K34" s="24" t="s">
        <v>22</v>
      </c>
      <c r="L34" s="23" t="s">
        <v>28</v>
      </c>
      <c r="M34" s="24" t="s">
        <v>29</v>
      </c>
    </row>
    <row r="35" spans="2:18" ht="16.5" customHeight="1" x14ac:dyDescent="0.25">
      <c r="B35" s="39"/>
      <c r="C35" s="39"/>
      <c r="D35" s="39"/>
      <c r="E35" s="75">
        <v>10085</v>
      </c>
      <c r="F35" s="76" t="s">
        <v>414</v>
      </c>
      <c r="G35" s="52" t="s">
        <v>10</v>
      </c>
      <c r="H35" s="40">
        <v>106</v>
      </c>
      <c r="I35" s="40" t="s">
        <v>76</v>
      </c>
      <c r="J35" s="39"/>
      <c r="K35" s="75"/>
      <c r="L35" s="75"/>
      <c r="M35" s="90"/>
    </row>
    <row r="36" spans="2:18" ht="16.5" customHeight="1" x14ac:dyDescent="0.25">
      <c r="B36" s="39"/>
      <c r="C36" s="39"/>
      <c r="D36" s="39"/>
      <c r="E36" s="82"/>
      <c r="F36" s="76"/>
      <c r="G36" s="52"/>
      <c r="H36" s="40"/>
      <c r="I36" s="40"/>
      <c r="J36" s="39"/>
      <c r="K36" s="75"/>
      <c r="L36" s="75"/>
      <c r="M36" s="90"/>
    </row>
    <row r="37" spans="2:18" ht="16.5" customHeight="1" x14ac:dyDescent="0.25">
      <c r="B37" s="39"/>
      <c r="C37" s="39"/>
      <c r="D37" s="39"/>
      <c r="E37" s="75"/>
      <c r="F37" s="76"/>
      <c r="G37" s="52"/>
      <c r="H37" s="40"/>
      <c r="I37" s="40"/>
      <c r="J37" s="39"/>
      <c r="K37" s="75"/>
      <c r="L37" s="75"/>
      <c r="M37" s="90"/>
    </row>
    <row r="38" spans="2:18" ht="16.5" customHeight="1" x14ac:dyDescent="0.25">
      <c r="B38" s="39"/>
      <c r="C38" s="39"/>
      <c r="D38" s="39"/>
      <c r="E38" s="75"/>
      <c r="F38" s="76"/>
      <c r="G38" s="52"/>
      <c r="H38" s="40"/>
      <c r="I38" s="40"/>
      <c r="J38" s="39"/>
      <c r="K38" s="75"/>
      <c r="L38" s="75"/>
      <c r="M38" s="90"/>
    </row>
    <row r="39" spans="2:18" ht="16.5" customHeight="1" x14ac:dyDescent="0.25">
      <c r="B39" s="39"/>
      <c r="C39" s="39"/>
      <c r="D39" s="39"/>
      <c r="E39" s="75"/>
      <c r="F39" s="52"/>
      <c r="G39" s="52"/>
      <c r="H39" s="40"/>
      <c r="I39" s="40"/>
      <c r="J39" s="39"/>
      <c r="K39" s="75"/>
      <c r="L39" s="75"/>
      <c r="M39" s="90"/>
    </row>
    <row r="40" spans="2:18" ht="16.5" customHeight="1" x14ac:dyDescent="0.25">
      <c r="B40" s="39"/>
      <c r="C40" s="39"/>
      <c r="D40" s="39"/>
      <c r="E40" s="77"/>
      <c r="F40" s="78"/>
      <c r="G40" s="43"/>
      <c r="H40" s="44"/>
      <c r="I40" s="40"/>
      <c r="J40" s="39"/>
      <c r="K40" s="77"/>
      <c r="L40" s="77"/>
      <c r="M40" s="91"/>
      <c r="Q40" s="1" t="s">
        <v>33</v>
      </c>
      <c r="R40" s="1">
        <f>SUM(R6:R21)</f>
        <v>12</v>
      </c>
    </row>
    <row r="41" spans="2:18" ht="16.5" customHeight="1" x14ac:dyDescent="0.25">
      <c r="B41" s="39"/>
      <c r="C41" s="39"/>
      <c r="D41" s="39"/>
      <c r="E41" s="81"/>
      <c r="F41" s="52"/>
      <c r="G41" s="52"/>
      <c r="H41" s="40"/>
      <c r="I41" s="40"/>
      <c r="J41" s="39"/>
      <c r="K41" s="75"/>
      <c r="L41" s="75"/>
      <c r="M41" s="91"/>
    </row>
    <row r="42" spans="2:18" ht="13.5" x14ac:dyDescent="0.25">
      <c r="B42" s="39"/>
      <c r="C42" s="39"/>
      <c r="D42" s="39"/>
      <c r="E42" s="36"/>
      <c r="F42" s="36"/>
      <c r="G42" s="36"/>
      <c r="H42" s="38"/>
      <c r="I42" s="38"/>
      <c r="J42" s="39"/>
      <c r="K42" s="34"/>
      <c r="L42" s="34"/>
      <c r="M42" s="34"/>
    </row>
    <row r="43" spans="2:18" ht="13.5" x14ac:dyDescent="0.25">
      <c r="B43" s="39"/>
      <c r="C43" s="39"/>
      <c r="D43" s="39"/>
      <c r="E43" s="36"/>
      <c r="F43" s="36"/>
      <c r="G43" s="36"/>
      <c r="H43" s="38"/>
      <c r="I43" s="38"/>
      <c r="J43" s="39"/>
      <c r="K43" s="34"/>
      <c r="L43" s="34"/>
      <c r="M43" s="34"/>
    </row>
    <row r="44" spans="2:18" ht="13.5" x14ac:dyDescent="0.25">
      <c r="B44" s="39"/>
      <c r="C44" s="39"/>
      <c r="D44" s="39"/>
      <c r="E44" s="36"/>
      <c r="F44" s="36"/>
      <c r="G44" s="36"/>
      <c r="H44" s="38"/>
      <c r="I44" s="38"/>
      <c r="J44" s="39"/>
      <c r="K44" s="34"/>
      <c r="L44" s="34"/>
      <c r="M44" s="34"/>
    </row>
    <row r="45" spans="2:18" ht="13.5" x14ac:dyDescent="0.25">
      <c r="B45" s="39"/>
      <c r="C45" s="39"/>
      <c r="D45" s="39"/>
      <c r="E45" s="36"/>
      <c r="F45" s="36"/>
      <c r="G45" s="36"/>
      <c r="H45" s="38"/>
      <c r="I45" s="38"/>
      <c r="J45" s="39"/>
      <c r="K45" s="34"/>
      <c r="L45" s="34"/>
      <c r="M45" s="34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K15:K31 E26:E31 E35:E41 K35:K41 E6:E22</xm:sqref>
        </x14:dataValidation>
        <x14:dataValidation type="list" allowBlank="1" showInputMessage="1" showErrorMessage="1" xr:uid="{48896A60-CF65-4297-AD79-D88F13BF7A80}">
          <x14:formula1>
            <xm:f>base!$A$2:$A$8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base!$A$2:$A$5</xm:f>
          </x14:formula1>
          <xm:sqref>G26:G31 G35:G41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135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D19" sqref="D19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2" t="s">
        <v>58</v>
      </c>
      <c r="B1" s="12" t="s">
        <v>59</v>
      </c>
      <c r="E1" s="12" t="s">
        <v>60</v>
      </c>
    </row>
    <row r="2" spans="1:5" x14ac:dyDescent="0.2">
      <c r="A2" s="12" t="s">
        <v>6</v>
      </c>
      <c r="B2" s="12" t="s">
        <v>61</v>
      </c>
      <c r="E2" t="s">
        <v>42</v>
      </c>
    </row>
    <row r="3" spans="1:5" x14ac:dyDescent="0.2">
      <c r="A3" s="12" t="s">
        <v>7</v>
      </c>
      <c r="B3" s="12" t="s">
        <v>62</v>
      </c>
      <c r="E3" t="s">
        <v>63</v>
      </c>
    </row>
    <row r="4" spans="1:5" x14ac:dyDescent="0.2">
      <c r="A4" s="12" t="s">
        <v>8</v>
      </c>
      <c r="B4" s="12" t="s">
        <v>64</v>
      </c>
      <c r="E4" t="s">
        <v>65</v>
      </c>
    </row>
    <row r="5" spans="1:5" x14ac:dyDescent="0.2">
      <c r="A5" s="12" t="s">
        <v>10</v>
      </c>
      <c r="B5" s="12" t="s">
        <v>10</v>
      </c>
      <c r="E5" t="s">
        <v>66</v>
      </c>
    </row>
    <row r="6" spans="1:5" x14ac:dyDescent="0.2">
      <c r="A6" s="12" t="s">
        <v>46</v>
      </c>
      <c r="B6" s="12" t="s">
        <v>67</v>
      </c>
      <c r="E6" t="s">
        <v>30</v>
      </c>
    </row>
    <row r="7" spans="1:5" x14ac:dyDescent="0.2">
      <c r="A7" t="s">
        <v>24</v>
      </c>
      <c r="B7" t="s">
        <v>69</v>
      </c>
      <c r="E7" t="s">
        <v>68</v>
      </c>
    </row>
    <row r="8" spans="1:5" x14ac:dyDescent="0.2">
      <c r="A8" s="12" t="s">
        <v>36</v>
      </c>
      <c r="B8" s="12" t="s">
        <v>70</v>
      </c>
      <c r="E8" t="s">
        <v>48</v>
      </c>
    </row>
    <row r="9" spans="1:5" x14ac:dyDescent="0.2">
      <c r="E9" t="s">
        <v>71</v>
      </c>
    </row>
    <row r="10" spans="1:5" x14ac:dyDescent="0.2">
      <c r="E10" t="s">
        <v>72</v>
      </c>
    </row>
    <row r="11" spans="1:5" x14ac:dyDescent="0.2">
      <c r="E11" t="s">
        <v>73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74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75</v>
      </c>
    </row>
    <row r="21" spans="5:5" x14ac:dyDescent="0.2">
      <c r="E21" t="s">
        <v>76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77</v>
      </c>
    </row>
    <row r="31" spans="5:5" x14ac:dyDescent="0.2">
      <c r="E31" t="s">
        <v>31</v>
      </c>
    </row>
    <row r="32" spans="5:5" x14ac:dyDescent="0.2">
      <c r="E32" t="s">
        <v>78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79</v>
      </c>
    </row>
    <row r="39" spans="5:5" x14ac:dyDescent="0.2">
      <c r="E39" t="s">
        <v>80</v>
      </c>
    </row>
    <row r="40" spans="5:5" x14ac:dyDescent="0.2">
      <c r="E40" t="s">
        <v>81</v>
      </c>
    </row>
    <row r="41" spans="5:5" x14ac:dyDescent="0.2">
      <c r="E41" t="s">
        <v>82</v>
      </c>
    </row>
    <row r="42" spans="5:5" x14ac:dyDescent="0.2">
      <c r="E42" t="s">
        <v>83</v>
      </c>
    </row>
    <row r="43" spans="5:5" x14ac:dyDescent="0.2">
      <c r="E43" t="s">
        <v>84</v>
      </c>
    </row>
    <row r="44" spans="5:5" x14ac:dyDescent="0.2">
      <c r="E44" t="s">
        <v>85</v>
      </c>
    </row>
    <row r="45" spans="5:5" x14ac:dyDescent="0.2">
      <c r="E45" t="s">
        <v>86</v>
      </c>
    </row>
    <row r="46" spans="5:5" x14ac:dyDescent="0.2">
      <c r="E46" t="s">
        <v>87</v>
      </c>
    </row>
    <row r="47" spans="5:5" x14ac:dyDescent="0.2">
      <c r="E47" t="s">
        <v>88</v>
      </c>
    </row>
    <row r="48" spans="5:5" x14ac:dyDescent="0.2">
      <c r="E48" t="s">
        <v>89</v>
      </c>
    </row>
    <row r="49" spans="5:5" x14ac:dyDescent="0.2">
      <c r="E49" t="s">
        <v>90</v>
      </c>
    </row>
    <row r="50" spans="5:5" x14ac:dyDescent="0.2">
      <c r="E50" t="s">
        <v>91</v>
      </c>
    </row>
    <row r="51" spans="5:5" x14ac:dyDescent="0.2">
      <c r="E51" t="s">
        <v>92</v>
      </c>
    </row>
    <row r="52" spans="5:5" x14ac:dyDescent="0.2">
      <c r="E52" t="s">
        <v>93</v>
      </c>
    </row>
    <row r="53" spans="5:5" x14ac:dyDescent="0.2">
      <c r="E53" t="s">
        <v>94</v>
      </c>
    </row>
    <row r="54" spans="5:5" x14ac:dyDescent="0.2">
      <c r="E54" t="s">
        <v>95</v>
      </c>
    </row>
    <row r="55" spans="5:5" x14ac:dyDescent="0.2">
      <c r="E55" t="s">
        <v>96</v>
      </c>
    </row>
    <row r="56" spans="5:5" x14ac:dyDescent="0.2">
      <c r="E56" t="s">
        <v>97</v>
      </c>
    </row>
    <row r="57" spans="5:5" x14ac:dyDescent="0.2">
      <c r="E57" t="s">
        <v>98</v>
      </c>
    </row>
    <row r="58" spans="5:5" x14ac:dyDescent="0.2">
      <c r="E58" t="s">
        <v>99</v>
      </c>
    </row>
    <row r="59" spans="5:5" x14ac:dyDescent="0.2">
      <c r="E59" t="s">
        <v>100</v>
      </c>
    </row>
    <row r="60" spans="5:5" x14ac:dyDescent="0.2">
      <c r="E60" t="s">
        <v>101</v>
      </c>
    </row>
    <row r="61" spans="5:5" x14ac:dyDescent="0.2">
      <c r="E61" t="s">
        <v>102</v>
      </c>
    </row>
    <row r="62" spans="5:5" x14ac:dyDescent="0.2">
      <c r="E62" t="s">
        <v>103</v>
      </c>
    </row>
    <row r="63" spans="5:5" x14ac:dyDescent="0.2">
      <c r="E63" t="s">
        <v>104</v>
      </c>
    </row>
    <row r="64" spans="5:5" x14ac:dyDescent="0.2">
      <c r="E64" t="s">
        <v>105</v>
      </c>
    </row>
    <row r="65" spans="5:5" x14ac:dyDescent="0.2">
      <c r="E65" t="s">
        <v>106</v>
      </c>
    </row>
    <row r="66" spans="5:5" x14ac:dyDescent="0.2">
      <c r="E66" t="s">
        <v>107</v>
      </c>
    </row>
    <row r="67" spans="5:5" x14ac:dyDescent="0.2">
      <c r="E67" t="s">
        <v>108</v>
      </c>
    </row>
    <row r="68" spans="5:5" x14ac:dyDescent="0.2">
      <c r="E68" t="s">
        <v>109</v>
      </c>
    </row>
    <row r="69" spans="5:5" x14ac:dyDescent="0.2">
      <c r="E69" t="s">
        <v>110</v>
      </c>
    </row>
    <row r="70" spans="5:5" x14ac:dyDescent="0.2">
      <c r="E70" t="s">
        <v>111</v>
      </c>
    </row>
    <row r="71" spans="5:5" x14ac:dyDescent="0.2">
      <c r="E71" t="s">
        <v>112</v>
      </c>
    </row>
    <row r="72" spans="5:5" x14ac:dyDescent="0.2">
      <c r="E72" t="s">
        <v>113</v>
      </c>
    </row>
    <row r="73" spans="5:5" x14ac:dyDescent="0.2">
      <c r="E73" t="s">
        <v>114</v>
      </c>
    </row>
    <row r="74" spans="5:5" x14ac:dyDescent="0.2">
      <c r="E74" t="s">
        <v>115</v>
      </c>
    </row>
    <row r="75" spans="5:5" x14ac:dyDescent="0.2">
      <c r="E75" t="s">
        <v>116</v>
      </c>
    </row>
    <row r="76" spans="5:5" x14ac:dyDescent="0.2">
      <c r="E76" t="s">
        <v>117</v>
      </c>
    </row>
    <row r="77" spans="5:5" x14ac:dyDescent="0.2">
      <c r="E77" t="s">
        <v>118</v>
      </c>
    </row>
    <row r="78" spans="5:5" x14ac:dyDescent="0.2">
      <c r="E78" t="s">
        <v>119</v>
      </c>
    </row>
    <row r="79" spans="5:5" x14ac:dyDescent="0.2">
      <c r="E79" t="s">
        <v>120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8</vt:i4>
      </vt:variant>
    </vt:vector>
  </HeadingPairs>
  <TitlesOfParts>
    <vt:vector size="42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'24'!Area_de_impressao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2025-07-17T19:38:47Z</cp:lastPrinted>
  <dcterms:created xsi:type="dcterms:W3CDTF">2004-04-07T20:43:43Z</dcterms:created>
  <dcterms:modified xsi:type="dcterms:W3CDTF">2025-09-25T17:28:06Z</dcterms:modified>
  <cp:category/>
  <cp:contentStatus/>
</cp:coreProperties>
</file>