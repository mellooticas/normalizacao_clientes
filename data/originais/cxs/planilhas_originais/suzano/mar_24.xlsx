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292" documentId="13_ncr:1_{0402BA61-346E-4614-9EF8-32644BD0418E}" xr6:coauthVersionLast="47" xr6:coauthVersionMax="47" xr10:uidLastSave="{ED460104-D484-4B22-A8CF-D40705B89458}"/>
  <bookViews>
    <workbookView xWindow="-120" yWindow="-120" windowWidth="20730" windowHeight="11310" tabRatio="895" firstSheet="5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9" l="1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<sst xmlns="http://schemas.openxmlformats.org/spreadsheetml/2006/main" count="2476" uniqueCount="344">
  <si>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</si>
  <si>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</si>
  <si>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</si>
  <si>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</si>
  <si>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</si>
  <si>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</si>
  <si>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</si>
  <si>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</si>
  <si>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</si>
  <si>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</si>
  <si>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</si>
  <si>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</si>
  <si>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</si>
  <si>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</si>
  <si>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</si>
  <si>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</si>
  <si>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</si>
  <si>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</si>
  <si>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</si>
  <si>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</si>
  <si>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</si>
  <si>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GIOVANNA BAROTT</t>
  </si>
  <si>
    <t>Total  entrada</t>
  </si>
  <si>
    <t>OS Entregue no Dia</t>
  </si>
  <si>
    <t>OS</t>
  </si>
  <si>
    <t>Vendedor</t>
  </si>
  <si>
    <t>CARNE</t>
  </si>
  <si>
    <t>TATY</t>
  </si>
  <si>
    <t>Não</t>
  </si>
  <si>
    <t>JOCY</t>
  </si>
  <si>
    <t>Venda</t>
  </si>
  <si>
    <t>Restante Entrada</t>
  </si>
  <si>
    <t>maria izabel</t>
  </si>
  <si>
    <t>MARCOS GABRIEL</t>
  </si>
  <si>
    <t>Recebimento de Carnê</t>
  </si>
  <si>
    <t>Valor Parcela</t>
  </si>
  <si>
    <t>Nº Parcela</t>
  </si>
  <si>
    <t>Parcelas</t>
  </si>
  <si>
    <t>Valor Total</t>
  </si>
  <si>
    <t>BENEDITO DE OLIVEIRA</t>
  </si>
  <si>
    <t>PARC. 2/3</t>
  </si>
  <si>
    <t>MARINALVA BESSERA</t>
  </si>
  <si>
    <t>PARC. 2/8</t>
  </si>
  <si>
    <t>PARC. 1/7</t>
  </si>
  <si>
    <t>Total de OS</t>
  </si>
  <si>
    <t>SANDRA GORETTE</t>
  </si>
  <si>
    <t>IVAN FERREIRA</t>
  </si>
  <si>
    <t>ANESIA CARVALHO</t>
  </si>
  <si>
    <t>SUELEM ESTEFANIA</t>
  </si>
  <si>
    <t>GILEIDE COLOIA</t>
  </si>
  <si>
    <t>MARCOS ANTONIO</t>
  </si>
  <si>
    <t>OSWALDO DOS SANTOS</t>
  </si>
  <si>
    <t>JACIRA ROSA</t>
  </si>
  <si>
    <t xml:space="preserve"> V</t>
  </si>
  <si>
    <t>matheus teixeira</t>
  </si>
  <si>
    <t>lucas barreto</t>
  </si>
  <si>
    <t>tatry</t>
  </si>
  <si>
    <t>taty</t>
  </si>
  <si>
    <t>joana maria</t>
  </si>
  <si>
    <t>PARC. 5/8</t>
  </si>
  <si>
    <t>mnonica miyasshiro</t>
  </si>
  <si>
    <t>PARC. 1/5</t>
  </si>
  <si>
    <t>sabrina xavier</t>
  </si>
  <si>
    <t>fernanda de almeida</t>
  </si>
  <si>
    <t>GARANTIA</t>
  </si>
  <si>
    <t>vitalina maria</t>
  </si>
  <si>
    <t>juliana</t>
  </si>
  <si>
    <t>maria reis</t>
  </si>
  <si>
    <t>PARC. 4/7</t>
  </si>
  <si>
    <t>sandra fernandes</t>
  </si>
  <si>
    <t>PARC. 1/6</t>
  </si>
  <si>
    <t>laercio hilario</t>
  </si>
  <si>
    <t>PARC. 7/8</t>
  </si>
  <si>
    <t>adriana aparecida</t>
  </si>
  <si>
    <t>PARC. 5/7</t>
  </si>
  <si>
    <t>camila andrade</t>
  </si>
  <si>
    <t xml:space="preserve">emillin coelho </t>
  </si>
  <si>
    <t>conducao nicolas</t>
  </si>
  <si>
    <t>dn</t>
  </si>
  <si>
    <t>jose deuvaldo</t>
  </si>
  <si>
    <t>maria nazareth</t>
  </si>
  <si>
    <t>mirian de souza</t>
  </si>
  <si>
    <t>patricia homan</t>
  </si>
  <si>
    <t>reginaldo borges</t>
  </si>
  <si>
    <t>catia carvalho</t>
  </si>
  <si>
    <t>jocy</t>
  </si>
  <si>
    <t>jane pereira</t>
  </si>
  <si>
    <t>monoel dos santos</t>
  </si>
  <si>
    <t>erodite meireles</t>
  </si>
  <si>
    <t>ANA KAROLINA</t>
  </si>
  <si>
    <t>FERNANDA ALVES</t>
  </si>
  <si>
    <t>CLEIDE MARIA</t>
  </si>
  <si>
    <t>JEFERSON CARLOS</t>
  </si>
  <si>
    <t>EMILIN COELHO</t>
  </si>
  <si>
    <t>WELBER ANDERSON</t>
  </si>
  <si>
    <t xml:space="preserve">MARCIA REGINA </t>
  </si>
  <si>
    <t xml:space="preserve">YASMIN  MACHADO </t>
  </si>
  <si>
    <t>ivonete gomes</t>
  </si>
  <si>
    <t>ZAINE</t>
  </si>
  <si>
    <t>Sim</t>
  </si>
  <si>
    <t>Marilu Senziali Flor Ferreira</t>
  </si>
  <si>
    <t>AILTON DE OLIVEIRA</t>
  </si>
  <si>
    <t>CARLOS ANTONIO</t>
  </si>
  <si>
    <t>ANTONIO ANGELO</t>
  </si>
  <si>
    <t>JESUS RICARDO</t>
  </si>
  <si>
    <t>PARC. 3/6</t>
  </si>
  <si>
    <t>LILIAN PEREIRA</t>
  </si>
  <si>
    <t>hellen vitoria</t>
  </si>
  <si>
    <t>MILEIDE CRISTINA</t>
  </si>
  <si>
    <t>PARC. 1/1</t>
  </si>
  <si>
    <t>emily rayssa</t>
  </si>
  <si>
    <t>PARC. 3/5</t>
  </si>
  <si>
    <t>eliana savoia</t>
  </si>
  <si>
    <t>PARC. 5/5</t>
  </si>
  <si>
    <t>thais eduarda</t>
  </si>
  <si>
    <t>PARC. 3/7</t>
  </si>
  <si>
    <t>andressa souza</t>
  </si>
  <si>
    <t>gilvan dos santos</t>
  </si>
  <si>
    <t>ISRAEL DE SOUZA</t>
  </si>
  <si>
    <t>MICHELE FABIAN</t>
  </si>
  <si>
    <t>IVONETE GOMES</t>
  </si>
  <si>
    <t>PAULA ROCHA</t>
  </si>
  <si>
    <t>edinalva de araujo</t>
  </si>
  <si>
    <t>larissa carboni</t>
  </si>
  <si>
    <t>jose  santos</t>
  </si>
  <si>
    <t>SS</t>
  </si>
  <si>
    <t>DELCIRA  VIEIRA</t>
  </si>
  <si>
    <t>rozileide brito</t>
  </si>
  <si>
    <t>clarisse oliveira</t>
  </si>
  <si>
    <t>PARC. 8/8</t>
  </si>
  <si>
    <t>fernando fabricio</t>
  </si>
  <si>
    <t>PARC. 1/4</t>
  </si>
  <si>
    <t>Cristiane das graças viana</t>
  </si>
  <si>
    <t>vt nicolas</t>
  </si>
  <si>
    <t>selma de souza</t>
  </si>
  <si>
    <t>daniel santos</t>
  </si>
  <si>
    <t>sandra prarts</t>
  </si>
  <si>
    <t>obede de oliveira</t>
  </si>
  <si>
    <t>genalva calvacante</t>
  </si>
  <si>
    <t>ariani</t>
  </si>
  <si>
    <t>lucimara da silva</t>
  </si>
  <si>
    <t>luiza diana</t>
  </si>
  <si>
    <t>suely pereira</t>
  </si>
  <si>
    <t>fernanda aparecida</t>
  </si>
  <si>
    <t>PARC. 2/5</t>
  </si>
  <si>
    <t>andre alves</t>
  </si>
  <si>
    <t>PARC. 2/6</t>
  </si>
  <si>
    <t>elisangela silva</t>
  </si>
  <si>
    <t>maria ferreira alves</t>
  </si>
  <si>
    <t>marilza rodrigues</t>
  </si>
  <si>
    <t>sebastiao pereira</t>
  </si>
  <si>
    <t>garantia</t>
  </si>
  <si>
    <t>katia maria</t>
  </si>
  <si>
    <t>yasmin machado</t>
  </si>
  <si>
    <t>arlete vieira celio</t>
  </si>
  <si>
    <t>PARC. 2/7</t>
  </si>
  <si>
    <t>izabel dos santos pires</t>
  </si>
  <si>
    <t>isaias ribeiro</t>
  </si>
  <si>
    <t xml:space="preserve">jonas aparecido </t>
  </si>
  <si>
    <t>jose santos</t>
  </si>
  <si>
    <t>melquesedeque da silva</t>
  </si>
  <si>
    <t>sandra aparecida oliveira</t>
  </si>
  <si>
    <t>PARC. 6/8</t>
  </si>
  <si>
    <t>EDSON DA SILVA FELIX</t>
  </si>
  <si>
    <t>LUCELIA DA ROCHA SANTOS</t>
  </si>
  <si>
    <t>EDEVALDO BISPO DOS SANTOS</t>
  </si>
  <si>
    <t>FERNANDO MACEDO GODOI</t>
  </si>
  <si>
    <t>ROSANA MARIA SAID</t>
  </si>
  <si>
    <t>ARIANI</t>
  </si>
  <si>
    <t>SANDRA GORETTE DA SILVA</t>
  </si>
  <si>
    <t>VELDERESE EVARISTO DA SILVA</t>
  </si>
  <si>
    <t>PARC. 4/8</t>
  </si>
  <si>
    <t>cicera dos santos</t>
  </si>
  <si>
    <t>maria das dores</t>
  </si>
  <si>
    <t>luiz carlos do amorim</t>
  </si>
  <si>
    <t>luiz carolos do amorim</t>
  </si>
  <si>
    <t xml:space="preserve">ingrid ramos correria </t>
  </si>
  <si>
    <t>catia cristina dias</t>
  </si>
  <si>
    <t xml:space="preserve">joão santana </t>
  </si>
  <si>
    <t>israel luiz cordeiro</t>
  </si>
  <si>
    <t>maria aparecida</t>
  </si>
  <si>
    <t>gileide coloia</t>
  </si>
  <si>
    <t>jose belo</t>
  </si>
  <si>
    <t>zenilda augusto</t>
  </si>
  <si>
    <t>gabriel salvador</t>
  </si>
  <si>
    <t>marcia ferreira</t>
  </si>
  <si>
    <t>ricardo do nascimento</t>
  </si>
  <si>
    <t>maria nathalia</t>
  </si>
  <si>
    <t>paula rocha</t>
  </si>
  <si>
    <t xml:space="preserve"> </t>
  </si>
  <si>
    <t>ulison rodrigues</t>
  </si>
  <si>
    <t>ricardo henrique</t>
  </si>
  <si>
    <t>PARC. 6/6</t>
  </si>
  <si>
    <t>valdineia molina</t>
  </si>
  <si>
    <t>zenilda augusta</t>
  </si>
  <si>
    <t>PARC. 6/7</t>
  </si>
  <si>
    <t>PARC. 7/7</t>
  </si>
  <si>
    <t>edileuza gomes</t>
  </si>
  <si>
    <t xml:space="preserve">zenilda </t>
  </si>
  <si>
    <t>samuel de melo</t>
  </si>
  <si>
    <t>joao victor</t>
  </si>
  <si>
    <t>yasmim da silva</t>
  </si>
  <si>
    <t>michele fabian</t>
  </si>
  <si>
    <t>ezequeiel pereira</t>
  </si>
  <si>
    <t>thiago yuri</t>
  </si>
  <si>
    <t>esther  nunes</t>
  </si>
  <si>
    <t>luiz carlos</t>
  </si>
  <si>
    <t>beth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</si>
  <si>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</si>
  <si>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</si>
  <si>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</si>
  <si>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</si>
  <si>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</si>
  <si>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</si>
  <si>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</si>
  <si>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</si>
  <si>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</si>
  <si>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</si>
  <si>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</si>
  <si>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</si>
  <si>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</si>
  <si>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</si>
  <si>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</si>
  <si>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</si>
  <si>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</si>
  <si>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</si>
  <si>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</si>
  <si>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</si>
  <si>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</si>
  <si>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</si>
  <si>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</si>
  <si>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</si>
  <si>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</si>
  <si>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</si>
  <si>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</si>
  <si>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</si>
  <si>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</si>
  <si>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</si>
  <si>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</si>
  <si>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</si>
  <si>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</si>
  <si>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</si>
  <si>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</si>
  <si>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</si>
  <si>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</si>
  <si>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</si>
  <si>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</si>
  <si>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</si>
  <si>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</si>
  <si>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</si>
  <si>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</si>
  <si>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</si>
  <si>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</si>
  <si>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</si>
  <si>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</si>
  <si>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</si>
  <si>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</si>
  <si>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</si>
  <si>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</si>
  <si>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</si>
  <si>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</si>
  <si>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</si>
  <si>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</si>
  <si>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</si>
  <si>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</si>
  <si>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</si>
  <si>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</si>
  <si>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</si>
  <si>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</si>
  <si>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</si>
  <si>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</si>
  <si>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</si>
  <si>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eliana jorge</t>
  </si>
  <si>
    <t>SELMA AS SILVA</t>
  </si>
  <si>
    <t>ROBSON OLIVEIRA</t>
  </si>
  <si>
    <t>MARCIO LUIZ ANTONIO</t>
  </si>
  <si>
    <t>MARLENE DUARTE</t>
  </si>
  <si>
    <t>AILTON ROCHA</t>
  </si>
  <si>
    <t>SELMA DA SILVA</t>
  </si>
  <si>
    <t>ZAKAE SHIMOSE</t>
  </si>
  <si>
    <t xml:space="preserve">ksuany chaves </t>
  </si>
  <si>
    <t>mariane narcelino</t>
  </si>
  <si>
    <t xml:space="preserve">jose carlos </t>
  </si>
  <si>
    <t xml:space="preserve">alex tenoria </t>
  </si>
  <si>
    <t>angela gregorio</t>
  </si>
  <si>
    <t>antonio carlos</t>
  </si>
  <si>
    <t xml:space="preserve">nathalia caroline </t>
  </si>
  <si>
    <t>rosely justiniano</t>
  </si>
  <si>
    <t xml:space="preserve">paula naomi </t>
  </si>
  <si>
    <t xml:space="preserve">leila hakemi gen </t>
  </si>
  <si>
    <t xml:space="preserve">francisco barbosa </t>
  </si>
  <si>
    <t>joyce nailê</t>
  </si>
  <si>
    <t>marlene conceição</t>
  </si>
  <si>
    <t xml:space="preserve">gilvan dos santos </t>
  </si>
  <si>
    <t xml:space="preserve">ivan amaro gomes </t>
  </si>
  <si>
    <t>marcos antonio</t>
  </si>
  <si>
    <t xml:space="preserve">oneias mendes </t>
  </si>
  <si>
    <t>jerri rodrigues da silva</t>
  </si>
  <si>
    <t xml:space="preserve">camila aparecida </t>
  </si>
  <si>
    <t>matheus yudi</t>
  </si>
  <si>
    <t>valdenice dias</t>
  </si>
  <si>
    <t>nathalia carolina</t>
  </si>
  <si>
    <t>bruno da silva</t>
  </si>
  <si>
    <t>jacira rosa</t>
  </si>
  <si>
    <t>ana cleia</t>
  </si>
  <si>
    <t>ligia abranches</t>
  </si>
  <si>
    <t>elza mauricio</t>
  </si>
  <si>
    <t>vitoria  holleabach</t>
  </si>
  <si>
    <t>margarete cristina</t>
  </si>
  <si>
    <t>cintia domingos</t>
  </si>
  <si>
    <t>erick kenzo</t>
  </si>
  <si>
    <t>iracema da silva</t>
  </si>
  <si>
    <t>maria imaculada</t>
  </si>
  <si>
    <t>cleide sebastião</t>
  </si>
  <si>
    <t>raul alves</t>
  </si>
  <si>
    <t>selma barros</t>
  </si>
  <si>
    <t>rosana maria</t>
  </si>
  <si>
    <t>eliel duarte</t>
  </si>
  <si>
    <t>jose carlos</t>
  </si>
  <si>
    <t>camila miura</t>
  </si>
  <si>
    <t>raquel paulino</t>
  </si>
  <si>
    <t>ismael de oliveira</t>
  </si>
  <si>
    <t>arlindo rodrigues</t>
  </si>
  <si>
    <t>rosely  justiniano</t>
  </si>
  <si>
    <t>cristiane araujo</t>
  </si>
  <si>
    <t>joyce naile</t>
  </si>
  <si>
    <t>maria natalia</t>
  </si>
  <si>
    <t>afonso jose</t>
  </si>
  <si>
    <t>paula pereira</t>
  </si>
  <si>
    <t>mycom monteiro</t>
  </si>
  <si>
    <t>miria martins</t>
  </si>
  <si>
    <t>larissa moura</t>
  </si>
  <si>
    <t>robson oliveira</t>
  </si>
  <si>
    <t>kevin nicolos</t>
  </si>
  <si>
    <t>ana paula</t>
  </si>
  <si>
    <t>priscila goncaloves</t>
  </si>
  <si>
    <t>selma silva</t>
  </si>
  <si>
    <t>rui felipe</t>
  </si>
  <si>
    <t>gilmar lopes</t>
  </si>
  <si>
    <t>lenice maria</t>
  </si>
  <si>
    <t xml:space="preserve">        </t>
  </si>
  <si>
    <t>Jocy</t>
  </si>
  <si>
    <t>Ariani</t>
  </si>
  <si>
    <t>Taty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</si>
</sst>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0" totalsRowShown="0" headerRowDxfId="980" dataDxfId="978" headerRowBorderDxfId="979" tableBorderDxfId="977" totalsRowBorderDxfId="976">
  <autoFilter ref="K14:M30" xr:uid="{C83FE64B-E221-4DAA-89EA-5307A7BC98B3}"/>
  <sortState xmlns:xlrd2="http://schemas.microsoft.com/office/spreadsheetml/2017/richdata2" ref="K15:M30">
    <sortCondition ref="K14:K30"/>
  </sortState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3:M40" totalsRowShown="0" headerRowDxfId="962" headerRowBorderDxfId="961" tableBorderDxfId="960" totalsRowBorderDxfId="959">
  <autoFilter ref="K33:M40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14" dataCellStyle="Moeda"/>
    <tableColumn id="5" xr3:uid="{EA7582FE-FEFF-4011-BD42-218C3664E6AB}" name="Cliente" dataDxfId="313" dataCellStyle="Moeda"/>
    <tableColumn id="2" xr3:uid="{F90F407A-44F2-4B25-95B2-7FFF747C7AA1}" name="Forma de Pgto" dataDxfId="312" dataCellStyle="Moeda"/>
    <tableColumn id="3" xr3:uid="{3ED51D07-27C8-4437-A49E-867C7274BC65}" name="Valor Venda" dataDxfId="311" dataCellStyle="Porcentagem"/>
    <tableColumn id="4" xr3:uid="{42C92817-5DF0-4DE7-B430-03840EF6E852}" name="Entrada" dataDxfId="31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BCDA9109-FE1B-43D0-A775-F187BA433103}" name="Descrição" dataDxfId="304"/>
    <tableColumn id="2" xr3:uid="{6200DB38-1340-49E2-8DB4-68F203C169F1}" name="Tipo de Pagto" dataDxfId="303"/>
    <tableColumn id="3" xr3:uid="{27595B27-AB97-40C9-BECE-DEB4EF2576B7}" name="Valor" dataDxfId="30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96"/>
    <tableColumn id="2" xr3:uid="{2547CEAB-188F-4407-8B89-F3536432D0FA}" name="Cliente" dataDxfId="295"/>
    <tableColumn id="3" xr3:uid="{54CBD340-AB1A-4F98-A129-037389C3E236}" name="Forma de Pgto" dataDxfId="294" dataCellStyle="Moeda"/>
    <tableColumn id="4" xr3:uid="{CB0BC571-5837-4C35-AFDD-D5873CE23AE9}" name="Valor Venda" dataDxfId="293" dataCellStyle="Porcentagem"/>
    <tableColumn id="5" xr3:uid="{517A77AC-A76A-4CE7-B5D1-3FEFDF7B8722}" name="Entrada" dataDxfId="29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71C4392B-8887-40B1-9A7B-C600C91C0A9F}" name="OS" dataDxfId="286"/>
    <tableColumn id="2" xr3:uid="{EAC02F14-380C-4B61-8944-E4F1EC6C2572}" name="Vendedor" dataDxfId="285"/>
    <tableColumn id="3" xr3:uid="{04750BAB-2533-45E4-AD1A-4273DBA80CF4}" name="CARNE" dataDxfId="28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78"/>
    <tableColumn id="2" xr3:uid="{C78ED1A0-4ABC-4C46-9011-9E7D40E53828}" name="Cliente" dataDxfId="277"/>
    <tableColumn id="3" xr3:uid="{5CDE3049-7EDA-4337-9E8E-58F0DB4CFDD5}" name="Forma de Pgto" dataDxfId="276" dataCellStyle="Moeda"/>
    <tableColumn id="4" xr3:uid="{7ACCAB16-AFFF-4B9D-A25F-B45F3BBA93B9}" name="Valor Parcela" dataDxfId="275" dataCellStyle="Porcentagem"/>
    <tableColumn id="5" xr3:uid="{15EC4276-5957-4146-877A-2D9AF52832DE}" name="Nº Parcela" dataDxfId="27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73" headerRowBorderDxfId="272" tableBorderDxfId="271" totalsRowBorderDxfId="270">
  <autoFilter ref="K34:M41" xr:uid="{1B8643D4-6AC3-4029-882A-C62E9D7CB225}"/>
  <tableColumns count="3">
    <tableColumn id="1" xr3:uid="{509FE920-B0D4-48CC-8AFC-C231084014ED}" name="OS" dataDxfId="269"/>
    <tableColumn id="2" xr3:uid="{648797DA-323D-4F7C-95F3-3223D3A08821}" name="Parcelas" dataDxfId="268"/>
    <tableColumn id="3" xr3:uid="{0684A7C0-4163-4297-B332-DFFBB65E266D}" name="Valor Total" dataDxfId="26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67" dataCellStyle="Moeda"/>
    <tableColumn id="5" xr3:uid="{FA1FA1DC-5352-4524-9AB2-369222C4BDD1}" name="Cliente" dataDxfId="366" dataCellStyle="Moeda"/>
    <tableColumn id="2" xr3:uid="{A73B5E06-AB1F-48ED-B61C-8853446A4F5E}" name="Forma de Pgto" dataDxfId="365" dataCellStyle="Moeda"/>
    <tableColumn id="3" xr3:uid="{E5231A7F-7D20-4503-A786-BF9FC0E23F42}" name="Valor Venda" dataDxfId="364" dataCellStyle="Porcentagem"/>
    <tableColumn id="4" xr3:uid="{86DAF072-A11E-464D-A335-9A5F5FF09F8D}" name="Entrada" dataDxfId="363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0C299E65-9391-4336-8CF7-2EC1702B221E}" name="Descrição" dataDxfId="357"/>
    <tableColumn id="2" xr3:uid="{45EA8371-50DD-4161-8CE6-AE739B48843A}" name="Tipo de Pagto" dataDxfId="356"/>
    <tableColumn id="3" xr3:uid="{4D98764C-873C-4A32-9ABD-121372723463}" name="Valor" dataDxfId="355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49"/>
    <tableColumn id="2" xr3:uid="{212BE65F-3FA5-419B-B9A4-58240EFDEBFA}" name="Cliente" dataDxfId="348"/>
    <tableColumn id="3" xr3:uid="{1EE1E2AC-25F1-4013-8D38-A0638CF454DB}" name="Forma de Pgto" dataDxfId="347" dataCellStyle="Moeda"/>
    <tableColumn id="4" xr3:uid="{38D98562-880F-4C00-A26B-F40D7F6C9E67}" name="Valor Venda" dataDxfId="346" dataCellStyle="Porcentagem"/>
    <tableColumn id="5" xr3:uid="{183B778F-EB01-4FDA-BD28-D4D361F688C4}" name="Entrada" dataDxfId="345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1BA2342-0EF4-4D12-8CEB-D5F98AF1E43D}" name="OS" dataDxfId="339"/>
    <tableColumn id="2" xr3:uid="{8EC3F5A2-9325-43BD-A364-C3D24B7F492B}" name="Vendedor" dataDxfId="338"/>
    <tableColumn id="3" xr3:uid="{60B7BB21-2E30-4BF0-9109-7C61A6F8023E}" name="CARNE" dataDxfId="337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331"/>
    <tableColumn id="2" xr3:uid="{FEC021D0-C21F-4087-AA46-92F79B0BD15C}" name="Cliente" dataDxfId="330"/>
    <tableColumn id="3" xr3:uid="{B057DFD4-3A13-40AD-95B0-7A4A6D2F12EA}" name="Forma de Pgto" dataDxfId="329" dataCellStyle="Moeda"/>
    <tableColumn id="4" xr3:uid="{8571FA4F-3615-40B7-87DD-4A3572C756ED}" name="Valor Parcela" dataDxfId="328" dataCellStyle="Porcentagem"/>
    <tableColumn id="5" xr3:uid="{32F42922-7FF4-44E6-8FE1-CF1D84ED2607}" name="Nº Parcela" dataDxfId="327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326" headerRowBorderDxfId="325" tableBorderDxfId="324" totalsRowBorderDxfId="323">
  <autoFilter ref="K34:M41" xr:uid="{1B8643D4-6AC3-4029-882A-C62E9D7CB225}"/>
  <tableColumns count="3">
    <tableColumn id="1" xr3:uid="{239C8B86-39AD-48DE-8CD4-9E298F831595}" name="OS" dataDxfId="322"/>
    <tableColumn id="2" xr3:uid="{52A4913C-562E-40FD-8422-19A5A2E9F3E9}" name="Parcelas" dataDxfId="321"/>
    <tableColumn id="3" xr3:uid="{A2980378-BECE-4786-B65D-94F14F69AE6B}" name="Valor Total" dataDxfId="320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1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88442.28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84066.28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40</v>
      </c>
    </row>
    <row r="6" spans="1:2" ht="15.75" x14ac:dyDescent="0.25">
      <c r="A6" s="28" t="s">
        <v>4</v>
      </c>
      <c r="B6" s="29">
        <f>SUM(B4:B5)</f>
        <v>84106.28</v>
      </c>
    </row>
    <row r="7" spans="1:2" ht="15" x14ac:dyDescent="0.25">
      <c r="A7" s="2"/>
      <c r="B7" s="2"/>
    </row>
    <row r="8" spans="1:2" ht="15" x14ac:dyDescent="0.2">
      <c r="A8" s="109" t="s">
        <v>5</v>
      </c>
      <c r="B8" s="109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10252.040000000001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8763.4699999999993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5508.8799999999992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52926.400000000001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12057.05</v>
      </c>
    </row>
    <row r="14" spans="1:2" ht="15.75" x14ac:dyDescent="0.25">
      <c r="A14" s="28" t="s">
        <v>11</v>
      </c>
      <c r="B14" s="82">
        <f ca="1">SUM(B9:B13)</f>
        <v>89507.840000000011</v>
      </c>
    </row>
    <row r="15" spans="1:2" ht="15" x14ac:dyDescent="0.25">
      <c r="A15" s="2"/>
      <c r="B15" s="2"/>
    </row>
    <row r="16" spans="1:2" ht="15" x14ac:dyDescent="0.2">
      <c r="A16" s="109" t="s">
        <v>12</v>
      </c>
      <c r="B16" s="109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7318.99</v>
      </c>
    </row>
    <row r="18" spans="1:2" ht="15.75" x14ac:dyDescent="0.25">
      <c r="A18" s="28" t="s">
        <v>11</v>
      </c>
      <c r="B18" s="82">
        <f>SUM(B17:B17)</f>
        <v>7318.99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2" zoomScale="80" zoomScaleNormal="80" workbookViewId="0">
      <selection activeCell="V17" sqref="V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45352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1630</v>
      </c>
      <c r="D6" s="2"/>
      <c r="E6" s="18">
        <v>8793</v>
      </c>
      <c r="F6" s="25" t="s">
        <v>21</v>
      </c>
      <c r="G6" s="26" t="s">
        <v>9</v>
      </c>
      <c r="H6" s="8">
        <v>130</v>
      </c>
      <c r="I6" s="8">
        <v>130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22</v>
      </c>
      <c r="C8" s="29">
        <f>SUM(C6:C7)</f>
        <v>1630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91.42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1630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8792</v>
      </c>
      <c r="L15" s="9" t="s">
        <v>27</v>
      </c>
      <c r="M15" s="16" t="s">
        <v>28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1821.42</v>
      </c>
      <c r="D16" s="2"/>
      <c r="E16" s="18"/>
      <c r="F16" s="25"/>
      <c r="G16" s="26"/>
      <c r="H16" s="8"/>
      <c r="I16" s="8"/>
      <c r="J16" s="2"/>
      <c r="K16" s="25">
        <v>8612</v>
      </c>
      <c r="L16" s="9" t="s">
        <v>29</v>
      </c>
      <c r="M16" s="16" t="s">
        <v>28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8661</v>
      </c>
      <c r="L17" s="9" t="s">
        <v>27</v>
      </c>
      <c r="M17" s="16"/>
      <c r="R17" s="1">
        <f>IF(vend1[[#This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8686</v>
      </c>
      <c r="F26" s="25" t="s">
        <v>32</v>
      </c>
      <c r="G26" s="26" t="s">
        <v>9</v>
      </c>
      <c r="H26" s="8"/>
      <c r="I26" s="8">
        <v>1100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8760</v>
      </c>
      <c r="F27" s="25" t="s">
        <v>33</v>
      </c>
      <c r="G27" s="26" t="s">
        <v>9</v>
      </c>
      <c r="H27" s="8"/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8471</v>
      </c>
      <c r="F35" s="25" t="s">
        <v>39</v>
      </c>
      <c r="G35" s="26" t="s">
        <v>7</v>
      </c>
      <c r="H35" s="8">
        <v>100</v>
      </c>
      <c r="I35" s="8" t="s">
        <v>40</v>
      </c>
      <c r="K35" s="25"/>
      <c r="L35" s="41"/>
      <c r="M35" s="16"/>
    </row>
    <row r="36" spans="2:18" ht="15.75" x14ac:dyDescent="0.25">
      <c r="E36" s="18">
        <v>8328</v>
      </c>
      <c r="F36" s="25" t="s">
        <v>41</v>
      </c>
      <c r="G36" s="26" t="s">
        <v>6</v>
      </c>
      <c r="H36" s="8">
        <v>50</v>
      </c>
      <c r="I36" s="8" t="s">
        <v>42</v>
      </c>
      <c r="K36" s="25"/>
      <c r="L36" s="41"/>
      <c r="M36" s="16"/>
    </row>
    <row r="37" spans="2:18" ht="15.75" x14ac:dyDescent="0.25">
      <c r="E37" s="18">
        <v>8624</v>
      </c>
      <c r="F37" s="25" t="s">
        <v>41</v>
      </c>
      <c r="G37" s="26" t="s">
        <v>6</v>
      </c>
      <c r="H37" s="8">
        <v>41.42</v>
      </c>
      <c r="I37" s="8" t="s">
        <v>43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2" zoomScale="80" zoomScaleNormal="80" workbookViewId="0">
      <selection activeCell="V16" sqref="V15:V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'01'!B1+1</f>
        <v>45353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4219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2219</v>
      </c>
      <c r="D6" s="2"/>
      <c r="E6" s="18">
        <v>8794</v>
      </c>
      <c r="F6" s="25" t="s">
        <v>45</v>
      </c>
      <c r="G6" s="46" t="s">
        <v>10</v>
      </c>
      <c r="H6" s="8">
        <v>950</v>
      </c>
      <c r="I6" s="8">
        <v>100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8795</v>
      </c>
      <c r="F7" s="25" t="s">
        <v>46</v>
      </c>
      <c r="G7" s="46" t="s">
        <v>6</v>
      </c>
      <c r="H7" s="8">
        <v>35</v>
      </c>
      <c r="I7" s="8">
        <v>35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22</v>
      </c>
      <c r="C8" s="29">
        <f>SUM(C6:C7)</f>
        <v>2219</v>
      </c>
      <c r="D8" s="2"/>
      <c r="E8" s="18">
        <v>8796</v>
      </c>
      <c r="F8" s="25" t="s">
        <v>47</v>
      </c>
      <c r="G8" s="26" t="s">
        <v>6</v>
      </c>
      <c r="H8" s="8">
        <v>800</v>
      </c>
      <c r="I8" s="8">
        <v>400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8796</v>
      </c>
      <c r="F9" s="25" t="s">
        <v>47</v>
      </c>
      <c r="G9" s="26" t="s">
        <v>9</v>
      </c>
      <c r="H9" s="8"/>
      <c r="I9" s="8">
        <v>400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8797</v>
      </c>
      <c r="F10" s="25" t="s">
        <v>48</v>
      </c>
      <c r="G10" s="26" t="s">
        <v>7</v>
      </c>
      <c r="H10" s="8">
        <v>160</v>
      </c>
      <c r="I10" s="8">
        <v>160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435</v>
      </c>
      <c r="D11" s="2"/>
      <c r="E11" s="18">
        <v>8798</v>
      </c>
      <c r="F11" s="25" t="s">
        <v>49</v>
      </c>
      <c r="G11" s="26" t="s">
        <v>7</v>
      </c>
      <c r="H11" s="8">
        <v>1350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365</v>
      </c>
      <c r="D12" s="2"/>
      <c r="E12" s="18">
        <v>8799</v>
      </c>
      <c r="F12" s="25" t="s">
        <v>50</v>
      </c>
      <c r="G12" s="26" t="s">
        <v>9</v>
      </c>
      <c r="H12" s="8">
        <v>600</v>
      </c>
      <c r="I12" s="8">
        <v>600</v>
      </c>
      <c r="J12" s="2"/>
      <c r="R12" s="1">
        <f>IF(vend2[[#This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9">
        <v>8800</v>
      </c>
      <c r="F13" s="65" t="s">
        <v>50</v>
      </c>
      <c r="G13" s="100" t="s">
        <v>9</v>
      </c>
      <c r="H13" s="77">
        <v>105</v>
      </c>
      <c r="I13" s="77">
        <v>100</v>
      </c>
      <c r="J13" s="2"/>
      <c r="K13" s="111" t="s">
        <v>23</v>
      </c>
      <c r="L13" s="112"/>
      <c r="M13" s="113"/>
      <c r="R13" s="1">
        <f>IF(vend2[[#This Row],[Nº Venda]]&gt;1,1,0)</f>
        <v>1</v>
      </c>
    </row>
    <row r="14" spans="2:18" ht="15.75" x14ac:dyDescent="0.25">
      <c r="B14" s="30" t="s">
        <v>9</v>
      </c>
      <c r="C14" s="31">
        <f t="shared" si="0"/>
        <v>1100</v>
      </c>
      <c r="D14" s="2"/>
      <c r="E14" s="99">
        <v>8800</v>
      </c>
      <c r="F14" s="65" t="s">
        <v>50</v>
      </c>
      <c r="G14" s="100" t="s">
        <v>7</v>
      </c>
      <c r="H14" s="77">
        <v>0</v>
      </c>
      <c r="I14" s="77">
        <v>5</v>
      </c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1</v>
      </c>
    </row>
    <row r="15" spans="2:18" ht="15.75" x14ac:dyDescent="0.25">
      <c r="B15" s="30" t="s">
        <v>10</v>
      </c>
      <c r="C15" s="31">
        <f t="shared" si="0"/>
        <v>319</v>
      </c>
      <c r="D15" s="2"/>
      <c r="E15" s="18">
        <v>8801</v>
      </c>
      <c r="F15" s="25" t="s">
        <v>51</v>
      </c>
      <c r="G15" s="26" t="s">
        <v>10</v>
      </c>
      <c r="H15" s="8">
        <v>219</v>
      </c>
      <c r="I15" s="8">
        <v>219</v>
      </c>
      <c r="J15" s="2"/>
      <c r="K15" s="25">
        <v>8768</v>
      </c>
      <c r="L15" s="9" t="s">
        <v>29</v>
      </c>
      <c r="M15" s="16" t="s">
        <v>28</v>
      </c>
      <c r="R15" s="1">
        <f>IF(vend2[[#This Row],[Nº Venda]]&gt;1,1,0)</f>
        <v>1</v>
      </c>
    </row>
    <row r="16" spans="2:18" ht="15.75" x14ac:dyDescent="0.25">
      <c r="B16" s="28" t="s">
        <v>11</v>
      </c>
      <c r="C16" s="32">
        <f>SUM(C11:C15)</f>
        <v>2219</v>
      </c>
      <c r="D16" s="2"/>
      <c r="E16" s="18"/>
      <c r="F16" s="25"/>
      <c r="G16" s="26"/>
      <c r="H16" s="8"/>
      <c r="I16" s="8"/>
      <c r="J16" s="2"/>
      <c r="K16" s="25">
        <v>8774</v>
      </c>
      <c r="L16" s="9" t="s">
        <v>29</v>
      </c>
      <c r="M16" s="16" t="s">
        <v>28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8776</v>
      </c>
      <c r="L17" s="9" t="s">
        <v>27</v>
      </c>
      <c r="M17" s="16" t="s">
        <v>28</v>
      </c>
      <c r="R17" s="1">
        <f>IF(vend2[[#This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8795</v>
      </c>
      <c r="L18" s="9" t="s">
        <v>29</v>
      </c>
      <c r="M18" s="16" t="s">
        <v>28</v>
      </c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600</v>
      </c>
      <c r="D19" s="2"/>
      <c r="E19" s="18"/>
      <c r="F19" s="25"/>
      <c r="G19" s="26"/>
      <c r="H19" s="8"/>
      <c r="I19" s="8"/>
      <c r="J19" s="2"/>
      <c r="K19" s="25">
        <v>8797</v>
      </c>
      <c r="L19" s="9" t="s">
        <v>29</v>
      </c>
      <c r="M19" s="16" t="s">
        <v>28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>
        <v>8801</v>
      </c>
      <c r="L20" s="9" t="s">
        <v>27</v>
      </c>
      <c r="M20" s="16" t="s">
        <v>28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4219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8762</v>
      </c>
      <c r="F26" s="25" t="s">
        <v>52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21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  <c r="U34" s="1" t="s">
        <v>53</v>
      </c>
    </row>
    <row r="35" spans="2:21" ht="15.75" x14ac:dyDescent="0.25">
      <c r="E35" s="18"/>
      <c r="F35" s="25"/>
      <c r="G35" s="26"/>
      <c r="H35" s="8"/>
      <c r="I35" s="8"/>
      <c r="K35" s="25">
        <v>8762</v>
      </c>
      <c r="L35" s="41">
        <v>6</v>
      </c>
      <c r="M35" s="16">
        <v>600</v>
      </c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35" zoomScale="80" zoomScaleNormal="80" workbookViewId="0">
      <selection activeCell="K15" sqref="K15:M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45354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6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45355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1570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1570</v>
      </c>
      <c r="D6" s="2"/>
      <c r="E6" s="18">
        <v>8802</v>
      </c>
      <c r="F6" s="25" t="s">
        <v>54</v>
      </c>
      <c r="G6" s="46" t="s">
        <v>10</v>
      </c>
      <c r="H6" s="8">
        <v>600</v>
      </c>
      <c r="I6" s="8">
        <v>600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8803</v>
      </c>
      <c r="F7" s="25" t="s">
        <v>54</v>
      </c>
      <c r="G7" s="46" t="s">
        <v>10</v>
      </c>
      <c r="H7" s="8">
        <v>600</v>
      </c>
      <c r="I7" s="8">
        <v>600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22</v>
      </c>
      <c r="C8" s="29">
        <f>SUM(C6:C7)</f>
        <v>1570</v>
      </c>
      <c r="D8" s="2"/>
      <c r="E8" s="18">
        <v>8804</v>
      </c>
      <c r="F8" s="25" t="s">
        <v>55</v>
      </c>
      <c r="G8" s="46" t="s">
        <v>6</v>
      </c>
      <c r="H8" s="8">
        <v>370</v>
      </c>
      <c r="I8" s="8">
        <v>370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451.25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1330</v>
      </c>
      <c r="D15" s="2"/>
      <c r="E15" s="18"/>
      <c r="F15" s="25"/>
      <c r="G15" s="26"/>
      <c r="H15" s="8"/>
      <c r="I15" s="8"/>
      <c r="J15" s="2"/>
      <c r="K15" s="60">
        <v>8771</v>
      </c>
      <c r="L15" s="61" t="s">
        <v>56</v>
      </c>
      <c r="M15" s="62" t="s">
        <v>28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1781.25</v>
      </c>
      <c r="D16" s="2"/>
      <c r="E16" s="18"/>
      <c r="F16" s="25"/>
      <c r="G16" s="26"/>
      <c r="H16" s="8"/>
      <c r="I16" s="8"/>
      <c r="J16" s="2"/>
      <c r="K16" s="63">
        <v>8639</v>
      </c>
      <c r="L16" s="60" t="s">
        <v>57</v>
      </c>
      <c r="M16" s="62" t="s">
        <v>28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1570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8078</v>
      </c>
      <c r="F35" s="25" t="s">
        <v>58</v>
      </c>
      <c r="G35" s="26" t="s">
        <v>6</v>
      </c>
      <c r="H35" s="8">
        <v>81.25</v>
      </c>
      <c r="I35" s="8" t="s">
        <v>59</v>
      </c>
      <c r="K35" s="25"/>
      <c r="L35" s="41"/>
      <c r="M35" s="16"/>
    </row>
    <row r="36" spans="2:18" ht="15.75" x14ac:dyDescent="0.25">
      <c r="E36" s="18">
        <v>8493</v>
      </c>
      <c r="F36" s="25" t="s">
        <v>60</v>
      </c>
      <c r="G36" s="26" t="s">
        <v>10</v>
      </c>
      <c r="H36" s="8">
        <v>130</v>
      </c>
      <c r="I36" s="8" t="s">
        <v>61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abSelected="1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'04'!B1+1</f>
        <v>45356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1070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1070</v>
      </c>
      <c r="D6" s="2"/>
      <c r="E6" s="18">
        <v>8805</v>
      </c>
      <c r="F6" s="25" t="s">
        <v>62</v>
      </c>
      <c r="G6" s="46" t="s">
        <v>10</v>
      </c>
      <c r="H6" s="8">
        <v>35</v>
      </c>
      <c r="I6" s="8">
        <v>35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8806</v>
      </c>
      <c r="F7" s="25" t="s">
        <v>63</v>
      </c>
      <c r="G7" s="46" t="s">
        <v>64</v>
      </c>
      <c r="H7" s="8"/>
      <c r="I7" s="8"/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22</v>
      </c>
      <c r="C8" s="29">
        <f>SUM(C6:C7)</f>
        <v>1070</v>
      </c>
      <c r="D8" s="2"/>
      <c r="E8" s="18">
        <v>8807</v>
      </c>
      <c r="F8" s="25" t="s">
        <v>65</v>
      </c>
      <c r="G8" s="46" t="s">
        <v>9</v>
      </c>
      <c r="H8" s="8">
        <v>500</v>
      </c>
      <c r="I8" s="8">
        <v>500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8808</v>
      </c>
      <c r="F9" s="25" t="s">
        <v>65</v>
      </c>
      <c r="G9" s="46" t="s">
        <v>9</v>
      </c>
      <c r="H9" s="8">
        <v>500</v>
      </c>
      <c r="I9" s="8">
        <v>500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8809</v>
      </c>
      <c r="F10" s="25" t="s">
        <v>66</v>
      </c>
      <c r="G10" s="46" t="s">
        <v>10</v>
      </c>
      <c r="H10" s="8">
        <v>35</v>
      </c>
      <c r="I10" s="8">
        <v>35</v>
      </c>
      <c r="J10" s="2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641.66</v>
      </c>
      <c r="D15" s="2"/>
      <c r="E15" s="18"/>
      <c r="F15" s="25"/>
      <c r="G15" s="26"/>
      <c r="H15" s="8"/>
      <c r="I15" s="8"/>
      <c r="J15" s="2"/>
      <c r="K15" s="25">
        <v>8809</v>
      </c>
      <c r="L15" s="9" t="s">
        <v>341</v>
      </c>
      <c r="M15" s="68" t="s">
        <v>28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1741.6599999999999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1070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8274</v>
      </c>
      <c r="F35" s="25" t="s">
        <v>67</v>
      </c>
      <c r="G35" s="26" t="s">
        <v>7</v>
      </c>
      <c r="H35" s="8">
        <v>100</v>
      </c>
      <c r="I35" s="8" t="s">
        <v>68</v>
      </c>
      <c r="K35" s="25"/>
      <c r="L35" s="41"/>
      <c r="M35" s="16"/>
    </row>
    <row r="36" spans="2:18" ht="15.75" x14ac:dyDescent="0.25">
      <c r="E36" s="18">
        <v>8669</v>
      </c>
      <c r="F36" s="25" t="s">
        <v>69</v>
      </c>
      <c r="G36" s="26" t="s">
        <v>10</v>
      </c>
      <c r="H36" s="8">
        <v>106.66</v>
      </c>
      <c r="I36" s="8" t="s">
        <v>70</v>
      </c>
      <c r="K36" s="25"/>
      <c r="L36" s="41"/>
      <c r="M36" s="16"/>
    </row>
    <row r="37" spans="2:18" ht="15.75" x14ac:dyDescent="0.25">
      <c r="E37" s="96">
        <v>7938</v>
      </c>
      <c r="F37" s="95" t="s">
        <v>71</v>
      </c>
      <c r="G37" s="97" t="s">
        <v>10</v>
      </c>
      <c r="H37" s="98">
        <v>90</v>
      </c>
      <c r="I37" s="98" t="s">
        <v>72</v>
      </c>
      <c r="K37" s="25"/>
      <c r="L37" s="41"/>
      <c r="M37" s="16"/>
    </row>
    <row r="38" spans="2:18" ht="15.75" x14ac:dyDescent="0.25">
      <c r="E38" s="18">
        <v>8117</v>
      </c>
      <c r="F38" s="25" t="s">
        <v>73</v>
      </c>
      <c r="G38" s="26" t="s">
        <v>10</v>
      </c>
      <c r="H38" s="8">
        <v>50</v>
      </c>
      <c r="I38" s="8" t="s">
        <v>74</v>
      </c>
      <c r="K38" s="25"/>
      <c r="L38" s="41"/>
      <c r="M38" s="16"/>
    </row>
    <row r="39" spans="2:18" ht="15.75" x14ac:dyDescent="0.25">
      <c r="E39" s="18">
        <v>7675</v>
      </c>
      <c r="F39" s="39" t="s">
        <v>75</v>
      </c>
      <c r="G39" s="26" t="s">
        <v>10</v>
      </c>
      <c r="H39" s="8">
        <v>325</v>
      </c>
      <c r="I39" s="8" t="s">
        <v>59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4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45357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4701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2257</v>
      </c>
      <c r="D6" s="2"/>
      <c r="E6" s="18">
        <v>8810</v>
      </c>
      <c r="F6" s="25" t="s">
        <v>76</v>
      </c>
      <c r="G6" s="26" t="s">
        <v>7</v>
      </c>
      <c r="H6" s="8">
        <v>800</v>
      </c>
      <c r="I6" s="8">
        <v>200</v>
      </c>
      <c r="J6" s="2"/>
      <c r="K6" s="25" t="s">
        <v>77</v>
      </c>
      <c r="L6" s="9" t="s">
        <v>78</v>
      </c>
      <c r="M6" s="16">
        <v>20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>
        <v>8811</v>
      </c>
      <c r="F7" s="25" t="s">
        <v>79</v>
      </c>
      <c r="G7" s="26" t="s">
        <v>7</v>
      </c>
      <c r="H7" s="8">
        <v>250</v>
      </c>
      <c r="I7" s="8">
        <v>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22</v>
      </c>
      <c r="C8" s="29">
        <f>SUM(C6:C7)</f>
        <v>2277</v>
      </c>
      <c r="D8" s="2"/>
      <c r="E8" s="18">
        <v>8811</v>
      </c>
      <c r="F8" s="25" t="s">
        <v>79</v>
      </c>
      <c r="G8" s="26" t="s">
        <v>7</v>
      </c>
      <c r="H8" s="8"/>
      <c r="I8" s="8">
        <v>150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8812</v>
      </c>
      <c r="F9" s="25"/>
      <c r="G9" s="26" t="s">
        <v>64</v>
      </c>
      <c r="H9" s="8"/>
      <c r="I9" s="8"/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8813</v>
      </c>
      <c r="F10" s="59" t="s">
        <v>80</v>
      </c>
      <c r="G10" s="26" t="s">
        <v>64</v>
      </c>
      <c r="H10" s="8"/>
      <c r="I10" s="8"/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520</v>
      </c>
      <c r="D11" s="2"/>
      <c r="E11" s="18">
        <v>8814</v>
      </c>
      <c r="F11" s="25" t="s">
        <v>81</v>
      </c>
      <c r="G11" s="26" t="s">
        <v>7</v>
      </c>
      <c r="H11" s="8">
        <v>534</v>
      </c>
      <c r="I11" s="8">
        <v>60</v>
      </c>
      <c r="J11" s="2"/>
      <c r="K11" s="27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720</v>
      </c>
      <c r="D12" s="2"/>
      <c r="E12" s="18">
        <v>8815</v>
      </c>
      <c r="F12" s="25" t="s">
        <v>82</v>
      </c>
      <c r="G12" s="26" t="s">
        <v>10</v>
      </c>
      <c r="H12" s="8">
        <v>160</v>
      </c>
      <c r="I12" s="8">
        <v>80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8816</v>
      </c>
      <c r="F13" s="25" t="s">
        <v>83</v>
      </c>
      <c r="G13" s="26" t="s">
        <v>9</v>
      </c>
      <c r="H13" s="8">
        <v>189</v>
      </c>
      <c r="I13" s="8">
        <v>189</v>
      </c>
      <c r="J13" s="2"/>
      <c r="K13" s="111" t="s">
        <v>23</v>
      </c>
      <c r="L13" s="112"/>
      <c r="M13" s="113"/>
      <c r="R13" s="1">
        <f>IF(vend[[#This Row],[Nº Venda]]&gt;1,1,0)</f>
        <v>1</v>
      </c>
    </row>
    <row r="14" spans="2:18" ht="15.75" x14ac:dyDescent="0.25">
      <c r="B14" s="30" t="s">
        <v>9</v>
      </c>
      <c r="C14" s="31">
        <f t="shared" si="0"/>
        <v>937</v>
      </c>
      <c r="D14" s="2"/>
      <c r="E14" s="18">
        <v>8817</v>
      </c>
      <c r="F14" s="25" t="s">
        <v>84</v>
      </c>
      <c r="G14" s="26" t="s">
        <v>9</v>
      </c>
      <c r="H14" s="8">
        <v>1990</v>
      </c>
      <c r="I14" s="8">
        <v>400</v>
      </c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1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>
        <v>8818</v>
      </c>
      <c r="F15" s="25" t="s">
        <v>81</v>
      </c>
      <c r="G15" s="26" t="s">
        <v>9</v>
      </c>
      <c r="H15" s="8">
        <v>348</v>
      </c>
      <c r="I15" s="8">
        <v>348</v>
      </c>
      <c r="J15" s="2"/>
      <c r="K15" s="18">
        <v>8819</v>
      </c>
      <c r="L15" s="25" t="s">
        <v>85</v>
      </c>
      <c r="M15" s="16" t="s">
        <v>28</v>
      </c>
      <c r="R15" s="1">
        <f>IF(vend[[#This Row],[Nº Venda]]&gt;1,1,0)</f>
        <v>1</v>
      </c>
    </row>
    <row r="16" spans="2:18" ht="15.75" x14ac:dyDescent="0.25">
      <c r="B16" s="28" t="s">
        <v>11</v>
      </c>
      <c r="C16" s="32">
        <f>SUM(C11:C15)</f>
        <v>2257</v>
      </c>
      <c r="D16" s="2"/>
      <c r="E16" s="18">
        <v>8819</v>
      </c>
      <c r="F16" s="25" t="s">
        <v>86</v>
      </c>
      <c r="G16" s="26" t="s">
        <v>7</v>
      </c>
      <c r="H16" s="8">
        <v>160</v>
      </c>
      <c r="I16" s="8">
        <v>160</v>
      </c>
      <c r="J16" s="2"/>
      <c r="K16" s="25">
        <v>8708</v>
      </c>
      <c r="L16" s="9" t="s">
        <v>85</v>
      </c>
      <c r="M16" s="16" t="s">
        <v>28</v>
      </c>
      <c r="R16" s="1">
        <f>IF(vend[[#This Row],[Nº Venda]]&gt;1,1,0)</f>
        <v>1</v>
      </c>
    </row>
    <row r="17" spans="2:18" ht="15.75" x14ac:dyDescent="0.25">
      <c r="B17" s="2"/>
      <c r="C17" s="2"/>
      <c r="D17" s="2"/>
      <c r="E17" s="18">
        <v>8820</v>
      </c>
      <c r="F17" s="25" t="s">
        <v>87</v>
      </c>
      <c r="G17" s="26" t="s">
        <v>6</v>
      </c>
      <c r="H17" s="8">
        <v>220</v>
      </c>
      <c r="I17" s="8">
        <v>220</v>
      </c>
      <c r="J17" s="2"/>
      <c r="K17" s="25">
        <v>8820</v>
      </c>
      <c r="L17" s="9" t="s">
        <v>85</v>
      </c>
      <c r="M17" s="16" t="s">
        <v>28</v>
      </c>
      <c r="R17" s="1">
        <f>IF(vend[[#This Row],[Nº Venda]]&gt;1,1,0)</f>
        <v>1</v>
      </c>
    </row>
    <row r="18" spans="2:18" ht="15.75" x14ac:dyDescent="0.25">
      <c r="B18" s="109" t="s">
        <v>12</v>
      </c>
      <c r="C18" s="109"/>
      <c r="D18" s="2"/>
      <c r="E18" s="18">
        <v>8821</v>
      </c>
      <c r="F18" s="25" t="s">
        <v>83</v>
      </c>
      <c r="G18" s="26" t="s">
        <v>7</v>
      </c>
      <c r="H18" s="8">
        <v>50</v>
      </c>
      <c r="I18" s="8">
        <v>50</v>
      </c>
      <c r="J18" s="2"/>
      <c r="K18" s="25">
        <v>8821</v>
      </c>
      <c r="L18" s="9" t="s">
        <v>343</v>
      </c>
      <c r="M18" s="16" t="s">
        <v>28</v>
      </c>
      <c r="R18" s="1">
        <f>IF(vend[[#This Row],[Nº Venda]]&gt;1,1,0)</f>
        <v>1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4701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8784</v>
      </c>
      <c r="F26" s="25" t="s">
        <v>88</v>
      </c>
      <c r="G26" s="26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8785</v>
      </c>
      <c r="F27" s="25" t="s">
        <v>88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4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9">
        <f>'06'!B1+1</f>
        <v>45358</v>
      </c>
    </row>
    <row r="2" spans="2:21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  <c r="U4" s="1">
        <v>0</v>
      </c>
    </row>
    <row r="5" spans="2:21" ht="15" x14ac:dyDescent="0.25">
      <c r="B5" s="23" t="s">
        <v>1</v>
      </c>
      <c r="C5" s="24">
        <f>SUMIF(I6:I31,"&gt;0",H6:H31)</f>
        <v>8569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8571</v>
      </c>
      <c r="D6" s="2"/>
      <c r="E6" s="18">
        <v>8822</v>
      </c>
      <c r="F6" s="87" t="s">
        <v>89</v>
      </c>
      <c r="G6" s="87" t="s">
        <v>10</v>
      </c>
      <c r="H6" s="88">
        <v>599</v>
      </c>
      <c r="I6" s="88">
        <v>100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8823</v>
      </c>
      <c r="F7" s="48" t="s">
        <v>89</v>
      </c>
      <c r="G7" s="48" t="s">
        <v>10</v>
      </c>
      <c r="H7" s="47">
        <v>149</v>
      </c>
      <c r="I7" s="47">
        <v>50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22</v>
      </c>
      <c r="C8" s="29">
        <f>SUM(C6:C7)</f>
        <v>8571</v>
      </c>
      <c r="D8" s="2"/>
      <c r="E8" s="18">
        <v>8824</v>
      </c>
      <c r="F8" s="25" t="s">
        <v>90</v>
      </c>
      <c r="G8" s="26" t="s">
        <v>9</v>
      </c>
      <c r="H8" s="8">
        <v>500</v>
      </c>
      <c r="I8" s="8">
        <v>500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8825</v>
      </c>
      <c r="F9" s="25" t="s">
        <v>90</v>
      </c>
      <c r="G9" s="26" t="s">
        <v>7</v>
      </c>
      <c r="H9" s="8">
        <v>339</v>
      </c>
      <c r="I9" s="8">
        <v>339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09" t="s">
        <v>5</v>
      </c>
      <c r="C10" s="109"/>
      <c r="D10" s="2"/>
      <c r="E10" s="18">
        <v>8826</v>
      </c>
      <c r="F10" s="25" t="s">
        <v>91</v>
      </c>
      <c r="G10" s="26" t="s">
        <v>9</v>
      </c>
      <c r="H10" s="8">
        <v>1500</v>
      </c>
      <c r="I10" s="8">
        <v>1500</v>
      </c>
      <c r="J10" s="2"/>
      <c r="K10" s="25"/>
      <c r="L10" s="9"/>
      <c r="M10" s="16"/>
      <c r="R10" s="1">
        <f>IF(vend7[[#This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8827</v>
      </c>
      <c r="F11" s="25" t="s">
        <v>91</v>
      </c>
      <c r="G11" s="26" t="s">
        <v>9</v>
      </c>
      <c r="H11" s="8">
        <v>490</v>
      </c>
      <c r="I11" s="8">
        <v>490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339</v>
      </c>
      <c r="D12" s="2"/>
      <c r="E12" s="18">
        <v>8828</v>
      </c>
      <c r="F12" s="25" t="s">
        <v>92</v>
      </c>
      <c r="G12" s="26" t="s">
        <v>9</v>
      </c>
      <c r="H12" s="8">
        <v>1193</v>
      </c>
      <c r="I12" s="8">
        <v>1193</v>
      </c>
      <c r="J12" s="2"/>
      <c r="R12" s="1">
        <f>IF(vend7[[#This Row],[Nº Venda]]&gt;1,1,0)</f>
        <v>1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>
        <v>8829</v>
      </c>
      <c r="F13" s="25" t="s">
        <v>91</v>
      </c>
      <c r="G13" s="26" t="s">
        <v>9</v>
      </c>
      <c r="H13" s="8">
        <v>2500</v>
      </c>
      <c r="I13" s="8">
        <v>2500</v>
      </c>
      <c r="J13" s="2"/>
      <c r="K13" s="111" t="s">
        <v>23</v>
      </c>
      <c r="L13" s="112"/>
      <c r="M13" s="113"/>
      <c r="R13" s="1">
        <f>IF(vend7[[#This Row],[Nº Venda]]&gt;1,1,0)</f>
        <v>1</v>
      </c>
    </row>
    <row r="14" spans="2:21" ht="15.75" x14ac:dyDescent="0.25">
      <c r="B14" s="30" t="s">
        <v>9</v>
      </c>
      <c r="C14" s="31">
        <f t="shared" si="0"/>
        <v>8082</v>
      </c>
      <c r="D14" s="2"/>
      <c r="E14" s="18">
        <v>8830</v>
      </c>
      <c r="F14" s="25" t="s">
        <v>91</v>
      </c>
      <c r="G14" s="26" t="s">
        <v>9</v>
      </c>
      <c r="H14" s="8">
        <v>500</v>
      </c>
      <c r="I14" s="8">
        <v>500</v>
      </c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1</v>
      </c>
    </row>
    <row r="15" spans="2:21" ht="15.75" x14ac:dyDescent="0.25">
      <c r="B15" s="30" t="s">
        <v>10</v>
      </c>
      <c r="C15" s="31">
        <f t="shared" si="0"/>
        <v>150</v>
      </c>
      <c r="D15" s="2"/>
      <c r="E15" s="18">
        <v>8831</v>
      </c>
      <c r="F15" s="25" t="s">
        <v>92</v>
      </c>
      <c r="G15" s="26" t="s">
        <v>9</v>
      </c>
      <c r="H15" s="8">
        <v>799</v>
      </c>
      <c r="I15" s="8">
        <v>799</v>
      </c>
      <c r="J15" s="2"/>
      <c r="K15" s="49">
        <v>8730</v>
      </c>
      <c r="L15" s="50" t="s">
        <v>27</v>
      </c>
      <c r="M15" s="51" t="s">
        <v>28</v>
      </c>
      <c r="R15" s="1">
        <f>IF(vend7[[#This Row],[Nº Venda]]&gt;1,1,0)</f>
        <v>1</v>
      </c>
    </row>
    <row r="16" spans="2:21" ht="15.75" x14ac:dyDescent="0.25">
      <c r="B16" s="28" t="s">
        <v>11</v>
      </c>
      <c r="C16" s="32">
        <f>SUM(C11:C15)</f>
        <v>8671</v>
      </c>
      <c r="D16" s="2"/>
      <c r="E16" s="18"/>
      <c r="F16" s="25"/>
      <c r="G16" s="26"/>
      <c r="H16" s="8"/>
      <c r="I16" s="8"/>
      <c r="J16" s="2"/>
      <c r="K16" s="45">
        <v>8816</v>
      </c>
      <c r="L16" s="9" t="s">
        <v>27</v>
      </c>
      <c r="M16" s="16" t="s">
        <v>28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>
        <v>8823</v>
      </c>
      <c r="L17" s="9" t="s">
        <v>27</v>
      </c>
      <c r="M17" s="16" t="s">
        <v>28</v>
      </c>
      <c r="R17" s="1">
        <f>IF(vend7[[#This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30</v>
      </c>
      <c r="C22" s="32">
        <f>C5</f>
        <v>8569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>
        <v>8810</v>
      </c>
      <c r="F26" s="64" t="s">
        <v>93</v>
      </c>
      <c r="G26" s="79" t="s">
        <v>9</v>
      </c>
      <c r="H26" s="80"/>
      <c r="I26" s="80">
        <v>600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8260</v>
      </c>
      <c r="F35" s="25" t="s">
        <v>94</v>
      </c>
      <c r="G35" s="26" t="s">
        <v>6</v>
      </c>
      <c r="H35" s="8">
        <v>100</v>
      </c>
      <c r="I35" s="8" t="s">
        <v>68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'07'!B1+1</f>
        <v>45359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2829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5315</v>
      </c>
      <c r="D6" s="2"/>
      <c r="E6" s="90">
        <v>8832</v>
      </c>
      <c r="F6" s="8" t="s">
        <v>95</v>
      </c>
      <c r="G6" s="8" t="s">
        <v>6</v>
      </c>
      <c r="H6" s="8">
        <v>499</v>
      </c>
      <c r="I6" s="8">
        <v>50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8833</v>
      </c>
      <c r="F7" s="8" t="s">
        <v>96</v>
      </c>
      <c r="G7" s="8" t="s">
        <v>9</v>
      </c>
      <c r="H7" s="8">
        <v>939</v>
      </c>
      <c r="I7" s="8">
        <v>200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22</v>
      </c>
      <c r="C8" s="29">
        <f>SUM(C6:C7)</f>
        <v>5315</v>
      </c>
      <c r="D8" s="2"/>
      <c r="E8" s="90">
        <v>8834</v>
      </c>
      <c r="F8" s="8" t="s">
        <v>96</v>
      </c>
      <c r="G8" s="8" t="s">
        <v>9</v>
      </c>
      <c r="H8" s="8">
        <v>900</v>
      </c>
      <c r="I8" s="8">
        <v>100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90">
        <v>8835</v>
      </c>
      <c r="F9" s="8" t="s">
        <v>96</v>
      </c>
      <c r="G9" s="8" t="s">
        <v>9</v>
      </c>
      <c r="H9" s="8">
        <v>240</v>
      </c>
      <c r="I9" s="8">
        <v>100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8836</v>
      </c>
      <c r="F10" s="25" t="s">
        <v>96</v>
      </c>
      <c r="G10" s="26" t="s">
        <v>9</v>
      </c>
      <c r="H10" s="8">
        <v>201</v>
      </c>
      <c r="I10" s="8">
        <v>100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86">
        <f>(SUMIF($G$2:$G$31,B11,$I$2:$I$31))+(SUMIF($G$35:$G$42,B11,$H$35:$H$42))</f>
        <v>968</v>
      </c>
      <c r="D11" s="2"/>
      <c r="E11" s="18">
        <v>8837</v>
      </c>
      <c r="F11" s="25" t="s">
        <v>97</v>
      </c>
      <c r="G11" s="26" t="s">
        <v>7</v>
      </c>
      <c r="H11" s="8">
        <v>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86">
        <f>(SUMIF($G$2:$G$31,B12,$I$2:$I$31))+(SUMIF($G$35:$G$42,B12,$H$35:$H$42))</f>
        <v>520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IF(vend8[[#This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(SUMIF($G$2:$G$31,B14,$I$2:$I$31))+(SUMIF($G$35:$G$42,B14,$H$35:$H$42))</f>
        <v>4025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6">
        <f>(SUMIF($G$2:$G$31,B15,$I$2:$I$31))+(SUMIF($G$35:$G$42,B15,$H$35:$H$42))</f>
        <v>613.85</v>
      </c>
      <c r="D15" s="2"/>
      <c r="E15" s="18"/>
      <c r="F15" s="25"/>
      <c r="G15" s="26"/>
      <c r="H15" s="8"/>
      <c r="I15" s="8"/>
      <c r="J15" s="2"/>
      <c r="K15" s="25">
        <v>8104</v>
      </c>
      <c r="L15" s="9" t="s">
        <v>98</v>
      </c>
      <c r="M15" s="16" t="s">
        <v>28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6126.85</v>
      </c>
      <c r="D16" s="2"/>
      <c r="E16" s="18"/>
      <c r="F16" s="25"/>
      <c r="G16" s="26"/>
      <c r="H16" s="8"/>
      <c r="I16" s="8"/>
      <c r="J16" s="2"/>
      <c r="K16" s="25">
        <v>8684</v>
      </c>
      <c r="L16" s="9" t="s">
        <v>27</v>
      </c>
      <c r="M16" s="16" t="s">
        <v>28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8723</v>
      </c>
      <c r="L17" s="9" t="s">
        <v>29</v>
      </c>
      <c r="M17" s="16" t="s">
        <v>28</v>
      </c>
      <c r="R17" s="1">
        <f>IF(vend8[[#This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8756</v>
      </c>
      <c r="L18" s="9" t="s">
        <v>27</v>
      </c>
      <c r="M18" s="16" t="s">
        <v>99</v>
      </c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480</v>
      </c>
      <c r="D19" s="2"/>
      <c r="E19" s="18"/>
      <c r="F19" s="25"/>
      <c r="G19" s="26"/>
      <c r="H19" s="8"/>
      <c r="I19" s="8"/>
      <c r="J19" s="2"/>
      <c r="K19" s="25">
        <v>8761</v>
      </c>
      <c r="L19" s="9" t="s">
        <v>57</v>
      </c>
      <c r="M19" s="16" t="s">
        <v>28</v>
      </c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480</v>
      </c>
      <c r="D20" s="2"/>
      <c r="E20" s="18"/>
      <c r="F20" s="26"/>
      <c r="G20" s="26"/>
      <c r="H20" s="8"/>
      <c r="I20" s="8"/>
      <c r="J20" s="2"/>
      <c r="K20" s="25">
        <v>8778</v>
      </c>
      <c r="L20" s="9" t="s">
        <v>29</v>
      </c>
      <c r="M20" s="16" t="s">
        <v>28</v>
      </c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8799</v>
      </c>
      <c r="L21" s="9" t="s">
        <v>27</v>
      </c>
      <c r="M21" s="16" t="s">
        <v>28</v>
      </c>
    </row>
    <row r="22" spans="2:18" ht="15.75" x14ac:dyDescent="0.25">
      <c r="B22" s="28" t="s">
        <v>30</v>
      </c>
      <c r="C22" s="32">
        <f>C5</f>
        <v>2829</v>
      </c>
      <c r="D22" s="2"/>
      <c r="E22" s="18"/>
      <c r="F22" s="25"/>
      <c r="G22" s="26"/>
      <c r="H22" s="8"/>
      <c r="I22" s="8"/>
      <c r="J22" s="2"/>
      <c r="K22" s="25">
        <v>8800</v>
      </c>
      <c r="L22" s="9" t="s">
        <v>27</v>
      </c>
      <c r="M22" s="16" t="s">
        <v>28</v>
      </c>
    </row>
    <row r="23" spans="2:18" ht="15" x14ac:dyDescent="0.25">
      <c r="B23" s="2"/>
      <c r="C23" s="2"/>
      <c r="D23" s="2"/>
      <c r="E23" s="33"/>
      <c r="H23" s="7"/>
      <c r="J23" s="2"/>
      <c r="K23" s="25">
        <v>8802</v>
      </c>
      <c r="L23" s="9" t="s">
        <v>29</v>
      </c>
      <c r="M23" s="16" t="s">
        <v>28</v>
      </c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>
        <v>8804</v>
      </c>
      <c r="L24" s="9" t="s">
        <v>29</v>
      </c>
      <c r="M24" s="16" t="s">
        <v>28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8837</v>
      </c>
      <c r="L25" s="9" t="s">
        <v>29</v>
      </c>
      <c r="M25" s="16" t="s">
        <v>28</v>
      </c>
    </row>
    <row r="26" spans="2:18" ht="15.75" x14ac:dyDescent="0.25">
      <c r="B26" s="2"/>
      <c r="C26" s="2"/>
      <c r="D26" s="2"/>
      <c r="E26" s="91">
        <v>8104</v>
      </c>
      <c r="F26" s="92" t="s">
        <v>100</v>
      </c>
      <c r="G26" s="93" t="s">
        <v>7</v>
      </c>
      <c r="H26" s="94"/>
      <c r="I26" s="94">
        <v>390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8684</v>
      </c>
      <c r="F27" s="25" t="s">
        <v>101</v>
      </c>
      <c r="G27" s="46" t="s">
        <v>6</v>
      </c>
      <c r="H27" s="8"/>
      <c r="I27" s="8">
        <v>800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8723</v>
      </c>
      <c r="F28" s="25" t="s">
        <v>102</v>
      </c>
      <c r="G28" s="46" t="s">
        <v>9</v>
      </c>
      <c r="H28" s="8"/>
      <c r="I28" s="8">
        <v>1300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8724</v>
      </c>
      <c r="F29" s="25" t="s">
        <v>102</v>
      </c>
      <c r="G29" s="46" t="s">
        <v>9</v>
      </c>
      <c r="H29" s="8"/>
      <c r="I29" s="8">
        <v>275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8775</v>
      </c>
      <c r="F30" s="25" t="s">
        <v>103</v>
      </c>
      <c r="G30" s="26" t="s">
        <v>9</v>
      </c>
      <c r="H30" s="8"/>
      <c r="I30" s="8">
        <v>1950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8364</v>
      </c>
      <c r="F35" s="25" t="s">
        <v>104</v>
      </c>
      <c r="G35" s="26" t="s">
        <v>7</v>
      </c>
      <c r="H35" s="8">
        <v>80</v>
      </c>
      <c r="I35" s="8" t="s">
        <v>105</v>
      </c>
      <c r="K35" s="25">
        <v>8756</v>
      </c>
      <c r="L35" s="41">
        <v>7</v>
      </c>
      <c r="M35" s="16">
        <v>480</v>
      </c>
    </row>
    <row r="36" spans="2:18" ht="15.75" x14ac:dyDescent="0.25">
      <c r="E36" s="18">
        <v>8214</v>
      </c>
      <c r="F36" s="25" t="s">
        <v>106</v>
      </c>
      <c r="G36" s="26" t="s">
        <v>6</v>
      </c>
      <c r="H36" s="8">
        <v>118</v>
      </c>
      <c r="I36" s="8" t="s">
        <v>59</v>
      </c>
      <c r="K36" s="25"/>
      <c r="L36" s="41"/>
      <c r="M36" s="16"/>
    </row>
    <row r="37" spans="2:18" ht="15.75" x14ac:dyDescent="0.25">
      <c r="E37" s="18">
        <v>8695</v>
      </c>
      <c r="F37" s="25" t="s">
        <v>107</v>
      </c>
      <c r="G37" s="26" t="s">
        <v>10</v>
      </c>
      <c r="H37" s="8">
        <v>92.85</v>
      </c>
      <c r="I37" s="8" t="s">
        <v>43</v>
      </c>
      <c r="K37" s="25"/>
      <c r="L37" s="41"/>
      <c r="M37" s="16"/>
    </row>
    <row r="38" spans="2:18" ht="15.75" x14ac:dyDescent="0.25">
      <c r="E38" s="18">
        <v>8623</v>
      </c>
      <c r="F38" s="25" t="s">
        <v>108</v>
      </c>
      <c r="G38" s="26" t="s">
        <v>10</v>
      </c>
      <c r="H38" s="8">
        <v>190</v>
      </c>
      <c r="I38" s="8" t="s">
        <v>109</v>
      </c>
      <c r="K38" s="25"/>
      <c r="L38" s="41"/>
      <c r="M38" s="16"/>
    </row>
    <row r="39" spans="2:18" ht="15.75" x14ac:dyDescent="0.25">
      <c r="E39" s="18">
        <v>8525</v>
      </c>
      <c r="F39" s="39" t="s">
        <v>110</v>
      </c>
      <c r="G39" s="26" t="s">
        <v>10</v>
      </c>
      <c r="H39" s="8">
        <v>70</v>
      </c>
      <c r="I39" s="8" t="s">
        <v>111</v>
      </c>
      <c r="K39" s="25"/>
      <c r="L39" s="41"/>
      <c r="M39" s="16"/>
    </row>
    <row r="40" spans="2:18" ht="15.75" x14ac:dyDescent="0.25">
      <c r="E40" s="35">
        <v>7735</v>
      </c>
      <c r="F40" s="36" t="s">
        <v>112</v>
      </c>
      <c r="G40" s="37" t="s">
        <v>10</v>
      </c>
      <c r="H40" s="17">
        <v>100</v>
      </c>
      <c r="I40" s="8" t="s">
        <v>113</v>
      </c>
      <c r="K40" s="36"/>
      <c r="L40" s="42"/>
      <c r="M40" s="40"/>
      <c r="Q40" s="1" t="s">
        <v>44</v>
      </c>
      <c r="R40" s="1">
        <f>SUM(R6:R21)</f>
        <v>6</v>
      </c>
    </row>
    <row r="41" spans="2:18" ht="15.75" x14ac:dyDescent="0.25">
      <c r="E41" s="35">
        <v>8248</v>
      </c>
      <c r="F41" s="39" t="s">
        <v>114</v>
      </c>
      <c r="G41" s="26" t="s">
        <v>10</v>
      </c>
      <c r="H41" s="8">
        <v>93</v>
      </c>
      <c r="I41" s="8" t="s">
        <v>115</v>
      </c>
      <c r="K41" s="44"/>
      <c r="L41" s="41"/>
      <c r="M41" s="40"/>
    </row>
    <row r="42" spans="2:18" ht="15.75" x14ac:dyDescent="0.25">
      <c r="E42" s="35">
        <v>8156</v>
      </c>
      <c r="F42" s="83" t="s">
        <v>116</v>
      </c>
      <c r="G42" s="84" t="s">
        <v>10</v>
      </c>
      <c r="H42" s="85">
        <v>68</v>
      </c>
      <c r="I42" s="17" t="s">
        <v>59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9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45360</v>
      </c>
    </row>
    <row r="2" spans="2:22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22" ht="15" x14ac:dyDescent="0.25">
      <c r="B5" s="23" t="s">
        <v>1</v>
      </c>
      <c r="C5" s="24">
        <f>SUMIF(I6:I31,"&gt;0",H6:H31)</f>
        <v>6222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3696</v>
      </c>
      <c r="D6" s="2"/>
      <c r="E6" s="18">
        <v>8838</v>
      </c>
      <c r="F6" s="25" t="s">
        <v>117</v>
      </c>
      <c r="G6" s="46" t="s">
        <v>7</v>
      </c>
      <c r="H6" s="8">
        <v>980</v>
      </c>
      <c r="I6" s="8">
        <v>150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8839</v>
      </c>
      <c r="F7" s="25" t="s">
        <v>118</v>
      </c>
      <c r="G7" s="46" t="s">
        <v>9</v>
      </c>
      <c r="H7" s="8">
        <v>450</v>
      </c>
      <c r="I7" s="8">
        <v>450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22</v>
      </c>
      <c r="C8" s="29">
        <f>SUM(C6:C7)</f>
        <v>3696</v>
      </c>
      <c r="D8" s="2"/>
      <c r="E8" s="18">
        <v>8840</v>
      </c>
      <c r="F8" s="25" t="s">
        <v>118</v>
      </c>
      <c r="G8" s="26" t="s">
        <v>9</v>
      </c>
      <c r="H8" s="8">
        <v>129</v>
      </c>
      <c r="I8" s="8">
        <v>129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8841</v>
      </c>
      <c r="F9" s="25" t="s">
        <v>118</v>
      </c>
      <c r="G9" s="26" t="s">
        <v>9</v>
      </c>
      <c r="H9" s="8">
        <v>450</v>
      </c>
      <c r="I9" s="8">
        <v>450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09" t="s">
        <v>5</v>
      </c>
      <c r="C10" s="109"/>
      <c r="D10" s="2"/>
      <c r="E10" s="18">
        <v>8842</v>
      </c>
      <c r="F10" s="25" t="s">
        <v>119</v>
      </c>
      <c r="G10" s="26" t="s">
        <v>10</v>
      </c>
      <c r="H10" s="8">
        <v>589</v>
      </c>
      <c r="I10" s="8">
        <v>300</v>
      </c>
      <c r="J10" s="2"/>
      <c r="K10" s="25"/>
      <c r="L10" s="9"/>
      <c r="M10" s="16"/>
      <c r="R10" s="1">
        <f>IF(vend9[[#This Row],[Nº Venda]]&gt;1,1,0)</f>
        <v>1</v>
      </c>
    </row>
    <row r="11" spans="2:22" ht="15.75" x14ac:dyDescent="0.25">
      <c r="B11" s="30" t="s">
        <v>6</v>
      </c>
      <c r="C11" s="31">
        <f>(SUMIF($G$2:$G$31,B11,$I$2:$I$31))+(SUMIF($G$35:$G$41,B11,$H$35:$H$41))</f>
        <v>468</v>
      </c>
      <c r="D11" s="2"/>
      <c r="E11" s="18">
        <v>8843</v>
      </c>
      <c r="F11" s="25" t="s">
        <v>120</v>
      </c>
      <c r="G11" s="26" t="s">
        <v>64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288.75</v>
      </c>
      <c r="D12" s="2"/>
      <c r="E12" s="18">
        <v>8844</v>
      </c>
      <c r="F12" s="25" t="s">
        <v>121</v>
      </c>
      <c r="G12" s="26" t="s">
        <v>9</v>
      </c>
      <c r="H12" s="8">
        <v>495</v>
      </c>
      <c r="I12" s="8">
        <v>220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>
        <v>8844</v>
      </c>
      <c r="F13" s="25" t="s">
        <v>121</v>
      </c>
      <c r="G13" s="26" t="s">
        <v>10</v>
      </c>
      <c r="H13" s="8"/>
      <c r="I13" s="8">
        <v>200</v>
      </c>
      <c r="J13" s="2"/>
      <c r="K13" s="111" t="s">
        <v>23</v>
      </c>
      <c r="L13" s="112"/>
      <c r="M13" s="113"/>
      <c r="R13" s="1">
        <f>IF(vend9[[#This Row],[Nº Venda]]&gt;1,1,0)</f>
        <v>1</v>
      </c>
    </row>
    <row r="14" spans="2:22" ht="15.75" x14ac:dyDescent="0.25">
      <c r="B14" s="30" t="s">
        <v>9</v>
      </c>
      <c r="C14" s="31">
        <f t="shared" si="0"/>
        <v>2799</v>
      </c>
      <c r="D14" s="2"/>
      <c r="E14" s="18">
        <v>8845</v>
      </c>
      <c r="F14" s="25" t="s">
        <v>122</v>
      </c>
      <c r="G14" s="26" t="s">
        <v>7</v>
      </c>
      <c r="H14" s="8">
        <v>129</v>
      </c>
      <c r="I14" s="8">
        <v>69</v>
      </c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1</v>
      </c>
    </row>
    <row r="15" spans="2:22" ht="15.75" x14ac:dyDescent="0.25">
      <c r="B15" s="30" t="s">
        <v>10</v>
      </c>
      <c r="C15" s="31">
        <f t="shared" si="0"/>
        <v>610</v>
      </c>
      <c r="D15" s="2"/>
      <c r="E15" s="18">
        <v>8845</v>
      </c>
      <c r="F15" s="25" t="s">
        <v>122</v>
      </c>
      <c r="G15" s="26" t="s">
        <v>6</v>
      </c>
      <c r="H15" s="8"/>
      <c r="I15" s="8">
        <v>60</v>
      </c>
      <c r="J15" s="2"/>
      <c r="K15" s="25">
        <v>8724</v>
      </c>
      <c r="L15" s="9" t="s">
        <v>85</v>
      </c>
      <c r="M15" s="16" t="s">
        <v>28</v>
      </c>
      <c r="R15" s="1">
        <f>IF(vend9[[#This Row],[Nº Venda]]&gt;1,1,0)</f>
        <v>1</v>
      </c>
    </row>
    <row r="16" spans="2:22" ht="15.75" x14ac:dyDescent="0.25">
      <c r="B16" s="28" t="s">
        <v>11</v>
      </c>
      <c r="C16" s="32">
        <f>SUM(C11:C15)</f>
        <v>4165.75</v>
      </c>
      <c r="D16" s="2"/>
      <c r="E16" s="18">
        <v>8846</v>
      </c>
      <c r="F16" s="25" t="s">
        <v>123</v>
      </c>
      <c r="G16" s="26" t="s">
        <v>9</v>
      </c>
      <c r="H16" s="8">
        <v>850</v>
      </c>
      <c r="I16" s="8">
        <v>850</v>
      </c>
      <c r="J16" s="2"/>
      <c r="K16" s="25">
        <v>8726</v>
      </c>
      <c r="L16" s="9" t="s">
        <v>57</v>
      </c>
      <c r="M16" s="16" t="s">
        <v>28</v>
      </c>
      <c r="R16" s="1">
        <f>IF(vend9[[#This Row],[Nº Venda]]&gt;1,1,0)</f>
        <v>1</v>
      </c>
    </row>
    <row r="17" spans="2:18" ht="15.75" x14ac:dyDescent="0.25">
      <c r="B17" s="2"/>
      <c r="C17" s="2"/>
      <c r="D17" s="2"/>
      <c r="E17" s="18">
        <v>8847</v>
      </c>
      <c r="F17" s="25" t="s">
        <v>124</v>
      </c>
      <c r="G17" s="26" t="s">
        <v>10</v>
      </c>
      <c r="H17" s="8">
        <v>1200</v>
      </c>
      <c r="I17" s="8">
        <v>30</v>
      </c>
      <c r="J17" s="2"/>
      <c r="K17" s="25">
        <v>8731</v>
      </c>
      <c r="L17" s="9" t="s">
        <v>57</v>
      </c>
      <c r="M17" s="16" t="s">
        <v>28</v>
      </c>
      <c r="R17" s="1">
        <f>IF(vend9[[#This Row],[Nº Venda]]&gt;1,1,0)</f>
        <v>1</v>
      </c>
    </row>
    <row r="18" spans="2:18" ht="15.75" x14ac:dyDescent="0.25">
      <c r="B18" s="109" t="s">
        <v>12</v>
      </c>
      <c r="C18" s="109"/>
      <c r="D18" s="2"/>
      <c r="E18" s="18">
        <v>8848</v>
      </c>
      <c r="F18" s="25" t="s">
        <v>124</v>
      </c>
      <c r="G18" s="26" t="s">
        <v>125</v>
      </c>
      <c r="H18" s="8"/>
      <c r="I18" s="8"/>
      <c r="J18" s="2"/>
      <c r="K18" s="25">
        <v>8781</v>
      </c>
      <c r="L18" s="9" t="s">
        <v>85</v>
      </c>
      <c r="M18" s="16" t="s">
        <v>99</v>
      </c>
      <c r="R18" s="1">
        <f>IF(vend9[[#This Row],[Nº Venda]]&gt;1,1,0)</f>
        <v>1</v>
      </c>
    </row>
    <row r="19" spans="2:18" ht="15.75" x14ac:dyDescent="0.25">
      <c r="B19" s="30">
        <f>COUNT(entr_carn9[OS])</f>
        <v>1</v>
      </c>
      <c r="C19" s="31">
        <f>SUM(entr_carn9[Valor Total])</f>
        <v>599</v>
      </c>
      <c r="D19" s="2"/>
      <c r="E19" s="18">
        <v>8849</v>
      </c>
      <c r="F19" s="25" t="s">
        <v>123</v>
      </c>
      <c r="G19" s="26" t="s">
        <v>9</v>
      </c>
      <c r="H19" s="8">
        <v>700</v>
      </c>
      <c r="I19" s="8">
        <v>700</v>
      </c>
      <c r="J19" s="2"/>
      <c r="K19" s="25">
        <v>8845</v>
      </c>
      <c r="L19" s="9" t="s">
        <v>57</v>
      </c>
      <c r="M19" s="16" t="s">
        <v>28</v>
      </c>
      <c r="R19" s="1">
        <f>IF(vend9[[#This Row],[Nº Venda]]&gt;1,1,0)</f>
        <v>1</v>
      </c>
    </row>
    <row r="20" spans="2:18" ht="15.75" x14ac:dyDescent="0.25">
      <c r="B20" s="28" t="s">
        <v>11</v>
      </c>
      <c r="C20" s="32">
        <f>SUM(C19:C19)</f>
        <v>599</v>
      </c>
      <c r="D20" s="2"/>
      <c r="E20" s="18">
        <v>8850</v>
      </c>
      <c r="F20" s="25" t="s">
        <v>126</v>
      </c>
      <c r="G20" s="26" t="s">
        <v>6</v>
      </c>
      <c r="H20" s="8">
        <v>250</v>
      </c>
      <c r="I20" s="8">
        <v>8</v>
      </c>
      <c r="J20" s="2"/>
      <c r="K20" s="25">
        <v>8579</v>
      </c>
      <c r="L20" s="9" t="s">
        <v>85</v>
      </c>
      <c r="M20" s="16" t="s">
        <v>28</v>
      </c>
      <c r="R20" s="1">
        <f>IF(vend9[[#This Row],[Nº Venda]]&gt;1,1,0)</f>
        <v>1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8674</v>
      </c>
      <c r="L21" s="9" t="s">
        <v>57</v>
      </c>
      <c r="M21" s="16" t="s">
        <v>28</v>
      </c>
    </row>
    <row r="22" spans="2:18" ht="15.75" x14ac:dyDescent="0.25">
      <c r="B22" s="28" t="s">
        <v>30</v>
      </c>
      <c r="C22" s="32">
        <f>C5</f>
        <v>6222</v>
      </c>
      <c r="D22" s="2"/>
      <c r="E22" s="18"/>
      <c r="F22" s="25"/>
      <c r="G22" s="26"/>
      <c r="H22" s="8"/>
      <c r="I22" s="8"/>
      <c r="J22" s="2"/>
      <c r="K22" s="25">
        <v>8743</v>
      </c>
      <c r="L22" s="9" t="s">
        <v>85</v>
      </c>
      <c r="M22" s="16" t="s">
        <v>28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8781</v>
      </c>
      <c r="F26" s="25" t="s">
        <v>127</v>
      </c>
      <c r="G26" s="46" t="s">
        <v>10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7687</v>
      </c>
      <c r="F35" s="25" t="s">
        <v>128</v>
      </c>
      <c r="G35" s="26" t="s">
        <v>6</v>
      </c>
      <c r="H35" s="8">
        <v>200</v>
      </c>
      <c r="I35" s="8" t="s">
        <v>72</v>
      </c>
      <c r="K35" s="25">
        <v>8781</v>
      </c>
      <c r="L35" s="41">
        <v>6</v>
      </c>
      <c r="M35" s="16">
        <v>599</v>
      </c>
    </row>
    <row r="36" spans="2:18" ht="15.75" x14ac:dyDescent="0.25">
      <c r="E36" s="18">
        <v>7687</v>
      </c>
      <c r="F36" s="25" t="s">
        <v>128</v>
      </c>
      <c r="G36" s="26" t="s">
        <v>6</v>
      </c>
      <c r="H36" s="8">
        <v>200</v>
      </c>
      <c r="I36" s="8" t="s">
        <v>129</v>
      </c>
      <c r="K36" s="25"/>
      <c r="L36" s="41"/>
      <c r="M36" s="16"/>
    </row>
    <row r="37" spans="2:18" ht="15.75" x14ac:dyDescent="0.25">
      <c r="E37" s="18">
        <v>8636</v>
      </c>
      <c r="F37" s="25" t="s">
        <v>130</v>
      </c>
      <c r="G37" s="26" t="s">
        <v>7</v>
      </c>
      <c r="H37" s="8">
        <v>69.75</v>
      </c>
      <c r="I37" s="8" t="s">
        <v>131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2" zoomScale="80" zoomScaleNormal="80" workbookViewId="0">
      <selection activeCell="I41" sqref="E36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45361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1" t="s">
        <v>12</v>
      </c>
      <c r="L33" s="112"/>
      <c r="M33" s="113"/>
    </row>
    <row r="34" spans="2:18" ht="15" x14ac:dyDescent="0.25">
      <c r="E34" s="110" t="s">
        <v>34</v>
      </c>
      <c r="F34" s="110"/>
      <c r="G34" s="110"/>
      <c r="H34" s="110"/>
      <c r="I34" s="110"/>
      <c r="K34" s="14" t="s">
        <v>24</v>
      </c>
      <c r="L34" s="6" t="s">
        <v>37</v>
      </c>
      <c r="M34" s="15" t="s">
        <v>38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35</v>
      </c>
      <c r="I35" s="13" t="s">
        <v>36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7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'10'!B1+1</f>
        <v>45362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1849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3735</v>
      </c>
      <c r="D6" s="2"/>
      <c r="E6" s="18">
        <v>8851</v>
      </c>
      <c r="F6" s="25" t="s">
        <v>132</v>
      </c>
      <c r="G6" s="26" t="s">
        <v>9</v>
      </c>
      <c r="H6" s="8">
        <v>751</v>
      </c>
      <c r="I6" s="8">
        <v>751</v>
      </c>
      <c r="J6" s="2"/>
      <c r="K6" s="25" t="s">
        <v>133</v>
      </c>
      <c r="L6" s="9" t="s">
        <v>78</v>
      </c>
      <c r="M6" s="16">
        <v>20</v>
      </c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>
        <v>8852</v>
      </c>
      <c r="F7" s="25" t="s">
        <v>132</v>
      </c>
      <c r="G7" s="26" t="s">
        <v>9</v>
      </c>
      <c r="H7" s="8">
        <v>199</v>
      </c>
      <c r="I7" s="8">
        <v>199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22</v>
      </c>
      <c r="C8" s="29">
        <f>SUM(C6:C7)</f>
        <v>3755</v>
      </c>
      <c r="D8" s="2"/>
      <c r="E8" s="18">
        <v>8853</v>
      </c>
      <c r="F8" s="25" t="s">
        <v>134</v>
      </c>
      <c r="G8" s="26" t="s">
        <v>9</v>
      </c>
      <c r="H8" s="8">
        <v>199</v>
      </c>
      <c r="I8" s="8">
        <v>199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8854</v>
      </c>
      <c r="F9" s="25" t="s">
        <v>135</v>
      </c>
      <c r="G9" s="26" t="s">
        <v>7</v>
      </c>
      <c r="H9" s="8">
        <v>500</v>
      </c>
      <c r="I9" s="8">
        <v>280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8855</v>
      </c>
      <c r="F10" s="25" t="s">
        <v>136</v>
      </c>
      <c r="G10" s="26" t="s">
        <v>10</v>
      </c>
      <c r="H10" s="8">
        <v>200</v>
      </c>
      <c r="I10" s="8">
        <v>200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268.8</v>
      </c>
      <c r="D11" s="2"/>
      <c r="E11" s="18">
        <v>8856</v>
      </c>
      <c r="F11" s="25" t="s">
        <v>137</v>
      </c>
      <c r="G11" s="26" t="s">
        <v>64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449</v>
      </c>
      <c r="D12" s="2"/>
      <c r="E12" s="18">
        <v>8857</v>
      </c>
      <c r="F12" s="25" t="s">
        <v>138</v>
      </c>
      <c r="G12" s="26" t="s">
        <v>64</v>
      </c>
      <c r="H12" s="8"/>
      <c r="I12" s="8"/>
      <c r="J12" s="2"/>
      <c r="R12" s="1">
        <f>IF(vend11[[#This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3129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8488</v>
      </c>
      <c r="L15" s="9" t="s">
        <v>85</v>
      </c>
      <c r="M15" s="16" t="s">
        <v>28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4046.8</v>
      </c>
      <c r="D16" s="2"/>
      <c r="E16" s="18"/>
      <c r="F16" s="25"/>
      <c r="G16" s="26"/>
      <c r="H16" s="8"/>
      <c r="I16" s="8"/>
      <c r="J16" s="2"/>
      <c r="K16" s="25">
        <v>8640</v>
      </c>
      <c r="L16" s="9" t="s">
        <v>57</v>
      </c>
      <c r="M16" s="16" t="s">
        <v>28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8779</v>
      </c>
      <c r="L17" s="9" t="s">
        <v>139</v>
      </c>
      <c r="M17" s="16" t="s">
        <v>28</v>
      </c>
      <c r="R17" s="1">
        <f>IF(vend11[[#This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8783</v>
      </c>
      <c r="L18" s="9" t="s">
        <v>139</v>
      </c>
      <c r="M18" s="16" t="s">
        <v>28</v>
      </c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>
        <v>8789</v>
      </c>
      <c r="L19" s="9" t="s">
        <v>57</v>
      </c>
      <c r="M19" s="16" t="s">
        <v>28</v>
      </c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8853</v>
      </c>
      <c r="L20" s="9" t="s">
        <v>139</v>
      </c>
      <c r="M20" s="16" t="s">
        <v>28</v>
      </c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8855</v>
      </c>
      <c r="L21" s="9" t="s">
        <v>341</v>
      </c>
      <c r="M21" s="16" t="s">
        <v>28</v>
      </c>
    </row>
    <row r="22" spans="2:18" ht="15.75" x14ac:dyDescent="0.25">
      <c r="B22" s="28" t="s">
        <v>30</v>
      </c>
      <c r="C22" s="32">
        <f>C5</f>
        <v>1849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8488</v>
      </c>
      <c r="F26" s="25" t="s">
        <v>140</v>
      </c>
      <c r="G26" s="46" t="s">
        <v>6</v>
      </c>
      <c r="H26" s="8"/>
      <c r="I26" s="8">
        <v>126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8639</v>
      </c>
      <c r="F27" s="25" t="s">
        <v>141</v>
      </c>
      <c r="G27" s="26" t="s">
        <v>9</v>
      </c>
      <c r="H27" s="8"/>
      <c r="I27" s="8">
        <v>1500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8640</v>
      </c>
      <c r="F28" s="25" t="s">
        <v>141</v>
      </c>
      <c r="G28" s="26" t="s">
        <v>9</v>
      </c>
      <c r="H28" s="8"/>
      <c r="I28" s="8">
        <v>290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8641</v>
      </c>
      <c r="F29" s="25" t="s">
        <v>141</v>
      </c>
      <c r="G29" s="26" t="s">
        <v>9</v>
      </c>
      <c r="H29" s="8"/>
      <c r="I29" s="8">
        <v>190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8486</v>
      </c>
      <c r="F35" s="25" t="s">
        <v>142</v>
      </c>
      <c r="G35" s="26" t="s">
        <v>7</v>
      </c>
      <c r="H35" s="8">
        <v>100</v>
      </c>
      <c r="I35" s="8" t="s">
        <v>131</v>
      </c>
      <c r="K35" s="25"/>
      <c r="L35" s="41"/>
      <c r="M35" s="16"/>
    </row>
    <row r="36" spans="2:18" ht="15.75" x14ac:dyDescent="0.25">
      <c r="E36" s="18">
        <v>8563</v>
      </c>
      <c r="F36" s="25" t="s">
        <v>143</v>
      </c>
      <c r="G36" s="26" t="s">
        <v>6</v>
      </c>
      <c r="H36" s="8">
        <v>142.80000000000001</v>
      </c>
      <c r="I36" s="8" t="s">
        <v>144</v>
      </c>
      <c r="K36" s="25"/>
      <c r="L36" s="41"/>
      <c r="M36" s="16"/>
    </row>
    <row r="37" spans="2:18" ht="15.75" x14ac:dyDescent="0.25">
      <c r="E37" s="18">
        <v>8479</v>
      </c>
      <c r="F37" s="25" t="s">
        <v>145</v>
      </c>
      <c r="G37" s="26" t="s">
        <v>7</v>
      </c>
      <c r="H37" s="8">
        <v>69</v>
      </c>
      <c r="I37" s="8" t="s">
        <v>146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2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'11'!B1+1</f>
        <v>45363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4691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6541</v>
      </c>
      <c r="D6" s="2"/>
      <c r="E6" s="106">
        <v>8858</v>
      </c>
      <c r="F6" s="52" t="s">
        <v>147</v>
      </c>
      <c r="G6" s="52" t="s">
        <v>9</v>
      </c>
      <c r="H6" s="53">
        <v>801</v>
      </c>
      <c r="I6" s="53">
        <v>801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>
        <v>8859</v>
      </c>
      <c r="F7" s="54" t="s">
        <v>148</v>
      </c>
      <c r="G7" s="54" t="s">
        <v>6</v>
      </c>
      <c r="H7" s="55">
        <v>1990</v>
      </c>
      <c r="I7" s="55">
        <v>1000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22</v>
      </c>
      <c r="C8" s="29">
        <f>SUM(C6:C7)</f>
        <v>6541</v>
      </c>
      <c r="D8" s="2"/>
      <c r="E8" s="57">
        <v>8859</v>
      </c>
      <c r="F8" s="54" t="s">
        <v>148</v>
      </c>
      <c r="G8" s="54" t="s">
        <v>8</v>
      </c>
      <c r="H8" s="55"/>
      <c r="I8" s="55">
        <v>990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8861</v>
      </c>
      <c r="F9" s="25" t="s">
        <v>149</v>
      </c>
      <c r="G9" s="26" t="s">
        <v>6</v>
      </c>
      <c r="H9" s="8">
        <v>400</v>
      </c>
      <c r="I9" s="8">
        <v>400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8862</v>
      </c>
      <c r="F10" s="25" t="s">
        <v>150</v>
      </c>
      <c r="G10" s="26" t="s">
        <v>6</v>
      </c>
      <c r="H10" s="8">
        <v>1500</v>
      </c>
      <c r="I10" s="8">
        <v>20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125.72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990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4131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8736</v>
      </c>
      <c r="L15" s="9" t="s">
        <v>151</v>
      </c>
      <c r="M15" s="16" t="s">
        <v>28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6781.72</v>
      </c>
      <c r="D16" s="2"/>
      <c r="E16" s="18"/>
      <c r="F16" s="25"/>
      <c r="G16" s="26"/>
      <c r="H16" s="8"/>
      <c r="I16" s="8"/>
      <c r="J16" s="2"/>
      <c r="K16" s="25">
        <v>8770</v>
      </c>
      <c r="L16" s="9" t="s">
        <v>341</v>
      </c>
      <c r="M16" s="16" t="s">
        <v>28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8837</v>
      </c>
      <c r="L17" s="9" t="s">
        <v>57</v>
      </c>
      <c r="M17" s="16" t="s">
        <v>28</v>
      </c>
      <c r="R17" s="1">
        <f>IF(vend12[[#This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8854</v>
      </c>
      <c r="L18" s="9" t="s">
        <v>342</v>
      </c>
      <c r="M18" s="16" t="s">
        <v>28</v>
      </c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4691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8740</v>
      </c>
      <c r="F26" s="56" t="s">
        <v>152</v>
      </c>
      <c r="G26" s="46" t="s">
        <v>9</v>
      </c>
      <c r="H26" s="8"/>
      <c r="I26" s="8">
        <v>680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8740</v>
      </c>
      <c r="F27" s="25" t="s">
        <v>152</v>
      </c>
      <c r="G27" s="26" t="s">
        <v>9</v>
      </c>
      <c r="H27" s="8"/>
      <c r="I27" s="8">
        <v>870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8833</v>
      </c>
      <c r="F28" s="25" t="s">
        <v>153</v>
      </c>
      <c r="G28" s="26" t="s">
        <v>9</v>
      </c>
      <c r="H28" s="8"/>
      <c r="I28" s="8">
        <v>739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8834</v>
      </c>
      <c r="F29" s="25" t="s">
        <v>153</v>
      </c>
      <c r="G29" s="26" t="s">
        <v>9</v>
      </c>
      <c r="H29" s="8"/>
      <c r="I29" s="8">
        <v>800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8835</v>
      </c>
      <c r="F30" s="39" t="s">
        <v>153</v>
      </c>
      <c r="G30" s="26" t="s">
        <v>9</v>
      </c>
      <c r="H30" s="8"/>
      <c r="I30" s="8">
        <v>140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8836</v>
      </c>
      <c r="F31" s="36" t="s">
        <v>153</v>
      </c>
      <c r="G31" s="37" t="s">
        <v>9</v>
      </c>
      <c r="H31" s="17"/>
      <c r="I31" s="17">
        <v>101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8472</v>
      </c>
      <c r="F35" s="25" t="s">
        <v>154</v>
      </c>
      <c r="G35" s="26" t="s">
        <v>7</v>
      </c>
      <c r="H35" s="8">
        <v>125.72</v>
      </c>
      <c r="I35" s="8" t="s">
        <v>155</v>
      </c>
      <c r="K35" s="25"/>
      <c r="L35" s="41"/>
      <c r="M35" s="16"/>
    </row>
    <row r="36" spans="2:18" ht="15.75" x14ac:dyDescent="0.25">
      <c r="E36" s="18">
        <v>8504</v>
      </c>
      <c r="F36" s="25" t="s">
        <v>156</v>
      </c>
      <c r="G36" s="26" t="s">
        <v>6</v>
      </c>
      <c r="H36" s="8">
        <v>115</v>
      </c>
      <c r="I36" s="8" t="s">
        <v>146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9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'12'!B1+1</f>
        <v>45364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2810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2770</v>
      </c>
      <c r="D6" s="2"/>
      <c r="E6" s="18">
        <v>8860</v>
      </c>
      <c r="F6" s="25" t="s">
        <v>157</v>
      </c>
      <c r="G6" s="26" t="s">
        <v>10</v>
      </c>
      <c r="H6" s="8">
        <v>220</v>
      </c>
      <c r="I6" s="8">
        <v>10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8863</v>
      </c>
      <c r="F7" s="25" t="s">
        <v>158</v>
      </c>
      <c r="G7" s="26" t="s">
        <v>9</v>
      </c>
      <c r="H7" s="8">
        <v>1300</v>
      </c>
      <c r="I7" s="8">
        <v>1300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22</v>
      </c>
      <c r="C8" s="29">
        <f>SUM(C6:C7)</f>
        <v>2770</v>
      </c>
      <c r="D8" s="2"/>
      <c r="E8" s="18">
        <v>8864</v>
      </c>
      <c r="F8" s="25" t="s">
        <v>158</v>
      </c>
      <c r="G8" s="26" t="s">
        <v>9</v>
      </c>
      <c r="H8" s="8">
        <v>799</v>
      </c>
      <c r="I8" s="8">
        <v>799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8865</v>
      </c>
      <c r="F9" s="25" t="s">
        <v>158</v>
      </c>
      <c r="G9" s="26" t="s">
        <v>9</v>
      </c>
      <c r="H9" s="8">
        <v>491</v>
      </c>
      <c r="I9" s="8">
        <v>491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2590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230</v>
      </c>
      <c r="D15" s="2"/>
      <c r="E15" s="18"/>
      <c r="F15" s="25"/>
      <c r="G15" s="26"/>
      <c r="H15" s="8"/>
      <c r="I15" s="8"/>
      <c r="J15" s="2"/>
      <c r="K15" s="95">
        <v>8438</v>
      </c>
      <c r="L15" s="107" t="s">
        <v>151</v>
      </c>
      <c r="M15" s="108" t="s">
        <v>28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2951</v>
      </c>
      <c r="D16" s="2"/>
      <c r="E16" s="18"/>
      <c r="F16" s="25"/>
      <c r="G16" s="26"/>
      <c r="H16" s="8"/>
      <c r="I16" s="8"/>
      <c r="J16" s="2"/>
      <c r="K16" s="25">
        <v>8592</v>
      </c>
      <c r="L16" s="9" t="s">
        <v>57</v>
      </c>
      <c r="M16" s="16" t="s">
        <v>28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8773</v>
      </c>
      <c r="L17" s="9" t="s">
        <v>57</v>
      </c>
      <c r="M17" s="16" t="s">
        <v>28</v>
      </c>
      <c r="R17" s="1">
        <f>IF(vend13[[#This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8787</v>
      </c>
      <c r="L18" s="9" t="s">
        <v>151</v>
      </c>
      <c r="M18" s="16" t="s">
        <v>28</v>
      </c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>
        <v>8788</v>
      </c>
      <c r="L19" s="9" t="s">
        <v>57</v>
      </c>
      <c r="M19" s="16" t="s">
        <v>28</v>
      </c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8808</v>
      </c>
      <c r="L20" s="9" t="s">
        <v>85</v>
      </c>
      <c r="M20" s="16" t="s">
        <v>28</v>
      </c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2810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8847</v>
      </c>
      <c r="F26" s="25" t="s">
        <v>159</v>
      </c>
      <c r="G26" s="26" t="s">
        <v>10</v>
      </c>
      <c r="H26" s="8"/>
      <c r="I26" s="8">
        <v>170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</row>
    <row r="32" spans="2:18" ht="15" x14ac:dyDescent="0.25">
      <c r="B32" s="2"/>
      <c r="C32" s="2"/>
      <c r="E32" s="33"/>
      <c r="K32" s="111" t="s">
        <v>12</v>
      </c>
      <c r="L32" s="112"/>
      <c r="M32" s="11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4" t="s">
        <v>24</v>
      </c>
      <c r="L33" s="6" t="s">
        <v>37</v>
      </c>
      <c r="M33" s="15" t="s">
        <v>38</v>
      </c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25"/>
      <c r="L34" s="41"/>
      <c r="M34" s="16"/>
    </row>
    <row r="35" spans="2:18" ht="15.75" x14ac:dyDescent="0.25">
      <c r="B35" s="1">
        <v>3</v>
      </c>
      <c r="E35" s="18">
        <v>8637</v>
      </c>
      <c r="F35" s="25" t="s">
        <v>160</v>
      </c>
      <c r="G35" s="26" t="s">
        <v>10</v>
      </c>
      <c r="H35" s="8">
        <v>50</v>
      </c>
      <c r="I35" s="8" t="s">
        <v>61</v>
      </c>
      <c r="K35" s="25"/>
      <c r="L35" s="41"/>
      <c r="M35" s="16"/>
    </row>
    <row r="36" spans="2:18" ht="15.75" x14ac:dyDescent="0.25">
      <c r="E36" s="18">
        <v>8034</v>
      </c>
      <c r="F36" s="25" t="s">
        <v>161</v>
      </c>
      <c r="G36" s="26" t="s">
        <v>6</v>
      </c>
      <c r="H36" s="8">
        <v>131</v>
      </c>
      <c r="I36" s="8" t="s">
        <v>162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36"/>
      <c r="L39" s="42"/>
      <c r="M39" s="40"/>
    </row>
    <row r="40" spans="2:18" ht="15.75" x14ac:dyDescent="0.25">
      <c r="E40" s="35"/>
      <c r="F40" s="36"/>
      <c r="G40" s="37"/>
      <c r="H40" s="17"/>
      <c r="I40" s="8"/>
      <c r="K40" s="44"/>
      <c r="L40" s="41"/>
      <c r="M40" s="40"/>
      <c r="Q40" s="1" t="s">
        <v>44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</row>
  </sheetData>
  <mergeCells count="9">
    <mergeCell ref="E24:I24"/>
    <mergeCell ref="E33:I33"/>
    <mergeCell ref="K32:M32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4:L40" xr:uid="{5FBAD0B9-A947-4F99-A786-E5507FB6A4B3}">
      <formula1>"1,2,3,4,5,6,7,8,9,10"</formula1>
    </dataValidation>
    <dataValidation type="list" allowBlank="1" showInputMessage="1" showErrorMessage="1" sqref="M15:M30" xr:uid="{F335A261-ABBD-4C95-A2F8-7B0C89DA4F4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2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45365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3200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8867</v>
      </c>
      <c r="F7" s="25" t="s">
        <v>163</v>
      </c>
      <c r="G7" s="46" t="s">
        <v>8</v>
      </c>
      <c r="H7" s="8">
        <v>499</v>
      </c>
      <c r="I7" s="8">
        <v>499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3200</v>
      </c>
      <c r="D8" s="2"/>
      <c r="E8" s="18">
        <v>8868</v>
      </c>
      <c r="F8" s="25" t="s">
        <v>163</v>
      </c>
      <c r="G8" s="26" t="s">
        <v>8</v>
      </c>
      <c r="H8" s="8">
        <v>201</v>
      </c>
      <c r="I8" s="8">
        <v>201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8869</v>
      </c>
      <c r="F9" s="25" t="s">
        <v>164</v>
      </c>
      <c r="G9" s="26" t="s">
        <v>8</v>
      </c>
      <c r="H9" s="8">
        <v>800</v>
      </c>
      <c r="I9" s="8">
        <v>800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8870</v>
      </c>
      <c r="F10" s="25" t="s">
        <v>164</v>
      </c>
      <c r="G10" s="26" t="s">
        <v>8</v>
      </c>
      <c r="H10" s="8">
        <v>600</v>
      </c>
      <c r="I10" s="8">
        <v>600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8871</v>
      </c>
      <c r="F11" s="25" t="s">
        <v>165</v>
      </c>
      <c r="G11" s="26" t="s">
        <v>64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155</v>
      </c>
      <c r="D12" s="2"/>
      <c r="E12" s="18">
        <v>8872</v>
      </c>
      <c r="F12" s="25" t="s">
        <v>166</v>
      </c>
      <c r="G12" s="26" t="s">
        <v>10</v>
      </c>
      <c r="H12" s="8">
        <v>250</v>
      </c>
      <c r="I12" s="8">
        <v>100</v>
      </c>
      <c r="J12" s="2"/>
      <c r="R12" s="1">
        <f>IF(vend14[[#This Row],[Nº Venda]]&gt;1,1,0)</f>
        <v>1</v>
      </c>
    </row>
    <row r="13" spans="2:18" ht="15.75" x14ac:dyDescent="0.25">
      <c r="B13" s="30" t="s">
        <v>8</v>
      </c>
      <c r="C13" s="31">
        <f t="shared" si="0"/>
        <v>2100</v>
      </c>
      <c r="D13" s="2"/>
      <c r="E13" s="18">
        <v>8873</v>
      </c>
      <c r="F13" s="25" t="s">
        <v>167</v>
      </c>
      <c r="G13" s="26" t="s">
        <v>7</v>
      </c>
      <c r="H13" s="8">
        <v>550</v>
      </c>
      <c r="I13" s="8">
        <v>100</v>
      </c>
      <c r="J13" s="2"/>
      <c r="K13" s="111" t="s">
        <v>23</v>
      </c>
      <c r="L13" s="112"/>
      <c r="M13" s="113"/>
      <c r="R13" s="1">
        <f>IF(vend14[[#This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8873</v>
      </c>
      <c r="F14" s="25" t="s">
        <v>167</v>
      </c>
      <c r="G14" s="26" t="s">
        <v>6</v>
      </c>
      <c r="H14" s="8">
        <v>0</v>
      </c>
      <c r="I14" s="8">
        <v>50</v>
      </c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1</v>
      </c>
    </row>
    <row r="15" spans="2:18" ht="15.75" x14ac:dyDescent="0.25">
      <c r="B15" s="30" t="s">
        <v>10</v>
      </c>
      <c r="C15" s="31">
        <f t="shared" si="0"/>
        <v>950</v>
      </c>
      <c r="D15" s="2"/>
      <c r="E15" s="18"/>
      <c r="F15" s="25"/>
      <c r="G15" s="26"/>
      <c r="H15" s="8"/>
      <c r="I15" s="8"/>
      <c r="J15" s="2"/>
      <c r="K15" s="25">
        <v>8810</v>
      </c>
      <c r="L15" s="9" t="s">
        <v>168</v>
      </c>
      <c r="M15" s="16" t="s">
        <v>28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3255</v>
      </c>
      <c r="D16" s="2"/>
      <c r="E16" s="18"/>
      <c r="F16" s="25"/>
      <c r="G16" s="26"/>
      <c r="H16" s="8"/>
      <c r="I16" s="8"/>
      <c r="J16" s="2"/>
      <c r="K16" s="25">
        <v>8849</v>
      </c>
      <c r="L16" s="9" t="s">
        <v>168</v>
      </c>
      <c r="M16" s="16" t="s">
        <v>28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8846</v>
      </c>
      <c r="L17" s="9" t="s">
        <v>168</v>
      </c>
      <c r="M17" s="16" t="s">
        <v>28</v>
      </c>
      <c r="R17" s="1">
        <f>IF(vend14[[#This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8717</v>
      </c>
      <c r="L18" s="9" t="s">
        <v>27</v>
      </c>
      <c r="M18" s="16" t="s">
        <v>28</v>
      </c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>
        <v>8794</v>
      </c>
      <c r="L19" s="9" t="s">
        <v>29</v>
      </c>
      <c r="M19" s="16" t="s">
        <v>28</v>
      </c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8654</v>
      </c>
      <c r="L20" s="9" t="s">
        <v>27</v>
      </c>
      <c r="M20" s="16" t="s">
        <v>28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8793</v>
      </c>
      <c r="L21" s="9" t="s">
        <v>168</v>
      </c>
      <c r="M21" s="16" t="s">
        <v>28</v>
      </c>
    </row>
    <row r="22" spans="2:18" ht="15.75" x14ac:dyDescent="0.25">
      <c r="B22" s="28" t="s">
        <v>30</v>
      </c>
      <c r="C22" s="32">
        <f>C5</f>
        <v>2900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8794</v>
      </c>
      <c r="F26" s="25" t="s">
        <v>169</v>
      </c>
      <c r="G26" s="26" t="s">
        <v>10</v>
      </c>
      <c r="H26" s="8">
        <v>0</v>
      </c>
      <c r="I26" s="8">
        <v>850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8253</v>
      </c>
      <c r="F35" s="25" t="s">
        <v>170</v>
      </c>
      <c r="G35" s="26" t="s">
        <v>7</v>
      </c>
      <c r="H35" s="8">
        <v>55</v>
      </c>
      <c r="I35" s="8" t="s">
        <v>171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2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'14'!B1+1</f>
        <v>45366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3781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3581</v>
      </c>
      <c r="D6" s="2"/>
      <c r="E6" s="18">
        <v>8866</v>
      </c>
      <c r="F6" s="25" t="s">
        <v>172</v>
      </c>
      <c r="G6" s="46" t="s">
        <v>6</v>
      </c>
      <c r="H6" s="8">
        <v>900</v>
      </c>
      <c r="I6" s="8">
        <v>30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8866</v>
      </c>
      <c r="F7" s="25" t="s">
        <v>172</v>
      </c>
      <c r="G7" s="46" t="s">
        <v>10</v>
      </c>
      <c r="H7" s="8"/>
      <c r="I7" s="8">
        <v>20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22</v>
      </c>
      <c r="C8" s="29">
        <f>SUM(C6:C7)</f>
        <v>3581</v>
      </c>
      <c r="D8" s="2"/>
      <c r="E8" s="18">
        <v>8874</v>
      </c>
      <c r="F8" s="25" t="s">
        <v>173</v>
      </c>
      <c r="G8" s="26" t="s">
        <v>9</v>
      </c>
      <c r="H8" s="8">
        <v>1000</v>
      </c>
      <c r="I8" s="8">
        <v>1000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8875</v>
      </c>
      <c r="F9" s="25" t="s">
        <v>174</v>
      </c>
      <c r="G9" s="26" t="s">
        <v>6</v>
      </c>
      <c r="H9" s="8">
        <v>450</v>
      </c>
      <c r="I9" s="8">
        <v>50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8876</v>
      </c>
      <c r="F10" s="25" t="s">
        <v>175</v>
      </c>
      <c r="G10" s="26" t="s">
        <v>6</v>
      </c>
      <c r="H10" s="8">
        <v>450</v>
      </c>
      <c r="I10" s="8">
        <v>50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405</v>
      </c>
      <c r="D11" s="2"/>
      <c r="E11" s="18">
        <v>8877</v>
      </c>
      <c r="F11" s="25" t="s">
        <v>176</v>
      </c>
      <c r="G11" s="26" t="s">
        <v>9</v>
      </c>
      <c r="H11" s="8">
        <v>360</v>
      </c>
      <c r="I11" s="8">
        <v>360</v>
      </c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</v>
      </c>
      <c r="D12" s="2"/>
      <c r="E12" s="18">
        <v>8878</v>
      </c>
      <c r="F12" s="25" t="s">
        <v>177</v>
      </c>
      <c r="G12" s="26" t="s">
        <v>9</v>
      </c>
      <c r="H12" s="8">
        <v>199</v>
      </c>
      <c r="I12" s="8">
        <v>199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8879</v>
      </c>
      <c r="F13" s="25" t="s">
        <v>178</v>
      </c>
      <c r="G13" s="26" t="s">
        <v>7</v>
      </c>
      <c r="H13" s="8">
        <v>26</v>
      </c>
      <c r="I13" s="8">
        <v>26</v>
      </c>
      <c r="J13" s="2"/>
      <c r="K13" s="111" t="s">
        <v>23</v>
      </c>
      <c r="L13" s="112"/>
      <c r="M13" s="113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1955</v>
      </c>
      <c r="D14" s="2"/>
      <c r="E14" s="18">
        <v>8800</v>
      </c>
      <c r="F14" s="25" t="s">
        <v>179</v>
      </c>
      <c r="G14" s="26" t="s">
        <v>9</v>
      </c>
      <c r="H14" s="8">
        <v>396</v>
      </c>
      <c r="I14" s="8">
        <v>396</v>
      </c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1</v>
      </c>
    </row>
    <row r="15" spans="2:18" ht="15.75" x14ac:dyDescent="0.25">
      <c r="B15" s="30" t="s">
        <v>10</v>
      </c>
      <c r="C15" s="31">
        <f t="shared" si="0"/>
        <v>1270</v>
      </c>
      <c r="D15" s="2"/>
      <c r="E15" s="18"/>
      <c r="F15" s="25"/>
      <c r="G15" s="26"/>
      <c r="H15" s="8"/>
      <c r="I15" s="8"/>
      <c r="J15" s="2"/>
      <c r="K15" s="65">
        <v>8440</v>
      </c>
      <c r="L15" s="73" t="s">
        <v>85</v>
      </c>
      <c r="M15" s="74" t="s">
        <v>28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3656</v>
      </c>
      <c r="D16" s="2"/>
      <c r="E16" s="18"/>
      <c r="F16" s="25"/>
      <c r="G16" s="26"/>
      <c r="H16" s="8"/>
      <c r="I16" s="8"/>
      <c r="J16" s="2"/>
      <c r="K16" s="25">
        <v>8692</v>
      </c>
      <c r="L16" s="9" t="s">
        <v>85</v>
      </c>
      <c r="M16" s="16" t="s">
        <v>28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8711</v>
      </c>
      <c r="L17" s="9" t="s">
        <v>85</v>
      </c>
      <c r="M17" s="16" t="s">
        <v>28</v>
      </c>
      <c r="R17" s="1">
        <f>IF(vend15[[#This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8712</v>
      </c>
      <c r="L18" s="9" t="s">
        <v>85</v>
      </c>
      <c r="M18" s="16" t="s">
        <v>28</v>
      </c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5">
        <v>8753</v>
      </c>
      <c r="L19" s="73" t="s">
        <v>57</v>
      </c>
      <c r="M19" s="74" t="s">
        <v>28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8798</v>
      </c>
      <c r="L20" s="9" t="s">
        <v>85</v>
      </c>
      <c r="M20" s="16" t="s">
        <v>28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8879</v>
      </c>
      <c r="L21" s="9" t="s">
        <v>57</v>
      </c>
      <c r="M21" s="16" t="s">
        <v>28</v>
      </c>
    </row>
    <row r="22" spans="2:18" ht="15.75" x14ac:dyDescent="0.25">
      <c r="B22" s="28" t="s">
        <v>30</v>
      </c>
      <c r="C22" s="32">
        <f>C5</f>
        <v>3781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8790</v>
      </c>
      <c r="F26" s="25" t="s">
        <v>180</v>
      </c>
      <c r="G26" s="4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8798</v>
      </c>
      <c r="F27" s="25" t="s">
        <v>181</v>
      </c>
      <c r="G27" s="26" t="s">
        <v>10</v>
      </c>
      <c r="H27" s="8"/>
      <c r="I27" s="8">
        <v>1250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8717</v>
      </c>
      <c r="F35" s="25" t="s">
        <v>180</v>
      </c>
      <c r="G35" s="26" t="s">
        <v>6</v>
      </c>
      <c r="H35" s="8">
        <v>75</v>
      </c>
      <c r="I35" s="8" t="s">
        <v>131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9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'15'!B1+1</f>
        <v>45367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7350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5545</v>
      </c>
      <c r="D6" s="2"/>
      <c r="E6" s="18">
        <v>8881</v>
      </c>
      <c r="F6" s="25" t="s">
        <v>182</v>
      </c>
      <c r="G6" s="46" t="s">
        <v>9</v>
      </c>
      <c r="H6" s="8">
        <v>650</v>
      </c>
      <c r="I6" s="8">
        <v>650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8882</v>
      </c>
      <c r="F7" s="25" t="s">
        <v>183</v>
      </c>
      <c r="G7" s="46" t="s">
        <v>6</v>
      </c>
      <c r="H7" s="8">
        <v>1500</v>
      </c>
      <c r="I7" s="8">
        <v>600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22</v>
      </c>
      <c r="C8" s="29">
        <f>SUM(C6:C7)</f>
        <v>5545</v>
      </c>
      <c r="D8" s="2"/>
      <c r="E8" s="18">
        <v>8882</v>
      </c>
      <c r="F8" s="25" t="s">
        <v>183</v>
      </c>
      <c r="G8" s="26" t="s">
        <v>7</v>
      </c>
      <c r="H8" s="8"/>
      <c r="I8" s="8">
        <v>200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8883</v>
      </c>
      <c r="F9" s="25" t="s">
        <v>184</v>
      </c>
      <c r="G9" s="26" t="s">
        <v>6</v>
      </c>
      <c r="H9" s="8">
        <v>50</v>
      </c>
      <c r="I9" s="8">
        <v>20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8884</v>
      </c>
      <c r="F10" s="25" t="s">
        <v>185</v>
      </c>
      <c r="G10" s="26" t="s">
        <v>7</v>
      </c>
      <c r="H10" s="8">
        <v>450</v>
      </c>
      <c r="I10" s="8">
        <v>100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620</v>
      </c>
      <c r="D11" s="2"/>
      <c r="E11" s="18">
        <v>8885</v>
      </c>
      <c r="F11" s="25" t="s">
        <v>183</v>
      </c>
      <c r="G11" s="26" t="s">
        <v>7</v>
      </c>
      <c r="H11" s="8">
        <v>1500</v>
      </c>
      <c r="I11" s="8">
        <v>700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1470</v>
      </c>
      <c r="D12" s="2"/>
      <c r="E12" s="18">
        <v>8886</v>
      </c>
      <c r="F12" s="25" t="s">
        <v>186</v>
      </c>
      <c r="G12" s="26" t="s">
        <v>9</v>
      </c>
      <c r="H12" s="8">
        <v>1350</v>
      </c>
      <c r="I12" s="8">
        <v>1350</v>
      </c>
      <c r="J12" s="2"/>
      <c r="R12" s="1">
        <f>IF(vend16[[#This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8887</v>
      </c>
      <c r="F13" s="25" t="s">
        <v>186</v>
      </c>
      <c r="G13" s="26" t="s">
        <v>9</v>
      </c>
      <c r="H13" s="8">
        <v>400</v>
      </c>
      <c r="I13" s="8">
        <v>400</v>
      </c>
      <c r="J13" s="2"/>
      <c r="K13" s="111" t="s">
        <v>23</v>
      </c>
      <c r="L13" s="112"/>
      <c r="M13" s="113"/>
      <c r="R13" s="1">
        <f>IF(vend16[[#This Row],[Nº Venda]]&gt;1,1,0)</f>
        <v>1</v>
      </c>
    </row>
    <row r="14" spans="2:18" ht="15.75" x14ac:dyDescent="0.25">
      <c r="B14" s="30" t="s">
        <v>9</v>
      </c>
      <c r="C14" s="31">
        <f t="shared" si="0"/>
        <v>3850</v>
      </c>
      <c r="D14" s="2"/>
      <c r="E14" s="18">
        <v>8888</v>
      </c>
      <c r="F14" s="25" t="s">
        <v>187</v>
      </c>
      <c r="G14" s="26" t="s">
        <v>9</v>
      </c>
      <c r="H14" s="8">
        <v>750</v>
      </c>
      <c r="I14" s="8">
        <v>750</v>
      </c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1</v>
      </c>
    </row>
    <row r="15" spans="2:18" ht="15.75" x14ac:dyDescent="0.25">
      <c r="B15" s="30" t="s">
        <v>10</v>
      </c>
      <c r="C15" s="31">
        <f t="shared" si="0"/>
        <v>160</v>
      </c>
      <c r="D15" s="2"/>
      <c r="E15" s="18">
        <v>8889</v>
      </c>
      <c r="F15" s="25" t="s">
        <v>187</v>
      </c>
      <c r="G15" s="26" t="s">
        <v>9</v>
      </c>
      <c r="H15" s="8">
        <v>700</v>
      </c>
      <c r="I15" s="8">
        <v>700</v>
      </c>
      <c r="J15" s="2"/>
      <c r="K15" s="25">
        <v>8763</v>
      </c>
      <c r="L15" s="9" t="s">
        <v>85</v>
      </c>
      <c r="M15" s="16" t="s">
        <v>28</v>
      </c>
      <c r="R15" s="1">
        <f>IF(vend16[[#This Row],[Nº Venda]]&gt;1,1,0)</f>
        <v>1</v>
      </c>
    </row>
    <row r="16" spans="2:18" ht="15.75" x14ac:dyDescent="0.25">
      <c r="B16" s="28" t="s">
        <v>11</v>
      </c>
      <c r="C16" s="32">
        <f>SUM(C11:C15)</f>
        <v>6100</v>
      </c>
      <c r="D16" s="2"/>
      <c r="E16" s="18"/>
      <c r="F16" s="25"/>
      <c r="G16" s="26"/>
      <c r="H16" s="8"/>
      <c r="I16" s="8"/>
      <c r="J16" s="2"/>
      <c r="K16" s="25">
        <v>8793</v>
      </c>
      <c r="L16" s="9" t="s">
        <v>139</v>
      </c>
      <c r="M16" s="16" t="s">
        <v>28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>
        <v>8803</v>
      </c>
      <c r="L17" s="73" t="s">
        <v>85</v>
      </c>
      <c r="M17" s="74" t="s">
        <v>28</v>
      </c>
      <c r="R17" s="1">
        <f>IF(vend16[[#This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8806</v>
      </c>
      <c r="L18" s="9" t="s">
        <v>85</v>
      </c>
      <c r="M18" s="16" t="s">
        <v>28</v>
      </c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>
        <v>8824</v>
      </c>
      <c r="L19" s="9" t="s">
        <v>139</v>
      </c>
      <c r="M19" s="16" t="s">
        <v>28</v>
      </c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8839</v>
      </c>
      <c r="L20" s="9" t="s">
        <v>57</v>
      </c>
      <c r="M20" s="16" t="s">
        <v>28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8840</v>
      </c>
      <c r="L21" s="9" t="s">
        <v>57</v>
      </c>
      <c r="M21" s="16" t="s">
        <v>28</v>
      </c>
    </row>
    <row r="22" spans="2:18" ht="15.75" x14ac:dyDescent="0.25">
      <c r="B22" s="28" t="s">
        <v>30</v>
      </c>
      <c r="C22" s="32">
        <f>C5</f>
        <v>7350</v>
      </c>
      <c r="D22" s="2"/>
      <c r="E22" s="18"/>
      <c r="F22" s="25"/>
      <c r="G22" s="26"/>
      <c r="H22" s="8"/>
      <c r="I22" s="8"/>
      <c r="J22" s="2"/>
      <c r="K22" s="25">
        <v>8844</v>
      </c>
      <c r="L22" s="9" t="s">
        <v>85</v>
      </c>
      <c r="M22" s="16" t="s">
        <v>28</v>
      </c>
    </row>
    <row r="23" spans="2:18" ht="15" x14ac:dyDescent="0.25">
      <c r="B23" s="2"/>
      <c r="C23" s="2"/>
      <c r="D23" s="2"/>
      <c r="E23" s="33"/>
      <c r="H23" s="7"/>
      <c r="J23" s="2"/>
      <c r="K23" s="25">
        <v>8875</v>
      </c>
      <c r="L23" s="9" t="s">
        <v>57</v>
      </c>
      <c r="M23" s="16" t="s">
        <v>28</v>
      </c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8844</v>
      </c>
      <c r="F26" s="25" t="s">
        <v>188</v>
      </c>
      <c r="G26" s="46" t="s">
        <v>10</v>
      </c>
      <c r="H26" s="8"/>
      <c r="I26" s="8">
        <v>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 t="s">
        <v>189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8369</v>
      </c>
      <c r="F35" s="25" t="s">
        <v>190</v>
      </c>
      <c r="G35" s="26" t="s">
        <v>7</v>
      </c>
      <c r="H35" s="8">
        <v>120</v>
      </c>
      <c r="I35" s="8" t="s">
        <v>144</v>
      </c>
      <c r="K35" s="25"/>
      <c r="L35" s="41"/>
      <c r="M35" s="16"/>
    </row>
    <row r="36" spans="2:18" ht="15.75" x14ac:dyDescent="0.25">
      <c r="E36" s="18">
        <v>8109</v>
      </c>
      <c r="F36" s="25" t="s">
        <v>191</v>
      </c>
      <c r="G36" s="26" t="s">
        <v>10</v>
      </c>
      <c r="H36" s="8">
        <v>85</v>
      </c>
      <c r="I36" s="8" t="s">
        <v>192</v>
      </c>
      <c r="K36" s="25"/>
      <c r="L36" s="41"/>
      <c r="M36" s="16"/>
    </row>
    <row r="37" spans="2:18" ht="15.75" x14ac:dyDescent="0.25">
      <c r="E37" s="18">
        <v>8185</v>
      </c>
      <c r="F37" s="25" t="s">
        <v>193</v>
      </c>
      <c r="G37" s="26" t="s">
        <v>7</v>
      </c>
      <c r="H37" s="8">
        <v>50</v>
      </c>
      <c r="I37" s="8" t="s">
        <v>171</v>
      </c>
      <c r="K37" s="25"/>
      <c r="L37" s="41"/>
      <c r="M37" s="16"/>
    </row>
    <row r="38" spans="2:18" ht="15.75" x14ac:dyDescent="0.25">
      <c r="E38" s="18">
        <v>7906</v>
      </c>
      <c r="F38" s="25" t="s">
        <v>194</v>
      </c>
      <c r="G38" s="26" t="s">
        <v>7</v>
      </c>
      <c r="H38" s="8">
        <v>100</v>
      </c>
      <c r="I38" s="8" t="s">
        <v>74</v>
      </c>
      <c r="K38" s="25"/>
      <c r="L38" s="41"/>
      <c r="M38" s="16"/>
    </row>
    <row r="39" spans="2:18" ht="15.75" x14ac:dyDescent="0.25">
      <c r="E39" s="18">
        <v>7906</v>
      </c>
      <c r="F39" s="39" t="s">
        <v>194</v>
      </c>
      <c r="G39" s="26" t="s">
        <v>7</v>
      </c>
      <c r="H39" s="8">
        <v>100</v>
      </c>
      <c r="I39" s="8" t="s">
        <v>195</v>
      </c>
      <c r="K39" s="25"/>
      <c r="L39" s="41"/>
      <c r="M39" s="16"/>
    </row>
    <row r="40" spans="2:18" ht="15.75" x14ac:dyDescent="0.25">
      <c r="E40" s="35">
        <v>7906</v>
      </c>
      <c r="F40" s="36" t="s">
        <v>194</v>
      </c>
      <c r="G40" s="37" t="s">
        <v>7</v>
      </c>
      <c r="H40" s="17">
        <v>100</v>
      </c>
      <c r="I40" s="8" t="s">
        <v>196</v>
      </c>
      <c r="K40" s="36"/>
      <c r="L40" s="42"/>
      <c r="M40" s="40"/>
      <c r="Q40" s="1" t="s">
        <v>44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9" zoomScale="80" zoomScaleNormal="8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45368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6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45369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649</v>
      </c>
      <c r="D6" s="2"/>
      <c r="E6" s="99">
        <v>8890</v>
      </c>
      <c r="F6" s="65" t="s">
        <v>197</v>
      </c>
      <c r="G6" s="100" t="s">
        <v>8</v>
      </c>
      <c r="H6" s="77">
        <v>550</v>
      </c>
      <c r="I6" s="77">
        <v>10</v>
      </c>
      <c r="J6" s="2"/>
      <c r="K6" s="25"/>
      <c r="L6" s="71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8891</v>
      </c>
      <c r="F7" s="25" t="s">
        <v>198</v>
      </c>
      <c r="G7" s="26" t="s">
        <v>6</v>
      </c>
      <c r="H7" s="8">
        <v>200</v>
      </c>
      <c r="I7" s="8">
        <v>200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22</v>
      </c>
      <c r="C8" s="29">
        <f>SUM(C6:C7)</f>
        <v>649</v>
      </c>
      <c r="D8" s="2"/>
      <c r="E8" s="18">
        <v>8892</v>
      </c>
      <c r="F8" s="25" t="s">
        <v>199</v>
      </c>
      <c r="G8" s="26" t="s">
        <v>7</v>
      </c>
      <c r="H8" s="8">
        <v>1400</v>
      </c>
      <c r="I8" s="8">
        <v>150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8893</v>
      </c>
      <c r="F9" s="25" t="s">
        <v>200</v>
      </c>
      <c r="G9" s="26" t="s">
        <v>64</v>
      </c>
      <c r="H9" s="8"/>
      <c r="I9" s="8"/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8894</v>
      </c>
      <c r="F10" s="25" t="s">
        <v>201</v>
      </c>
      <c r="G10" s="26" t="s">
        <v>64</v>
      </c>
      <c r="H10" s="8"/>
      <c r="I10" s="8"/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10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289</v>
      </c>
      <c r="D15" s="2"/>
      <c r="E15" s="18"/>
      <c r="F15" s="25"/>
      <c r="G15" s="26"/>
      <c r="H15" s="8"/>
      <c r="I15" s="8"/>
      <c r="J15" s="2"/>
      <c r="K15" s="25">
        <v>8842</v>
      </c>
      <c r="L15" s="9" t="s">
        <v>57</v>
      </c>
      <c r="M15" s="16" t="s">
        <v>28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649</v>
      </c>
      <c r="D16" s="2"/>
      <c r="E16" s="18"/>
      <c r="F16" s="25"/>
      <c r="G16" s="26"/>
      <c r="H16" s="8"/>
      <c r="I16" s="8"/>
      <c r="J16" s="2"/>
      <c r="K16" s="25">
        <v>8843</v>
      </c>
      <c r="L16" s="9" t="s">
        <v>85</v>
      </c>
      <c r="M16" s="16" t="s">
        <v>28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8842</v>
      </c>
      <c r="F26" s="25" t="s">
        <v>202</v>
      </c>
      <c r="G26" s="26" t="s">
        <v>10</v>
      </c>
      <c r="H26" s="8"/>
      <c r="I26" s="8">
        <v>289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6" zoomScale="80" zoomScaleNormal="80" zoomScaleSheetLayoutView="7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'18'!B1+1</f>
        <v>45370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4360</v>
      </c>
      <c r="D6" s="2"/>
      <c r="E6" s="18">
        <v>8895</v>
      </c>
      <c r="F6" s="25" t="s">
        <v>203</v>
      </c>
      <c r="G6" s="26" t="s">
        <v>10</v>
      </c>
      <c r="H6" s="8">
        <v>900</v>
      </c>
      <c r="I6" s="8">
        <v>180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8895</v>
      </c>
      <c r="F7" s="25" t="s">
        <v>203</v>
      </c>
      <c r="G7" s="26" t="s">
        <v>9</v>
      </c>
      <c r="H7" s="72"/>
      <c r="I7" s="8">
        <v>720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4360</v>
      </c>
      <c r="D8" s="2"/>
      <c r="E8" s="18">
        <v>8896</v>
      </c>
      <c r="F8" s="25" t="s">
        <v>204</v>
      </c>
      <c r="G8" s="26" t="s">
        <v>10</v>
      </c>
      <c r="H8" s="8">
        <v>1100</v>
      </c>
      <c r="I8" s="8">
        <v>1100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9">
        <v>8897</v>
      </c>
      <c r="F9" s="65" t="s">
        <v>205</v>
      </c>
      <c r="G9" s="100" t="s">
        <v>7</v>
      </c>
      <c r="H9" s="77">
        <v>550</v>
      </c>
      <c r="I9" s="77">
        <v>550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8898</v>
      </c>
      <c r="F10" s="25" t="s">
        <v>204</v>
      </c>
      <c r="G10" s="26" t="s">
        <v>10</v>
      </c>
      <c r="H10" s="8">
        <v>490</v>
      </c>
      <c r="I10" s="8">
        <v>490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180</v>
      </c>
      <c r="D11" s="2"/>
      <c r="E11" s="18">
        <v>8899</v>
      </c>
      <c r="F11" s="25" t="s">
        <v>272</v>
      </c>
      <c r="G11" s="26" t="s">
        <v>7</v>
      </c>
      <c r="H11" s="8">
        <v>1559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840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1570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1770</v>
      </c>
      <c r="D15" s="2"/>
      <c r="E15" s="18"/>
      <c r="F15" s="25"/>
      <c r="G15" s="26"/>
      <c r="H15" s="8"/>
      <c r="I15" s="8"/>
      <c r="J15" s="2"/>
      <c r="K15" s="25">
        <v>8694</v>
      </c>
      <c r="L15" s="9" t="s">
        <v>85</v>
      </c>
      <c r="M15" s="16" t="s">
        <v>28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4360</v>
      </c>
      <c r="D16" s="2"/>
      <c r="E16" s="18"/>
      <c r="F16" s="25"/>
      <c r="G16" s="26"/>
      <c r="H16" s="8"/>
      <c r="I16" s="8"/>
      <c r="J16" s="2"/>
      <c r="K16" s="25">
        <v>8765</v>
      </c>
      <c r="L16" s="9" t="s">
        <v>57</v>
      </c>
      <c r="M16" s="16" t="s">
        <v>99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8817</v>
      </c>
      <c r="L17" s="9" t="s">
        <v>139</v>
      </c>
      <c r="M17" s="16" t="s">
        <v>99</v>
      </c>
      <c r="R17" s="1">
        <f>IF(vend19[[#This Row],[Nº Venda]]&gt;1,1,0)</f>
        <v>0</v>
      </c>
    </row>
    <row r="18" spans="2:22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8818</v>
      </c>
      <c r="L18" s="9" t="s">
        <v>85</v>
      </c>
      <c r="M18" s="16" t="s">
        <v>28</v>
      </c>
      <c r="R18" s="1">
        <f>IF(vend19[[#This Row],[Nº Venda]]&gt;1,1,0)</f>
        <v>0</v>
      </c>
    </row>
    <row r="19" spans="2:22" ht="15.75" x14ac:dyDescent="0.25">
      <c r="B19" s="30">
        <f>COUNT(entr_carn19[OS])</f>
        <v>3</v>
      </c>
      <c r="C19" s="31">
        <f>SUM(entr_carn19[Valor Total])</f>
        <v>2650</v>
      </c>
      <c r="D19" s="2"/>
      <c r="E19" s="18"/>
      <c r="F19" s="25"/>
      <c r="G19" s="26"/>
      <c r="H19" s="8"/>
      <c r="I19" s="8"/>
      <c r="J19" s="2"/>
      <c r="K19" s="25">
        <v>8875</v>
      </c>
      <c r="L19" s="9" t="s">
        <v>139</v>
      </c>
      <c r="M19" s="16" t="s">
        <v>99</v>
      </c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2650</v>
      </c>
      <c r="D20" s="2"/>
      <c r="E20" s="18"/>
      <c r="F20" s="26"/>
      <c r="G20" s="26"/>
      <c r="H20" s="8"/>
      <c r="I20" s="8"/>
      <c r="J20" s="2"/>
      <c r="K20" s="25">
        <v>8876</v>
      </c>
      <c r="L20" s="9" t="s">
        <v>139</v>
      </c>
      <c r="M20" s="16" t="s">
        <v>99</v>
      </c>
      <c r="R20" s="1">
        <f>IF(vend19[[#This Row],[Nº Venda]]&gt;1,1,0)</f>
        <v>0</v>
      </c>
      <c r="V20" s="1" t="s">
        <v>189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8878</v>
      </c>
      <c r="L21" s="9" t="s">
        <v>57</v>
      </c>
      <c r="M21" s="16" t="s">
        <v>28</v>
      </c>
    </row>
    <row r="22" spans="2:22" ht="15.75" x14ac:dyDescent="0.25">
      <c r="B22" s="28" t="s">
        <v>30</v>
      </c>
      <c r="C22" s="32">
        <f>C5</f>
        <v>4599</v>
      </c>
      <c r="D22" s="2"/>
      <c r="E22" s="18"/>
      <c r="F22" s="25"/>
      <c r="G22" s="26"/>
      <c r="H22" s="8"/>
      <c r="I22" s="8"/>
      <c r="J22" s="2"/>
      <c r="K22" s="25">
        <v>8883</v>
      </c>
      <c r="L22" s="9" t="s">
        <v>85</v>
      </c>
      <c r="M22" s="16" t="s">
        <v>28</v>
      </c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8817</v>
      </c>
      <c r="F26" s="39" t="s">
        <v>84</v>
      </c>
      <c r="G26" s="26" t="s">
        <v>7</v>
      </c>
      <c r="H26" s="8"/>
      <c r="I26" s="8">
        <v>190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8866</v>
      </c>
      <c r="F27" s="25" t="s">
        <v>172</v>
      </c>
      <c r="G27" s="26" t="s">
        <v>9</v>
      </c>
      <c r="H27" s="8"/>
      <c r="I27" s="8">
        <v>850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>
        <v>8875</v>
      </c>
      <c r="F28" s="25" t="s">
        <v>206</v>
      </c>
      <c r="G28" s="26" t="s">
        <v>6</v>
      </c>
      <c r="H28" s="8"/>
      <c r="I28" s="8">
        <v>75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>
        <v>8876</v>
      </c>
      <c r="F29" s="25" t="s">
        <v>206</v>
      </c>
      <c r="G29" s="101" t="s">
        <v>6</v>
      </c>
      <c r="H29" s="26"/>
      <c r="I29" s="8">
        <v>75</v>
      </c>
      <c r="J29" s="2"/>
      <c r="K29" s="25"/>
      <c r="L29" s="9"/>
      <c r="M29" s="16"/>
    </row>
    <row r="30" spans="2:22" ht="15.75" x14ac:dyDescent="0.25">
      <c r="B30" s="2"/>
      <c r="C30" s="2"/>
      <c r="D30" s="2"/>
      <c r="E30" s="18">
        <v>8883</v>
      </c>
      <c r="F30" s="25" t="s">
        <v>184</v>
      </c>
      <c r="G30" s="26" t="s">
        <v>6</v>
      </c>
      <c r="H30" s="8"/>
      <c r="I30" s="8">
        <v>30</v>
      </c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8875</v>
      </c>
      <c r="L35" s="41">
        <v>6</v>
      </c>
      <c r="M35" s="16">
        <v>650</v>
      </c>
    </row>
    <row r="36" spans="2:18" ht="15.75" x14ac:dyDescent="0.25">
      <c r="E36" s="18"/>
      <c r="F36" s="25"/>
      <c r="G36" s="26"/>
      <c r="H36" s="8"/>
      <c r="I36" s="8"/>
      <c r="K36" s="25">
        <v>8765</v>
      </c>
      <c r="L36" s="41">
        <v>6</v>
      </c>
      <c r="M36" s="16">
        <v>600</v>
      </c>
    </row>
    <row r="37" spans="2:18" ht="15.75" x14ac:dyDescent="0.25">
      <c r="E37" s="18"/>
      <c r="F37" s="25"/>
      <c r="G37" s="26"/>
      <c r="H37" s="8"/>
      <c r="I37" s="8"/>
      <c r="K37" s="25">
        <v>8817</v>
      </c>
      <c r="L37" s="41">
        <v>8</v>
      </c>
      <c r="M37" s="16">
        <v>1400</v>
      </c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8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45371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1389.9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2064.9</v>
      </c>
      <c r="D6" s="2"/>
      <c r="E6" s="18">
        <v>8900</v>
      </c>
      <c r="F6" s="25" t="s">
        <v>273</v>
      </c>
      <c r="G6" s="26" t="s">
        <v>6</v>
      </c>
      <c r="H6" s="8">
        <v>250</v>
      </c>
      <c r="I6" s="8">
        <v>250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8901</v>
      </c>
      <c r="F7" s="25" t="s">
        <v>274</v>
      </c>
      <c r="G7" s="2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22</v>
      </c>
      <c r="C8" s="29">
        <f>SUM(C6:C7)</f>
        <v>2064.9</v>
      </c>
      <c r="D8" s="2"/>
      <c r="E8" s="18">
        <v>8902</v>
      </c>
      <c r="F8" s="25" t="s">
        <v>274</v>
      </c>
      <c r="G8" s="26" t="s">
        <v>125</v>
      </c>
      <c r="H8" s="8"/>
      <c r="I8" s="8"/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8903</v>
      </c>
      <c r="F9" s="25" t="s">
        <v>275</v>
      </c>
      <c r="G9" s="26" t="s">
        <v>8</v>
      </c>
      <c r="H9" s="8">
        <v>89.9</v>
      </c>
      <c r="I9" s="8">
        <v>89.9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8904</v>
      </c>
      <c r="F10" s="25" t="s">
        <v>276</v>
      </c>
      <c r="G10" s="26" t="s">
        <v>7</v>
      </c>
      <c r="H10" s="8">
        <v>450</v>
      </c>
      <c r="I10" s="8">
        <v>450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89.9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600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275</v>
      </c>
      <c r="D15" s="2"/>
      <c r="E15" s="18"/>
      <c r="F15" s="25"/>
      <c r="G15" s="26"/>
      <c r="H15" s="8"/>
      <c r="I15" s="8"/>
      <c r="J15" s="2"/>
      <c r="K15" s="65">
        <v>8713</v>
      </c>
      <c r="L15" s="9" t="s">
        <v>27</v>
      </c>
      <c r="M15" s="16" t="s">
        <v>28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2414.9</v>
      </c>
      <c r="D16" s="2"/>
      <c r="E16" s="18"/>
      <c r="F16" s="25"/>
      <c r="G16" s="26"/>
      <c r="H16" s="8"/>
      <c r="I16" s="8"/>
      <c r="J16" s="2"/>
      <c r="K16" s="65">
        <v>8796</v>
      </c>
      <c r="L16" s="73" t="s">
        <v>29</v>
      </c>
      <c r="M16" s="74" t="s">
        <v>28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8807</v>
      </c>
      <c r="L17" s="9" t="s">
        <v>29</v>
      </c>
      <c r="M17" s="16" t="s">
        <v>28</v>
      </c>
      <c r="R17" s="1">
        <f>IF(vend20[[#This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8683</v>
      </c>
      <c r="L18" s="9" t="s">
        <v>29</v>
      </c>
      <c r="M18" s="16" t="s">
        <v>28</v>
      </c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>
        <v>8718</v>
      </c>
      <c r="L19" s="9" t="s">
        <v>27</v>
      </c>
      <c r="M19" s="16" t="s">
        <v>28</v>
      </c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8850</v>
      </c>
      <c r="L20" s="9" t="s">
        <v>64</v>
      </c>
      <c r="M20" s="16" t="s">
        <v>28</v>
      </c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1389.9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8713</v>
      </c>
      <c r="F26" s="25" t="s">
        <v>277</v>
      </c>
      <c r="G26" s="26" t="s">
        <v>10</v>
      </c>
      <c r="H26" s="8"/>
      <c r="I26" s="8">
        <v>175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8755</v>
      </c>
      <c r="F27" s="25" t="s">
        <v>278</v>
      </c>
      <c r="G27" s="26" t="s">
        <v>6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8754</v>
      </c>
      <c r="F28" s="25" t="s">
        <v>278</v>
      </c>
      <c r="G28" s="26" t="s">
        <v>6</v>
      </c>
      <c r="H28" s="8"/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8787</v>
      </c>
      <c r="F35" s="25" t="s">
        <v>279</v>
      </c>
      <c r="G35" s="26" t="s">
        <v>7</v>
      </c>
      <c r="H35" s="8">
        <v>250</v>
      </c>
      <c r="I35" s="8" t="s">
        <v>222</v>
      </c>
      <c r="K35" s="25"/>
      <c r="L35" s="41"/>
      <c r="M35" s="74"/>
    </row>
    <row r="36" spans="2:18" ht="15.75" x14ac:dyDescent="0.25">
      <c r="E36" s="18">
        <v>8497</v>
      </c>
      <c r="F36" s="25" t="s">
        <v>280</v>
      </c>
      <c r="G36" s="26" t="s">
        <v>10</v>
      </c>
      <c r="H36" s="8">
        <v>100</v>
      </c>
      <c r="I36" s="8" t="s">
        <v>146</v>
      </c>
      <c r="K36" s="65"/>
      <c r="L36" s="75"/>
      <c r="M36" s="74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5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45372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4330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2190</v>
      </c>
      <c r="D6" s="2"/>
      <c r="E6" s="18">
        <v>8905</v>
      </c>
      <c r="F6" s="25" t="s">
        <v>281</v>
      </c>
      <c r="G6" s="26" t="s">
        <v>10</v>
      </c>
      <c r="H6" s="8">
        <v>760</v>
      </c>
      <c r="I6" s="8">
        <v>20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8906</v>
      </c>
      <c r="F7" s="25" t="s">
        <v>281</v>
      </c>
      <c r="G7" s="26" t="s">
        <v>125</v>
      </c>
      <c r="H7" s="8">
        <v>490</v>
      </c>
      <c r="I7" s="8"/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22</v>
      </c>
      <c r="C8" s="29">
        <f>SUM(C6:C7)</f>
        <v>2190</v>
      </c>
      <c r="D8" s="2"/>
      <c r="E8" s="18">
        <v>8907</v>
      </c>
      <c r="F8" s="25" t="s">
        <v>282</v>
      </c>
      <c r="G8" s="26" t="s">
        <v>6</v>
      </c>
      <c r="H8" s="8">
        <v>350</v>
      </c>
      <c r="I8" s="8">
        <v>50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8908</v>
      </c>
      <c r="F9" s="25" t="s">
        <v>283</v>
      </c>
      <c r="G9" s="26" t="s">
        <v>9</v>
      </c>
      <c r="H9" s="8">
        <v>1250</v>
      </c>
      <c r="I9" s="8">
        <v>150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8909</v>
      </c>
      <c r="F10" s="25" t="s">
        <v>283</v>
      </c>
      <c r="G10" s="26" t="s">
        <v>9</v>
      </c>
      <c r="H10" s="8">
        <v>220</v>
      </c>
      <c r="I10" s="8">
        <v>200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8909</v>
      </c>
      <c r="F11" s="25" t="s">
        <v>283</v>
      </c>
      <c r="G11" s="26" t="s">
        <v>7</v>
      </c>
      <c r="H11" s="8"/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>
        <v>8910</v>
      </c>
      <c r="F12" s="25" t="s">
        <v>284</v>
      </c>
      <c r="G12" s="26" t="s">
        <v>9</v>
      </c>
      <c r="H12" s="8">
        <v>1100</v>
      </c>
      <c r="I12" s="8">
        <v>1100</v>
      </c>
      <c r="J12" s="2"/>
      <c r="R12" s="1">
        <f>IF(vend21[[#This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8911</v>
      </c>
      <c r="F13" s="25" t="s">
        <v>285</v>
      </c>
      <c r="G13" s="26" t="s">
        <v>9</v>
      </c>
      <c r="H13" s="8">
        <v>650</v>
      </c>
      <c r="I13" s="8">
        <v>650</v>
      </c>
      <c r="J13" s="2"/>
      <c r="K13" s="111" t="s">
        <v>23</v>
      </c>
      <c r="L13" s="112"/>
      <c r="M13" s="113"/>
      <c r="R13" s="1">
        <f>IF(vend21[[#This Row],[Nº Venda]]&gt;1,1,0)</f>
        <v>1</v>
      </c>
    </row>
    <row r="14" spans="2:18" ht="15.75" x14ac:dyDescent="0.25">
      <c r="B14" s="30" t="s">
        <v>9</v>
      </c>
      <c r="C14" s="31">
        <f t="shared" si="0"/>
        <v>2100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8904</v>
      </c>
      <c r="L15" s="9" t="s">
        <v>85</v>
      </c>
      <c r="M15" s="16" t="s">
        <v>28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2190</v>
      </c>
      <c r="D16" s="2"/>
      <c r="E16" s="18"/>
      <c r="F16" s="25"/>
      <c r="G16" s="26"/>
      <c r="H16" s="8"/>
      <c r="I16" s="8"/>
      <c r="J16" s="2"/>
      <c r="K16" s="25">
        <v>8833</v>
      </c>
      <c r="L16" s="9" t="s">
        <v>57</v>
      </c>
      <c r="M16" s="16" t="s">
        <v>28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8747</v>
      </c>
      <c r="L17" s="9" t="s">
        <v>85</v>
      </c>
      <c r="M17" s="16" t="s">
        <v>28</v>
      </c>
      <c r="R17" s="1">
        <f>IF(vend21[[#This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8663</v>
      </c>
      <c r="L18" s="9" t="s">
        <v>85</v>
      </c>
      <c r="M18" s="16" t="s">
        <v>28</v>
      </c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689.99</v>
      </c>
      <c r="D19" s="2"/>
      <c r="E19" s="18"/>
      <c r="F19" s="25"/>
      <c r="G19" s="26"/>
      <c r="H19" s="8"/>
      <c r="I19" s="8"/>
      <c r="J19" s="2"/>
      <c r="K19" s="25">
        <v>8664</v>
      </c>
      <c r="L19" s="9" t="s">
        <v>85</v>
      </c>
      <c r="M19" s="16" t="s">
        <v>28</v>
      </c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689.99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4330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8851</v>
      </c>
      <c r="L35" s="41">
        <v>7</v>
      </c>
      <c r="M35" s="16">
        <v>689.99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2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45373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3379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3994</v>
      </c>
      <c r="D6" s="2"/>
      <c r="E6" s="18">
        <v>8912</v>
      </c>
      <c r="F6" s="25" t="s">
        <v>295</v>
      </c>
      <c r="G6" s="26" t="s">
        <v>8</v>
      </c>
      <c r="H6" s="8">
        <v>129</v>
      </c>
      <c r="I6" s="8">
        <v>129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8913</v>
      </c>
      <c r="F7" s="25" t="s">
        <v>286</v>
      </c>
      <c r="G7" s="26" t="s">
        <v>10</v>
      </c>
      <c r="H7" s="8">
        <v>1390</v>
      </c>
      <c r="I7" s="8">
        <v>60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22</v>
      </c>
      <c r="C8" s="29">
        <f>SUM(C6:C7)</f>
        <v>3994</v>
      </c>
      <c r="D8" s="2"/>
      <c r="E8" s="18">
        <v>8914</v>
      </c>
      <c r="F8" s="25" t="s">
        <v>286</v>
      </c>
      <c r="G8" s="26" t="s">
        <v>10</v>
      </c>
      <c r="H8" s="8">
        <v>110</v>
      </c>
      <c r="I8" s="8">
        <v>50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8915</v>
      </c>
      <c r="F9" s="25" t="s">
        <v>287</v>
      </c>
      <c r="G9" s="26" t="s">
        <v>7</v>
      </c>
      <c r="H9" s="8">
        <v>350</v>
      </c>
      <c r="I9" s="8">
        <v>175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8916</v>
      </c>
      <c r="F10" s="25" t="s">
        <v>288</v>
      </c>
      <c r="G10" s="26" t="s">
        <v>6</v>
      </c>
      <c r="H10" s="8">
        <v>150</v>
      </c>
      <c r="I10" s="8">
        <v>150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2400</v>
      </c>
      <c r="D11" s="2"/>
      <c r="E11" s="18">
        <v>8917</v>
      </c>
      <c r="F11" s="25" t="s">
        <v>289</v>
      </c>
      <c r="G11" s="26" t="s">
        <v>7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675</v>
      </c>
      <c r="D12" s="2"/>
      <c r="E12" s="18">
        <v>8918</v>
      </c>
      <c r="F12" s="25" t="s">
        <v>290</v>
      </c>
      <c r="G12" s="26" t="s">
        <v>6</v>
      </c>
      <c r="H12" s="8">
        <v>275</v>
      </c>
      <c r="I12" s="8">
        <v>125</v>
      </c>
      <c r="J12" s="2"/>
      <c r="R12" s="1">
        <f>IF(vend22[[#This Row],[Nº Venda]]&gt;1,1,0)</f>
        <v>1</v>
      </c>
    </row>
    <row r="13" spans="2:18" ht="15.75" x14ac:dyDescent="0.25">
      <c r="B13" s="30" t="s">
        <v>8</v>
      </c>
      <c r="C13" s="31">
        <f t="shared" si="0"/>
        <v>129</v>
      </c>
      <c r="D13" s="2"/>
      <c r="E13" s="18">
        <v>8919</v>
      </c>
      <c r="F13" s="25" t="s">
        <v>290</v>
      </c>
      <c r="G13" s="26" t="s">
        <v>6</v>
      </c>
      <c r="H13" s="8">
        <v>275</v>
      </c>
      <c r="I13" s="8">
        <v>125</v>
      </c>
      <c r="J13" s="2"/>
      <c r="K13" s="111" t="s">
        <v>23</v>
      </c>
      <c r="L13" s="112"/>
      <c r="M13" s="113"/>
      <c r="R13" s="1">
        <f>IF(vend22[[#This Row],[Nº Venda]]&gt;1,1,0)</f>
        <v>1</v>
      </c>
    </row>
    <row r="14" spans="2:18" ht="15.75" x14ac:dyDescent="0.25">
      <c r="B14" s="30" t="s">
        <v>9</v>
      </c>
      <c r="C14" s="31">
        <f t="shared" si="0"/>
        <v>830</v>
      </c>
      <c r="D14" s="2"/>
      <c r="E14" s="18">
        <v>8920</v>
      </c>
      <c r="F14" s="25" t="s">
        <v>291</v>
      </c>
      <c r="G14" s="26" t="s">
        <v>10</v>
      </c>
      <c r="H14" s="8">
        <v>400</v>
      </c>
      <c r="I14" s="8">
        <v>50</v>
      </c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1</v>
      </c>
    </row>
    <row r="15" spans="2:18" ht="15.75" x14ac:dyDescent="0.25">
      <c r="B15" s="30" t="s">
        <v>10</v>
      </c>
      <c r="C15" s="31">
        <f t="shared" si="0"/>
        <v>160</v>
      </c>
      <c r="D15" s="2"/>
      <c r="E15" s="18"/>
      <c r="F15" s="25"/>
      <c r="G15" s="26"/>
      <c r="H15" s="8"/>
      <c r="I15" s="8"/>
      <c r="J15" s="2"/>
      <c r="K15" s="25">
        <v>8755</v>
      </c>
      <c r="L15" s="9" t="s">
        <v>85</v>
      </c>
      <c r="M15" s="16" t="s">
        <v>99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4194</v>
      </c>
      <c r="D16" s="2"/>
      <c r="E16" s="18"/>
      <c r="F16" s="25"/>
      <c r="G16" s="26"/>
      <c r="H16" s="8"/>
      <c r="I16" s="8"/>
      <c r="J16" s="2"/>
      <c r="K16" s="25">
        <v>8754</v>
      </c>
      <c r="L16" s="9" t="s">
        <v>85</v>
      </c>
      <c r="M16" s="16" t="s">
        <v>99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8912</v>
      </c>
      <c r="L17" s="9" t="s">
        <v>57</v>
      </c>
      <c r="M17" s="16" t="s">
        <v>28</v>
      </c>
      <c r="R17" s="1">
        <f>IF(vend22[[#This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8777</v>
      </c>
      <c r="L18" s="9" t="s">
        <v>85</v>
      </c>
      <c r="M18" s="16" t="s">
        <v>28</v>
      </c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1900</v>
      </c>
      <c r="D19" s="2"/>
      <c r="E19" s="18"/>
      <c r="F19" s="25"/>
      <c r="G19" s="26"/>
      <c r="H19" s="8"/>
      <c r="I19" s="8"/>
      <c r="J19" s="2"/>
      <c r="K19" s="25">
        <v>8903</v>
      </c>
      <c r="L19" s="9" t="s">
        <v>57</v>
      </c>
      <c r="M19" s="16" t="s">
        <v>28</v>
      </c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1900</v>
      </c>
      <c r="D20" s="2"/>
      <c r="E20" s="18"/>
      <c r="F20" s="26"/>
      <c r="G20" s="26"/>
      <c r="H20" s="8"/>
      <c r="I20" s="8"/>
      <c r="J20" s="2"/>
      <c r="K20" s="25">
        <v>8870</v>
      </c>
      <c r="L20" s="9" t="s">
        <v>139</v>
      </c>
      <c r="M20" s="16" t="s">
        <v>28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8869</v>
      </c>
      <c r="L21" s="9" t="s">
        <v>139</v>
      </c>
      <c r="M21" s="16" t="s">
        <v>28</v>
      </c>
    </row>
    <row r="22" spans="2:18" ht="15.75" x14ac:dyDescent="0.25">
      <c r="B22" s="28" t="s">
        <v>30</v>
      </c>
      <c r="C22" s="32">
        <f>C5</f>
        <v>3379</v>
      </c>
      <c r="D22" s="2"/>
      <c r="E22" s="18"/>
      <c r="F22" s="25"/>
      <c r="G22" s="26"/>
      <c r="H22" s="8"/>
      <c r="I22" s="8"/>
      <c r="J22" s="2"/>
      <c r="K22" s="25">
        <v>8838</v>
      </c>
      <c r="L22" s="9" t="s">
        <v>139</v>
      </c>
      <c r="M22" s="16" t="s">
        <v>28</v>
      </c>
    </row>
    <row r="23" spans="2:18" ht="15" x14ac:dyDescent="0.25">
      <c r="B23" s="2"/>
      <c r="C23" s="2"/>
      <c r="D23" s="2"/>
      <c r="E23" s="33"/>
      <c r="H23" s="7"/>
      <c r="J23" s="2"/>
      <c r="K23" s="25">
        <v>8858</v>
      </c>
      <c r="L23" s="9" t="s">
        <v>57</v>
      </c>
      <c r="M23" s="16" t="s">
        <v>28</v>
      </c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>
        <v>8851</v>
      </c>
      <c r="L24" s="9" t="s">
        <v>139</v>
      </c>
      <c r="M24" s="16" t="s">
        <v>28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8777</v>
      </c>
      <c r="F26" s="25" t="s">
        <v>292</v>
      </c>
      <c r="G26" s="26" t="s">
        <v>6</v>
      </c>
      <c r="H26" s="8"/>
      <c r="I26" s="8">
        <v>2000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8838</v>
      </c>
      <c r="F27" s="25" t="s">
        <v>293</v>
      </c>
      <c r="G27" s="26" t="s">
        <v>9</v>
      </c>
      <c r="H27" s="8"/>
      <c r="I27" s="8">
        <v>830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8256</v>
      </c>
      <c r="F35" s="25" t="s">
        <v>294</v>
      </c>
      <c r="G35" s="26" t="s">
        <v>7</v>
      </c>
      <c r="H35" s="8">
        <v>200</v>
      </c>
      <c r="I35" s="8" t="s">
        <v>224</v>
      </c>
      <c r="K35" s="25">
        <v>8754</v>
      </c>
      <c r="L35" s="41">
        <v>8</v>
      </c>
      <c r="M35" s="16">
        <v>1900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9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45374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5740</v>
      </c>
      <c r="D6" s="2"/>
      <c r="E6" s="18">
        <v>8921</v>
      </c>
      <c r="F6" s="25" t="s">
        <v>296</v>
      </c>
      <c r="G6" s="26" t="s">
        <v>9</v>
      </c>
      <c r="H6" s="8">
        <v>2300</v>
      </c>
      <c r="I6" s="8">
        <v>2300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8922</v>
      </c>
      <c r="F7" s="25" t="s">
        <v>296</v>
      </c>
      <c r="G7" s="26" t="s">
        <v>9</v>
      </c>
      <c r="H7" s="8">
        <v>400</v>
      </c>
      <c r="I7" s="8">
        <v>400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22</v>
      </c>
      <c r="C8" s="29">
        <f>SUM(C6:C7)</f>
        <v>5740</v>
      </c>
      <c r="D8" s="2"/>
      <c r="E8" s="18">
        <v>8923</v>
      </c>
      <c r="F8" s="25" t="s">
        <v>297</v>
      </c>
      <c r="G8" s="26" t="s">
        <v>10</v>
      </c>
      <c r="H8" s="8">
        <v>580</v>
      </c>
      <c r="I8" s="8">
        <v>250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8924</v>
      </c>
      <c r="F9" s="25" t="s">
        <v>297</v>
      </c>
      <c r="G9" s="26" t="s">
        <v>10</v>
      </c>
      <c r="H9" s="8">
        <v>410</v>
      </c>
      <c r="I9" s="8">
        <v>250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8925</v>
      </c>
      <c r="F10" s="25" t="s">
        <v>298</v>
      </c>
      <c r="G10" s="26" t="s">
        <v>9</v>
      </c>
      <c r="H10" s="8">
        <v>600</v>
      </c>
      <c r="I10" s="8">
        <v>600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 x14ac:dyDescent="0.25">
      <c r="B11" s="30" t="s">
        <v>6</v>
      </c>
      <c r="C11" s="86">
        <f>(SUMIF($G$2:$G$31,B11,$I$2:$I$31))+(SUMIF($G$35:$G$44,B11,$H$35:$H$44))</f>
        <v>200</v>
      </c>
      <c r="D11" s="2"/>
      <c r="E11" s="18">
        <v>8926</v>
      </c>
      <c r="F11" s="25" t="s">
        <v>299</v>
      </c>
      <c r="G11" s="26" t="s">
        <v>9</v>
      </c>
      <c r="H11" s="8">
        <v>350</v>
      </c>
      <c r="I11" s="8">
        <v>350</v>
      </c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30" t="s">
        <v>7</v>
      </c>
      <c r="C12" s="86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(SUMIF($G$2:$G$31,B13,$I$2:$I$31))+(SUMIF($G$35:$G$44,B13,$H$35:$H$44))</f>
        <v>1390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IF(vend23[[#This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(SUMIF($G$2:$G$31,B14,$I$2:$I$31))+(SUMIF($G$35:$G$44,B14,$H$35:$H$44))</f>
        <v>3650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6">
        <f>(SUMIF($G$2:$G$31,B15,$I$2:$I$31))+(SUMIF($G$35:$G$44,B15,$H$35:$H$44))</f>
        <v>1167.97</v>
      </c>
      <c r="D15" s="2"/>
      <c r="E15" s="18"/>
      <c r="F15" s="25"/>
      <c r="G15" s="26"/>
      <c r="H15" s="8"/>
      <c r="I15" s="8"/>
      <c r="J15" s="2"/>
      <c r="K15" s="25">
        <v>8859</v>
      </c>
      <c r="L15" s="9" t="s">
        <v>85</v>
      </c>
      <c r="M15" s="16" t="s">
        <v>28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6407.97</v>
      </c>
      <c r="D16" s="2"/>
      <c r="E16" s="18"/>
      <c r="F16" s="25"/>
      <c r="G16" s="26"/>
      <c r="H16" s="8"/>
      <c r="I16" s="8"/>
      <c r="J16" s="2"/>
      <c r="K16" s="25">
        <v>8337</v>
      </c>
      <c r="L16" s="9" t="s">
        <v>85</v>
      </c>
      <c r="M16" s="16" t="s">
        <v>99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8337</v>
      </c>
      <c r="F26" s="25" t="s">
        <v>300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8913</v>
      </c>
      <c r="F27" s="25" t="s">
        <v>301</v>
      </c>
      <c r="G27" s="26" t="s">
        <v>8</v>
      </c>
      <c r="H27" s="8"/>
      <c r="I27" s="8">
        <v>1390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8117</v>
      </c>
      <c r="F35" s="25" t="s">
        <v>73</v>
      </c>
      <c r="G35" s="26" t="s">
        <v>10</v>
      </c>
      <c r="H35" s="8">
        <v>50</v>
      </c>
      <c r="I35" s="8" t="s">
        <v>195</v>
      </c>
      <c r="K35" s="25">
        <v>8337</v>
      </c>
      <c r="L35" s="41">
        <v>4</v>
      </c>
      <c r="M35" s="16">
        <v>400</v>
      </c>
    </row>
    <row r="36" spans="2:18" ht="15.75" x14ac:dyDescent="0.25">
      <c r="E36" s="18">
        <v>8117</v>
      </c>
      <c r="F36" s="25" t="s">
        <v>73</v>
      </c>
      <c r="G36" s="26" t="s">
        <v>10</v>
      </c>
      <c r="H36" s="8">
        <v>50</v>
      </c>
      <c r="I36" s="8" t="s">
        <v>196</v>
      </c>
      <c r="K36" s="25"/>
      <c r="L36" s="41"/>
      <c r="M36" s="16"/>
    </row>
    <row r="37" spans="2:18" ht="15.75" x14ac:dyDescent="0.25">
      <c r="E37" s="18">
        <v>8487</v>
      </c>
      <c r="F37" s="25" t="s">
        <v>302</v>
      </c>
      <c r="G37" s="26" t="s">
        <v>10</v>
      </c>
      <c r="H37" s="8">
        <v>85</v>
      </c>
      <c r="I37" s="8" t="s">
        <v>146</v>
      </c>
      <c r="K37" s="25"/>
      <c r="L37" s="41"/>
      <c r="M37" s="16"/>
    </row>
    <row r="38" spans="2:18" ht="15.75" x14ac:dyDescent="0.25">
      <c r="E38" s="18">
        <v>8762</v>
      </c>
      <c r="F38" s="25" t="s">
        <v>303</v>
      </c>
      <c r="G38" s="26" t="s">
        <v>10</v>
      </c>
      <c r="H38" s="8">
        <v>100</v>
      </c>
      <c r="I38" s="8" t="s">
        <v>70</v>
      </c>
      <c r="K38" s="25"/>
      <c r="L38" s="41"/>
      <c r="M38" s="16"/>
    </row>
    <row r="39" spans="2:18" ht="15.75" x14ac:dyDescent="0.25">
      <c r="E39" s="18">
        <v>8248</v>
      </c>
      <c r="F39" s="39" t="s">
        <v>114</v>
      </c>
      <c r="G39" s="26" t="s">
        <v>10</v>
      </c>
      <c r="H39" s="8">
        <v>93</v>
      </c>
      <c r="I39" s="8" t="s">
        <v>68</v>
      </c>
      <c r="K39" s="25"/>
      <c r="L39" s="41"/>
      <c r="M39" s="16"/>
    </row>
    <row r="40" spans="2:18" ht="15.75" x14ac:dyDescent="0.25">
      <c r="E40" s="35">
        <v>8195</v>
      </c>
      <c r="F40" s="36" t="s">
        <v>304</v>
      </c>
      <c r="G40" s="37" t="s">
        <v>10</v>
      </c>
      <c r="H40" s="17">
        <v>70</v>
      </c>
      <c r="I40" s="8" t="s">
        <v>227</v>
      </c>
      <c r="K40" s="36"/>
      <c r="L40" s="42"/>
      <c r="M40" s="40"/>
      <c r="Q40" s="1" t="s">
        <v>44</v>
      </c>
      <c r="R40" s="1">
        <f>SUM(R6:R21)</f>
        <v>6</v>
      </c>
    </row>
    <row r="41" spans="2:18" ht="15.75" x14ac:dyDescent="0.25">
      <c r="E41" s="35">
        <v>8116</v>
      </c>
      <c r="F41" s="39" t="s">
        <v>73</v>
      </c>
      <c r="G41" s="26" t="s">
        <v>10</v>
      </c>
      <c r="H41" s="8">
        <v>71.400000000000006</v>
      </c>
      <c r="I41" s="8" t="s">
        <v>195</v>
      </c>
      <c r="K41" s="44"/>
      <c r="L41" s="41"/>
      <c r="M41" s="40"/>
    </row>
    <row r="42" spans="2:18" ht="15.75" x14ac:dyDescent="0.25">
      <c r="E42" s="104">
        <v>8525</v>
      </c>
      <c r="F42" s="83" t="s">
        <v>110</v>
      </c>
      <c r="G42" s="84" t="s">
        <v>10</v>
      </c>
      <c r="H42" s="85">
        <v>70</v>
      </c>
      <c r="I42" s="17" t="s">
        <v>225</v>
      </c>
    </row>
    <row r="43" spans="2:18" ht="15.75" x14ac:dyDescent="0.25">
      <c r="E43" s="104">
        <v>8571</v>
      </c>
      <c r="F43" s="102" t="s">
        <v>305</v>
      </c>
      <c r="G43" s="101" t="s">
        <v>10</v>
      </c>
      <c r="H43" s="103">
        <v>78.569999999999993</v>
      </c>
      <c r="I43" s="8" t="s">
        <v>43</v>
      </c>
    </row>
    <row r="44" spans="2:18" ht="15.75" x14ac:dyDescent="0.25">
      <c r="E44" s="105"/>
      <c r="F44" s="83"/>
      <c r="G44" s="84"/>
      <c r="H44" s="85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15" sqref="K15: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45375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7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45376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2615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915</v>
      </c>
      <c r="D6" s="2"/>
      <c r="E6" s="18">
        <v>8927</v>
      </c>
      <c r="F6" s="25" t="s">
        <v>308</v>
      </c>
      <c r="G6" s="26" t="s">
        <v>9</v>
      </c>
      <c r="H6" s="8">
        <v>900</v>
      </c>
      <c r="I6" s="8">
        <v>200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8928</v>
      </c>
      <c r="F7" s="25" t="s">
        <v>306</v>
      </c>
      <c r="G7" s="26" t="s">
        <v>7</v>
      </c>
      <c r="H7" s="8">
        <v>20</v>
      </c>
      <c r="I7" s="8">
        <v>20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22</v>
      </c>
      <c r="C8" s="29">
        <f>SUM(C6:C7)</f>
        <v>915</v>
      </c>
      <c r="D8" s="2"/>
      <c r="E8" s="18">
        <v>8929</v>
      </c>
      <c r="F8" s="25" t="s">
        <v>309</v>
      </c>
      <c r="G8" s="26" t="s">
        <v>9</v>
      </c>
      <c r="H8" s="8">
        <v>290</v>
      </c>
      <c r="I8" s="8">
        <v>290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8930</v>
      </c>
      <c r="F9" s="25" t="s">
        <v>310</v>
      </c>
      <c r="G9" s="26" t="s">
        <v>7</v>
      </c>
      <c r="H9" s="8">
        <v>45</v>
      </c>
      <c r="I9" s="8">
        <v>45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8931</v>
      </c>
      <c r="F10" s="25" t="s">
        <v>311</v>
      </c>
      <c r="G10" s="26" t="s">
        <v>9</v>
      </c>
      <c r="H10" s="8">
        <v>750</v>
      </c>
      <c r="I10" s="8">
        <v>250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50</v>
      </c>
      <c r="D11" s="2"/>
      <c r="E11" s="18">
        <v>8932</v>
      </c>
      <c r="F11" s="25" t="s">
        <v>312</v>
      </c>
      <c r="G11" s="26" t="s">
        <v>6</v>
      </c>
      <c r="H11" s="8">
        <v>550</v>
      </c>
      <c r="I11" s="8">
        <v>50</v>
      </c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1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125</v>
      </c>
      <c r="D12" s="2"/>
      <c r="E12" s="18">
        <v>8933</v>
      </c>
      <c r="F12" s="25" t="s">
        <v>295</v>
      </c>
      <c r="G12" s="26" t="s">
        <v>64</v>
      </c>
      <c r="H12" s="8"/>
      <c r="I12" s="8"/>
      <c r="J12" s="2"/>
      <c r="R12" s="1">
        <f>IF(vend25[[#This Row],[Nº Venda]]&gt;1,1,0)</f>
        <v>1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>
        <v>8934</v>
      </c>
      <c r="F13" s="25" t="s">
        <v>295</v>
      </c>
      <c r="G13" s="26" t="s">
        <v>64</v>
      </c>
      <c r="H13" s="8"/>
      <c r="I13" s="8"/>
      <c r="J13" s="2"/>
      <c r="K13" s="111" t="s">
        <v>23</v>
      </c>
      <c r="L13" s="112"/>
      <c r="M13" s="113"/>
      <c r="R13" s="1">
        <f>IF(vend25[[#This Row],[Nº Venda]]&gt;1,1,0)</f>
        <v>1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740</v>
      </c>
      <c r="D14" s="2"/>
      <c r="E14" s="18">
        <v>8935</v>
      </c>
      <c r="F14" s="25" t="s">
        <v>313</v>
      </c>
      <c r="G14" s="26" t="s">
        <v>7</v>
      </c>
      <c r="H14" s="8">
        <v>60</v>
      </c>
      <c r="I14" s="8">
        <v>60</v>
      </c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1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8828</v>
      </c>
      <c r="L15" s="9" t="s">
        <v>57</v>
      </c>
      <c r="M15" s="16" t="s">
        <v>28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915</v>
      </c>
      <c r="D16" s="2"/>
      <c r="E16" s="18"/>
      <c r="F16" s="25"/>
      <c r="G16" s="26"/>
      <c r="H16" s="8"/>
      <c r="I16" s="8"/>
      <c r="J16" s="2"/>
      <c r="K16" s="25">
        <v>8752</v>
      </c>
      <c r="L16" s="9" t="s">
        <v>57</v>
      </c>
      <c r="M16" s="16" t="s">
        <v>28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8815</v>
      </c>
      <c r="L17" s="9" t="s">
        <v>57</v>
      </c>
      <c r="M17" s="16" t="s">
        <v>28</v>
      </c>
      <c r="R17" s="1">
        <f>IF(vend25[[#This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8841</v>
      </c>
      <c r="L18" s="9" t="s">
        <v>57</v>
      </c>
      <c r="M18" s="16" t="s">
        <v>28</v>
      </c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>
        <v>8935</v>
      </c>
      <c r="L19" s="9" t="s">
        <v>57</v>
      </c>
      <c r="M19" s="16" t="s">
        <v>28</v>
      </c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2615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8655</v>
      </c>
      <c r="F35" s="25" t="s">
        <v>307</v>
      </c>
      <c r="G35" s="26" t="s">
        <v>10</v>
      </c>
      <c r="H35" s="80">
        <v>60</v>
      </c>
      <c r="I35" s="8" t="s">
        <v>144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45377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375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775</v>
      </c>
      <c r="D6" s="2"/>
      <c r="E6" s="18">
        <v>8936</v>
      </c>
      <c r="F6" s="25" t="s">
        <v>314</v>
      </c>
      <c r="G6" s="26" t="s">
        <v>7</v>
      </c>
      <c r="H6" s="8">
        <v>75</v>
      </c>
      <c r="I6" s="8">
        <v>75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8937</v>
      </c>
      <c r="F7" s="25" t="s">
        <v>315</v>
      </c>
      <c r="G7" s="26" t="s">
        <v>8</v>
      </c>
      <c r="H7" s="8">
        <v>300</v>
      </c>
      <c r="I7" s="8">
        <v>300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22</v>
      </c>
      <c r="C8" s="29">
        <f>SUM(C6:C7)</f>
        <v>775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375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300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152</v>
      </c>
      <c r="D15" s="2"/>
      <c r="E15" s="18"/>
      <c r="F15" s="25"/>
      <c r="G15" s="26"/>
      <c r="H15" s="8"/>
      <c r="I15" s="8"/>
      <c r="J15" s="2"/>
      <c r="K15" s="25">
        <v>8916</v>
      </c>
      <c r="L15" s="9" t="s">
        <v>57</v>
      </c>
      <c r="M15" s="16" t="s">
        <v>28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927</v>
      </c>
      <c r="D16" s="2"/>
      <c r="E16" s="18"/>
      <c r="F16" s="25"/>
      <c r="G16" s="26"/>
      <c r="H16" s="8"/>
      <c r="I16" s="8"/>
      <c r="J16" s="2"/>
      <c r="K16" s="25">
        <v>8859</v>
      </c>
      <c r="L16" s="9" t="s">
        <v>85</v>
      </c>
      <c r="M16" s="16" t="s">
        <v>28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8888</v>
      </c>
      <c r="L17" s="9" t="s">
        <v>139</v>
      </c>
      <c r="M17" s="16" t="s">
        <v>28</v>
      </c>
      <c r="R17" s="1">
        <f>IF(vend26[[#This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8900</v>
      </c>
      <c r="L18" s="9" t="s">
        <v>139</v>
      </c>
      <c r="M18" s="16" t="s">
        <v>28</v>
      </c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>
        <v>8893</v>
      </c>
      <c r="L19" s="9" t="s">
        <v>85</v>
      </c>
      <c r="M19" s="16" t="s">
        <v>28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8894</v>
      </c>
      <c r="L20" s="9" t="s">
        <v>85</v>
      </c>
      <c r="M20" s="16" t="s">
        <v>28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375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8873</v>
      </c>
      <c r="F26" s="25" t="s">
        <v>316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8873</v>
      </c>
      <c r="F27" s="25" t="s">
        <v>316</v>
      </c>
      <c r="G27" s="26" t="s">
        <v>7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7698</v>
      </c>
      <c r="F35" s="25" t="s">
        <v>317</v>
      </c>
      <c r="G35" s="26" t="s">
        <v>10</v>
      </c>
      <c r="H35" s="8">
        <v>152</v>
      </c>
      <c r="I35" s="8" t="s">
        <v>238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9" zoomScale="80" zoomScaleNormal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45378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5074.99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4599.99</v>
      </c>
      <c r="D6" s="2"/>
      <c r="E6" s="18">
        <v>8938</v>
      </c>
      <c r="F6" s="25" t="s">
        <v>318</v>
      </c>
      <c r="G6" s="26" t="s">
        <v>6</v>
      </c>
      <c r="H6" s="8">
        <v>100</v>
      </c>
      <c r="I6" s="8">
        <v>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8939</v>
      </c>
      <c r="F7" s="25" t="s">
        <v>319</v>
      </c>
      <c r="G7" s="26" t="s">
        <v>7</v>
      </c>
      <c r="H7" s="8">
        <v>800</v>
      </c>
      <c r="I7" s="8">
        <v>800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22</v>
      </c>
      <c r="C8" s="29">
        <f>SUM(C6:C7)</f>
        <v>4599.99</v>
      </c>
      <c r="D8" s="2"/>
      <c r="E8" s="18">
        <v>8940</v>
      </c>
      <c r="F8" s="25" t="s">
        <v>320</v>
      </c>
      <c r="G8" s="26" t="s">
        <v>9</v>
      </c>
      <c r="H8" s="8">
        <v>990</v>
      </c>
      <c r="I8" s="8">
        <v>990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8941</v>
      </c>
      <c r="F9" s="25" t="s">
        <v>320</v>
      </c>
      <c r="G9" s="26" t="s">
        <v>9</v>
      </c>
      <c r="H9" s="8">
        <v>585</v>
      </c>
      <c r="I9" s="8">
        <v>585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8942</v>
      </c>
      <c r="F10" s="25" t="s">
        <v>322</v>
      </c>
      <c r="G10" s="26" t="s">
        <v>7</v>
      </c>
      <c r="H10" s="8">
        <v>100</v>
      </c>
      <c r="I10" s="8">
        <v>100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8943</v>
      </c>
      <c r="F11" s="25" t="s">
        <v>199</v>
      </c>
      <c r="G11" s="26" t="s">
        <v>9</v>
      </c>
      <c r="H11" s="8">
        <v>2400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1150</v>
      </c>
      <c r="D12" s="2"/>
      <c r="E12" s="18">
        <v>8943</v>
      </c>
      <c r="F12" s="25" t="s">
        <v>199</v>
      </c>
      <c r="G12" s="26" t="s">
        <v>9</v>
      </c>
      <c r="H12" s="8"/>
      <c r="I12" s="8">
        <v>300</v>
      </c>
      <c r="J12" s="2"/>
      <c r="R12" s="1">
        <f>IF(vend27[[#This Row],[Nº Venda]]&gt;1,1,0)</f>
        <v>1</v>
      </c>
    </row>
    <row r="13" spans="2:18" ht="15.75" x14ac:dyDescent="0.25">
      <c r="B13" s="30" t="s">
        <v>8</v>
      </c>
      <c r="C13" s="31">
        <f t="shared" si="0"/>
        <v>99.99</v>
      </c>
      <c r="D13" s="2"/>
      <c r="E13" s="18">
        <v>8944</v>
      </c>
      <c r="F13" s="25" t="s">
        <v>324</v>
      </c>
      <c r="G13" s="26" t="s">
        <v>8</v>
      </c>
      <c r="H13" s="8">
        <v>99.99</v>
      </c>
      <c r="I13" s="8">
        <v>99.99</v>
      </c>
      <c r="J13" s="2"/>
      <c r="K13" s="111" t="s">
        <v>23</v>
      </c>
      <c r="L13" s="112"/>
      <c r="M13" s="113"/>
      <c r="R13" s="1">
        <f>IF(vend27[[#This Row],[Nº Venda]]&gt;1,1,0)</f>
        <v>1</v>
      </c>
    </row>
    <row r="14" spans="2:18" ht="15.75" x14ac:dyDescent="0.25">
      <c r="B14" s="30" t="s">
        <v>9</v>
      </c>
      <c r="C14" s="31">
        <f t="shared" si="0"/>
        <v>3300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8867</v>
      </c>
      <c r="L15" s="9" t="s">
        <v>139</v>
      </c>
      <c r="M15" s="16" t="s">
        <v>28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4649.99</v>
      </c>
      <c r="D16" s="2"/>
      <c r="E16" s="18"/>
      <c r="F16" s="25"/>
      <c r="G16" s="26"/>
      <c r="H16" s="8"/>
      <c r="I16" s="8"/>
      <c r="J16" s="2"/>
      <c r="K16" s="25">
        <v>8865</v>
      </c>
      <c r="L16" s="9" t="s">
        <v>57</v>
      </c>
      <c r="M16" s="16" t="s">
        <v>28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8866</v>
      </c>
      <c r="L17" s="9" t="s">
        <v>85</v>
      </c>
      <c r="M17" s="16" t="s">
        <v>28</v>
      </c>
      <c r="R17" s="1">
        <f>IF(vend27[[#This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8892</v>
      </c>
      <c r="L18" s="9" t="s">
        <v>139</v>
      </c>
      <c r="M18" s="16" t="s">
        <v>28</v>
      </c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>
        <v>8942</v>
      </c>
      <c r="L19" s="9" t="s">
        <v>85</v>
      </c>
      <c r="M19" s="16" t="s">
        <v>28</v>
      </c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8152</v>
      </c>
      <c r="L20" s="9" t="s">
        <v>57</v>
      </c>
      <c r="M20" s="16" t="s">
        <v>28</v>
      </c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8144</v>
      </c>
      <c r="L21" s="9" t="s">
        <v>85</v>
      </c>
      <c r="M21" s="16" t="s">
        <v>28</v>
      </c>
    </row>
    <row r="22" spans="2:18" ht="15.75" x14ac:dyDescent="0.25">
      <c r="B22" s="28" t="s">
        <v>30</v>
      </c>
      <c r="C22" s="32">
        <f>C5</f>
        <v>5074.99</v>
      </c>
      <c r="D22" s="2"/>
      <c r="E22" s="18"/>
      <c r="F22" s="25"/>
      <c r="G22" s="26"/>
      <c r="H22" s="8"/>
      <c r="I22" s="8"/>
      <c r="J22" s="2"/>
      <c r="K22" s="25">
        <v>8874</v>
      </c>
      <c r="L22" s="9" t="s">
        <v>85</v>
      </c>
      <c r="M22" s="16" t="s">
        <v>28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8892</v>
      </c>
      <c r="F26" s="25" t="s">
        <v>199</v>
      </c>
      <c r="G26" s="26" t="s">
        <v>7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8892</v>
      </c>
      <c r="F27" s="25" t="s">
        <v>199</v>
      </c>
      <c r="G27" s="26" t="s">
        <v>9</v>
      </c>
      <c r="H27" s="8"/>
      <c r="I27" s="8">
        <v>1000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8915</v>
      </c>
      <c r="F28" s="25" t="s">
        <v>323</v>
      </c>
      <c r="G28" s="26" t="s">
        <v>9</v>
      </c>
      <c r="H28" s="8"/>
      <c r="I28" s="8">
        <v>125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8401</v>
      </c>
      <c r="F35" s="25" t="s">
        <v>321</v>
      </c>
      <c r="G35" s="26" t="s">
        <v>6</v>
      </c>
      <c r="H35" s="8">
        <v>50</v>
      </c>
      <c r="I35" s="8" t="s">
        <v>223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9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45379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450</v>
      </c>
      <c r="D6" s="2"/>
      <c r="E6" s="18">
        <v>8945</v>
      </c>
      <c r="F6" s="25" t="s">
        <v>326</v>
      </c>
      <c r="G6" s="26" t="s">
        <v>64</v>
      </c>
      <c r="H6" s="8"/>
      <c r="I6" s="8"/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8946</v>
      </c>
      <c r="F7" s="25" t="s">
        <v>327</v>
      </c>
      <c r="G7" s="26" t="s">
        <v>6</v>
      </c>
      <c r="H7" s="8">
        <v>500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22</v>
      </c>
      <c r="C8" s="29">
        <f>SUM(C6:C7)</f>
        <v>450</v>
      </c>
      <c r="D8" s="2"/>
      <c r="E8" s="18">
        <v>8947</v>
      </c>
      <c r="F8" s="25" t="s">
        <v>327</v>
      </c>
      <c r="G8" s="26" t="s">
        <v>6</v>
      </c>
      <c r="H8" s="8">
        <v>250</v>
      </c>
      <c r="I8" s="8">
        <v>50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350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8898</v>
      </c>
      <c r="L15" s="9" t="s">
        <v>57</v>
      </c>
      <c r="M15" s="16" t="s">
        <v>28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>
        <v>8930</v>
      </c>
      <c r="L16" s="9" t="s">
        <v>85</v>
      </c>
      <c r="M16" s="16" t="s">
        <v>28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8920</v>
      </c>
      <c r="L17" s="9" t="s">
        <v>85</v>
      </c>
      <c r="M17" s="16" t="s">
        <v>28</v>
      </c>
      <c r="R17" s="1">
        <f>IF(vend28[[#This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8901</v>
      </c>
      <c r="L18" s="9" t="s">
        <v>139</v>
      </c>
      <c r="M18" s="16" t="s">
        <v>28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8920</v>
      </c>
      <c r="F26" s="25" t="s">
        <v>325</v>
      </c>
      <c r="G26" s="26" t="s">
        <v>8</v>
      </c>
      <c r="H26" s="8"/>
      <c r="I26" s="8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2" zoomScale="80" zoomScaleNormal="80" workbookViewId="0">
      <selection activeCell="E35" sqref="E35:I3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45380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>
        <v>4023</v>
      </c>
      <c r="L15" s="9" t="s">
        <v>207</v>
      </c>
      <c r="M15" s="16" t="s">
        <v>28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9"/>
      <c r="M17" s="16"/>
      <c r="R17" s="1">
        <f>IF(vend29[[#This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24" zoomScale="80" zoomScaleNormal="80" workbookViewId="0">
      <selection activeCell="W15" sqref="W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'29'!B1+1</f>
        <v>45381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6448.3899999999994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6628.3899999999994</v>
      </c>
      <c r="D6" s="2"/>
      <c r="E6" s="18">
        <v>8948</v>
      </c>
      <c r="F6" s="25" t="s">
        <v>328</v>
      </c>
      <c r="G6" s="26" t="s">
        <v>9</v>
      </c>
      <c r="H6" s="8">
        <v>539.4</v>
      </c>
      <c r="I6" s="8">
        <v>539.4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8949</v>
      </c>
      <c r="F7" s="25" t="s">
        <v>329</v>
      </c>
      <c r="G7" s="26" t="s">
        <v>10</v>
      </c>
      <c r="H7" s="8">
        <v>140</v>
      </c>
      <c r="I7" s="8">
        <v>140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22</v>
      </c>
      <c r="C8" s="29">
        <f>SUM(C6:C7)</f>
        <v>6628.3899999999994</v>
      </c>
      <c r="D8" s="2"/>
      <c r="E8" s="18">
        <v>8950</v>
      </c>
      <c r="F8" s="25" t="s">
        <v>330</v>
      </c>
      <c r="G8" s="26" t="s">
        <v>9</v>
      </c>
      <c r="H8" s="8">
        <v>499</v>
      </c>
      <c r="I8" s="8">
        <v>499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8951</v>
      </c>
      <c r="F9" s="25" t="s">
        <v>331</v>
      </c>
      <c r="G9" s="26" t="s">
        <v>10</v>
      </c>
      <c r="H9" s="8">
        <v>350</v>
      </c>
      <c r="I9" s="8">
        <v>350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8952</v>
      </c>
      <c r="F10" s="25" t="s">
        <v>331</v>
      </c>
      <c r="G10" s="26" t="s">
        <v>10</v>
      </c>
      <c r="H10" s="8">
        <v>1000</v>
      </c>
      <c r="I10" s="8">
        <v>1000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78.569999999999993</v>
      </c>
      <c r="D11" s="2"/>
      <c r="E11" s="18">
        <v>8953</v>
      </c>
      <c r="F11" s="25" t="s">
        <v>332</v>
      </c>
      <c r="G11" s="26" t="s">
        <v>9</v>
      </c>
      <c r="H11" s="8">
        <v>1690</v>
      </c>
      <c r="I11" s="8">
        <v>1690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</v>
      </c>
      <c r="D12" s="2"/>
      <c r="E12" s="99">
        <v>8954</v>
      </c>
      <c r="F12" s="65" t="s">
        <v>333</v>
      </c>
      <c r="G12" s="100" t="s">
        <v>9</v>
      </c>
      <c r="H12" s="77">
        <v>990</v>
      </c>
      <c r="I12" s="77">
        <v>990</v>
      </c>
      <c r="J12" s="2"/>
      <c r="R12" s="1">
        <f>IF(vend30[[#This Row],[Nº Venda]]&gt;1,1,0)</f>
        <v>1</v>
      </c>
    </row>
    <row r="13" spans="2:18" ht="15.75" x14ac:dyDescent="0.25">
      <c r="B13" s="30" t="s">
        <v>8</v>
      </c>
      <c r="C13" s="31">
        <f t="shared" si="0"/>
        <v>49.99</v>
      </c>
      <c r="D13" s="2"/>
      <c r="E13" s="18">
        <v>8955</v>
      </c>
      <c r="F13" s="25" t="s">
        <v>333</v>
      </c>
      <c r="G13" s="26" t="s">
        <v>9</v>
      </c>
      <c r="H13" s="8">
        <v>110</v>
      </c>
      <c r="I13" s="8">
        <v>110</v>
      </c>
      <c r="J13" s="2"/>
      <c r="K13" s="111" t="s">
        <v>23</v>
      </c>
      <c r="L13" s="112"/>
      <c r="M13" s="113"/>
      <c r="R13" s="1">
        <f>IF(vend30[[#This Row],[Nº Venda]]&gt;1,1,0)</f>
        <v>1</v>
      </c>
    </row>
    <row r="14" spans="2:18" ht="15.75" x14ac:dyDescent="0.25">
      <c r="B14" s="30" t="s">
        <v>9</v>
      </c>
      <c r="C14" s="31">
        <f t="shared" si="0"/>
        <v>4908.3999999999996</v>
      </c>
      <c r="D14" s="2"/>
      <c r="E14" s="18">
        <v>8956</v>
      </c>
      <c r="F14" s="25" t="s">
        <v>334</v>
      </c>
      <c r="G14" s="26" t="s">
        <v>8</v>
      </c>
      <c r="H14" s="8">
        <v>49.99</v>
      </c>
      <c r="I14" s="8">
        <v>49.99</v>
      </c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1</v>
      </c>
    </row>
    <row r="15" spans="2:18" ht="15.75" x14ac:dyDescent="0.25">
      <c r="B15" s="30" t="s">
        <v>10</v>
      </c>
      <c r="C15" s="31">
        <f t="shared" si="0"/>
        <v>1668.57</v>
      </c>
      <c r="D15" s="2"/>
      <c r="E15" s="18">
        <v>8957</v>
      </c>
      <c r="F15" s="25" t="s">
        <v>335</v>
      </c>
      <c r="G15" s="26" t="s">
        <v>10</v>
      </c>
      <c r="H15" s="8">
        <v>280</v>
      </c>
      <c r="I15" s="8">
        <v>10</v>
      </c>
      <c r="J15" s="2"/>
      <c r="K15" s="25">
        <v>8956</v>
      </c>
      <c r="L15" s="9" t="s">
        <v>85</v>
      </c>
      <c r="M15" s="16" t="s">
        <v>28</v>
      </c>
      <c r="R15" s="1">
        <f>IF(vend30[[#This Row],[Nº Venda]]&gt;1,1,0)</f>
        <v>1</v>
      </c>
    </row>
    <row r="16" spans="2:18" ht="15.75" x14ac:dyDescent="0.25">
      <c r="B16" s="28" t="s">
        <v>11</v>
      </c>
      <c r="C16" s="32">
        <f>SUM(C11:C15)</f>
        <v>6775.53</v>
      </c>
      <c r="D16" s="2"/>
      <c r="E16" s="18">
        <v>8958</v>
      </c>
      <c r="F16" s="25" t="s">
        <v>336</v>
      </c>
      <c r="G16" s="26" t="s">
        <v>64</v>
      </c>
      <c r="H16" s="8"/>
      <c r="I16" s="8"/>
      <c r="J16" s="2"/>
      <c r="K16" s="25">
        <v>8884</v>
      </c>
      <c r="L16" s="9" t="s">
        <v>85</v>
      </c>
      <c r="M16" s="16" t="s">
        <v>28</v>
      </c>
      <c r="R16" s="1">
        <f>IF(vend30[[#This Row],[Nº Venda]]&gt;1,1,0)</f>
        <v>1</v>
      </c>
    </row>
    <row r="17" spans="2:22" ht="15.75" x14ac:dyDescent="0.25">
      <c r="B17" s="2"/>
      <c r="C17" s="2"/>
      <c r="D17" s="2"/>
      <c r="E17" s="18">
        <v>8959</v>
      </c>
      <c r="F17" s="25" t="s">
        <v>337</v>
      </c>
      <c r="G17" s="26" t="s">
        <v>9</v>
      </c>
      <c r="H17" s="8">
        <v>600</v>
      </c>
      <c r="I17" s="8">
        <v>600</v>
      </c>
      <c r="J17" s="2"/>
      <c r="K17" s="25">
        <v>8881</v>
      </c>
      <c r="L17" s="9" t="s">
        <v>85</v>
      </c>
      <c r="M17" s="16" t="s">
        <v>28</v>
      </c>
      <c r="R17" s="1">
        <f>IF(vend30[[#This Row],[Nº Venda]]&gt;1,1,0)</f>
        <v>1</v>
      </c>
    </row>
    <row r="18" spans="2:22" ht="15.75" x14ac:dyDescent="0.25">
      <c r="B18" s="109" t="s">
        <v>12</v>
      </c>
      <c r="C18" s="109"/>
      <c r="D18" s="2"/>
      <c r="E18" s="18">
        <v>8960</v>
      </c>
      <c r="F18" s="25" t="s">
        <v>339</v>
      </c>
      <c r="G18" s="26" t="s">
        <v>9</v>
      </c>
      <c r="H18" s="8">
        <v>200</v>
      </c>
      <c r="I18" s="8">
        <v>200</v>
      </c>
      <c r="J18" s="2"/>
      <c r="K18" s="25">
        <v>8926</v>
      </c>
      <c r="L18" s="9" t="s">
        <v>85</v>
      </c>
      <c r="M18" s="16" t="s">
        <v>28</v>
      </c>
      <c r="R18" s="1">
        <f>IF(vend30[[#This Row],[Nº Venda]]&gt;1,1,0)</f>
        <v>1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>
        <v>8831</v>
      </c>
      <c r="L19" s="9" t="s">
        <v>57</v>
      </c>
      <c r="M19" s="16" t="s">
        <v>28</v>
      </c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8949</v>
      </c>
      <c r="L20" s="9" t="s">
        <v>343</v>
      </c>
      <c r="M20" s="16" t="s">
        <v>28</v>
      </c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340</v>
      </c>
    </row>
    <row r="22" spans="2:22" ht="15.75" x14ac:dyDescent="0.25">
      <c r="B22" s="28" t="s">
        <v>30</v>
      </c>
      <c r="C22" s="32">
        <f>C5</f>
        <v>6448.3899999999994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96">
        <v>8862</v>
      </c>
      <c r="F26" s="95" t="s">
        <v>150</v>
      </c>
      <c r="G26" s="97" t="s">
        <v>10</v>
      </c>
      <c r="H26" s="98"/>
      <c r="I26" s="98">
        <v>100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99">
        <v>8884</v>
      </c>
      <c r="F27" s="65" t="s">
        <v>185</v>
      </c>
      <c r="G27" s="100" t="s">
        <v>7</v>
      </c>
      <c r="H27" s="77"/>
      <c r="I27" s="77">
        <v>70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99">
        <v>8884</v>
      </c>
      <c r="F28" s="65" t="s">
        <v>185</v>
      </c>
      <c r="G28" s="100" t="s">
        <v>9</v>
      </c>
      <c r="H28" s="77"/>
      <c r="I28" s="77">
        <v>280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>
        <v>8571</v>
      </c>
      <c r="F35" s="25" t="s">
        <v>305</v>
      </c>
      <c r="G35" s="26" t="s">
        <v>6</v>
      </c>
      <c r="H35" s="8">
        <v>78.569999999999993</v>
      </c>
      <c r="I35" s="8" t="s">
        <v>155</v>
      </c>
      <c r="K35" s="25"/>
      <c r="L35" s="41"/>
      <c r="M35" s="16"/>
    </row>
    <row r="36" spans="2:18" ht="15.75" x14ac:dyDescent="0.25">
      <c r="E36" s="18">
        <v>6857</v>
      </c>
      <c r="F36" s="25" t="s">
        <v>338</v>
      </c>
      <c r="G36" s="26" t="s">
        <v>10</v>
      </c>
      <c r="H36" s="8">
        <v>68.569999999999993</v>
      </c>
      <c r="I36" s="8" t="s">
        <v>43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13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3" zoomScale="80" zoomScaleNormal="80" workbookViewId="0">
      <selection activeCell="A38" sqref="A38:B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45382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23</v>
      </c>
      <c r="L13" s="112"/>
      <c r="M13" s="11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31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34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24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208</v>
      </c>
      <c r="B1" s="38" t="s">
        <v>209</v>
      </c>
      <c r="E1" s="38" t="s">
        <v>210</v>
      </c>
    </row>
    <row r="2" spans="1:5" x14ac:dyDescent="0.2">
      <c r="A2" s="38" t="s">
        <v>6</v>
      </c>
      <c r="B2" s="38" t="s">
        <v>211</v>
      </c>
      <c r="E2" t="s">
        <v>109</v>
      </c>
    </row>
    <row r="3" spans="1:5" x14ac:dyDescent="0.2">
      <c r="A3" s="38" t="s">
        <v>7</v>
      </c>
      <c r="B3" s="38" t="s">
        <v>212</v>
      </c>
      <c r="E3" t="s">
        <v>213</v>
      </c>
    </row>
    <row r="4" spans="1:5" x14ac:dyDescent="0.2">
      <c r="A4" s="38" t="s">
        <v>8</v>
      </c>
      <c r="B4" s="38" t="s">
        <v>214</v>
      </c>
      <c r="E4" t="s">
        <v>215</v>
      </c>
    </row>
    <row r="5" spans="1:5" x14ac:dyDescent="0.2">
      <c r="A5" s="38" t="s">
        <v>9</v>
      </c>
      <c r="B5" s="38" t="s">
        <v>216</v>
      </c>
      <c r="E5" t="s">
        <v>217</v>
      </c>
    </row>
    <row r="6" spans="1:5" x14ac:dyDescent="0.2">
      <c r="A6" s="38" t="s">
        <v>10</v>
      </c>
      <c r="B6" s="38" t="s">
        <v>10</v>
      </c>
      <c r="E6" t="s">
        <v>40</v>
      </c>
    </row>
    <row r="7" spans="1:5" x14ac:dyDescent="0.2">
      <c r="A7" s="38" t="s">
        <v>125</v>
      </c>
      <c r="B7" s="38" t="s">
        <v>218</v>
      </c>
      <c r="E7" t="s">
        <v>219</v>
      </c>
    </row>
    <row r="8" spans="1:5" x14ac:dyDescent="0.2">
      <c r="A8" t="s">
        <v>26</v>
      </c>
      <c r="B8" t="s">
        <v>220</v>
      </c>
      <c r="E8" t="s">
        <v>131</v>
      </c>
    </row>
    <row r="9" spans="1:5" x14ac:dyDescent="0.2">
      <c r="A9" s="38" t="s">
        <v>64</v>
      </c>
      <c r="B9" s="38" t="s">
        <v>221</v>
      </c>
      <c r="E9" t="s">
        <v>222</v>
      </c>
    </row>
    <row r="10" spans="1:5" x14ac:dyDescent="0.2">
      <c r="E10" t="s">
        <v>223</v>
      </c>
    </row>
    <row r="11" spans="1:5" x14ac:dyDescent="0.2">
      <c r="E11" t="s">
        <v>224</v>
      </c>
    </row>
    <row r="12" spans="1:5" x14ac:dyDescent="0.2">
      <c r="E12" t="s">
        <v>61</v>
      </c>
    </row>
    <row r="13" spans="1:5" x14ac:dyDescent="0.2">
      <c r="E13" t="s">
        <v>144</v>
      </c>
    </row>
    <row r="14" spans="1:5" x14ac:dyDescent="0.2">
      <c r="E14" t="s">
        <v>111</v>
      </c>
    </row>
    <row r="15" spans="1:5" x14ac:dyDescent="0.2">
      <c r="E15" t="s">
        <v>225</v>
      </c>
    </row>
    <row r="16" spans="1:5" x14ac:dyDescent="0.2">
      <c r="E16" t="s">
        <v>113</v>
      </c>
    </row>
    <row r="17" spans="5:5" x14ac:dyDescent="0.2">
      <c r="E17" t="s">
        <v>70</v>
      </c>
    </row>
    <row r="18" spans="5:5" x14ac:dyDescent="0.2">
      <c r="E18" t="s">
        <v>146</v>
      </c>
    </row>
    <row r="19" spans="5:5" x14ac:dyDescent="0.2">
      <c r="E19" t="s">
        <v>105</v>
      </c>
    </row>
    <row r="20" spans="5:5" x14ac:dyDescent="0.2">
      <c r="E20" t="s">
        <v>226</v>
      </c>
    </row>
    <row r="21" spans="5:5" x14ac:dyDescent="0.2">
      <c r="E21" t="s">
        <v>227</v>
      </c>
    </row>
    <row r="22" spans="5:5" x14ac:dyDescent="0.2">
      <c r="E22" t="s">
        <v>192</v>
      </c>
    </row>
    <row r="23" spans="5:5" x14ac:dyDescent="0.2">
      <c r="E23" t="s">
        <v>43</v>
      </c>
    </row>
    <row r="24" spans="5:5" x14ac:dyDescent="0.2">
      <c r="E24" t="s">
        <v>155</v>
      </c>
    </row>
    <row r="25" spans="5:5" x14ac:dyDescent="0.2">
      <c r="E25" t="s">
        <v>115</v>
      </c>
    </row>
    <row r="26" spans="5:5" x14ac:dyDescent="0.2">
      <c r="E26" t="s">
        <v>68</v>
      </c>
    </row>
    <row r="27" spans="5:5" x14ac:dyDescent="0.2">
      <c r="E27" t="s">
        <v>74</v>
      </c>
    </row>
    <row r="28" spans="5:5" x14ac:dyDescent="0.2">
      <c r="E28" t="s">
        <v>195</v>
      </c>
    </row>
    <row r="29" spans="5:5" x14ac:dyDescent="0.2">
      <c r="E29" t="s">
        <v>196</v>
      </c>
    </row>
    <row r="30" spans="5:5" x14ac:dyDescent="0.2">
      <c r="E30" t="s">
        <v>228</v>
      </c>
    </row>
    <row r="31" spans="5:5" x14ac:dyDescent="0.2">
      <c r="E31" t="s">
        <v>42</v>
      </c>
    </row>
    <row r="32" spans="5:5" x14ac:dyDescent="0.2">
      <c r="E32" t="s">
        <v>229</v>
      </c>
    </row>
    <row r="33" spans="5:5" x14ac:dyDescent="0.2">
      <c r="E33" t="s">
        <v>171</v>
      </c>
    </row>
    <row r="34" spans="5:5" x14ac:dyDescent="0.2">
      <c r="E34" t="s">
        <v>59</v>
      </c>
    </row>
    <row r="35" spans="5:5" x14ac:dyDescent="0.2">
      <c r="E35" t="s">
        <v>162</v>
      </c>
    </row>
    <row r="36" spans="5:5" x14ac:dyDescent="0.2">
      <c r="E36" t="s">
        <v>72</v>
      </c>
    </row>
    <row r="37" spans="5:5" x14ac:dyDescent="0.2">
      <c r="E37" t="s">
        <v>129</v>
      </c>
    </row>
    <row r="38" spans="5:5" x14ac:dyDescent="0.2">
      <c r="E38" t="s">
        <v>230</v>
      </c>
    </row>
    <row r="39" spans="5:5" x14ac:dyDescent="0.2">
      <c r="E39" t="s">
        <v>231</v>
      </c>
    </row>
    <row r="40" spans="5:5" x14ac:dyDescent="0.2">
      <c r="E40" t="s">
        <v>232</v>
      </c>
    </row>
    <row r="41" spans="5:5" x14ac:dyDescent="0.2">
      <c r="E41" t="s">
        <v>233</v>
      </c>
    </row>
    <row r="42" spans="5:5" x14ac:dyDescent="0.2">
      <c r="E42" t="s">
        <v>234</v>
      </c>
    </row>
    <row r="43" spans="5:5" x14ac:dyDescent="0.2">
      <c r="E43" t="s">
        <v>235</v>
      </c>
    </row>
    <row r="44" spans="5:5" x14ac:dyDescent="0.2">
      <c r="E44" t="s">
        <v>236</v>
      </c>
    </row>
    <row r="45" spans="5:5" x14ac:dyDescent="0.2">
      <c r="E45" t="s">
        <v>237</v>
      </c>
    </row>
    <row r="46" spans="5:5" x14ac:dyDescent="0.2">
      <c r="E46" t="s">
        <v>238</v>
      </c>
    </row>
    <row r="47" spans="5:5" x14ac:dyDescent="0.2">
      <c r="E47" t="s">
        <v>239</v>
      </c>
    </row>
    <row r="48" spans="5:5" x14ac:dyDescent="0.2">
      <c r="E48" t="s">
        <v>240</v>
      </c>
    </row>
    <row r="49" spans="5:5" x14ac:dyDescent="0.2">
      <c r="E49" t="s">
        <v>241</v>
      </c>
    </row>
    <row r="50" spans="5:5" x14ac:dyDescent="0.2">
      <c r="E50" t="s">
        <v>242</v>
      </c>
    </row>
    <row r="51" spans="5:5" x14ac:dyDescent="0.2">
      <c r="E51" t="s">
        <v>243</v>
      </c>
    </row>
    <row r="52" spans="5:5" x14ac:dyDescent="0.2">
      <c r="E52" t="s">
        <v>244</v>
      </c>
    </row>
    <row r="53" spans="5:5" x14ac:dyDescent="0.2">
      <c r="E53" t="s">
        <v>245</v>
      </c>
    </row>
    <row r="54" spans="5:5" x14ac:dyDescent="0.2">
      <c r="E54" t="s">
        <v>246</v>
      </c>
    </row>
    <row r="55" spans="5:5" x14ac:dyDescent="0.2">
      <c r="E55" t="s">
        <v>247</v>
      </c>
    </row>
    <row r="56" spans="5:5" x14ac:dyDescent="0.2">
      <c r="E56" t="s">
        <v>248</v>
      </c>
    </row>
    <row r="57" spans="5:5" x14ac:dyDescent="0.2">
      <c r="E57" t="s">
        <v>249</v>
      </c>
    </row>
    <row r="58" spans="5:5" x14ac:dyDescent="0.2">
      <c r="E58" t="s">
        <v>250</v>
      </c>
    </row>
    <row r="59" spans="5:5" x14ac:dyDescent="0.2">
      <c r="E59" t="s">
        <v>251</v>
      </c>
    </row>
    <row r="60" spans="5:5" x14ac:dyDescent="0.2">
      <c r="E60" t="s">
        <v>252</v>
      </c>
    </row>
    <row r="61" spans="5:5" x14ac:dyDescent="0.2">
      <c r="E61" t="s">
        <v>253</v>
      </c>
    </row>
    <row r="62" spans="5:5" x14ac:dyDescent="0.2">
      <c r="E62" t="s">
        <v>254</v>
      </c>
    </row>
    <row r="63" spans="5:5" x14ac:dyDescent="0.2">
      <c r="E63" t="s">
        <v>255</v>
      </c>
    </row>
    <row r="64" spans="5:5" x14ac:dyDescent="0.2">
      <c r="E64" t="s">
        <v>256</v>
      </c>
    </row>
    <row r="65" spans="5:5" x14ac:dyDescent="0.2">
      <c r="E65" t="s">
        <v>257</v>
      </c>
    </row>
    <row r="66" spans="5:5" x14ac:dyDescent="0.2">
      <c r="E66" t="s">
        <v>258</v>
      </c>
    </row>
    <row r="67" spans="5:5" x14ac:dyDescent="0.2">
      <c r="E67" t="s">
        <v>259</v>
      </c>
    </row>
    <row r="68" spans="5:5" x14ac:dyDescent="0.2">
      <c r="E68" t="s">
        <v>260</v>
      </c>
    </row>
    <row r="69" spans="5:5" x14ac:dyDescent="0.2">
      <c r="E69" t="s">
        <v>261</v>
      </c>
    </row>
    <row r="70" spans="5:5" x14ac:dyDescent="0.2">
      <c r="E70" t="s">
        <v>262</v>
      </c>
    </row>
    <row r="71" spans="5:5" x14ac:dyDescent="0.2">
      <c r="E71" t="s">
        <v>263</v>
      </c>
    </row>
    <row r="72" spans="5:5" x14ac:dyDescent="0.2">
      <c r="E72" t="s">
        <v>264</v>
      </c>
    </row>
    <row r="73" spans="5:5" x14ac:dyDescent="0.2">
      <c r="E73" t="s">
        <v>265</v>
      </c>
    </row>
    <row r="74" spans="5:5" x14ac:dyDescent="0.2">
      <c r="E74" t="s">
        <v>266</v>
      </c>
    </row>
    <row r="75" spans="5:5" x14ac:dyDescent="0.2">
      <c r="E75" t="s">
        <v>267</v>
      </c>
    </row>
    <row r="76" spans="5:5" x14ac:dyDescent="0.2">
      <c r="E76" t="s">
        <v>268</v>
      </c>
    </row>
    <row r="77" spans="5:5" x14ac:dyDescent="0.2">
      <c r="E77" t="s">
        <v>269</v>
      </c>
    </row>
    <row r="78" spans="5:5" x14ac:dyDescent="0.2">
      <c r="E78" t="s">
        <v>270</v>
      </c>
    </row>
    <row r="79" spans="5:5" x14ac:dyDescent="0.2">
      <c r="E79" t="s">
        <v>271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2024-04-03T15:44:51Z</cp:lastPrinted>
  <dcterms:created xsi:type="dcterms:W3CDTF">2004-04-07T20:43:43Z</dcterms:created>
  <dcterms:modified xsi:type="dcterms:W3CDTF">2025-10-14T16:53:31Z</dcterms:modified>
  <cp:category/>
  <cp:contentStatus/>
</cp:coreProperties>
</file>