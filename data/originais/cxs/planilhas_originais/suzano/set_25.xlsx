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819" documentId="8_{D79D7BED-8838-4301-8AE8-2DED01BD4227}" xr6:coauthVersionLast="47" xr6:coauthVersionMax="47" xr10:uidLastSave="{D2785237-5002-4E87-AAE6-D576C851C36B}"/>
  <bookViews>
    <workbookView xWindow="-120" yWindow="-120" windowWidth="20730" windowHeight="11310" firstSheet="1" activeTab="10" xr2:uid="{F22BE81C-9A6A-4BBA-97BA-CC2FA49D2CB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'05'!$A$1:$M$51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C6" i="200"/>
  <c r="C6" i="181"/>
  <c r="C6" i="190"/>
  <c r="C6" i="196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90"/>
  <c r="C8" i="196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Q20" i="185"/>
  <c r="Q19" i="185"/>
  <c r="C19" i="185"/>
  <c r="C20" i="185" s="1"/>
  <c r="B19" i="185"/>
  <c r="Q18" i="185"/>
  <c r="Q17" i="185"/>
  <c r="Q16" i="185"/>
  <c r="Q15" i="185"/>
  <c r="Q14" i="185"/>
  <c r="Q13" i="185"/>
  <c r="Q12" i="185"/>
  <c r="Q11" i="185"/>
  <c r="Q10" i="185"/>
  <c r="Q9" i="185"/>
  <c r="Q8" i="185"/>
  <c r="Q7" i="185"/>
  <c r="Q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4" l="1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Q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O11" i="196" s="1"/>
  <c r="C16" i="189"/>
  <c r="C16" i="188"/>
  <c r="C16" i="185"/>
  <c r="C8" i="198"/>
  <c r="C8" i="181"/>
  <c r="C16" i="198"/>
  <c r="O11" i="198" s="1"/>
  <c r="C16" i="199"/>
  <c r="C16" i="192"/>
  <c r="C16" i="197"/>
  <c r="C16" i="194"/>
  <c r="C16" i="195"/>
  <c r="C6" i="195" s="1"/>
  <c r="C16" i="193"/>
  <c r="C16" i="191"/>
  <c r="C16" i="190"/>
  <c r="O11" i="190" s="1"/>
  <c r="C16" i="187"/>
  <c r="C16" i="186"/>
  <c r="C16" i="184"/>
  <c r="C16" i="179"/>
  <c r="C16" i="181"/>
  <c r="O11" i="181" s="1"/>
  <c r="C16" i="183"/>
  <c r="C16" i="182"/>
  <c r="C16" i="180"/>
  <c r="C16" i="176"/>
  <c r="C16" i="177"/>
  <c r="C16" i="178"/>
  <c r="C16" i="172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2"/>
  <c r="C6" i="192"/>
  <c r="C8" i="192" s="1"/>
  <c r="O11" i="197"/>
  <c r="C6" i="197"/>
  <c r="C8" i="197" s="1"/>
  <c r="O11" i="194"/>
  <c r="C6" i="194"/>
  <c r="C8" i="194" s="1"/>
  <c r="O11" i="193"/>
  <c r="C6" i="193"/>
  <c r="C8" i="193" s="1"/>
  <c r="O11" i="191"/>
  <c r="C6" i="191"/>
  <c r="C8" i="191" s="1"/>
  <c r="O11" i="189"/>
  <c r="C6" i="189"/>
  <c r="C8" i="189" s="1"/>
  <c r="O11" i="187"/>
  <c r="C6" i="187"/>
  <c r="C8" i="187" s="1"/>
  <c r="O11" i="186"/>
  <c r="C6" i="186"/>
  <c r="C8" i="186" s="1"/>
  <c r="O11" i="184"/>
  <c r="C6" i="184"/>
  <c r="C8" i="184" s="1"/>
  <c r="N11" i="185"/>
  <c r="C6" i="185"/>
  <c r="C8" i="185" s="1"/>
  <c r="O11" i="179"/>
  <c r="C6" i="179"/>
  <c r="C8" i="179" s="1"/>
  <c r="O11" i="178"/>
  <c r="C6" i="178"/>
  <c r="C8" i="178" s="1"/>
  <c r="O11" i="183"/>
  <c r="C6" i="183"/>
  <c r="C8" i="183" s="1"/>
  <c r="O11" i="182"/>
  <c r="C6" i="182"/>
  <c r="C8" i="182" s="1"/>
  <c r="O11" i="180"/>
  <c r="C6" i="180"/>
  <c r="C8" i="180" s="1"/>
  <c r="O11" i="176"/>
  <c r="C6" i="176"/>
  <c r="C8" i="176" s="1"/>
  <c r="O11" i="177"/>
  <c r="C6" i="177"/>
  <c r="C8" i="177" s="1"/>
  <c r="O11" i="170"/>
  <c r="C6" i="170"/>
  <c r="C8" i="170" s="1"/>
  <c r="O11" i="172"/>
  <c r="C6" i="172"/>
  <c r="C8" i="172" s="1"/>
  <c r="O11" i="173"/>
  <c r="C6" i="173"/>
  <c r="C8" i="173" s="1"/>
  <c r="O11" i="174"/>
  <c r="C6" i="174"/>
  <c r="C8" i="174" s="1"/>
  <c r="O11" i="171"/>
  <c r="C6" i="171"/>
  <c r="C8" i="171" s="1"/>
  <c r="O11" i="188"/>
  <c r="C6" i="188"/>
  <c r="C8" i="188" s="1"/>
  <c r="O11" i="175"/>
  <c r="C6" i="175"/>
  <c r="C8" i="175" s="1"/>
  <c r="O11" i="195"/>
  <c r="B14" i="200"/>
  <c r="C16" i="103"/>
  <c r="R40" i="103"/>
  <c r="O11" i="103" l="1"/>
  <c r="C6" i="103"/>
  <c r="C8" i="103" s="1"/>
  <c r="B4" i="200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<sst xmlns="http://schemas.openxmlformats.org/spreadsheetml/2006/main" count="2893" uniqueCount="410">
  <si>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</si>
  <si>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</si>
  <si>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</si>
  <si>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</si>
  <si>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</si>
  <si>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</si>
  <si>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</si>
  <si>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</si>
  <si>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</si>
  <si>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</si>
  <si>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</si>
  <si>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</si>
  <si>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</si>
  <si>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</si>
  <si>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</si>
  <si>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</si>
  <si>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</si>
  <si>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</si>
  <si>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</si>
  <si>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</si>
  <si>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</si>
  <si>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</si>
  <si>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</si>
  <si>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</si>
  <si>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</si>
  <si>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</si>
  <si>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</si>
  <si>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</si>
  <si>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</si>
  <si>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</si>
  <si>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</si>
  <si>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</si>
  <si>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</si>
  <si>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</si>
  <si>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</si>
  <si>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</si>
  <si>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</si>
  <si>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</si>
  <si>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</si>
  <si>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</si>
  <si>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</si>
  <si>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</si>
  <si>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</si>
  <si>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</si>
  <si>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</si>
  <si>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</si>
  <si>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</si>
  <si>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</si>
  <si>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</si>
  <si>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</si>
  <si>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</si>
  <si>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</si>
  <si>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</si>
  <si>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</si>
  <si>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</si>
  <si>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</si>
  <si>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</si>
  <si>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</si>
  <si>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</si>
  <si>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</si>
  <si>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</si>
  <si>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</si>
  <si>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</si>
  <si>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</si>
  <si>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</si>
  <si>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</si>
  <si>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</si>
  <si>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</si>
  <si>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</si>
  <si>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</si>
  <si>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</si>
  <si>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</si>
  <si>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</si>
  <si>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</si>
  <si>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</si>
  <si>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</si>
  <si>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</si>
  <si>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</si>
  <si>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</si>
  <si>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</si>
  <si>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</si>
  <si>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</si>
  <si>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</si>
  <si>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</si>
  <si>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</si>
  <si>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</si>
  <si>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</si>
  <si>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</si>
  <si>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</si>
  <si>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</si>
  <si>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</si>
  <si>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</si>
  <si>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</si>
  <si>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</si>
  <si>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</si>
  <si>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</si>
  <si>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</si>
  <si>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</si>
  <si>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</si>
  <si>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</si>
  <si>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</si>
  <si>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</si>
  <si>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</si>
  <si>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</si>
  <si>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</si>
  <si>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</si>
  <si>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</si>
  <si>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</si>
  <si>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</si>
  <si>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</si>
  <si>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</si>
  <si>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</si>
  <si>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</si>
  <si>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</si>
  <si>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</si>
  <si>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</si>
  <si>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</si>
  <si>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</si>
  <si>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</si>
  <si>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</si>
  <si>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</si>
  <si>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</si>
  <si>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</si>
  <si>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</si>
  <si>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</si>
  <si>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</si>
  <si>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</si>
  <si>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</si>
  <si>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</si>
  <si>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</si>
  <si>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</si>
  <si>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</si>
  <si>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</si>
  <si>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</si>
  <si>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</si>
  <si>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</si>
  <si>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</si>
  <si>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</si>
  <si>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</si>
  <si>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</si>
  <si>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</si>
  <si>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</si>
  <si>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</si>
  <si>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</si>
  <si>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1</t>
  </si>
  <si>
    <t>ADRIANE DIAS FERNANDES CARDOZO</t>
  </si>
  <si>
    <t xml:space="preserve">CARLOS LEITE </t>
  </si>
  <si>
    <t>JOÃO SANTANA DE SIQUEIRA</t>
  </si>
  <si>
    <t xml:space="preserve">PÃO </t>
  </si>
  <si>
    <t>Não</t>
  </si>
  <si>
    <t>EDISON CASTILHO</t>
  </si>
  <si>
    <t>LUAN FARO GLASS</t>
  </si>
  <si>
    <t>JULIANA DE OLIVEIRA BARBOSA</t>
  </si>
  <si>
    <t>CANDIDA APARECIDA CARDOSO</t>
  </si>
  <si>
    <t>ELIÉTE CAVALCANTI DOS SANTOS</t>
  </si>
  <si>
    <t>NELSON ANISIO SOARES</t>
  </si>
  <si>
    <t xml:space="preserve">DEPOSITO </t>
  </si>
  <si>
    <t>MARIA LINDINETE DA SILVA</t>
  </si>
  <si>
    <t>WELLINGTON DA SILVA MATOS</t>
  </si>
  <si>
    <t>RONALDO ANDRADE DA SILVA</t>
  </si>
  <si>
    <t>PAULO ROBERTO PEREIRA</t>
  </si>
  <si>
    <t>GENI CARLOS RANGEL</t>
  </si>
  <si>
    <t>ELZA THEREZINHA DE SOUZA</t>
  </si>
  <si>
    <t>ADRIANA APARECIDA BRAZ</t>
  </si>
  <si>
    <t>EVA MAROA ALVES</t>
  </si>
  <si>
    <t>PÃO</t>
  </si>
  <si>
    <t>MARIA FERREIRA DE SOUZA</t>
  </si>
  <si>
    <t>MARIA DE LOURDES DE BRITO</t>
  </si>
  <si>
    <t>MARIANA BARROS DOS SANTOS</t>
  </si>
  <si>
    <t>EUFRASIA DE SOUZA</t>
  </si>
  <si>
    <t>SOLANGE APARECIDA DOS SANTOS</t>
  </si>
  <si>
    <t xml:space="preserve">LUCIANO BITTENCOURT </t>
  </si>
  <si>
    <t>RITA DE CASSIA DE SOUZA</t>
  </si>
  <si>
    <t>MARILU CANDIDA JACOB</t>
  </si>
  <si>
    <t xml:space="preserve">MARIA JOSE </t>
  </si>
  <si>
    <t xml:space="preserve">VERONICE UMBERLINA </t>
  </si>
  <si>
    <t>MARTA VAZ DA SILVA</t>
  </si>
  <si>
    <t>MARCIO FAVERO</t>
  </si>
  <si>
    <t xml:space="preserve">CLAUIDIO MARTINS </t>
  </si>
  <si>
    <t>HEITOR RODRIGUES DE FIGUEIREDO</t>
  </si>
  <si>
    <t>ANGEL FERNANDO BERLIM</t>
  </si>
  <si>
    <t xml:space="preserve">SERAFIM LIMA </t>
  </si>
  <si>
    <t>ALINE CALISTO</t>
  </si>
  <si>
    <t>ANTONIO CARLOS POLIDORI</t>
  </si>
  <si>
    <t xml:space="preserve">ANA LUCIA DA SILVA </t>
  </si>
  <si>
    <t>LUCIANO JOSE DA SILVA</t>
  </si>
  <si>
    <t xml:space="preserve">NATALI DOS SANTOS </t>
  </si>
  <si>
    <t>KAYLLAINE</t>
  </si>
  <si>
    <t>CLAUDEMIR DE OLIVEIRA</t>
  </si>
  <si>
    <t>MARCOS ANTONIO DO NASCIMENTO</t>
  </si>
  <si>
    <t>JEANE CRISTINA SANTOS</t>
  </si>
  <si>
    <t xml:space="preserve">CARLA CRISTINA SOUZA </t>
  </si>
  <si>
    <t>VALDIR</t>
  </si>
  <si>
    <t xml:space="preserve">MARIA DO CARMO </t>
  </si>
  <si>
    <t>PAPEL HIGIENICO</t>
  </si>
  <si>
    <t>SIM</t>
  </si>
  <si>
    <t>ANEXA 11615</t>
  </si>
  <si>
    <t xml:space="preserve">JOSE LUIZ DA SILVA GOMES </t>
  </si>
  <si>
    <t>DIEGO SILVA VIANA</t>
  </si>
  <si>
    <t>DEBORA MAGALHÃES</t>
  </si>
  <si>
    <t>MARIA DE LOURDES</t>
  </si>
  <si>
    <t>TATIANE APARECIDA LIMA HERNANDES</t>
  </si>
  <si>
    <t xml:space="preserve">WALDETE ALVES DOS SANTOS </t>
  </si>
  <si>
    <t xml:space="preserve">deposito </t>
  </si>
  <si>
    <t>dn</t>
  </si>
  <si>
    <t>GABRIEL HENRIQUE TAVARES ADIR</t>
  </si>
  <si>
    <t xml:space="preserve">GILMAR LOPES </t>
  </si>
  <si>
    <t>JOÃO CARLOS DA SILVA</t>
  </si>
  <si>
    <t>GILVANA NOGUEIRA INACIO</t>
  </si>
  <si>
    <t>MILENA OLIVEIRA SANTOS</t>
  </si>
  <si>
    <t>APARECIDA MARIA</t>
  </si>
  <si>
    <t>MARIA DO CARMO NERES</t>
  </si>
  <si>
    <t>THIAGO</t>
  </si>
  <si>
    <t>THIAGO JORGE DOS SANTOS</t>
  </si>
  <si>
    <t>MARCIA FERREIRA DE SOUZA</t>
  </si>
  <si>
    <t>ROSENIR RODRIGUES DA SILVA</t>
  </si>
  <si>
    <t>JAYNE DE SOUSA ALVES</t>
  </si>
  <si>
    <t>NIDINALVA ALVES MATOS</t>
  </si>
  <si>
    <t>MARIA APARECIDA DA SILVA</t>
  </si>
  <si>
    <t>NICELMA SOUAS DOS SANTOS</t>
  </si>
  <si>
    <t>LUCILENE GOMES DA ROCHA</t>
  </si>
  <si>
    <t>MARIA DE LURDES BRITO</t>
  </si>
  <si>
    <t>VALDELICE RODRIGUES</t>
  </si>
  <si>
    <t>MARIA MESSIAS</t>
  </si>
  <si>
    <t xml:space="preserve">MARLENE CARDOSO DE AGUIAR </t>
  </si>
  <si>
    <t>EDILSON DA CONCEIÇÃO DELGADO</t>
  </si>
  <si>
    <t>PIETRO PALACIO FRANCISCO</t>
  </si>
  <si>
    <t>LUCIENE SOUZA</t>
  </si>
  <si>
    <t>MARIA DAS NEVES TAVARES DOS SANTOS</t>
  </si>
  <si>
    <t>JOSÉ ELIAS DE MORAIS</t>
  </si>
  <si>
    <t>SIRLEI BUENO BORGES</t>
  </si>
  <si>
    <t>IRENE MARIA FERREIRA</t>
  </si>
  <si>
    <t>PEDRO ALVES DE LIMA</t>
  </si>
  <si>
    <t xml:space="preserve">MICHELLE THAINARA  DOS SANTOS </t>
  </si>
  <si>
    <t xml:space="preserve">FERNANDA </t>
  </si>
  <si>
    <t>GLAUCIA FERNANDES DA COSTA</t>
  </si>
  <si>
    <t xml:space="preserve">SONIA ZOLET DE TOLEDO </t>
  </si>
  <si>
    <t>MARCIO ANTONIO DE SOUZA</t>
  </si>
  <si>
    <t>MARILIA LINS SARAIVA</t>
  </si>
  <si>
    <t xml:space="preserve">MARIA ANTONIA </t>
  </si>
  <si>
    <t>HEIDI VILELA RIBEIRO</t>
  </si>
  <si>
    <t xml:space="preserve">BENEDITA CANDIDA DOS SANTOS </t>
  </si>
  <si>
    <t>CLAUDIA EUNICE PURGATO DA SILVA</t>
  </si>
  <si>
    <t>EDSON DE OLIVEIRA</t>
  </si>
  <si>
    <t>GIOVANNA SILVA DE SOUZA</t>
  </si>
  <si>
    <t>VALDEMICE BATISTA DOS SANTOS</t>
  </si>
  <si>
    <t>KATIA DE OLIVEIRA MOURA</t>
  </si>
  <si>
    <t>SHIGEMI KAWAKAMI (CLARICE)</t>
  </si>
  <si>
    <t>NAIR CRISTINA DE ASSIS</t>
  </si>
  <si>
    <t>Sim</t>
  </si>
  <si>
    <t>EDUARDO ADRIANO</t>
  </si>
  <si>
    <t>MARCIA REGINA DA SILVA</t>
  </si>
  <si>
    <t xml:space="preserve">ARILDSON RIBEIRO DE SOUZA </t>
  </si>
  <si>
    <t>deposito</t>
  </si>
  <si>
    <t xml:space="preserve">SANDRO APARECIDO </t>
  </si>
  <si>
    <t xml:space="preserve">ANDREZA CREPALDI </t>
  </si>
  <si>
    <t>JOSE ACACIO DA SILVA</t>
  </si>
  <si>
    <t>MARCO ANTONIO CONSTANTINO</t>
  </si>
  <si>
    <t>ALÉXIA ARIANE OLIVEIRA</t>
  </si>
  <si>
    <t>SEVERINA TRAJANO</t>
  </si>
  <si>
    <t>JOSEFA CORREIA DA SILVA</t>
  </si>
  <si>
    <t xml:space="preserve">SEVERINO TRAJANO FERREIRA </t>
  </si>
  <si>
    <t>SANDRO APARECIDO</t>
  </si>
  <si>
    <t>JULIO CAETANO DOS SANTOS JUNIOR</t>
  </si>
  <si>
    <t>MARIA EDUARDA CAMPOS</t>
  </si>
  <si>
    <t>ISABELA CASTILHO DANTAS DA SILVA</t>
  </si>
  <si>
    <t>MICHAEL BRENDEL VIEIRA CARMO</t>
  </si>
  <si>
    <t>APARECIDA CAETANO DOS SANTOS</t>
  </si>
  <si>
    <t>JOÃO MARCOS BARBOSA DA CONCEIÇÃO</t>
  </si>
  <si>
    <t>ALEX GLASS</t>
  </si>
  <si>
    <t>SIMONE RODRIGUES NABICA</t>
  </si>
  <si>
    <t>LAURA DIAS FERNANDES</t>
  </si>
  <si>
    <t>FERNANDO DE OLIVEIRA SANTOS</t>
  </si>
  <si>
    <t>MARIA PAULA BATISTA</t>
  </si>
  <si>
    <t xml:space="preserve">ELISANDRA DIAS FERREIRA </t>
  </si>
  <si>
    <t>NATHALIA SANCHES VIANA</t>
  </si>
  <si>
    <t>VICENTE EDUARDO BALOG</t>
  </si>
  <si>
    <t>IVAN DOS SANTOS BARBOSA</t>
  </si>
  <si>
    <t>JÉSSICA MARIA DOS SANTOS</t>
  </si>
  <si>
    <t>JESSICA MARIA DOS SANTOS</t>
  </si>
  <si>
    <t>TATIANE SOARES DE LIMA</t>
  </si>
  <si>
    <t xml:space="preserve">WILLIAM ALVES DE SOUZA </t>
  </si>
  <si>
    <t>GENILDA SOARES DE LIMA</t>
  </si>
  <si>
    <t xml:space="preserve">MARIA DE FÁTIMA CONCEIÇÃO </t>
  </si>
  <si>
    <t>JOSÉ CARLOS SOUZA</t>
  </si>
  <si>
    <t>LETICIA GHIORZI BRANDÃO</t>
  </si>
  <si>
    <t xml:space="preserve">MARIA EUNICE DE LIMA FREIRE </t>
  </si>
  <si>
    <t xml:space="preserve">LEONIA PAULA FERREIRA RODRIGUES </t>
  </si>
  <si>
    <t>JAQUELINE DOS SANTOS TERTO</t>
  </si>
  <si>
    <t xml:space="preserve">FABIANA REGINA SILVA </t>
  </si>
  <si>
    <t xml:space="preserve">dn </t>
  </si>
  <si>
    <t>BEATRIZ RIBEIRO DA SILVA</t>
  </si>
  <si>
    <t xml:space="preserve">PAULO HENRIQUE </t>
  </si>
  <si>
    <t>LETICIA GHIORZI</t>
  </si>
  <si>
    <t xml:space="preserve">ANA PAULA DOS SANTOS </t>
  </si>
  <si>
    <t>AGATHA SABRINA SIQUEIRA</t>
  </si>
  <si>
    <t>IVONE MARIA DE SOUZA</t>
  </si>
  <si>
    <t>ANTONIO CARLOS DOS REIS</t>
  </si>
  <si>
    <t>MARCOS DO NASCIMENTO</t>
  </si>
  <si>
    <t>LARISSA RANIELLE</t>
  </si>
  <si>
    <t>JOSE ARAUJO RODRIGUES</t>
  </si>
  <si>
    <t>GABRIEL SOUZA XAVIER</t>
  </si>
  <si>
    <t>MIRIAN MAIARA</t>
  </si>
  <si>
    <t xml:space="preserve">LAUDICEIA GONÇALVES </t>
  </si>
  <si>
    <t>MICHELE THAINARA</t>
  </si>
  <si>
    <t>REGIANE DIAS PEREIRA</t>
  </si>
  <si>
    <t>VALQUIRIA DIAS SIMÃO</t>
  </si>
  <si>
    <t xml:space="preserve">TATIANE SOARES DE LIMA </t>
  </si>
  <si>
    <t>SIMONE IGNACIO</t>
  </si>
  <si>
    <t>MARIA ISABEL BOMFIM DA SILVA</t>
  </si>
  <si>
    <t>LONDES LINS DA SILVA</t>
  </si>
  <si>
    <t>EVA MARIA ALVES</t>
  </si>
  <si>
    <t>ROZILEIDE BRITO RIBEIRO</t>
  </si>
  <si>
    <t>ELIZANDRA DIAS FERREIRA</t>
  </si>
  <si>
    <t>DEPOSITO</t>
  </si>
  <si>
    <t>ENALDA PEREIRA DE ARAUJO</t>
  </si>
  <si>
    <t>FLORISVALDO P. DO NASCIMENTO</t>
  </si>
  <si>
    <t>APARECIDA MORAES LIMA</t>
  </si>
  <si>
    <t>TALITA DANIELE MACHADO PEREIRA</t>
  </si>
  <si>
    <t>LAUDICEIA GONÇALVES</t>
  </si>
  <si>
    <t>JOSICLEIA DE JESUS</t>
  </si>
  <si>
    <t>RICARDO HENRIQUE S DA SILVA</t>
  </si>
  <si>
    <t>KETTELYN ARAUJO DE OLIVEIRA</t>
  </si>
  <si>
    <t xml:space="preserve">ELLEN PEREIRA DE ARAUJO </t>
  </si>
  <si>
    <t xml:space="preserve">CLAUDIA EUNICE PEREIRA DA SILVA </t>
  </si>
  <si>
    <t>MARCIA FERREIRADE SOUZA</t>
  </si>
  <si>
    <t>ELIANE</t>
  </si>
  <si>
    <t>ELEN PEREIRA ARAUJO DE MOURA</t>
  </si>
  <si>
    <t>PAULO CESAR MACEDO</t>
  </si>
  <si>
    <t>DAVI PEREIRA GONÇALVES MONACO</t>
  </si>
  <si>
    <t>EUCLIDES DE OLIVEIRA DA SILVA</t>
  </si>
  <si>
    <t xml:space="preserve">VICENTE EDUARDO </t>
  </si>
  <si>
    <t>CLEUZA DAMACENO HELÁDIO</t>
  </si>
  <si>
    <t>CARLA CRISTINA GONZAGA</t>
  </si>
  <si>
    <t>BARBARA DE PAIS</t>
  </si>
  <si>
    <t>RAISSA MILENA SIQUEIRA</t>
  </si>
  <si>
    <t>MARIA DE FATIMA SOARES</t>
  </si>
  <si>
    <t xml:space="preserve">ROSANA </t>
  </si>
  <si>
    <t>JEFERSON</t>
  </si>
  <si>
    <t>CAMILA DAIANE RESENDE</t>
  </si>
  <si>
    <t xml:space="preserve">SIMONICA DE ALMEIDA </t>
  </si>
  <si>
    <t>VERONICE UMBERLINA</t>
  </si>
  <si>
    <t>RONIELIA DA SILVA</t>
  </si>
  <si>
    <t>RUBIA VALERIA BATISTA</t>
  </si>
  <si>
    <t>CAMILA LOPES DE ANDRADE SOUSA</t>
  </si>
  <si>
    <t xml:space="preserve">GABRIELLY COUTINHO </t>
  </si>
  <si>
    <t xml:space="preserve">EDINA ROCHA DE SOUZA XAVIER </t>
  </si>
  <si>
    <t xml:space="preserve">ALUIZIO NOGUEIRA </t>
  </si>
  <si>
    <t xml:space="preserve">MARIA DAS GRAÇAS ALCANTARA </t>
  </si>
  <si>
    <t>CAMILA ESTRELA DE SOUZA</t>
  </si>
  <si>
    <t>HENRIQUE SANTOS DA SILVA</t>
  </si>
  <si>
    <t xml:space="preserve">DN </t>
  </si>
  <si>
    <t>JOÃO MARCOS BARBOSA</t>
  </si>
  <si>
    <t>ADRIANO CAPOBIANI</t>
  </si>
  <si>
    <t>SABRINA CARMO DE MEDEIROS</t>
  </si>
  <si>
    <t>GILMAR LOPES MARINHO</t>
  </si>
  <si>
    <t xml:space="preserve">NIVALDA RABELO DAMA </t>
  </si>
  <si>
    <t>SANDRA FERNANDES</t>
  </si>
  <si>
    <t xml:space="preserve">IVALCIR MACENA DOS SANTOS </t>
  </si>
  <si>
    <t>ROBERTO PEZZUOL</t>
  </si>
  <si>
    <t xml:space="preserve">LUIZ HENRIQUE SANTOS DE ALMEIDA </t>
  </si>
  <si>
    <t>ROZINEIDE DA SILVA</t>
  </si>
  <si>
    <t xml:space="preserve">SIDILAINE APARECIDA DE PAULA </t>
  </si>
  <si>
    <t>EZEQUIAS LEONARDO DA SILVA</t>
  </si>
  <si>
    <t>ULISSES ROBERTO</t>
  </si>
  <si>
    <t xml:space="preserve">VERONICE UMBELINA </t>
  </si>
  <si>
    <t xml:space="preserve">DEPOISTO </t>
  </si>
  <si>
    <t>HELENA RODRIGUES PINTO</t>
  </si>
  <si>
    <t>MARIA HELENA RICARDO</t>
  </si>
  <si>
    <t>ANA LUCIA CUSTODIO</t>
  </si>
  <si>
    <t xml:space="preserve">LUIZ FERNANDO </t>
  </si>
  <si>
    <t>MAYCON SANTOS PEREIRA</t>
  </si>
  <si>
    <t>DEBORA BRAGA MOLINARI</t>
  </si>
  <si>
    <t>ENGRAXAR PORTA</t>
  </si>
  <si>
    <t>ANDREA MOSCA CINTRA</t>
  </si>
  <si>
    <t>ERIK COSTA DIAS</t>
  </si>
  <si>
    <t>MAURICIO BUENO DE ALMEIDA</t>
  </si>
  <si>
    <t>CLAYTON DE SOUSA PEREIRA</t>
  </si>
  <si>
    <t>GEORGE JACINTO</t>
  </si>
  <si>
    <t>TATIANE SOARES DE LIMA MARCELINO</t>
  </si>
  <si>
    <t>JAIR HIGINO DA SILVA</t>
  </si>
  <si>
    <t xml:space="preserve">DEPÓSITO EM CONTA </t>
  </si>
  <si>
    <t>AGOSTINHO GOMES DE ORNELAS</t>
  </si>
  <si>
    <t>ALBERT JOÃO</t>
  </si>
  <si>
    <t>VINICIUS MARINHO  HYDOO</t>
  </si>
  <si>
    <t>MARCOS PAULO CORREA</t>
  </si>
  <si>
    <t>MAURO ROBERTO</t>
  </si>
  <si>
    <t xml:space="preserve">LUCILENE GOMES </t>
  </si>
  <si>
    <t xml:space="preserve">TALITA </t>
  </si>
  <si>
    <t>ALESSANDRA FELIX SILVA</t>
  </si>
  <si>
    <t xml:space="preserve">LEONIA PAULA </t>
  </si>
  <si>
    <t xml:space="preserve">PATRICIA PAULINO DOS SANTOS </t>
  </si>
  <si>
    <t>MARIA DAS GRAÇAS BORGES</t>
  </si>
  <si>
    <t xml:space="preserve">PAES </t>
  </si>
  <si>
    <t xml:space="preserve">PIX </t>
  </si>
  <si>
    <t>DEPOISTO</t>
  </si>
  <si>
    <t xml:space="preserve">MARCIA REGINA TEIXEIRA </t>
  </si>
  <si>
    <t>,</t>
  </si>
  <si>
    <t>VIVIANE DE ALMEIDA GUIMARÃES</t>
  </si>
  <si>
    <t>NATALIA KAORI IGAKI CARREIRA</t>
  </si>
  <si>
    <t>DIRCE GABRIELLE RIBEIRO</t>
  </si>
  <si>
    <t>LUCILENE ALVES MOREIRA</t>
  </si>
  <si>
    <t>STEPHANI LOPES DA SILVA</t>
  </si>
  <si>
    <t>RITA DE CASSIA SIEVERS</t>
  </si>
  <si>
    <t xml:space="preserve">BIANCA DE OLIVEIRA </t>
  </si>
  <si>
    <t xml:space="preserve">GABRIELLY CASTRO </t>
  </si>
  <si>
    <t xml:space="preserve">RICARDO CAETANO </t>
  </si>
  <si>
    <t>VALQUIRIA BATISTA FERNANDES</t>
  </si>
  <si>
    <t>GILSON TELES GOMES</t>
  </si>
  <si>
    <t>depósito em 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</si>
</sst>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164" fontId="36" fillId="0" borderId="8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sortState xmlns:xlrd2="http://schemas.microsoft.com/office/spreadsheetml/2017/richdata2" ref="P2:P18">
    <sortCondition ref="P1:P18"/>
  </sortState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3" dataDxfId="1671" headerRowBorderDxfId="1672" tableBorderDxfId="1670" totalsRowBorderDxfId="1669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68" dataCellStyle="Moeda"/>
    <tableColumn id="5" xr3:uid="{45BECD08-8ABE-4A34-BD78-E2D3AFB8C62A}" name="Cliente" dataDxfId="1667" dataCellStyle="Moeda"/>
    <tableColumn id="2" xr3:uid="{A0D6666C-9CF7-4343-AF6B-BDFE62F94469}" name="Forma de Pgto" dataDxfId="1666" dataCellStyle="Moeda"/>
    <tableColumn id="3" xr3:uid="{988F127F-9D83-4428-BB94-C16FBBB1BD89}" name="Valor Venda" dataDxfId="1665" dataCellStyle="Porcentagem"/>
    <tableColumn id="4" xr3:uid="{6A2928C3-17B0-4FA3-B60C-9E1A2C0324E1}" name="Entrada" dataDxfId="1664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3" dataDxfId="1661" headerRowBorderDxfId="1662" tableBorderDxfId="1660" totalsRowBorderDxfId="1659">
  <autoFilter ref="K5:M11" xr:uid="{DD403130-B35C-452C-92F9-290622D77A3D}"/>
  <tableColumns count="3">
    <tableColumn id="1" xr3:uid="{FAD87634-3375-4B41-BEC0-5B072F6B52CE}" name="Descrição" dataDxfId="1658"/>
    <tableColumn id="2" xr3:uid="{7688071E-9548-4552-8BB1-3BA5128DF645}" name="Tipo de Pagto" dataDxfId="1657"/>
    <tableColumn id="3" xr3:uid="{2B260C33-79A5-4C5D-9195-15780C53A861}" name="Valor" dataDxfId="16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5" dataDxfId="1653" headerRowBorderDxfId="1654" tableBorderDxfId="1652" totalsRowBorderDxfId="165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0"/>
    <tableColumn id="2" xr3:uid="{606BE417-6802-4580-90D2-86F95EFAAEB7}" name="Cliente" dataDxfId="1649"/>
    <tableColumn id="3" xr3:uid="{2F522A54-F708-4DA3-97E3-CE7C29912E04}" name="Forma de Pgto" dataDxfId="1648" dataCellStyle="Moeda"/>
    <tableColumn id="4" xr3:uid="{7B46EE64-F7F1-4449-A783-67286A94A7C4}" name="Valor Venda" dataDxfId="1647" dataCellStyle="Porcentagem"/>
    <tableColumn id="5" xr3:uid="{389A7D1A-3C35-485E-9958-8A78EF77BE9B}" name="Entrada" dataDxfId="164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5" dataDxfId="1643" headerRowBorderDxfId="1644" tableBorderDxfId="1642" totalsRowBorderDxfId="1641">
  <autoFilter ref="K14:M31" xr:uid="{F07D43AD-1A4D-4B31-96B8-824F8623E518}"/>
  <tableColumns count="3">
    <tableColumn id="1" xr3:uid="{3AF01421-A7B6-4D23-9DA8-C20FAFAFDD9C}" name="OS" dataDxfId="1640"/>
    <tableColumn id="2" xr3:uid="{55DCC30E-EB52-427E-A16A-B2C93A41F1CE}" name="Vendedor" dataDxfId="1639"/>
    <tableColumn id="3" xr3:uid="{23EDA46C-42B4-4F6C-97D9-7040D6B9797C}" name="CARNE" dataDxfId="16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7" dataDxfId="1635" headerRowBorderDxfId="1636" tableBorderDxfId="1634" totalsRowBorderDxfId="1633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2"/>
    <tableColumn id="2" xr3:uid="{FBA6EA78-F44B-4D22-A27A-92A91C10551F}" name="Cliente" dataDxfId="1631"/>
    <tableColumn id="3" xr3:uid="{749B4D89-29B3-4987-91D3-6BA3C44D9B96}" name="Forma de Pgto" dataDxfId="1630" dataCellStyle="Moeda"/>
    <tableColumn id="4" xr3:uid="{A84A6598-B291-4809-A78D-AB810461733D}" name="Valor Parcela" dataDxfId="1629" dataCellStyle="Porcentagem"/>
    <tableColumn id="5" xr3:uid="{3C45FEEC-5E06-4ED7-87CD-0097DB6BC817}" name="Nº Parcela" dataDxfId="1628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7" dataDxfId="1625" headerRowBorderDxfId="1626" tableBorderDxfId="1624" totalsRowBorderDxfId="1623">
  <autoFilter ref="K34:M41" xr:uid="{42BA126A-AECD-4CD6-8583-BD2352D82FB9}"/>
  <tableColumns count="3">
    <tableColumn id="1" xr3:uid="{0989D88A-7CB7-4008-94FC-B7FFB3CAE582}" name="OS" dataDxfId="1622"/>
    <tableColumn id="2" xr3:uid="{AC9D76CC-A537-4210-9893-E8C57DA30B4D}" name="Parcelas" dataDxfId="1621"/>
    <tableColumn id="3" xr3:uid="{D4D72E6E-DAE0-4860-8606-BFD8E469AE3D}" name="Valor Total" dataDxfId="16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19" dataDxfId="1617" headerRowBorderDxfId="1618" tableBorderDxfId="1616" totalsRowBorderDxfId="16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4" dataCellStyle="Moeda"/>
    <tableColumn id="5" xr3:uid="{62DCD49D-7CD9-4268-A2D5-B3A594E461BB}" name="Cliente" dataDxfId="1613" dataCellStyle="Moeda"/>
    <tableColumn id="2" xr3:uid="{50D45495-B1A2-4885-996A-3E6DD92E280E}" name="Forma de Pgto" dataDxfId="1612" dataCellStyle="Moeda"/>
    <tableColumn id="3" xr3:uid="{DE57E226-692B-42B0-911E-ACCF59BC6D86}" name="Valor Venda" dataDxfId="1611" dataCellStyle="Porcentagem"/>
    <tableColumn id="4" xr3:uid="{CE230B3B-D2C9-4A92-A5F3-A5EE4A74409A}" name="Entrada" dataDxfId="1610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09" dataDxfId="1607" headerRowBorderDxfId="1608" tableBorderDxfId="1606" totalsRowBorderDxfId="1605">
  <autoFilter ref="K5:M11" xr:uid="{00000000-0009-0000-0100-000015000000}"/>
  <tableColumns count="3">
    <tableColumn id="1" xr3:uid="{58E2E66D-9AC0-4A69-BF19-1AB9AD59BA2F}" name="Descrição" dataDxfId="1604"/>
    <tableColumn id="2" xr3:uid="{FE1E3124-46C3-49A6-AE83-7C14B341DF59}" name="Tipo de Pagto" dataDxfId="1603"/>
    <tableColumn id="3" xr3:uid="{D8FBF474-04EE-46ED-9B9E-791D937CF715}" name="Valor" dataDxfId="160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1" dataDxfId="1599" headerRowBorderDxfId="1600" tableBorderDxfId="1598" totalsRowBorderDxfId="15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6"/>
    <tableColumn id="2" xr3:uid="{595EF087-A3B2-4C2B-AEEA-F930A6C2F5F4}" name="Cliente" dataDxfId="1595"/>
    <tableColumn id="3" xr3:uid="{C5C2BC75-6E8D-4808-A5EE-A5F9251ECE6C}" name="Forma de Pgto" dataDxfId="1594" dataCellStyle="Moeda"/>
    <tableColumn id="4" xr3:uid="{20CF776B-B9F4-48DD-9379-961689B40B71}" name="Valor Venda" dataDxfId="1593" dataCellStyle="Porcentagem"/>
    <tableColumn id="5" xr3:uid="{65177CB6-6D07-42E6-8EFE-435282A2F5BA}" name="Entrada" dataDxfId="1592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1" dataDxfId="1589" headerRowBorderDxfId="1590" tableBorderDxfId="1588" totalsRowBorderDxfId="15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6"/>
    <tableColumn id="2" xr3:uid="{D1AEFC99-FF9D-4A0D-BE93-D866BDC7A817}" name="Vendedor" dataDxfId="1585"/>
    <tableColumn id="3" xr3:uid="{CA30546E-8A3F-45D5-BE2B-24DCF738F1F2}" name="CARNE" dataDxfId="158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3" dataDxfId="1581" headerRowBorderDxfId="1582" tableBorderDxfId="1580" totalsRowBorderDxfId="15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78"/>
    <tableColumn id="2" xr3:uid="{7D38F106-0145-4B73-951B-86BF22EC7FAB}" name="Cliente" dataDxfId="1577"/>
    <tableColumn id="3" xr3:uid="{11A4EEBE-D35C-4719-B2B9-16486260EF79}" name="Forma de Pgto" dataDxfId="1576" dataCellStyle="Moeda"/>
    <tableColumn id="4" xr3:uid="{1BAB2FC5-9F2C-41DD-994A-6BA83A984883}" name="Valor Parcela" dataDxfId="1575" dataCellStyle="Porcentagem"/>
    <tableColumn id="5" xr3:uid="{8C539F89-5F96-4DB9-B7A4-784EA1B5350C}" name="Nº Parcela" dataDxfId="1574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3" dataDxfId="1571" headerRowBorderDxfId="1572" tableBorderDxfId="1570" totalsRowBorderDxfId="1569">
  <autoFilter ref="K34:M41" xr:uid="{1B8643D4-6AC3-4029-882A-C62E9D7CB225}"/>
  <tableColumns count="3">
    <tableColumn id="1" xr3:uid="{0B93901B-D681-410F-8B28-E186D9A3CAC3}" name="OS" dataDxfId="1568"/>
    <tableColumn id="2" xr3:uid="{A57C0E02-6258-48F0-9407-2095CD96B2D4}" name="Parcelas" dataDxfId="1567"/>
    <tableColumn id="3" xr3:uid="{1EA087CF-658D-4951-89BB-508667E3BBBE}" name="Valor Total" dataDxfId="156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5" dataDxfId="1563" headerRowBorderDxfId="1564" tableBorderDxfId="1562" totalsRowBorderDxfId="15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0" dataCellStyle="Moeda"/>
    <tableColumn id="5" xr3:uid="{98DC42E5-632F-4288-9CC5-1F032859A7E7}" name="Cliente" dataDxfId="1559" dataCellStyle="Moeda"/>
    <tableColumn id="2" xr3:uid="{4AE32B81-9EBD-470B-9ABE-A82D6658F3FE}" name="Forma de Pgto" dataDxfId="1558" dataCellStyle="Moeda"/>
    <tableColumn id="3" xr3:uid="{6E5BAEC1-2689-4ABB-93EC-298595B5C82E}" name="Valor Venda" dataDxfId="1557" dataCellStyle="Porcentagem"/>
    <tableColumn id="4" xr3:uid="{24493E7B-FE77-4A85-8810-0F0A4A84D997}" name="Entrada" dataDxfId="1556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5" dataDxfId="1553" headerRowBorderDxfId="1554" tableBorderDxfId="1552" totalsRowBorderDxfId="1551">
  <autoFilter ref="K5:M11" xr:uid="{00000000-0009-0000-0100-000015000000}"/>
  <tableColumns count="3">
    <tableColumn id="1" xr3:uid="{DA50BBFB-ECA9-45DE-9949-F3F90EEC3BA7}" name="Descrição" dataDxfId="1550"/>
    <tableColumn id="2" xr3:uid="{A64D4F88-B62D-440B-BA71-6D7BB28D542E}" name="Tipo de Pagto" dataDxfId="1549"/>
    <tableColumn id="3" xr3:uid="{0406A209-0652-47F9-9AB4-3256B26876D2}" name="Valor" dataDxfId="154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7" dataDxfId="1545" headerRowBorderDxfId="1546" tableBorderDxfId="1544" totalsRowBorderDxfId="15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2"/>
    <tableColumn id="2" xr3:uid="{8B8D24E4-1123-478B-838C-FCF56EABBDFD}" name="Cliente" dataDxfId="1541"/>
    <tableColumn id="3" xr3:uid="{8B7DE8DF-8D5D-4245-A63D-EF550AE347E3}" name="Forma de Pgto" dataDxfId="1540" dataCellStyle="Moeda"/>
    <tableColumn id="4" xr3:uid="{95A77C0C-49D0-45A2-8B99-A765C4741CE7}" name="Valor Venda" dataDxfId="1539" dataCellStyle="Porcentagem"/>
    <tableColumn id="5" xr3:uid="{FF4FDD32-DA70-4723-A8FB-07B3FB04B5CD}" name="Entrada" dataDxfId="1538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7" dataDxfId="1535" headerRowBorderDxfId="1536" tableBorderDxfId="1534" totalsRowBorderDxfId="1533">
  <autoFilter ref="K14:M31" xr:uid="{C83FE64B-E221-4DAA-89EA-5307A7BC98B3}"/>
  <tableColumns count="3">
    <tableColumn id="1" xr3:uid="{A31E67F7-E266-4220-8D3F-09556FCE20B1}" name="OS" dataDxfId="1532"/>
    <tableColumn id="2" xr3:uid="{2ED39269-8DA5-4157-9E82-8C8ED0C828A3}" name="Vendedor" dataDxfId="1531"/>
    <tableColumn id="3" xr3:uid="{F550B35D-6F70-4E2E-9037-3A7DF5BB4D86}" name="CARNE" dataDxfId="153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29" dataDxfId="1527" headerRowBorderDxfId="1528" tableBorderDxfId="1526" totalsRowBorderDxfId="15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4"/>
    <tableColumn id="2" xr3:uid="{58D563AD-1DCA-4768-9170-A0079A20A1DF}" name="Cliente" dataDxfId="1523"/>
    <tableColumn id="3" xr3:uid="{FE883FCE-942C-4DE5-904D-B12FE6C4992D}" name="Forma de Pgto" dataDxfId="1522" dataCellStyle="Moeda"/>
    <tableColumn id="4" xr3:uid="{21451B08-4DF0-4C35-AC45-94C183AA6A59}" name="Valor Parcela" dataDxfId="1521" dataCellStyle="Porcentagem"/>
    <tableColumn id="5" xr3:uid="{8F93C3AE-47D0-4E55-A038-445341804CE9}" name="Nº Parcela" dataDxfId="1520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19" dataDxfId="1517" headerRowBorderDxfId="1518" tableBorderDxfId="1516" totalsRowBorderDxfId="1515">
  <autoFilter ref="K34:M41" xr:uid="{1B8643D4-6AC3-4029-882A-C62E9D7CB225}"/>
  <tableColumns count="3">
    <tableColumn id="1" xr3:uid="{2687574F-C0F9-4AD1-A54B-286C1AE50D97}" name="OS" dataDxfId="1514"/>
    <tableColumn id="2" xr3:uid="{AE623FF4-38C1-45D9-B220-1CD4A553B7C1}" name="Parcelas" dataDxfId="1513"/>
    <tableColumn id="3" xr3:uid="{EEBFC521-3084-43FF-A36B-C25CE198B817}" name="Valor Total" dataDxfId="151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1" dataDxfId="1509" headerRowBorderDxfId="1510" tableBorderDxfId="1508" totalsRowBorderDxfId="15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6" dataCellStyle="Moeda"/>
    <tableColumn id="5" xr3:uid="{F5DA840E-A051-4AE4-AE1A-9DAFAF8FFC3B}" name="Cliente" dataDxfId="1505" dataCellStyle="Moeda"/>
    <tableColumn id="2" xr3:uid="{DF65CD3D-444A-4025-B98B-F38F11610432}" name="Forma de Pgto" dataDxfId="1504" dataCellStyle="Moeda"/>
    <tableColumn id="3" xr3:uid="{9A4839DC-9153-466A-B0AF-456FAEF79174}" name="Valor Venda" dataDxfId="1503" dataCellStyle="Porcentagem"/>
    <tableColumn id="4" xr3:uid="{EF410A7C-DBD1-4367-A43B-616826FFEB4F}" name="Entrada" dataDxfId="1502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1" dataDxfId="1499" headerRowBorderDxfId="1500" tableBorderDxfId="1498" totalsRowBorderDxfId="1497">
  <autoFilter ref="K5:M11" xr:uid="{00000000-0009-0000-0100-000015000000}"/>
  <tableColumns count="3">
    <tableColumn id="1" xr3:uid="{F1C90853-2F5A-4C32-8AC3-18ECE1FDDF43}" name="Descrição" dataDxfId="1496"/>
    <tableColumn id="2" xr3:uid="{DEB32F17-2D52-4FBB-90C4-1C3AE9C104E6}" name="Tipo de Pagto" dataDxfId="1495"/>
    <tableColumn id="3" xr3:uid="{089B3650-C090-496F-BF9A-6E8466DBF76A}" name="Valor" dataDxfId="149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3" dataDxfId="1491" headerRowBorderDxfId="1492" tableBorderDxfId="1490" totalsRowBorderDxfId="14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88"/>
    <tableColumn id="2" xr3:uid="{73AEC7DD-005C-4428-9D1D-1A3761F2192B}" name="Cliente" dataDxfId="1487"/>
    <tableColumn id="3" xr3:uid="{FA28017F-3137-49BD-B826-2E261901E543}" name="Forma de Pgto" dataDxfId="1486" dataCellStyle="Moeda"/>
    <tableColumn id="4" xr3:uid="{6030418B-B1EC-4D4D-96DF-0EB78B87F6F9}" name="Valor Venda" dataDxfId="1485" dataCellStyle="Porcentagem"/>
    <tableColumn id="5" xr3:uid="{0576A975-F40D-4463-85C0-76AB6FCD63AC}" name="Entrada" dataDxfId="1484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3" dataDxfId="1481" headerRowBorderDxfId="1482" tableBorderDxfId="1480" totalsRowBorderDxfId="1479">
  <autoFilter ref="K14:M31" xr:uid="{C83FE64B-E221-4DAA-89EA-5307A7BC98B3}"/>
  <tableColumns count="3">
    <tableColumn id="1" xr3:uid="{830E23BA-DE90-49EF-B4EA-89C3276575B2}" name="OS" dataDxfId="1478"/>
    <tableColumn id="2" xr3:uid="{679AF5A0-4545-4316-AD6C-E4B7A7BA099A}" name="Vendedor" dataDxfId="1477"/>
    <tableColumn id="3" xr3:uid="{6B801D58-D05B-4A78-A6FE-BC9EF408DC10}" name="CARNE" dataDxfId="147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5" dataDxfId="1473" headerRowBorderDxfId="1474" tableBorderDxfId="1472" totalsRowBorderDxfId="14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0"/>
    <tableColumn id="2" xr3:uid="{953837B7-D16A-40C2-9C83-CD7E7171C88F}" name="Cliente" dataDxfId="1469"/>
    <tableColumn id="3" xr3:uid="{63860264-C651-4A12-8F01-E9F622A843C0}" name="Forma de Pgto" dataDxfId="1468" dataCellStyle="Moeda"/>
    <tableColumn id="4" xr3:uid="{584373BD-23BA-4A1E-A4FC-3D4A594F4148}" name="Valor Parcela" dataDxfId="1467" dataCellStyle="Porcentagem"/>
    <tableColumn id="5" xr3:uid="{7CBAF04B-D82E-4180-A8EA-98461BE41F4A}" name="Nº Parcela" dataDxfId="1466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5" dataDxfId="1463" headerRowBorderDxfId="1464" tableBorderDxfId="1462" totalsRowBorderDxfId="1461">
  <autoFilter ref="K34:M41" xr:uid="{1B8643D4-6AC3-4029-882A-C62E9D7CB225}"/>
  <tableColumns count="3">
    <tableColumn id="1" xr3:uid="{F555359C-BC20-4C24-A948-500BDD3B5763}" name="OS" dataDxfId="1460"/>
    <tableColumn id="2" xr3:uid="{B72B4820-B8B5-4F80-83B5-9EC54EF78025}" name="Parcelas" dataDxfId="1459"/>
    <tableColumn id="3" xr3:uid="{893DDBC4-5663-4D63-80CB-4E7482811983}" name="Valor Total" dataDxfId="145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7" dataDxfId="1455" headerRowBorderDxfId="1456" tableBorderDxfId="1454" totalsRowBorderDxfId="145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2" dataCellStyle="Moeda"/>
    <tableColumn id="5" xr3:uid="{4F9ED826-A0E1-4FB0-83C6-A561EA7B6750}" name="Cliente" dataDxfId="1451" dataCellStyle="Moeda"/>
    <tableColumn id="2" xr3:uid="{C2B928FE-CB2E-4271-AE3D-2FE26117248E}" name="Forma de Pgto" dataDxfId="1450" dataCellStyle="Moeda"/>
    <tableColumn id="3" xr3:uid="{CE23E3D0-4056-4DCB-83C4-5B94BD49CAAC}" name="Valor Venda" dataDxfId="1449" dataCellStyle="Porcentagem"/>
    <tableColumn id="4" xr3:uid="{1F426340-BFB9-4B9E-B988-7A195156D2F2}" name="Entrada" dataDxfId="1448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7" dataDxfId="1445" headerRowBorderDxfId="1446" tableBorderDxfId="1444" totalsRowBorderDxfId="1443">
  <autoFilter ref="K5:M11" xr:uid="{00000000-0009-0000-0100-000015000000}"/>
  <tableColumns count="3">
    <tableColumn id="1" xr3:uid="{F4C840DC-E06E-4A51-B1BF-E769E4EC9ACB}" name="Descrição" dataDxfId="1442"/>
    <tableColumn id="2" xr3:uid="{E6DE1F07-CE97-421A-A22A-4B4270DDF46D}" name="Tipo de Pagto" dataDxfId="1441"/>
    <tableColumn id="3" xr3:uid="{D84FBA92-07C5-41FD-BBA2-2AADF245D1D6}" name="Valor" dataDxfId="144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3" totalsRowShown="0" headerRowDxfId="1439" dataDxfId="1437" headerRowBorderDxfId="1438" tableBorderDxfId="1436" totalsRowBorderDxfId="1435">
  <autoFilter ref="E25:I33" xr:uid="{00000000-0009-0000-0100-000016000000}"/>
  <sortState xmlns:xlrd2="http://schemas.microsoft.com/office/spreadsheetml/2017/richdata2" ref="E26:I33">
    <sortCondition ref="E25:E33"/>
  </sortState>
  <tableColumns count="5">
    <tableColumn id="1" xr3:uid="{3A283CE2-55BE-462C-8F24-116454485981}" name="Nº Venda" dataDxfId="1434"/>
    <tableColumn id="2" xr3:uid="{CD77FB12-1DAA-4DAF-B42A-0357959803DD}" name="Cliente" dataDxfId="1433"/>
    <tableColumn id="3" xr3:uid="{5F4C4F5C-C920-452A-B2BA-592AD2C18723}" name="Forma de Pgto" dataDxfId="1432" dataCellStyle="Moeda"/>
    <tableColumn id="4" xr3:uid="{3930B2F0-6049-4E02-92B1-EC55A5330B2C}" name="Valor Venda" dataDxfId="1431" dataCellStyle="Porcentagem"/>
    <tableColumn id="5" xr3:uid="{82EBAE08-64CA-459E-9015-FA8F61210D87}" name="Entrada" dataDxfId="1430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29" dataDxfId="1427" headerRowBorderDxfId="1428" tableBorderDxfId="1426" totalsRowBorderDxfId="1425">
  <autoFilter ref="K14:M31" xr:uid="{C83FE64B-E221-4DAA-89EA-5307A7BC98B3}"/>
  <tableColumns count="3">
    <tableColumn id="1" xr3:uid="{E0565617-EB8C-486F-838C-B370E84BC8A2}" name="OS" dataDxfId="1424"/>
    <tableColumn id="2" xr3:uid="{EA20833B-67D8-48B8-B6E4-54A10D0969E8}" name="Vendedor" dataDxfId="1423"/>
    <tableColumn id="3" xr3:uid="{8B1F8993-74A4-499F-AD5E-91A6051BA219}" name="CARNE" dataDxfId="142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6:I51" totalsRowShown="0" headerRowDxfId="1421" dataDxfId="1419" headerRowBorderDxfId="1420" tableBorderDxfId="1418" totalsRowBorderDxfId="1417">
  <autoFilter ref="E36:I51" xr:uid="{B9E2F984-8588-4F2C-9FB9-680284154679}"/>
  <sortState xmlns:xlrd2="http://schemas.microsoft.com/office/spreadsheetml/2017/richdata2" ref="E37:I42">
    <sortCondition ref="E25:E33"/>
  </sortState>
  <tableColumns count="5">
    <tableColumn id="1" xr3:uid="{20FEE6C9-1400-4BAE-AE31-9EAE96744744}" name="OS" dataDxfId="1416"/>
    <tableColumn id="2" xr3:uid="{FB461660-91D6-4E31-81FF-113A17320EED}" name="Cliente" dataDxfId="1415"/>
    <tableColumn id="3" xr3:uid="{0A47D0C3-375B-4E2D-B5E9-2048252BC0D3}" name="Forma de Pgto" dataDxfId="1414" dataCellStyle="Moeda"/>
    <tableColumn id="4" xr3:uid="{F9C62ED5-C18D-465D-B7E4-0729BD7B3A10}" name="Valor Parcela" dataDxfId="1413" dataCellStyle="Porcentagem"/>
    <tableColumn id="5" xr3:uid="{DD9D513B-1645-445F-83E9-DC54C163BD4E}" name="Nº Parcela" dataDxfId="1412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1" dataDxfId="1409" headerRowBorderDxfId="1410" tableBorderDxfId="1408" totalsRowBorderDxfId="1407">
  <autoFilter ref="K34:M41" xr:uid="{1B8643D4-6AC3-4029-882A-C62E9D7CB225}"/>
  <tableColumns count="3">
    <tableColumn id="1" xr3:uid="{D65B195F-C059-40E5-A4CA-FE91C5DB43DB}" name="OS" dataDxfId="1406"/>
    <tableColumn id="2" xr3:uid="{A2A023CF-C61D-419E-ABB0-2F9CEE35150B}" name="Parcelas" dataDxfId="1405"/>
    <tableColumn id="3" xr3:uid="{F7D650A1-7C3D-42D0-B133-EB49D396C64F}" name="Valor Total" dataDxfId="140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3" totalsRowShown="0" headerRowDxfId="1403" dataDxfId="1401" headerRowBorderDxfId="1402" tableBorderDxfId="1400" totalsRowBorderDxfId="1399">
  <autoFilter ref="E5:I23" xr:uid="{00000000-0009-0000-0100-000014000000}"/>
  <sortState xmlns:xlrd2="http://schemas.microsoft.com/office/spreadsheetml/2017/richdata2" ref="E6:I23">
    <sortCondition ref="E5:E23"/>
  </sortState>
  <tableColumns count="5">
    <tableColumn id="1" xr3:uid="{9D85D10C-C547-42BD-93D2-B3B7F8603FD8}" name="Nº Venda" dataDxfId="1398" dataCellStyle="Moeda"/>
    <tableColumn id="5" xr3:uid="{FF96847D-D5C5-4F73-905C-E549112972E1}" name="Cliente" dataDxfId="1397" dataCellStyle="Moeda"/>
    <tableColumn id="2" xr3:uid="{1B47815A-C2E2-4886-9A6F-B2A7307F901E}" name="Forma de Pgto" dataDxfId="1396" dataCellStyle="Moeda"/>
    <tableColumn id="3" xr3:uid="{FD86C99A-4E69-452A-8D71-B939B84F2B55}" name="Valor Venda" dataDxfId="1395" dataCellStyle="Porcentagem"/>
    <tableColumn id="4" xr3:uid="{49ECBAAC-14EE-43F3-BE6F-974EF5F3E156}" name="Entrada" dataDxfId="1394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3" dataDxfId="1391" headerRowBorderDxfId="1392" tableBorderDxfId="1390" totalsRowBorderDxfId="1389">
  <autoFilter ref="K5:M11" xr:uid="{00000000-0009-0000-0100-000015000000}"/>
  <tableColumns count="3">
    <tableColumn id="1" xr3:uid="{5236D397-E61A-4AA1-B99C-AD40093239F9}" name="Descrição" dataDxfId="1388"/>
    <tableColumn id="2" xr3:uid="{3341FC2A-819A-41AF-B8A9-B5A195B8D597}" name="Tipo de Pagto" dataDxfId="1387"/>
    <tableColumn id="3" xr3:uid="{D568CA16-B32B-4F86-9DE5-B8B3E9825745}" name="Valor" dataDxfId="138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5" dataDxfId="1383" headerRowBorderDxfId="1384" tableBorderDxfId="1382" totalsRowBorderDxfId="13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0"/>
    <tableColumn id="2" xr3:uid="{DEEB020C-2BC4-4E77-9557-B0FDBCF683E9}" name="Cliente" dataDxfId="1379"/>
    <tableColumn id="3" xr3:uid="{FC27FDBE-5194-4E32-AFD1-DB754ECCEF38}" name="Forma de Pgto" dataDxfId="1378" dataCellStyle="Moeda"/>
    <tableColumn id="4" xr3:uid="{489A4CE9-C3F1-4322-9639-D01F0935FB0E}" name="Valor Venda" dataDxfId="1377" dataCellStyle="Porcentagem"/>
    <tableColumn id="5" xr3:uid="{07E5F22F-7782-466E-98DB-48416B35B9C4}" name="Entrada" dataDxfId="1376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5" dataDxfId="1373" headerRowBorderDxfId="1374" tableBorderDxfId="1372" totalsRowBorderDxfId="13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4926A1A-00A9-4844-90B1-E36D53050FAD}" name="OS" dataDxfId="1370"/>
    <tableColumn id="2" xr3:uid="{CFC62C38-9887-48E6-A3B8-42586D1EC066}" name="Vendedor" dataDxfId="1369"/>
    <tableColumn id="3" xr3:uid="{32577275-2002-496E-8AD4-5FE489DBC179}" name="CARNE" dataDxfId="1368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7" dataDxfId="1365" headerRowBorderDxfId="1366" tableBorderDxfId="1364" totalsRowBorderDxfId="13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2"/>
    <tableColumn id="2" xr3:uid="{19438CD0-86D0-4CC4-9B41-5D756AC61E4D}" name="Cliente" dataDxfId="1361"/>
    <tableColumn id="3" xr3:uid="{59621200-4821-4583-9D35-A2EA6C27B52D}" name="Forma de Pgto" dataDxfId="1360" dataCellStyle="Moeda"/>
    <tableColumn id="4" xr3:uid="{35A817E7-6B21-48A7-863E-225DFEDD8B2A}" name="Valor Parcela" dataDxfId="1359" dataCellStyle="Porcentagem"/>
    <tableColumn id="5" xr3:uid="{77D80430-C5F8-4582-B3DF-9A9A9350F565}" name="Nº Parcela" dataDxfId="1358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7" dataDxfId="1355" headerRowBorderDxfId="1356" tableBorderDxfId="1354" totalsRowBorderDxfId="1353">
  <autoFilter ref="K34:M41" xr:uid="{1B8643D4-6AC3-4029-882A-C62E9D7CB225}"/>
  <tableColumns count="3">
    <tableColumn id="1" xr3:uid="{503F9F70-E540-4505-B65D-D233FCB88D5F}" name="OS" dataDxfId="1352"/>
    <tableColumn id="2" xr3:uid="{6A2B4927-D830-4C18-8831-6FE23BFAD877}" name="Parcelas" dataDxfId="1351"/>
    <tableColumn id="3" xr3:uid="{8E06E94A-FF62-4D13-8B11-C6CE2990FCDF}" name="Valor Total" dataDxfId="1350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49" dataDxfId="1347" headerRowBorderDxfId="1348" tableBorderDxfId="1346" totalsRowBorderDxfId="13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4" dataCellStyle="Moeda"/>
    <tableColumn id="5" xr3:uid="{00000000-0010-0000-0900-000005000000}" name="Cliente" dataDxfId="1343" dataCellStyle="Moeda"/>
    <tableColumn id="2" xr3:uid="{00000000-0010-0000-0900-000002000000}" name="Forma de Pgto" dataDxfId="1342" dataCellStyle="Moeda"/>
    <tableColumn id="3" xr3:uid="{00000000-0010-0000-0900-000003000000}" name="Valor Venda" dataDxfId="1341" dataCellStyle="Porcentagem"/>
    <tableColumn id="4" xr3:uid="{00000000-0010-0000-0900-000004000000}" name="Entrada" dataDxfId="1340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39" dataDxfId="1337" headerRowBorderDxfId="1338" tableBorderDxfId="1336" totalsRowBorderDxfId="1335">
  <autoFilter ref="K5:M11" xr:uid="{00000000-0009-0000-0100-000015000000}"/>
  <tableColumns count="3">
    <tableColumn id="1" xr3:uid="{00000000-0010-0000-0A00-000001000000}" name="Descrição" dataDxfId="1334"/>
    <tableColumn id="2" xr3:uid="{00000000-0010-0000-0A00-000002000000}" name="Tipo de Pagto" dataDxfId="1333"/>
    <tableColumn id="3" xr3:uid="{00000000-0010-0000-0A00-000003000000}" name="Valor" dataDxfId="1332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1" dataDxfId="1329" headerRowBorderDxfId="1330" tableBorderDxfId="1328" totalsRowBorderDxfId="13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6"/>
    <tableColumn id="2" xr3:uid="{00000000-0010-0000-0B00-000002000000}" name="Cliente" dataDxfId="1325"/>
    <tableColumn id="3" xr3:uid="{00000000-0010-0000-0B00-000003000000}" name="Forma de Pgto" dataDxfId="1324" dataCellStyle="Moeda"/>
    <tableColumn id="4" xr3:uid="{00000000-0010-0000-0B00-000004000000}" name="Valor Venda" dataDxfId="1323" dataCellStyle="Porcentagem"/>
    <tableColumn id="5" xr3:uid="{00000000-0010-0000-0B00-000005000000}" name="Entrada" dataDxfId="1322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1" dataDxfId="1319" headerRowBorderDxfId="1320" tableBorderDxfId="1318" totalsRowBorderDxfId="13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316"/>
    <tableColumn id="2" xr3:uid="{E1794679-294A-42ED-9D8F-4C0874170BFA}" name="Vendedor" dataDxfId="1315"/>
    <tableColumn id="3" xr3:uid="{CB411C23-941D-4548-984D-68460932D683}" name="CARNE" dataDxfId="1314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3" dataDxfId="1311" headerRowBorderDxfId="1312" tableBorderDxfId="1310" totalsRowBorderDxfId="13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08"/>
    <tableColumn id="2" xr3:uid="{430FE27E-32BC-43B0-BB6E-CCBAB36B2A5A}" name="Cliente" dataDxfId="1307"/>
    <tableColumn id="3" xr3:uid="{568CECCF-BE0A-4266-A7C7-9359F722EA0F}" name="Forma de Pgto" dataDxfId="1306" dataCellStyle="Moeda"/>
    <tableColumn id="4" xr3:uid="{9CF4291A-8808-43DB-9F83-A7EB463C5F4A}" name="Valor Parcela" dataDxfId="1305" dataCellStyle="Porcentagem"/>
    <tableColumn id="5" xr3:uid="{736EA743-97FA-4800-BEDD-5C07EEB144A8}" name="Nº Parcela" dataDxfId="1304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3" dataDxfId="1301" headerRowBorderDxfId="1302" tableBorderDxfId="1300" totalsRowBorderDxfId="1299">
  <autoFilter ref="K34:M41" xr:uid="{1B8643D4-6AC3-4029-882A-C62E9D7CB225}"/>
  <tableColumns count="3">
    <tableColumn id="1" xr3:uid="{132FEC50-51B3-4AAA-BF48-63FA39ED861C}" name="OS" dataDxfId="1298"/>
    <tableColumn id="2" xr3:uid="{11276640-1C63-48D7-BE0B-1FE7C736A1A8}" name="Parcelas" dataDxfId="1297"/>
    <tableColumn id="3" xr3:uid="{96591591-9F74-40A6-B0B9-BA6D2106107F}" name="Valor Total" dataDxfId="1296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5" headerRowBorderDxfId="1294" tableBorderDxfId="1293" totalsRowBorderDxfId="12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1" dataCellStyle="Moeda"/>
    <tableColumn id="5" xr3:uid="{795F9F6D-AAE5-4C61-A646-82BF506C503E}" name="Cliente" dataDxfId="1290" dataCellStyle="Moeda"/>
    <tableColumn id="2" xr3:uid="{DD13626B-6361-410E-BFB7-9E75436163A4}" name="Forma de Pgto" dataDxfId="1289" dataCellStyle="Moeda"/>
    <tableColumn id="3" xr3:uid="{8939280F-F6DC-4F66-ADDF-59F6A387460C}" name="Valor Venda" dataDxfId="1288" dataCellStyle="Porcentagem"/>
    <tableColumn id="4" xr3:uid="{FFC83B9E-825A-4058-BFEA-DA64D7159065}" name="Entrada" dataDxfId="1287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6" dataDxfId="1284" headerRowBorderDxfId="1285" tableBorderDxfId="1283" totalsRowBorderDxfId="1282">
  <autoFilter ref="K5:M11" xr:uid="{00000000-0009-0000-0100-000015000000}"/>
  <tableColumns count="3">
    <tableColumn id="1" xr3:uid="{9309A091-2326-4B68-B8C9-B31CF2D72EAF}" name="Descrição" dataDxfId="1281"/>
    <tableColumn id="2" xr3:uid="{910D89CE-506B-440F-8EB2-31633D7CAD51}" name="Tipo de Pagto" dataDxfId="1280"/>
    <tableColumn id="3" xr3:uid="{7155C391-52F1-4F4A-84B1-7BBC44A35A99}" name="Valor" dataDxfId="1279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8" headerRowBorderDxfId="1277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61" dataDxfId="1259" headerRowBorderDxfId="1260" tableBorderDxfId="1258" totalsRowBorderDxfId="1257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5" totalsRowShown="0" headerRowDxfId="1027" dataDxfId="1025" headerRowBorderDxfId="1026" tableBorderDxfId="1024" totalsRowBorderDxfId="1023">
  <autoFilter ref="E5:I25" xr:uid="{00000000-0009-0000-0100-000014000000}"/>
  <sortState xmlns:xlrd2="http://schemas.microsoft.com/office/spreadsheetml/2017/richdata2" ref="E6:I25">
    <sortCondition ref="E5:E25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8:I31" totalsRowShown="0" headerRowDxfId="1009" dataDxfId="1007" headerRowBorderDxfId="1008" tableBorderDxfId="1006" totalsRowBorderDxfId="1005">
  <autoFilter ref="E28:I31" xr:uid="{00000000-0009-0000-0100-000016000000}"/>
  <sortState xmlns:xlrd2="http://schemas.microsoft.com/office/spreadsheetml/2017/richdata2" ref="E29:I31">
    <sortCondition ref="E28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8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3">
    <sortCondition ref="E5:E23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4" totalsRowShown="0" headerRowDxfId="253" dataDxfId="251" headerRowBorderDxfId="252" tableBorderDxfId="250" totalsRowBorderDxfId="249">
  <autoFilter ref="E25:I34" xr:uid="{00000000-0009-0000-0100-000016000000}"/>
  <sortState xmlns:xlrd2="http://schemas.microsoft.com/office/spreadsheetml/2017/richdata2" ref="E26:I34">
    <sortCondition ref="E25:E34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7:I44" totalsRowShown="0" headerRowDxfId="235" dataDxfId="233" headerRowBorderDxfId="234" tableBorderDxfId="232" totalsRowBorderDxfId="231">
  <autoFilter ref="E37:I44" xr:uid="{B9E2F984-8588-4F2C-9FB9-680284154679}"/>
  <sortState xmlns:xlrd2="http://schemas.microsoft.com/office/spreadsheetml/2017/richdata2" ref="E38:I43">
    <sortCondition ref="E25:E34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workbookViewId="0"/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96"/>
      <c r="C1" s="96"/>
      <c r="L1" s="97" t="s">
        <v>144</v>
      </c>
      <c r="M1" s="97"/>
      <c r="P1" t="s">
        <v>123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129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75326.160000000018</v>
      </c>
      <c r="P3" t="s">
        <v>128</v>
      </c>
    </row>
    <row r="4" spans="1:16" ht="15" x14ac:dyDescent="0.25">
      <c r="A4" s="8" t="s">
        <v>2</v>
      </c>
      <c r="B4" s="29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74762.10000000002</v>
      </c>
      <c r="C4" s="55"/>
      <c r="D4" s="56"/>
      <c r="E4" s="55" t="s">
        <v>137</v>
      </c>
      <c r="F4" s="55"/>
      <c r="G4" s="55"/>
      <c r="H4" s="55"/>
      <c r="I4" s="55"/>
      <c r="J4" s="56"/>
      <c r="K4" s="55" t="s">
        <v>138</v>
      </c>
      <c r="L4" s="55"/>
      <c r="M4" s="55"/>
      <c r="P4" t="s">
        <v>133</v>
      </c>
    </row>
    <row r="5" spans="1:16" ht="15" x14ac:dyDescent="0.25">
      <c r="A5" s="8" t="s">
        <v>3</v>
      </c>
      <c r="B5" s="29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6055.6600000000008</v>
      </c>
      <c r="C5" s="55"/>
      <c r="D5" s="56"/>
      <c r="E5" s="56"/>
      <c r="F5" s="56"/>
      <c r="G5" s="56"/>
      <c r="H5" s="56"/>
      <c r="I5" s="56"/>
      <c r="J5" s="56"/>
      <c r="K5" s="56"/>
      <c r="L5" s="56"/>
      <c r="M5" s="56"/>
      <c r="P5" t="s">
        <v>135</v>
      </c>
    </row>
    <row r="6" spans="1:16" ht="15.75" x14ac:dyDescent="0.25">
      <c r="A6" s="10" t="s">
        <v>4</v>
      </c>
      <c r="B6" s="32">
        <f ca="1">SUM(B4:B5)</f>
        <v>80817.760000000024</v>
      </c>
      <c r="C6" s="55">
        <f>C16</f>
        <v>0</v>
      </c>
      <c r="D6" s="56"/>
      <c r="E6" s="56"/>
      <c r="F6" s="56"/>
      <c r="G6" s="56"/>
      <c r="H6" s="56"/>
      <c r="I6" s="56"/>
      <c r="J6" s="56"/>
      <c r="K6" s="56"/>
      <c r="L6" s="56"/>
      <c r="M6" s="56"/>
      <c r="P6" t="s">
        <v>125</v>
      </c>
    </row>
    <row r="7" spans="1:16" ht="15" x14ac:dyDescent="0.25">
      <c r="A7" s="2"/>
      <c r="B7" s="27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P7" t="s">
        <v>187</v>
      </c>
    </row>
    <row r="8" spans="1:16" ht="15" x14ac:dyDescent="0.25">
      <c r="A8" s="93" t="s">
        <v>5</v>
      </c>
      <c r="B8" s="94"/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P8" t="s">
        <v>132</v>
      </c>
    </row>
    <row r="9" spans="1:16" ht="15" x14ac:dyDescent="0.25">
      <c r="A9" s="11" t="s">
        <v>6</v>
      </c>
      <c r="B9" s="29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6583.9999999999991</v>
      </c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P9" t="s">
        <v>134</v>
      </c>
    </row>
    <row r="10" spans="1:16" ht="15" x14ac:dyDescent="0.25">
      <c r="A10" s="11" t="s">
        <v>7</v>
      </c>
      <c r="B10" s="68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9365.75</v>
      </c>
      <c r="C10" s="74"/>
      <c r="D10" s="56"/>
      <c r="E10" s="56"/>
      <c r="F10" s="56"/>
      <c r="G10" s="56"/>
      <c r="H10" s="56"/>
      <c r="I10" s="56"/>
      <c r="J10" s="56"/>
      <c r="K10" s="56"/>
      <c r="L10" s="56"/>
      <c r="M10" s="56"/>
      <c r="P10" t="s">
        <v>126</v>
      </c>
    </row>
    <row r="11" spans="1:16" ht="15" x14ac:dyDescent="0.25">
      <c r="A11" s="11" t="s">
        <v>8</v>
      </c>
      <c r="B11" s="69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37610.799999999996</v>
      </c>
      <c r="C11" s="65"/>
      <c r="D11" s="56"/>
      <c r="E11" s="56"/>
      <c r="F11" s="56"/>
      <c r="G11" s="56"/>
      <c r="H11" s="56"/>
      <c r="I11" s="56"/>
      <c r="J11" s="56"/>
      <c r="K11" s="56"/>
      <c r="L11" s="56"/>
      <c r="M11" s="56"/>
      <c r="P11" t="s">
        <v>124</v>
      </c>
    </row>
    <row r="12" spans="1:16" ht="15" x14ac:dyDescent="0.25">
      <c r="A12" s="11" t="s">
        <v>9</v>
      </c>
      <c r="B12" s="69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5"/>
      <c r="D12" s="56"/>
      <c r="E12" s="56"/>
      <c r="F12" s="56"/>
      <c r="G12" s="56"/>
      <c r="H12" s="56"/>
      <c r="I12" s="56"/>
      <c r="J12" s="56"/>
      <c r="K12" s="56"/>
      <c r="L12" s="56"/>
      <c r="M12" s="56"/>
      <c r="P12" t="s">
        <v>130</v>
      </c>
    </row>
    <row r="13" spans="1:16" ht="15" x14ac:dyDescent="0.25">
      <c r="A13" s="11" t="s">
        <v>10</v>
      </c>
      <c r="B13" s="69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21201.550000000003</v>
      </c>
      <c r="C13" s="65"/>
      <c r="D13" s="56"/>
      <c r="E13" s="56"/>
      <c r="F13" s="56"/>
      <c r="G13" s="56"/>
      <c r="H13" s="56"/>
      <c r="I13" s="56"/>
      <c r="J13" s="56"/>
      <c r="K13" s="55" t="s">
        <v>142</v>
      </c>
      <c r="L13" s="55"/>
      <c r="M13" s="55"/>
      <c r="P13" t="s">
        <v>131</v>
      </c>
    </row>
    <row r="14" spans="1:16" ht="15.75" x14ac:dyDescent="0.25">
      <c r="A14" s="10" t="s">
        <v>11</v>
      </c>
      <c r="B14" s="57">
        <f ca="1">SUM(B9:B13)</f>
        <v>74762.100000000006</v>
      </c>
      <c r="C14" s="65"/>
      <c r="D14" s="56"/>
      <c r="E14" s="56"/>
      <c r="F14" s="56"/>
      <c r="G14" s="56"/>
      <c r="H14" s="56"/>
      <c r="I14" s="56"/>
      <c r="J14" s="56"/>
      <c r="K14" s="56"/>
      <c r="L14" s="56"/>
      <c r="M14" s="56"/>
      <c r="P14" t="s">
        <v>127</v>
      </c>
    </row>
    <row r="15" spans="1:16" ht="15" x14ac:dyDescent="0.25">
      <c r="A15" s="2"/>
      <c r="B15" s="70"/>
      <c r="C15" s="65"/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spans="1:16" ht="15" x14ac:dyDescent="0.25">
      <c r="A16" s="93" t="s">
        <v>12</v>
      </c>
      <c r="B16" s="95"/>
      <c r="C16" s="75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13" ht="15" x14ac:dyDescent="0.25">
      <c r="A17" s="11">
        <f>COUNT(#REF!)</f>
        <v>0</v>
      </c>
      <c r="B17" s="29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10673</v>
      </c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5.75" x14ac:dyDescent="0.25">
      <c r="A18" s="10" t="s">
        <v>11</v>
      </c>
      <c r="B18" s="57">
        <f>SUM(B17:B17)</f>
        <v>10673</v>
      </c>
      <c r="C18" s="74"/>
      <c r="D18" s="56"/>
      <c r="E18" s="56"/>
      <c r="F18" s="56"/>
      <c r="G18" s="56"/>
      <c r="H18" s="56"/>
      <c r="I18" s="56"/>
      <c r="J18" s="56"/>
      <c r="K18" s="56"/>
      <c r="L18" s="56"/>
      <c r="M18" s="56"/>
    </row>
    <row r="19" spans="1:13" ht="13.5" x14ac:dyDescent="0.25">
      <c r="B19" s="64"/>
      <c r="C19" s="65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spans="1:13" ht="13.5" x14ac:dyDescent="0.25">
      <c r="B20" s="76"/>
      <c r="C20" s="75"/>
      <c r="D20" s="56"/>
      <c r="E20" s="56"/>
      <c r="F20" s="56"/>
      <c r="G20" s="56"/>
      <c r="H20" s="56"/>
      <c r="I20" s="56"/>
      <c r="J20" s="56"/>
      <c r="K20" s="56"/>
      <c r="L20" s="56"/>
      <c r="M20" s="56"/>
    </row>
    <row r="21" spans="1:13" ht="13.5" x14ac:dyDescent="0.25">
      <c r="B21" s="55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</row>
    <row r="22" spans="1:13" ht="13.5" x14ac:dyDescent="0.25">
      <c r="B22" s="55"/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13" ht="13.5" x14ac:dyDescent="0.25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</row>
    <row r="24" spans="1:13" ht="13.5" x14ac:dyDescent="0.25">
      <c r="B24" s="56"/>
      <c r="C24" s="56"/>
      <c r="D24" s="56"/>
      <c r="E24" s="64" t="s">
        <v>139</v>
      </c>
      <c r="F24" s="55"/>
      <c r="G24" s="55"/>
      <c r="H24" s="55"/>
      <c r="I24" s="65"/>
      <c r="J24" s="56"/>
      <c r="K24" s="56"/>
      <c r="L24" s="56"/>
      <c r="M24" s="56"/>
    </row>
    <row r="25" spans="1:13" ht="13.5" x14ac:dyDescent="0.25">
      <c r="B25" s="56"/>
      <c r="C25" s="56"/>
      <c r="D25" s="56"/>
      <c r="E25" s="63"/>
      <c r="F25" s="56"/>
      <c r="G25" s="56"/>
      <c r="H25" s="56"/>
      <c r="I25" s="66"/>
      <c r="J25" s="56"/>
      <c r="K25" s="56"/>
      <c r="L25" s="56"/>
      <c r="M25" s="56"/>
    </row>
    <row r="26" spans="1:13" ht="13.5" x14ac:dyDescent="0.25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</row>
    <row r="27" spans="1:13" ht="13.5" x14ac:dyDescent="0.25"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</row>
    <row r="28" spans="1:13" ht="13.5" x14ac:dyDescent="0.25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</row>
    <row r="29" spans="1:13" ht="13.5" x14ac:dyDescent="0.25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</row>
    <row r="30" spans="1:13" ht="13.5" x14ac:dyDescent="0.25"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</row>
    <row r="31" spans="1:13" ht="13.5" x14ac:dyDescent="0.25"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</row>
    <row r="32" spans="1:13" ht="13.5" x14ac:dyDescent="0.25"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</row>
    <row r="33" spans="2:13" ht="13.5" x14ac:dyDescent="0.25">
      <c r="B33" s="56"/>
      <c r="C33" s="56"/>
      <c r="D33" s="56"/>
      <c r="E33" s="64" t="s">
        <v>140</v>
      </c>
      <c r="F33" s="55"/>
      <c r="G33" s="55"/>
      <c r="H33" s="55"/>
      <c r="I33" s="65"/>
      <c r="J33" s="56"/>
      <c r="K33" s="64" t="s">
        <v>141</v>
      </c>
      <c r="L33" s="55"/>
      <c r="M33" s="65"/>
    </row>
    <row r="34" spans="2:13" ht="13.5" x14ac:dyDescent="0.25">
      <c r="B34" s="56"/>
      <c r="C34" s="56"/>
      <c r="D34" s="56"/>
      <c r="E34" s="63"/>
      <c r="F34" s="56"/>
      <c r="G34" s="56"/>
      <c r="H34" s="56"/>
      <c r="I34" s="66"/>
      <c r="J34" s="56"/>
      <c r="K34" s="67"/>
      <c r="L34" s="56"/>
      <c r="M34" s="66"/>
    </row>
    <row r="35" spans="2:13" ht="16.5" customHeight="1" x14ac:dyDescent="0.25"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66"/>
    </row>
    <row r="36" spans="2:13" ht="16.5" customHeight="1" x14ac:dyDescent="0.25"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66"/>
    </row>
    <row r="37" spans="2:13" ht="16.5" customHeight="1" x14ac:dyDescent="0.25"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66"/>
    </row>
    <row r="38" spans="2:13" ht="16.5" customHeight="1" x14ac:dyDescent="0.25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66"/>
    </row>
    <row r="39" spans="2:13" ht="16.5" customHeight="1" x14ac:dyDescent="0.25"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66"/>
    </row>
    <row r="40" spans="2:13" ht="16.5" customHeight="1" x14ac:dyDescent="0.25"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66"/>
    </row>
    <row r="41" spans="2:13" ht="16.5" customHeight="1" x14ac:dyDescent="0.25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66"/>
    </row>
    <row r="42" spans="2:13" ht="13.5" x14ac:dyDescent="0.25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spans="2:13" ht="13.5" x14ac:dyDescent="0.25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spans="2:13" ht="13.5" x14ac:dyDescent="0.25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spans="2:13" ht="13.5" x14ac:dyDescent="0.25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06"/>
  <sheetViews>
    <sheetView workbookViewId="0"/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v>45901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2009.6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3584.6</v>
      </c>
      <c r="D6" s="30"/>
      <c r="E6" s="77">
        <v>11738</v>
      </c>
      <c r="F6" s="78" t="s">
        <v>146</v>
      </c>
      <c r="G6" s="51"/>
      <c r="H6" s="39">
        <v>50</v>
      </c>
      <c r="I6" s="39"/>
      <c r="J6" s="30"/>
      <c r="K6" s="78" t="s">
        <v>148</v>
      </c>
      <c r="L6" s="91" t="s">
        <v>7</v>
      </c>
      <c r="M6" s="43">
        <v>1.69</v>
      </c>
      <c r="R6" s="1">
        <f>IF(vend1[[#This Row],[Nº Venda]]&gt;1,1,0)</f>
        <v>1</v>
      </c>
    </row>
    <row r="7" spans="2:18" ht="16.5" x14ac:dyDescent="0.3">
      <c r="B7" s="28" t="s">
        <v>3</v>
      </c>
      <c r="C7" s="29">
        <f>SUM(M6:M11)</f>
        <v>1116.69</v>
      </c>
      <c r="D7" s="30"/>
      <c r="E7" s="77">
        <v>11739</v>
      </c>
      <c r="F7" s="78" t="s">
        <v>147</v>
      </c>
      <c r="G7" s="51" t="s">
        <v>7</v>
      </c>
      <c r="H7" s="39">
        <v>400</v>
      </c>
      <c r="I7" s="39">
        <v>400</v>
      </c>
      <c r="J7" s="30"/>
      <c r="K7" s="78" t="s">
        <v>156</v>
      </c>
      <c r="L7" s="91" t="s">
        <v>6</v>
      </c>
      <c r="M7" s="43">
        <v>1115</v>
      </c>
      <c r="R7" s="1">
        <f>IF(vend1[[#This Row],[Nº Venda]]&gt;1,1,0)</f>
        <v>1</v>
      </c>
    </row>
    <row r="8" spans="2:18" ht="16.5" x14ac:dyDescent="0.3">
      <c r="B8" s="31" t="s">
        <v>21</v>
      </c>
      <c r="C8" s="32">
        <f>SUM(C6:C7)</f>
        <v>4701.29</v>
      </c>
      <c r="D8" s="30"/>
      <c r="E8" s="77">
        <v>11740</v>
      </c>
      <c r="F8" s="78" t="s">
        <v>151</v>
      </c>
      <c r="G8" s="51" t="s">
        <v>8</v>
      </c>
      <c r="H8" s="39">
        <v>650</v>
      </c>
      <c r="I8" s="39">
        <v>650</v>
      </c>
      <c r="J8" s="30"/>
      <c r="K8" s="78"/>
      <c r="L8" s="91"/>
      <c r="M8" s="43"/>
      <c r="R8" s="1">
        <f>IF(vend1[[#This Row],[Nº Venda]]&gt;1,1,0)</f>
        <v>1</v>
      </c>
    </row>
    <row r="9" spans="2:18" ht="16.5" x14ac:dyDescent="0.3">
      <c r="B9" s="27"/>
      <c r="C9" s="27"/>
      <c r="D9" s="30"/>
      <c r="E9" s="77">
        <v>11741</v>
      </c>
      <c r="F9" s="78" t="s">
        <v>152</v>
      </c>
      <c r="G9" s="51" t="s">
        <v>46</v>
      </c>
      <c r="H9" s="39">
        <v>45</v>
      </c>
      <c r="I9" s="39"/>
      <c r="J9" s="30"/>
      <c r="K9" s="78"/>
      <c r="L9" s="91"/>
      <c r="M9" s="43"/>
      <c r="R9" s="1">
        <f>IF(vend1[[#This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11742</v>
      </c>
      <c r="F10" s="78" t="s">
        <v>153</v>
      </c>
      <c r="G10" s="51" t="s">
        <v>6</v>
      </c>
      <c r="H10" s="39">
        <v>890</v>
      </c>
      <c r="I10" s="39">
        <v>890</v>
      </c>
      <c r="J10" s="30"/>
      <c r="K10" s="78"/>
      <c r="L10" s="91"/>
      <c r="M10" s="43"/>
      <c r="R10" s="1">
        <f>IF(vend1[[#This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1115</v>
      </c>
      <c r="D11" s="30"/>
      <c r="E11" s="77">
        <v>11743</v>
      </c>
      <c r="F11" s="78" t="s">
        <v>152</v>
      </c>
      <c r="G11" s="51" t="s">
        <v>8</v>
      </c>
      <c r="H11" s="39">
        <v>19.600000000000001</v>
      </c>
      <c r="I11" s="39">
        <v>19.600000000000001</v>
      </c>
      <c r="J11" s="30"/>
      <c r="K11" s="38"/>
      <c r="L11" s="91"/>
      <c r="M11" s="43"/>
      <c r="O11" s="1">
        <f>IF(C16=0,0,1)</f>
        <v>1</v>
      </c>
      <c r="R11" s="1">
        <f>IF(vend1[[#This Row],[Nº Venda]]&gt;1,1,0)</f>
        <v>1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400</v>
      </c>
      <c r="D12" s="30"/>
      <c r="E12" s="77">
        <v>11744</v>
      </c>
      <c r="F12" s="78" t="s">
        <v>153</v>
      </c>
      <c r="G12" s="51" t="s">
        <v>46</v>
      </c>
      <c r="H12" s="39"/>
      <c r="I12" s="39"/>
      <c r="J12" s="30"/>
      <c r="K12" s="33"/>
      <c r="L12" s="33"/>
      <c r="M12" s="33"/>
      <c r="R12" s="1">
        <f>IF(vend1[[#This Row],[Nº Venda]]&gt;1,1,0)</f>
        <v>1</v>
      </c>
    </row>
    <row r="13" spans="2:18" ht="16.5" x14ac:dyDescent="0.3">
      <c r="B13" s="28" t="s">
        <v>8</v>
      </c>
      <c r="C13" s="71">
        <f t="shared" si="0"/>
        <v>669.6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IF(vend1[[#This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IF(vend1[[#This Row],[Nº Venda]]&gt;1,1,0)</f>
        <v>0</v>
      </c>
    </row>
    <row r="15" spans="2:18" ht="16.5" x14ac:dyDescent="0.3">
      <c r="B15" s="28" t="s">
        <v>10</v>
      </c>
      <c r="C15" s="71">
        <f t="shared" si="0"/>
        <v>1400</v>
      </c>
      <c r="D15" s="30"/>
      <c r="E15" s="77"/>
      <c r="F15" s="78"/>
      <c r="G15" s="51"/>
      <c r="H15" s="39"/>
      <c r="I15" s="39"/>
      <c r="J15" s="30"/>
      <c r="K15" s="77">
        <v>11507</v>
      </c>
      <c r="L15" s="91" t="s">
        <v>131</v>
      </c>
      <c r="M15" s="43" t="s">
        <v>149</v>
      </c>
      <c r="R15" s="1">
        <f>IF(vend1[[#This Row],[Nº Venda]]&gt;1,1,0)</f>
        <v>0</v>
      </c>
    </row>
    <row r="16" spans="2:18" ht="16.5" x14ac:dyDescent="0.3">
      <c r="B16" s="31" t="s">
        <v>11</v>
      </c>
      <c r="C16" s="72">
        <f>SUM(C11:C15)</f>
        <v>3584.6</v>
      </c>
      <c r="D16" s="30"/>
      <c r="E16" s="77"/>
      <c r="F16" s="78"/>
      <c r="G16" s="51"/>
      <c r="H16" s="39"/>
      <c r="I16" s="39"/>
      <c r="J16" s="30"/>
      <c r="K16" s="77">
        <v>11681</v>
      </c>
      <c r="L16" s="91" t="s">
        <v>129</v>
      </c>
      <c r="M16" s="43" t="s">
        <v>149</v>
      </c>
      <c r="R16" s="1">
        <f>IF(vend1[[#This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11722</v>
      </c>
      <c r="L17" s="91" t="s">
        <v>131</v>
      </c>
      <c r="M17" s="43" t="s">
        <v>149</v>
      </c>
      <c r="R17" s="1">
        <f>IF(vend1[[#This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11589</v>
      </c>
      <c r="L18" s="91" t="s">
        <v>131</v>
      </c>
      <c r="M18" s="43" t="s">
        <v>149</v>
      </c>
      <c r="R18" s="1">
        <f>IF(vend1[[#This Row],[Nº Venda]]&gt;1,1,0)</f>
        <v>0</v>
      </c>
    </row>
    <row r="19" spans="2:18" ht="16.5" x14ac:dyDescent="0.3">
      <c r="B19" s="28">
        <f>COUNT(entr_carn1[OS])</f>
        <v>0</v>
      </c>
      <c r="C19" s="71">
        <f>SUM(entr_carn1[Valor Total])</f>
        <v>0</v>
      </c>
      <c r="D19" s="30"/>
      <c r="E19" s="77"/>
      <c r="F19" s="78"/>
      <c r="G19" s="51"/>
      <c r="H19" s="39"/>
      <c r="I19" s="39"/>
      <c r="J19" s="30"/>
      <c r="K19" s="77">
        <v>11743</v>
      </c>
      <c r="L19" s="91" t="s">
        <v>129</v>
      </c>
      <c r="M19" s="43" t="s">
        <v>149</v>
      </c>
      <c r="R19" s="1">
        <f>IF(vend1[[#This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>
        <v>11613</v>
      </c>
      <c r="L20" s="91" t="s">
        <v>129</v>
      </c>
      <c r="M20" s="43" t="s">
        <v>149</v>
      </c>
      <c r="R20" s="1">
        <f>IF(vend1[[#This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11612</v>
      </c>
      <c r="L21" s="91" t="s">
        <v>131</v>
      </c>
      <c r="M21" s="43" t="s">
        <v>149</v>
      </c>
    </row>
    <row r="22" spans="2:18" ht="16.5" x14ac:dyDescent="0.3">
      <c r="B22" s="31" t="s">
        <v>25</v>
      </c>
      <c r="C22" s="34">
        <f>C5</f>
        <v>2009.6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11507</v>
      </c>
      <c r="F26" s="78" t="s">
        <v>150</v>
      </c>
      <c r="G26" s="51" t="s">
        <v>10</v>
      </c>
      <c r="H26" s="39"/>
      <c r="I26" s="39">
        <v>1350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>
        <v>11712</v>
      </c>
      <c r="F27" s="78" t="s">
        <v>154</v>
      </c>
      <c r="G27" s="51" t="s">
        <v>6</v>
      </c>
      <c r="H27" s="39"/>
      <c r="I27" s="39">
        <v>50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>
        <v>11713</v>
      </c>
      <c r="F28" s="78" t="s">
        <v>154</v>
      </c>
      <c r="G28" s="51" t="s">
        <v>6</v>
      </c>
      <c r="H28" s="39">
        <v>50</v>
      </c>
      <c r="I28" s="39">
        <v>50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11712</v>
      </c>
      <c r="F35" s="78" t="s">
        <v>154</v>
      </c>
      <c r="G35" s="51" t="s">
        <v>6</v>
      </c>
      <c r="H35" s="39">
        <v>125</v>
      </c>
      <c r="I35" s="39" t="s">
        <v>78</v>
      </c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77">
        <v>11392</v>
      </c>
      <c r="F36" s="78" t="s">
        <v>155</v>
      </c>
      <c r="G36" s="51" t="s">
        <v>10</v>
      </c>
      <c r="H36" s="39">
        <v>50</v>
      </c>
      <c r="I36" s="39" t="s">
        <v>38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7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  <row r="406" spans="2:2" x14ac:dyDescent="0.2">
      <c r="B406" s="12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topLeftCell="A2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'01'!B1+1</f>
        <v>45902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4388.8999999999996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2014.15</v>
      </c>
      <c r="D6" s="30"/>
      <c r="E6" s="77">
        <v>11745</v>
      </c>
      <c r="F6" s="78" t="s">
        <v>157</v>
      </c>
      <c r="G6" s="50" t="s">
        <v>8</v>
      </c>
      <c r="H6" s="39">
        <v>1600</v>
      </c>
      <c r="I6" s="39">
        <v>100</v>
      </c>
      <c r="J6" s="30"/>
      <c r="K6" s="78" t="s">
        <v>156</v>
      </c>
      <c r="L6" s="91" t="s">
        <v>6</v>
      </c>
      <c r="M6" s="43">
        <v>149.5</v>
      </c>
      <c r="R6" s="1">
        <f>IF(vend2[[#This Row],[Nº Venda]]&gt;1,1,0)</f>
        <v>1</v>
      </c>
    </row>
    <row r="7" spans="2:18" ht="16.5" x14ac:dyDescent="0.3">
      <c r="B7" s="28" t="s">
        <v>3</v>
      </c>
      <c r="C7" s="29">
        <f>SUM(M6:M11)</f>
        <v>149.5</v>
      </c>
      <c r="D7" s="30"/>
      <c r="E7" s="77">
        <v>11746</v>
      </c>
      <c r="F7" s="78" t="s">
        <v>158</v>
      </c>
      <c r="G7" s="50" t="s">
        <v>7</v>
      </c>
      <c r="H7" s="39">
        <v>1490</v>
      </c>
      <c r="I7" s="39">
        <v>150</v>
      </c>
      <c r="J7" s="30"/>
      <c r="K7" s="78"/>
      <c r="L7" s="91"/>
      <c r="M7" s="43"/>
      <c r="R7" s="1">
        <f>IF(vend2[[#This Row],[Nº Venda]]&gt;1,1,0)</f>
        <v>1</v>
      </c>
    </row>
    <row r="8" spans="2:18" ht="16.5" x14ac:dyDescent="0.3">
      <c r="B8" s="31" t="s">
        <v>21</v>
      </c>
      <c r="C8" s="32">
        <f>SUM(C6:C7)</f>
        <v>2163.65</v>
      </c>
      <c r="D8" s="30"/>
      <c r="E8" s="77">
        <v>11747</v>
      </c>
      <c r="F8" s="78" t="s">
        <v>159</v>
      </c>
      <c r="G8" s="51" t="s">
        <v>8</v>
      </c>
      <c r="H8" s="39">
        <v>499</v>
      </c>
      <c r="I8" s="39">
        <v>499</v>
      </c>
      <c r="J8" s="30"/>
      <c r="K8" s="78"/>
      <c r="L8" s="91"/>
      <c r="M8" s="43"/>
      <c r="R8" s="1">
        <f>IF(vend2[[#This Row],[Nº Venda]]&gt;1,1,0)</f>
        <v>1</v>
      </c>
    </row>
    <row r="9" spans="2:18" ht="16.5" x14ac:dyDescent="0.3">
      <c r="B9" s="27"/>
      <c r="C9" s="27"/>
      <c r="D9" s="30"/>
      <c r="E9" s="77">
        <v>11748</v>
      </c>
      <c r="F9" s="78" t="s">
        <v>159</v>
      </c>
      <c r="G9" s="51" t="s">
        <v>8</v>
      </c>
      <c r="H9" s="39">
        <v>799.9</v>
      </c>
      <c r="I9" s="39">
        <v>799.9</v>
      </c>
      <c r="J9" s="30"/>
      <c r="K9" s="78"/>
      <c r="L9" s="91"/>
      <c r="M9" s="43"/>
      <c r="R9" s="1">
        <f>IF(vend2[[#This Row],[Nº Venda]]&gt;1,1,0)</f>
        <v>1</v>
      </c>
    </row>
    <row r="10" spans="2:18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R10" s="1">
        <f>IF(vend2[[#This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149.5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1</v>
      </c>
      <c r="R11" s="1">
        <f>IF(vend2[[#This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150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IF(vend2[[#This Row],[Nº Venda]]&gt;1,1,0)</f>
        <v>0</v>
      </c>
    </row>
    <row r="13" spans="2:18" ht="16.5" x14ac:dyDescent="0.3">
      <c r="B13" s="28" t="s">
        <v>8</v>
      </c>
      <c r="C13" s="71">
        <f t="shared" si="0"/>
        <v>1398.9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IF(vend2[[#This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IF(vend2[[#This Row],[Nº Venda]]&gt;1,1,0)</f>
        <v>0</v>
      </c>
    </row>
    <row r="15" spans="2:18" ht="16.5" x14ac:dyDescent="0.3">
      <c r="B15" s="28" t="s">
        <v>10</v>
      </c>
      <c r="C15" s="71">
        <f t="shared" si="0"/>
        <v>315.75</v>
      </c>
      <c r="D15" s="30"/>
      <c r="E15" s="77"/>
      <c r="F15" s="78"/>
      <c r="G15" s="51"/>
      <c r="H15" s="39"/>
      <c r="I15" s="39"/>
      <c r="J15" s="30"/>
      <c r="K15" s="77">
        <v>11728</v>
      </c>
      <c r="L15" s="91" t="s">
        <v>131</v>
      </c>
      <c r="M15" s="43" t="s">
        <v>149</v>
      </c>
      <c r="R15" s="1">
        <f>IF(vend2[[#This Row],[Nº Venda]]&gt;1,1,0)</f>
        <v>0</v>
      </c>
    </row>
    <row r="16" spans="2:18" ht="16.5" x14ac:dyDescent="0.3">
      <c r="B16" s="31" t="s">
        <v>11</v>
      </c>
      <c r="C16" s="72">
        <f>SUM(C11:C15)</f>
        <v>2014.15</v>
      </c>
      <c r="D16" s="30"/>
      <c r="E16" s="77"/>
      <c r="F16" s="78"/>
      <c r="G16" s="51"/>
      <c r="H16" s="39"/>
      <c r="I16" s="39"/>
      <c r="J16" s="30"/>
      <c r="K16" s="77">
        <v>11404</v>
      </c>
      <c r="L16" s="91" t="s">
        <v>131</v>
      </c>
      <c r="M16" s="43" t="s">
        <v>149</v>
      </c>
      <c r="R16" s="1">
        <f>IF(vend2[[#This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11744</v>
      </c>
      <c r="L17" s="91" t="s">
        <v>131</v>
      </c>
      <c r="M17" s="43" t="s">
        <v>149</v>
      </c>
      <c r="R17" s="1">
        <f>IF(vend2[[#This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11638</v>
      </c>
      <c r="L18" s="91" t="s">
        <v>129</v>
      </c>
      <c r="M18" s="43" t="s">
        <v>149</v>
      </c>
      <c r="R18" s="1">
        <f>IF(vend2[[#This Row],[Nº Venda]]&gt;1,1,0)</f>
        <v>0</v>
      </c>
    </row>
    <row r="19" spans="2:18" ht="16.5" x14ac:dyDescent="0.3">
      <c r="B19" s="28">
        <f>COUNT(entr_carn2[OS])</f>
        <v>0</v>
      </c>
      <c r="C19" s="71">
        <f>SUM(entr_carn2[Valor Total])</f>
        <v>0</v>
      </c>
      <c r="D19" s="30"/>
      <c r="E19" s="77"/>
      <c r="F19" s="78"/>
      <c r="G19" s="51"/>
      <c r="H19" s="39"/>
      <c r="I19" s="39"/>
      <c r="J19" s="30"/>
      <c r="K19" s="77">
        <v>11541</v>
      </c>
      <c r="L19" s="91" t="s">
        <v>131</v>
      </c>
      <c r="M19" s="43" t="s">
        <v>149</v>
      </c>
      <c r="R19" s="1">
        <f>IF(vend2[[#This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>
        <v>11688</v>
      </c>
      <c r="L20" s="91" t="s">
        <v>129</v>
      </c>
      <c r="M20" s="43" t="s">
        <v>149</v>
      </c>
      <c r="R20" s="1">
        <f>IF(vend2[[#This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4388.8999999999996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11007</v>
      </c>
      <c r="F26" s="78" t="s">
        <v>160</v>
      </c>
      <c r="G26" s="51" t="s">
        <v>6</v>
      </c>
      <c r="H26" s="39"/>
      <c r="I26" s="39">
        <v>92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>
        <v>11101</v>
      </c>
      <c r="F27" s="78" t="s">
        <v>160</v>
      </c>
      <c r="G27" s="51" t="s">
        <v>6</v>
      </c>
      <c r="H27" s="39"/>
      <c r="I27" s="39">
        <v>57.5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>
        <v>10787</v>
      </c>
      <c r="F28" s="78" t="s">
        <v>161</v>
      </c>
      <c r="G28" s="51" t="s">
        <v>10</v>
      </c>
      <c r="H28" s="39"/>
      <c r="I28" s="39">
        <v>96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>
        <v>11245</v>
      </c>
      <c r="F29" s="78" t="s">
        <v>162</v>
      </c>
      <c r="G29" s="51" t="s">
        <v>10</v>
      </c>
      <c r="H29" s="39"/>
      <c r="I29" s="39">
        <v>79.849999999999994</v>
      </c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>
        <v>10915</v>
      </c>
      <c r="F30" s="51" t="s">
        <v>163</v>
      </c>
      <c r="G30" s="51" t="s">
        <v>10</v>
      </c>
      <c r="H30" s="39"/>
      <c r="I30" s="39">
        <v>139.9</v>
      </c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77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4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U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'02'!B1+1</f>
        <v>45903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2195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1625.5</v>
      </c>
      <c r="D6" s="30"/>
      <c r="E6" s="77">
        <v>11749</v>
      </c>
      <c r="F6" s="78" t="s">
        <v>166</v>
      </c>
      <c r="G6" s="50" t="s">
        <v>7</v>
      </c>
      <c r="H6" s="39">
        <v>350</v>
      </c>
      <c r="I6" s="39">
        <v>350</v>
      </c>
      <c r="J6" s="30"/>
      <c r="K6" s="78" t="s">
        <v>165</v>
      </c>
      <c r="L6" s="91" t="s">
        <v>10</v>
      </c>
      <c r="M6" s="43">
        <v>2.36</v>
      </c>
      <c r="R6" s="1">
        <f>IF(vend3[[#This Row],[Nº Venda]]&gt;1,1,0)</f>
        <v>1</v>
      </c>
    </row>
    <row r="7" spans="2:18" ht="16.5" x14ac:dyDescent="0.3">
      <c r="B7" s="28" t="s">
        <v>3</v>
      </c>
      <c r="C7" s="29">
        <f>SUM(M6:M11)</f>
        <v>497.36</v>
      </c>
      <c r="D7" s="30"/>
      <c r="E7" s="77">
        <v>11750</v>
      </c>
      <c r="F7" s="78" t="s">
        <v>167</v>
      </c>
      <c r="G7" s="51" t="s">
        <v>6</v>
      </c>
      <c r="H7" s="39">
        <v>1100</v>
      </c>
      <c r="I7" s="39">
        <v>50</v>
      </c>
      <c r="J7" s="30"/>
      <c r="K7" s="78" t="s">
        <v>156</v>
      </c>
      <c r="L7" s="91" t="s">
        <v>6</v>
      </c>
      <c r="M7" s="43">
        <v>495</v>
      </c>
      <c r="R7" s="1">
        <f>IF(vend3[[#This Row],[Nº Venda]]&gt;1,1,0)</f>
        <v>1</v>
      </c>
    </row>
    <row r="8" spans="2:18" ht="16.5" x14ac:dyDescent="0.3">
      <c r="B8" s="31" t="s">
        <v>21</v>
      </c>
      <c r="C8" s="32">
        <f>SUM(C6:C7)</f>
        <v>2122.86</v>
      </c>
      <c r="D8" s="30"/>
      <c r="E8" s="77">
        <v>11751</v>
      </c>
      <c r="F8" s="78" t="s">
        <v>168</v>
      </c>
      <c r="G8" s="51" t="s">
        <v>36</v>
      </c>
      <c r="H8" s="39">
        <v>0</v>
      </c>
      <c r="I8" s="39">
        <v>0</v>
      </c>
      <c r="J8" s="30"/>
      <c r="K8" s="78"/>
      <c r="L8" s="91"/>
      <c r="M8" s="43"/>
      <c r="R8" s="1">
        <f>IF(vend3[[#This Row],[Nº Venda]]&gt;1,1,0)</f>
        <v>1</v>
      </c>
    </row>
    <row r="9" spans="2:18" ht="16.5" x14ac:dyDescent="0.3">
      <c r="B9" s="27"/>
      <c r="C9" s="27"/>
      <c r="D9" s="30"/>
      <c r="E9" s="77"/>
      <c r="F9" s="78"/>
      <c r="G9" s="51"/>
      <c r="H9" s="39"/>
      <c r="I9" s="39"/>
      <c r="J9" s="30"/>
      <c r="K9" s="78"/>
      <c r="L9" s="91"/>
      <c r="M9" s="43"/>
      <c r="R9" s="1">
        <f>IF(vend3[[#This Row],[Nº Venda]]&gt;1,1,0)</f>
        <v>0</v>
      </c>
    </row>
    <row r="10" spans="2:18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R10" s="1">
        <f>IF(vend3[[#This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495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1</v>
      </c>
      <c r="R11" s="1">
        <f>IF(vend3[[#This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350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IF(vend3[[#This Row],[Nº Venda]]&gt;1,1,0)</f>
        <v>0</v>
      </c>
    </row>
    <row r="13" spans="2:18" ht="16.5" x14ac:dyDescent="0.3">
      <c r="B13" s="28" t="s">
        <v>8</v>
      </c>
      <c r="C13" s="71">
        <f t="shared" si="0"/>
        <v>344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IF(vend3[[#This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IF(vend3[[#This Row],[Nº Venda]]&gt;1,1,0)</f>
        <v>0</v>
      </c>
    </row>
    <row r="15" spans="2:18" ht="16.5" x14ac:dyDescent="0.3">
      <c r="B15" s="28" t="s">
        <v>10</v>
      </c>
      <c r="C15" s="71">
        <f t="shared" si="0"/>
        <v>436.5</v>
      </c>
      <c r="D15" s="30"/>
      <c r="E15" s="77"/>
      <c r="F15" s="78"/>
      <c r="G15" s="51"/>
      <c r="H15" s="39"/>
      <c r="I15" s="39"/>
      <c r="J15" s="30"/>
      <c r="K15" s="77">
        <v>11352</v>
      </c>
      <c r="L15" s="91" t="s">
        <v>129</v>
      </c>
      <c r="M15" s="43" t="s">
        <v>149</v>
      </c>
      <c r="R15" s="1">
        <f>IF(vend3[[#This Row],[Nº Venda]]&gt;1,1,0)</f>
        <v>0</v>
      </c>
    </row>
    <row r="16" spans="2:18" ht="16.5" x14ac:dyDescent="0.3">
      <c r="B16" s="31" t="s">
        <v>11</v>
      </c>
      <c r="C16" s="72">
        <f>SUM(C11:C15)</f>
        <v>1625.5</v>
      </c>
      <c r="D16" s="30"/>
      <c r="E16" s="77"/>
      <c r="F16" s="78"/>
      <c r="G16" s="51"/>
      <c r="H16" s="39"/>
      <c r="I16" s="39"/>
      <c r="J16" s="30"/>
      <c r="K16" s="77">
        <v>11696</v>
      </c>
      <c r="L16" s="91" t="s">
        <v>131</v>
      </c>
      <c r="M16" s="43" t="s">
        <v>149</v>
      </c>
      <c r="R16" s="1">
        <f>IF(vend3[[#This Row],[Nº Venda]]&gt;1,1,0)</f>
        <v>0</v>
      </c>
    </row>
    <row r="17" spans="2:21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11685</v>
      </c>
      <c r="L17" s="91" t="s">
        <v>131</v>
      </c>
      <c r="M17" s="43" t="s">
        <v>149</v>
      </c>
      <c r="R17" s="1">
        <f>IF(vend3[[#This Row],[Nº Venda]]&gt;1,1,0)</f>
        <v>0</v>
      </c>
    </row>
    <row r="18" spans="2:21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11682</v>
      </c>
      <c r="L18" s="91" t="s">
        <v>131</v>
      </c>
      <c r="M18" s="43" t="s">
        <v>149</v>
      </c>
      <c r="R18" s="1">
        <f>IF(vend3[[#This Row],[Nº Venda]]&gt;1,1,0)</f>
        <v>0</v>
      </c>
    </row>
    <row r="19" spans="2:21" ht="16.5" x14ac:dyDescent="0.3">
      <c r="B19" s="28">
        <f>COUNT(entr_carn3[OS])</f>
        <v>0</v>
      </c>
      <c r="C19" s="71">
        <f>SUM(entr_carn3[Valor Total])</f>
        <v>0</v>
      </c>
      <c r="D19" s="30"/>
      <c r="E19" s="77"/>
      <c r="F19" s="78"/>
      <c r="G19" s="51"/>
      <c r="H19" s="39"/>
      <c r="I19" s="39"/>
      <c r="J19" s="30"/>
      <c r="K19" s="77">
        <v>11741</v>
      </c>
      <c r="L19" s="91" t="s">
        <v>129</v>
      </c>
      <c r="M19" s="43" t="s">
        <v>149</v>
      </c>
      <c r="R19" s="1">
        <f>IF(vend3[[#This Row],[Nº Venda]]&gt;1,1,0)</f>
        <v>0</v>
      </c>
    </row>
    <row r="20" spans="2:21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IF(vend3[[#This Row],[Nº Venda]]&gt;1,1,0)</f>
        <v>0</v>
      </c>
    </row>
    <row r="21" spans="2:21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  <c r="U21" s="1" t="s">
        <v>54</v>
      </c>
    </row>
    <row r="22" spans="2:21" ht="16.5" x14ac:dyDescent="0.3">
      <c r="B22" s="31" t="s">
        <v>25</v>
      </c>
      <c r="C22" s="34">
        <f>C5</f>
        <v>2195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21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21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21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21" ht="16.5" x14ac:dyDescent="0.3">
      <c r="B26" s="30"/>
      <c r="C26" s="30"/>
      <c r="D26" s="30"/>
      <c r="E26" s="77">
        <v>11584</v>
      </c>
      <c r="F26" s="78" t="s">
        <v>164</v>
      </c>
      <c r="G26" s="50" t="s">
        <v>6</v>
      </c>
      <c r="H26" s="39">
        <v>700</v>
      </c>
      <c r="I26" s="39">
        <v>300</v>
      </c>
      <c r="J26" s="30"/>
      <c r="K26" s="77"/>
      <c r="L26" s="91"/>
      <c r="M26" s="43"/>
    </row>
    <row r="27" spans="2:21" ht="16.5" x14ac:dyDescent="0.3">
      <c r="B27" s="30"/>
      <c r="C27" s="30"/>
      <c r="D27" s="30"/>
      <c r="E27" s="77">
        <v>11432</v>
      </c>
      <c r="F27" s="78" t="s">
        <v>169</v>
      </c>
      <c r="G27" s="51" t="s">
        <v>6</v>
      </c>
      <c r="H27" s="39"/>
      <c r="I27" s="39">
        <v>100</v>
      </c>
      <c r="J27" s="30"/>
      <c r="K27" s="77"/>
      <c r="L27" s="91"/>
      <c r="M27" s="43"/>
    </row>
    <row r="28" spans="2:21" ht="16.5" x14ac:dyDescent="0.3">
      <c r="B28" s="30"/>
      <c r="C28" s="30"/>
      <c r="D28" s="30"/>
      <c r="E28" s="77">
        <v>11352</v>
      </c>
      <c r="F28" s="78" t="s">
        <v>170</v>
      </c>
      <c r="G28" s="51" t="s">
        <v>8</v>
      </c>
      <c r="H28" s="39"/>
      <c r="I28" s="39">
        <v>344</v>
      </c>
      <c r="J28" s="30"/>
      <c r="K28" s="77"/>
      <c r="L28" s="91"/>
      <c r="M28" s="43"/>
    </row>
    <row r="29" spans="2:21" ht="16.5" x14ac:dyDescent="0.3">
      <c r="B29" s="30"/>
      <c r="C29" s="30"/>
      <c r="D29" s="30"/>
      <c r="E29" s="77">
        <v>11741</v>
      </c>
      <c r="F29" s="78" t="s">
        <v>152</v>
      </c>
      <c r="G29" s="51" t="s">
        <v>6</v>
      </c>
      <c r="H29" s="39">
        <v>45</v>
      </c>
      <c r="I29" s="39">
        <v>45</v>
      </c>
      <c r="J29" s="30"/>
      <c r="K29" s="77"/>
      <c r="L29" s="91"/>
      <c r="M29" s="43"/>
    </row>
    <row r="30" spans="2:21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21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21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11254</v>
      </c>
      <c r="F35" s="78" t="s">
        <v>171</v>
      </c>
      <c r="G35" s="51" t="s">
        <v>10</v>
      </c>
      <c r="H35" s="39">
        <v>252</v>
      </c>
      <c r="I35" s="39" t="s">
        <v>79</v>
      </c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77">
        <v>10942</v>
      </c>
      <c r="F36" s="78" t="s">
        <v>172</v>
      </c>
      <c r="G36" s="51" t="s">
        <v>10</v>
      </c>
      <c r="H36" s="39">
        <v>60</v>
      </c>
      <c r="I36" s="39" t="s">
        <v>75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>
        <v>10832</v>
      </c>
      <c r="F37" s="78" t="s">
        <v>173</v>
      </c>
      <c r="G37" s="51" t="s">
        <v>10</v>
      </c>
      <c r="H37" s="39">
        <v>30</v>
      </c>
      <c r="I37" s="39" t="s">
        <v>69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>
        <v>7596</v>
      </c>
      <c r="F38" s="78" t="s">
        <v>174</v>
      </c>
      <c r="G38" s="51" t="s">
        <v>10</v>
      </c>
      <c r="H38" s="39">
        <v>94.5</v>
      </c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3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A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1:18" ht="28.5" x14ac:dyDescent="0.45">
      <c r="A1" s="1">
        <v>1909</v>
      </c>
      <c r="B1" s="98">
        <f>'03'!B1+1</f>
        <v>45904</v>
      </c>
      <c r="C1" s="98"/>
      <c r="L1" s="99" t="s">
        <v>144</v>
      </c>
      <c r="M1" s="99"/>
    </row>
    <row r="2" spans="1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1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1:18" ht="16.5" x14ac:dyDescent="0.3">
      <c r="B5" s="28" t="s">
        <v>1</v>
      </c>
      <c r="C5" s="29">
        <f>SUMIF(I6:I31,"&gt;0",H6:H31)</f>
        <v>1909.9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1:18" ht="16.5" x14ac:dyDescent="0.3">
      <c r="B6" s="28" t="s">
        <v>2</v>
      </c>
      <c r="C6" s="29">
        <f>C16</f>
        <v>2539.4700000000003</v>
      </c>
      <c r="D6" s="30"/>
      <c r="E6" s="77">
        <v>11752</v>
      </c>
      <c r="F6" s="78" t="s">
        <v>179</v>
      </c>
      <c r="G6" s="50" t="s">
        <v>8</v>
      </c>
      <c r="H6" s="39">
        <v>59.9</v>
      </c>
      <c r="I6" s="39">
        <v>59.9</v>
      </c>
      <c r="J6" s="30"/>
      <c r="K6" s="78" t="s">
        <v>148</v>
      </c>
      <c r="L6" s="91" t="s">
        <v>10</v>
      </c>
      <c r="M6" s="43">
        <v>2.61</v>
      </c>
      <c r="R6" s="1">
        <f>IF(vend4[[#This Row],[Nº Venda]]&gt;1,1,0)</f>
        <v>1</v>
      </c>
    </row>
    <row r="7" spans="1:18" ht="16.5" x14ac:dyDescent="0.3">
      <c r="B7" s="28" t="s">
        <v>3</v>
      </c>
      <c r="C7" s="29">
        <f>SUM(M6:M11)</f>
        <v>117.61</v>
      </c>
      <c r="D7" s="30"/>
      <c r="E7" s="77">
        <v>11753</v>
      </c>
      <c r="F7" s="78" t="s">
        <v>180</v>
      </c>
      <c r="G7" s="50" t="s">
        <v>36</v>
      </c>
      <c r="H7" s="39"/>
      <c r="I7" s="39"/>
      <c r="J7" s="30"/>
      <c r="K7" s="78" t="s">
        <v>203</v>
      </c>
      <c r="L7" s="91" t="s">
        <v>204</v>
      </c>
      <c r="M7" s="43">
        <v>115</v>
      </c>
      <c r="R7" s="1">
        <f>IF(vend4[[#This Row],[Nº Venda]]&gt;1,1,0)</f>
        <v>1</v>
      </c>
    </row>
    <row r="8" spans="1:18" ht="16.5" x14ac:dyDescent="0.3">
      <c r="B8" s="31" t="s">
        <v>21</v>
      </c>
      <c r="C8" s="32">
        <f>SUM(C6:C7)</f>
        <v>2657.0800000000004</v>
      </c>
      <c r="D8" s="30"/>
      <c r="E8" s="77">
        <v>11754</v>
      </c>
      <c r="F8" s="78" t="s">
        <v>181</v>
      </c>
      <c r="G8" s="50" t="s">
        <v>7</v>
      </c>
      <c r="H8" s="39">
        <v>1450</v>
      </c>
      <c r="I8" s="39">
        <v>500</v>
      </c>
      <c r="J8" s="30"/>
      <c r="K8" s="78"/>
      <c r="L8" s="91"/>
      <c r="M8" s="43"/>
      <c r="R8" s="1">
        <f>IF(vend4[[#This Row],[Nº Venda]]&gt;1,1,0)</f>
        <v>1</v>
      </c>
    </row>
    <row r="9" spans="1:18" ht="16.5" x14ac:dyDescent="0.3">
      <c r="B9" s="27"/>
      <c r="C9" s="27"/>
      <c r="D9" s="30"/>
      <c r="E9" s="77">
        <v>11754</v>
      </c>
      <c r="F9" s="78" t="s">
        <v>181</v>
      </c>
      <c r="G9" s="50" t="s">
        <v>8</v>
      </c>
      <c r="H9" s="39"/>
      <c r="I9" s="39">
        <v>950</v>
      </c>
      <c r="J9" s="30"/>
      <c r="K9" s="78"/>
      <c r="L9" s="91"/>
      <c r="M9" s="43"/>
      <c r="R9" s="1">
        <f>IF(vend4[[#This Row],[Nº Venda]]&gt;1,1,0)</f>
        <v>1</v>
      </c>
    </row>
    <row r="10" spans="1:18" ht="16.5" x14ac:dyDescent="0.3">
      <c r="B10" s="109" t="s">
        <v>5</v>
      </c>
      <c r="C10" s="110"/>
      <c r="D10" s="30"/>
      <c r="E10" s="77">
        <v>11755</v>
      </c>
      <c r="F10" s="78" t="s">
        <v>181</v>
      </c>
      <c r="G10" s="51" t="s">
        <v>7</v>
      </c>
      <c r="H10" s="39">
        <v>400</v>
      </c>
      <c r="I10" s="39">
        <v>200</v>
      </c>
      <c r="J10" s="30"/>
      <c r="K10" s="78"/>
      <c r="L10" s="91"/>
      <c r="M10" s="43"/>
      <c r="R10" s="1">
        <f>IF(vend4[[#This Row],[Nº Venda]]&gt;1,1,0)</f>
        <v>1</v>
      </c>
    </row>
    <row r="11" spans="1:18" ht="16.5" x14ac:dyDescent="0.3">
      <c r="B11" s="28" t="s">
        <v>6</v>
      </c>
      <c r="C11" s="71">
        <f>(SUMIF($G$2:$G$31,B11,$I$2:$I$31))+(SUMIF($G$35:$G$41,B11,$H$35:$H$41))</f>
        <v>115</v>
      </c>
      <c r="D11" s="30"/>
      <c r="E11" s="77">
        <v>11755</v>
      </c>
      <c r="F11" s="78" t="s">
        <v>181</v>
      </c>
      <c r="G11" s="51" t="s">
        <v>8</v>
      </c>
      <c r="H11" s="39"/>
      <c r="I11" s="39">
        <v>200</v>
      </c>
      <c r="J11" s="30"/>
      <c r="K11" s="38"/>
      <c r="L11" s="91"/>
      <c r="M11" s="43"/>
      <c r="O11" s="1">
        <f>IF(C16=0,0,1)</f>
        <v>1</v>
      </c>
      <c r="R11" s="1">
        <f>IF(vend4[[#This Row],[Nº Venda]]&gt;1,1,0)</f>
        <v>1</v>
      </c>
    </row>
    <row r="12" spans="1:18" ht="16.5" x14ac:dyDescent="0.3">
      <c r="B12" s="28" t="s">
        <v>7</v>
      </c>
      <c r="C12" s="71">
        <f t="shared" ref="C12:C15" si="0">(SUMIF($G$2:$G$31,B12,$I$2:$I$31))+(SUMIF($G$35:$G$41,B12,$H$35:$H$41))</f>
        <v>700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IF(vend4[[#This Row],[Nº Venda]]&gt;1,1,0)</f>
        <v>0</v>
      </c>
    </row>
    <row r="13" spans="1:18" ht="16.5" x14ac:dyDescent="0.3">
      <c r="B13" s="28" t="s">
        <v>8</v>
      </c>
      <c r="C13" s="71">
        <f t="shared" si="0"/>
        <v>1209.9000000000001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IF(vend4[[#This Row],[Nº Venda]]&gt;1,1,0)</f>
        <v>0</v>
      </c>
    </row>
    <row r="14" spans="1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IF(vend4[[#This Row],[Nº Venda]]&gt;1,1,0)</f>
        <v>0</v>
      </c>
    </row>
    <row r="15" spans="1:18" ht="16.5" x14ac:dyDescent="0.3">
      <c r="B15" s="28" t="s">
        <v>10</v>
      </c>
      <c r="C15" s="71">
        <f t="shared" si="0"/>
        <v>514.56999999999994</v>
      </c>
      <c r="D15" s="30"/>
      <c r="E15" s="77"/>
      <c r="F15" s="78"/>
      <c r="G15" s="51"/>
      <c r="H15" s="39"/>
      <c r="I15" s="39"/>
      <c r="J15" s="30"/>
      <c r="K15" s="77">
        <v>11753</v>
      </c>
      <c r="L15" s="91" t="s">
        <v>131</v>
      </c>
      <c r="M15" s="43" t="s">
        <v>149</v>
      </c>
      <c r="R15" s="1">
        <f>IF(vend4[[#This Row],[Nº Venda]]&gt;1,1,0)</f>
        <v>0</v>
      </c>
    </row>
    <row r="16" spans="1:18" ht="16.5" x14ac:dyDescent="0.3">
      <c r="B16" s="31" t="s">
        <v>11</v>
      </c>
      <c r="C16" s="72">
        <f>SUM(C11:C15)</f>
        <v>2539.4700000000003</v>
      </c>
      <c r="D16" s="30"/>
      <c r="E16" s="77"/>
      <c r="F16" s="78"/>
      <c r="G16" s="51"/>
      <c r="H16" s="39"/>
      <c r="I16" s="39"/>
      <c r="J16" s="30"/>
      <c r="K16" s="77">
        <v>11752</v>
      </c>
      <c r="L16" s="91" t="s">
        <v>131</v>
      </c>
      <c r="M16" s="43" t="s">
        <v>149</v>
      </c>
      <c r="R16" s="1">
        <f>IF(vend4[[#This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/>
      <c r="L17" s="91"/>
      <c r="M17" s="43"/>
      <c r="R17" s="1">
        <f>IF(vend4[[#This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/>
      <c r="L18" s="91"/>
      <c r="M18" s="43"/>
      <c r="R18" s="1">
        <f>IF(vend4[[#This Row],[Nº Venda]]&gt;1,1,0)</f>
        <v>0</v>
      </c>
    </row>
    <row r="19" spans="2:18" ht="16.5" x14ac:dyDescent="0.3">
      <c r="B19" s="28">
        <f>COUNT(entr_carn4[OS])</f>
        <v>0</v>
      </c>
      <c r="C19" s="71">
        <f>SUM(entr_carn4[Valor Total])</f>
        <v>0</v>
      </c>
      <c r="D19" s="30"/>
      <c r="E19" s="77"/>
      <c r="F19" s="78"/>
      <c r="G19" s="51"/>
      <c r="H19" s="39"/>
      <c r="I19" s="39"/>
      <c r="J19" s="30"/>
      <c r="K19" s="77"/>
      <c r="L19" s="91"/>
      <c r="M19" s="43"/>
      <c r="R19" s="1">
        <f>IF(vend4[[#This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IF(vend4[[#This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1909.9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11494</v>
      </c>
      <c r="F26" s="78" t="s">
        <v>175</v>
      </c>
      <c r="G26" s="50" t="s">
        <v>10</v>
      </c>
      <c r="H26" s="39"/>
      <c r="I26" s="39">
        <v>200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/>
      <c r="F27" s="78"/>
      <c r="G27" s="50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0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10337</v>
      </c>
      <c r="F35" s="78" t="s">
        <v>176</v>
      </c>
      <c r="G35" s="51" t="s">
        <v>10</v>
      </c>
      <c r="H35" s="39">
        <v>136.12</v>
      </c>
      <c r="I35" s="39" t="s">
        <v>39</v>
      </c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77">
        <v>10985</v>
      </c>
      <c r="F36" s="78" t="s">
        <v>177</v>
      </c>
      <c r="G36" s="51" t="s">
        <v>10</v>
      </c>
      <c r="H36" s="39">
        <v>178.45</v>
      </c>
      <c r="I36" s="39" t="s">
        <v>51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>
        <v>11251</v>
      </c>
      <c r="F37" s="78" t="s">
        <v>178</v>
      </c>
      <c r="G37" s="51" t="s">
        <v>6</v>
      </c>
      <c r="H37" s="39">
        <v>115</v>
      </c>
      <c r="I37" s="39" t="s">
        <v>45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6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55"/>
  <sheetViews>
    <sheetView workbookViewId="0">
      <selection activeCell="F45" sqref="F45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6.285156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'04'!B1+1</f>
        <v>45905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SUMIF(I6:I33,"&gt;0",H6:H33)</f>
        <v>899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4139.01</v>
      </c>
      <c r="D6" s="30"/>
      <c r="E6" s="77">
        <v>11756</v>
      </c>
      <c r="F6" s="78" t="s">
        <v>182</v>
      </c>
      <c r="G6" s="50" t="s">
        <v>36</v>
      </c>
      <c r="H6" s="39"/>
      <c r="I6" s="39"/>
      <c r="J6" s="30"/>
      <c r="K6" s="78" t="s">
        <v>194</v>
      </c>
      <c r="L6" s="91" t="s">
        <v>6</v>
      </c>
      <c r="M6" s="43">
        <v>10.99</v>
      </c>
      <c r="R6" s="1">
        <f>IF(vend5[[#This Row],[Nº Venda]]&gt;1,1,0)</f>
        <v>1</v>
      </c>
    </row>
    <row r="7" spans="2:18" ht="16.5" x14ac:dyDescent="0.3">
      <c r="B7" s="28" t="s">
        <v>3</v>
      </c>
      <c r="C7" s="29">
        <f>SUM(M6:M11)</f>
        <v>285.63</v>
      </c>
      <c r="D7" s="30"/>
      <c r="E7" s="77">
        <v>11757</v>
      </c>
      <c r="F7" s="78" t="s">
        <v>183</v>
      </c>
      <c r="G7" s="50" t="s">
        <v>8</v>
      </c>
      <c r="H7" s="39">
        <v>130</v>
      </c>
      <c r="I7" s="39">
        <v>130</v>
      </c>
      <c r="J7" s="30"/>
      <c r="K7" s="78" t="s">
        <v>148</v>
      </c>
      <c r="L7" s="91" t="s">
        <v>10</v>
      </c>
      <c r="M7" s="43">
        <v>2.64</v>
      </c>
      <c r="R7" s="1">
        <f>IF(vend5[[#This Row],[Nº Venda]]&gt;1,1,0)</f>
        <v>1</v>
      </c>
    </row>
    <row r="8" spans="2:18" ht="16.5" x14ac:dyDescent="0.3">
      <c r="B8" s="31" t="s">
        <v>21</v>
      </c>
      <c r="C8" s="32">
        <f>SUM(C6:C7)</f>
        <v>4424.6400000000003</v>
      </c>
      <c r="D8" s="30"/>
      <c r="E8" s="77">
        <v>11758</v>
      </c>
      <c r="F8" s="78" t="s">
        <v>192</v>
      </c>
      <c r="G8" s="50" t="s">
        <v>7</v>
      </c>
      <c r="H8" s="39">
        <v>80</v>
      </c>
      <c r="I8" s="39">
        <v>80</v>
      </c>
      <c r="J8" s="30"/>
      <c r="K8" s="78" t="s">
        <v>203</v>
      </c>
      <c r="L8" s="91" t="s">
        <v>204</v>
      </c>
      <c r="M8" s="43">
        <v>272</v>
      </c>
      <c r="R8" s="1">
        <f>IF(vend5[[#This Row],[Nº Venda]]&gt;1,1,0)</f>
        <v>1</v>
      </c>
    </row>
    <row r="9" spans="2:18" ht="16.5" x14ac:dyDescent="0.3">
      <c r="B9" s="27"/>
      <c r="C9" s="27"/>
      <c r="D9" s="30"/>
      <c r="E9" s="77">
        <v>11759</v>
      </c>
      <c r="F9" s="78" t="s">
        <v>193</v>
      </c>
      <c r="G9" s="50" t="s">
        <v>10</v>
      </c>
      <c r="H9" s="39">
        <v>110</v>
      </c>
      <c r="I9" s="39">
        <v>110</v>
      </c>
      <c r="J9" s="30"/>
      <c r="K9" s="78"/>
      <c r="L9" s="91"/>
      <c r="M9" s="43"/>
      <c r="R9" s="1">
        <f>IF(vend5[[#This Row],[Nº Venda]]&gt;1,1,0)</f>
        <v>1</v>
      </c>
    </row>
    <row r="10" spans="2:18" ht="16.5" x14ac:dyDescent="0.3">
      <c r="B10" s="109" t="s">
        <v>5</v>
      </c>
      <c r="C10" s="110"/>
      <c r="D10" s="30"/>
      <c r="E10" s="77"/>
      <c r="F10" s="78"/>
      <c r="G10" s="50"/>
      <c r="H10" s="39"/>
      <c r="I10" s="39"/>
      <c r="J10" s="30"/>
      <c r="K10" s="78"/>
      <c r="L10" s="91"/>
      <c r="M10" s="43"/>
      <c r="R10" s="1">
        <f>IF(vend5[[#This Row],[Nº Venda]]&gt;1,1,0)</f>
        <v>0</v>
      </c>
    </row>
    <row r="11" spans="2:18" ht="16.5" x14ac:dyDescent="0.3">
      <c r="B11" s="28" t="s">
        <v>6</v>
      </c>
      <c r="C11" s="71">
        <f>(SUMIF($G$2:$G$33,B11,$I$2:$I$33))+(SUMIF($G$37:$G$51,B11,$H$37:$H$51))</f>
        <v>272.64</v>
      </c>
      <c r="D11" s="30"/>
      <c r="E11" s="77"/>
      <c r="F11" s="78"/>
      <c r="G11" s="50"/>
      <c r="H11" s="39"/>
      <c r="I11" s="39"/>
      <c r="J11" s="30"/>
      <c r="K11" s="38"/>
      <c r="L11" s="91"/>
      <c r="M11" s="43"/>
      <c r="O11" s="1">
        <f>IF(C16=0,0,1)</f>
        <v>1</v>
      </c>
      <c r="R11" s="1">
        <f>IF(vend5[[#This Row],[Nº Venda]]&gt;1,1,0)</f>
        <v>0</v>
      </c>
    </row>
    <row r="12" spans="2:18" ht="16.5" x14ac:dyDescent="0.3">
      <c r="B12" s="28" t="s">
        <v>7</v>
      </c>
      <c r="C12" s="71">
        <f>(SUMIF($G$2:$G$33,B12,$I$2:$I$33))+(SUMIF($G$37:$G$51,B12,$H$37:$H$51))</f>
        <v>394.28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IF(vend5[[#This Row],[Nº Venda]]&gt;1,1,0)</f>
        <v>0</v>
      </c>
    </row>
    <row r="13" spans="2:18" ht="16.5" x14ac:dyDescent="0.3">
      <c r="B13" s="28" t="s">
        <v>8</v>
      </c>
      <c r="C13" s="71">
        <f>(SUMIF($G$2:$G$33,B13,$I$2:$I$33))+(SUMIF($G$37:$G$51,B13,$H$37:$H$51))</f>
        <v>929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IF(vend5[[#This Row],[Nº Venda]]&gt;1,1,0)</f>
        <v>0</v>
      </c>
    </row>
    <row r="14" spans="2:18" ht="16.5" x14ac:dyDescent="0.3">
      <c r="B14" s="28" t="s">
        <v>9</v>
      </c>
      <c r="C14" s="71">
        <f>(SUMIF($G$2:$G$33,B14,$I$2:$I$33))+(SUMIF($G$37:$G$51,B14,$H$37:$H$51))</f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IF(vend5[[#This Row],[Nº Venda]]&gt;1,1,0)</f>
        <v>0</v>
      </c>
    </row>
    <row r="15" spans="2:18" ht="16.5" x14ac:dyDescent="0.3">
      <c r="B15" s="28" t="s">
        <v>10</v>
      </c>
      <c r="C15" s="71">
        <f>(SUMIF($G$2:$G$33,B15,$I$2:$I$33))+(SUMIF($G$37:$G$51,B15,$H$37:$H$51))</f>
        <v>2543.09</v>
      </c>
      <c r="D15" s="30"/>
      <c r="E15" s="77"/>
      <c r="F15" s="78"/>
      <c r="G15" s="51"/>
      <c r="H15" s="39"/>
      <c r="I15" s="39"/>
      <c r="J15" s="30"/>
      <c r="K15" s="77">
        <v>11615</v>
      </c>
      <c r="L15" s="91" t="s">
        <v>129</v>
      </c>
      <c r="M15" s="54" t="s">
        <v>195</v>
      </c>
      <c r="N15" s="6"/>
      <c r="R15" s="1">
        <f>IF(vend5[[#This Row],[Nº Venda]]&gt;1,1,0)</f>
        <v>0</v>
      </c>
    </row>
    <row r="16" spans="2:18" ht="16.5" x14ac:dyDescent="0.3">
      <c r="B16" s="31" t="s">
        <v>11</v>
      </c>
      <c r="C16" s="72">
        <f>SUM(C11:C15)</f>
        <v>4139.01</v>
      </c>
      <c r="D16" s="30"/>
      <c r="E16" s="77"/>
      <c r="F16" s="78"/>
      <c r="G16" s="51"/>
      <c r="H16" s="39"/>
      <c r="I16" s="39"/>
      <c r="J16" s="30"/>
      <c r="K16" s="77">
        <v>11606</v>
      </c>
      <c r="L16" s="91" t="s">
        <v>129</v>
      </c>
      <c r="M16" s="43" t="s">
        <v>195</v>
      </c>
      <c r="N16" s="6"/>
      <c r="R16" s="1">
        <f>IF(vend5[[#This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11665</v>
      </c>
      <c r="L17" s="91" t="s">
        <v>131</v>
      </c>
      <c r="M17" s="43" t="s">
        <v>149</v>
      </c>
      <c r="R17" s="1">
        <f>IF(vend5[[#This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11755</v>
      </c>
      <c r="L18" s="91" t="s">
        <v>129</v>
      </c>
      <c r="M18" s="43" t="s">
        <v>149</v>
      </c>
      <c r="R18" s="1">
        <f>IF(vend5[[#This Row],[Nº Venda]]&gt;1,1,0)</f>
        <v>0</v>
      </c>
    </row>
    <row r="19" spans="2:18" ht="16.5" x14ac:dyDescent="0.3">
      <c r="B19" s="28">
        <f>COUNT(entr_carn5[OS])</f>
        <v>2</v>
      </c>
      <c r="C19" s="71">
        <f>SUM(entr_carn5[Valor Total])</f>
        <v>625</v>
      </c>
      <c r="D19" s="30"/>
      <c r="E19" s="77"/>
      <c r="F19" s="78"/>
      <c r="G19" s="51"/>
      <c r="H19" s="39"/>
      <c r="I19" s="39"/>
      <c r="J19" s="30"/>
      <c r="K19" s="77">
        <v>11758</v>
      </c>
      <c r="L19" s="91" t="s">
        <v>129</v>
      </c>
      <c r="M19" s="43" t="s">
        <v>149</v>
      </c>
      <c r="R19" s="1">
        <f>IF(vend5[[#This Row],[Nº Venda]]&gt;1,1,0)</f>
        <v>0</v>
      </c>
    </row>
    <row r="20" spans="2:18" ht="16.5" x14ac:dyDescent="0.3">
      <c r="B20" s="31" t="s">
        <v>11</v>
      </c>
      <c r="C20" s="72">
        <f>SUM(C19:C19)</f>
        <v>625</v>
      </c>
      <c r="D20" s="30"/>
      <c r="E20" s="77"/>
      <c r="F20" s="51"/>
      <c r="G20" s="51"/>
      <c r="H20" s="39"/>
      <c r="I20" s="39"/>
      <c r="J20" s="30"/>
      <c r="K20" s="77">
        <v>11718</v>
      </c>
      <c r="L20" s="91" t="s">
        <v>131</v>
      </c>
      <c r="M20" s="43" t="s">
        <v>149</v>
      </c>
      <c r="R20" s="1">
        <f>IF(vend5[[#This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11676</v>
      </c>
      <c r="L21" s="91" t="s">
        <v>129</v>
      </c>
      <c r="M21" s="43" t="s">
        <v>149</v>
      </c>
    </row>
    <row r="22" spans="2:18" ht="16.5" x14ac:dyDescent="0.3">
      <c r="B22" s="31" t="s">
        <v>25</v>
      </c>
      <c r="C22" s="34">
        <f>C5</f>
        <v>899</v>
      </c>
      <c r="D22" s="30"/>
      <c r="E22" s="79"/>
      <c r="F22" s="78"/>
      <c r="G22" s="51"/>
      <c r="H22" s="39"/>
      <c r="I22" s="39"/>
      <c r="J22" s="30"/>
      <c r="K22" s="77">
        <v>11720</v>
      </c>
      <c r="L22" s="91" t="s">
        <v>131</v>
      </c>
      <c r="M22" s="43" t="s">
        <v>149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>
        <v>11717</v>
      </c>
      <c r="L23" s="91" t="s">
        <v>131</v>
      </c>
      <c r="M23" s="43" t="s">
        <v>149</v>
      </c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11568</v>
      </c>
      <c r="F26" s="78" t="s">
        <v>145</v>
      </c>
      <c r="G26" s="50" t="s">
        <v>6</v>
      </c>
      <c r="H26" s="39">
        <v>80</v>
      </c>
      <c r="I26" s="39">
        <v>80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>
        <v>11615</v>
      </c>
      <c r="F27" s="78" t="s">
        <v>189</v>
      </c>
      <c r="G27" s="50" t="s">
        <v>10</v>
      </c>
      <c r="H27" s="39"/>
      <c r="I27" s="39">
        <v>175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>
        <v>11643</v>
      </c>
      <c r="F28" s="78" t="s">
        <v>191</v>
      </c>
      <c r="G28" s="50" t="s">
        <v>8</v>
      </c>
      <c r="H28" s="39">
        <v>50</v>
      </c>
      <c r="I28" s="39">
        <v>50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>
        <v>11644</v>
      </c>
      <c r="F29" s="78" t="s">
        <v>191</v>
      </c>
      <c r="G29" s="51" t="s">
        <v>8</v>
      </c>
      <c r="H29" s="39">
        <v>449</v>
      </c>
      <c r="I29" s="39">
        <v>449</v>
      </c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>
        <v>11718</v>
      </c>
      <c r="F30" s="51" t="s">
        <v>201</v>
      </c>
      <c r="G30" s="51" t="s">
        <v>8</v>
      </c>
      <c r="H30" s="39"/>
      <c r="I30" s="39">
        <v>300</v>
      </c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>
        <v>11719</v>
      </c>
      <c r="F31" s="41" t="s">
        <v>207</v>
      </c>
      <c r="G31" s="41" t="s">
        <v>10</v>
      </c>
      <c r="H31" s="42"/>
      <c r="I31" s="42">
        <v>570</v>
      </c>
      <c r="J31" s="30"/>
      <c r="K31" s="77"/>
      <c r="L31" s="91"/>
      <c r="M31" s="43"/>
    </row>
    <row r="32" spans="2:18" ht="16.5" x14ac:dyDescent="0.3">
      <c r="B32" s="30"/>
      <c r="C32" s="30"/>
      <c r="D32" s="38"/>
      <c r="E32" s="79">
        <v>11720</v>
      </c>
      <c r="F32" s="41" t="s">
        <v>207</v>
      </c>
      <c r="G32" s="41" t="s">
        <v>10</v>
      </c>
      <c r="H32" s="42"/>
      <c r="I32" s="42">
        <v>290</v>
      </c>
      <c r="J32" s="38"/>
      <c r="K32" s="33"/>
      <c r="L32" s="33"/>
      <c r="M32" s="33"/>
    </row>
    <row r="33" spans="2:18" ht="16.5" x14ac:dyDescent="0.3">
      <c r="B33" s="30"/>
      <c r="C33" s="30"/>
      <c r="D33" s="38"/>
      <c r="E33" s="79"/>
      <c r="F33" s="80"/>
      <c r="G33" s="41"/>
      <c r="H33" s="42"/>
      <c r="I33" s="42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35"/>
      <c r="F34" s="35"/>
      <c r="G34" s="35"/>
      <c r="H34" s="37"/>
      <c r="I34" s="37"/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100" t="s">
        <v>140</v>
      </c>
      <c r="F35" s="101"/>
      <c r="G35" s="101"/>
      <c r="H35" s="101"/>
      <c r="I35" s="101"/>
      <c r="J35" s="38"/>
      <c r="K35" s="77">
        <v>11615</v>
      </c>
      <c r="L35" s="77">
        <v>6</v>
      </c>
      <c r="M35" s="91">
        <v>625</v>
      </c>
    </row>
    <row r="36" spans="2:18" ht="16.5" customHeight="1" x14ac:dyDescent="0.3">
      <c r="B36" s="38"/>
      <c r="C36" s="38"/>
      <c r="D36" s="38"/>
      <c r="E36" s="17" t="s">
        <v>22</v>
      </c>
      <c r="F36" s="16" t="s">
        <v>15</v>
      </c>
      <c r="G36" s="17" t="s">
        <v>16</v>
      </c>
      <c r="H36" s="18" t="s">
        <v>26</v>
      </c>
      <c r="I36" s="18" t="s">
        <v>27</v>
      </c>
      <c r="J36" s="38"/>
      <c r="K36" s="77">
        <v>11606</v>
      </c>
      <c r="L36" s="77"/>
      <c r="M36" s="91" t="s">
        <v>196</v>
      </c>
    </row>
    <row r="37" spans="2:18" ht="16.5" customHeight="1" x14ac:dyDescent="0.25">
      <c r="B37" s="38"/>
      <c r="C37" s="38"/>
      <c r="D37" s="38"/>
      <c r="E37" s="77">
        <v>9886</v>
      </c>
      <c r="F37" s="78" t="s">
        <v>184</v>
      </c>
      <c r="G37" s="51" t="s">
        <v>7</v>
      </c>
      <c r="H37" s="39">
        <v>140</v>
      </c>
      <c r="I37" s="39" t="s">
        <v>98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90">
        <v>10821</v>
      </c>
      <c r="F38" s="78" t="s">
        <v>185</v>
      </c>
      <c r="G38" s="51" t="s">
        <v>6</v>
      </c>
      <c r="H38" s="39">
        <v>49.8</v>
      </c>
      <c r="I38" s="39" t="s">
        <v>40</v>
      </c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>
        <v>11590</v>
      </c>
      <c r="F39" s="78" t="s">
        <v>186</v>
      </c>
      <c r="G39" s="51" t="s">
        <v>10</v>
      </c>
      <c r="H39" s="39">
        <v>50</v>
      </c>
      <c r="I39" s="39" t="s">
        <v>38</v>
      </c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7">
        <v>10192</v>
      </c>
      <c r="F40" s="78" t="s">
        <v>176</v>
      </c>
      <c r="G40" s="51" t="s">
        <v>10</v>
      </c>
      <c r="H40" s="39">
        <v>150</v>
      </c>
      <c r="I40" s="39" t="s">
        <v>77</v>
      </c>
      <c r="J40" s="38"/>
      <c r="K40" s="79"/>
      <c r="L40" s="79"/>
      <c r="M40" s="92"/>
      <c r="Q40" s="1" t="s">
        <v>33</v>
      </c>
      <c r="R40" s="1">
        <f>SUM(R6:R21)</f>
        <v>4</v>
      </c>
    </row>
    <row r="41" spans="2:18" ht="16.5" customHeight="1" x14ac:dyDescent="0.25">
      <c r="B41" s="38"/>
      <c r="C41" s="38"/>
      <c r="D41" s="38"/>
      <c r="E41" s="77">
        <v>11127</v>
      </c>
      <c r="F41" s="51" t="s">
        <v>188</v>
      </c>
      <c r="G41" s="51" t="s">
        <v>6</v>
      </c>
      <c r="H41" s="39">
        <v>71.42</v>
      </c>
      <c r="I41" s="39" t="s">
        <v>45</v>
      </c>
      <c r="J41" s="38"/>
      <c r="K41" s="77"/>
      <c r="L41" s="77"/>
      <c r="M41" s="92"/>
    </row>
    <row r="42" spans="2:18" ht="13.5" x14ac:dyDescent="0.25">
      <c r="B42" s="38"/>
      <c r="C42" s="38"/>
      <c r="D42" s="38"/>
      <c r="E42" s="79">
        <v>11127</v>
      </c>
      <c r="F42" s="80" t="s">
        <v>188</v>
      </c>
      <c r="G42" s="41" t="s">
        <v>6</v>
      </c>
      <c r="H42" s="42">
        <v>71.42</v>
      </c>
      <c r="I42" s="39" t="s">
        <v>51</v>
      </c>
      <c r="J42" s="38"/>
      <c r="K42" s="33"/>
      <c r="L42" s="33"/>
      <c r="M42" s="33"/>
    </row>
    <row r="43" spans="2:18" ht="13.5" x14ac:dyDescent="0.25">
      <c r="B43" s="38"/>
      <c r="C43" s="38"/>
      <c r="D43" s="38"/>
      <c r="E43" s="79">
        <v>10966</v>
      </c>
      <c r="F43" s="78" t="s">
        <v>198</v>
      </c>
      <c r="G43" s="51" t="s">
        <v>10</v>
      </c>
      <c r="H43" s="39">
        <v>127.14</v>
      </c>
      <c r="I43" s="39" t="s">
        <v>37</v>
      </c>
      <c r="J43" s="38"/>
      <c r="K43" s="33"/>
      <c r="L43" s="33"/>
      <c r="M43" s="33"/>
    </row>
    <row r="44" spans="2:18" ht="13.5" x14ac:dyDescent="0.25">
      <c r="B44" s="38"/>
      <c r="C44" s="38"/>
      <c r="D44" s="38"/>
      <c r="E44" s="79">
        <v>11605</v>
      </c>
      <c r="F44" s="78" t="s">
        <v>190</v>
      </c>
      <c r="G44" s="51" t="s">
        <v>10</v>
      </c>
      <c r="H44" s="39">
        <v>126.65</v>
      </c>
      <c r="I44" s="39" t="s">
        <v>38</v>
      </c>
      <c r="J44" s="38"/>
      <c r="K44" s="33"/>
      <c r="L44" s="33"/>
      <c r="M44" s="33"/>
    </row>
    <row r="45" spans="2:18" ht="13.5" x14ac:dyDescent="0.25">
      <c r="B45" s="38"/>
      <c r="C45" s="38"/>
      <c r="D45" s="38"/>
      <c r="E45" s="79">
        <v>10202</v>
      </c>
      <c r="F45" s="78" t="s">
        <v>197</v>
      </c>
      <c r="G45" s="51" t="s">
        <v>10</v>
      </c>
      <c r="H45" s="39">
        <v>187.5</v>
      </c>
      <c r="I45" s="39" t="s">
        <v>52</v>
      </c>
      <c r="J45" s="38"/>
      <c r="K45" s="33"/>
      <c r="L45" s="33"/>
      <c r="M45" s="33"/>
    </row>
    <row r="46" spans="2:18" ht="13.5" x14ac:dyDescent="0.25">
      <c r="E46" s="79">
        <v>10202</v>
      </c>
      <c r="F46" s="78" t="s">
        <v>197</v>
      </c>
      <c r="G46" s="51" t="s">
        <v>10</v>
      </c>
      <c r="H46" s="39">
        <v>187.5</v>
      </c>
      <c r="I46" s="39" t="s">
        <v>39</v>
      </c>
    </row>
    <row r="47" spans="2:18" ht="13.5" x14ac:dyDescent="0.25">
      <c r="E47" s="79">
        <v>10941</v>
      </c>
      <c r="F47" s="78" t="s">
        <v>199</v>
      </c>
      <c r="G47" s="51" t="s">
        <v>10</v>
      </c>
      <c r="H47" s="39">
        <v>50</v>
      </c>
      <c r="I47" s="39" t="s">
        <v>41</v>
      </c>
    </row>
    <row r="48" spans="2:18" ht="13.5" x14ac:dyDescent="0.25">
      <c r="E48" s="79">
        <v>11407</v>
      </c>
      <c r="F48" s="78" t="s">
        <v>200</v>
      </c>
      <c r="G48" s="51" t="s">
        <v>7</v>
      </c>
      <c r="H48" s="39">
        <v>174.28</v>
      </c>
      <c r="I48" s="39" t="s">
        <v>51</v>
      </c>
    </row>
    <row r="49" spans="5:9" ht="13.5" x14ac:dyDescent="0.25">
      <c r="E49" s="79">
        <v>10210</v>
      </c>
      <c r="F49" s="78" t="s">
        <v>202</v>
      </c>
      <c r="G49" s="51" t="s">
        <v>10</v>
      </c>
      <c r="H49" s="39">
        <v>161</v>
      </c>
      <c r="I49" s="39" t="s">
        <v>97</v>
      </c>
    </row>
    <row r="50" spans="5:9" ht="13.5" x14ac:dyDescent="0.25">
      <c r="E50" s="79">
        <v>10439</v>
      </c>
      <c r="F50" s="78" t="s">
        <v>205</v>
      </c>
      <c r="G50" s="51" t="s">
        <v>10</v>
      </c>
      <c r="H50" s="39">
        <v>95.8</v>
      </c>
      <c r="I50" s="39" t="s">
        <v>44</v>
      </c>
    </row>
    <row r="51" spans="5:9" ht="13.5" x14ac:dyDescent="0.25">
      <c r="E51" s="82">
        <v>11163</v>
      </c>
      <c r="F51" s="51" t="s">
        <v>206</v>
      </c>
      <c r="G51" s="51" t="s">
        <v>10</v>
      </c>
      <c r="H51" s="39">
        <v>262.5</v>
      </c>
      <c r="I51" s="39" t="s">
        <v>31</v>
      </c>
    </row>
    <row r="52" spans="5:9" ht="13.5" x14ac:dyDescent="0.25">
      <c r="E52" s="35"/>
      <c r="F52" s="35"/>
      <c r="G52" s="35"/>
      <c r="H52" s="37"/>
      <c r="I52" s="37"/>
    </row>
    <row r="53" spans="5:9" ht="13.5" x14ac:dyDescent="0.25">
      <c r="E53" s="35"/>
      <c r="F53" s="35"/>
      <c r="G53" s="35"/>
      <c r="H53" s="37"/>
      <c r="I53" s="37"/>
    </row>
    <row r="54" spans="5:9" ht="13.5" x14ac:dyDescent="0.25">
      <c r="E54" s="35"/>
      <c r="F54" s="35"/>
      <c r="G54" s="35"/>
      <c r="H54" s="37"/>
      <c r="I54" s="37"/>
    </row>
    <row r="55" spans="5:9" ht="13.5" x14ac:dyDescent="0.25">
      <c r="E55" s="35"/>
      <c r="F55" s="35"/>
      <c r="G55" s="35"/>
      <c r="H55" s="37"/>
      <c r="I55" s="37"/>
    </row>
  </sheetData>
  <mergeCells count="11">
    <mergeCell ref="B1:C1"/>
    <mergeCell ref="L1:M1"/>
    <mergeCell ref="E24:I24"/>
    <mergeCell ref="E35:I35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5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G37:G51 G26:G33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K35:K41 K15:K31 E37:E51 E26:E33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I37:I51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'05'!B1+1</f>
        <v>45906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6382.9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5423.9</v>
      </c>
      <c r="D6" s="30"/>
      <c r="E6" s="77">
        <v>11760</v>
      </c>
      <c r="F6" s="78" t="s">
        <v>208</v>
      </c>
      <c r="G6" s="51" t="s">
        <v>36</v>
      </c>
      <c r="H6" s="39">
        <v>0</v>
      </c>
      <c r="I6" s="39">
        <v>0</v>
      </c>
      <c r="J6" s="30"/>
      <c r="K6" s="78"/>
      <c r="L6" s="91"/>
      <c r="M6" s="43"/>
      <c r="R6" s="1">
        <f>IF(vend[[#This Row],[Nº Venda]]&gt;1,1,0)</f>
        <v>1</v>
      </c>
    </row>
    <row r="7" spans="2:18" ht="16.5" x14ac:dyDescent="0.3">
      <c r="B7" s="28" t="s">
        <v>3</v>
      </c>
      <c r="C7" s="29">
        <f>SUM(M6:M11)</f>
        <v>0</v>
      </c>
      <c r="D7" s="30"/>
      <c r="E7" s="77">
        <v>11761</v>
      </c>
      <c r="F7" s="78" t="s">
        <v>209</v>
      </c>
      <c r="G7" s="51" t="s">
        <v>8</v>
      </c>
      <c r="H7" s="39">
        <v>699</v>
      </c>
      <c r="I7" s="39">
        <v>699</v>
      </c>
      <c r="J7" s="30"/>
      <c r="K7" s="78"/>
      <c r="L7" s="91"/>
      <c r="M7" s="43"/>
      <c r="R7" s="1">
        <f>IF(vend[[#This Row],[Nº Venda]]&gt;1,1,0)</f>
        <v>1</v>
      </c>
    </row>
    <row r="8" spans="2:18" ht="16.5" x14ac:dyDescent="0.3">
      <c r="B8" s="31" t="s">
        <v>21</v>
      </c>
      <c r="C8" s="32">
        <f>SUM(C6:C7)</f>
        <v>5423.9</v>
      </c>
      <c r="D8" s="30"/>
      <c r="E8" s="77">
        <v>11762</v>
      </c>
      <c r="F8" s="78" t="s">
        <v>209</v>
      </c>
      <c r="G8" s="51" t="s">
        <v>8</v>
      </c>
      <c r="H8" s="39">
        <v>100</v>
      </c>
      <c r="I8" s="39">
        <v>100</v>
      </c>
      <c r="J8" s="30"/>
      <c r="K8" s="78"/>
      <c r="L8" s="91"/>
      <c r="M8" s="43"/>
      <c r="R8" s="1">
        <f>IF(vend[[#This Row],[Nº Venda]]&gt;1,1,0)</f>
        <v>1</v>
      </c>
    </row>
    <row r="9" spans="2:18" ht="16.5" x14ac:dyDescent="0.3">
      <c r="B9" s="27"/>
      <c r="C9" s="27"/>
      <c r="D9" s="30"/>
      <c r="E9" s="77">
        <v>11763</v>
      </c>
      <c r="F9" s="78" t="s">
        <v>209</v>
      </c>
      <c r="G9" s="51" t="s">
        <v>46</v>
      </c>
      <c r="H9" s="39">
        <v>0</v>
      </c>
      <c r="I9" s="39">
        <v>0</v>
      </c>
      <c r="J9" s="30"/>
      <c r="K9" s="78"/>
      <c r="L9" s="91"/>
      <c r="M9" s="43"/>
      <c r="R9" s="1">
        <f>IF(vend[[#This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11764</v>
      </c>
      <c r="F10" s="51" t="s">
        <v>210</v>
      </c>
      <c r="G10" s="51" t="s">
        <v>6</v>
      </c>
      <c r="H10" s="39">
        <v>100</v>
      </c>
      <c r="I10" s="39">
        <v>100</v>
      </c>
      <c r="J10" s="30"/>
      <c r="K10" s="78"/>
      <c r="L10" s="91"/>
      <c r="M10" s="43"/>
      <c r="R10" s="1">
        <f>IF(vend[[#This Row],[Nº Venda]]&gt;1,1,0)</f>
        <v>1</v>
      </c>
    </row>
    <row r="11" spans="2:18" ht="16.5" x14ac:dyDescent="0.3">
      <c r="B11" s="28" t="s">
        <v>6</v>
      </c>
      <c r="C11" s="73">
        <f>(SUMIF($G$2:$G$31,B11,$I$2:$I$31))+(SUMIF($G$35:$G$41,B11,$H$35:$H$41))</f>
        <v>110</v>
      </c>
      <c r="D11" s="30"/>
      <c r="E11" s="77">
        <v>11765</v>
      </c>
      <c r="F11" s="78" t="s">
        <v>211</v>
      </c>
      <c r="G11" s="51" t="s">
        <v>8</v>
      </c>
      <c r="H11" s="39">
        <v>149.9</v>
      </c>
      <c r="I11" s="39">
        <v>149.9</v>
      </c>
      <c r="J11" s="30"/>
      <c r="K11" s="38"/>
      <c r="L11" s="91"/>
      <c r="M11" s="43"/>
      <c r="O11" s="1">
        <f>IF(C16=0,0,1)</f>
        <v>1</v>
      </c>
      <c r="R11" s="1">
        <f>IF(vend[[#This Row],[Nº Venda]]&gt;1,1,0)</f>
        <v>1</v>
      </c>
    </row>
    <row r="12" spans="2:18" ht="16.5" x14ac:dyDescent="0.3">
      <c r="B12" s="28" t="s">
        <v>7</v>
      </c>
      <c r="C12" s="73">
        <f>(SUMIF($G$2:$G$31,B12,$I$2:$I$31))+(SUMIF($G$35:$G$41,B12,$H$35:$H$41))</f>
        <v>1215</v>
      </c>
      <c r="D12" s="30"/>
      <c r="E12" s="77">
        <v>11766</v>
      </c>
      <c r="F12" s="78" t="s">
        <v>212</v>
      </c>
      <c r="G12" s="51" t="s">
        <v>8</v>
      </c>
      <c r="H12" s="39">
        <v>5</v>
      </c>
      <c r="I12" s="39">
        <v>5</v>
      </c>
      <c r="J12" s="30"/>
      <c r="K12" s="33"/>
      <c r="L12" s="33"/>
      <c r="M12" s="33"/>
      <c r="R12" s="1">
        <f>IF(vend[[#This Row],[Nº Venda]]&gt;1,1,0)</f>
        <v>1</v>
      </c>
    </row>
    <row r="13" spans="2:18" ht="16.5" x14ac:dyDescent="0.3">
      <c r="B13" s="28" t="s">
        <v>8</v>
      </c>
      <c r="C13" s="73">
        <f>(SUMIF($G$2:$G$31,B13,$I$2:$I$31))+(SUMIF($G$35:$G$41,B13,$H$35:$H$41))</f>
        <v>2333.9</v>
      </c>
      <c r="D13" s="30"/>
      <c r="E13" s="77">
        <v>11767</v>
      </c>
      <c r="F13" s="78" t="s">
        <v>213</v>
      </c>
      <c r="G13" s="51" t="s">
        <v>10</v>
      </c>
      <c r="H13" s="39">
        <v>35</v>
      </c>
      <c r="I13" s="39">
        <v>35</v>
      </c>
      <c r="J13" s="30"/>
      <c r="K13" s="102" t="s">
        <v>142</v>
      </c>
      <c r="L13" s="103"/>
      <c r="M13" s="104"/>
      <c r="R13" s="1">
        <f>IF(vend[[#This Row],[Nº Venda]]&gt;1,1,0)</f>
        <v>1</v>
      </c>
    </row>
    <row r="14" spans="2:18" ht="16.5" x14ac:dyDescent="0.3">
      <c r="B14" s="28" t="s">
        <v>9</v>
      </c>
      <c r="C14" s="73">
        <f>(SUMIF($G$2:$G$31,B14,$I$2:$I$31))+(SUMIF($G$35:$G$41,B14,$H$35:$H$41))</f>
        <v>0</v>
      </c>
      <c r="D14" s="30"/>
      <c r="E14" s="77">
        <v>11768</v>
      </c>
      <c r="F14" s="78" t="s">
        <v>215</v>
      </c>
      <c r="G14" s="51" t="s">
        <v>7</v>
      </c>
      <c r="H14" s="39">
        <v>1490</v>
      </c>
      <c r="I14" s="39">
        <v>500</v>
      </c>
      <c r="J14" s="30"/>
      <c r="K14" s="22" t="s">
        <v>22</v>
      </c>
      <c r="L14" s="23" t="s">
        <v>23</v>
      </c>
      <c r="M14" s="24" t="s">
        <v>24</v>
      </c>
      <c r="R14" s="1">
        <f>IF(vend[[#This Row],[Nº Venda]]&gt;1,1,0)</f>
        <v>1</v>
      </c>
    </row>
    <row r="15" spans="2:18" ht="16.5" x14ac:dyDescent="0.3">
      <c r="B15" s="28" t="s">
        <v>10</v>
      </c>
      <c r="C15" s="73">
        <f>(SUMIF($G$2:$G$31,B15,$I$2:$I$31))+(SUMIF($G$35:$G$41,B15,$H$35:$H$41))</f>
        <v>1765</v>
      </c>
      <c r="D15" s="30"/>
      <c r="E15" s="77">
        <v>11768</v>
      </c>
      <c r="F15" s="78" t="s">
        <v>215</v>
      </c>
      <c r="G15" s="51" t="s">
        <v>7</v>
      </c>
      <c r="H15" s="39">
        <v>0</v>
      </c>
      <c r="I15" s="39">
        <v>200</v>
      </c>
      <c r="J15" s="30"/>
      <c r="K15" s="77">
        <v>11548</v>
      </c>
      <c r="L15" s="91" t="s">
        <v>131</v>
      </c>
      <c r="M15" s="43" t="s">
        <v>149</v>
      </c>
      <c r="R15" s="1">
        <f>IF(vend[[#This Row],[Nº Venda]]&gt;1,1,0)</f>
        <v>1</v>
      </c>
    </row>
    <row r="16" spans="2:18" ht="16.5" x14ac:dyDescent="0.3">
      <c r="B16" s="31" t="s">
        <v>11</v>
      </c>
      <c r="C16" s="72">
        <f>SUM(C11:C15)</f>
        <v>5423.9</v>
      </c>
      <c r="D16" s="30"/>
      <c r="E16" s="77">
        <v>11769</v>
      </c>
      <c r="F16" s="78" t="s">
        <v>212</v>
      </c>
      <c r="G16" s="51" t="s">
        <v>7</v>
      </c>
      <c r="H16" s="39">
        <v>15</v>
      </c>
      <c r="I16" s="39">
        <v>15</v>
      </c>
      <c r="J16" s="30"/>
      <c r="K16" s="77">
        <v>11616</v>
      </c>
      <c r="L16" s="91" t="s">
        <v>131</v>
      </c>
      <c r="M16" s="43" t="s">
        <v>149</v>
      </c>
      <c r="R16" s="1">
        <f>IF(vend[[#This Row],[Nº Venda]]&gt;1,1,0)</f>
        <v>1</v>
      </c>
    </row>
    <row r="17" spans="2:18" ht="16.5" x14ac:dyDescent="0.3">
      <c r="B17" s="27"/>
      <c r="C17" s="27"/>
      <c r="D17" s="30"/>
      <c r="E17" s="77">
        <v>11770</v>
      </c>
      <c r="F17" s="51" t="s">
        <v>215</v>
      </c>
      <c r="G17" s="51" t="s">
        <v>46</v>
      </c>
      <c r="H17" s="39">
        <v>0</v>
      </c>
      <c r="I17" s="39">
        <v>0</v>
      </c>
      <c r="J17" s="30"/>
      <c r="K17" s="77">
        <v>11662</v>
      </c>
      <c r="L17" s="91" t="s">
        <v>131</v>
      </c>
      <c r="M17" s="43" t="s">
        <v>149</v>
      </c>
      <c r="R17" s="1">
        <f>IF(vend[[#This Row],[Nº Venda]]&gt;1,1,0)</f>
        <v>1</v>
      </c>
    </row>
    <row r="18" spans="2:18" ht="16.5" x14ac:dyDescent="0.3">
      <c r="B18" s="109" t="s">
        <v>12</v>
      </c>
      <c r="C18" s="110"/>
      <c r="D18" s="30"/>
      <c r="E18" s="77">
        <v>11771</v>
      </c>
      <c r="F18" s="78" t="s">
        <v>214</v>
      </c>
      <c r="G18" s="51" t="s">
        <v>7</v>
      </c>
      <c r="H18" s="39">
        <v>650</v>
      </c>
      <c r="I18" s="39">
        <v>250</v>
      </c>
      <c r="J18" s="30"/>
      <c r="K18" s="77">
        <v>11663</v>
      </c>
      <c r="L18" s="91" t="s">
        <v>131</v>
      </c>
      <c r="M18" s="43" t="s">
        <v>149</v>
      </c>
      <c r="R18" s="1">
        <f>IF(vend[[#This Row],[Nº Venda]]&gt;1,1,0)</f>
        <v>1</v>
      </c>
    </row>
    <row r="19" spans="2:18" ht="16.5" x14ac:dyDescent="0.3">
      <c r="B19" s="28">
        <f>COUNT(entr_carn6[OS])</f>
        <v>0</v>
      </c>
      <c r="C19" s="71">
        <f>SUM(entr_carn6[Valor Total])</f>
        <v>0</v>
      </c>
      <c r="D19" s="30"/>
      <c r="E19" s="77">
        <v>11772</v>
      </c>
      <c r="F19" s="78" t="s">
        <v>214</v>
      </c>
      <c r="G19" s="51" t="s">
        <v>7</v>
      </c>
      <c r="H19" s="39">
        <v>1149</v>
      </c>
      <c r="I19" s="39">
        <v>250</v>
      </c>
      <c r="J19" s="30"/>
      <c r="K19" s="77">
        <v>11664</v>
      </c>
      <c r="L19" s="91" t="s">
        <v>131</v>
      </c>
      <c r="M19" s="43" t="s">
        <v>149</v>
      </c>
      <c r="R19" s="1">
        <f>IF(vend[[#This Row],[Nº Venda]]&gt;1,1,0)</f>
        <v>1</v>
      </c>
    </row>
    <row r="20" spans="2:18" ht="16.5" x14ac:dyDescent="0.3">
      <c r="B20" s="31" t="s">
        <v>11</v>
      </c>
      <c r="C20" s="72">
        <f>SUM(C19:C19)</f>
        <v>0</v>
      </c>
      <c r="D20" s="30"/>
      <c r="E20" s="77">
        <v>11773</v>
      </c>
      <c r="F20" s="78" t="s">
        <v>214</v>
      </c>
      <c r="G20" s="51" t="s">
        <v>6</v>
      </c>
      <c r="H20" s="39">
        <v>10</v>
      </c>
      <c r="I20" s="39">
        <v>10</v>
      </c>
      <c r="J20" s="30"/>
      <c r="K20" s="77">
        <v>11670</v>
      </c>
      <c r="L20" s="91" t="s">
        <v>131</v>
      </c>
      <c r="M20" s="43" t="s">
        <v>149</v>
      </c>
      <c r="R20" s="1">
        <f>IF(vend[[#This Row],[Nº Venda]]&gt;1,1,0)</f>
        <v>1</v>
      </c>
    </row>
    <row r="21" spans="2:18" ht="16.5" x14ac:dyDescent="0.3">
      <c r="B21" s="27"/>
      <c r="C21" s="27"/>
      <c r="D21" s="30"/>
      <c r="E21" s="77">
        <v>11774</v>
      </c>
      <c r="F21" s="78" t="s">
        <v>216</v>
      </c>
      <c r="G21" s="51" t="s">
        <v>10</v>
      </c>
      <c r="H21" s="39">
        <v>500</v>
      </c>
      <c r="I21" s="39">
        <v>500</v>
      </c>
      <c r="J21" s="30"/>
      <c r="K21" s="77">
        <v>11686</v>
      </c>
      <c r="L21" s="91" t="s">
        <v>131</v>
      </c>
      <c r="M21" s="43" t="s">
        <v>149</v>
      </c>
    </row>
    <row r="22" spans="2:18" ht="16.5" x14ac:dyDescent="0.3">
      <c r="B22" s="31" t="s">
        <v>25</v>
      </c>
      <c r="C22" s="34">
        <f>C5</f>
        <v>6382.9</v>
      </c>
      <c r="D22" s="30"/>
      <c r="E22" s="79">
        <v>11775</v>
      </c>
      <c r="F22" s="78" t="s">
        <v>214</v>
      </c>
      <c r="G22" s="51" t="s">
        <v>10</v>
      </c>
      <c r="H22" s="39">
        <v>80</v>
      </c>
      <c r="I22" s="39">
        <v>80</v>
      </c>
      <c r="J22" s="30"/>
      <c r="K22" s="77">
        <v>11764</v>
      </c>
      <c r="L22" s="91" t="s">
        <v>129</v>
      </c>
      <c r="M22" s="43" t="s">
        <v>149</v>
      </c>
    </row>
    <row r="23" spans="2:18" ht="16.5" x14ac:dyDescent="0.3">
      <c r="B23" s="30"/>
      <c r="C23" s="30"/>
      <c r="D23" s="30"/>
      <c r="E23" s="90">
        <v>11776</v>
      </c>
      <c r="F23" s="41" t="s">
        <v>216</v>
      </c>
      <c r="G23" s="41" t="s">
        <v>10</v>
      </c>
      <c r="H23" s="42">
        <v>1150</v>
      </c>
      <c r="I23" s="42">
        <v>1150</v>
      </c>
      <c r="J23" s="30"/>
      <c r="K23" s="77">
        <v>11765</v>
      </c>
      <c r="L23" s="91" t="s">
        <v>131</v>
      </c>
      <c r="M23" s="43" t="s">
        <v>149</v>
      </c>
    </row>
    <row r="24" spans="2:18" ht="16.5" x14ac:dyDescent="0.3">
      <c r="B24" s="30"/>
      <c r="C24" s="30"/>
      <c r="D24" s="30"/>
      <c r="E24" s="100"/>
      <c r="F24" s="101"/>
      <c r="G24" s="101"/>
      <c r="H24" s="101"/>
      <c r="I24" s="101"/>
      <c r="J24" s="30"/>
      <c r="K24" s="77">
        <v>11766</v>
      </c>
      <c r="L24" s="91" t="s">
        <v>131</v>
      </c>
      <c r="M24" s="43" t="s">
        <v>149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>
        <v>11769</v>
      </c>
      <c r="L25" s="91" t="s">
        <v>131</v>
      </c>
      <c r="M25" s="43" t="s">
        <v>149</v>
      </c>
    </row>
    <row r="26" spans="2:18" ht="16.5" x14ac:dyDescent="0.3">
      <c r="B26" s="30"/>
      <c r="C26" s="30"/>
      <c r="D26" s="30"/>
      <c r="E26" s="77">
        <v>11548</v>
      </c>
      <c r="F26" s="78" t="s">
        <v>218</v>
      </c>
      <c r="G26" s="51" t="s">
        <v>8</v>
      </c>
      <c r="H26" s="39">
        <v>250</v>
      </c>
      <c r="I26" s="39">
        <v>250</v>
      </c>
      <c r="J26" s="30"/>
      <c r="K26" s="77">
        <v>11773</v>
      </c>
      <c r="L26" s="91" t="s">
        <v>131</v>
      </c>
      <c r="M26" s="43" t="s">
        <v>149</v>
      </c>
    </row>
    <row r="27" spans="2:18" ht="16.5" x14ac:dyDescent="0.3">
      <c r="B27" s="30"/>
      <c r="C27" s="30"/>
      <c r="D27" s="30"/>
      <c r="E27" s="77">
        <v>11663</v>
      </c>
      <c r="F27" s="78" t="s">
        <v>217</v>
      </c>
      <c r="G27" s="51" t="s">
        <v>8</v>
      </c>
      <c r="H27" s="39">
        <v>0</v>
      </c>
      <c r="I27" s="39">
        <v>610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>
        <v>11664</v>
      </c>
      <c r="F28" s="78" t="s">
        <v>217</v>
      </c>
      <c r="G28" s="51" t="s">
        <v>8</v>
      </c>
      <c r="H28" s="39">
        <v>0</v>
      </c>
      <c r="I28" s="39">
        <v>520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15</v>
      </c>
    </row>
    <row r="41" spans="2:18" ht="16.5" customHeight="1" x14ac:dyDescent="0.25">
      <c r="B41" s="38"/>
      <c r="C41" s="38"/>
      <c r="D41" s="38"/>
      <c r="E41" s="84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52"/>
      <c r="G42" s="52"/>
      <c r="H42" s="53"/>
      <c r="I42" s="53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G6:G23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E6:E23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workbookViewId="0"/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0.285156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98">
        <f>'06'!B1+1</f>
        <v>45907</v>
      </c>
      <c r="C1" s="98"/>
      <c r="L1" s="99" t="s">
        <v>144</v>
      </c>
      <c r="M1" s="99"/>
    </row>
    <row r="2" spans="2:21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  <c r="U4" s="1">
        <v>0</v>
      </c>
    </row>
    <row r="5" spans="2:21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21" ht="16.5" x14ac:dyDescent="0.3">
      <c r="B6" s="28" t="s">
        <v>2</v>
      </c>
      <c r="C6" s="29">
        <f>C16</f>
        <v>0</v>
      </c>
      <c r="D6" s="30"/>
      <c r="E6" s="77"/>
      <c r="F6" s="48"/>
      <c r="G6" s="48"/>
      <c r="H6" s="49"/>
      <c r="I6" s="49"/>
      <c r="J6" s="30"/>
      <c r="K6" s="78"/>
      <c r="L6" s="91"/>
      <c r="M6" s="43"/>
      <c r="R6" s="1">
        <f>IF(vend7[[#This Row],[Nº Venda]]&gt;1,1,0)</f>
        <v>0</v>
      </c>
    </row>
    <row r="7" spans="2:21" ht="16.5" x14ac:dyDescent="0.3">
      <c r="B7" s="28" t="s">
        <v>3</v>
      </c>
      <c r="C7" s="29">
        <f>SUM(M6:M11)</f>
        <v>0</v>
      </c>
      <c r="D7" s="30"/>
      <c r="E7" s="77"/>
      <c r="F7" s="50"/>
      <c r="G7" s="50"/>
      <c r="H7" s="39"/>
      <c r="I7" s="39"/>
      <c r="J7" s="30"/>
      <c r="K7" s="78"/>
      <c r="L7" s="91"/>
      <c r="M7" s="43"/>
      <c r="R7" s="1">
        <f>IF(vend7[[#This Row],[Nº Venda]]&gt;1,1,0)</f>
        <v>0</v>
      </c>
    </row>
    <row r="8" spans="2:21" ht="16.5" x14ac:dyDescent="0.3">
      <c r="B8" s="31" t="s">
        <v>21</v>
      </c>
      <c r="C8" s="32">
        <f>SUM(C6:C7)</f>
        <v>0</v>
      </c>
      <c r="D8" s="30"/>
      <c r="E8" s="77"/>
      <c r="F8" s="78"/>
      <c r="G8" s="51"/>
      <c r="H8" s="39"/>
      <c r="I8" s="39"/>
      <c r="J8" s="30"/>
      <c r="K8" s="78"/>
      <c r="L8" s="91"/>
      <c r="M8" s="43"/>
      <c r="R8" s="1">
        <f>IF(vend7[[#This Row],[Nº Venda]]&gt;1,1,0)</f>
        <v>0</v>
      </c>
    </row>
    <row r="9" spans="2:21" ht="16.5" x14ac:dyDescent="0.3">
      <c r="B9" s="27"/>
      <c r="C9" s="27"/>
      <c r="D9" s="30"/>
      <c r="E9" s="77"/>
      <c r="F9" s="78"/>
      <c r="G9" s="51"/>
      <c r="H9" s="39"/>
      <c r="I9" s="39"/>
      <c r="J9" s="30"/>
      <c r="K9" s="78"/>
      <c r="L9" s="91"/>
      <c r="M9" s="43"/>
      <c r="R9" s="1">
        <f>IF(vend7[[#This Row],[Nº Venda]]&gt;1,1,0)</f>
        <v>0</v>
      </c>
    </row>
    <row r="10" spans="2:21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R10" s="1">
        <f>IF(vend7[[#This Row],[Nº Venda]]&gt;1,1,0)</f>
        <v>0</v>
      </c>
    </row>
    <row r="11" spans="2:21" ht="16.5" x14ac:dyDescent="0.3">
      <c r="B11" s="28" t="s">
        <v>6</v>
      </c>
      <c r="C11" s="71">
        <f>(SUMIF($G$2:$G$31,B11,$I$2:$I$31))+(SUMIF($G$35:$G$41,B11,$H$35:$H$41))</f>
        <v>0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0</v>
      </c>
      <c r="R11" s="1">
        <f>IF(vend7[[#This Row],[Nº Venda]]&gt;1,1,0)</f>
        <v>0</v>
      </c>
    </row>
    <row r="12" spans="2:21" ht="16.5" x14ac:dyDescent="0.3">
      <c r="B12" s="28" t="s">
        <v>7</v>
      </c>
      <c r="C12" s="71">
        <f t="shared" ref="C12:C15" si="0">(SUMIF($G$2:$G$31,B12,$I$2:$I$31))+(SUMIF($G$35:$G$41,B12,$H$35:$H$41))</f>
        <v>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IF(vend7[[#This Row],[Nº Venda]]&gt;1,1,0)</f>
        <v>0</v>
      </c>
    </row>
    <row r="13" spans="2:21" ht="16.5" x14ac:dyDescent="0.3">
      <c r="B13" s="28" t="s">
        <v>8</v>
      </c>
      <c r="C13" s="71">
        <f t="shared" si="0"/>
        <v>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IF(vend7[[#This Row],[Nº Venda]]&gt;1,1,0)</f>
        <v>0</v>
      </c>
    </row>
    <row r="14" spans="2:21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IF(vend7[[#This Row],[Nº Venda]]&gt;1,1,0)</f>
        <v>0</v>
      </c>
    </row>
    <row r="15" spans="2:21" ht="16.5" x14ac:dyDescent="0.3">
      <c r="B15" s="28" t="s">
        <v>10</v>
      </c>
      <c r="C15" s="71">
        <f t="shared" si="0"/>
        <v>0</v>
      </c>
      <c r="D15" s="30"/>
      <c r="E15" s="77"/>
      <c r="F15" s="78"/>
      <c r="G15" s="51"/>
      <c r="H15" s="39"/>
      <c r="I15" s="39"/>
      <c r="J15" s="30"/>
      <c r="K15" s="77"/>
      <c r="L15" s="91"/>
      <c r="M15" s="54"/>
      <c r="R15" s="1">
        <f>IF(vend7[[#This Row],[Nº Venda]]&gt;1,1,0)</f>
        <v>0</v>
      </c>
    </row>
    <row r="16" spans="2:21" ht="16.5" x14ac:dyDescent="0.3">
      <c r="B16" s="31" t="s">
        <v>11</v>
      </c>
      <c r="C16" s="72">
        <f>SUM(C11:C15)</f>
        <v>0</v>
      </c>
      <c r="D16" s="30"/>
      <c r="E16" s="77"/>
      <c r="F16" s="78"/>
      <c r="G16" s="51"/>
      <c r="H16" s="39"/>
      <c r="I16" s="39"/>
      <c r="J16" s="30"/>
      <c r="K16" s="77"/>
      <c r="L16" s="91"/>
      <c r="M16" s="43"/>
      <c r="R16" s="1">
        <f>IF(vend7[[#This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/>
      <c r="L17" s="91"/>
      <c r="M17" s="43"/>
      <c r="R17" s="1">
        <f>IF(vend7[[#This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/>
      <c r="L18" s="91"/>
      <c r="M18" s="43"/>
      <c r="R18" s="1">
        <f>IF(vend7[[#This Row],[Nº Venda]]&gt;1,1,0)</f>
        <v>0</v>
      </c>
    </row>
    <row r="19" spans="2:18" ht="16.5" x14ac:dyDescent="0.3">
      <c r="B19" s="28">
        <f>COUNT(entr_carn7[OS])</f>
        <v>0</v>
      </c>
      <c r="C19" s="71">
        <f>SUM(entr_carn7[Valor Total])</f>
        <v>0</v>
      </c>
      <c r="D19" s="30"/>
      <c r="E19" s="77"/>
      <c r="F19" s="78"/>
      <c r="G19" s="51"/>
      <c r="H19" s="39"/>
      <c r="I19" s="39"/>
      <c r="J19" s="30"/>
      <c r="K19" s="77"/>
      <c r="L19" s="91"/>
      <c r="M19" s="43"/>
      <c r="R19" s="1">
        <f>IF(vend7[[#This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IF(vend7[[#This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0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/>
      <c r="F26" s="81"/>
      <c r="G26" s="48"/>
      <c r="H26" s="49"/>
      <c r="I26" s="49"/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5.42578125" style="1" bestFit="1" customWidth="1"/>
    <col min="4" max="4" width="2.7109375" style="1" customWidth="1"/>
    <col min="5" max="5" width="15.7109375" style="12" customWidth="1"/>
    <col min="6" max="6" width="43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'07'!B1+1</f>
        <v>45908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1068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4778.91</v>
      </c>
      <c r="D6" s="30"/>
      <c r="E6" s="77">
        <v>11777</v>
      </c>
      <c r="F6" s="48" t="s">
        <v>216</v>
      </c>
      <c r="G6" s="48" t="s">
        <v>46</v>
      </c>
      <c r="H6" s="49">
        <v>0</v>
      </c>
      <c r="I6" s="49">
        <v>0</v>
      </c>
      <c r="J6" s="30"/>
      <c r="K6" s="78" t="s">
        <v>253</v>
      </c>
      <c r="L6" s="91" t="s">
        <v>204</v>
      </c>
      <c r="M6" s="43">
        <v>500</v>
      </c>
      <c r="R6" s="1">
        <f>IF(vend8[[#This Row],[Nº Venda]]&gt;1,1,0)</f>
        <v>1</v>
      </c>
    </row>
    <row r="7" spans="2:18" ht="16.5" x14ac:dyDescent="0.3">
      <c r="B7" s="28" t="s">
        <v>3</v>
      </c>
      <c r="C7" s="29">
        <f>SUM(M6:M11)</f>
        <v>500</v>
      </c>
      <c r="D7" s="30"/>
      <c r="E7" s="77">
        <v>11778</v>
      </c>
      <c r="F7" s="50" t="s">
        <v>219</v>
      </c>
      <c r="G7" s="50" t="s">
        <v>46</v>
      </c>
      <c r="H7" s="39">
        <v>35</v>
      </c>
      <c r="I7" s="39">
        <v>0</v>
      </c>
      <c r="J7" s="30"/>
      <c r="K7" s="78"/>
      <c r="L7" s="91"/>
      <c r="M7" s="43"/>
      <c r="R7" s="1">
        <f>IF(vend8[[#This Row],[Nº Venda]]&gt;1,1,0)</f>
        <v>1</v>
      </c>
    </row>
    <row r="8" spans="2:18" ht="16.5" x14ac:dyDescent="0.3">
      <c r="B8" s="31" t="s">
        <v>21</v>
      </c>
      <c r="C8" s="32">
        <f>SUM(C6:C7)</f>
        <v>5278.91</v>
      </c>
      <c r="D8" s="30"/>
      <c r="E8" s="77">
        <v>11779</v>
      </c>
      <c r="F8" s="78" t="s">
        <v>225</v>
      </c>
      <c r="G8" s="51" t="s">
        <v>36</v>
      </c>
      <c r="H8" s="39">
        <v>0</v>
      </c>
      <c r="I8" s="39">
        <v>0</v>
      </c>
      <c r="J8" s="30"/>
      <c r="K8" s="78"/>
      <c r="L8" s="91"/>
      <c r="M8" s="43"/>
      <c r="R8" s="1">
        <f>IF(vend8[[#This Row],[Nº Venda]]&gt;1,1,0)</f>
        <v>1</v>
      </c>
    </row>
    <row r="9" spans="2:18" ht="16.5" x14ac:dyDescent="0.3">
      <c r="B9" s="27"/>
      <c r="C9" s="27"/>
      <c r="D9" s="30"/>
      <c r="E9" s="77">
        <v>11780</v>
      </c>
      <c r="F9" s="78" t="s">
        <v>226</v>
      </c>
      <c r="G9" s="51" t="s">
        <v>8</v>
      </c>
      <c r="H9" s="39">
        <v>330</v>
      </c>
      <c r="I9" s="39">
        <v>330</v>
      </c>
      <c r="J9" s="30"/>
      <c r="K9" s="78"/>
      <c r="L9" s="91"/>
      <c r="M9" s="43"/>
      <c r="R9" s="1">
        <f>IF(vend8[[#This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11781</v>
      </c>
      <c r="F10" s="78" t="s">
        <v>227</v>
      </c>
      <c r="G10" s="51" t="s">
        <v>46</v>
      </c>
      <c r="H10" s="39">
        <v>49</v>
      </c>
      <c r="I10" s="39">
        <v>0</v>
      </c>
      <c r="J10" s="30"/>
      <c r="K10" s="78"/>
      <c r="L10" s="91"/>
      <c r="M10" s="43"/>
      <c r="R10" s="1">
        <f>IF(vend8[[#This Row],[Nº Venda]]&gt;1,1,0)</f>
        <v>1</v>
      </c>
    </row>
    <row r="11" spans="2:18" ht="16.5" x14ac:dyDescent="0.3">
      <c r="B11" s="28" t="s">
        <v>6</v>
      </c>
      <c r="C11" s="73">
        <f>(SUMIF($G$2:$G$31,B11,$I$2:$I$31))+(SUMIF($G$35:$G$41,B11,$H$35:$H$41))</f>
        <v>500.01</v>
      </c>
      <c r="D11" s="30"/>
      <c r="E11" s="77">
        <v>11782</v>
      </c>
      <c r="F11" s="78" t="s">
        <v>228</v>
      </c>
      <c r="G11" s="51" t="s">
        <v>8</v>
      </c>
      <c r="H11" s="39">
        <v>148</v>
      </c>
      <c r="I11" s="39">
        <v>148</v>
      </c>
      <c r="J11" s="30"/>
      <c r="K11" s="38"/>
      <c r="L11" s="91"/>
      <c r="M11" s="43"/>
      <c r="O11" s="1">
        <f>IF(C16=0,0,1)</f>
        <v>1</v>
      </c>
      <c r="R11" s="1">
        <f>IF(vend8[[#This Row],[Nº Venda]]&gt;1,1,0)</f>
        <v>1</v>
      </c>
    </row>
    <row r="12" spans="2:18" ht="16.5" x14ac:dyDescent="0.3">
      <c r="B12" s="28" t="s">
        <v>7</v>
      </c>
      <c r="C12" s="73">
        <f>(SUMIF($G$2:$G$31,B12,$I$2:$I$31))+(SUMIF($G$35:$G$41,B12,$H$35:$H$41))</f>
        <v>390</v>
      </c>
      <c r="D12" s="30"/>
      <c r="E12" s="77">
        <v>11783</v>
      </c>
      <c r="F12" s="78" t="s">
        <v>233</v>
      </c>
      <c r="G12" s="51" t="s">
        <v>8</v>
      </c>
      <c r="H12" s="39">
        <v>590</v>
      </c>
      <c r="I12" s="39">
        <v>190</v>
      </c>
      <c r="J12" s="30"/>
      <c r="K12" s="33"/>
      <c r="L12" s="33"/>
      <c r="M12" s="33"/>
      <c r="R12" s="1">
        <f>IF(vend8[[#This Row],[Nº Venda]]&gt;1,1,0)</f>
        <v>1</v>
      </c>
    </row>
    <row r="13" spans="2:18" ht="16.5" x14ac:dyDescent="0.3">
      <c r="B13" s="28" t="s">
        <v>8</v>
      </c>
      <c r="C13" s="73">
        <f>(SUMIF($G$2:$G$31,B13,$I$2:$I$31))+(SUMIF($G$35:$G$41,B13,$H$35:$H$41))</f>
        <v>3768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IF(vend8[[#This Row],[Nº Venda]]&gt;1,1,0)</f>
        <v>0</v>
      </c>
    </row>
    <row r="14" spans="2:18" ht="16.5" x14ac:dyDescent="0.3">
      <c r="B14" s="28" t="s">
        <v>9</v>
      </c>
      <c r="C14" s="73">
        <f>(SUMIF($G$2:$G$31,B14,$I$2:$I$31))+(SUMIF($G$35:$G$41,B14,$H$35:$H$41))</f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IF(vend8[[#This Row],[Nº Venda]]&gt;1,1,0)</f>
        <v>0</v>
      </c>
    </row>
    <row r="15" spans="2:18" ht="16.5" x14ac:dyDescent="0.3">
      <c r="B15" s="28" t="s">
        <v>10</v>
      </c>
      <c r="C15" s="73">
        <f>(SUMIF($G$2:$G$31,B15,$I$2:$I$31))+(SUMIF($G$35:$G$41,B15,$H$35:$H$41))</f>
        <v>120.9</v>
      </c>
      <c r="D15" s="30"/>
      <c r="E15" s="77"/>
      <c r="F15" s="78"/>
      <c r="G15" s="51"/>
      <c r="H15" s="39"/>
      <c r="I15" s="39"/>
      <c r="J15" s="30"/>
      <c r="K15" s="77">
        <v>11695</v>
      </c>
      <c r="L15" s="91" t="s">
        <v>131</v>
      </c>
      <c r="M15" s="54" t="s">
        <v>149</v>
      </c>
      <c r="R15" s="1">
        <f>IF(vend8[[#This Row],[Nº Venda]]&gt;1,1,0)</f>
        <v>0</v>
      </c>
    </row>
    <row r="16" spans="2:18" ht="16.5" x14ac:dyDescent="0.3">
      <c r="B16" s="31" t="s">
        <v>11</v>
      </c>
      <c r="C16" s="72">
        <f>SUM(C11:C15)</f>
        <v>4778.91</v>
      </c>
      <c r="D16" s="30"/>
      <c r="E16" s="77"/>
      <c r="F16" s="78"/>
      <c r="G16" s="51"/>
      <c r="H16" s="39"/>
      <c r="I16" s="39"/>
      <c r="J16" s="30"/>
      <c r="K16" s="77">
        <v>11731</v>
      </c>
      <c r="L16" s="91" t="s">
        <v>131</v>
      </c>
      <c r="M16" s="43" t="s">
        <v>149</v>
      </c>
      <c r="R16" s="1">
        <f>IF(vend8[[#This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11739</v>
      </c>
      <c r="L17" s="91" t="s">
        <v>129</v>
      </c>
      <c r="M17" s="43" t="s">
        <v>149</v>
      </c>
      <c r="R17" s="1">
        <f>IF(vend8[[#This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11762</v>
      </c>
      <c r="L18" s="91" t="s">
        <v>131</v>
      </c>
      <c r="M18" s="43" t="s">
        <v>149</v>
      </c>
      <c r="R18" s="1">
        <f>IF(vend8[[#This Row],[Nº Venda]]&gt;1,1,0)</f>
        <v>0</v>
      </c>
    </row>
    <row r="19" spans="2:18" ht="16.5" x14ac:dyDescent="0.3">
      <c r="B19" s="28">
        <f>COUNT(entr_carn8[OS])</f>
        <v>0</v>
      </c>
      <c r="C19" s="71">
        <f>SUM(entr_carn8[Valor Total])</f>
        <v>0</v>
      </c>
      <c r="D19" s="30"/>
      <c r="E19" s="77"/>
      <c r="F19" s="78"/>
      <c r="G19" s="51"/>
      <c r="H19" s="39"/>
      <c r="I19" s="39"/>
      <c r="J19" s="30"/>
      <c r="K19" s="77">
        <v>11782</v>
      </c>
      <c r="L19" s="91" t="s">
        <v>131</v>
      </c>
      <c r="M19" s="43" t="s">
        <v>149</v>
      </c>
      <c r="R19" s="1">
        <f>IF(vend8[[#This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IF(vend8[[#This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1068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11697</v>
      </c>
      <c r="F26" s="81" t="s">
        <v>220</v>
      </c>
      <c r="G26" s="48" t="s">
        <v>8</v>
      </c>
      <c r="H26" s="49">
        <v>0</v>
      </c>
      <c r="I26" s="49">
        <v>3100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>
        <v>11699</v>
      </c>
      <c r="F27" s="78" t="s">
        <v>220</v>
      </c>
      <c r="G27" s="51" t="s">
        <v>8</v>
      </c>
      <c r="H27" s="39">
        <v>0</v>
      </c>
      <c r="I27" s="39" t="s">
        <v>54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>
        <v>11750</v>
      </c>
      <c r="F28" s="78" t="s">
        <v>221</v>
      </c>
      <c r="G28" s="51" t="s">
        <v>6</v>
      </c>
      <c r="H28" s="39">
        <v>0</v>
      </c>
      <c r="I28" s="39">
        <v>200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82">
        <v>10058</v>
      </c>
      <c r="F35" s="51" t="s">
        <v>232</v>
      </c>
      <c r="G35" s="51" t="s">
        <v>7</v>
      </c>
      <c r="H35" s="39">
        <v>290</v>
      </c>
      <c r="I35" s="39" t="s">
        <v>97</v>
      </c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79">
        <v>10922</v>
      </c>
      <c r="F36" s="78" t="s">
        <v>223</v>
      </c>
      <c r="G36" s="51" t="s">
        <v>10</v>
      </c>
      <c r="H36" s="39">
        <v>50.9</v>
      </c>
      <c r="I36" s="39" t="s">
        <v>91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>
        <v>11309</v>
      </c>
      <c r="F37" s="51" t="s">
        <v>230</v>
      </c>
      <c r="G37" s="51" t="s">
        <v>10</v>
      </c>
      <c r="H37" s="39">
        <v>70</v>
      </c>
      <c r="I37" s="39" t="s">
        <v>31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>
        <v>11346</v>
      </c>
      <c r="F38" s="78" t="s">
        <v>229</v>
      </c>
      <c r="G38" s="51" t="s">
        <v>6</v>
      </c>
      <c r="H38" s="39">
        <v>119</v>
      </c>
      <c r="I38" s="39" t="s">
        <v>81</v>
      </c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84">
        <v>11373</v>
      </c>
      <c r="F39" s="78" t="s">
        <v>222</v>
      </c>
      <c r="G39" s="51" t="s">
        <v>6</v>
      </c>
      <c r="H39" s="39">
        <v>59.9</v>
      </c>
      <c r="I39" s="39" t="s">
        <v>90</v>
      </c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>
        <v>11434</v>
      </c>
      <c r="F40" s="80" t="s">
        <v>231</v>
      </c>
      <c r="G40" s="41" t="s">
        <v>6</v>
      </c>
      <c r="H40" s="42">
        <v>121.11</v>
      </c>
      <c r="I40" s="39" t="s">
        <v>80</v>
      </c>
      <c r="J40" s="38"/>
      <c r="K40" s="79"/>
      <c r="L40" s="79"/>
      <c r="M40" s="92"/>
      <c r="Q40" s="1" t="s">
        <v>33</v>
      </c>
      <c r="R40" s="1">
        <f>SUM(R6:R21)</f>
        <v>7</v>
      </c>
    </row>
    <row r="41" spans="2:18" ht="16.5" customHeight="1" x14ac:dyDescent="0.25">
      <c r="B41" s="38"/>
      <c r="C41" s="38"/>
      <c r="D41" s="38"/>
      <c r="E41" s="77">
        <v>11628</v>
      </c>
      <c r="F41" s="78" t="s">
        <v>224</v>
      </c>
      <c r="G41" s="51" t="s">
        <v>7</v>
      </c>
      <c r="H41" s="39">
        <v>100</v>
      </c>
      <c r="I41" s="39" t="s">
        <v>42</v>
      </c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5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AEF79F66-56AC-4D40-B94D-640CE47F098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E35:E41 E6:E22 E26:E31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topLeftCell="A5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98">
        <f>'08'!B1+1</f>
        <v>45909</v>
      </c>
      <c r="C1" s="98"/>
      <c r="L1" s="99" t="s">
        <v>144</v>
      </c>
      <c r="M1" s="99"/>
    </row>
    <row r="2" spans="2:22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22" ht="16.5" x14ac:dyDescent="0.3">
      <c r="B5" s="28" t="s">
        <v>1</v>
      </c>
      <c r="C5" s="29">
        <f>SUMIF(I6:I31,"&gt;0",H6:H31)</f>
        <v>693.9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22" ht="16.5" x14ac:dyDescent="0.3">
      <c r="B6" s="28" t="s">
        <v>2</v>
      </c>
      <c r="C6" s="29">
        <f>C16</f>
        <v>787.65</v>
      </c>
      <c r="D6" s="30"/>
      <c r="E6" s="77">
        <v>11784</v>
      </c>
      <c r="F6" s="78" t="s">
        <v>234</v>
      </c>
      <c r="G6" s="50" t="s">
        <v>10</v>
      </c>
      <c r="H6" s="39">
        <v>135</v>
      </c>
      <c r="I6" s="39">
        <v>135</v>
      </c>
      <c r="J6" s="30"/>
      <c r="K6" s="78" t="s">
        <v>203</v>
      </c>
      <c r="L6" s="91" t="s">
        <v>204</v>
      </c>
      <c r="M6" s="43">
        <v>50</v>
      </c>
      <c r="R6" s="1">
        <f>IF(vend9[[#This Row],[Nº Venda]]&gt;1,1,0)</f>
        <v>1</v>
      </c>
    </row>
    <row r="7" spans="2:22" ht="16.5" x14ac:dyDescent="0.3">
      <c r="B7" s="28" t="s">
        <v>3</v>
      </c>
      <c r="C7" s="29">
        <f>SUM(M6:M11)</f>
        <v>50</v>
      </c>
      <c r="D7" s="30"/>
      <c r="E7" s="77">
        <v>11785</v>
      </c>
      <c r="F7" s="78" t="s">
        <v>235</v>
      </c>
      <c r="G7" s="50" t="s">
        <v>10</v>
      </c>
      <c r="H7" s="39">
        <v>100</v>
      </c>
      <c r="I7" s="39">
        <v>100</v>
      </c>
      <c r="J7" s="30"/>
      <c r="K7" s="78"/>
      <c r="L7" s="91"/>
      <c r="M7" s="43"/>
      <c r="R7" s="1">
        <f>IF(vend9[[#This Row],[Nº Venda]]&gt;1,1,0)</f>
        <v>1</v>
      </c>
    </row>
    <row r="8" spans="2:22" ht="16.5" x14ac:dyDescent="0.3">
      <c r="B8" s="31" t="s">
        <v>21</v>
      </c>
      <c r="C8" s="32">
        <f>SUM(C6:C7)</f>
        <v>837.65</v>
      </c>
      <c r="D8" s="30"/>
      <c r="E8" s="77">
        <v>11786</v>
      </c>
      <c r="F8" s="78" t="s">
        <v>236</v>
      </c>
      <c r="G8" s="51" t="s">
        <v>7</v>
      </c>
      <c r="H8" s="39">
        <v>90</v>
      </c>
      <c r="I8" s="39">
        <v>90</v>
      </c>
      <c r="J8" s="30"/>
      <c r="K8" s="78"/>
      <c r="L8" s="91"/>
      <c r="M8" s="43"/>
      <c r="R8" s="1">
        <f>IF(vend9[[#This Row],[Nº Venda]]&gt;1,1,0)</f>
        <v>1</v>
      </c>
    </row>
    <row r="9" spans="2:22" ht="16.5" x14ac:dyDescent="0.3">
      <c r="B9" s="27"/>
      <c r="C9" s="27"/>
      <c r="D9" s="30"/>
      <c r="E9" s="77">
        <v>11787</v>
      </c>
      <c r="F9" s="78" t="s">
        <v>237</v>
      </c>
      <c r="G9" s="51" t="s">
        <v>10</v>
      </c>
      <c r="H9" s="39">
        <v>110</v>
      </c>
      <c r="I9" s="39">
        <v>110</v>
      </c>
      <c r="J9" s="30"/>
      <c r="K9" s="78"/>
      <c r="L9" s="91"/>
      <c r="M9" s="43"/>
      <c r="R9" s="1">
        <f>IF(vend9[[#This Row],[Nº Venda]]&gt;1,1,0)</f>
        <v>1</v>
      </c>
    </row>
    <row r="10" spans="2:22" ht="16.5" x14ac:dyDescent="0.3">
      <c r="B10" s="109" t="s">
        <v>5</v>
      </c>
      <c r="C10" s="110"/>
      <c r="D10" s="30"/>
      <c r="E10" s="77">
        <v>11788</v>
      </c>
      <c r="F10" s="78" t="s">
        <v>238</v>
      </c>
      <c r="G10" s="51" t="s">
        <v>8</v>
      </c>
      <c r="H10" s="39">
        <v>59.9</v>
      </c>
      <c r="I10" s="39">
        <v>59.9</v>
      </c>
      <c r="J10" s="30"/>
      <c r="K10" s="78"/>
      <c r="L10" s="91"/>
      <c r="M10" s="43"/>
      <c r="R10" s="1">
        <f>IF(vend9[[#This Row],[Nº Venda]]&gt;1,1,0)</f>
        <v>1</v>
      </c>
    </row>
    <row r="11" spans="2:22" ht="16.5" x14ac:dyDescent="0.3">
      <c r="B11" s="28" t="s">
        <v>6</v>
      </c>
      <c r="C11" s="71">
        <f>(SUMIF($G$2:$G$31,B11,$I$2:$I$31))+(SUMIF($G$35:$G$41,B11,$H$35:$H$41))</f>
        <v>50</v>
      </c>
      <c r="D11" s="30"/>
      <c r="E11" s="77">
        <v>11789</v>
      </c>
      <c r="F11" s="78" t="s">
        <v>239</v>
      </c>
      <c r="G11" s="51" t="s">
        <v>46</v>
      </c>
      <c r="H11" s="39">
        <v>39.9</v>
      </c>
      <c r="I11" s="39"/>
      <c r="J11" s="30"/>
      <c r="K11" s="38"/>
      <c r="L11" s="91"/>
      <c r="M11" s="43"/>
      <c r="O11" s="1">
        <f>IF(C16=0,0,1)</f>
        <v>1</v>
      </c>
      <c r="R11" s="1">
        <f>IF(vend9[[#This Row],[Nº Venda]]&gt;1,1,0)</f>
        <v>1</v>
      </c>
    </row>
    <row r="12" spans="2:22" ht="16.5" x14ac:dyDescent="0.3">
      <c r="B12" s="28" t="s">
        <v>7</v>
      </c>
      <c r="C12" s="71">
        <f t="shared" ref="C12:C15" si="0">(SUMIF($G$2:$G$31,B12,$I$2:$I$31))+(SUMIF($G$35:$G$41,B12,$H$35:$H$41))</f>
        <v>332.75</v>
      </c>
      <c r="D12" s="30"/>
      <c r="E12" s="77">
        <v>11790</v>
      </c>
      <c r="F12" s="78" t="s">
        <v>240</v>
      </c>
      <c r="G12" s="51" t="s">
        <v>7</v>
      </c>
      <c r="H12" s="39">
        <v>150</v>
      </c>
      <c r="I12" s="39">
        <v>100</v>
      </c>
      <c r="J12" s="30"/>
      <c r="K12" s="33"/>
      <c r="L12" s="33"/>
      <c r="M12" s="33"/>
      <c r="R12" s="1">
        <f>IF(vend9[[#This Row],[Nº Venda]]&gt;1,1,0)</f>
        <v>1</v>
      </c>
      <c r="V12" s="1">
        <v>0</v>
      </c>
    </row>
    <row r="13" spans="2:22" ht="16.5" x14ac:dyDescent="0.3">
      <c r="B13" s="28" t="s">
        <v>8</v>
      </c>
      <c r="C13" s="71">
        <f t="shared" si="0"/>
        <v>59.9</v>
      </c>
      <c r="D13" s="30"/>
      <c r="E13" s="77">
        <v>11790</v>
      </c>
      <c r="F13" s="78" t="s">
        <v>240</v>
      </c>
      <c r="G13" s="51" t="s">
        <v>6</v>
      </c>
      <c r="H13" s="39"/>
      <c r="I13" s="39">
        <v>50</v>
      </c>
      <c r="J13" s="30"/>
      <c r="K13" s="102" t="s">
        <v>142</v>
      </c>
      <c r="L13" s="103"/>
      <c r="M13" s="104"/>
      <c r="R13" s="1">
        <f>IF(vend9[[#This Row],[Nº Venda]]&gt;1,1,0)</f>
        <v>1</v>
      </c>
    </row>
    <row r="14" spans="2:22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IF(vend9[[#This Row],[Nº Venda]]&gt;1,1,0)</f>
        <v>0</v>
      </c>
    </row>
    <row r="15" spans="2:22" ht="16.5" x14ac:dyDescent="0.3">
      <c r="B15" s="28" t="s">
        <v>10</v>
      </c>
      <c r="C15" s="71">
        <f t="shared" si="0"/>
        <v>345</v>
      </c>
      <c r="D15" s="30"/>
      <c r="E15" s="77"/>
      <c r="F15" s="78"/>
      <c r="G15" s="51"/>
      <c r="H15" s="39"/>
      <c r="I15" s="39"/>
      <c r="J15" s="30"/>
      <c r="K15" s="77">
        <v>11527</v>
      </c>
      <c r="L15" s="91" t="s">
        <v>129</v>
      </c>
      <c r="M15" s="43" t="s">
        <v>149</v>
      </c>
      <c r="R15" s="1">
        <f>IF(vend9[[#This Row],[Nº Venda]]&gt;1,1,0)</f>
        <v>0</v>
      </c>
    </row>
    <row r="16" spans="2:22" ht="16.5" x14ac:dyDescent="0.3">
      <c r="B16" s="31" t="s">
        <v>11</v>
      </c>
      <c r="C16" s="72">
        <f>SUM(C11:C15)</f>
        <v>787.65</v>
      </c>
      <c r="D16" s="30"/>
      <c r="E16" s="77"/>
      <c r="F16" s="78"/>
      <c r="G16" s="51"/>
      <c r="H16" s="39"/>
      <c r="I16" s="39"/>
      <c r="J16" s="30"/>
      <c r="K16" s="77">
        <v>11528</v>
      </c>
      <c r="L16" s="91" t="s">
        <v>129</v>
      </c>
      <c r="M16" s="43" t="s">
        <v>149</v>
      </c>
      <c r="R16" s="1">
        <f>IF(vend9[[#This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11707</v>
      </c>
      <c r="L17" s="91" t="s">
        <v>129</v>
      </c>
      <c r="M17" s="43" t="s">
        <v>149</v>
      </c>
      <c r="R17" s="1">
        <f>IF(vend9[[#This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11583</v>
      </c>
      <c r="L18" s="91" t="s">
        <v>131</v>
      </c>
      <c r="M18" s="43" t="s">
        <v>149</v>
      </c>
      <c r="R18" s="1">
        <f>IF(vend9[[#This Row],[Nº Venda]]&gt;1,1,0)</f>
        <v>0</v>
      </c>
    </row>
    <row r="19" spans="2:18" ht="16.5" x14ac:dyDescent="0.3">
      <c r="B19" s="28">
        <f>COUNT(entr_carn9[OS])</f>
        <v>0</v>
      </c>
      <c r="C19" s="71">
        <f>SUM(entr_carn9[Valor Total])</f>
        <v>0</v>
      </c>
      <c r="D19" s="30"/>
      <c r="E19" s="77"/>
      <c r="F19" s="78"/>
      <c r="G19" s="51"/>
      <c r="H19" s="39"/>
      <c r="I19" s="39"/>
      <c r="J19" s="30"/>
      <c r="K19" s="77">
        <v>11574</v>
      </c>
      <c r="L19" s="91" t="s">
        <v>129</v>
      </c>
      <c r="M19" s="43" t="s">
        <v>149</v>
      </c>
      <c r="R19" s="1">
        <f>IF(vend9[[#This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78"/>
      <c r="G20" s="51"/>
      <c r="H20" s="39"/>
      <c r="I20" s="39"/>
      <c r="J20" s="30"/>
      <c r="K20" s="77">
        <v>11788</v>
      </c>
      <c r="L20" s="91" t="s">
        <v>131</v>
      </c>
      <c r="M20" s="43" t="s">
        <v>149</v>
      </c>
      <c r="R20" s="1">
        <f>IF(vend9[[#This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11784</v>
      </c>
      <c r="L21" s="91" t="s">
        <v>131</v>
      </c>
      <c r="M21" s="43" t="s">
        <v>149</v>
      </c>
    </row>
    <row r="22" spans="2:18" ht="16.5" x14ac:dyDescent="0.3">
      <c r="B22" s="31" t="s">
        <v>25</v>
      </c>
      <c r="C22" s="34">
        <f>C5</f>
        <v>693.9</v>
      </c>
      <c r="D22" s="30"/>
      <c r="E22" s="79"/>
      <c r="F22" s="78"/>
      <c r="G22" s="51"/>
      <c r="H22" s="39"/>
      <c r="I22" s="39"/>
      <c r="J22" s="30"/>
      <c r="K22" s="77">
        <v>11787</v>
      </c>
      <c r="L22" s="91" t="s">
        <v>129</v>
      </c>
      <c r="M22" s="43" t="s">
        <v>149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>
        <v>11781</v>
      </c>
      <c r="L23" s="91" t="s">
        <v>129</v>
      </c>
      <c r="M23" s="43" t="s">
        <v>149</v>
      </c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>
        <v>11790</v>
      </c>
      <c r="L24" s="91" t="s">
        <v>129</v>
      </c>
      <c r="M24" s="43" t="s">
        <v>149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>
        <v>11786</v>
      </c>
      <c r="L25" s="91" t="s">
        <v>131</v>
      </c>
      <c r="M25" s="43" t="s">
        <v>149</v>
      </c>
    </row>
    <row r="26" spans="2:18" ht="16.5" x14ac:dyDescent="0.3">
      <c r="B26" s="30"/>
      <c r="C26" s="30"/>
      <c r="D26" s="30"/>
      <c r="E26" s="77">
        <v>11781</v>
      </c>
      <c r="F26" s="78">
        <v>693</v>
      </c>
      <c r="G26" s="50" t="s">
        <v>7</v>
      </c>
      <c r="H26" s="39">
        <v>49</v>
      </c>
      <c r="I26" s="39">
        <v>49</v>
      </c>
      <c r="J26" s="30"/>
      <c r="K26" s="77">
        <v>11785</v>
      </c>
      <c r="L26" s="91" t="s">
        <v>131</v>
      </c>
      <c r="M26" s="43" t="s">
        <v>149</v>
      </c>
    </row>
    <row r="27" spans="2:18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11151</v>
      </c>
      <c r="F35" s="78" t="s">
        <v>241</v>
      </c>
      <c r="G35" s="51" t="s">
        <v>7</v>
      </c>
      <c r="H35" s="39">
        <v>93.75</v>
      </c>
      <c r="I35" s="39" t="s">
        <v>34</v>
      </c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8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22AFCA31-3D3D-4524-8B45-1A8AA92BC219}">
          <x14:formula1>
            <xm:f>base!$A$2:$A$9</xm:f>
          </x14:formula1>
          <xm:sqref>G10:G22 G6:G8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tabSelected="1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'09'!B1+1</f>
        <v>45910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SUMIF(I6:I32,"&gt;0",H6:H32)</f>
        <v>4129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2771.22</v>
      </c>
      <c r="D6" s="30"/>
      <c r="E6" s="77">
        <v>11791</v>
      </c>
      <c r="F6" s="78" t="s">
        <v>242</v>
      </c>
      <c r="G6" s="50" t="s">
        <v>8</v>
      </c>
      <c r="H6" s="39">
        <v>510</v>
      </c>
      <c r="I6" s="39">
        <v>50</v>
      </c>
      <c r="J6" s="30"/>
      <c r="K6" s="78" t="s">
        <v>165</v>
      </c>
      <c r="L6" s="91" t="s">
        <v>10</v>
      </c>
      <c r="M6" s="43">
        <v>1.84</v>
      </c>
      <c r="R6" s="1">
        <f>IF(vend10[[#This Row],[Nº Venda]]&gt;1,1,0)</f>
        <v>1</v>
      </c>
    </row>
    <row r="7" spans="2:18" ht="16.5" x14ac:dyDescent="0.3">
      <c r="B7" s="28" t="s">
        <v>3</v>
      </c>
      <c r="C7" s="29">
        <f>SUM(M6:M11)</f>
        <v>1.84</v>
      </c>
      <c r="D7" s="30"/>
      <c r="E7" s="77">
        <v>11792</v>
      </c>
      <c r="F7" s="78" t="s">
        <v>243</v>
      </c>
      <c r="G7" s="50" t="s">
        <v>10</v>
      </c>
      <c r="H7" s="39">
        <v>210</v>
      </c>
      <c r="I7" s="39">
        <v>110</v>
      </c>
      <c r="J7" s="30"/>
      <c r="K7" s="78"/>
      <c r="L7" s="91"/>
      <c r="M7" s="43"/>
      <c r="R7" s="1">
        <f>IF(vend10[[#This Row],[Nº Venda]]&gt;1,1,0)</f>
        <v>1</v>
      </c>
    </row>
    <row r="8" spans="2:18" ht="16.5" x14ac:dyDescent="0.3">
      <c r="B8" s="31" t="s">
        <v>21</v>
      </c>
      <c r="C8" s="32">
        <f>SUM(C6:C7)</f>
        <v>2773.06</v>
      </c>
      <c r="D8" s="30"/>
      <c r="E8" s="77">
        <v>11793</v>
      </c>
      <c r="F8" s="78" t="s">
        <v>235</v>
      </c>
      <c r="G8" s="51" t="s">
        <v>36</v>
      </c>
      <c r="H8" s="39"/>
      <c r="I8" s="39"/>
      <c r="J8" s="30"/>
      <c r="K8" s="78"/>
      <c r="L8" s="91"/>
      <c r="M8" s="43"/>
      <c r="R8" s="1">
        <f>IF(vend10[[#This Row],[Nº Venda]]&gt;1,1,0)</f>
        <v>1</v>
      </c>
    </row>
    <row r="9" spans="2:18" ht="16.5" x14ac:dyDescent="0.3">
      <c r="B9" s="27"/>
      <c r="C9" s="27"/>
      <c r="D9" s="30"/>
      <c r="E9" s="77">
        <v>11794</v>
      </c>
      <c r="F9" s="78" t="s">
        <v>244</v>
      </c>
      <c r="G9" s="51" t="s">
        <v>10</v>
      </c>
      <c r="H9" s="39">
        <v>69</v>
      </c>
      <c r="I9" s="39">
        <v>69</v>
      </c>
      <c r="J9" s="30"/>
      <c r="K9" s="78"/>
      <c r="L9" s="91"/>
      <c r="M9" s="43"/>
      <c r="R9" s="1">
        <f>IF(vend10[[#This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11795</v>
      </c>
      <c r="F10" s="78" t="s">
        <v>245</v>
      </c>
      <c r="G10" s="51" t="s">
        <v>7</v>
      </c>
      <c r="H10" s="39">
        <v>1100</v>
      </c>
      <c r="I10" s="39">
        <v>50</v>
      </c>
      <c r="J10" s="30"/>
      <c r="K10" s="78"/>
      <c r="L10" s="91"/>
      <c r="M10" s="43"/>
      <c r="R10" s="1">
        <f>IF(vend10[[#This Row],[Nº Venda]]&gt;1,1,0)</f>
        <v>1</v>
      </c>
    </row>
    <row r="11" spans="2:18" ht="16.5" x14ac:dyDescent="0.3">
      <c r="B11" s="28" t="s">
        <v>6</v>
      </c>
      <c r="C11" s="71">
        <f>(SUMIF($G$2:$G$32,B11,$I$2:$I$32))+(SUMIF($G$36:$G$42,B11,$H$36:$H$42))</f>
        <v>0</v>
      </c>
      <c r="D11" s="30"/>
      <c r="E11" s="77">
        <v>11796</v>
      </c>
      <c r="F11" s="78" t="s">
        <v>213</v>
      </c>
      <c r="G11" s="51" t="s">
        <v>10</v>
      </c>
      <c r="H11" s="39">
        <v>150</v>
      </c>
      <c r="I11" s="39">
        <v>35</v>
      </c>
      <c r="J11" s="30"/>
      <c r="K11" s="38"/>
      <c r="L11" s="91"/>
      <c r="M11" s="43"/>
      <c r="O11" s="1">
        <f>IF(C16=0,0,1)</f>
        <v>1</v>
      </c>
      <c r="R11" s="1">
        <f>IF(vend10[[#This Row],[Nº Venda]]&gt;1,1,0)</f>
        <v>1</v>
      </c>
    </row>
    <row r="12" spans="2:18" ht="16.5" x14ac:dyDescent="0.3">
      <c r="B12" s="28" t="s">
        <v>7</v>
      </c>
      <c r="C12" s="71">
        <f>(SUMIF($G$2:$G$32,B12,$I$2:$I$32))+(SUMIF($G$36:$G$42,B12,$H$36:$H$42))</f>
        <v>177.85</v>
      </c>
      <c r="D12" s="30"/>
      <c r="E12" s="77">
        <v>11797</v>
      </c>
      <c r="F12" s="78" t="s">
        <v>248</v>
      </c>
      <c r="G12" s="51" t="s">
        <v>10</v>
      </c>
      <c r="H12" s="39">
        <v>1089</v>
      </c>
      <c r="I12" s="39">
        <v>200</v>
      </c>
      <c r="J12" s="30"/>
      <c r="K12" s="33"/>
      <c r="L12" s="33"/>
      <c r="M12" s="33"/>
      <c r="R12" s="1">
        <f>IF(vend10[[#This Row],[Nº Venda]]&gt;1,1,0)</f>
        <v>1</v>
      </c>
    </row>
    <row r="13" spans="2:18" ht="16.5" x14ac:dyDescent="0.3">
      <c r="B13" s="28" t="s">
        <v>8</v>
      </c>
      <c r="C13" s="71">
        <f>(SUMIF($G$2:$G$32,B13,$I$2:$I$32))+(SUMIF($G$36:$G$42,B13,$H$36:$H$42))</f>
        <v>1550</v>
      </c>
      <c r="D13" s="30"/>
      <c r="E13" s="77">
        <v>11798</v>
      </c>
      <c r="F13" s="78" t="s">
        <v>247</v>
      </c>
      <c r="G13" s="51" t="s">
        <v>46</v>
      </c>
      <c r="H13" s="39"/>
      <c r="I13" s="39"/>
      <c r="J13" s="30"/>
      <c r="K13" s="102" t="s">
        <v>142</v>
      </c>
      <c r="L13" s="103"/>
      <c r="M13" s="104"/>
      <c r="R13" s="1">
        <f>IF(vend10[[#This Row],[Nº Venda]]&gt;1,1,0)</f>
        <v>1</v>
      </c>
    </row>
    <row r="14" spans="2:18" ht="16.5" x14ac:dyDescent="0.3">
      <c r="B14" s="28" t="s">
        <v>9</v>
      </c>
      <c r="C14" s="71">
        <f>(SUMIF($G$2:$G$32,B14,$I$2:$I$32))+(SUMIF($G$36:$G$42,B14,$H$36:$H$42))</f>
        <v>0</v>
      </c>
      <c r="D14" s="30"/>
      <c r="E14" s="77">
        <v>11799</v>
      </c>
      <c r="F14" s="78" t="s">
        <v>248</v>
      </c>
      <c r="G14" s="51" t="s">
        <v>10</v>
      </c>
      <c r="H14" s="39">
        <v>402</v>
      </c>
      <c r="I14" s="39">
        <v>50</v>
      </c>
      <c r="J14" s="30"/>
      <c r="K14" s="22" t="s">
        <v>22</v>
      </c>
      <c r="L14" s="23" t="s">
        <v>23</v>
      </c>
      <c r="M14" s="24" t="s">
        <v>24</v>
      </c>
      <c r="R14" s="1">
        <f>IF(vend10[[#This Row],[Nº Venda]]&gt;1,1,0)</f>
        <v>1</v>
      </c>
    </row>
    <row r="15" spans="2:18" ht="16.5" x14ac:dyDescent="0.3">
      <c r="B15" s="28" t="s">
        <v>10</v>
      </c>
      <c r="C15" s="71">
        <f>(SUMIF($G$2:$G$32,B15,$I$2:$I$32))+(SUMIF($G$36:$G$42,B15,$H$36:$H$42))</f>
        <v>1043.3699999999999</v>
      </c>
      <c r="D15" s="30"/>
      <c r="E15" s="77">
        <v>11800</v>
      </c>
      <c r="F15" s="78" t="s">
        <v>248</v>
      </c>
      <c r="G15" s="51" t="s">
        <v>10</v>
      </c>
      <c r="H15" s="39">
        <v>599</v>
      </c>
      <c r="I15" s="39">
        <v>50</v>
      </c>
      <c r="J15" s="30"/>
      <c r="K15" s="77">
        <v>11611</v>
      </c>
      <c r="L15" s="91" t="s">
        <v>131</v>
      </c>
      <c r="M15" s="43" t="s">
        <v>149</v>
      </c>
      <c r="R15" s="1">
        <f>IF(vend10[[#This Row],[Nº Venda]]&gt;1,1,0)</f>
        <v>1</v>
      </c>
    </row>
    <row r="16" spans="2:18" ht="16.5" x14ac:dyDescent="0.3">
      <c r="B16" s="31" t="s">
        <v>11</v>
      </c>
      <c r="C16" s="72">
        <f>SUM(C11:C15)</f>
        <v>2771.22</v>
      </c>
      <c r="D16" s="30"/>
      <c r="E16" s="77"/>
      <c r="F16" s="78"/>
      <c r="G16" s="51"/>
      <c r="H16" s="39"/>
      <c r="I16" s="39"/>
      <c r="J16" s="30"/>
      <c r="K16" s="77">
        <v>11610</v>
      </c>
      <c r="L16" s="91" t="s">
        <v>131</v>
      </c>
      <c r="M16" s="43" t="s">
        <v>149</v>
      </c>
      <c r="R16" s="1">
        <f>IF(vend10[[#This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11692</v>
      </c>
      <c r="L17" s="91" t="s">
        <v>129</v>
      </c>
      <c r="M17" s="43" t="s">
        <v>149</v>
      </c>
      <c r="R17" s="1">
        <f>IF(vend10[[#This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11794</v>
      </c>
      <c r="L18" s="91" t="s">
        <v>129</v>
      </c>
      <c r="M18" s="43" t="s">
        <v>149</v>
      </c>
      <c r="R18" s="1">
        <f>IF(vend10[[#This Row],[Nº Venda]]&gt;1,1,0)</f>
        <v>0</v>
      </c>
    </row>
    <row r="19" spans="2:18" ht="16.5" x14ac:dyDescent="0.3">
      <c r="B19" s="28">
        <f>COUNT(entr_carn10[OS])</f>
        <v>1</v>
      </c>
      <c r="C19" s="71">
        <f>SUM(entr_carn10[Valor Total])</f>
        <v>240</v>
      </c>
      <c r="D19" s="30"/>
      <c r="E19" s="77"/>
      <c r="F19" s="78"/>
      <c r="G19" s="51"/>
      <c r="H19" s="39"/>
      <c r="I19" s="39"/>
      <c r="J19" s="30"/>
      <c r="K19" s="77">
        <v>11475</v>
      </c>
      <c r="L19" s="91" t="s">
        <v>129</v>
      </c>
      <c r="M19" s="43" t="s">
        <v>249</v>
      </c>
      <c r="R19" s="1">
        <f>IF(vend10[[#This Row],[Nº Venda]]&gt;1,1,0)</f>
        <v>0</v>
      </c>
    </row>
    <row r="20" spans="2:18" ht="16.5" x14ac:dyDescent="0.3">
      <c r="B20" s="31" t="s">
        <v>11</v>
      </c>
      <c r="C20" s="72">
        <f>SUM(C19:C19)</f>
        <v>240</v>
      </c>
      <c r="D20" s="30"/>
      <c r="E20" s="77"/>
      <c r="F20" s="51"/>
      <c r="G20" s="51"/>
      <c r="H20" s="39"/>
      <c r="I20" s="39"/>
      <c r="J20" s="30"/>
      <c r="K20" s="77">
        <v>11326</v>
      </c>
      <c r="L20" s="91" t="s">
        <v>131</v>
      </c>
      <c r="M20" s="43" t="s">
        <v>149</v>
      </c>
      <c r="R20" s="1">
        <f>IF(vend10[[#This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 t="s">
        <v>54</v>
      </c>
      <c r="I21" s="39"/>
      <c r="J21" s="30"/>
      <c r="K21" s="77">
        <v>11324</v>
      </c>
      <c r="L21" s="91" t="s">
        <v>131</v>
      </c>
      <c r="M21" s="43" t="s">
        <v>149</v>
      </c>
    </row>
    <row r="22" spans="2:18" ht="16.5" x14ac:dyDescent="0.3">
      <c r="B22" s="31" t="s">
        <v>25</v>
      </c>
      <c r="C22" s="34">
        <f>C5</f>
        <v>4129</v>
      </c>
      <c r="D22" s="30"/>
      <c r="E22" s="79"/>
      <c r="F22" s="78"/>
      <c r="G22" s="51"/>
      <c r="H22" s="39"/>
      <c r="I22" s="39"/>
      <c r="J22" s="30"/>
      <c r="K22" s="77">
        <v>11719</v>
      </c>
      <c r="L22" s="91" t="s">
        <v>131</v>
      </c>
      <c r="M22" s="43" t="s">
        <v>149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>
        <v>11723</v>
      </c>
      <c r="L23" s="91" t="s">
        <v>131</v>
      </c>
      <c r="M23" s="43" t="s">
        <v>149</v>
      </c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11745</v>
      </c>
      <c r="F26" s="78" t="s">
        <v>157</v>
      </c>
      <c r="G26" s="50" t="s">
        <v>8</v>
      </c>
      <c r="H26" s="39"/>
      <c r="I26" s="39">
        <v>1000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>
        <v>11745</v>
      </c>
      <c r="F27" s="78" t="s">
        <v>157</v>
      </c>
      <c r="G27" s="50" t="s">
        <v>8</v>
      </c>
      <c r="H27" s="39"/>
      <c r="I27" s="39">
        <v>500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0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7.25" x14ac:dyDescent="0.3">
      <c r="B32" s="30"/>
      <c r="C32" s="30"/>
      <c r="D32" s="38"/>
      <c r="E32" s="62"/>
      <c r="F32" s="61"/>
      <c r="G32" s="20"/>
      <c r="H32" s="21"/>
      <c r="I32" s="21"/>
      <c r="J32" s="38"/>
      <c r="K32" s="33"/>
      <c r="L32" s="33"/>
      <c r="M32" s="33"/>
    </row>
    <row r="33" spans="2:18" ht="16.5" x14ac:dyDescent="0.3">
      <c r="B33" s="30"/>
      <c r="C33" s="30"/>
      <c r="D33" s="38"/>
      <c r="E33" s="44"/>
      <c r="F33" s="45"/>
      <c r="G33" s="45"/>
      <c r="H33" s="46"/>
      <c r="I33" s="59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01" t="s">
        <v>143</v>
      </c>
      <c r="F34" s="101"/>
      <c r="G34" s="101"/>
      <c r="H34" s="101"/>
      <c r="I34" s="101"/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85" t="s">
        <v>22</v>
      </c>
      <c r="F35" s="86" t="s">
        <v>15</v>
      </c>
      <c r="G35" s="87" t="s">
        <v>16</v>
      </c>
      <c r="H35" s="88" t="s">
        <v>26</v>
      </c>
      <c r="I35" s="89" t="s">
        <v>27</v>
      </c>
      <c r="J35" s="38"/>
      <c r="K35" s="77">
        <v>11475</v>
      </c>
      <c r="L35" s="77">
        <v>3</v>
      </c>
      <c r="M35" s="91">
        <v>240</v>
      </c>
    </row>
    <row r="36" spans="2:18" ht="16.5" customHeight="1" x14ac:dyDescent="0.25">
      <c r="B36" s="38"/>
      <c r="C36" s="38"/>
      <c r="D36" s="38"/>
      <c r="E36" s="77">
        <v>10468</v>
      </c>
      <c r="F36" s="78" t="s">
        <v>245</v>
      </c>
      <c r="G36" s="51" t="s">
        <v>7</v>
      </c>
      <c r="H36" s="39">
        <v>127.85</v>
      </c>
      <c r="I36" s="39" t="s">
        <v>57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83">
        <v>11442</v>
      </c>
      <c r="F37" s="78" t="s">
        <v>246</v>
      </c>
      <c r="G37" s="51" t="s">
        <v>10</v>
      </c>
      <c r="H37" s="39">
        <v>125.5</v>
      </c>
      <c r="I37" s="39" t="s">
        <v>95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>
        <v>10495</v>
      </c>
      <c r="F38" s="78" t="s">
        <v>250</v>
      </c>
      <c r="G38" s="51" t="s">
        <v>10</v>
      </c>
      <c r="H38" s="39">
        <v>124.12</v>
      </c>
      <c r="I38" s="39" t="s">
        <v>39</v>
      </c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>
        <v>11519</v>
      </c>
      <c r="F39" s="78" t="s">
        <v>251</v>
      </c>
      <c r="G39" s="51" t="s">
        <v>10</v>
      </c>
      <c r="H39" s="39">
        <v>59.75</v>
      </c>
      <c r="I39" s="39" t="s">
        <v>48</v>
      </c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7">
        <v>11075</v>
      </c>
      <c r="F40" s="51" t="s">
        <v>252</v>
      </c>
      <c r="G40" s="51" t="s">
        <v>10</v>
      </c>
      <c r="H40" s="39">
        <v>110</v>
      </c>
      <c r="I40" s="39" t="s">
        <v>73</v>
      </c>
      <c r="J40" s="38"/>
      <c r="K40" s="79"/>
      <c r="L40" s="79"/>
      <c r="M40" s="92"/>
      <c r="Q40" s="1" t="s">
        <v>33</v>
      </c>
      <c r="R40" s="1">
        <f>SUM(R6:R21)</f>
        <v>10</v>
      </c>
    </row>
    <row r="41" spans="2:18" ht="16.5" customHeight="1" x14ac:dyDescent="0.25">
      <c r="B41" s="38"/>
      <c r="C41" s="38"/>
      <c r="D41" s="38"/>
      <c r="E41" s="79">
        <v>11075</v>
      </c>
      <c r="F41" s="80" t="s">
        <v>252</v>
      </c>
      <c r="G41" s="41" t="s">
        <v>10</v>
      </c>
      <c r="H41" s="42">
        <v>110</v>
      </c>
      <c r="I41" s="39" t="s">
        <v>72</v>
      </c>
      <c r="J41" s="38"/>
      <c r="K41" s="77"/>
      <c r="L41" s="77"/>
      <c r="M41" s="92"/>
    </row>
    <row r="42" spans="2:18" ht="17.25" x14ac:dyDescent="0.3">
      <c r="B42" s="38"/>
      <c r="C42" s="38"/>
      <c r="D42" s="38"/>
      <c r="E42" s="47"/>
      <c r="F42" s="20"/>
      <c r="G42" s="20"/>
      <c r="H42" s="21"/>
      <c r="I42" s="21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'10'!B1+1</f>
        <v>45911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4218.99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2948</v>
      </c>
      <c r="D6" s="30"/>
      <c r="E6" s="77">
        <v>11801</v>
      </c>
      <c r="F6" s="78" t="s">
        <v>254</v>
      </c>
      <c r="G6" s="51" t="s">
        <v>6</v>
      </c>
      <c r="H6" s="39">
        <v>1290</v>
      </c>
      <c r="I6" s="39">
        <v>20</v>
      </c>
      <c r="J6" s="30"/>
      <c r="K6" s="78" t="s">
        <v>156</v>
      </c>
      <c r="L6" s="91" t="s">
        <v>6</v>
      </c>
      <c r="M6" s="43">
        <v>30</v>
      </c>
      <c r="R6" s="1">
        <f>IF(vend11[[#This Row],[Nº Venda]]&gt;1,1,0)</f>
        <v>1</v>
      </c>
    </row>
    <row r="7" spans="2:18" ht="16.5" x14ac:dyDescent="0.3">
      <c r="B7" s="28" t="s">
        <v>3</v>
      </c>
      <c r="C7" s="29">
        <f>SUM(M6:M11)</f>
        <v>30</v>
      </c>
      <c r="D7" s="30"/>
      <c r="E7" s="77">
        <v>11802</v>
      </c>
      <c r="F7" s="78" t="s">
        <v>255</v>
      </c>
      <c r="G7" s="51" t="s">
        <v>36</v>
      </c>
      <c r="H7" s="39"/>
      <c r="I7" s="39"/>
      <c r="J7" s="30"/>
      <c r="K7" s="78"/>
      <c r="L7" s="91"/>
      <c r="M7" s="43"/>
      <c r="R7" s="1">
        <f>IF(vend11[[#This Row],[Nº Venda]]&gt;1,1,0)</f>
        <v>1</v>
      </c>
    </row>
    <row r="8" spans="2:18" ht="16.5" x14ac:dyDescent="0.3">
      <c r="B8" s="31" t="s">
        <v>21</v>
      </c>
      <c r="C8" s="32">
        <f>SUM(C6:C7)</f>
        <v>2978</v>
      </c>
      <c r="D8" s="30"/>
      <c r="E8" s="77">
        <v>11803</v>
      </c>
      <c r="F8" s="78" t="s">
        <v>256</v>
      </c>
      <c r="G8" s="51" t="s">
        <v>8</v>
      </c>
      <c r="H8" s="39">
        <v>150</v>
      </c>
      <c r="I8" s="39">
        <v>150</v>
      </c>
      <c r="J8" s="30"/>
      <c r="K8" s="78"/>
      <c r="L8" s="91"/>
      <c r="M8" s="43"/>
      <c r="R8" s="1">
        <f>IF(vend11[[#This Row],[Nº Venda]]&gt;1,1,0)</f>
        <v>1</v>
      </c>
    </row>
    <row r="9" spans="2:18" ht="16.5" x14ac:dyDescent="0.3">
      <c r="B9" s="27"/>
      <c r="C9" s="27"/>
      <c r="D9" s="30"/>
      <c r="E9" s="77">
        <v>11804</v>
      </c>
      <c r="F9" s="78" t="s">
        <v>257</v>
      </c>
      <c r="G9" s="51" t="s">
        <v>8</v>
      </c>
      <c r="H9" s="39">
        <v>1399.99</v>
      </c>
      <c r="I9" s="39">
        <v>1399</v>
      </c>
      <c r="J9" s="30"/>
      <c r="K9" s="78"/>
      <c r="L9" s="91"/>
      <c r="M9" s="43"/>
      <c r="R9" s="1">
        <f>IF(vend11[[#This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11805</v>
      </c>
      <c r="F10" s="78" t="s">
        <v>258</v>
      </c>
      <c r="G10" s="51" t="s">
        <v>10</v>
      </c>
      <c r="H10" s="39">
        <v>699</v>
      </c>
      <c r="I10" s="39">
        <v>699</v>
      </c>
      <c r="J10" s="30"/>
      <c r="K10" s="78"/>
      <c r="L10" s="91"/>
      <c r="M10" s="43"/>
      <c r="R10" s="1">
        <f>IF(vend11[[#This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30</v>
      </c>
      <c r="D11" s="30"/>
      <c r="E11" s="77">
        <v>11806</v>
      </c>
      <c r="F11" s="78" t="s">
        <v>259</v>
      </c>
      <c r="G11" s="51" t="s">
        <v>10</v>
      </c>
      <c r="H11" s="39">
        <v>630</v>
      </c>
      <c r="I11" s="39">
        <v>630</v>
      </c>
      <c r="J11" s="30"/>
      <c r="K11" s="38"/>
      <c r="L11" s="91"/>
      <c r="M11" s="43"/>
      <c r="O11" s="1">
        <f>IF(C16=0,0,1)</f>
        <v>1</v>
      </c>
      <c r="R11" s="1">
        <f>IF(vend11[[#This Row],[Nº Venda]]&gt;1,1,0)</f>
        <v>1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0</v>
      </c>
      <c r="D12" s="30"/>
      <c r="E12" s="77">
        <v>11806</v>
      </c>
      <c r="F12" s="78" t="s">
        <v>259</v>
      </c>
      <c r="G12" s="51" t="s">
        <v>8</v>
      </c>
      <c r="H12" s="39">
        <v>40</v>
      </c>
      <c r="I12" s="39">
        <v>40</v>
      </c>
      <c r="J12" s="30"/>
      <c r="K12" s="33"/>
      <c r="L12" s="33"/>
      <c r="M12" s="33"/>
      <c r="R12" s="1">
        <f>IF(vend11[[#This Row],[Nº Venda]]&gt;1,1,0)</f>
        <v>1</v>
      </c>
    </row>
    <row r="13" spans="2:18" ht="16.5" x14ac:dyDescent="0.3">
      <c r="B13" s="28" t="s">
        <v>8</v>
      </c>
      <c r="C13" s="71">
        <f t="shared" si="0"/>
        <v>1589</v>
      </c>
      <c r="D13" s="30"/>
      <c r="E13" s="77">
        <v>11806</v>
      </c>
      <c r="F13" s="78" t="s">
        <v>259</v>
      </c>
      <c r="G13" s="51" t="s">
        <v>6</v>
      </c>
      <c r="H13" s="39">
        <v>10</v>
      </c>
      <c r="I13" s="39">
        <v>10</v>
      </c>
      <c r="J13" s="30"/>
      <c r="K13" s="102" t="s">
        <v>142</v>
      </c>
      <c r="L13" s="103"/>
      <c r="M13" s="104"/>
      <c r="R13" s="1">
        <f>IF(vend11[[#This Row],[Nº Venda]]&gt;1,1,0)</f>
        <v>1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IF(vend11[[#This Row],[Nº Venda]]&gt;1,1,0)</f>
        <v>0</v>
      </c>
    </row>
    <row r="15" spans="2:18" ht="16.5" x14ac:dyDescent="0.3">
      <c r="B15" s="28" t="s">
        <v>10</v>
      </c>
      <c r="C15" s="71">
        <f t="shared" si="0"/>
        <v>1329</v>
      </c>
      <c r="D15" s="30"/>
      <c r="E15" s="77"/>
      <c r="F15" s="78"/>
      <c r="G15" s="51"/>
      <c r="H15" s="39"/>
      <c r="I15" s="39"/>
      <c r="J15" s="30"/>
      <c r="K15" s="77">
        <v>11760</v>
      </c>
      <c r="L15" s="91" t="s">
        <v>129</v>
      </c>
      <c r="M15" s="43" t="s">
        <v>149</v>
      </c>
      <c r="R15" s="1">
        <f>IF(vend11[[#This Row],[Nº Venda]]&gt;1,1,0)</f>
        <v>0</v>
      </c>
    </row>
    <row r="16" spans="2:18" ht="16.5" x14ac:dyDescent="0.3">
      <c r="B16" s="31" t="s">
        <v>11</v>
      </c>
      <c r="C16" s="72">
        <f>SUM(C11:C15)</f>
        <v>2948</v>
      </c>
      <c r="D16" s="30"/>
      <c r="E16" s="77"/>
      <c r="F16" s="78"/>
      <c r="G16" s="51"/>
      <c r="H16" s="39"/>
      <c r="I16" s="39"/>
      <c r="J16" s="30"/>
      <c r="K16" s="77">
        <v>11306</v>
      </c>
      <c r="L16" s="91" t="s">
        <v>129</v>
      </c>
      <c r="M16" s="43" t="s">
        <v>149</v>
      </c>
      <c r="R16" s="1">
        <f>IF(vend11[[#This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11740</v>
      </c>
      <c r="L17" s="91" t="s">
        <v>129</v>
      </c>
      <c r="M17" s="43" t="s">
        <v>149</v>
      </c>
      <c r="R17" s="1">
        <f>IF(vend11[[#This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11803</v>
      </c>
      <c r="L18" s="91" t="s">
        <v>129</v>
      </c>
      <c r="M18" s="43" t="s">
        <v>149</v>
      </c>
      <c r="R18" s="1">
        <f>IF(vend11[[#This Row],[Nº Venda]]&gt;1,1,0)</f>
        <v>0</v>
      </c>
    </row>
    <row r="19" spans="2:18" ht="16.5" x14ac:dyDescent="0.3">
      <c r="B19" s="28">
        <f>COUNT(entr_carn11[OS])</f>
        <v>0</v>
      </c>
      <c r="C19" s="71">
        <f>SUM(entr_carn11[Valor Total])</f>
        <v>0</v>
      </c>
      <c r="D19" s="30"/>
      <c r="E19" s="77"/>
      <c r="F19" s="78"/>
      <c r="G19" s="51"/>
      <c r="H19" s="39"/>
      <c r="I19" s="39"/>
      <c r="J19" s="30"/>
      <c r="K19" s="77">
        <v>11747</v>
      </c>
      <c r="L19" s="91" t="s">
        <v>131</v>
      </c>
      <c r="M19" s="43" t="s">
        <v>149</v>
      </c>
      <c r="R19" s="1">
        <f>IF(vend11[[#This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IF(vend11[[#This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4218.99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/>
      <c r="F26" s="78"/>
      <c r="G26" s="50"/>
      <c r="H26" s="39"/>
      <c r="I26" s="39"/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8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1.42578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'11'!B1+1</f>
        <v>45912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3032.7900000000004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2533.79</v>
      </c>
      <c r="D6" s="30"/>
      <c r="E6" s="77">
        <v>11807</v>
      </c>
      <c r="F6" s="48" t="s">
        <v>260</v>
      </c>
      <c r="G6" s="48" t="s">
        <v>36</v>
      </c>
      <c r="H6" s="49">
        <v>0</v>
      </c>
      <c r="I6" s="49">
        <v>0</v>
      </c>
      <c r="J6" s="30"/>
      <c r="K6" s="78" t="s">
        <v>203</v>
      </c>
      <c r="L6" s="91" t="s">
        <v>204</v>
      </c>
      <c r="M6" s="43">
        <v>129</v>
      </c>
      <c r="R6" s="1">
        <f>IF(vend12[[#This Row],[Nº Venda]]&gt;1,1,0)</f>
        <v>1</v>
      </c>
    </row>
    <row r="7" spans="2:18" ht="16.5" x14ac:dyDescent="0.3">
      <c r="B7" s="28" t="s">
        <v>3</v>
      </c>
      <c r="C7" s="29">
        <f>SUM(M6:M11)</f>
        <v>129</v>
      </c>
      <c r="D7" s="30"/>
      <c r="E7" s="77">
        <v>11808</v>
      </c>
      <c r="F7" s="50" t="s">
        <v>261</v>
      </c>
      <c r="G7" s="50" t="s">
        <v>6</v>
      </c>
      <c r="H7" s="39">
        <v>40</v>
      </c>
      <c r="I7" s="39">
        <v>40</v>
      </c>
      <c r="J7" s="30"/>
      <c r="K7" s="78"/>
      <c r="L7" s="91"/>
      <c r="M7" s="43"/>
      <c r="R7" s="1">
        <f>IF(vend12[[#This Row],[Nº Venda]]&gt;1,1,0)</f>
        <v>1</v>
      </c>
    </row>
    <row r="8" spans="2:18" ht="16.5" x14ac:dyDescent="0.3">
      <c r="B8" s="31" t="s">
        <v>21</v>
      </c>
      <c r="C8" s="32">
        <f>SUM(C6:C7)</f>
        <v>2662.79</v>
      </c>
      <c r="D8" s="30"/>
      <c r="E8" s="77">
        <v>11809</v>
      </c>
      <c r="F8" s="50" t="s">
        <v>262</v>
      </c>
      <c r="G8" s="50" t="s">
        <v>7</v>
      </c>
      <c r="H8" s="39">
        <v>199</v>
      </c>
      <c r="I8" s="39">
        <v>199</v>
      </c>
      <c r="J8" s="30"/>
      <c r="K8" s="78"/>
      <c r="L8" s="91"/>
      <c r="M8" s="43"/>
      <c r="R8" s="1">
        <f>IF(vend12[[#This Row],[Nº Venda]]&gt;1,1,0)</f>
        <v>1</v>
      </c>
    </row>
    <row r="9" spans="2:18" ht="16.5" x14ac:dyDescent="0.3">
      <c r="B9" s="27"/>
      <c r="C9" s="27"/>
      <c r="D9" s="30"/>
      <c r="E9" s="77">
        <v>11810</v>
      </c>
      <c r="F9" s="78" t="s">
        <v>262</v>
      </c>
      <c r="G9" s="51" t="s">
        <v>7</v>
      </c>
      <c r="H9" s="39">
        <v>201</v>
      </c>
      <c r="I9" s="39">
        <v>201</v>
      </c>
      <c r="J9" s="30"/>
      <c r="K9" s="78"/>
      <c r="L9" s="91"/>
      <c r="M9" s="43"/>
      <c r="R9" s="1">
        <f>IF(vend12[[#This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11811</v>
      </c>
      <c r="F10" s="78" t="s">
        <v>263</v>
      </c>
      <c r="G10" s="51" t="s">
        <v>7</v>
      </c>
      <c r="H10" s="39">
        <v>549</v>
      </c>
      <c r="I10" s="39">
        <v>100</v>
      </c>
      <c r="J10" s="30"/>
      <c r="K10" s="78"/>
      <c r="L10" s="91"/>
      <c r="M10" s="43"/>
      <c r="R10" s="1">
        <f>IF(vend12[[#This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129.89000000000001</v>
      </c>
      <c r="D11" s="30"/>
      <c r="E11" s="77">
        <v>11812</v>
      </c>
      <c r="F11" s="78" t="s">
        <v>264</v>
      </c>
      <c r="G11" s="51" t="s">
        <v>10</v>
      </c>
      <c r="H11" s="39">
        <v>195</v>
      </c>
      <c r="I11" s="39">
        <v>195</v>
      </c>
      <c r="J11" s="30"/>
      <c r="K11" s="38"/>
      <c r="L11" s="91"/>
      <c r="M11" s="43"/>
      <c r="O11" s="1">
        <f>IF(C16=0,0,1)</f>
        <v>1</v>
      </c>
      <c r="R11" s="1">
        <f>IF(vend12[[#This Row],[Nº Venda]]&gt;1,1,0)</f>
        <v>1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1000</v>
      </c>
      <c r="D12" s="30"/>
      <c r="E12" s="77">
        <v>11813</v>
      </c>
      <c r="F12" s="78" t="s">
        <v>262</v>
      </c>
      <c r="G12" s="51" t="s">
        <v>6</v>
      </c>
      <c r="H12" s="39">
        <v>10</v>
      </c>
      <c r="I12" s="39">
        <v>10</v>
      </c>
      <c r="J12" s="30"/>
      <c r="K12" s="33"/>
      <c r="L12" s="33"/>
      <c r="M12" s="33"/>
      <c r="R12" s="1">
        <f>IF(vend12[[#This Row],[Nº Venda]]&gt;1,1,0)</f>
        <v>1</v>
      </c>
    </row>
    <row r="13" spans="2:18" ht="16.5" x14ac:dyDescent="0.3">
      <c r="B13" s="28" t="s">
        <v>8</v>
      </c>
      <c r="C13" s="71">
        <f t="shared" si="0"/>
        <v>559.9</v>
      </c>
      <c r="D13" s="30"/>
      <c r="E13" s="77">
        <v>11814</v>
      </c>
      <c r="F13" s="78" t="s">
        <v>265</v>
      </c>
      <c r="G13" s="51" t="s">
        <v>8</v>
      </c>
      <c r="H13" s="39">
        <v>129.9</v>
      </c>
      <c r="I13" s="39">
        <v>129.9</v>
      </c>
      <c r="J13" s="30"/>
      <c r="K13" s="102" t="s">
        <v>142</v>
      </c>
      <c r="L13" s="103"/>
      <c r="M13" s="104"/>
      <c r="R13" s="1">
        <f>IF(vend12[[#This Row],[Nº Venda]]&gt;1,1,0)</f>
        <v>1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>
        <v>11815</v>
      </c>
      <c r="F14" s="78" t="s">
        <v>266</v>
      </c>
      <c r="G14" s="51" t="s">
        <v>6</v>
      </c>
      <c r="H14" s="39">
        <v>39.99</v>
      </c>
      <c r="I14" s="39">
        <v>39.99</v>
      </c>
      <c r="J14" s="30"/>
      <c r="K14" s="22" t="s">
        <v>22</v>
      </c>
      <c r="L14" s="23" t="s">
        <v>23</v>
      </c>
      <c r="M14" s="24" t="s">
        <v>24</v>
      </c>
      <c r="R14" s="1">
        <f>IF(vend12[[#This Row],[Nº Venda]]&gt;1,1,0)</f>
        <v>1</v>
      </c>
    </row>
    <row r="15" spans="2:18" ht="16.5" x14ac:dyDescent="0.3">
      <c r="B15" s="28" t="s">
        <v>10</v>
      </c>
      <c r="C15" s="71">
        <f t="shared" si="0"/>
        <v>844</v>
      </c>
      <c r="D15" s="30"/>
      <c r="E15" s="77">
        <v>11816</v>
      </c>
      <c r="F15" s="78" t="s">
        <v>265</v>
      </c>
      <c r="G15" s="51" t="s">
        <v>36</v>
      </c>
      <c r="H15" s="39">
        <v>0</v>
      </c>
      <c r="I15" s="39">
        <v>0</v>
      </c>
      <c r="J15" s="30"/>
      <c r="K15" s="77">
        <v>11076</v>
      </c>
      <c r="L15" s="91" t="s">
        <v>131</v>
      </c>
      <c r="M15" s="43" t="s">
        <v>149</v>
      </c>
      <c r="R15" s="1">
        <f>IF(vend12[[#This Row],[Nº Venda]]&gt;1,1,0)</f>
        <v>1</v>
      </c>
    </row>
    <row r="16" spans="2:18" ht="16.5" x14ac:dyDescent="0.3">
      <c r="B16" s="31" t="s">
        <v>11</v>
      </c>
      <c r="C16" s="72">
        <f>SUM(C11:C15)</f>
        <v>2533.79</v>
      </c>
      <c r="D16" s="30"/>
      <c r="E16" s="77">
        <v>11817</v>
      </c>
      <c r="F16" s="78" t="s">
        <v>267</v>
      </c>
      <c r="G16" s="51" t="s">
        <v>10</v>
      </c>
      <c r="H16" s="39">
        <v>549</v>
      </c>
      <c r="I16" s="39">
        <v>549</v>
      </c>
      <c r="J16" s="30"/>
      <c r="K16" s="77">
        <v>11632</v>
      </c>
      <c r="L16" s="91" t="s">
        <v>131</v>
      </c>
      <c r="M16" s="43" t="s">
        <v>149</v>
      </c>
      <c r="R16" s="1">
        <f>IF(vend12[[#This Row],[Nº Venda]]&gt;1,1,0)</f>
        <v>1</v>
      </c>
    </row>
    <row r="17" spans="2:18" ht="16.5" x14ac:dyDescent="0.3">
      <c r="B17" s="27"/>
      <c r="C17" s="27"/>
      <c r="D17" s="30"/>
      <c r="E17" s="77">
        <v>11818</v>
      </c>
      <c r="F17" s="78" t="s">
        <v>268</v>
      </c>
      <c r="G17" s="51" t="s">
        <v>10</v>
      </c>
      <c r="H17" s="39">
        <v>650</v>
      </c>
      <c r="I17" s="39">
        <v>100</v>
      </c>
      <c r="J17" s="30"/>
      <c r="K17" s="77">
        <v>11633</v>
      </c>
      <c r="L17" s="91" t="s">
        <v>131</v>
      </c>
      <c r="M17" s="43" t="s">
        <v>149</v>
      </c>
      <c r="R17" s="1">
        <f>IF(vend12[[#This Row],[Nº Venda]]&gt;1,1,0)</f>
        <v>1</v>
      </c>
    </row>
    <row r="18" spans="2:18" ht="16.5" x14ac:dyDescent="0.3">
      <c r="B18" s="109" t="s">
        <v>12</v>
      </c>
      <c r="C18" s="110"/>
      <c r="D18" s="30"/>
      <c r="E18" s="77">
        <v>11819</v>
      </c>
      <c r="F18" s="78" t="s">
        <v>269</v>
      </c>
      <c r="G18" s="51" t="s">
        <v>8</v>
      </c>
      <c r="H18" s="39">
        <v>430</v>
      </c>
      <c r="I18" s="39">
        <v>430</v>
      </c>
      <c r="J18" s="30"/>
      <c r="K18" s="77">
        <v>11634</v>
      </c>
      <c r="L18" s="91" t="s">
        <v>131</v>
      </c>
      <c r="M18" s="43" t="s">
        <v>149</v>
      </c>
      <c r="R18" s="1">
        <f>IF(vend12[[#This Row],[Nº Venda]]&gt;1,1,0)</f>
        <v>1</v>
      </c>
    </row>
    <row r="19" spans="2:18" ht="16.5" x14ac:dyDescent="0.3">
      <c r="B19" s="28">
        <f>COUNT(entr_carn12[OS])</f>
        <v>1</v>
      </c>
      <c r="C19" s="71">
        <f>SUM(entr_carn12[Valor Total])</f>
        <v>790</v>
      </c>
      <c r="D19" s="30"/>
      <c r="E19" s="77"/>
      <c r="F19" s="78"/>
      <c r="G19" s="51"/>
      <c r="H19" s="39"/>
      <c r="I19" s="39"/>
      <c r="J19" s="30"/>
      <c r="K19" s="77">
        <v>11705</v>
      </c>
      <c r="L19" s="91" t="s">
        <v>129</v>
      </c>
      <c r="M19" s="43" t="s">
        <v>249</v>
      </c>
      <c r="R19" s="1">
        <f>IF(vend12[[#This Row],[Nº Venda]]&gt;1,1,0)</f>
        <v>0</v>
      </c>
    </row>
    <row r="20" spans="2:18" ht="16.5" x14ac:dyDescent="0.3">
      <c r="B20" s="31" t="s">
        <v>11</v>
      </c>
      <c r="C20" s="72">
        <f>SUM(C19:C19)</f>
        <v>790</v>
      </c>
      <c r="D20" s="30"/>
      <c r="E20" s="77"/>
      <c r="F20" s="51"/>
      <c r="G20" s="51"/>
      <c r="H20" s="39"/>
      <c r="I20" s="39"/>
      <c r="J20" s="30"/>
      <c r="K20" s="77">
        <v>11732</v>
      </c>
      <c r="L20" s="91" t="s">
        <v>131</v>
      </c>
      <c r="M20" s="43" t="s">
        <v>149</v>
      </c>
      <c r="R20" s="1">
        <f>IF(vend12[[#This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11733</v>
      </c>
      <c r="L21" s="91" t="s">
        <v>131</v>
      </c>
      <c r="M21" s="43" t="s">
        <v>149</v>
      </c>
    </row>
    <row r="22" spans="2:18" ht="16.5" x14ac:dyDescent="0.3">
      <c r="B22" s="31" t="s">
        <v>25</v>
      </c>
      <c r="C22" s="34">
        <f>C5</f>
        <v>3032.7900000000004</v>
      </c>
      <c r="D22" s="30"/>
      <c r="E22" s="79"/>
      <c r="F22" s="78"/>
      <c r="G22" s="51"/>
      <c r="H22" s="39"/>
      <c r="I22" s="39"/>
      <c r="J22" s="30"/>
      <c r="K22" s="77">
        <v>11736</v>
      </c>
      <c r="L22" s="91" t="s">
        <v>131</v>
      </c>
      <c r="M22" s="43" t="s">
        <v>149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>
        <v>11789</v>
      </c>
      <c r="L23" s="91" t="s">
        <v>131</v>
      </c>
      <c r="M23" s="43" t="s">
        <v>149</v>
      </c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>
        <v>11808</v>
      </c>
      <c r="L24" s="91" t="s">
        <v>129</v>
      </c>
      <c r="M24" s="43" t="s">
        <v>149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>
        <v>11813</v>
      </c>
      <c r="L25" s="91" t="s">
        <v>129</v>
      </c>
      <c r="M25" s="43" t="s">
        <v>149</v>
      </c>
    </row>
    <row r="26" spans="2:18" ht="16.5" x14ac:dyDescent="0.3">
      <c r="B26" s="30"/>
      <c r="C26" s="30"/>
      <c r="D26" s="30"/>
      <c r="E26" s="77">
        <v>11789</v>
      </c>
      <c r="F26" s="78" t="s">
        <v>239</v>
      </c>
      <c r="G26" s="51" t="s">
        <v>6</v>
      </c>
      <c r="H26" s="39">
        <v>39.9</v>
      </c>
      <c r="I26" s="39">
        <v>39.9</v>
      </c>
      <c r="J26" s="30"/>
      <c r="K26" s="77">
        <v>11814</v>
      </c>
      <c r="L26" s="91" t="s">
        <v>131</v>
      </c>
      <c r="M26" s="43" t="s">
        <v>149</v>
      </c>
    </row>
    <row r="27" spans="2:18" ht="16.5" x14ac:dyDescent="0.3">
      <c r="B27" s="30"/>
      <c r="C27" s="30"/>
      <c r="D27" s="30"/>
      <c r="E27" s="77">
        <v>11801</v>
      </c>
      <c r="F27" s="50" t="s">
        <v>262</v>
      </c>
      <c r="G27" s="50" t="s">
        <v>7</v>
      </c>
      <c r="H27" s="39">
        <v>0</v>
      </c>
      <c r="I27" s="39">
        <v>500</v>
      </c>
      <c r="J27" s="30"/>
      <c r="K27" s="77">
        <v>11815</v>
      </c>
      <c r="L27" s="91" t="s">
        <v>187</v>
      </c>
      <c r="M27" s="43" t="s">
        <v>149</v>
      </c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>
        <v>11705</v>
      </c>
      <c r="L35" s="77">
        <v>6</v>
      </c>
      <c r="M35" s="91">
        <v>790</v>
      </c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13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topLeftCell="A4"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'12'!B1+1</f>
        <v>45913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4410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2786</v>
      </c>
      <c r="D6" s="30"/>
      <c r="E6" s="77">
        <v>11820</v>
      </c>
      <c r="F6" s="78" t="s">
        <v>270</v>
      </c>
      <c r="G6" s="51" t="s">
        <v>36</v>
      </c>
      <c r="H6" s="39">
        <v>0</v>
      </c>
      <c r="I6" s="39">
        <v>0</v>
      </c>
      <c r="J6" s="30"/>
      <c r="K6" s="78" t="s">
        <v>203</v>
      </c>
      <c r="L6" s="91" t="s">
        <v>204</v>
      </c>
      <c r="M6" s="43">
        <v>50</v>
      </c>
      <c r="R6" s="1">
        <f>IF(vend13[[#This Row],[Nº Venda]]&gt;1,1,0)</f>
        <v>1</v>
      </c>
    </row>
    <row r="7" spans="2:18" ht="16.5" x14ac:dyDescent="0.3">
      <c r="B7" s="28" t="s">
        <v>3</v>
      </c>
      <c r="C7" s="29">
        <f>SUM(M6:M11)</f>
        <v>50</v>
      </c>
      <c r="D7" s="30"/>
      <c r="E7" s="77">
        <v>11821</v>
      </c>
      <c r="F7" s="78" t="s">
        <v>271</v>
      </c>
      <c r="G7" s="51" t="s">
        <v>6</v>
      </c>
      <c r="H7" s="39">
        <v>700</v>
      </c>
      <c r="I7" s="39">
        <v>30</v>
      </c>
      <c r="J7" s="30"/>
      <c r="K7" s="78"/>
      <c r="L7" s="91"/>
      <c r="M7" s="43"/>
      <c r="R7" s="1">
        <f>IF(vend13[[#This Row],[Nº Venda]]&gt;1,1,0)</f>
        <v>1</v>
      </c>
    </row>
    <row r="8" spans="2:18" ht="16.5" x14ac:dyDescent="0.3">
      <c r="B8" s="31" t="s">
        <v>21</v>
      </c>
      <c r="C8" s="32">
        <f>SUM(C6:C7)</f>
        <v>2836</v>
      </c>
      <c r="D8" s="30"/>
      <c r="E8" s="77">
        <v>11822</v>
      </c>
      <c r="F8" s="78" t="s">
        <v>272</v>
      </c>
      <c r="G8" s="51" t="s">
        <v>36</v>
      </c>
      <c r="H8" s="39">
        <v>0</v>
      </c>
      <c r="I8" s="39">
        <v>0</v>
      </c>
      <c r="J8" s="30"/>
      <c r="K8" s="78"/>
      <c r="L8" s="91"/>
      <c r="M8" s="43"/>
      <c r="R8" s="1">
        <f>IF(vend13[[#This Row],[Nº Venda]]&gt;1,1,0)</f>
        <v>1</v>
      </c>
    </row>
    <row r="9" spans="2:18" ht="16.5" x14ac:dyDescent="0.3">
      <c r="B9" s="27"/>
      <c r="C9" s="27"/>
      <c r="D9" s="30"/>
      <c r="E9" s="77">
        <v>11823</v>
      </c>
      <c r="F9" s="78" t="s">
        <v>271</v>
      </c>
      <c r="G9" s="51" t="s">
        <v>6</v>
      </c>
      <c r="H9" s="39">
        <v>150</v>
      </c>
      <c r="I9" s="39">
        <v>20</v>
      </c>
      <c r="J9" s="30"/>
      <c r="K9" s="78"/>
      <c r="L9" s="91"/>
      <c r="M9" s="43"/>
      <c r="R9" s="1">
        <f>IF(vend13[[#This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11824</v>
      </c>
      <c r="F10" s="78" t="s">
        <v>273</v>
      </c>
      <c r="G10" s="51" t="s">
        <v>8</v>
      </c>
      <c r="H10" s="39">
        <v>690</v>
      </c>
      <c r="I10" s="39">
        <v>690</v>
      </c>
      <c r="J10" s="30"/>
      <c r="K10" s="78"/>
      <c r="L10" s="91"/>
      <c r="M10" s="43"/>
      <c r="R10" s="1">
        <f>IF(vend13[[#This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50</v>
      </c>
      <c r="D11" s="30"/>
      <c r="E11" s="77">
        <v>11825</v>
      </c>
      <c r="F11" s="78" t="s">
        <v>274</v>
      </c>
      <c r="G11" s="51" t="s">
        <v>10</v>
      </c>
      <c r="H11" s="39">
        <v>149</v>
      </c>
      <c r="I11" s="39">
        <v>100</v>
      </c>
      <c r="J11" s="30"/>
      <c r="K11" s="38"/>
      <c r="L11" s="91"/>
      <c r="M11" s="43"/>
      <c r="O11" s="1">
        <f>IF(C16=0,0,1)</f>
        <v>1</v>
      </c>
      <c r="R11" s="1">
        <f>IF(vend13[[#This Row],[Nº Venda]]&gt;1,1,0)</f>
        <v>1</v>
      </c>
    </row>
    <row r="12" spans="2:18" ht="16.5" x14ac:dyDescent="0.3">
      <c r="B12" s="28" t="s">
        <v>7</v>
      </c>
      <c r="C12" s="71">
        <f>(SUMIF($G$2:$G$31,B12,$I$2:$I$31))+(SUMIF($G$35:$G$41,B12,$H$35:$H$41))</f>
        <v>20</v>
      </c>
      <c r="D12" s="30"/>
      <c r="E12" s="77">
        <v>11826</v>
      </c>
      <c r="F12" s="78" t="s">
        <v>275</v>
      </c>
      <c r="G12" s="51" t="s">
        <v>10</v>
      </c>
      <c r="H12" s="39">
        <v>40</v>
      </c>
      <c r="I12" s="39">
        <v>40</v>
      </c>
      <c r="J12" s="30"/>
      <c r="K12" s="33"/>
      <c r="L12" s="33"/>
      <c r="M12" s="33"/>
      <c r="R12" s="1">
        <f>IF(vend13[[#This Row],[Nº Venda]]&gt;1,1,0)</f>
        <v>1</v>
      </c>
    </row>
    <row r="13" spans="2:18" ht="16.5" x14ac:dyDescent="0.3">
      <c r="B13" s="28" t="s">
        <v>8</v>
      </c>
      <c r="C13" s="71">
        <f>(SUMIF($G$2:$G$31,B13,$I$2:$I$31))+(SUMIF($G$35:$G$41,B13,$H$35:$H$41))</f>
        <v>1831</v>
      </c>
      <c r="D13" s="30"/>
      <c r="E13" s="77">
        <v>11827</v>
      </c>
      <c r="F13" s="78" t="s">
        <v>275</v>
      </c>
      <c r="G13" s="51" t="s">
        <v>10</v>
      </c>
      <c r="H13" s="39">
        <v>45</v>
      </c>
      <c r="I13" s="39">
        <v>45</v>
      </c>
      <c r="J13" s="30"/>
      <c r="K13" s="102" t="s">
        <v>142</v>
      </c>
      <c r="L13" s="103"/>
      <c r="M13" s="104"/>
      <c r="R13" s="1">
        <f>IF(vend13[[#This Row],[Nº Venda]]&gt;1,1,0)</f>
        <v>1</v>
      </c>
    </row>
    <row r="14" spans="2:18" ht="16.5" x14ac:dyDescent="0.3">
      <c r="B14" s="28" t="s">
        <v>9</v>
      </c>
      <c r="C14" s="71">
        <f>(SUMIF($G$2:$G$31,B14,$I$2:$I$31))+(SUMIF($G$35:$G$41,B14,$H$35:$H$41))</f>
        <v>0</v>
      </c>
      <c r="D14" s="30"/>
      <c r="E14" s="77">
        <v>11828</v>
      </c>
      <c r="F14" s="78" t="s">
        <v>276</v>
      </c>
      <c r="G14" s="51" t="s">
        <v>8</v>
      </c>
      <c r="H14" s="39">
        <v>366</v>
      </c>
      <c r="I14" s="39">
        <v>366</v>
      </c>
      <c r="J14" s="30"/>
      <c r="K14" s="22" t="s">
        <v>22</v>
      </c>
      <c r="L14" s="23" t="s">
        <v>23</v>
      </c>
      <c r="M14" s="24" t="s">
        <v>24</v>
      </c>
      <c r="R14" s="1">
        <f>IF(vend13[[#This Row],[Nº Venda]]&gt;1,1,0)</f>
        <v>1</v>
      </c>
    </row>
    <row r="15" spans="2:18" ht="16.5" x14ac:dyDescent="0.3">
      <c r="B15" s="28" t="s">
        <v>10</v>
      </c>
      <c r="C15" s="71">
        <f>(SUMIF($G$2:$G$31,B15,$I$2:$I$31))+(SUMIF($G$35:$G$41,B15,$H$35:$H$41))</f>
        <v>885</v>
      </c>
      <c r="D15" s="30"/>
      <c r="E15" s="77">
        <v>11829</v>
      </c>
      <c r="F15" s="78" t="s">
        <v>277</v>
      </c>
      <c r="G15" s="51" t="s">
        <v>8</v>
      </c>
      <c r="H15" s="39">
        <v>220</v>
      </c>
      <c r="I15" s="39">
        <v>220</v>
      </c>
      <c r="J15" s="30"/>
      <c r="K15" s="77">
        <v>11751</v>
      </c>
      <c r="L15" s="91" t="s">
        <v>129</v>
      </c>
      <c r="M15" s="43" t="s">
        <v>149</v>
      </c>
      <c r="R15" s="1">
        <f>IF(vend13[[#This Row],[Nº Venda]]&gt;1,1,0)</f>
        <v>1</v>
      </c>
    </row>
    <row r="16" spans="2:18" ht="16.5" x14ac:dyDescent="0.3">
      <c r="B16" s="31" t="s">
        <v>11</v>
      </c>
      <c r="C16" s="72">
        <f>SUM(C11:C15)</f>
        <v>2786</v>
      </c>
      <c r="D16" s="30"/>
      <c r="E16" s="77">
        <v>11830</v>
      </c>
      <c r="F16" s="78" t="s">
        <v>277</v>
      </c>
      <c r="G16" s="51" t="s">
        <v>8</v>
      </c>
      <c r="H16" s="39">
        <v>220</v>
      </c>
      <c r="I16" s="39">
        <v>220</v>
      </c>
      <c r="J16" s="30"/>
      <c r="K16" s="77">
        <v>11767</v>
      </c>
      <c r="L16" s="91" t="s">
        <v>131</v>
      </c>
      <c r="M16" s="43" t="s">
        <v>149</v>
      </c>
      <c r="R16" s="1">
        <f>IF(vend13[[#This Row],[Nº Venda]]&gt;1,1,0)</f>
        <v>1</v>
      </c>
    </row>
    <row r="17" spans="2:18" ht="16.5" x14ac:dyDescent="0.3">
      <c r="B17" s="27"/>
      <c r="C17" s="27"/>
      <c r="D17" s="30"/>
      <c r="E17" s="77">
        <v>11831</v>
      </c>
      <c r="F17" s="78" t="s">
        <v>277</v>
      </c>
      <c r="G17" s="51" t="s">
        <v>8</v>
      </c>
      <c r="H17" s="39">
        <v>220</v>
      </c>
      <c r="I17" s="39">
        <v>220</v>
      </c>
      <c r="J17" s="30"/>
      <c r="K17" s="77">
        <v>11779</v>
      </c>
      <c r="L17" s="91" t="s">
        <v>129</v>
      </c>
      <c r="M17" s="43" t="s">
        <v>149</v>
      </c>
      <c r="R17" s="1">
        <f>IF(vend13[[#This Row],[Nº Venda]]&gt;1,1,0)</f>
        <v>1</v>
      </c>
    </row>
    <row r="18" spans="2:18" ht="16.5" x14ac:dyDescent="0.3">
      <c r="B18" s="109" t="s">
        <v>12</v>
      </c>
      <c r="C18" s="110"/>
      <c r="D18" s="30"/>
      <c r="E18" s="77">
        <v>11832</v>
      </c>
      <c r="F18" s="78" t="s">
        <v>278</v>
      </c>
      <c r="G18" s="51" t="s">
        <v>10</v>
      </c>
      <c r="H18" s="39">
        <v>795</v>
      </c>
      <c r="I18" s="39">
        <v>350</v>
      </c>
      <c r="J18" s="30"/>
      <c r="K18" s="77">
        <v>11796</v>
      </c>
      <c r="L18" s="91" t="s">
        <v>131</v>
      </c>
      <c r="M18" s="43" t="s">
        <v>149</v>
      </c>
      <c r="R18" s="1">
        <f>IF(vend13[[#This Row],[Nº Venda]]&gt;1,1,0)</f>
        <v>1</v>
      </c>
    </row>
    <row r="19" spans="2:18" ht="16.5" x14ac:dyDescent="0.3">
      <c r="B19" s="28">
        <f>COUNT(entr_carn13[OS])</f>
        <v>0</v>
      </c>
      <c r="C19" s="71">
        <f>SUM(entr_carn13[Valor Total])</f>
        <v>0</v>
      </c>
      <c r="D19" s="30"/>
      <c r="E19" s="77">
        <v>11833</v>
      </c>
      <c r="F19" s="78" t="s">
        <v>279</v>
      </c>
      <c r="G19" s="51" t="s">
        <v>10</v>
      </c>
      <c r="H19" s="39">
        <v>795</v>
      </c>
      <c r="I19" s="39">
        <v>350</v>
      </c>
      <c r="J19" s="30"/>
      <c r="K19" s="77">
        <v>11827</v>
      </c>
      <c r="L19" s="91" t="s">
        <v>131</v>
      </c>
      <c r="M19" s="43" t="s">
        <v>149</v>
      </c>
      <c r="R19" s="1">
        <f>IF(vend13[[#This Row],[Nº Venda]]&gt;1,1,0)</f>
        <v>1</v>
      </c>
    </row>
    <row r="20" spans="2:18" ht="16.5" x14ac:dyDescent="0.3">
      <c r="B20" s="31" t="s">
        <v>11</v>
      </c>
      <c r="C20" s="72">
        <f>SUM(C19:C19)</f>
        <v>0</v>
      </c>
      <c r="D20" s="30"/>
      <c r="E20" s="77">
        <v>11834</v>
      </c>
      <c r="F20" s="51" t="s">
        <v>280</v>
      </c>
      <c r="G20" s="51" t="s">
        <v>46</v>
      </c>
      <c r="H20" s="39">
        <v>650</v>
      </c>
      <c r="I20" s="39">
        <v>0</v>
      </c>
      <c r="J20" s="30"/>
      <c r="K20" s="77">
        <v>11828</v>
      </c>
      <c r="L20" s="91" t="s">
        <v>131</v>
      </c>
      <c r="M20" s="43" t="s">
        <v>149</v>
      </c>
      <c r="R20" s="1">
        <f>IF(vend13[[#This Row],[Nº Venda]]&gt;1,1,0)</f>
        <v>1</v>
      </c>
    </row>
    <row r="21" spans="2:18" ht="16.5" x14ac:dyDescent="0.3">
      <c r="B21" s="27"/>
      <c r="C21" s="27"/>
      <c r="D21" s="30"/>
      <c r="E21" s="82">
        <v>11835</v>
      </c>
      <c r="F21" s="51" t="s">
        <v>279</v>
      </c>
      <c r="G21" s="51" t="s">
        <v>7</v>
      </c>
      <c r="H21" s="39">
        <v>20</v>
      </c>
      <c r="I21" s="39">
        <v>20</v>
      </c>
      <c r="J21" s="30"/>
      <c r="K21" s="77">
        <v>11835</v>
      </c>
      <c r="L21" s="91" t="s">
        <v>129</v>
      </c>
      <c r="M21" s="43" t="s">
        <v>149</v>
      </c>
    </row>
    <row r="22" spans="2:18" ht="16.5" x14ac:dyDescent="0.3">
      <c r="B22" s="31" t="s">
        <v>25</v>
      </c>
      <c r="C22" s="34">
        <f>C5</f>
        <v>4410</v>
      </c>
      <c r="D22" s="30"/>
      <c r="E22" s="82"/>
      <c r="F22" s="51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82"/>
      <c r="F23" s="51"/>
      <c r="G23" s="51"/>
      <c r="H23" s="39"/>
      <c r="I23" s="39"/>
      <c r="J23" s="30"/>
      <c r="K23" s="77"/>
      <c r="L23" s="91"/>
      <c r="M23" s="43"/>
    </row>
    <row r="24" spans="2:18" ht="16.5" x14ac:dyDescent="0.3">
      <c r="B24" s="30"/>
      <c r="C24" s="30"/>
      <c r="D24" s="30"/>
      <c r="E24" s="77"/>
      <c r="F24" s="78"/>
      <c r="G24" s="51"/>
      <c r="H24" s="39"/>
      <c r="I24" s="39"/>
      <c r="J24" s="30"/>
      <c r="K24" s="77"/>
      <c r="L24" s="91"/>
      <c r="M24" s="43"/>
    </row>
    <row r="25" spans="2:18" ht="16.5" x14ac:dyDescent="0.3">
      <c r="B25" s="30"/>
      <c r="C25" s="30"/>
      <c r="D25" s="30"/>
      <c r="E25" s="79"/>
      <c r="F25" s="78"/>
      <c r="G25" s="51"/>
      <c r="H25" s="39"/>
      <c r="I25" s="39"/>
      <c r="J25" s="30"/>
      <c r="K25" s="77"/>
      <c r="L25" s="91"/>
      <c r="M25" s="43"/>
    </row>
    <row r="26" spans="2:18" ht="16.5" x14ac:dyDescent="0.3">
      <c r="B26" s="30"/>
      <c r="C26" s="30"/>
      <c r="D26" s="30"/>
      <c r="E26" s="35"/>
      <c r="F26" s="35"/>
      <c r="G26" s="35"/>
      <c r="H26" s="36"/>
      <c r="I26" s="37"/>
      <c r="J26" s="30"/>
      <c r="K26" s="77"/>
      <c r="L26" s="91"/>
      <c r="M26" s="43"/>
    </row>
    <row r="27" spans="2:18" ht="16.5" x14ac:dyDescent="0.3">
      <c r="B27" s="30"/>
      <c r="C27" s="30"/>
      <c r="D27" s="30"/>
      <c r="E27" s="100" t="s">
        <v>139</v>
      </c>
      <c r="F27" s="101"/>
      <c r="G27" s="101"/>
      <c r="H27" s="101"/>
      <c r="I27" s="101"/>
      <c r="J27" s="30"/>
      <c r="K27" s="77"/>
      <c r="L27" s="91"/>
      <c r="M27" s="43"/>
    </row>
    <row r="28" spans="2:18" ht="16.5" x14ac:dyDescent="0.3">
      <c r="B28" s="30"/>
      <c r="C28" s="30"/>
      <c r="D28" s="30"/>
      <c r="E28" s="17" t="s">
        <v>14</v>
      </c>
      <c r="F28" s="16" t="s">
        <v>15</v>
      </c>
      <c r="G28" s="17" t="s">
        <v>16</v>
      </c>
      <c r="H28" s="18" t="s">
        <v>17</v>
      </c>
      <c r="I28" s="18" t="s">
        <v>2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>
        <v>11796</v>
      </c>
      <c r="F29" s="78" t="s">
        <v>213</v>
      </c>
      <c r="G29" s="51" t="s">
        <v>8</v>
      </c>
      <c r="H29" s="39">
        <v>0</v>
      </c>
      <c r="I29" s="39">
        <v>115</v>
      </c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78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7"/>
      <c r="F31" s="78"/>
      <c r="G31" s="51"/>
      <c r="H31" s="39"/>
      <c r="I31" s="39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15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7:I27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2119B4F-A091-415F-B810-84755357089F}">
          <x14:formula1>
            <xm:f>base!$A$2:$A$6</xm:f>
          </x14:formula1>
          <xm:sqref>G29:G31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E29:E31 E35:E41 K35:K41 K15:K31 E6:E25</xm:sqref>
        </x14:dataValidation>
        <x14:dataValidation type="list" allowBlank="1" showInputMessage="1" showErrorMessage="1" xr:uid="{245BDF35-8AB3-43D0-BD06-D449F65BEBB8}">
          <x14:formula1>
            <xm:f>base!$A$2:$A$9</xm:f>
          </x14:formula1>
          <xm:sqref>G6:G25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'13'!B1+1</f>
        <v>45914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7"/>
      <c r="F6" s="78"/>
      <c r="G6" s="50"/>
      <c r="H6" s="39"/>
      <c r="I6" s="39"/>
      <c r="J6" s="30"/>
      <c r="K6" s="78"/>
      <c r="L6" s="91"/>
      <c r="M6" s="43"/>
      <c r="R6" s="1">
        <f>IF(vend14[[#This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7"/>
      <c r="F7" s="78"/>
      <c r="G7" s="50"/>
      <c r="H7" s="39"/>
      <c r="I7" s="39"/>
      <c r="J7" s="30"/>
      <c r="K7" s="78"/>
      <c r="L7" s="91"/>
      <c r="M7" s="43"/>
      <c r="R7" s="1">
        <f>IF(vend14[[#This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7"/>
      <c r="F8" s="78"/>
      <c r="G8" s="51"/>
      <c r="H8" s="39"/>
      <c r="I8" s="39"/>
      <c r="J8" s="30"/>
      <c r="K8" s="78"/>
      <c r="L8" s="91"/>
      <c r="M8" s="43"/>
      <c r="R8" s="1">
        <f>IF(vend14[[#This Row],[Nº Venda]]&gt;1,1,0)</f>
        <v>0</v>
      </c>
    </row>
    <row r="9" spans="2:18" ht="16.5" x14ac:dyDescent="0.3">
      <c r="B9" s="27"/>
      <c r="C9" s="27"/>
      <c r="D9" s="30"/>
      <c r="E9" s="77"/>
      <c r="F9" s="78"/>
      <c r="G9" s="51"/>
      <c r="H9" s="39"/>
      <c r="I9" s="39"/>
      <c r="J9" s="30"/>
      <c r="K9" s="78"/>
      <c r="L9" s="91"/>
      <c r="M9" s="43"/>
      <c r="R9" s="1">
        <f>IF(vend14[[#This Row],[Nº Venda]]&gt;1,1,0)</f>
        <v>0</v>
      </c>
    </row>
    <row r="10" spans="2:18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R10" s="1">
        <f>IF(vend14[[#This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0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0</v>
      </c>
      <c r="R11" s="1">
        <f>IF(vend14[[#This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IF(vend14[[#This Row],[Nº Venda]]&gt;1,1,0)</f>
        <v>0</v>
      </c>
    </row>
    <row r="13" spans="2:18" ht="16.5" x14ac:dyDescent="0.3">
      <c r="B13" s="28" t="s">
        <v>8</v>
      </c>
      <c r="C13" s="71">
        <f t="shared" si="0"/>
        <v>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IF(vend14[[#This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IF(vend14[[#This Row],[Nº Venda]]&gt;1,1,0)</f>
        <v>0</v>
      </c>
    </row>
    <row r="15" spans="2:18" ht="16.5" x14ac:dyDescent="0.3">
      <c r="B15" s="28" t="s">
        <v>10</v>
      </c>
      <c r="C15" s="71">
        <f t="shared" si="0"/>
        <v>0</v>
      </c>
      <c r="D15" s="30"/>
      <c r="E15" s="77"/>
      <c r="F15" s="78"/>
      <c r="G15" s="51"/>
      <c r="H15" s="39"/>
      <c r="I15" s="39"/>
      <c r="J15" s="30"/>
      <c r="K15" s="77"/>
      <c r="L15" s="91"/>
      <c r="M15" s="43"/>
      <c r="R15" s="1">
        <f>IF(vend14[[#This Row],[Nº Venda]]&gt;1,1,0)</f>
        <v>0</v>
      </c>
    </row>
    <row r="16" spans="2:18" ht="16.5" x14ac:dyDescent="0.3">
      <c r="B16" s="31" t="s">
        <v>11</v>
      </c>
      <c r="C16" s="72">
        <f>SUM(C11:C15)</f>
        <v>0</v>
      </c>
      <c r="D16" s="30"/>
      <c r="E16" s="77"/>
      <c r="F16" s="78"/>
      <c r="G16" s="51"/>
      <c r="H16" s="39"/>
      <c r="I16" s="39"/>
      <c r="J16" s="30"/>
      <c r="K16" s="77"/>
      <c r="L16" s="91"/>
      <c r="M16" s="43"/>
      <c r="R16" s="1">
        <f>IF(vend14[[#This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/>
      <c r="L17" s="91"/>
      <c r="M17" s="43"/>
      <c r="R17" s="1">
        <f>IF(vend14[[#This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/>
      <c r="L18" s="91"/>
      <c r="M18" s="43"/>
      <c r="R18" s="1">
        <f>IF(vend14[[#This Row],[Nº Venda]]&gt;1,1,0)</f>
        <v>0</v>
      </c>
    </row>
    <row r="19" spans="2:18" ht="16.5" x14ac:dyDescent="0.3">
      <c r="B19" s="28">
        <f>COUNT(entr_carn14[OS])</f>
        <v>0</v>
      </c>
      <c r="C19" s="71">
        <f>SUM(entr_carn14[Valor Total])</f>
        <v>0</v>
      </c>
      <c r="D19" s="30"/>
      <c r="E19" s="77"/>
      <c r="F19" s="78"/>
      <c r="G19" s="51"/>
      <c r="H19" s="39"/>
      <c r="I19" s="39"/>
      <c r="J19" s="30"/>
      <c r="K19" s="77"/>
      <c r="L19" s="91"/>
      <c r="M19" s="43"/>
      <c r="R19" s="1">
        <f>IF(vend14[[#This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IF(vend14[[#This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0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/>
      <c r="F26" s="78"/>
      <c r="G26" s="51"/>
      <c r="H26" s="39"/>
      <c r="I26" s="39"/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.5703125" style="1" bestFit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'14'!B1+1</f>
        <v>45915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3053.8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2434.8000000000002</v>
      </c>
      <c r="D6" s="30"/>
      <c r="E6" s="77">
        <v>11836</v>
      </c>
      <c r="F6" s="78" t="s">
        <v>281</v>
      </c>
      <c r="G6" s="50" t="s">
        <v>7</v>
      </c>
      <c r="H6" s="39">
        <v>35</v>
      </c>
      <c r="I6" s="39">
        <v>35</v>
      </c>
      <c r="J6" s="30"/>
      <c r="K6" s="78" t="s">
        <v>203</v>
      </c>
      <c r="L6" s="91" t="s">
        <v>290</v>
      </c>
      <c r="M6" s="43">
        <v>110</v>
      </c>
      <c r="R6" s="1">
        <f>IF(vend15[[#This Row],[Nº Venda]]&gt;1,1,0)</f>
        <v>1</v>
      </c>
    </row>
    <row r="7" spans="2:18" ht="16.5" x14ac:dyDescent="0.3">
      <c r="B7" s="28" t="s">
        <v>3</v>
      </c>
      <c r="C7" s="29">
        <f>SUM(M6:M11)</f>
        <v>110</v>
      </c>
      <c r="D7" s="30"/>
      <c r="E7" s="77">
        <v>11837</v>
      </c>
      <c r="F7" s="78" t="s">
        <v>281</v>
      </c>
      <c r="G7" s="50" t="s">
        <v>6</v>
      </c>
      <c r="H7" s="39">
        <v>230</v>
      </c>
      <c r="I7" s="39">
        <v>100</v>
      </c>
      <c r="J7" s="30"/>
      <c r="K7" s="78"/>
      <c r="L7" s="91"/>
      <c r="M7" s="43"/>
      <c r="R7" s="1">
        <f>IF(vend15[[#This Row],[Nº Venda]]&gt;1,1,0)</f>
        <v>1</v>
      </c>
    </row>
    <row r="8" spans="2:18" ht="16.5" x14ac:dyDescent="0.3">
      <c r="B8" s="31" t="s">
        <v>21</v>
      </c>
      <c r="C8" s="32">
        <f>SUM(C6:C7)</f>
        <v>2544.8000000000002</v>
      </c>
      <c r="D8" s="30"/>
      <c r="E8" s="77">
        <v>11838</v>
      </c>
      <c r="F8" s="78" t="s">
        <v>282</v>
      </c>
      <c r="G8" s="51" t="s">
        <v>36</v>
      </c>
      <c r="H8" s="39">
        <v>0</v>
      </c>
      <c r="I8" s="39">
        <v>0</v>
      </c>
      <c r="J8" s="30"/>
      <c r="K8" s="78"/>
      <c r="L8" s="91"/>
      <c r="M8" s="43"/>
      <c r="R8" s="1">
        <f>IF(vend15[[#This Row],[Nº Venda]]&gt;1,1,0)</f>
        <v>1</v>
      </c>
    </row>
    <row r="9" spans="2:18" ht="16.5" x14ac:dyDescent="0.3">
      <c r="B9" s="27"/>
      <c r="C9" s="27"/>
      <c r="D9" s="30"/>
      <c r="E9" s="77">
        <v>11839</v>
      </c>
      <c r="F9" s="78" t="s">
        <v>283</v>
      </c>
      <c r="G9" s="51" t="s">
        <v>8</v>
      </c>
      <c r="H9" s="39">
        <v>160</v>
      </c>
      <c r="I9" s="39">
        <v>160</v>
      </c>
      <c r="J9" s="30"/>
      <c r="K9" s="78"/>
      <c r="L9" s="91"/>
      <c r="M9" s="43"/>
      <c r="R9" s="1">
        <f>IF(vend15[[#This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11840</v>
      </c>
      <c r="F10" s="78" t="s">
        <v>284</v>
      </c>
      <c r="G10" s="51" t="s">
        <v>8</v>
      </c>
      <c r="H10" s="39">
        <v>399.9</v>
      </c>
      <c r="I10" s="39">
        <v>399.9</v>
      </c>
      <c r="J10" s="30"/>
      <c r="K10" s="78"/>
      <c r="L10" s="91"/>
      <c r="M10" s="43"/>
      <c r="R10" s="1">
        <f>IF(vend15[[#This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110</v>
      </c>
      <c r="D11" s="30"/>
      <c r="E11" s="77">
        <v>11841</v>
      </c>
      <c r="F11" s="78" t="s">
        <v>285</v>
      </c>
      <c r="G11" s="51" t="s">
        <v>8</v>
      </c>
      <c r="H11" s="39">
        <v>800</v>
      </c>
      <c r="I11" s="39">
        <v>800</v>
      </c>
      <c r="J11" s="30"/>
      <c r="K11" s="38"/>
      <c r="L11" s="91"/>
      <c r="M11" s="43"/>
      <c r="O11" s="1">
        <f>IF(C16=0,0,1)</f>
        <v>1</v>
      </c>
      <c r="R11" s="1">
        <f>IF(vend15[[#This Row],[Nº Venda]]&gt;1,1,0)</f>
        <v>1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35</v>
      </c>
      <c r="D12" s="30"/>
      <c r="E12" s="77">
        <v>11842</v>
      </c>
      <c r="F12" s="78" t="s">
        <v>285</v>
      </c>
      <c r="G12" s="51" t="s">
        <v>8</v>
      </c>
      <c r="H12" s="39">
        <v>300</v>
      </c>
      <c r="I12" s="39">
        <v>300</v>
      </c>
      <c r="J12" s="30"/>
      <c r="K12" s="33"/>
      <c r="L12" s="33"/>
      <c r="M12" s="33"/>
      <c r="R12" s="1">
        <f>IF(vend15[[#This Row],[Nº Venda]]&gt;1,1,0)</f>
        <v>1</v>
      </c>
    </row>
    <row r="13" spans="2:18" ht="16.5" x14ac:dyDescent="0.3">
      <c r="B13" s="28" t="s">
        <v>8</v>
      </c>
      <c r="C13" s="71">
        <f t="shared" si="0"/>
        <v>2289.8000000000002</v>
      </c>
      <c r="D13" s="30"/>
      <c r="E13" s="77">
        <v>11843</v>
      </c>
      <c r="F13" s="78" t="s">
        <v>286</v>
      </c>
      <c r="G13" s="51" t="s">
        <v>8</v>
      </c>
      <c r="H13" s="39">
        <v>499.9</v>
      </c>
      <c r="I13" s="39">
        <v>499.9</v>
      </c>
      <c r="J13" s="30"/>
      <c r="K13" s="102" t="s">
        <v>142</v>
      </c>
      <c r="L13" s="103"/>
      <c r="M13" s="104"/>
      <c r="R13" s="1">
        <f>IF(vend15[[#This Row],[Nº Venda]]&gt;1,1,0)</f>
        <v>1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>
        <v>11844</v>
      </c>
      <c r="F14" s="78" t="s">
        <v>287</v>
      </c>
      <c r="G14" s="51" t="s">
        <v>6</v>
      </c>
      <c r="H14" s="39">
        <v>499</v>
      </c>
      <c r="I14" s="39">
        <v>10</v>
      </c>
      <c r="J14" s="30"/>
      <c r="K14" s="22" t="s">
        <v>22</v>
      </c>
      <c r="L14" s="23" t="s">
        <v>23</v>
      </c>
      <c r="M14" s="24" t="s">
        <v>24</v>
      </c>
      <c r="R14" s="1">
        <f>IF(vend15[[#This Row],[Nº Venda]]&gt;1,1,0)</f>
        <v>1</v>
      </c>
    </row>
    <row r="15" spans="2:18" ht="16.5" x14ac:dyDescent="0.3">
      <c r="B15" s="28" t="s">
        <v>10</v>
      </c>
      <c r="C15" s="71">
        <f t="shared" si="0"/>
        <v>0</v>
      </c>
      <c r="D15" s="30"/>
      <c r="E15" s="77">
        <v>11845</v>
      </c>
      <c r="F15" s="78" t="s">
        <v>124</v>
      </c>
      <c r="G15" s="51" t="s">
        <v>36</v>
      </c>
      <c r="H15" s="39">
        <v>0</v>
      </c>
      <c r="I15" s="39">
        <v>0</v>
      </c>
      <c r="J15" s="30"/>
      <c r="K15" s="77">
        <v>11699</v>
      </c>
      <c r="L15" s="91" t="s">
        <v>129</v>
      </c>
      <c r="M15" s="43" t="s">
        <v>149</v>
      </c>
      <c r="R15" s="1">
        <f>IF(vend15[[#This Row],[Nº Venda]]&gt;1,1,0)</f>
        <v>1</v>
      </c>
    </row>
    <row r="16" spans="2:18" ht="16.5" x14ac:dyDescent="0.3">
      <c r="B16" s="31" t="s">
        <v>11</v>
      </c>
      <c r="C16" s="72">
        <f>SUM(C11:C15)</f>
        <v>2434.8000000000002</v>
      </c>
      <c r="D16" s="30"/>
      <c r="E16" s="77">
        <v>11846</v>
      </c>
      <c r="F16" s="78" t="s">
        <v>288</v>
      </c>
      <c r="G16" s="51" t="s">
        <v>8</v>
      </c>
      <c r="H16" s="39">
        <v>130</v>
      </c>
      <c r="I16" s="39">
        <v>130</v>
      </c>
      <c r="J16" s="30"/>
      <c r="K16" s="77">
        <v>11836</v>
      </c>
      <c r="L16" s="91" t="s">
        <v>129</v>
      </c>
      <c r="M16" s="43" t="s">
        <v>149</v>
      </c>
      <c r="R16" s="1">
        <f>IF(vend15[[#This Row],[Nº Venda]]&gt;1,1,0)</f>
        <v>1</v>
      </c>
    </row>
    <row r="17" spans="2:18" ht="16.5" x14ac:dyDescent="0.3">
      <c r="B17" s="27"/>
      <c r="C17" s="27"/>
      <c r="D17" s="30"/>
      <c r="E17" s="77">
        <v>11847</v>
      </c>
      <c r="F17" s="78" t="s">
        <v>289</v>
      </c>
      <c r="G17" s="51" t="s">
        <v>36</v>
      </c>
      <c r="H17" s="39">
        <v>0</v>
      </c>
      <c r="I17" s="39">
        <v>0</v>
      </c>
      <c r="J17" s="30"/>
      <c r="K17" s="77"/>
      <c r="L17" s="91"/>
      <c r="M17" s="43"/>
      <c r="R17" s="1">
        <f>IF(vend15[[#This Row],[Nº Venda]]&gt;1,1,0)</f>
        <v>1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/>
      <c r="L18" s="91"/>
      <c r="M18" s="43"/>
      <c r="R18" s="1">
        <f>IF(vend15[[#This Row],[Nº Venda]]&gt;1,1,0)</f>
        <v>0</v>
      </c>
    </row>
    <row r="19" spans="2:18" ht="16.5" x14ac:dyDescent="0.3">
      <c r="B19" s="28">
        <f>COUNT(entr_carn15[OS])</f>
        <v>0</v>
      </c>
      <c r="C19" s="71">
        <f>SUM(entr_carn15[Valor Total])</f>
        <v>0</v>
      </c>
      <c r="D19" s="30"/>
      <c r="E19" s="77"/>
      <c r="F19" s="78"/>
      <c r="G19" s="51"/>
      <c r="H19" s="39"/>
      <c r="I19" s="39"/>
      <c r="J19" s="30"/>
      <c r="K19" s="77"/>
      <c r="L19" s="91"/>
      <c r="M19" s="43"/>
      <c r="R19" s="1">
        <f>IF(vend15[[#This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IF(vend15[[#This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3053.8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/>
      <c r="F26" s="78"/>
      <c r="G26" s="50"/>
      <c r="H26" s="39"/>
      <c r="I26" s="39"/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12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'15'!B1+1</f>
        <v>45916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2597.9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1647.23</v>
      </c>
      <c r="D6" s="30"/>
      <c r="E6" s="77">
        <v>11848</v>
      </c>
      <c r="F6" s="78" t="s">
        <v>291</v>
      </c>
      <c r="G6" s="51" t="s">
        <v>6</v>
      </c>
      <c r="H6" s="39">
        <v>39.9</v>
      </c>
      <c r="I6" s="39">
        <v>39.9</v>
      </c>
      <c r="J6" s="30"/>
      <c r="K6" s="78" t="s">
        <v>203</v>
      </c>
      <c r="L6" s="91" t="s">
        <v>204</v>
      </c>
      <c r="M6" s="43">
        <v>439.9</v>
      </c>
      <c r="R6" s="1">
        <f>IF(vend16[[#This Row],[Nº Venda]]&gt;1,1,0)</f>
        <v>1</v>
      </c>
    </row>
    <row r="7" spans="2:18" ht="16.5" x14ac:dyDescent="0.3">
      <c r="B7" s="28" t="s">
        <v>3</v>
      </c>
      <c r="C7" s="29">
        <f>SUM(M6:M11)</f>
        <v>439.9</v>
      </c>
      <c r="D7" s="30"/>
      <c r="E7" s="77">
        <v>11849</v>
      </c>
      <c r="F7" s="78" t="s">
        <v>292</v>
      </c>
      <c r="G7" s="51" t="s">
        <v>10</v>
      </c>
      <c r="H7" s="39">
        <v>169</v>
      </c>
      <c r="I7" s="39">
        <v>169</v>
      </c>
      <c r="J7" s="30"/>
      <c r="K7" s="78"/>
      <c r="L7" s="91"/>
      <c r="M7" s="43"/>
      <c r="R7" s="1">
        <f>IF(vend16[[#This Row],[Nº Venda]]&gt;1,1,0)</f>
        <v>1</v>
      </c>
    </row>
    <row r="8" spans="2:18" ht="16.5" x14ac:dyDescent="0.3">
      <c r="B8" s="31" t="s">
        <v>21</v>
      </c>
      <c r="C8" s="32">
        <f>SUM(C6:C7)</f>
        <v>2087.13</v>
      </c>
      <c r="D8" s="30"/>
      <c r="E8" s="77">
        <v>11850</v>
      </c>
      <c r="F8" s="78" t="s">
        <v>293</v>
      </c>
      <c r="G8" s="51" t="s">
        <v>10</v>
      </c>
      <c r="H8" s="39">
        <v>350</v>
      </c>
      <c r="I8" s="39">
        <v>50</v>
      </c>
      <c r="J8" s="30"/>
      <c r="K8" s="78"/>
      <c r="L8" s="91"/>
      <c r="M8" s="43"/>
      <c r="R8" s="1">
        <f>IF(vend16[[#This Row],[Nº Venda]]&gt;1,1,0)</f>
        <v>1</v>
      </c>
    </row>
    <row r="9" spans="2:18" ht="16.5" x14ac:dyDescent="0.3">
      <c r="B9" s="27"/>
      <c r="C9" s="27"/>
      <c r="D9" s="30"/>
      <c r="E9" s="77">
        <v>11851</v>
      </c>
      <c r="F9" s="78" t="s">
        <v>294</v>
      </c>
      <c r="G9" s="51" t="s">
        <v>8</v>
      </c>
      <c r="H9" s="39">
        <v>165</v>
      </c>
      <c r="I9" s="39">
        <v>165</v>
      </c>
      <c r="J9" s="30"/>
      <c r="K9" s="78"/>
      <c r="L9" s="91"/>
      <c r="M9" s="43"/>
      <c r="R9" s="1">
        <f>IF(vend16[[#This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11852</v>
      </c>
      <c r="F10" s="78" t="s">
        <v>295</v>
      </c>
      <c r="G10" s="51" t="s">
        <v>46</v>
      </c>
      <c r="H10" s="39">
        <v>899</v>
      </c>
      <c r="I10" s="39">
        <v>0</v>
      </c>
      <c r="J10" s="30"/>
      <c r="K10" s="78"/>
      <c r="L10" s="91"/>
      <c r="M10" s="43"/>
      <c r="R10" s="1">
        <f>IF(vend16[[#This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439.9</v>
      </c>
      <c r="D11" s="30"/>
      <c r="E11" s="77">
        <v>11853</v>
      </c>
      <c r="F11" s="78" t="s">
        <v>298</v>
      </c>
      <c r="G11" s="51" t="s">
        <v>6</v>
      </c>
      <c r="H11" s="39">
        <v>1399</v>
      </c>
      <c r="I11" s="39">
        <v>200</v>
      </c>
      <c r="J11" s="30"/>
      <c r="K11" s="38"/>
      <c r="L11" s="91"/>
      <c r="M11" s="43"/>
      <c r="O11" s="1">
        <f>IF(C16=0,0,1)</f>
        <v>1</v>
      </c>
      <c r="R11" s="1">
        <f>IF(vend16[[#This Row],[Nº Venda]]&gt;1,1,0)</f>
        <v>1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248.32999999999998</v>
      </c>
      <c r="D12" s="30"/>
      <c r="E12" s="77">
        <v>11854</v>
      </c>
      <c r="F12" s="78" t="s">
        <v>296</v>
      </c>
      <c r="G12" s="51" t="s">
        <v>10</v>
      </c>
      <c r="H12" s="39">
        <v>475</v>
      </c>
      <c r="I12" s="39">
        <v>475</v>
      </c>
      <c r="J12" s="30"/>
      <c r="K12" s="33"/>
      <c r="L12" s="33"/>
      <c r="M12" s="33"/>
      <c r="R12" s="1">
        <f>IF(vend16[[#This Row],[Nº Venda]]&gt;1,1,0)</f>
        <v>1</v>
      </c>
    </row>
    <row r="13" spans="2:18" ht="16.5" x14ac:dyDescent="0.3">
      <c r="B13" s="28" t="s">
        <v>8</v>
      </c>
      <c r="C13" s="71">
        <f t="shared" si="0"/>
        <v>165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IF(vend16[[#This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IF(vend16[[#This Row],[Nº Venda]]&gt;1,1,0)</f>
        <v>0</v>
      </c>
    </row>
    <row r="15" spans="2:18" ht="16.5" x14ac:dyDescent="0.3">
      <c r="B15" s="28" t="s">
        <v>10</v>
      </c>
      <c r="C15" s="71">
        <f t="shared" si="0"/>
        <v>794</v>
      </c>
      <c r="D15" s="30"/>
      <c r="E15" s="77"/>
      <c r="F15" s="78"/>
      <c r="G15" s="51"/>
      <c r="H15" s="39"/>
      <c r="I15" s="39"/>
      <c r="J15" s="30"/>
      <c r="K15" s="77">
        <v>11659</v>
      </c>
      <c r="L15" s="91" t="s">
        <v>129</v>
      </c>
      <c r="M15" s="43" t="s">
        <v>149</v>
      </c>
      <c r="R15" s="1">
        <f>IF(vend16[[#This Row],[Nº Venda]]&gt;1,1,0)</f>
        <v>0</v>
      </c>
    </row>
    <row r="16" spans="2:18" ht="16.5" x14ac:dyDescent="0.3">
      <c r="B16" s="31" t="s">
        <v>11</v>
      </c>
      <c r="C16" s="72">
        <f>SUM(C11:C15)</f>
        <v>1647.23</v>
      </c>
      <c r="D16" s="30"/>
      <c r="E16" s="77"/>
      <c r="F16" s="78"/>
      <c r="G16" s="51"/>
      <c r="H16" s="39"/>
      <c r="I16" s="39"/>
      <c r="J16" s="30"/>
      <c r="K16" s="77">
        <v>11700</v>
      </c>
      <c r="L16" s="91" t="s">
        <v>129</v>
      </c>
      <c r="M16" s="43" t="s">
        <v>149</v>
      </c>
      <c r="R16" s="1">
        <f>IF(vend16[[#This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11792</v>
      </c>
      <c r="L17" s="91" t="s">
        <v>129</v>
      </c>
      <c r="M17" s="43" t="s">
        <v>149</v>
      </c>
      <c r="R17" s="1">
        <f>IF(vend16[[#This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11845</v>
      </c>
      <c r="L18" s="91" t="s">
        <v>131</v>
      </c>
      <c r="M18" s="43" t="s">
        <v>149</v>
      </c>
      <c r="R18" s="1">
        <f>IF(vend16[[#This Row],[Nº Venda]]&gt;1,1,0)</f>
        <v>0</v>
      </c>
    </row>
    <row r="19" spans="2:18" ht="16.5" x14ac:dyDescent="0.3">
      <c r="B19" s="28">
        <f>COUNT(entr_carn16[OS])</f>
        <v>0</v>
      </c>
      <c r="C19" s="71">
        <f>SUM(entr_carn16[Valor Total])</f>
        <v>0</v>
      </c>
      <c r="D19" s="30"/>
      <c r="E19" s="77"/>
      <c r="F19" s="78"/>
      <c r="G19" s="51"/>
      <c r="H19" s="39"/>
      <c r="I19" s="39"/>
      <c r="J19" s="30"/>
      <c r="K19" s="77">
        <v>11847</v>
      </c>
      <c r="L19" s="91" t="s">
        <v>131</v>
      </c>
      <c r="M19" s="43" t="s">
        <v>149</v>
      </c>
      <c r="R19" s="1">
        <f>IF(vend16[[#This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>
        <v>11848</v>
      </c>
      <c r="L20" s="91" t="s">
        <v>131</v>
      </c>
      <c r="M20" s="43" t="s">
        <v>149</v>
      </c>
      <c r="R20" s="1">
        <f>IF(vend16[[#This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11849</v>
      </c>
      <c r="L21" s="91" t="s">
        <v>129</v>
      </c>
      <c r="M21" s="43" t="s">
        <v>149</v>
      </c>
    </row>
    <row r="22" spans="2:18" ht="16.5" x14ac:dyDescent="0.3">
      <c r="B22" s="31" t="s">
        <v>25</v>
      </c>
      <c r="C22" s="34">
        <f>C5</f>
        <v>2597.9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11598</v>
      </c>
      <c r="F26" s="78" t="s">
        <v>297</v>
      </c>
      <c r="G26" s="51" t="s">
        <v>6</v>
      </c>
      <c r="H26" s="39"/>
      <c r="I26" s="39">
        <v>200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>
        <v>11672</v>
      </c>
      <c r="F27" s="78" t="s">
        <v>299</v>
      </c>
      <c r="G27" s="51" t="s">
        <v>7</v>
      </c>
      <c r="H27" s="39"/>
      <c r="I27" s="39">
        <v>150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>
        <v>11792</v>
      </c>
      <c r="F28" s="78" t="s">
        <v>243</v>
      </c>
      <c r="G28" s="51" t="s">
        <v>10</v>
      </c>
      <c r="H28" s="39"/>
      <c r="I28" s="39">
        <v>100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10417</v>
      </c>
      <c r="F35" s="78" t="s">
        <v>300</v>
      </c>
      <c r="G35" s="51" t="s">
        <v>7</v>
      </c>
      <c r="H35" s="39">
        <v>98.33</v>
      </c>
      <c r="I35" s="39" t="s">
        <v>41</v>
      </c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7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K15:K31 E26:E31 K35:K41 E35:E41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2.140625" style="1" hidden="1" customWidth="1"/>
    <col min="15" max="15" width="9.140625" style="1" hidden="1" customWidth="1"/>
    <col min="16" max="16" width="11.42578125" style="1" hidden="1" customWidth="1"/>
    <col min="17" max="18" width="2.42578125" style="1" hidden="1" customWidth="1"/>
    <col min="19" max="19" width="0" style="1" hidden="1" customWidth="1"/>
    <col min="20" max="16384" width="9.140625" style="1"/>
  </cols>
  <sheetData>
    <row r="1" spans="2:17" ht="28.5" x14ac:dyDescent="0.45">
      <c r="B1" s="98">
        <f>'16'!B1+1</f>
        <v>45917</v>
      </c>
      <c r="C1" s="98"/>
      <c r="L1" s="99" t="s">
        <v>144</v>
      </c>
      <c r="M1" s="99"/>
    </row>
    <row r="2" spans="2:17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7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7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7" ht="16.5" x14ac:dyDescent="0.3">
      <c r="B5" s="28" t="s">
        <v>1</v>
      </c>
      <c r="C5" s="29">
        <f>SUMIF(I6:I31,"&gt;0",H6:H31)</f>
        <v>3940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7" ht="16.5" x14ac:dyDescent="0.3">
      <c r="B6" s="28" t="s">
        <v>2</v>
      </c>
      <c r="C6" s="29">
        <f>C16</f>
        <v>2285</v>
      </c>
      <c r="D6" s="30"/>
      <c r="E6" s="77">
        <v>11855</v>
      </c>
      <c r="F6" s="78" t="s">
        <v>301</v>
      </c>
      <c r="G6" s="51" t="s">
        <v>8</v>
      </c>
      <c r="H6" s="39">
        <v>350</v>
      </c>
      <c r="I6" s="39">
        <v>350</v>
      </c>
      <c r="J6" s="30"/>
      <c r="K6" s="78" t="s">
        <v>156</v>
      </c>
      <c r="L6" s="91" t="s">
        <v>6</v>
      </c>
      <c r="M6" s="43">
        <v>485</v>
      </c>
      <c r="Q6" s="1">
        <f>IF(vend17[[#This Row],[Nº Venda]]&gt;1,1,0)</f>
        <v>1</v>
      </c>
    </row>
    <row r="7" spans="2:17" ht="16.5" x14ac:dyDescent="0.3">
      <c r="B7" s="28" t="s">
        <v>3</v>
      </c>
      <c r="C7" s="29">
        <f>SUM(M6:M11)</f>
        <v>485</v>
      </c>
      <c r="D7" s="30"/>
      <c r="E7" s="77">
        <v>11856</v>
      </c>
      <c r="F7" s="78" t="s">
        <v>302</v>
      </c>
      <c r="G7" s="51" t="s">
        <v>10</v>
      </c>
      <c r="H7" s="39">
        <v>50</v>
      </c>
      <c r="I7" s="39">
        <v>50</v>
      </c>
      <c r="J7" s="30"/>
      <c r="K7" s="78"/>
      <c r="L7" s="91"/>
      <c r="M7" s="43"/>
      <c r="Q7" s="1">
        <f>IF(vend17[[#This Row],[Nº Venda]]&gt;1,1,0)</f>
        <v>1</v>
      </c>
    </row>
    <row r="8" spans="2:17" ht="16.5" x14ac:dyDescent="0.3">
      <c r="B8" s="31" t="s">
        <v>21</v>
      </c>
      <c r="C8" s="32">
        <f>SUM(C6:C7)</f>
        <v>2770</v>
      </c>
      <c r="D8" s="30"/>
      <c r="E8" s="77">
        <v>11857</v>
      </c>
      <c r="F8" s="78" t="s">
        <v>303</v>
      </c>
      <c r="G8" s="51" t="s">
        <v>6</v>
      </c>
      <c r="H8" s="39">
        <v>380</v>
      </c>
      <c r="I8" s="39">
        <v>200</v>
      </c>
      <c r="J8" s="30"/>
      <c r="K8" s="78"/>
      <c r="L8" s="91"/>
      <c r="M8" s="43"/>
      <c r="Q8" s="1">
        <f>IF(vend17[[#This Row],[Nº Venda]]&gt;1,1,0)</f>
        <v>1</v>
      </c>
    </row>
    <row r="9" spans="2:17" ht="16.5" x14ac:dyDescent="0.3">
      <c r="B9" s="27"/>
      <c r="C9" s="27"/>
      <c r="D9" s="30"/>
      <c r="E9" s="77">
        <v>11858</v>
      </c>
      <c r="F9" s="78" t="s">
        <v>306</v>
      </c>
      <c r="G9" s="51" t="s">
        <v>8</v>
      </c>
      <c r="H9" s="39">
        <v>950</v>
      </c>
      <c r="I9" s="39">
        <v>950</v>
      </c>
      <c r="J9" s="30"/>
      <c r="K9" s="78"/>
      <c r="L9" s="91"/>
      <c r="M9" s="43"/>
      <c r="Q9" s="1">
        <f>IF(vend17[[#This Row],[Nº Venda]]&gt;1,1,0)</f>
        <v>1</v>
      </c>
    </row>
    <row r="10" spans="2:17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Q10" s="1">
        <f>IF(vend17[[#This Row],[Nº Venda]]&gt;1,1,0)</f>
        <v>0</v>
      </c>
    </row>
    <row r="11" spans="2:17" ht="16.5" x14ac:dyDescent="0.3">
      <c r="B11" s="28" t="s">
        <v>6</v>
      </c>
      <c r="C11" s="71">
        <f>(SUMIF($G$2:$G$31,B11,$I$2:$I$31))+(SUMIF($G$35:$G$41,B11,$H$35:$H$41))</f>
        <v>485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N11" s="1">
        <f>IF(C16=0,0,1)</f>
        <v>1</v>
      </c>
      <c r="Q11" s="1">
        <f>IF(vend17[[#This Row],[Nº Venda]]&gt;1,1,0)</f>
        <v>0</v>
      </c>
    </row>
    <row r="12" spans="2:17" ht="16.5" x14ac:dyDescent="0.3">
      <c r="B12" s="28" t="s">
        <v>7</v>
      </c>
      <c r="C12" s="71">
        <f t="shared" ref="C12:C15" si="0">(SUMIF($G$2:$G$31,B12,$I$2:$I$31))+(SUMIF($G$35:$G$41,B12,$H$35:$H$41))</f>
        <v>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Q12" s="1">
        <f>IF(vend17[[#This Row],[Nº Venda]]&gt;1,1,0)</f>
        <v>0</v>
      </c>
    </row>
    <row r="13" spans="2:17" ht="16.5" x14ac:dyDescent="0.3">
      <c r="B13" s="28" t="s">
        <v>8</v>
      </c>
      <c r="C13" s="71">
        <f t="shared" si="0"/>
        <v>1750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Q13" s="1">
        <f>IF(vend17[[#This Row],[Nº Venda]]&gt;1,1,0)</f>
        <v>0</v>
      </c>
    </row>
    <row r="14" spans="2:17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Q14" s="1">
        <f>IF(vend17[[#This Row],[Nº Venda]]&gt;1,1,0)</f>
        <v>0</v>
      </c>
    </row>
    <row r="15" spans="2:17" ht="16.5" x14ac:dyDescent="0.3">
      <c r="B15" s="28" t="s">
        <v>10</v>
      </c>
      <c r="C15" s="71">
        <f t="shared" si="0"/>
        <v>50</v>
      </c>
      <c r="D15" s="30"/>
      <c r="E15" s="77"/>
      <c r="F15" s="78"/>
      <c r="G15" s="51"/>
      <c r="H15" s="39"/>
      <c r="I15" s="39"/>
      <c r="J15" s="30"/>
      <c r="K15" s="77">
        <v>11596</v>
      </c>
      <c r="L15" s="91" t="s">
        <v>129</v>
      </c>
      <c r="M15" s="43" t="s">
        <v>149</v>
      </c>
      <c r="Q15" s="1">
        <f>IF(vend17[[#This Row],[Nº Venda]]&gt;1,1,0)</f>
        <v>0</v>
      </c>
    </row>
    <row r="16" spans="2:17" ht="16.5" x14ac:dyDescent="0.3">
      <c r="B16" s="31" t="s">
        <v>11</v>
      </c>
      <c r="C16" s="72">
        <f>SUM(C11:C15)</f>
        <v>2285</v>
      </c>
      <c r="D16" s="30"/>
      <c r="E16" s="77"/>
      <c r="F16" s="78"/>
      <c r="G16" s="51"/>
      <c r="H16" s="39"/>
      <c r="I16" s="39"/>
      <c r="J16" s="30"/>
      <c r="K16" s="77">
        <v>11711</v>
      </c>
      <c r="L16" s="91" t="s">
        <v>129</v>
      </c>
      <c r="M16" s="43" t="s">
        <v>249</v>
      </c>
      <c r="Q16" s="1">
        <f>IF(vend17[[#This Row],[Nº Venda]]&gt;1,1,0)</f>
        <v>0</v>
      </c>
    </row>
    <row r="17" spans="2:17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11712</v>
      </c>
      <c r="L17" s="91" t="s">
        <v>131</v>
      </c>
      <c r="M17" s="43" t="s">
        <v>249</v>
      </c>
      <c r="Q17" s="1">
        <f>IF(vend17[[#This Row],[Nº Venda]]&gt;1,1,0)</f>
        <v>0</v>
      </c>
    </row>
    <row r="18" spans="2:17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11734</v>
      </c>
      <c r="L18" s="91" t="s">
        <v>129</v>
      </c>
      <c r="M18" s="43" t="s">
        <v>249</v>
      </c>
      <c r="Q18" s="1">
        <f>IF(vend17[[#This Row],[Nº Venda]]&gt;1,1,0)</f>
        <v>0</v>
      </c>
    </row>
    <row r="19" spans="2:17" ht="16.5" x14ac:dyDescent="0.3">
      <c r="B19" s="28">
        <f>COUNT(entr_carn17[OS])</f>
        <v>3</v>
      </c>
      <c r="C19" s="71">
        <f>SUM(entr_carn17[Valor Total])</f>
        <v>3000</v>
      </c>
      <c r="D19" s="30"/>
      <c r="E19" s="77"/>
      <c r="F19" s="78"/>
      <c r="G19" s="51"/>
      <c r="H19" s="39"/>
      <c r="I19" s="39"/>
      <c r="J19" s="30"/>
      <c r="K19" s="77">
        <v>11735</v>
      </c>
      <c r="L19" s="91" t="s">
        <v>129</v>
      </c>
      <c r="M19" s="43" t="s">
        <v>149</v>
      </c>
      <c r="Q19" s="1">
        <f>IF(vend17[[#This Row],[Nº Venda]]&gt;1,1,0)</f>
        <v>0</v>
      </c>
    </row>
    <row r="20" spans="2:17" ht="16.5" x14ac:dyDescent="0.3">
      <c r="B20" s="31" t="s">
        <v>11</v>
      </c>
      <c r="C20" s="72">
        <f>SUM(C19:C19)</f>
        <v>3000</v>
      </c>
      <c r="D20" s="30"/>
      <c r="E20" s="77"/>
      <c r="F20" s="51"/>
      <c r="G20" s="51"/>
      <c r="H20" s="39"/>
      <c r="I20" s="39"/>
      <c r="J20" s="30"/>
      <c r="K20" s="77">
        <v>11756</v>
      </c>
      <c r="L20" s="91" t="s">
        <v>129</v>
      </c>
      <c r="M20" s="43" t="s">
        <v>149</v>
      </c>
      <c r="Q20" s="1">
        <f>IF(vend17[[#This Row],[Nº Venda]]&gt;1,1,0)</f>
        <v>0</v>
      </c>
    </row>
    <row r="21" spans="2:17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11783</v>
      </c>
      <c r="L21" s="91" t="s">
        <v>131</v>
      </c>
      <c r="M21" s="43" t="s">
        <v>149</v>
      </c>
    </row>
    <row r="22" spans="2:17" ht="16.5" x14ac:dyDescent="0.3">
      <c r="B22" s="31" t="s">
        <v>25</v>
      </c>
      <c r="C22" s="34">
        <f>C5</f>
        <v>3940</v>
      </c>
      <c r="D22" s="30"/>
      <c r="E22" s="79"/>
      <c r="F22" s="78"/>
      <c r="G22" s="51"/>
      <c r="H22" s="39"/>
      <c r="I22" s="39"/>
      <c r="J22" s="30"/>
      <c r="K22" s="77">
        <v>11856</v>
      </c>
      <c r="L22" s="91" t="s">
        <v>129</v>
      </c>
      <c r="M22" s="43" t="s">
        <v>149</v>
      </c>
    </row>
    <row r="23" spans="2:17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7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7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7" ht="16.5" x14ac:dyDescent="0.3">
      <c r="B26" s="30"/>
      <c r="C26" s="30"/>
      <c r="D26" s="30"/>
      <c r="E26" s="77">
        <v>11734</v>
      </c>
      <c r="F26" s="78" t="s">
        <v>305</v>
      </c>
      <c r="G26" s="51" t="s">
        <v>6</v>
      </c>
      <c r="H26" s="39">
        <v>1060</v>
      </c>
      <c r="I26" s="39">
        <v>150</v>
      </c>
      <c r="J26" s="30"/>
      <c r="K26" s="77"/>
      <c r="L26" s="91"/>
      <c r="M26" s="43"/>
    </row>
    <row r="27" spans="2:17" ht="16.5" x14ac:dyDescent="0.3">
      <c r="B27" s="30"/>
      <c r="C27" s="30"/>
      <c r="D27" s="30"/>
      <c r="E27" s="77">
        <v>11735</v>
      </c>
      <c r="F27" s="78" t="s">
        <v>305</v>
      </c>
      <c r="G27" s="51" t="s">
        <v>6</v>
      </c>
      <c r="H27" s="39">
        <v>500</v>
      </c>
      <c r="I27" s="39">
        <v>50</v>
      </c>
      <c r="J27" s="30"/>
      <c r="K27" s="77"/>
      <c r="L27" s="91"/>
      <c r="M27" s="43"/>
    </row>
    <row r="28" spans="2:17" ht="16.5" x14ac:dyDescent="0.3">
      <c r="B28" s="30"/>
      <c r="C28" s="30"/>
      <c r="D28" s="30"/>
      <c r="E28" s="77">
        <v>11783</v>
      </c>
      <c r="F28" s="78" t="s">
        <v>304</v>
      </c>
      <c r="G28" s="51" t="s">
        <v>8</v>
      </c>
      <c r="H28" s="39">
        <v>0</v>
      </c>
      <c r="I28" s="39">
        <v>400</v>
      </c>
      <c r="J28" s="30"/>
      <c r="K28" s="77"/>
      <c r="L28" s="91"/>
      <c r="M28" s="43"/>
    </row>
    <row r="29" spans="2:17" ht="16.5" x14ac:dyDescent="0.3">
      <c r="B29" s="30"/>
      <c r="C29" s="30"/>
      <c r="D29" s="30"/>
      <c r="E29" s="77">
        <v>11834</v>
      </c>
      <c r="F29" s="78" t="s">
        <v>307</v>
      </c>
      <c r="G29" s="51" t="s">
        <v>8</v>
      </c>
      <c r="H29" s="39">
        <v>650</v>
      </c>
      <c r="I29" s="39">
        <v>50</v>
      </c>
      <c r="J29" s="30"/>
      <c r="K29" s="77"/>
      <c r="L29" s="91"/>
      <c r="M29" s="43"/>
    </row>
    <row r="30" spans="2:17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7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7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7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7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7" ht="16.5" customHeight="1" x14ac:dyDescent="0.25">
      <c r="B35" s="38"/>
      <c r="C35" s="38"/>
      <c r="D35" s="38"/>
      <c r="E35" s="77">
        <v>11119</v>
      </c>
      <c r="F35" s="78" t="s">
        <v>308</v>
      </c>
      <c r="G35" s="51" t="s">
        <v>6</v>
      </c>
      <c r="H35" s="39">
        <v>85</v>
      </c>
      <c r="I35" s="39" t="s">
        <v>51</v>
      </c>
      <c r="J35" s="38"/>
      <c r="K35" s="77">
        <v>11711</v>
      </c>
      <c r="L35" s="77">
        <v>6</v>
      </c>
      <c r="M35" s="91">
        <v>640</v>
      </c>
    </row>
    <row r="36" spans="2:17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>
        <v>11712</v>
      </c>
      <c r="L36" s="77">
        <v>8</v>
      </c>
      <c r="M36" s="91">
        <v>1050</v>
      </c>
    </row>
    <row r="37" spans="2:17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>
        <v>11734</v>
      </c>
      <c r="L37" s="77">
        <v>10</v>
      </c>
      <c r="M37" s="91">
        <v>1310</v>
      </c>
    </row>
    <row r="38" spans="2:17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7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7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P40" s="1" t="s">
        <v>33</v>
      </c>
      <c r="Q40" s="1">
        <f>SUM(Q6:Q21)</f>
        <v>4</v>
      </c>
    </row>
    <row r="41" spans="2:17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7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7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7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7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1">
        <f>'17'!B1+1</f>
        <v>45918</v>
      </c>
      <c r="C1" s="111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3110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3498.75</v>
      </c>
      <c r="D6" s="30"/>
      <c r="E6" s="77">
        <v>11859</v>
      </c>
      <c r="F6" s="78" t="s">
        <v>309</v>
      </c>
      <c r="G6" s="51" t="s">
        <v>7</v>
      </c>
      <c r="H6" s="39">
        <v>1400</v>
      </c>
      <c r="I6" s="39">
        <v>400</v>
      </c>
      <c r="J6" s="30"/>
      <c r="K6" s="78" t="s">
        <v>314</v>
      </c>
      <c r="L6" s="40" t="s">
        <v>6</v>
      </c>
      <c r="M6" s="43">
        <v>200</v>
      </c>
      <c r="R6" s="1">
        <f>IF(vend18[[#This Row],[Nº Venda]]&gt;1,1,0)</f>
        <v>1</v>
      </c>
    </row>
    <row r="7" spans="2:18" ht="16.5" x14ac:dyDescent="0.3">
      <c r="B7" s="28" t="s">
        <v>3</v>
      </c>
      <c r="C7" s="29">
        <f>SUM(M6:M11)</f>
        <v>200</v>
      </c>
      <c r="D7" s="30"/>
      <c r="E7" s="77">
        <v>11859</v>
      </c>
      <c r="F7" s="78" t="s">
        <v>309</v>
      </c>
      <c r="G7" s="51" t="s">
        <v>8</v>
      </c>
      <c r="H7" s="39">
        <v>0</v>
      </c>
      <c r="I7" s="39">
        <v>1000</v>
      </c>
      <c r="J7" s="30"/>
      <c r="K7" s="78"/>
      <c r="L7" s="91"/>
      <c r="M7" s="43"/>
      <c r="R7" s="1">
        <f>IF(vend18[[#This Row],[Nº Venda]]&gt;1,1,0)</f>
        <v>1</v>
      </c>
    </row>
    <row r="8" spans="2:18" ht="16.5" x14ac:dyDescent="0.3">
      <c r="B8" s="31" t="s">
        <v>21</v>
      </c>
      <c r="C8" s="32">
        <f>SUM(C6:C7)</f>
        <v>3698.75</v>
      </c>
      <c r="D8" s="30"/>
      <c r="E8" s="77">
        <v>11860</v>
      </c>
      <c r="F8" s="78" t="s">
        <v>344</v>
      </c>
      <c r="G8" s="51" t="s">
        <v>46</v>
      </c>
      <c r="H8" s="39">
        <v>99</v>
      </c>
      <c r="I8" s="39">
        <v>0</v>
      </c>
      <c r="J8" s="30"/>
      <c r="K8" s="78"/>
      <c r="L8" s="91"/>
      <c r="M8" s="43"/>
      <c r="R8" s="1">
        <f>IF(vend18[[#This Row],[Nº Venda]]&gt;1,1,0)</f>
        <v>1</v>
      </c>
    </row>
    <row r="9" spans="2:18" ht="16.5" x14ac:dyDescent="0.3">
      <c r="B9" s="27"/>
      <c r="C9" s="27"/>
      <c r="D9" s="30"/>
      <c r="E9" s="77">
        <v>11861</v>
      </c>
      <c r="F9" s="78" t="s">
        <v>310</v>
      </c>
      <c r="G9" s="51" t="s">
        <v>10</v>
      </c>
      <c r="H9" s="39">
        <v>1450</v>
      </c>
      <c r="I9" s="39">
        <v>1450</v>
      </c>
      <c r="J9" s="30"/>
      <c r="K9" s="78"/>
      <c r="L9" s="91"/>
      <c r="M9" s="43"/>
      <c r="R9" s="1">
        <f>IF(vend18[[#This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11862</v>
      </c>
      <c r="F10" s="78" t="s">
        <v>310</v>
      </c>
      <c r="G10" s="51" t="s">
        <v>10</v>
      </c>
      <c r="H10" s="39">
        <v>260</v>
      </c>
      <c r="I10" s="39">
        <v>260</v>
      </c>
      <c r="J10" s="30"/>
      <c r="K10" s="78"/>
      <c r="L10" s="91"/>
      <c r="M10" s="43"/>
      <c r="R10" s="1">
        <f>IF(vend18[[#This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200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1</v>
      </c>
      <c r="R11" s="1">
        <f>IF(vend18[[#This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539.75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IF(vend18[[#This Row],[Nº Venda]]&gt;1,1,0)</f>
        <v>0</v>
      </c>
    </row>
    <row r="13" spans="2:18" ht="16.5" x14ac:dyDescent="0.3">
      <c r="B13" s="28" t="s">
        <v>8</v>
      </c>
      <c r="C13" s="71">
        <f t="shared" si="0"/>
        <v>1000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IF(vend18[[#This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IF(vend18[[#This Row],[Nº Venda]]&gt;1,1,0)</f>
        <v>0</v>
      </c>
    </row>
    <row r="15" spans="2:18" ht="16.5" x14ac:dyDescent="0.3">
      <c r="B15" s="28" t="s">
        <v>10</v>
      </c>
      <c r="C15" s="71">
        <f t="shared" si="0"/>
        <v>1759</v>
      </c>
      <c r="D15" s="30"/>
      <c r="E15" s="77"/>
      <c r="F15" s="78"/>
      <c r="G15" s="51"/>
      <c r="H15" s="39"/>
      <c r="I15" s="39"/>
      <c r="J15" s="30"/>
      <c r="K15" s="77">
        <v>11584</v>
      </c>
      <c r="L15" s="91" t="s">
        <v>131</v>
      </c>
      <c r="M15" s="43" t="s">
        <v>249</v>
      </c>
      <c r="R15" s="1">
        <f>IF(vend18[[#This Row],[Nº Venda]]&gt;1,1,0)</f>
        <v>0</v>
      </c>
    </row>
    <row r="16" spans="2:18" ht="16.5" x14ac:dyDescent="0.3">
      <c r="B16" s="31" t="s">
        <v>11</v>
      </c>
      <c r="C16" s="72">
        <f>SUM(C11:C15)</f>
        <v>3498.75</v>
      </c>
      <c r="D16" s="30"/>
      <c r="E16" s="77"/>
      <c r="F16" s="78"/>
      <c r="G16" s="51"/>
      <c r="H16" s="39"/>
      <c r="I16" s="39"/>
      <c r="J16" s="30"/>
      <c r="K16" s="77">
        <v>11621</v>
      </c>
      <c r="L16" s="91" t="s">
        <v>131</v>
      </c>
      <c r="M16" s="43" t="s">
        <v>149</v>
      </c>
      <c r="R16" s="1">
        <f>IF(vend18[[#This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11713</v>
      </c>
      <c r="L17" s="91" t="s">
        <v>131</v>
      </c>
      <c r="M17" s="43" t="s">
        <v>149</v>
      </c>
      <c r="R17" s="1">
        <f>IF(vend18[[#This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11742</v>
      </c>
      <c r="L18" s="91" t="s">
        <v>131</v>
      </c>
      <c r="M18" s="43" t="s">
        <v>149</v>
      </c>
      <c r="R18" s="1">
        <f>IF(vend18[[#This Row],[Nº Venda]]&gt;1,1,0)</f>
        <v>0</v>
      </c>
    </row>
    <row r="19" spans="2:18" ht="16.5" x14ac:dyDescent="0.3">
      <c r="B19" s="28">
        <f>COUNT(entr_carn18[OS])</f>
        <v>2</v>
      </c>
      <c r="C19" s="71">
        <f>SUM(entr_carn18[Valor Total])</f>
        <v>1050</v>
      </c>
      <c r="D19" s="30"/>
      <c r="E19" s="77"/>
      <c r="F19" s="78"/>
      <c r="G19" s="51"/>
      <c r="H19" s="39"/>
      <c r="I19" s="39"/>
      <c r="J19" s="30"/>
      <c r="K19" s="77">
        <v>11745</v>
      </c>
      <c r="L19" s="91" t="s">
        <v>129</v>
      </c>
      <c r="M19" s="43" t="s">
        <v>149</v>
      </c>
      <c r="R19" s="1">
        <f>IF(vend18[[#This Row],[Nº Venda]]&gt;1,1,0)</f>
        <v>0</v>
      </c>
    </row>
    <row r="20" spans="2:18" ht="16.5" x14ac:dyDescent="0.3">
      <c r="B20" s="31" t="s">
        <v>11</v>
      </c>
      <c r="C20" s="72">
        <f>SUM(C19:C19)</f>
        <v>1050</v>
      </c>
      <c r="D20" s="30"/>
      <c r="E20" s="77"/>
      <c r="F20" s="51"/>
      <c r="G20" s="51"/>
      <c r="H20" s="39"/>
      <c r="I20" s="39"/>
      <c r="J20" s="30"/>
      <c r="K20" s="77">
        <v>11748</v>
      </c>
      <c r="L20" s="91" t="s">
        <v>131</v>
      </c>
      <c r="M20" s="43" t="s">
        <v>149</v>
      </c>
      <c r="R20" s="1">
        <f>IF(vend18[[#This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11750</v>
      </c>
      <c r="L21" s="91" t="s">
        <v>129</v>
      </c>
      <c r="M21" s="43" t="s">
        <v>249</v>
      </c>
    </row>
    <row r="22" spans="2:18" ht="16.5" x14ac:dyDescent="0.3">
      <c r="B22" s="31" t="s">
        <v>25</v>
      </c>
      <c r="C22" s="34">
        <f>C5</f>
        <v>3110</v>
      </c>
      <c r="D22" s="30"/>
      <c r="E22" s="79"/>
      <c r="F22" s="78"/>
      <c r="G22" s="51"/>
      <c r="H22" s="39"/>
      <c r="I22" s="39"/>
      <c r="J22" s="30"/>
      <c r="K22" s="77">
        <v>11761</v>
      </c>
      <c r="L22" s="91" t="s">
        <v>131</v>
      </c>
      <c r="M22" s="43" t="s">
        <v>149</v>
      </c>
    </row>
    <row r="23" spans="2:18" ht="16.5" x14ac:dyDescent="0.3">
      <c r="B23" s="30"/>
      <c r="C23" s="30"/>
      <c r="D23" s="30"/>
      <c r="E23" s="35"/>
      <c r="F23" s="60"/>
      <c r="G23" s="41"/>
      <c r="H23" s="42"/>
      <c r="I23" s="42"/>
      <c r="J23" s="30"/>
      <c r="K23" s="77">
        <v>11776</v>
      </c>
      <c r="L23" s="91" t="s">
        <v>129</v>
      </c>
      <c r="M23" s="43" t="s">
        <v>149</v>
      </c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>
        <v>11777</v>
      </c>
      <c r="L24" s="91" t="s">
        <v>129</v>
      </c>
      <c r="M24" s="43" t="s">
        <v>149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11584</v>
      </c>
      <c r="F26" s="78" t="s">
        <v>311</v>
      </c>
      <c r="G26" s="51" t="s">
        <v>6</v>
      </c>
      <c r="H26" s="39"/>
      <c r="I26" s="39">
        <v>100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>
        <v>11750</v>
      </c>
      <c r="F27" s="78" t="s">
        <v>167</v>
      </c>
      <c r="G27" s="51" t="s">
        <v>6</v>
      </c>
      <c r="H27" s="39"/>
      <c r="I27" s="39">
        <v>100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>
        <v>11825</v>
      </c>
      <c r="F28" s="78" t="s">
        <v>313</v>
      </c>
      <c r="G28" s="51" t="s">
        <v>10</v>
      </c>
      <c r="H28" s="39"/>
      <c r="I28" s="39">
        <v>49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11024</v>
      </c>
      <c r="F35" s="78" t="s">
        <v>312</v>
      </c>
      <c r="G35" s="51" t="s">
        <v>7</v>
      </c>
      <c r="H35" s="39">
        <v>39.75</v>
      </c>
      <c r="I35" s="39" t="s">
        <v>74</v>
      </c>
      <c r="J35" s="38"/>
      <c r="K35" s="77">
        <v>11584</v>
      </c>
      <c r="L35" s="77">
        <v>6</v>
      </c>
      <c r="M35" s="91">
        <v>300</v>
      </c>
    </row>
    <row r="36" spans="2:18" ht="16.5" customHeight="1" x14ac:dyDescent="0.25">
      <c r="B36" s="38"/>
      <c r="C36" s="38"/>
      <c r="D36" s="38"/>
      <c r="E36" s="83">
        <v>11032</v>
      </c>
      <c r="F36" s="78" t="s">
        <v>312</v>
      </c>
      <c r="G36" s="51" t="s">
        <v>7</v>
      </c>
      <c r="H36" s="39">
        <v>100</v>
      </c>
      <c r="I36" s="39" t="s">
        <v>37</v>
      </c>
      <c r="J36" s="38"/>
      <c r="K36" s="77">
        <v>11750</v>
      </c>
      <c r="L36" s="77">
        <v>6</v>
      </c>
      <c r="M36" s="91">
        <v>750</v>
      </c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5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view="pageBreakPreview" topLeftCell="B4" zoomScale="60" zoomScaleNormal="100" workbookViewId="0">
      <selection activeCell="H28" sqref="H28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'18'!B1+1</f>
        <v>45919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4380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3248.3199999999997</v>
      </c>
      <c r="D6" s="30"/>
      <c r="E6" s="77">
        <v>11863</v>
      </c>
      <c r="F6" s="78" t="s">
        <v>315</v>
      </c>
      <c r="G6" s="51" t="s">
        <v>10</v>
      </c>
      <c r="H6" s="39">
        <v>440</v>
      </c>
      <c r="I6" s="39">
        <v>100</v>
      </c>
      <c r="J6" s="30"/>
      <c r="K6" s="78" t="s">
        <v>156</v>
      </c>
      <c r="L6" s="91" t="s">
        <v>6</v>
      </c>
      <c r="M6" s="43">
        <v>100</v>
      </c>
      <c r="R6" s="1">
        <f>IF(vend19[[#This Row],[Nº Venda]]&gt;1,1,0)</f>
        <v>1</v>
      </c>
    </row>
    <row r="7" spans="2:18" ht="16.5" x14ac:dyDescent="0.3">
      <c r="B7" s="28" t="s">
        <v>3</v>
      </c>
      <c r="C7" s="29">
        <f>SUM(M6:M11)</f>
        <v>102.61</v>
      </c>
      <c r="D7" s="30"/>
      <c r="E7" s="77">
        <v>11864</v>
      </c>
      <c r="F7" s="78" t="s">
        <v>316</v>
      </c>
      <c r="G7" s="51" t="s">
        <v>8</v>
      </c>
      <c r="H7" s="39">
        <v>1590</v>
      </c>
      <c r="I7" s="39">
        <v>1590</v>
      </c>
      <c r="J7" s="30"/>
      <c r="K7" s="78" t="s">
        <v>148</v>
      </c>
      <c r="L7" s="91" t="s">
        <v>10</v>
      </c>
      <c r="M7" s="43">
        <v>2.61</v>
      </c>
      <c r="R7" s="1">
        <f>IF(vend19[[#This Row],[Nº Venda]]&gt;1,1,0)</f>
        <v>1</v>
      </c>
    </row>
    <row r="8" spans="2:18" ht="16.5" x14ac:dyDescent="0.3">
      <c r="B8" s="31" t="s">
        <v>21</v>
      </c>
      <c r="C8" s="32">
        <f>SUM(C6:C7)</f>
        <v>3350.93</v>
      </c>
      <c r="D8" s="30"/>
      <c r="E8" s="77">
        <v>11865</v>
      </c>
      <c r="F8" s="78" t="s">
        <v>317</v>
      </c>
      <c r="G8" s="51" t="s">
        <v>36</v>
      </c>
      <c r="H8" s="39">
        <v>0</v>
      </c>
      <c r="I8" s="39">
        <v>0</v>
      </c>
      <c r="J8" s="30"/>
      <c r="K8" s="78"/>
      <c r="L8" s="91"/>
      <c r="M8" s="43"/>
      <c r="R8" s="1">
        <f>IF(vend19[[#This Row],[Nº Venda]]&gt;1,1,0)</f>
        <v>1</v>
      </c>
    </row>
    <row r="9" spans="2:18" ht="16.5" x14ac:dyDescent="0.3">
      <c r="B9" s="27"/>
      <c r="C9" s="27"/>
      <c r="D9" s="30"/>
      <c r="E9" s="77">
        <v>11866</v>
      </c>
      <c r="F9" s="78" t="s">
        <v>318</v>
      </c>
      <c r="G9" s="51" t="s">
        <v>46</v>
      </c>
      <c r="H9" s="39">
        <v>200</v>
      </c>
      <c r="I9" s="39">
        <v>0</v>
      </c>
      <c r="J9" s="30"/>
      <c r="K9" s="78"/>
      <c r="L9" s="91"/>
      <c r="M9" s="43"/>
      <c r="R9" s="1">
        <f>IF(vend19[[#This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11867</v>
      </c>
      <c r="F10" s="78" t="s">
        <v>315</v>
      </c>
      <c r="G10" s="51" t="s">
        <v>10</v>
      </c>
      <c r="H10" s="39">
        <v>2350</v>
      </c>
      <c r="I10" s="39">
        <v>400</v>
      </c>
      <c r="J10" s="30"/>
      <c r="K10" s="78"/>
      <c r="L10" s="91"/>
      <c r="M10" s="43"/>
      <c r="R10" s="1">
        <f>IF(vend19[[#This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100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1</v>
      </c>
      <c r="R11" s="1">
        <f>IF(vend19[[#This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368.33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IF(vend19[[#This Row],[Nº Venda]]&gt;1,1,0)</f>
        <v>0</v>
      </c>
    </row>
    <row r="13" spans="2:18" ht="16.5" x14ac:dyDescent="0.3">
      <c r="B13" s="28" t="s">
        <v>8</v>
      </c>
      <c r="C13" s="71">
        <f t="shared" si="0"/>
        <v>1590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IF(vend19[[#This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IF(vend19[[#This Row],[Nº Venda]]&gt;1,1,0)</f>
        <v>0</v>
      </c>
    </row>
    <row r="15" spans="2:18" ht="16.5" x14ac:dyDescent="0.3">
      <c r="B15" s="28" t="s">
        <v>10</v>
      </c>
      <c r="C15" s="71">
        <f t="shared" si="0"/>
        <v>1189.99</v>
      </c>
      <c r="D15" s="30"/>
      <c r="E15" s="77"/>
      <c r="F15" s="78"/>
      <c r="G15" s="51"/>
      <c r="H15" s="39"/>
      <c r="I15" s="39"/>
      <c r="J15" s="30"/>
      <c r="K15" s="77">
        <v>11370</v>
      </c>
      <c r="L15" s="91" t="s">
        <v>131</v>
      </c>
      <c r="M15" s="43" t="s">
        <v>149</v>
      </c>
      <c r="R15" s="1">
        <f>IF(vend19[[#This Row],[Nº Venda]]&gt;1,1,0)</f>
        <v>0</v>
      </c>
    </row>
    <row r="16" spans="2:18" ht="16.5" x14ac:dyDescent="0.3">
      <c r="B16" s="31" t="s">
        <v>11</v>
      </c>
      <c r="C16" s="72">
        <f>SUM(C11:C15)</f>
        <v>3248.3199999999997</v>
      </c>
      <c r="D16" s="30"/>
      <c r="E16" s="77"/>
      <c r="F16" s="78"/>
      <c r="G16" s="51"/>
      <c r="H16" s="39"/>
      <c r="I16" s="39"/>
      <c r="J16" s="30"/>
      <c r="K16" s="77">
        <v>11774</v>
      </c>
      <c r="L16" s="91" t="s">
        <v>129</v>
      </c>
      <c r="M16" s="43" t="s">
        <v>149</v>
      </c>
      <c r="R16" s="1">
        <f>IF(vend19[[#This Row],[Nº Venda]]&gt;1,1,0)</f>
        <v>0</v>
      </c>
    </row>
    <row r="17" spans="2:22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11778</v>
      </c>
      <c r="L17" s="91" t="s">
        <v>129</v>
      </c>
      <c r="M17" s="43" t="s">
        <v>149</v>
      </c>
      <c r="R17" s="1">
        <f>IF(vend19[[#This Row],[Nº Venda]]&gt;1,1,0)</f>
        <v>0</v>
      </c>
    </row>
    <row r="18" spans="2:22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11791</v>
      </c>
      <c r="L18" s="91" t="s">
        <v>129</v>
      </c>
      <c r="M18" s="43" t="s">
        <v>249</v>
      </c>
      <c r="R18" s="1">
        <f>IF(vend19[[#This Row],[Nº Venda]]&gt;1,1,0)</f>
        <v>0</v>
      </c>
    </row>
    <row r="19" spans="2:22" ht="16.5" x14ac:dyDescent="0.3">
      <c r="B19" s="28">
        <f>COUNT(entr_carn19[OS])</f>
        <v>1</v>
      </c>
      <c r="C19" s="71">
        <f>SUM(entr_carn19[Valor Total])</f>
        <v>310</v>
      </c>
      <c r="D19" s="30"/>
      <c r="E19" s="77"/>
      <c r="F19" s="78"/>
      <c r="G19" s="51"/>
      <c r="H19" s="39"/>
      <c r="I19" s="39"/>
      <c r="J19" s="30"/>
      <c r="K19" s="77">
        <v>11806</v>
      </c>
      <c r="L19" s="91" t="s">
        <v>131</v>
      </c>
      <c r="M19" s="43" t="s">
        <v>149</v>
      </c>
      <c r="R19" s="1">
        <f>IF(vend19[[#This Row],[Nº Venda]]&gt;1,1,0)</f>
        <v>0</v>
      </c>
    </row>
    <row r="20" spans="2:22" ht="16.5" x14ac:dyDescent="0.3">
      <c r="B20" s="31" t="s">
        <v>11</v>
      </c>
      <c r="C20" s="72">
        <f>SUM(C19:C19)</f>
        <v>310</v>
      </c>
      <c r="D20" s="30"/>
      <c r="E20" s="77"/>
      <c r="F20" s="51"/>
      <c r="G20" s="51"/>
      <c r="H20" s="39"/>
      <c r="I20" s="39"/>
      <c r="J20" s="30"/>
      <c r="K20" s="77">
        <v>11812</v>
      </c>
      <c r="L20" s="91" t="s">
        <v>131</v>
      </c>
      <c r="M20" s="43" t="s">
        <v>149</v>
      </c>
      <c r="R20" s="1">
        <f>IF(vend19[[#This Row],[Nº Venda]]&gt;1,1,0)</f>
        <v>0</v>
      </c>
      <c r="V20" s="1" t="s">
        <v>54</v>
      </c>
    </row>
    <row r="21" spans="2:22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11857</v>
      </c>
      <c r="L21" s="91" t="s">
        <v>131</v>
      </c>
      <c r="M21" s="43" t="s">
        <v>149</v>
      </c>
    </row>
    <row r="22" spans="2:22" ht="16.5" x14ac:dyDescent="0.3">
      <c r="B22" s="31" t="s">
        <v>25</v>
      </c>
      <c r="C22" s="34">
        <f>C5</f>
        <v>4380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22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22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22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22" ht="16.5" x14ac:dyDescent="0.3">
      <c r="B26" s="30"/>
      <c r="C26" s="30"/>
      <c r="D26" s="30"/>
      <c r="E26" s="77">
        <v>11791</v>
      </c>
      <c r="F26" s="51" t="s">
        <v>324</v>
      </c>
      <c r="G26" s="51" t="s">
        <v>10</v>
      </c>
      <c r="H26" s="39">
        <v>0</v>
      </c>
      <c r="I26" s="39">
        <v>150</v>
      </c>
      <c r="J26" s="30"/>
      <c r="K26" s="77"/>
      <c r="L26" s="91"/>
      <c r="M26" s="43"/>
    </row>
    <row r="27" spans="2:22" ht="16.5" x14ac:dyDescent="0.3">
      <c r="B27" s="30"/>
      <c r="C27" s="30"/>
      <c r="D27" s="30"/>
      <c r="E27" s="77">
        <v>11857</v>
      </c>
      <c r="F27" s="78" t="s">
        <v>319</v>
      </c>
      <c r="G27" s="51" t="s">
        <v>6</v>
      </c>
      <c r="H27" s="39">
        <v>0</v>
      </c>
      <c r="I27" s="39">
        <v>100</v>
      </c>
      <c r="J27" s="30"/>
      <c r="K27" s="77"/>
      <c r="L27" s="91"/>
      <c r="M27" s="43"/>
    </row>
    <row r="28" spans="2:22" ht="16.5" x14ac:dyDescent="0.3">
      <c r="B28" s="30"/>
      <c r="C28" s="30"/>
      <c r="D28" s="30"/>
      <c r="E28" s="77">
        <v>11857</v>
      </c>
      <c r="F28" s="78" t="s">
        <v>319</v>
      </c>
      <c r="G28" s="51" t="s">
        <v>7</v>
      </c>
      <c r="H28" s="39">
        <v>0</v>
      </c>
      <c r="I28" s="39">
        <v>80</v>
      </c>
      <c r="J28" s="30"/>
      <c r="K28" s="77"/>
      <c r="L28" s="91"/>
      <c r="M28" s="43"/>
    </row>
    <row r="29" spans="2:22" ht="16.5" x14ac:dyDescent="0.3">
      <c r="B29" s="30"/>
      <c r="C29" s="30"/>
      <c r="D29" s="30"/>
      <c r="E29" s="77"/>
      <c r="F29" s="78"/>
      <c r="G29" s="51"/>
      <c r="H29" s="51"/>
      <c r="I29" s="39"/>
      <c r="J29" s="30"/>
      <c r="K29" s="77"/>
      <c r="L29" s="91"/>
      <c r="M29" s="43"/>
    </row>
    <row r="30" spans="2:22" ht="16.5" x14ac:dyDescent="0.3">
      <c r="B30" s="30"/>
      <c r="C30" s="30"/>
      <c r="D30" s="30"/>
      <c r="E30" s="77"/>
      <c r="F30" s="78"/>
      <c r="G30" s="51"/>
      <c r="H30" s="39"/>
      <c r="I30" s="39"/>
      <c r="J30" s="30"/>
      <c r="K30" s="77"/>
      <c r="L30" s="91"/>
      <c r="M30" s="43"/>
    </row>
    <row r="31" spans="2:22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22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84">
        <v>10105</v>
      </c>
      <c r="F35" s="78" t="s">
        <v>321</v>
      </c>
      <c r="G35" s="51" t="s">
        <v>10</v>
      </c>
      <c r="H35" s="39">
        <v>350</v>
      </c>
      <c r="I35" s="39" t="s">
        <v>97</v>
      </c>
      <c r="J35" s="38"/>
      <c r="K35" s="77">
        <v>11791</v>
      </c>
      <c r="L35" s="77">
        <v>6</v>
      </c>
      <c r="M35" s="91">
        <v>310</v>
      </c>
    </row>
    <row r="36" spans="2:18" ht="16.5" customHeight="1" x14ac:dyDescent="0.25">
      <c r="B36" s="38"/>
      <c r="C36" s="38"/>
      <c r="D36" s="38"/>
      <c r="E36" s="79">
        <v>11142</v>
      </c>
      <c r="F36" s="51" t="s">
        <v>323</v>
      </c>
      <c r="G36" s="51" t="s">
        <v>7</v>
      </c>
      <c r="H36" s="39">
        <v>230</v>
      </c>
      <c r="I36" s="39" t="s">
        <v>45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>
        <v>11396</v>
      </c>
      <c r="F37" s="78" t="s">
        <v>320</v>
      </c>
      <c r="G37" s="51" t="s">
        <v>10</v>
      </c>
      <c r="H37" s="39">
        <v>44.99</v>
      </c>
      <c r="I37" s="39" t="s">
        <v>72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>
        <v>11443</v>
      </c>
      <c r="F38" s="78" t="s">
        <v>322</v>
      </c>
      <c r="G38" s="51" t="s">
        <v>10</v>
      </c>
      <c r="H38" s="39">
        <v>145</v>
      </c>
      <c r="I38" s="39" t="s">
        <v>81</v>
      </c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>
        <v>11511</v>
      </c>
      <c r="F39" s="78" t="s">
        <v>323</v>
      </c>
      <c r="G39" s="51" t="s">
        <v>7</v>
      </c>
      <c r="H39" s="39">
        <v>58.33</v>
      </c>
      <c r="I39" s="39" t="s">
        <v>38</v>
      </c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5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topLeftCell="A2" zoomScaleNormal="10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1">
        <f>'19'!B1+1</f>
        <v>45920</v>
      </c>
      <c r="C1" s="111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5316.7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5673.33</v>
      </c>
      <c r="D6" s="30"/>
      <c r="E6" s="77">
        <v>11868</v>
      </c>
      <c r="F6" s="78" t="s">
        <v>333</v>
      </c>
      <c r="G6" s="51" t="s">
        <v>8</v>
      </c>
      <c r="H6" s="39">
        <v>338.5</v>
      </c>
      <c r="I6" s="39">
        <v>338.5</v>
      </c>
      <c r="J6" s="30"/>
      <c r="K6" s="78" t="s">
        <v>314</v>
      </c>
      <c r="L6" s="91" t="s">
        <v>6</v>
      </c>
      <c r="M6" s="43">
        <v>14</v>
      </c>
      <c r="R6" s="1">
        <f>IF(vend20[[#This Row],[Nº Venda]]&gt;1,1,0)</f>
        <v>1</v>
      </c>
    </row>
    <row r="7" spans="2:18" ht="16.5" x14ac:dyDescent="0.3">
      <c r="B7" s="28" t="s">
        <v>3</v>
      </c>
      <c r="C7" s="29">
        <f>SUM(M6:M11)</f>
        <v>14</v>
      </c>
      <c r="D7" s="30"/>
      <c r="E7" s="77">
        <v>11869</v>
      </c>
      <c r="F7" s="78" t="s">
        <v>326</v>
      </c>
      <c r="G7" s="51" t="s">
        <v>10</v>
      </c>
      <c r="H7" s="39">
        <v>69</v>
      </c>
      <c r="I7" s="39">
        <v>69</v>
      </c>
      <c r="J7" s="30"/>
      <c r="K7" s="78"/>
      <c r="L7" s="91"/>
      <c r="M7" s="43"/>
      <c r="R7" s="1">
        <f>IF(vend20[[#This Row],[Nº Venda]]&gt;1,1,0)</f>
        <v>1</v>
      </c>
    </row>
    <row r="8" spans="2:18" ht="16.5" x14ac:dyDescent="0.3">
      <c r="B8" s="31" t="s">
        <v>21</v>
      </c>
      <c r="C8" s="32">
        <f>SUM(C6:C7)</f>
        <v>5687.33</v>
      </c>
      <c r="D8" s="30"/>
      <c r="E8" s="77">
        <v>11870</v>
      </c>
      <c r="F8" s="78" t="s">
        <v>327</v>
      </c>
      <c r="G8" s="51" t="s">
        <v>46</v>
      </c>
      <c r="H8" s="39">
        <v>0</v>
      </c>
      <c r="I8" s="39">
        <v>0</v>
      </c>
      <c r="J8" s="30"/>
      <c r="K8" s="78"/>
      <c r="L8" s="91"/>
      <c r="M8" s="43"/>
      <c r="R8" s="1">
        <f>IF(vend20[[#This Row],[Nº Venda]]&gt;1,1,0)</f>
        <v>1</v>
      </c>
    </row>
    <row r="9" spans="2:18" ht="16.5" x14ac:dyDescent="0.3">
      <c r="B9" s="27"/>
      <c r="C9" s="27"/>
      <c r="D9" s="30"/>
      <c r="E9" s="77">
        <v>11871</v>
      </c>
      <c r="F9" s="78" t="s">
        <v>328</v>
      </c>
      <c r="G9" s="51" t="s">
        <v>7</v>
      </c>
      <c r="H9" s="39">
        <v>480</v>
      </c>
      <c r="I9" s="39">
        <v>480</v>
      </c>
      <c r="J9" s="30"/>
      <c r="K9" s="78"/>
      <c r="L9" s="91"/>
      <c r="M9" s="43"/>
      <c r="R9" s="1">
        <f>IF(vend20[[#This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11872</v>
      </c>
      <c r="F10" s="78" t="s">
        <v>329</v>
      </c>
      <c r="G10" s="51" t="s">
        <v>8</v>
      </c>
      <c r="H10" s="39">
        <v>450</v>
      </c>
      <c r="I10" s="39">
        <v>450</v>
      </c>
      <c r="J10" s="30"/>
      <c r="K10" s="78"/>
      <c r="L10" s="91"/>
      <c r="M10" s="43"/>
      <c r="R10" s="1">
        <f>IF(vend20[[#This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14</v>
      </c>
      <c r="D11" s="30"/>
      <c r="E11" s="77">
        <v>11873</v>
      </c>
      <c r="F11" s="78" t="s">
        <v>330</v>
      </c>
      <c r="G11" s="51" t="s">
        <v>7</v>
      </c>
      <c r="H11" s="39">
        <v>39</v>
      </c>
      <c r="I11" s="39">
        <v>10</v>
      </c>
      <c r="J11" s="30"/>
      <c r="K11" s="38"/>
      <c r="L11" s="91"/>
      <c r="M11" s="43"/>
      <c r="O11" s="1">
        <f>IF(C16=0,0,1)</f>
        <v>1</v>
      </c>
      <c r="R11" s="1">
        <f>IF(vend20[[#This Row],[Nº Venda]]&gt;1,1,0)</f>
        <v>1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569.9</v>
      </c>
      <c r="D12" s="30"/>
      <c r="E12" s="77">
        <v>11873</v>
      </c>
      <c r="F12" s="78" t="s">
        <v>330</v>
      </c>
      <c r="G12" s="51" t="s">
        <v>8</v>
      </c>
      <c r="H12" s="39">
        <v>0</v>
      </c>
      <c r="I12" s="39">
        <v>29</v>
      </c>
      <c r="J12" s="30"/>
      <c r="K12" s="33"/>
      <c r="L12" s="33"/>
      <c r="M12" s="33"/>
      <c r="R12" s="1">
        <f>IF(vend20[[#This Row],[Nº Venda]]&gt;1,1,0)</f>
        <v>1</v>
      </c>
    </row>
    <row r="13" spans="2:18" ht="16.5" x14ac:dyDescent="0.3">
      <c r="B13" s="28" t="s">
        <v>8</v>
      </c>
      <c r="C13" s="71">
        <f t="shared" si="0"/>
        <v>3887.8</v>
      </c>
      <c r="D13" s="30"/>
      <c r="E13" s="77">
        <v>11874</v>
      </c>
      <c r="F13" s="78" t="s">
        <v>331</v>
      </c>
      <c r="G13" s="51" t="s">
        <v>36</v>
      </c>
      <c r="H13" s="39">
        <v>0</v>
      </c>
      <c r="I13" s="39">
        <v>0</v>
      </c>
      <c r="J13" s="30"/>
      <c r="K13" s="102" t="s">
        <v>142</v>
      </c>
      <c r="L13" s="103"/>
      <c r="M13" s="104"/>
      <c r="R13" s="1">
        <f>IF(vend20[[#This Row],[Nº Venda]]&gt;1,1,0)</f>
        <v>1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>
        <v>11875</v>
      </c>
      <c r="F14" s="78" t="s">
        <v>332</v>
      </c>
      <c r="G14" s="51" t="s">
        <v>6</v>
      </c>
      <c r="H14" s="39">
        <v>1190</v>
      </c>
      <c r="I14" s="39">
        <v>14</v>
      </c>
      <c r="J14" s="30"/>
      <c r="K14" s="22" t="s">
        <v>22</v>
      </c>
      <c r="L14" s="23" t="s">
        <v>23</v>
      </c>
      <c r="M14" s="24" t="s">
        <v>24</v>
      </c>
      <c r="R14" s="1">
        <f>IF(vend20[[#This Row],[Nº Venda]]&gt;1,1,0)</f>
        <v>1</v>
      </c>
    </row>
    <row r="15" spans="2:18" ht="16.5" x14ac:dyDescent="0.3">
      <c r="B15" s="28" t="s">
        <v>10</v>
      </c>
      <c r="C15" s="71">
        <f t="shared" si="0"/>
        <v>1201.6300000000001</v>
      </c>
      <c r="D15" s="30"/>
      <c r="E15" s="77">
        <v>11875</v>
      </c>
      <c r="F15" s="78" t="s">
        <v>332</v>
      </c>
      <c r="G15" s="51" t="s">
        <v>10</v>
      </c>
      <c r="H15" s="39">
        <v>0</v>
      </c>
      <c r="I15" s="39">
        <v>250</v>
      </c>
      <c r="J15" s="30"/>
      <c r="K15" s="77">
        <v>11726</v>
      </c>
      <c r="L15" s="91" t="s">
        <v>129</v>
      </c>
      <c r="M15" s="43" t="s">
        <v>149</v>
      </c>
      <c r="R15" s="1">
        <f>IF(vend20[[#This Row],[Nº Venda]]&gt;1,1,0)</f>
        <v>1</v>
      </c>
    </row>
    <row r="16" spans="2:18" ht="16.5" x14ac:dyDescent="0.3">
      <c r="B16" s="31" t="s">
        <v>11</v>
      </c>
      <c r="C16" s="72">
        <f>SUM(C11:C15)</f>
        <v>5673.33</v>
      </c>
      <c r="D16" s="30"/>
      <c r="E16" s="77">
        <v>11876</v>
      </c>
      <c r="F16" s="78" t="s">
        <v>216</v>
      </c>
      <c r="G16" s="51" t="s">
        <v>36</v>
      </c>
      <c r="H16" s="39">
        <v>0</v>
      </c>
      <c r="I16" s="39">
        <v>0</v>
      </c>
      <c r="J16" s="30"/>
      <c r="K16" s="77">
        <v>11727</v>
      </c>
      <c r="L16" s="91" t="s">
        <v>129</v>
      </c>
      <c r="M16" s="43" t="s">
        <v>149</v>
      </c>
      <c r="R16" s="1">
        <f>IF(vend20[[#This Row],[Nº Venda]]&gt;1,1,0)</f>
        <v>1</v>
      </c>
    </row>
    <row r="17" spans="2:18" ht="16.5" x14ac:dyDescent="0.3">
      <c r="B17" s="27"/>
      <c r="C17" s="27"/>
      <c r="D17" s="30"/>
      <c r="E17" s="77">
        <v>11877</v>
      </c>
      <c r="F17" s="78" t="s">
        <v>216</v>
      </c>
      <c r="G17" s="51" t="s">
        <v>36</v>
      </c>
      <c r="H17" s="39">
        <v>0</v>
      </c>
      <c r="I17" s="39">
        <v>0</v>
      </c>
      <c r="J17" s="30"/>
      <c r="K17" s="77">
        <v>11754</v>
      </c>
      <c r="L17" s="91" t="s">
        <v>131</v>
      </c>
      <c r="M17" s="43" t="s">
        <v>149</v>
      </c>
      <c r="R17" s="1">
        <f>IF(vend20[[#This Row],[Nº Venda]]&gt;1,1,0)</f>
        <v>1</v>
      </c>
    </row>
    <row r="18" spans="2:18" ht="16.5" x14ac:dyDescent="0.3">
      <c r="B18" s="109" t="s">
        <v>12</v>
      </c>
      <c r="C18" s="110"/>
      <c r="D18" s="30"/>
      <c r="E18" s="77">
        <v>11878</v>
      </c>
      <c r="F18" s="78" t="s">
        <v>333</v>
      </c>
      <c r="G18" s="51" t="s">
        <v>8</v>
      </c>
      <c r="H18" s="39">
        <v>1190.9000000000001</v>
      </c>
      <c r="I18" s="39">
        <v>1111</v>
      </c>
      <c r="J18" s="30"/>
      <c r="K18" s="77">
        <v>11756</v>
      </c>
      <c r="L18" s="91" t="s">
        <v>131</v>
      </c>
      <c r="M18" s="43" t="s">
        <v>149</v>
      </c>
      <c r="R18" s="1">
        <f>IF(vend20[[#This Row],[Nº Venda]]&gt;1,1,0)</f>
        <v>1</v>
      </c>
    </row>
    <row r="19" spans="2:18" ht="16.5" x14ac:dyDescent="0.3">
      <c r="B19" s="28">
        <f>COUNT(entr_carn20[OS])</f>
        <v>0</v>
      </c>
      <c r="C19" s="71">
        <f>SUM(entr_carn20[Valor Total])</f>
        <v>0</v>
      </c>
      <c r="D19" s="30"/>
      <c r="E19" s="77">
        <v>11878</v>
      </c>
      <c r="F19" s="78" t="s">
        <v>333</v>
      </c>
      <c r="G19" s="51" t="s">
        <v>7</v>
      </c>
      <c r="H19" s="39">
        <v>0</v>
      </c>
      <c r="I19" s="39">
        <v>79.900000000000006</v>
      </c>
      <c r="J19" s="30"/>
      <c r="K19" s="77">
        <v>11771</v>
      </c>
      <c r="L19" s="91" t="s">
        <v>131</v>
      </c>
      <c r="M19" s="43" t="s">
        <v>149</v>
      </c>
      <c r="R19" s="1">
        <f>IF(vend20[[#This Row],[Nº Venda]]&gt;1,1,0)</f>
        <v>1</v>
      </c>
    </row>
    <row r="20" spans="2:18" ht="16.5" x14ac:dyDescent="0.3">
      <c r="B20" s="31" t="s">
        <v>11</v>
      </c>
      <c r="C20" s="72">
        <f>SUM(C19:C19)</f>
        <v>0</v>
      </c>
      <c r="D20" s="30"/>
      <c r="E20" s="77">
        <v>11879</v>
      </c>
      <c r="F20" s="78" t="s">
        <v>333</v>
      </c>
      <c r="G20" s="51" t="s">
        <v>8</v>
      </c>
      <c r="H20" s="39">
        <v>338.5</v>
      </c>
      <c r="I20" s="39">
        <v>338.5</v>
      </c>
      <c r="J20" s="30"/>
      <c r="K20" s="77">
        <v>11772</v>
      </c>
      <c r="L20" s="91" t="s">
        <v>131</v>
      </c>
      <c r="M20" s="43" t="s">
        <v>149</v>
      </c>
      <c r="R20" s="1">
        <f>IF(vend20[[#This Row],[Nº Venda]]&gt;1,1,0)</f>
        <v>1</v>
      </c>
    </row>
    <row r="21" spans="2:18" ht="16.5" x14ac:dyDescent="0.3">
      <c r="B21" s="27"/>
      <c r="C21" s="27"/>
      <c r="D21" s="30"/>
      <c r="E21" s="77">
        <v>11880</v>
      </c>
      <c r="F21" s="78" t="s">
        <v>333</v>
      </c>
      <c r="G21" s="51" t="s">
        <v>8</v>
      </c>
      <c r="H21" s="39">
        <v>312</v>
      </c>
      <c r="I21" s="39">
        <v>312</v>
      </c>
      <c r="J21" s="30"/>
      <c r="K21" s="77">
        <v>11825</v>
      </c>
      <c r="L21" s="91" t="s">
        <v>129</v>
      </c>
      <c r="M21" s="43" t="s">
        <v>149</v>
      </c>
    </row>
    <row r="22" spans="2:18" ht="16.5" x14ac:dyDescent="0.3">
      <c r="B22" s="31" t="s">
        <v>25</v>
      </c>
      <c r="C22" s="34">
        <f>C5</f>
        <v>5316.7</v>
      </c>
      <c r="D22" s="30"/>
      <c r="E22" s="77">
        <v>11881</v>
      </c>
      <c r="F22" s="51" t="s">
        <v>333</v>
      </c>
      <c r="G22" s="51" t="s">
        <v>8</v>
      </c>
      <c r="H22" s="39">
        <v>9.8000000000000007</v>
      </c>
      <c r="I22" s="39">
        <v>9.8000000000000007</v>
      </c>
      <c r="J22" s="30"/>
      <c r="K22" s="77">
        <v>11826</v>
      </c>
      <c r="L22" s="91" t="s">
        <v>129</v>
      </c>
      <c r="M22" s="43" t="s">
        <v>149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>
        <v>11830</v>
      </c>
      <c r="L23" s="91" t="s">
        <v>187</v>
      </c>
      <c r="M23" s="43" t="s">
        <v>149</v>
      </c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>
        <v>11831</v>
      </c>
      <c r="L24" s="91" t="s">
        <v>187</v>
      </c>
      <c r="M24" s="43" t="s">
        <v>149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>
        <v>11854</v>
      </c>
      <c r="L25" s="91" t="s">
        <v>131</v>
      </c>
      <c r="M25" s="43" t="s">
        <v>149</v>
      </c>
    </row>
    <row r="26" spans="2:18" ht="16.5" x14ac:dyDescent="0.3">
      <c r="B26" s="30"/>
      <c r="C26" s="30"/>
      <c r="D26" s="30"/>
      <c r="E26" s="77">
        <v>11771</v>
      </c>
      <c r="F26" s="78" t="s">
        <v>325</v>
      </c>
      <c r="G26" s="51" t="s">
        <v>8</v>
      </c>
      <c r="H26" s="39">
        <v>0</v>
      </c>
      <c r="I26" s="39">
        <v>400</v>
      </c>
      <c r="J26" s="30"/>
      <c r="K26" s="77">
        <v>11869</v>
      </c>
      <c r="L26" s="91" t="s">
        <v>129</v>
      </c>
      <c r="M26" s="43" t="s">
        <v>149</v>
      </c>
    </row>
    <row r="27" spans="2:18" ht="16.5" x14ac:dyDescent="0.3">
      <c r="B27" s="30"/>
      <c r="C27" s="30"/>
      <c r="D27" s="30"/>
      <c r="E27" s="77">
        <v>11772</v>
      </c>
      <c r="F27" s="78" t="s">
        <v>325</v>
      </c>
      <c r="G27" s="51" t="s">
        <v>8</v>
      </c>
      <c r="H27" s="39">
        <v>0</v>
      </c>
      <c r="I27" s="39">
        <v>899</v>
      </c>
      <c r="J27" s="30"/>
      <c r="K27" s="77">
        <v>11873</v>
      </c>
      <c r="L27" s="91" t="s">
        <v>129</v>
      </c>
      <c r="M27" s="43" t="s">
        <v>149</v>
      </c>
    </row>
    <row r="28" spans="2:18" ht="16.5" x14ac:dyDescent="0.3">
      <c r="B28" s="30"/>
      <c r="C28" s="30"/>
      <c r="D28" s="30"/>
      <c r="E28" s="77">
        <v>11821</v>
      </c>
      <c r="F28" s="78" t="s">
        <v>271</v>
      </c>
      <c r="G28" s="51" t="s">
        <v>10</v>
      </c>
      <c r="H28" s="39">
        <v>0</v>
      </c>
      <c r="I28" s="39">
        <v>270</v>
      </c>
      <c r="J28" s="30"/>
      <c r="K28" s="77">
        <v>11874</v>
      </c>
      <c r="L28" s="91" t="s">
        <v>129</v>
      </c>
      <c r="M28" s="43" t="s">
        <v>149</v>
      </c>
    </row>
    <row r="29" spans="2:18" ht="16.5" x14ac:dyDescent="0.3">
      <c r="B29" s="30"/>
      <c r="C29" s="30"/>
      <c r="D29" s="30"/>
      <c r="E29" s="77">
        <v>11823</v>
      </c>
      <c r="F29" s="78" t="s">
        <v>271</v>
      </c>
      <c r="G29" s="51" t="s">
        <v>10</v>
      </c>
      <c r="H29" s="39">
        <v>0</v>
      </c>
      <c r="I29" s="39">
        <v>30</v>
      </c>
      <c r="J29" s="30"/>
      <c r="K29" s="77">
        <v>11881</v>
      </c>
      <c r="L29" s="91" t="s">
        <v>129</v>
      </c>
      <c r="M29" s="43" t="s">
        <v>149</v>
      </c>
    </row>
    <row r="30" spans="2:18" ht="16.5" x14ac:dyDescent="0.3">
      <c r="B30" s="30"/>
      <c r="C30" s="30"/>
      <c r="D30" s="30"/>
      <c r="E30" s="77">
        <v>11852</v>
      </c>
      <c r="F30" s="51" t="s">
        <v>295</v>
      </c>
      <c r="G30" s="51" t="s">
        <v>10</v>
      </c>
      <c r="H30" s="39">
        <v>899</v>
      </c>
      <c r="I30" s="39">
        <v>100</v>
      </c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11207</v>
      </c>
      <c r="F35" s="78" t="s">
        <v>334</v>
      </c>
      <c r="G35" s="51" t="s">
        <v>10</v>
      </c>
      <c r="H35" s="39">
        <v>237</v>
      </c>
      <c r="I35" s="39" t="s">
        <v>79</v>
      </c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>
        <v>11043</v>
      </c>
      <c r="F36" s="78" t="s">
        <v>335</v>
      </c>
      <c r="G36" s="51" t="s">
        <v>10</v>
      </c>
      <c r="H36" s="39">
        <v>96.25</v>
      </c>
      <c r="I36" s="39" t="s">
        <v>53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>
        <v>10956</v>
      </c>
      <c r="F37" s="78" t="s">
        <v>336</v>
      </c>
      <c r="G37" s="51" t="s">
        <v>10</v>
      </c>
      <c r="H37" s="39">
        <v>149.38</v>
      </c>
      <c r="I37" s="39" t="s">
        <v>75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15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'20'!B1+1</f>
        <v>45921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7"/>
      <c r="F6" s="78"/>
      <c r="G6" s="51"/>
      <c r="H6" s="39"/>
      <c r="I6" s="39"/>
      <c r="J6" s="30"/>
      <c r="K6" s="78"/>
      <c r="L6" s="91"/>
      <c r="M6" s="43"/>
      <c r="R6" s="1">
        <f>IF(vend21[[#This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7"/>
      <c r="F7" s="78"/>
      <c r="G7" s="51"/>
      <c r="H7" s="39"/>
      <c r="I7" s="39"/>
      <c r="J7" s="30"/>
      <c r="K7" s="78"/>
      <c r="L7" s="91"/>
      <c r="M7" s="43"/>
      <c r="R7" s="1">
        <f>IF(vend21[[#This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7"/>
      <c r="F8" s="78"/>
      <c r="G8" s="51"/>
      <c r="H8" s="39"/>
      <c r="I8" s="39"/>
      <c r="J8" s="30"/>
      <c r="K8" s="78"/>
      <c r="L8" s="91"/>
      <c r="M8" s="43"/>
      <c r="R8" s="1">
        <f>IF(vend21[[#This Row],[Nº Venda]]&gt;1,1,0)</f>
        <v>0</v>
      </c>
    </row>
    <row r="9" spans="2:18" ht="16.5" x14ac:dyDescent="0.3">
      <c r="B9" s="27"/>
      <c r="C9" s="27"/>
      <c r="D9" s="30"/>
      <c r="E9" s="77"/>
      <c r="F9" s="78"/>
      <c r="G9" s="51"/>
      <c r="H9" s="39"/>
      <c r="I9" s="39"/>
      <c r="J9" s="30"/>
      <c r="K9" s="78"/>
      <c r="L9" s="91"/>
      <c r="M9" s="43"/>
      <c r="R9" s="1">
        <f>IF(vend21[[#This Row],[Nº Venda]]&gt;1,1,0)</f>
        <v>0</v>
      </c>
    </row>
    <row r="10" spans="2:18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R10" s="1">
        <f>IF(vend21[[#This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0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0</v>
      </c>
      <c r="R11" s="1">
        <f>IF(vend21[[#This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IF(vend21[[#This Row],[Nº Venda]]&gt;1,1,0)</f>
        <v>0</v>
      </c>
    </row>
    <row r="13" spans="2:18" ht="16.5" x14ac:dyDescent="0.3">
      <c r="B13" s="28" t="s">
        <v>8</v>
      </c>
      <c r="C13" s="71">
        <f t="shared" si="0"/>
        <v>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IF(vend21[[#This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IF(vend21[[#This Row],[Nº Venda]]&gt;1,1,0)</f>
        <v>0</v>
      </c>
    </row>
    <row r="15" spans="2:18" ht="16.5" x14ac:dyDescent="0.3">
      <c r="B15" s="28" t="s">
        <v>10</v>
      </c>
      <c r="C15" s="71">
        <f t="shared" si="0"/>
        <v>0</v>
      </c>
      <c r="D15" s="30"/>
      <c r="E15" s="77"/>
      <c r="F15" s="78"/>
      <c r="G15" s="51"/>
      <c r="H15" s="39"/>
      <c r="I15" s="39"/>
      <c r="J15" s="30"/>
      <c r="K15" s="77"/>
      <c r="L15" s="91"/>
      <c r="M15" s="43"/>
      <c r="R15" s="1">
        <f>IF(vend21[[#This Row],[Nº Venda]]&gt;1,1,0)</f>
        <v>0</v>
      </c>
    </row>
    <row r="16" spans="2:18" ht="16.5" x14ac:dyDescent="0.3">
      <c r="B16" s="31" t="s">
        <v>11</v>
      </c>
      <c r="C16" s="72">
        <f>SUM(C11:C15)</f>
        <v>0</v>
      </c>
      <c r="D16" s="30"/>
      <c r="E16" s="77"/>
      <c r="F16" s="78"/>
      <c r="G16" s="51"/>
      <c r="H16" s="39"/>
      <c r="I16" s="39"/>
      <c r="J16" s="30"/>
      <c r="K16" s="77"/>
      <c r="L16" s="91"/>
      <c r="M16" s="43"/>
      <c r="R16" s="1">
        <f>IF(vend21[[#This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/>
      <c r="L17" s="91"/>
      <c r="M17" s="43"/>
      <c r="R17" s="1">
        <f>IF(vend21[[#This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/>
      <c r="L18" s="91"/>
      <c r="M18" s="43"/>
      <c r="R18" s="1">
        <f>IF(vend21[[#This Row],[Nº Venda]]&gt;1,1,0)</f>
        <v>0</v>
      </c>
    </row>
    <row r="19" spans="2:18" ht="16.5" x14ac:dyDescent="0.3">
      <c r="B19" s="28">
        <f>COUNT(entr_carn21[OS])</f>
        <v>0</v>
      </c>
      <c r="C19" s="71">
        <f>SUM(entr_carn21[Valor Total])</f>
        <v>0</v>
      </c>
      <c r="D19" s="30"/>
      <c r="E19" s="77"/>
      <c r="F19" s="78"/>
      <c r="G19" s="51"/>
      <c r="H19" s="39"/>
      <c r="I19" s="39"/>
      <c r="J19" s="30"/>
      <c r="K19" s="77"/>
      <c r="L19" s="91"/>
      <c r="M19" s="43"/>
      <c r="R19" s="1">
        <f>IF(vend21[[#This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IF(vend21[[#This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0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/>
      <c r="F26" s="78"/>
      <c r="G26" s="51"/>
      <c r="H26" s="39"/>
      <c r="I26" s="39"/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'21'!B1+1</f>
        <v>45922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309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751.5</v>
      </c>
      <c r="D6" s="30"/>
      <c r="E6" s="77">
        <v>11881</v>
      </c>
      <c r="F6" s="78" t="s">
        <v>337</v>
      </c>
      <c r="G6" s="51" t="s">
        <v>8</v>
      </c>
      <c r="H6" s="39">
        <v>99</v>
      </c>
      <c r="I6" s="39">
        <v>99</v>
      </c>
      <c r="J6" s="30"/>
      <c r="K6" s="78" t="s">
        <v>165</v>
      </c>
      <c r="L6" s="91" t="s">
        <v>10</v>
      </c>
      <c r="M6" s="43">
        <v>2.5</v>
      </c>
      <c r="R6" s="1">
        <f>IF(vend22[[#This Row],[Nº Venda]]&gt;1,1,0)</f>
        <v>1</v>
      </c>
    </row>
    <row r="7" spans="2:18" ht="16.5" x14ac:dyDescent="0.3">
      <c r="B7" s="28" t="s">
        <v>3</v>
      </c>
      <c r="C7" s="29">
        <f>SUM(M6:M11)</f>
        <v>2.5</v>
      </c>
      <c r="D7" s="30"/>
      <c r="E7" s="77">
        <v>11882</v>
      </c>
      <c r="F7" s="78" t="s">
        <v>338</v>
      </c>
      <c r="G7" s="51" t="s">
        <v>36</v>
      </c>
      <c r="H7" s="39"/>
      <c r="I7" s="39"/>
      <c r="J7" s="30"/>
      <c r="K7" s="78"/>
      <c r="L7" s="91"/>
      <c r="M7" s="43"/>
      <c r="R7" s="1">
        <f>IF(vend22[[#This Row],[Nº Venda]]&gt;1,1,0)</f>
        <v>1</v>
      </c>
    </row>
    <row r="8" spans="2:18" ht="16.5" x14ac:dyDescent="0.3">
      <c r="B8" s="31" t="s">
        <v>21</v>
      </c>
      <c r="C8" s="32">
        <f>SUM(C6:C7)</f>
        <v>754</v>
      </c>
      <c r="D8" s="30"/>
      <c r="E8" s="77">
        <v>11883</v>
      </c>
      <c r="F8" s="78" t="s">
        <v>339</v>
      </c>
      <c r="G8" s="51" t="s">
        <v>36</v>
      </c>
      <c r="H8" s="39"/>
      <c r="I8" s="39"/>
      <c r="J8" s="30"/>
      <c r="K8" s="78"/>
      <c r="L8" s="91"/>
      <c r="M8" s="43"/>
      <c r="R8" s="1">
        <f>IF(vend22[[#This Row],[Nº Venda]]&gt;1,1,0)</f>
        <v>1</v>
      </c>
    </row>
    <row r="9" spans="2:18" ht="16.5" x14ac:dyDescent="0.3">
      <c r="B9" s="27"/>
      <c r="C9" s="27"/>
      <c r="D9" s="30"/>
      <c r="E9" s="77">
        <v>11884</v>
      </c>
      <c r="F9" s="78" t="s">
        <v>340</v>
      </c>
      <c r="G9" s="51" t="s">
        <v>10</v>
      </c>
      <c r="H9" s="39">
        <v>210</v>
      </c>
      <c r="I9" s="39">
        <v>40</v>
      </c>
      <c r="J9" s="30"/>
      <c r="K9" s="78"/>
      <c r="L9" s="91"/>
      <c r="M9" s="43"/>
      <c r="R9" s="1">
        <f>IF(vend22[[#This Row],[Nº Venda]]&gt;1,1,0)</f>
        <v>1</v>
      </c>
    </row>
    <row r="10" spans="2:18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R10" s="1">
        <f>IF(vend22[[#This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0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1</v>
      </c>
      <c r="R11" s="1">
        <f>IF(vend22[[#This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IF(vend22[[#This Row],[Nº Venda]]&gt;1,1,0)</f>
        <v>0</v>
      </c>
    </row>
    <row r="13" spans="2:18" ht="16.5" x14ac:dyDescent="0.3">
      <c r="B13" s="28" t="s">
        <v>8</v>
      </c>
      <c r="C13" s="71">
        <f t="shared" si="0"/>
        <v>99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IF(vend22[[#This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IF(vend22[[#This Row],[Nº Venda]]&gt;1,1,0)</f>
        <v>0</v>
      </c>
    </row>
    <row r="15" spans="2:18" ht="16.5" x14ac:dyDescent="0.3">
      <c r="B15" s="28" t="s">
        <v>10</v>
      </c>
      <c r="C15" s="71">
        <f t="shared" si="0"/>
        <v>652.5</v>
      </c>
      <c r="D15" s="30"/>
      <c r="E15" s="77"/>
      <c r="F15" s="78"/>
      <c r="G15" s="51"/>
      <c r="H15" s="39"/>
      <c r="I15" s="39"/>
      <c r="J15" s="30"/>
      <c r="K15" s="77">
        <v>11882</v>
      </c>
      <c r="L15" s="91" t="s">
        <v>129</v>
      </c>
      <c r="M15" s="43" t="s">
        <v>149</v>
      </c>
      <c r="R15" s="1">
        <f>IF(vend22[[#This Row],[Nº Venda]]&gt;1,1,0)</f>
        <v>0</v>
      </c>
    </row>
    <row r="16" spans="2:18" ht="16.5" x14ac:dyDescent="0.3">
      <c r="B16" s="31" t="s">
        <v>11</v>
      </c>
      <c r="C16" s="72">
        <f>SUM(C11:C15)</f>
        <v>751.5</v>
      </c>
      <c r="D16" s="30"/>
      <c r="E16" s="77"/>
      <c r="F16" s="78"/>
      <c r="G16" s="51"/>
      <c r="H16" s="39"/>
      <c r="I16" s="39"/>
      <c r="J16" s="30"/>
      <c r="K16" s="77">
        <v>11494</v>
      </c>
      <c r="L16" s="91" t="s">
        <v>131</v>
      </c>
      <c r="M16" s="43" t="s">
        <v>249</v>
      </c>
      <c r="R16" s="1">
        <f>IF(vend22[[#This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11881</v>
      </c>
      <c r="L17" s="91" t="s">
        <v>131</v>
      </c>
      <c r="M17" s="43" t="s">
        <v>149</v>
      </c>
      <c r="R17" s="1">
        <f>IF(vend22[[#This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/>
      <c r="L18" s="91"/>
      <c r="M18" s="43"/>
      <c r="R18" s="1">
        <f>IF(vend22[[#This Row],[Nº Venda]]&gt;1,1,0)</f>
        <v>0</v>
      </c>
    </row>
    <row r="19" spans="2:18" ht="16.5" x14ac:dyDescent="0.3">
      <c r="B19" s="28">
        <f>COUNT(entr_carn22[OS])</f>
        <v>1</v>
      </c>
      <c r="C19" s="71">
        <f>SUM(entr_carn22[Valor Total])</f>
        <v>1539</v>
      </c>
      <c r="D19" s="30"/>
      <c r="E19" s="77"/>
      <c r="F19" s="78"/>
      <c r="G19" s="51"/>
      <c r="H19" s="39"/>
      <c r="I19" s="39"/>
      <c r="J19" s="30"/>
      <c r="K19" s="77"/>
      <c r="L19" s="91"/>
      <c r="M19" s="43"/>
      <c r="R19" s="1">
        <f>IF(vend22[[#This Row],[Nº Venda]]&gt;1,1,0)</f>
        <v>0</v>
      </c>
    </row>
    <row r="20" spans="2:18" ht="16.5" x14ac:dyDescent="0.3">
      <c r="B20" s="31" t="s">
        <v>11</v>
      </c>
      <c r="C20" s="72">
        <f>SUM(C19:C19)</f>
        <v>1539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IF(vend22[[#This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309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11494</v>
      </c>
      <c r="F26" s="78" t="s">
        <v>341</v>
      </c>
      <c r="G26" s="51" t="s">
        <v>10</v>
      </c>
      <c r="H26" s="39"/>
      <c r="I26" s="39">
        <v>110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9960</v>
      </c>
      <c r="F35" s="78" t="s">
        <v>342</v>
      </c>
      <c r="G35" s="51" t="s">
        <v>10</v>
      </c>
      <c r="H35" s="39">
        <v>100</v>
      </c>
      <c r="I35" s="39" t="s">
        <v>39</v>
      </c>
      <c r="J35" s="38"/>
      <c r="K35" s="77">
        <v>11494</v>
      </c>
      <c r="L35" s="77">
        <v>9</v>
      </c>
      <c r="M35" s="91">
        <v>1539</v>
      </c>
    </row>
    <row r="36" spans="2:18" ht="16.5" customHeight="1" x14ac:dyDescent="0.25">
      <c r="B36" s="38"/>
      <c r="C36" s="38"/>
      <c r="D36" s="38"/>
      <c r="E36" s="83">
        <v>11479</v>
      </c>
      <c r="F36" s="78" t="s">
        <v>343</v>
      </c>
      <c r="G36" s="51" t="s">
        <v>10</v>
      </c>
      <c r="H36" s="39">
        <v>262.5</v>
      </c>
      <c r="I36" s="39" t="s">
        <v>31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>
        <v>10915</v>
      </c>
      <c r="F37" s="78" t="s">
        <v>163</v>
      </c>
      <c r="G37" s="51" t="s">
        <v>10</v>
      </c>
      <c r="H37" s="39">
        <v>140</v>
      </c>
      <c r="I37" s="39" t="s">
        <v>37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4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'22'!B1+1</f>
        <v>45923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700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1995.9</v>
      </c>
      <c r="D6" s="30"/>
      <c r="E6" s="77">
        <v>11885</v>
      </c>
      <c r="F6" s="78" t="s">
        <v>345</v>
      </c>
      <c r="G6" s="51" t="s">
        <v>46</v>
      </c>
      <c r="H6" s="39">
        <v>0</v>
      </c>
      <c r="I6" s="39">
        <v>0</v>
      </c>
      <c r="J6" s="30"/>
      <c r="K6" s="78" t="s">
        <v>314</v>
      </c>
      <c r="L6" s="91">
        <v>96</v>
      </c>
      <c r="M6" s="43" t="s">
        <v>351</v>
      </c>
      <c r="R6" s="1">
        <f>IF(vend23[[#This Row],[Nº Venda]]&gt;1,1,0)</f>
        <v>1</v>
      </c>
    </row>
    <row r="7" spans="2:18" ht="16.5" x14ac:dyDescent="0.3">
      <c r="B7" s="28" t="s">
        <v>3</v>
      </c>
      <c r="C7" s="29">
        <f>SUM(M6:M11)</f>
        <v>0</v>
      </c>
      <c r="D7" s="30"/>
      <c r="E7" s="77">
        <v>11886</v>
      </c>
      <c r="F7" s="78" t="s">
        <v>346</v>
      </c>
      <c r="G7" s="51" t="s">
        <v>8</v>
      </c>
      <c r="H7" s="39">
        <v>690</v>
      </c>
      <c r="I7" s="39">
        <v>390</v>
      </c>
      <c r="J7" s="30"/>
      <c r="K7" s="78"/>
      <c r="L7" s="91"/>
      <c r="M7" s="43"/>
      <c r="R7" s="1">
        <f>IF(vend23[[#This Row],[Nº Venda]]&gt;1,1,0)</f>
        <v>1</v>
      </c>
    </row>
    <row r="8" spans="2:18" ht="16.5" x14ac:dyDescent="0.3">
      <c r="B8" s="31" t="s">
        <v>21</v>
      </c>
      <c r="C8" s="32">
        <f>SUM(C6:C7)</f>
        <v>1995.9</v>
      </c>
      <c r="D8" s="30"/>
      <c r="E8" s="77">
        <v>11886</v>
      </c>
      <c r="F8" s="78" t="s">
        <v>346</v>
      </c>
      <c r="G8" s="51" t="s">
        <v>7</v>
      </c>
      <c r="H8" s="39"/>
      <c r="I8" s="39">
        <v>300</v>
      </c>
      <c r="J8" s="30"/>
      <c r="K8" s="78"/>
      <c r="L8" s="91"/>
      <c r="M8" s="43"/>
      <c r="R8" s="1">
        <f>IF(vend23[[#This Row],[Nº Venda]]&gt;1,1,0)</f>
        <v>1</v>
      </c>
    </row>
    <row r="9" spans="2:18" ht="16.5" x14ac:dyDescent="0.3">
      <c r="B9" s="27"/>
      <c r="C9" s="27"/>
      <c r="D9" s="30"/>
      <c r="E9" s="77">
        <v>11887</v>
      </c>
      <c r="F9" s="78" t="s">
        <v>248</v>
      </c>
      <c r="G9" s="51" t="s">
        <v>46</v>
      </c>
      <c r="H9" s="39">
        <v>89</v>
      </c>
      <c r="I9" s="39"/>
      <c r="J9" s="30"/>
      <c r="K9" s="78"/>
      <c r="L9" s="91"/>
      <c r="M9" s="43"/>
      <c r="R9" s="1">
        <f>IF(vend23[[#This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11888</v>
      </c>
      <c r="F10" s="78" t="s">
        <v>272</v>
      </c>
      <c r="G10" s="51" t="s">
        <v>6</v>
      </c>
      <c r="H10" s="39">
        <v>10</v>
      </c>
      <c r="I10" s="39">
        <v>10</v>
      </c>
      <c r="J10" s="30"/>
      <c r="K10" s="78"/>
      <c r="L10" s="91"/>
      <c r="M10" s="43"/>
      <c r="R10" s="1">
        <f>IF(vend23[[#This Row],[Nº Venda]]&gt;1,1,0)</f>
        <v>1</v>
      </c>
    </row>
    <row r="11" spans="2:18" ht="16.5" x14ac:dyDescent="0.3">
      <c r="B11" s="28" t="s">
        <v>6</v>
      </c>
      <c r="C11" s="73">
        <f>(SUMIF($G$2:$G$31,B11,$I$2:$I$31))+(SUMIF($G$35:$G$41,B11,$H$35:$H$41))</f>
        <v>96</v>
      </c>
      <c r="D11" s="30"/>
      <c r="E11" s="77">
        <v>11889</v>
      </c>
      <c r="F11" s="78" t="s">
        <v>282</v>
      </c>
      <c r="G11" s="51" t="s">
        <v>46</v>
      </c>
      <c r="H11" s="39">
        <v>129</v>
      </c>
      <c r="I11" s="39"/>
      <c r="J11" s="30"/>
      <c r="K11" s="38"/>
      <c r="L11" s="91"/>
      <c r="M11" s="43"/>
      <c r="O11" s="1">
        <f>IF(C16=0,0,1)</f>
        <v>1</v>
      </c>
      <c r="R11" s="1">
        <f>IF(vend23[[#This Row],[Nº Venda]]&gt;1,1,0)</f>
        <v>1</v>
      </c>
    </row>
    <row r="12" spans="2:18" ht="16.5" x14ac:dyDescent="0.3">
      <c r="B12" s="28" t="s">
        <v>7</v>
      </c>
      <c r="C12" s="73">
        <f>(SUMIF($G$2:$G$31,B12,$I$2:$I$31))+(SUMIF($G$35:$G$41,B12,$H$35:$H$41))</f>
        <v>449.9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IF(vend23[[#This Row],[Nº Venda]]&gt;1,1,0)</f>
        <v>0</v>
      </c>
    </row>
    <row r="13" spans="2:18" ht="16.5" x14ac:dyDescent="0.3">
      <c r="B13" s="28" t="s">
        <v>8</v>
      </c>
      <c r="C13" s="73">
        <f>(SUMIF($G$2:$G$31,B13,$I$2:$I$31))+(SUMIF($G$35:$G$41,B13,$H$35:$H$41))</f>
        <v>1240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IF(vend23[[#This Row],[Nº Venda]]&gt;1,1,0)</f>
        <v>0</v>
      </c>
    </row>
    <row r="14" spans="2:18" ht="16.5" x14ac:dyDescent="0.3">
      <c r="B14" s="28" t="s">
        <v>9</v>
      </c>
      <c r="C14" s="73">
        <f>(SUMIF($G$2:$G$31,B14,$I$2:$I$31))+(SUMIF($G$35:$G$41,B14,$H$35:$H$41))</f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IF(vend23[[#This Row],[Nº Venda]]&gt;1,1,0)</f>
        <v>0</v>
      </c>
    </row>
    <row r="15" spans="2:18" ht="16.5" x14ac:dyDescent="0.3">
      <c r="B15" s="28" t="s">
        <v>10</v>
      </c>
      <c r="C15" s="73">
        <f>(SUMIF($G$2:$G$31,B15,$I$2:$I$31))+(SUMIF($G$35:$G$41,B15,$H$35:$H$41))</f>
        <v>210</v>
      </c>
      <c r="D15" s="30"/>
      <c r="E15" s="77"/>
      <c r="F15" s="78"/>
      <c r="G15" s="51"/>
      <c r="H15" s="39"/>
      <c r="I15" s="39"/>
      <c r="J15" s="30"/>
      <c r="K15" s="77">
        <v>11888</v>
      </c>
      <c r="L15" s="91" t="s">
        <v>129</v>
      </c>
      <c r="M15" s="43" t="s">
        <v>149</v>
      </c>
      <c r="R15" s="1">
        <f>IF(vend23[[#This Row],[Nº Venda]]&gt;1,1,0)</f>
        <v>0</v>
      </c>
    </row>
    <row r="16" spans="2:18" ht="16.5" x14ac:dyDescent="0.3">
      <c r="B16" s="31" t="s">
        <v>11</v>
      </c>
      <c r="C16" s="72">
        <f>SUM(C11:C15)</f>
        <v>1995.9</v>
      </c>
      <c r="D16" s="30"/>
      <c r="E16" s="77"/>
      <c r="F16" s="78"/>
      <c r="G16" s="51"/>
      <c r="H16" s="39"/>
      <c r="I16" s="39"/>
      <c r="J16" s="30"/>
      <c r="K16" s="77">
        <v>11822</v>
      </c>
      <c r="L16" s="91" t="s">
        <v>129</v>
      </c>
      <c r="M16" s="43" t="s">
        <v>149</v>
      </c>
      <c r="R16" s="1">
        <f>IF(vend23[[#This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11885</v>
      </c>
      <c r="L17" s="91" t="s">
        <v>131</v>
      </c>
      <c r="M17" s="43" t="s">
        <v>149</v>
      </c>
      <c r="R17" s="1">
        <f>IF(vend23[[#This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11724</v>
      </c>
      <c r="L18" s="91" t="s">
        <v>129</v>
      </c>
      <c r="M18" s="43" t="s">
        <v>149</v>
      </c>
      <c r="R18" s="1">
        <f>IF(vend23[[#This Row],[Nº Venda]]&gt;1,1,0)</f>
        <v>0</v>
      </c>
    </row>
    <row r="19" spans="2:18" ht="16.5" x14ac:dyDescent="0.3">
      <c r="B19" s="28">
        <f>COUNT(entr_carn23[OS])</f>
        <v>1</v>
      </c>
      <c r="C19" s="71">
        <f>SUM(entr_carn23[Valor Total])</f>
        <v>390</v>
      </c>
      <c r="D19" s="30"/>
      <c r="E19" s="77"/>
      <c r="F19" s="78"/>
      <c r="G19" s="51"/>
      <c r="H19" s="39"/>
      <c r="I19" s="39"/>
      <c r="J19" s="30"/>
      <c r="K19" s="77">
        <v>11876</v>
      </c>
      <c r="L19" s="91" t="s">
        <v>129</v>
      </c>
      <c r="M19" s="43" t="s">
        <v>149</v>
      </c>
      <c r="R19" s="1">
        <f>IF(vend23[[#This Row],[Nº Venda]]&gt;1,1,0)</f>
        <v>0</v>
      </c>
    </row>
    <row r="20" spans="2:18" ht="16.5" x14ac:dyDescent="0.3">
      <c r="B20" s="31" t="s">
        <v>11</v>
      </c>
      <c r="C20" s="72">
        <f>SUM(C19:C19)</f>
        <v>390</v>
      </c>
      <c r="D20" s="30"/>
      <c r="E20" s="77"/>
      <c r="F20" s="51"/>
      <c r="G20" s="51"/>
      <c r="H20" s="39"/>
      <c r="I20" s="39"/>
      <c r="J20" s="30"/>
      <c r="K20" s="77">
        <v>11510</v>
      </c>
      <c r="L20" s="91" t="s">
        <v>131</v>
      </c>
      <c r="M20" s="43" t="s">
        <v>149</v>
      </c>
      <c r="R20" s="1">
        <f>IF(vend23[[#This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11503</v>
      </c>
      <c r="L21" s="91" t="s">
        <v>131</v>
      </c>
      <c r="M21" s="43" t="s">
        <v>149</v>
      </c>
    </row>
    <row r="22" spans="2:18" ht="16.5" x14ac:dyDescent="0.3">
      <c r="B22" s="31" t="s">
        <v>25</v>
      </c>
      <c r="C22" s="34">
        <f>C5</f>
        <v>700</v>
      </c>
      <c r="D22" s="30"/>
      <c r="E22" s="79"/>
      <c r="F22" s="78"/>
      <c r="G22" s="51"/>
      <c r="H22" s="39"/>
      <c r="I22" s="39"/>
      <c r="J22" s="30"/>
      <c r="K22" s="77">
        <v>11818</v>
      </c>
      <c r="L22" s="91" t="s">
        <v>131</v>
      </c>
      <c r="M22" s="43" t="s">
        <v>249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>
        <v>11824</v>
      </c>
      <c r="L23" s="91" t="s">
        <v>129</v>
      </c>
      <c r="M23" s="43" t="s">
        <v>149</v>
      </c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>
        <v>1100</v>
      </c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11534</v>
      </c>
      <c r="F26" s="78" t="s">
        <v>347</v>
      </c>
      <c r="G26" s="51" t="s">
        <v>10</v>
      </c>
      <c r="H26" s="39"/>
      <c r="I26" s="39">
        <v>50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>
        <v>11510</v>
      </c>
      <c r="F27" s="78" t="s">
        <v>350</v>
      </c>
      <c r="G27" s="51" t="s">
        <v>8</v>
      </c>
      <c r="H27" s="39"/>
      <c r="I27" s="39">
        <v>240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>
        <v>11503</v>
      </c>
      <c r="F28" s="78" t="s">
        <v>350</v>
      </c>
      <c r="G28" s="51" t="s">
        <v>8</v>
      </c>
      <c r="H28" s="39"/>
      <c r="I28" s="39">
        <v>610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>
        <v>11818</v>
      </c>
      <c r="F29" s="78" t="s">
        <v>352</v>
      </c>
      <c r="G29" s="51" t="s">
        <v>10</v>
      </c>
      <c r="H29" s="39"/>
      <c r="I29" s="39">
        <v>160</v>
      </c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11040</v>
      </c>
      <c r="F35" s="78" t="s">
        <v>348</v>
      </c>
      <c r="G35" s="51" t="s">
        <v>6</v>
      </c>
      <c r="H35" s="39">
        <v>86</v>
      </c>
      <c r="I35" s="39" t="s">
        <v>53</v>
      </c>
      <c r="J35" s="38"/>
      <c r="K35" s="77">
        <v>11818</v>
      </c>
      <c r="L35" s="77">
        <v>5</v>
      </c>
      <c r="M35" s="91">
        <v>390</v>
      </c>
    </row>
    <row r="36" spans="2:18" ht="16.5" customHeight="1" x14ac:dyDescent="0.25">
      <c r="B36" s="38"/>
      <c r="C36" s="38"/>
      <c r="D36" s="38"/>
      <c r="E36" s="83">
        <v>11436</v>
      </c>
      <c r="F36" s="78" t="s">
        <v>349</v>
      </c>
      <c r="G36" s="51" t="s">
        <v>7</v>
      </c>
      <c r="H36" s="39">
        <v>149.9</v>
      </c>
      <c r="I36" s="39" t="s">
        <v>38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6</v>
      </c>
    </row>
    <row r="41" spans="2:18" ht="16.5" customHeight="1" x14ac:dyDescent="0.25">
      <c r="B41" s="38"/>
      <c r="C41" s="38"/>
      <c r="D41" s="38"/>
      <c r="E41" s="84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'23'!B1+1</f>
        <v>45924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220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788.2</v>
      </c>
      <c r="D6" s="30"/>
      <c r="E6" s="77">
        <v>11890</v>
      </c>
      <c r="F6" s="78" t="s">
        <v>353</v>
      </c>
      <c r="G6" s="51" t="s">
        <v>8</v>
      </c>
      <c r="H6" s="39">
        <v>190</v>
      </c>
      <c r="I6" s="39">
        <v>190</v>
      </c>
      <c r="J6" s="30"/>
      <c r="K6" s="78"/>
      <c r="L6" s="91"/>
      <c r="M6" s="43"/>
      <c r="R6" s="1">
        <f>IF(vend24[[#This Row],[Nº Venda]]&gt;1,1,0)</f>
        <v>1</v>
      </c>
    </row>
    <row r="7" spans="2:18" ht="16.5" x14ac:dyDescent="0.3">
      <c r="B7" s="28" t="s">
        <v>3</v>
      </c>
      <c r="C7" s="29">
        <f>SUM(M6:M11)</f>
        <v>0</v>
      </c>
      <c r="D7" s="30"/>
      <c r="E7" s="77">
        <v>11891</v>
      </c>
      <c r="F7" s="78" t="s">
        <v>354</v>
      </c>
      <c r="G7" s="51" t="s">
        <v>10</v>
      </c>
      <c r="H7" s="39">
        <v>30</v>
      </c>
      <c r="I7" s="39">
        <v>30</v>
      </c>
      <c r="J7" s="30"/>
      <c r="K7" s="78"/>
      <c r="L7" s="91"/>
      <c r="M7" s="43"/>
      <c r="R7" s="1">
        <f>IF(vend24[[#This Row],[Nº Venda]]&gt;1,1,0)</f>
        <v>1</v>
      </c>
    </row>
    <row r="8" spans="2:18" ht="16.5" x14ac:dyDescent="0.3">
      <c r="B8" s="31" t="s">
        <v>21</v>
      </c>
      <c r="C8" s="32">
        <f>SUM(C6:C7)</f>
        <v>788.2</v>
      </c>
      <c r="D8" s="30"/>
      <c r="E8" s="77"/>
      <c r="F8" s="78"/>
      <c r="G8" s="51"/>
      <c r="H8" s="39"/>
      <c r="I8" s="39"/>
      <c r="J8" s="30"/>
      <c r="K8" s="78"/>
      <c r="L8" s="91"/>
      <c r="M8" s="43"/>
      <c r="R8" s="1">
        <f>IF(vend24[[#This Row],[Nº Venda]]&gt;1,1,0)</f>
        <v>0</v>
      </c>
    </row>
    <row r="9" spans="2:18" ht="16.5" x14ac:dyDescent="0.3">
      <c r="B9" s="27"/>
      <c r="C9" s="27"/>
      <c r="D9" s="30"/>
      <c r="E9" s="77"/>
      <c r="F9" s="78"/>
      <c r="G9" s="51"/>
      <c r="H9" s="39"/>
      <c r="I9" s="39"/>
      <c r="J9" s="30"/>
      <c r="K9" s="78"/>
      <c r="L9" s="91"/>
      <c r="M9" s="43"/>
      <c r="R9" s="1">
        <f>IF(vend24[[#This Row],[Nº Venda]]&gt;1,1,0)</f>
        <v>0</v>
      </c>
    </row>
    <row r="10" spans="2:18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R10" s="1">
        <f>IF(vend24[[#This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0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1</v>
      </c>
      <c r="R11" s="1">
        <f>IF(vend24[[#This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IF(vend24[[#This Row],[Nº Venda]]&gt;1,1,0)</f>
        <v>0</v>
      </c>
    </row>
    <row r="13" spans="2:18" ht="16.5" x14ac:dyDescent="0.3">
      <c r="B13" s="28" t="s">
        <v>8</v>
      </c>
      <c r="C13" s="71">
        <f t="shared" si="0"/>
        <v>190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IF(vend24[[#This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IF(vend24[[#This Row],[Nº Venda]]&gt;1,1,0)</f>
        <v>0</v>
      </c>
    </row>
    <row r="15" spans="2:18" ht="16.5" x14ac:dyDescent="0.3">
      <c r="B15" s="28" t="s">
        <v>10</v>
      </c>
      <c r="C15" s="71">
        <f t="shared" si="0"/>
        <v>598.20000000000005</v>
      </c>
      <c r="D15" s="30"/>
      <c r="E15" s="77"/>
      <c r="F15" s="78"/>
      <c r="G15" s="51"/>
      <c r="H15" s="39"/>
      <c r="I15" s="39"/>
      <c r="J15" s="30"/>
      <c r="K15" s="77">
        <v>11650</v>
      </c>
      <c r="L15" s="91" t="s">
        <v>131</v>
      </c>
      <c r="M15" s="43" t="s">
        <v>149</v>
      </c>
      <c r="R15" s="1">
        <f>IF(vend24[[#This Row],[Nº Venda]]&gt;1,1,0)</f>
        <v>0</v>
      </c>
    </row>
    <row r="16" spans="2:18" ht="16.5" x14ac:dyDescent="0.3">
      <c r="B16" s="31" t="s">
        <v>11</v>
      </c>
      <c r="C16" s="72">
        <f>SUM(C11:C15)</f>
        <v>788.2</v>
      </c>
      <c r="D16" s="30"/>
      <c r="E16" s="77"/>
      <c r="F16" s="78"/>
      <c r="G16" s="51"/>
      <c r="H16" s="39"/>
      <c r="I16" s="39"/>
      <c r="J16" s="30"/>
      <c r="K16" s="77">
        <v>11871</v>
      </c>
      <c r="L16" s="91" t="s">
        <v>131</v>
      </c>
      <c r="M16" s="43" t="s">
        <v>249</v>
      </c>
      <c r="R16" s="1">
        <f>IF(vend24[[#This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11823</v>
      </c>
      <c r="L17" s="91" t="s">
        <v>131</v>
      </c>
      <c r="M17" s="43" t="s">
        <v>249</v>
      </c>
      <c r="R17" s="1">
        <f>IF(vend24[[#This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11876</v>
      </c>
      <c r="L18" s="91" t="s">
        <v>129</v>
      </c>
      <c r="M18" s="43" t="s">
        <v>149</v>
      </c>
      <c r="R18" s="1">
        <f>IF(vend24[[#This Row],[Nº Venda]]&gt;1,1,0)</f>
        <v>0</v>
      </c>
    </row>
    <row r="19" spans="2:18" ht="16.5" x14ac:dyDescent="0.3">
      <c r="B19" s="28">
        <f>COUNT(entr_carn24[OS])</f>
        <v>2</v>
      </c>
      <c r="C19" s="71">
        <f>SUM(entr_carn24[Valor Total])</f>
        <v>1249</v>
      </c>
      <c r="D19" s="30"/>
      <c r="E19" s="77"/>
      <c r="F19" s="78"/>
      <c r="G19" s="51"/>
      <c r="H19" s="39"/>
      <c r="I19" s="39"/>
      <c r="J19" s="30"/>
      <c r="K19" s="77">
        <v>11749</v>
      </c>
      <c r="L19" s="91" t="s">
        <v>129</v>
      </c>
      <c r="M19" s="43" t="s">
        <v>149</v>
      </c>
      <c r="R19" s="1">
        <f>IF(vend24[[#This Row],[Nº Venda]]&gt;1,1,0)</f>
        <v>0</v>
      </c>
    </row>
    <row r="20" spans="2:18" ht="16.5" x14ac:dyDescent="0.3">
      <c r="B20" s="31" t="s">
        <v>11</v>
      </c>
      <c r="C20" s="72">
        <f>SUM(C19:C19)</f>
        <v>1249</v>
      </c>
      <c r="D20" s="30"/>
      <c r="E20" s="77"/>
      <c r="F20" s="51"/>
      <c r="G20" s="51"/>
      <c r="H20" s="39"/>
      <c r="I20" s="39"/>
      <c r="J20" s="30"/>
      <c r="K20" s="77">
        <v>11852</v>
      </c>
      <c r="L20" s="91" t="s">
        <v>131</v>
      </c>
      <c r="M20" s="43" t="s">
        <v>249</v>
      </c>
      <c r="R20" s="1">
        <f>IF(vend24[[#This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11697</v>
      </c>
      <c r="L21" s="91" t="s">
        <v>129</v>
      </c>
      <c r="M21" s="43" t="s">
        <v>149</v>
      </c>
    </row>
    <row r="22" spans="2:18" ht="16.5" x14ac:dyDescent="0.3">
      <c r="B22" s="31" t="s">
        <v>25</v>
      </c>
      <c r="C22" s="34">
        <f>C5</f>
        <v>220</v>
      </c>
      <c r="D22" s="30"/>
      <c r="E22" s="79"/>
      <c r="F22" s="78"/>
      <c r="G22" s="51"/>
      <c r="H22" s="39"/>
      <c r="I22" s="39"/>
      <c r="J22" s="30"/>
      <c r="K22" s="77">
        <v>11840</v>
      </c>
      <c r="L22" s="91" t="s">
        <v>131</v>
      </c>
      <c r="M22" s="43" t="s">
        <v>149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>
        <v>11805</v>
      </c>
      <c r="L23" s="91" t="s">
        <v>187</v>
      </c>
      <c r="M23" s="43" t="s">
        <v>149</v>
      </c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>
        <v>11890</v>
      </c>
      <c r="L24" s="91" t="s">
        <v>129</v>
      </c>
      <c r="M24" s="43" t="s">
        <v>149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>
        <v>11891</v>
      </c>
      <c r="L25" s="91" t="s">
        <v>131</v>
      </c>
      <c r="M25" s="43" t="s">
        <v>149</v>
      </c>
    </row>
    <row r="26" spans="2:18" ht="16.5" x14ac:dyDescent="0.3">
      <c r="B26" s="30"/>
      <c r="C26" s="30"/>
      <c r="D26" s="30"/>
      <c r="E26" s="77"/>
      <c r="F26" s="78"/>
      <c r="G26" s="51"/>
      <c r="H26" s="39"/>
      <c r="I26" s="39"/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11163</v>
      </c>
      <c r="F35" s="78" t="s">
        <v>355</v>
      </c>
      <c r="G35" s="51" t="s">
        <v>10</v>
      </c>
      <c r="H35" s="39">
        <v>262.5</v>
      </c>
      <c r="I35" s="39" t="s">
        <v>53</v>
      </c>
      <c r="J35" s="38"/>
      <c r="K35" s="77">
        <v>11871</v>
      </c>
      <c r="L35" s="77">
        <v>4</v>
      </c>
      <c r="M35" s="91">
        <v>450</v>
      </c>
    </row>
    <row r="36" spans="2:18" ht="16.5" customHeight="1" x14ac:dyDescent="0.25">
      <c r="B36" s="38"/>
      <c r="C36" s="38"/>
      <c r="D36" s="38"/>
      <c r="E36" s="83">
        <v>11130</v>
      </c>
      <c r="F36" s="78" t="s">
        <v>356</v>
      </c>
      <c r="G36" s="51" t="s">
        <v>10</v>
      </c>
      <c r="H36" s="39">
        <v>100</v>
      </c>
      <c r="I36" s="39" t="s">
        <v>41</v>
      </c>
      <c r="J36" s="38"/>
      <c r="K36" s="77">
        <v>11852</v>
      </c>
      <c r="L36" s="77">
        <v>3</v>
      </c>
      <c r="M36" s="91">
        <v>799</v>
      </c>
    </row>
    <row r="37" spans="2:18" ht="16.5" customHeight="1" x14ac:dyDescent="0.25">
      <c r="B37" s="38"/>
      <c r="C37" s="38"/>
      <c r="D37" s="38"/>
      <c r="E37" s="77">
        <v>11003</v>
      </c>
      <c r="F37" s="78" t="s">
        <v>357</v>
      </c>
      <c r="G37" s="51" t="s">
        <v>10</v>
      </c>
      <c r="H37" s="39">
        <v>102.85</v>
      </c>
      <c r="I37" s="39" t="s">
        <v>37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>
        <v>11003</v>
      </c>
      <c r="F38" s="78" t="s">
        <v>357</v>
      </c>
      <c r="G38" s="51" t="s">
        <v>10</v>
      </c>
      <c r="H38" s="39">
        <v>102.85</v>
      </c>
      <c r="I38" s="39" t="s">
        <v>45</v>
      </c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2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'24'!B1+1</f>
        <v>45925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798.8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 ca="1">C16</f>
        <v>1360.9799999999998</v>
      </c>
      <c r="D6" s="30"/>
      <c r="E6" s="77">
        <v>11892</v>
      </c>
      <c r="F6" s="78" t="s">
        <v>359</v>
      </c>
      <c r="G6" s="51" t="s">
        <v>36</v>
      </c>
      <c r="H6" s="39"/>
      <c r="I6" s="39"/>
      <c r="J6" s="30"/>
      <c r="K6" s="78" t="s">
        <v>366</v>
      </c>
      <c r="L6" s="91">
        <v>355</v>
      </c>
      <c r="M6" s="43" t="s">
        <v>6</v>
      </c>
      <c r="R6" s="1">
        <f>IF(vend25[[#This Row],[Nº Venda]]&gt;1,1,0)</f>
        <v>1</v>
      </c>
    </row>
    <row r="7" spans="2:18" ht="16.5" x14ac:dyDescent="0.3">
      <c r="B7" s="28" t="s">
        <v>3</v>
      </c>
      <c r="C7" s="29">
        <f>SUM(M6:M11)</f>
        <v>0</v>
      </c>
      <c r="D7" s="30"/>
      <c r="E7" s="77">
        <v>11893</v>
      </c>
      <c r="F7" s="78" t="s">
        <v>359</v>
      </c>
      <c r="G7" s="51" t="s">
        <v>36</v>
      </c>
      <c r="H7" s="39"/>
      <c r="I7" s="39"/>
      <c r="J7" s="30"/>
      <c r="K7" s="78"/>
      <c r="L7" s="91"/>
      <c r="M7" s="43"/>
      <c r="R7" s="1">
        <f>IF(vend25[[#This Row],[Nº Venda]]&gt;1,1,0)</f>
        <v>1</v>
      </c>
    </row>
    <row r="8" spans="2:18" ht="16.5" x14ac:dyDescent="0.3">
      <c r="B8" s="31" t="s">
        <v>21</v>
      </c>
      <c r="C8" s="32">
        <f ca="1">SUM(C6:C7)</f>
        <v>1360.9799999999998</v>
      </c>
      <c r="D8" s="30"/>
      <c r="E8" s="77">
        <v>11894</v>
      </c>
      <c r="F8" s="78" t="s">
        <v>360</v>
      </c>
      <c r="G8" s="51" t="s">
        <v>6</v>
      </c>
      <c r="H8" s="39">
        <v>399</v>
      </c>
      <c r="I8" s="39">
        <v>60</v>
      </c>
      <c r="J8" s="30"/>
      <c r="K8" s="78"/>
      <c r="L8" s="91"/>
      <c r="M8" s="43"/>
      <c r="R8" s="1">
        <f>IF(vend25[[#This Row],[Nº Venda]]&gt;1,1,0)</f>
        <v>1</v>
      </c>
    </row>
    <row r="9" spans="2:18" ht="16.5" x14ac:dyDescent="0.3">
      <c r="B9" s="27"/>
      <c r="C9" s="27"/>
      <c r="D9" s="30"/>
      <c r="E9" s="77">
        <v>11895</v>
      </c>
      <c r="F9" s="78" t="s">
        <v>333</v>
      </c>
      <c r="G9" s="51" t="s">
        <v>10</v>
      </c>
      <c r="H9" s="39">
        <v>199.9</v>
      </c>
      <c r="I9" s="39">
        <v>25</v>
      </c>
      <c r="J9" s="30"/>
      <c r="K9" s="78"/>
      <c r="L9" s="91"/>
      <c r="M9" s="43"/>
      <c r="R9" s="1">
        <f>IF(vend25[[#This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11896</v>
      </c>
      <c r="F10" s="78" t="s">
        <v>333</v>
      </c>
      <c r="G10" s="51" t="s">
        <v>10</v>
      </c>
      <c r="H10" s="39">
        <v>199.9</v>
      </c>
      <c r="I10" s="39">
        <v>25</v>
      </c>
      <c r="J10" s="30"/>
      <c r="K10" s="78"/>
      <c r="L10" s="91"/>
      <c r="M10" s="43"/>
      <c r="R10" s="1">
        <f>IF(vend25[[#This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355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 ca="1">IF(C16=0,0,1)</f>
        <v>1</v>
      </c>
      <c r="R11" s="1">
        <f>IF(vend25[[#This Row],[Nº Venda]]&gt;1,1,0)</f>
        <v>0</v>
      </c>
    </row>
    <row r="12" spans="2:18" ht="16.5" x14ac:dyDescent="0.3">
      <c r="B12" s="28" t="s">
        <v>7</v>
      </c>
      <c r="C12" s="71">
        <f ca="1">(SUMIF($G$2:$G$31,B12,$I$2:$I$31))+(SUMIF($G$35:$G$41,B12,$H$36:$H$41))</f>
        <v>610.66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IF(vend25[[#This Row],[Nº Venda]]&gt;1,1,0)</f>
        <v>0</v>
      </c>
    </row>
    <row r="13" spans="2:18" ht="16.5" x14ac:dyDescent="0.3">
      <c r="B13" s="28" t="s">
        <v>8</v>
      </c>
      <c r="C13" s="71">
        <f ca="1">(SUMIF($G$2:$G$31,B13,$I$2:$I$31))+(SUMIF($G$35:$G$41,B13,$H$36:$H$41))</f>
        <v>300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IF(vend25[[#This Row],[Nº Venda]]&gt;1,1,0)</f>
        <v>0</v>
      </c>
    </row>
    <row r="14" spans="2:18" ht="16.5" x14ac:dyDescent="0.3">
      <c r="B14" s="28" t="s">
        <v>9</v>
      </c>
      <c r="C14" s="71">
        <f ca="1">(SUMIF($G$2:$G$31,B14,$I$2:$I$31))+(SUMIF($G$35:$G$41,B14,$H$36:$H$41))</f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IF(vend25[[#This Row],[Nº Venda]]&gt;1,1,0)</f>
        <v>0</v>
      </c>
    </row>
    <row r="15" spans="2:18" ht="16.5" x14ac:dyDescent="0.3">
      <c r="B15" s="28" t="s">
        <v>10</v>
      </c>
      <c r="C15" s="71">
        <f ca="1">(SUMIF($G$2:$G$31,B15,$I$2:$I$31))+(SUMIF($G$35:$G$41,B15,$H$36:$H$41))</f>
        <v>95.32</v>
      </c>
      <c r="D15" s="30"/>
      <c r="E15" s="77"/>
      <c r="F15" s="78"/>
      <c r="G15" s="51"/>
      <c r="H15" s="39"/>
      <c r="I15" s="39"/>
      <c r="J15" s="30"/>
      <c r="K15" s="77">
        <v>11850</v>
      </c>
      <c r="L15" s="91" t="s">
        <v>129</v>
      </c>
      <c r="M15" s="43" t="s">
        <v>149</v>
      </c>
      <c r="R15" s="1">
        <f>IF(vend25[[#This Row],[Nº Venda]]&gt;1,1,0)</f>
        <v>0</v>
      </c>
    </row>
    <row r="16" spans="2:18" ht="16.5" x14ac:dyDescent="0.3">
      <c r="B16" s="31" t="s">
        <v>11</v>
      </c>
      <c r="C16" s="72">
        <f ca="1">SUM(C11:C15)</f>
        <v>1360.9799999999998</v>
      </c>
      <c r="D16" s="30"/>
      <c r="E16" s="77"/>
      <c r="F16" s="78"/>
      <c r="G16" s="51"/>
      <c r="H16" s="39"/>
      <c r="I16" s="39"/>
      <c r="J16" s="30"/>
      <c r="K16" s="77">
        <v>11842</v>
      </c>
      <c r="L16" s="91" t="s">
        <v>129</v>
      </c>
      <c r="M16" s="43" t="s">
        <v>149</v>
      </c>
      <c r="R16" s="1">
        <f>IF(vend25[[#This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11394</v>
      </c>
      <c r="L17" s="91" t="s">
        <v>131</v>
      </c>
      <c r="M17" s="43" t="s">
        <v>149</v>
      </c>
      <c r="R17" s="1">
        <f>IF(vend25[[#This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11892</v>
      </c>
      <c r="L18" s="91" t="s">
        <v>129</v>
      </c>
      <c r="M18" s="43" t="s">
        <v>149</v>
      </c>
      <c r="R18" s="1">
        <f>IF(vend25[[#This Row],[Nº Venda]]&gt;1,1,0)</f>
        <v>0</v>
      </c>
    </row>
    <row r="19" spans="2:18" ht="16.5" x14ac:dyDescent="0.3">
      <c r="B19" s="28">
        <f>COUNT(entr_carn25[OS])</f>
        <v>0</v>
      </c>
      <c r="C19" s="71">
        <f>SUM(entr_carn25[Valor Total])</f>
        <v>0</v>
      </c>
      <c r="D19" s="30"/>
      <c r="E19" s="77"/>
      <c r="F19" s="78"/>
      <c r="G19" s="51"/>
      <c r="H19" s="39"/>
      <c r="I19" s="39"/>
      <c r="J19" s="30"/>
      <c r="K19" s="77">
        <v>11893</v>
      </c>
      <c r="L19" s="91" t="s">
        <v>129</v>
      </c>
      <c r="M19" s="43" t="s">
        <v>149</v>
      </c>
      <c r="R19" s="1">
        <f>IF(vend25[[#This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>
        <v>11842</v>
      </c>
      <c r="L20" s="91" t="s">
        <v>131</v>
      </c>
      <c r="M20" s="43" t="s">
        <v>149</v>
      </c>
      <c r="R20" s="1">
        <f>IF(vend25[[#This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798.8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11850</v>
      </c>
      <c r="F26" s="78" t="s">
        <v>285</v>
      </c>
      <c r="G26" s="51" t="s">
        <v>8</v>
      </c>
      <c r="H26" s="39"/>
      <c r="I26" s="39">
        <v>300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>
        <v>11394</v>
      </c>
      <c r="F27" s="78" t="s">
        <v>358</v>
      </c>
      <c r="G27" s="51" t="s">
        <v>7</v>
      </c>
      <c r="H27" s="39"/>
      <c r="I27" s="39">
        <v>479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11494</v>
      </c>
      <c r="F35" s="78" t="s">
        <v>365</v>
      </c>
      <c r="G35" s="51" t="s">
        <v>6</v>
      </c>
      <c r="H35" s="49">
        <v>200</v>
      </c>
      <c r="I35" s="39" t="s">
        <v>42</v>
      </c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>
        <v>11547</v>
      </c>
      <c r="F36" s="78" t="s">
        <v>361</v>
      </c>
      <c r="G36" s="51" t="s">
        <v>6</v>
      </c>
      <c r="H36" s="39">
        <v>95</v>
      </c>
      <c r="I36" s="39" t="s">
        <v>38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>
        <v>11095</v>
      </c>
      <c r="F37" s="78" t="s">
        <v>362</v>
      </c>
      <c r="G37" s="51" t="s">
        <v>7</v>
      </c>
      <c r="H37" s="39">
        <v>50.8</v>
      </c>
      <c r="I37" s="39" t="s">
        <v>35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>
        <v>11705</v>
      </c>
      <c r="F38" s="78" t="s">
        <v>363</v>
      </c>
      <c r="G38" s="51" t="s">
        <v>10</v>
      </c>
      <c r="H38" s="39">
        <v>131.66</v>
      </c>
      <c r="I38" s="39" t="s">
        <v>38</v>
      </c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>
        <v>11697</v>
      </c>
      <c r="F39" s="51" t="s">
        <v>364</v>
      </c>
      <c r="G39" s="51" t="s">
        <v>10</v>
      </c>
      <c r="H39" s="39">
        <v>22.66</v>
      </c>
      <c r="I39" s="39" t="s">
        <v>48</v>
      </c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>
        <v>11697</v>
      </c>
      <c r="F40" s="80" t="s">
        <v>364</v>
      </c>
      <c r="G40" s="41" t="s">
        <v>10</v>
      </c>
      <c r="H40" s="42">
        <v>22.66</v>
      </c>
      <c r="I40" s="39" t="s">
        <v>72</v>
      </c>
      <c r="J40" s="38"/>
      <c r="K40" s="79"/>
      <c r="L40" s="79"/>
      <c r="M40" s="92"/>
      <c r="Q40" s="1" t="s">
        <v>33</v>
      </c>
      <c r="R40" s="1">
        <f>SUM(R6:R21)</f>
        <v>5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'25'!B1+1</f>
        <v>45926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1668.8000000000002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1254.7199999999998</v>
      </c>
      <c r="D6" s="30"/>
      <c r="E6" s="77">
        <v>11897</v>
      </c>
      <c r="F6" s="78" t="s">
        <v>368</v>
      </c>
      <c r="G6" s="51" t="s">
        <v>8</v>
      </c>
      <c r="H6" s="39">
        <v>149.9</v>
      </c>
      <c r="I6" s="39">
        <v>149.9</v>
      </c>
      <c r="J6" s="30"/>
      <c r="K6" s="78" t="s">
        <v>314</v>
      </c>
      <c r="L6" s="91" t="s">
        <v>6</v>
      </c>
      <c r="M6" s="43">
        <v>601.66</v>
      </c>
      <c r="R6" s="1">
        <f>IF(vend26[[#This Row],[Nº Venda]]&gt;1,1,0)</f>
        <v>1</v>
      </c>
    </row>
    <row r="7" spans="2:18" ht="16.5" x14ac:dyDescent="0.3">
      <c r="B7" s="28" t="s">
        <v>3</v>
      </c>
      <c r="C7" s="29">
        <f>SUM(M6:M11)</f>
        <v>624.29</v>
      </c>
      <c r="D7" s="30"/>
      <c r="E7" s="77">
        <v>11898</v>
      </c>
      <c r="F7" s="78" t="s">
        <v>371</v>
      </c>
      <c r="G7" s="51" t="s">
        <v>8</v>
      </c>
      <c r="H7" s="39">
        <v>690</v>
      </c>
      <c r="I7" s="39">
        <v>100</v>
      </c>
      <c r="J7" s="30"/>
      <c r="K7" s="78" t="s">
        <v>165</v>
      </c>
      <c r="L7" s="91" t="s">
        <v>10</v>
      </c>
      <c r="M7" s="43">
        <v>2.63</v>
      </c>
      <c r="R7" s="1">
        <f>IF(vend26[[#This Row],[Nº Venda]]&gt;1,1,0)</f>
        <v>1</v>
      </c>
    </row>
    <row r="8" spans="2:18" ht="16.5" x14ac:dyDescent="0.3">
      <c r="B8" s="31" t="s">
        <v>21</v>
      </c>
      <c r="C8" s="32">
        <f>SUM(C6:C7)</f>
        <v>1879.0099999999998</v>
      </c>
      <c r="D8" s="30"/>
      <c r="E8" s="77">
        <v>11899</v>
      </c>
      <c r="F8" s="78" t="s">
        <v>370</v>
      </c>
      <c r="G8" s="51" t="s">
        <v>10</v>
      </c>
      <c r="H8" s="39">
        <v>149</v>
      </c>
      <c r="I8" s="39">
        <v>149</v>
      </c>
      <c r="J8" s="30"/>
      <c r="K8" s="78" t="s">
        <v>373</v>
      </c>
      <c r="L8" s="91" t="s">
        <v>6</v>
      </c>
      <c r="M8" s="43">
        <v>20</v>
      </c>
      <c r="R8" s="1">
        <f>IF(vend26[[#This Row],[Nº Venda]]&gt;1,1,0)</f>
        <v>1</v>
      </c>
    </row>
    <row r="9" spans="2:18" ht="16.5" x14ac:dyDescent="0.3">
      <c r="B9" s="27"/>
      <c r="C9" s="27"/>
      <c r="D9" s="30"/>
      <c r="E9" s="77">
        <v>11900</v>
      </c>
      <c r="F9" s="78" t="s">
        <v>371</v>
      </c>
      <c r="G9" s="51" t="s">
        <v>8</v>
      </c>
      <c r="H9" s="39">
        <v>590</v>
      </c>
      <c r="I9" s="39">
        <v>100</v>
      </c>
      <c r="J9" s="30"/>
      <c r="K9" s="78"/>
      <c r="L9" s="91"/>
      <c r="M9" s="43"/>
      <c r="R9" s="1">
        <f>IF(vend26[[#This Row],[Nº Venda]]&gt;1,1,0)</f>
        <v>1</v>
      </c>
    </row>
    <row r="10" spans="2:18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R10" s="1">
        <f>IF(vend26[[#This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621.66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1</v>
      </c>
      <c r="R11" s="1">
        <f>IF(vend26[[#This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IF(vend26[[#This Row],[Nº Venda]]&gt;1,1,0)</f>
        <v>0</v>
      </c>
    </row>
    <row r="13" spans="2:18" ht="16.5" x14ac:dyDescent="0.3">
      <c r="B13" s="28" t="s">
        <v>8</v>
      </c>
      <c r="C13" s="71">
        <f t="shared" si="0"/>
        <v>349.9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IF(vend26[[#This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IF(vend26[[#This Row],[Nº Venda]]&gt;1,1,0)</f>
        <v>0</v>
      </c>
    </row>
    <row r="15" spans="2:18" ht="16.5" x14ac:dyDescent="0.3">
      <c r="B15" s="28" t="s">
        <v>10</v>
      </c>
      <c r="C15" s="71">
        <f t="shared" si="0"/>
        <v>283.15999999999997</v>
      </c>
      <c r="D15" s="30"/>
      <c r="E15" s="77"/>
      <c r="F15" s="78"/>
      <c r="G15" s="51"/>
      <c r="H15" s="39"/>
      <c r="I15" s="39"/>
      <c r="J15" s="30"/>
      <c r="K15" s="77">
        <v>11839</v>
      </c>
      <c r="L15" s="91" t="s">
        <v>131</v>
      </c>
      <c r="M15" s="43" t="s">
        <v>149</v>
      </c>
      <c r="R15" s="1">
        <f>IF(vend26[[#This Row],[Nº Venda]]&gt;1,1,0)</f>
        <v>0</v>
      </c>
    </row>
    <row r="16" spans="2:18" ht="16.5" x14ac:dyDescent="0.3">
      <c r="B16" s="31" t="s">
        <v>11</v>
      </c>
      <c r="C16" s="72">
        <f>SUM(C11:C15)</f>
        <v>1254.7199999999998</v>
      </c>
      <c r="D16" s="30"/>
      <c r="E16" s="77"/>
      <c r="F16" s="78"/>
      <c r="G16" s="51"/>
      <c r="H16" s="39"/>
      <c r="I16" s="39"/>
      <c r="J16" s="30"/>
      <c r="K16" s="77">
        <v>11639</v>
      </c>
      <c r="L16" s="91" t="s">
        <v>129</v>
      </c>
      <c r="M16" s="43" t="s">
        <v>149</v>
      </c>
      <c r="R16" s="1">
        <f>IF(vend26[[#This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11714</v>
      </c>
      <c r="L17" s="91" t="s">
        <v>131</v>
      </c>
      <c r="M17" s="43" t="s">
        <v>149</v>
      </c>
      <c r="R17" s="1">
        <f>IF(vend26[[#This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11716</v>
      </c>
      <c r="L18" s="91" t="s">
        <v>131</v>
      </c>
      <c r="M18" s="43" t="s">
        <v>149</v>
      </c>
      <c r="R18" s="1">
        <f>IF(vend26[[#This Row],[Nº Venda]]&gt;1,1,0)</f>
        <v>0</v>
      </c>
    </row>
    <row r="19" spans="2:18" ht="16.5" x14ac:dyDescent="0.3">
      <c r="B19" s="28">
        <f>COUNT(entr_carn26[OS])</f>
        <v>2</v>
      </c>
      <c r="C19" s="71">
        <f>SUM(entr_carn26[Valor Total])</f>
        <v>1480</v>
      </c>
      <c r="D19" s="30"/>
      <c r="E19" s="77"/>
      <c r="F19" s="78"/>
      <c r="G19" s="51"/>
      <c r="H19" s="39"/>
      <c r="I19" s="39"/>
      <c r="J19" s="30"/>
      <c r="K19" s="77">
        <v>11715</v>
      </c>
      <c r="L19" s="91" t="s">
        <v>131</v>
      </c>
      <c r="M19" s="43" t="s">
        <v>149</v>
      </c>
      <c r="R19" s="1">
        <f>IF(vend26[[#This Row],[Nº Venda]]&gt;1,1,0)</f>
        <v>0</v>
      </c>
    </row>
    <row r="20" spans="2:18" ht="16.5" x14ac:dyDescent="0.3">
      <c r="B20" s="31" t="s">
        <v>11</v>
      </c>
      <c r="C20" s="72">
        <f>SUM(C19:C19)</f>
        <v>1480</v>
      </c>
      <c r="D20" s="30"/>
      <c r="E20" s="77"/>
      <c r="F20" s="51"/>
      <c r="G20" s="51"/>
      <c r="H20" s="39"/>
      <c r="I20" s="39"/>
      <c r="J20" s="30"/>
      <c r="K20" s="77">
        <v>11817</v>
      </c>
      <c r="L20" s="91" t="s">
        <v>131</v>
      </c>
      <c r="M20" s="43" t="s">
        <v>149</v>
      </c>
      <c r="R20" s="1">
        <f>IF(vend26[[#This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11793</v>
      </c>
      <c r="L21" s="91" t="s">
        <v>131</v>
      </c>
      <c r="M21" s="43" t="s">
        <v>149</v>
      </c>
    </row>
    <row r="22" spans="2:18" ht="16.5" x14ac:dyDescent="0.3">
      <c r="B22" s="31" t="s">
        <v>25</v>
      </c>
      <c r="C22" s="34">
        <f>C5</f>
        <v>1668.8000000000002</v>
      </c>
      <c r="D22" s="30"/>
      <c r="E22" s="79"/>
      <c r="F22" s="78"/>
      <c r="G22" s="51"/>
      <c r="H22" s="39"/>
      <c r="I22" s="39"/>
      <c r="J22" s="30"/>
      <c r="K22" s="77">
        <v>11804</v>
      </c>
      <c r="L22" s="91" t="s">
        <v>131</v>
      </c>
      <c r="M22" s="43" t="s">
        <v>149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>
        <v>11899</v>
      </c>
      <c r="L23" s="91" t="s">
        <v>129</v>
      </c>
      <c r="M23" s="43" t="s">
        <v>149</v>
      </c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>
        <v>11897</v>
      </c>
      <c r="L24" s="91" t="s">
        <v>131</v>
      </c>
      <c r="M24" s="43" t="s">
        <v>149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>
        <v>11800</v>
      </c>
      <c r="L25" s="91" t="s">
        <v>131</v>
      </c>
      <c r="M25" s="43" t="s">
        <v>249</v>
      </c>
    </row>
    <row r="26" spans="2:18" ht="16.5" x14ac:dyDescent="0.3">
      <c r="B26" s="30"/>
      <c r="C26" s="30"/>
      <c r="D26" s="30"/>
      <c r="E26" s="77">
        <v>11887</v>
      </c>
      <c r="F26" s="78" t="s">
        <v>248</v>
      </c>
      <c r="G26" s="51" t="s">
        <v>6</v>
      </c>
      <c r="H26" s="39">
        <v>89.9</v>
      </c>
      <c r="I26" s="39">
        <v>50</v>
      </c>
      <c r="J26" s="30"/>
      <c r="K26" s="77">
        <v>11799</v>
      </c>
      <c r="L26" s="91" t="s">
        <v>131</v>
      </c>
      <c r="M26" s="43" t="s">
        <v>249</v>
      </c>
    </row>
    <row r="27" spans="2:18" ht="16.5" x14ac:dyDescent="0.3">
      <c r="B27" s="30"/>
      <c r="C27" s="30"/>
      <c r="D27" s="30"/>
      <c r="E27" s="77">
        <v>11800</v>
      </c>
      <c r="F27" s="78" t="s">
        <v>248</v>
      </c>
      <c r="G27" s="51" t="s">
        <v>6</v>
      </c>
      <c r="H27" s="39"/>
      <c r="I27" s="39">
        <v>130</v>
      </c>
      <c r="J27" s="30"/>
      <c r="K27" s="77">
        <v>11797</v>
      </c>
      <c r="L27" s="91" t="s">
        <v>131</v>
      </c>
      <c r="M27" s="43" t="s">
        <v>249</v>
      </c>
    </row>
    <row r="28" spans="2:18" ht="16.5" x14ac:dyDescent="0.3">
      <c r="B28" s="30"/>
      <c r="C28" s="30"/>
      <c r="D28" s="30"/>
      <c r="E28" s="77">
        <v>11799</v>
      </c>
      <c r="F28" s="78" t="s">
        <v>248</v>
      </c>
      <c r="G28" s="51" t="s">
        <v>6</v>
      </c>
      <c r="H28" s="39"/>
      <c r="I28" s="39">
        <v>50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>
        <v>11797</v>
      </c>
      <c r="F29" s="78" t="s">
        <v>248</v>
      </c>
      <c r="G29" s="51" t="s">
        <v>6</v>
      </c>
      <c r="H29" s="39"/>
      <c r="I29" s="39">
        <v>170</v>
      </c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10890</v>
      </c>
      <c r="F35" s="78" t="s">
        <v>367</v>
      </c>
      <c r="G35" s="51" t="s">
        <v>6</v>
      </c>
      <c r="H35" s="39">
        <v>115</v>
      </c>
      <c r="I35" s="39" t="s">
        <v>40</v>
      </c>
      <c r="J35" s="38"/>
      <c r="K35" s="77">
        <v>11797</v>
      </c>
      <c r="L35" s="77">
        <v>4</v>
      </c>
      <c r="M35" s="91">
        <v>1021</v>
      </c>
    </row>
    <row r="36" spans="2:18" ht="16.5" customHeight="1" x14ac:dyDescent="0.25">
      <c r="B36" s="38"/>
      <c r="C36" s="38"/>
      <c r="D36" s="38"/>
      <c r="E36" s="83">
        <v>11711</v>
      </c>
      <c r="F36" s="78" t="s">
        <v>367</v>
      </c>
      <c r="G36" s="51" t="s">
        <v>6</v>
      </c>
      <c r="H36" s="39">
        <v>106.66</v>
      </c>
      <c r="I36" s="39" t="s">
        <v>38</v>
      </c>
      <c r="J36" s="38"/>
      <c r="K36" s="77">
        <v>11800</v>
      </c>
      <c r="L36" s="77">
        <v>7</v>
      </c>
      <c r="M36" s="91">
        <v>459</v>
      </c>
    </row>
    <row r="37" spans="2:18" ht="16.5" customHeight="1" x14ac:dyDescent="0.25">
      <c r="B37" s="38"/>
      <c r="C37" s="38"/>
      <c r="D37" s="38"/>
      <c r="E37" s="77">
        <v>11177</v>
      </c>
      <c r="F37" s="78" t="s">
        <v>369</v>
      </c>
      <c r="G37" s="51" t="s">
        <v>10</v>
      </c>
      <c r="H37" s="39">
        <v>74.5</v>
      </c>
      <c r="I37" s="39" t="s">
        <v>65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>
        <v>11645</v>
      </c>
      <c r="F38" s="78" t="s">
        <v>372</v>
      </c>
      <c r="G38" s="51" t="s">
        <v>10</v>
      </c>
      <c r="H38" s="39">
        <v>59.66</v>
      </c>
      <c r="I38" s="39" t="s">
        <v>67</v>
      </c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4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8"/>
  <sheetViews>
    <sheetView workbookViewId="0">
      <selection activeCell="L25" sqref="L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6.42578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'26'!B1+1</f>
        <v>45927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SUMIF(I6:I34,"&gt;0",H6:H34)</f>
        <v>5293.19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6293.2</v>
      </c>
      <c r="D6" s="30"/>
      <c r="E6" s="77">
        <v>11901</v>
      </c>
      <c r="F6" s="78" t="s">
        <v>374</v>
      </c>
      <c r="G6" s="51" t="s">
        <v>6</v>
      </c>
      <c r="H6" s="39">
        <v>849</v>
      </c>
      <c r="I6" s="39">
        <v>300</v>
      </c>
      <c r="J6" s="30"/>
      <c r="K6" s="78" t="s">
        <v>165</v>
      </c>
      <c r="L6" s="91" t="s">
        <v>6</v>
      </c>
      <c r="M6" s="43">
        <v>2.5099999999999998</v>
      </c>
      <c r="R6" s="1">
        <f>IF(vend27[[#This Row],[Nº Venda]]&gt;1,1,0)</f>
        <v>1</v>
      </c>
    </row>
    <row r="7" spans="2:18" ht="16.5" x14ac:dyDescent="0.3">
      <c r="B7" s="28" t="s">
        <v>3</v>
      </c>
      <c r="C7" s="29">
        <f>SUM(M6:M11)</f>
        <v>592.51</v>
      </c>
      <c r="D7" s="30"/>
      <c r="E7" s="77">
        <v>11901</v>
      </c>
      <c r="F7" s="78" t="s">
        <v>374</v>
      </c>
      <c r="G7" s="51" t="s">
        <v>8</v>
      </c>
      <c r="H7" s="39"/>
      <c r="I7" s="39">
        <v>294</v>
      </c>
      <c r="J7" s="30"/>
      <c r="K7" s="78" t="s">
        <v>381</v>
      </c>
      <c r="L7" s="91" t="s">
        <v>6</v>
      </c>
      <c r="M7" s="43">
        <v>590</v>
      </c>
      <c r="R7" s="1">
        <f>IF(vend27[[#This Row],[Nº Venda]]&gt;1,1,0)</f>
        <v>1</v>
      </c>
    </row>
    <row r="8" spans="2:18" ht="16.5" x14ac:dyDescent="0.3">
      <c r="B8" s="31" t="s">
        <v>21</v>
      </c>
      <c r="C8" s="32">
        <f>SUM(C6:C7)</f>
        <v>6885.71</v>
      </c>
      <c r="D8" s="30"/>
      <c r="E8" s="77">
        <v>11901</v>
      </c>
      <c r="F8" s="78" t="s">
        <v>374</v>
      </c>
      <c r="G8" s="51" t="s">
        <v>10</v>
      </c>
      <c r="H8" s="39"/>
      <c r="I8" s="39">
        <v>255</v>
      </c>
      <c r="J8" s="30"/>
      <c r="K8" s="78"/>
      <c r="L8" s="91"/>
      <c r="M8" s="43"/>
      <c r="R8" s="1">
        <f>IF(vend27[[#This Row],[Nº Venda]]&gt;1,1,0)</f>
        <v>1</v>
      </c>
    </row>
    <row r="9" spans="2:18" ht="16.5" x14ac:dyDescent="0.3">
      <c r="B9" s="27"/>
      <c r="C9" s="27"/>
      <c r="D9" s="30"/>
      <c r="E9" s="77">
        <v>11902</v>
      </c>
      <c r="F9" s="78" t="s">
        <v>375</v>
      </c>
      <c r="G9" s="51" t="s">
        <v>8</v>
      </c>
      <c r="H9" s="39">
        <v>550</v>
      </c>
      <c r="I9" s="39">
        <v>550</v>
      </c>
      <c r="J9" s="30"/>
      <c r="K9" s="78"/>
      <c r="L9" s="91"/>
      <c r="M9" s="43"/>
      <c r="R9" s="1">
        <f>IF(vend27[[#This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11903</v>
      </c>
      <c r="F10" s="78" t="s">
        <v>377</v>
      </c>
      <c r="G10" s="51" t="s">
        <v>8</v>
      </c>
      <c r="H10" s="39">
        <v>1790</v>
      </c>
      <c r="I10" s="39">
        <v>1790</v>
      </c>
      <c r="J10" s="30"/>
      <c r="K10" s="78"/>
      <c r="L10" s="91"/>
      <c r="M10" s="43"/>
      <c r="R10" s="1">
        <f>IF(vend27[[#This Row],[Nº Venda]]&gt;1,1,0)</f>
        <v>1</v>
      </c>
    </row>
    <row r="11" spans="2:18" ht="16.5" x14ac:dyDescent="0.3">
      <c r="B11" s="28" t="s">
        <v>6</v>
      </c>
      <c r="C11" s="71">
        <f>(SUMIF($G$2:$G$34,B11,$I$2:$I$34))+(SUMIF($G$38:$G$44,B11,$H$38:$H$44))</f>
        <v>590</v>
      </c>
      <c r="D11" s="30"/>
      <c r="E11" s="77">
        <v>11904</v>
      </c>
      <c r="F11" s="78" t="s">
        <v>377</v>
      </c>
      <c r="G11" s="51" t="s">
        <v>46</v>
      </c>
      <c r="H11" s="39">
        <v>0</v>
      </c>
      <c r="I11" s="39"/>
      <c r="J11" s="30"/>
      <c r="K11" s="38"/>
      <c r="L11" s="91"/>
      <c r="M11" s="43"/>
      <c r="O11" s="1">
        <f>IF(C16=0,0,1)</f>
        <v>1</v>
      </c>
      <c r="R11" s="1">
        <f>IF(vend27[[#This Row],[Nº Venda]]&gt;1,1,0)</f>
        <v>1</v>
      </c>
    </row>
    <row r="12" spans="2:18" ht="16.5" x14ac:dyDescent="0.3">
      <c r="B12" s="28" t="s">
        <v>7</v>
      </c>
      <c r="C12" s="71">
        <f>(SUMIF($G$2:$G$34,B12,$I$2:$I$34))+(SUMIF($G$38:$G$44,B12,$H$38:$H$44))</f>
        <v>749</v>
      </c>
      <c r="D12" s="30"/>
      <c r="E12" s="77">
        <v>11905</v>
      </c>
      <c r="F12" s="78" t="s">
        <v>376</v>
      </c>
      <c r="G12" s="51" t="s">
        <v>8</v>
      </c>
      <c r="H12" s="39">
        <v>196.2</v>
      </c>
      <c r="I12" s="39">
        <v>196.2</v>
      </c>
      <c r="J12" s="30"/>
      <c r="K12" s="33"/>
      <c r="L12" s="33"/>
      <c r="M12" s="33"/>
      <c r="R12" s="1">
        <f>IF(vend27[[#This Row],[Nº Venda]]&gt;1,1,0)</f>
        <v>1</v>
      </c>
    </row>
    <row r="13" spans="2:18" ht="16.5" x14ac:dyDescent="0.3">
      <c r="B13" s="28" t="s">
        <v>8</v>
      </c>
      <c r="C13" s="71">
        <f>(SUMIF($G$2:$G$34,B13,$I$2:$I$34))+(SUMIF($G$38:$G$44,B13,$H$38:$H$44))</f>
        <v>4419.2</v>
      </c>
      <c r="D13" s="30"/>
      <c r="E13" s="77">
        <v>11906</v>
      </c>
      <c r="F13" s="78" t="s">
        <v>374</v>
      </c>
      <c r="G13" s="51" t="s">
        <v>10</v>
      </c>
      <c r="H13" s="39">
        <v>20</v>
      </c>
      <c r="I13" s="39">
        <v>20</v>
      </c>
      <c r="J13" s="30"/>
      <c r="K13" s="102" t="s">
        <v>142</v>
      </c>
      <c r="L13" s="103"/>
      <c r="M13" s="104"/>
      <c r="R13" s="1">
        <f>IF(vend27[[#This Row],[Nº Venda]]&gt;1,1,0)</f>
        <v>1</v>
      </c>
    </row>
    <row r="14" spans="2:18" ht="16.5" x14ac:dyDescent="0.3">
      <c r="B14" s="28" t="s">
        <v>9</v>
      </c>
      <c r="C14" s="71">
        <f>(SUMIF($G$2:$G$34,B14,$I$2:$I$34))+(SUMIF($G$38:$G$44,B14,$H$38:$H$44))</f>
        <v>0</v>
      </c>
      <c r="D14" s="30"/>
      <c r="E14" s="77">
        <v>11907</v>
      </c>
      <c r="F14" s="78" t="s">
        <v>378</v>
      </c>
      <c r="G14" s="51" t="s">
        <v>6</v>
      </c>
      <c r="H14" s="39">
        <v>1290</v>
      </c>
      <c r="I14" s="39">
        <v>250</v>
      </c>
      <c r="J14" s="30"/>
      <c r="K14" s="22" t="s">
        <v>22</v>
      </c>
      <c r="L14" s="23" t="s">
        <v>23</v>
      </c>
      <c r="M14" s="24" t="s">
        <v>24</v>
      </c>
      <c r="R14" s="1">
        <f>IF(vend27[[#This Row],[Nº Venda]]&gt;1,1,0)</f>
        <v>1</v>
      </c>
    </row>
    <row r="15" spans="2:18" ht="16.5" x14ac:dyDescent="0.3">
      <c r="B15" s="28" t="s">
        <v>10</v>
      </c>
      <c r="C15" s="71">
        <f>(SUMIF($G$2:$G$34,B15,$I$2:$I$34))+(SUMIF($G$38:$G$44,B15,$H$38:$H$44))</f>
        <v>535</v>
      </c>
      <c r="D15" s="30"/>
      <c r="E15" s="77">
        <v>11908</v>
      </c>
      <c r="F15" s="78" t="s">
        <v>380</v>
      </c>
      <c r="G15" s="51" t="s">
        <v>8</v>
      </c>
      <c r="H15" s="39">
        <v>99</v>
      </c>
      <c r="I15" s="39">
        <v>99</v>
      </c>
      <c r="J15" s="30"/>
      <c r="K15" s="77">
        <v>11598</v>
      </c>
      <c r="L15" s="91" t="s">
        <v>129</v>
      </c>
      <c r="M15" s="43" t="s">
        <v>149</v>
      </c>
      <c r="R15" s="1">
        <f>IF(vend27[[#This Row],[Nº Venda]]&gt;1,1,0)</f>
        <v>1</v>
      </c>
    </row>
    <row r="16" spans="2:18" ht="16.5" x14ac:dyDescent="0.3">
      <c r="B16" s="31" t="s">
        <v>11</v>
      </c>
      <c r="C16" s="72">
        <f>SUM(C11:C15)</f>
        <v>6293.2</v>
      </c>
      <c r="D16" s="30"/>
      <c r="E16" s="77">
        <v>11909</v>
      </c>
      <c r="F16" s="78" t="s">
        <v>292</v>
      </c>
      <c r="G16" s="51" t="s">
        <v>7</v>
      </c>
      <c r="H16" s="39">
        <v>249</v>
      </c>
      <c r="I16" s="39">
        <v>249</v>
      </c>
      <c r="J16" s="30"/>
      <c r="K16" s="77">
        <v>11768</v>
      </c>
      <c r="L16" s="91" t="s">
        <v>129</v>
      </c>
      <c r="M16" s="43" t="s">
        <v>149</v>
      </c>
      <c r="R16" s="1">
        <f>IF(vend27[[#This Row],[Nº Venda]]&gt;1,1,0)</f>
        <v>1</v>
      </c>
    </row>
    <row r="17" spans="2:18" ht="16.5" x14ac:dyDescent="0.3">
      <c r="B17" s="27"/>
      <c r="C17" s="27"/>
      <c r="D17" s="30"/>
      <c r="E17" s="77">
        <v>11910</v>
      </c>
      <c r="F17" s="78" t="s">
        <v>244</v>
      </c>
      <c r="G17" s="51" t="s">
        <v>10</v>
      </c>
      <c r="H17" s="39">
        <v>249.99</v>
      </c>
      <c r="I17" s="39">
        <v>10</v>
      </c>
      <c r="J17" s="30"/>
      <c r="K17" s="77">
        <v>11770</v>
      </c>
      <c r="L17" s="91" t="s">
        <v>129</v>
      </c>
      <c r="M17" s="43" t="s">
        <v>149</v>
      </c>
      <c r="R17" s="1">
        <f>IF(vend27[[#This Row],[Nº Venda]]&gt;1,1,0)</f>
        <v>1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>
        <v>11829</v>
      </c>
      <c r="L18" s="91" t="s">
        <v>187</v>
      </c>
      <c r="M18" s="43" t="s">
        <v>149</v>
      </c>
      <c r="R18" s="1">
        <f>IF(vend27[[#This Row],[Nº Venda]]&gt;1,1,0)</f>
        <v>0</v>
      </c>
    </row>
    <row r="19" spans="2:18" ht="16.5" x14ac:dyDescent="0.3">
      <c r="B19" s="28">
        <f>COUNT(entr_carn27[OS])</f>
        <v>0</v>
      </c>
      <c r="C19" s="71">
        <f>SUM(entr_carn27[Valor Total])</f>
        <v>0</v>
      </c>
      <c r="D19" s="30"/>
      <c r="E19" s="77"/>
      <c r="F19" s="78"/>
      <c r="G19" s="51"/>
      <c r="H19" s="39"/>
      <c r="I19" s="39"/>
      <c r="J19" s="30"/>
      <c r="K19" s="77">
        <v>11851</v>
      </c>
      <c r="L19" s="91" t="s">
        <v>131</v>
      </c>
      <c r="M19" s="43" t="s">
        <v>149</v>
      </c>
      <c r="R19" s="1">
        <f>IF(vend27[[#This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>
        <v>11855</v>
      </c>
      <c r="L20" s="91" t="s">
        <v>129</v>
      </c>
      <c r="M20" s="43" t="s">
        <v>149</v>
      </c>
      <c r="R20" s="1">
        <f>IF(vend27[[#This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11905</v>
      </c>
      <c r="L21" s="91" t="s">
        <v>131</v>
      </c>
      <c r="M21" s="43" t="s">
        <v>149</v>
      </c>
    </row>
    <row r="22" spans="2:18" ht="16.5" x14ac:dyDescent="0.3">
      <c r="B22" s="31" t="s">
        <v>25</v>
      </c>
      <c r="C22" s="34">
        <f>C5</f>
        <v>5293.19</v>
      </c>
      <c r="D22" s="30"/>
      <c r="E22" s="79"/>
      <c r="F22" s="78"/>
      <c r="G22" s="51"/>
      <c r="H22" s="39"/>
      <c r="I22" s="39"/>
      <c r="J22" s="30"/>
      <c r="K22" s="77">
        <v>11834</v>
      </c>
      <c r="L22" s="91" t="s">
        <v>187</v>
      </c>
      <c r="M22" s="43" t="s">
        <v>149</v>
      </c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>
        <v>11833</v>
      </c>
      <c r="L23" s="91" t="s">
        <v>129</v>
      </c>
      <c r="M23" s="43" t="s">
        <v>149</v>
      </c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>
        <v>11832</v>
      </c>
      <c r="L24" s="91" t="s">
        <v>129</v>
      </c>
      <c r="M24" s="43" t="s">
        <v>149</v>
      </c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>
        <v>11876</v>
      </c>
      <c r="L25" s="91" t="s">
        <v>131</v>
      </c>
      <c r="M25" s="43" t="s">
        <v>149</v>
      </c>
    </row>
    <row r="26" spans="2:18" ht="16.5" x14ac:dyDescent="0.3">
      <c r="B26" s="30"/>
      <c r="C26" s="30"/>
      <c r="D26" s="30"/>
      <c r="E26" s="77">
        <v>11768</v>
      </c>
      <c r="F26" s="78" t="s">
        <v>215</v>
      </c>
      <c r="G26" s="51" t="s">
        <v>6</v>
      </c>
      <c r="H26" s="39"/>
      <c r="I26" s="39">
        <v>40</v>
      </c>
      <c r="J26" s="30"/>
      <c r="K26" s="77">
        <v>11908</v>
      </c>
      <c r="L26" s="91" t="s">
        <v>131</v>
      </c>
      <c r="M26" s="43" t="s">
        <v>149</v>
      </c>
    </row>
    <row r="27" spans="2:18" ht="16.5" x14ac:dyDescent="0.3">
      <c r="B27" s="30"/>
      <c r="C27" s="30"/>
      <c r="D27" s="30"/>
      <c r="E27" s="77">
        <v>11768</v>
      </c>
      <c r="F27" s="78" t="s">
        <v>215</v>
      </c>
      <c r="G27" s="51" t="s">
        <v>10</v>
      </c>
      <c r="H27" s="39"/>
      <c r="I27" s="39">
        <v>250</v>
      </c>
      <c r="J27" s="30"/>
      <c r="K27" s="77">
        <v>11909</v>
      </c>
      <c r="L27" s="91" t="s">
        <v>129</v>
      </c>
      <c r="M27" s="43" t="s">
        <v>149</v>
      </c>
    </row>
    <row r="28" spans="2:18" ht="16.5" x14ac:dyDescent="0.3">
      <c r="B28" s="30"/>
      <c r="C28" s="30"/>
      <c r="D28" s="30"/>
      <c r="E28" s="77">
        <v>11768</v>
      </c>
      <c r="F28" s="78" t="s">
        <v>215</v>
      </c>
      <c r="G28" s="51" t="s">
        <v>7</v>
      </c>
      <c r="H28" s="39"/>
      <c r="I28" s="39">
        <v>500</v>
      </c>
      <c r="J28" s="30"/>
      <c r="K28" s="77">
        <v>11871</v>
      </c>
      <c r="L28" s="91" t="s">
        <v>129</v>
      </c>
      <c r="M28" s="43" t="s">
        <v>149</v>
      </c>
    </row>
    <row r="29" spans="2:18" ht="16.5" x14ac:dyDescent="0.3">
      <c r="B29" s="30"/>
      <c r="C29" s="30"/>
      <c r="D29" s="30"/>
      <c r="E29" s="77">
        <v>11834</v>
      </c>
      <c r="F29" s="78" t="s">
        <v>379</v>
      </c>
      <c r="G29" s="51" t="s">
        <v>8</v>
      </c>
      <c r="H29" s="39"/>
      <c r="I29" s="39">
        <v>600</v>
      </c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>
        <v>11833</v>
      </c>
      <c r="F30" s="51" t="s">
        <v>279</v>
      </c>
      <c r="G30" s="51" t="s">
        <v>8</v>
      </c>
      <c r="H30" s="39"/>
      <c r="I30" s="39">
        <v>445</v>
      </c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>
        <v>11832</v>
      </c>
      <c r="F31" s="41" t="s">
        <v>279</v>
      </c>
      <c r="G31" s="41" t="s">
        <v>8</v>
      </c>
      <c r="H31" s="42"/>
      <c r="I31" s="42">
        <v>445</v>
      </c>
      <c r="J31" s="30"/>
      <c r="K31" s="77"/>
      <c r="L31" s="91"/>
      <c r="M31" s="43"/>
    </row>
    <row r="32" spans="2:18" ht="16.5" x14ac:dyDescent="0.3">
      <c r="B32" s="30"/>
      <c r="C32" s="30"/>
      <c r="D32" s="38"/>
      <c r="E32" s="79"/>
      <c r="F32" s="41"/>
      <c r="G32" s="41"/>
      <c r="H32" s="42"/>
      <c r="I32" s="42"/>
      <c r="J32" s="38"/>
      <c r="K32" s="33"/>
      <c r="L32" s="33"/>
      <c r="M32" s="33"/>
    </row>
    <row r="33" spans="2:18" ht="16.5" x14ac:dyDescent="0.3">
      <c r="B33" s="30"/>
      <c r="C33" s="30"/>
      <c r="D33" s="38"/>
      <c r="E33" s="79"/>
      <c r="F33" s="41"/>
      <c r="G33" s="41"/>
      <c r="H33" s="42"/>
      <c r="I33" s="42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79"/>
      <c r="F34" s="80"/>
      <c r="G34" s="41"/>
      <c r="H34" s="42"/>
      <c r="I34" s="42"/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35"/>
      <c r="F35" s="35"/>
      <c r="G35" s="35"/>
      <c r="H35" s="37"/>
      <c r="I35" s="37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100" t="s">
        <v>140</v>
      </c>
      <c r="F36" s="101"/>
      <c r="G36" s="101"/>
      <c r="H36" s="101"/>
      <c r="I36" s="101"/>
      <c r="J36" s="38"/>
      <c r="K36" s="77"/>
      <c r="L36" s="77"/>
      <c r="M36" s="91"/>
    </row>
    <row r="37" spans="2:18" ht="16.5" customHeight="1" x14ac:dyDescent="0.3">
      <c r="B37" s="38"/>
      <c r="C37" s="38"/>
      <c r="D37" s="38"/>
      <c r="E37" s="17" t="s">
        <v>22</v>
      </c>
      <c r="F37" s="16" t="s">
        <v>15</v>
      </c>
      <c r="G37" s="17" t="s">
        <v>16</v>
      </c>
      <c r="H37" s="18" t="s">
        <v>26</v>
      </c>
      <c r="I37" s="18" t="s">
        <v>27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83"/>
      <c r="F39" s="78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7"/>
      <c r="F40" s="78"/>
      <c r="G40" s="51"/>
      <c r="H40" s="39"/>
      <c r="I40" s="39"/>
      <c r="J40" s="38"/>
      <c r="K40" s="79"/>
      <c r="L40" s="79"/>
      <c r="M40" s="92"/>
      <c r="Q40" s="1" t="s">
        <v>33</v>
      </c>
      <c r="R40" s="1">
        <f>SUM(R6:R21)</f>
        <v>12</v>
      </c>
    </row>
    <row r="41" spans="2:18" ht="16.5" customHeight="1" x14ac:dyDescent="0.25">
      <c r="B41" s="38"/>
      <c r="C41" s="38"/>
      <c r="D41" s="38"/>
      <c r="E41" s="77"/>
      <c r="F41" s="78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77"/>
      <c r="F42" s="51"/>
      <c r="G42" s="51"/>
      <c r="H42" s="39"/>
      <c r="I42" s="39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79"/>
      <c r="F43" s="80"/>
      <c r="G43" s="41"/>
      <c r="H43" s="42"/>
      <c r="I43" s="39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82"/>
      <c r="F44" s="51"/>
      <c r="G44" s="51"/>
      <c r="H44" s="39"/>
      <c r="I44" s="39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  <row r="46" spans="2:18" ht="13.5" x14ac:dyDescent="0.25">
      <c r="E46" s="35"/>
      <c r="F46" s="35"/>
      <c r="G46" s="35"/>
      <c r="H46" s="37"/>
      <c r="I46" s="37"/>
    </row>
    <row r="47" spans="2:18" ht="13.5" x14ac:dyDescent="0.25">
      <c r="E47" s="35"/>
      <c r="F47" s="35"/>
      <c r="G47" s="35"/>
      <c r="H47" s="37"/>
      <c r="I47" s="37"/>
    </row>
    <row r="48" spans="2:18" ht="13.5" x14ac:dyDescent="0.25">
      <c r="E48" s="35"/>
      <c r="F48" s="35"/>
      <c r="G48" s="35"/>
      <c r="H48" s="37"/>
      <c r="I48" s="37"/>
    </row>
  </sheetData>
  <mergeCells count="11">
    <mergeCell ref="B1:C1"/>
    <mergeCell ref="L1:M1"/>
    <mergeCell ref="E24:I24"/>
    <mergeCell ref="E36:I36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G38:G44 G26:G34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I38:I44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E38:E44 K35:K41 K15:K31 E26:E34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'27'!B1+1</f>
        <v>45928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7"/>
      <c r="F6" s="78"/>
      <c r="G6" s="51"/>
      <c r="H6" s="39"/>
      <c r="I6" s="39"/>
      <c r="J6" s="30"/>
      <c r="K6" s="78"/>
      <c r="L6" s="91"/>
      <c r="M6" s="43"/>
      <c r="R6" s="1">
        <f>IF(vend28[[#This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7"/>
      <c r="F7" s="78"/>
      <c r="G7" s="51"/>
      <c r="H7" s="39"/>
      <c r="I7" s="39"/>
      <c r="J7" s="30"/>
      <c r="K7" s="78"/>
      <c r="L7" s="91"/>
      <c r="M7" s="43"/>
      <c r="R7" s="1">
        <f>IF(vend28[[#This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7"/>
      <c r="F8" s="78"/>
      <c r="G8" s="51"/>
      <c r="H8" s="39"/>
      <c r="I8" s="39"/>
      <c r="J8" s="30"/>
      <c r="K8" s="78"/>
      <c r="L8" s="91"/>
      <c r="M8" s="43"/>
      <c r="R8" s="1">
        <f>IF(vend28[[#This Row],[Nº Venda]]&gt;1,1,0)</f>
        <v>0</v>
      </c>
    </row>
    <row r="9" spans="2:18" ht="16.5" x14ac:dyDescent="0.3">
      <c r="B9" s="27"/>
      <c r="C9" s="27"/>
      <c r="D9" s="30"/>
      <c r="E9" s="77"/>
      <c r="F9" s="78"/>
      <c r="G9" s="51"/>
      <c r="H9" s="39"/>
      <c r="I9" s="39"/>
      <c r="J9" s="30"/>
      <c r="K9" s="78"/>
      <c r="L9" s="91"/>
      <c r="M9" s="43"/>
      <c r="R9" s="1">
        <f>IF(vend28[[#This Row],[Nº Venda]]&gt;1,1,0)</f>
        <v>0</v>
      </c>
    </row>
    <row r="10" spans="2:18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R10" s="1">
        <f>IF(vend28[[#This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0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0</v>
      </c>
      <c r="R11" s="1">
        <f>IF(vend28[[#This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IF(vend28[[#This Row],[Nº Venda]]&gt;1,1,0)</f>
        <v>0</v>
      </c>
    </row>
    <row r="13" spans="2:18" ht="16.5" x14ac:dyDescent="0.3">
      <c r="B13" s="28" t="s">
        <v>8</v>
      </c>
      <c r="C13" s="71">
        <f t="shared" si="0"/>
        <v>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IF(vend28[[#This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IF(vend28[[#This Row],[Nº Venda]]&gt;1,1,0)</f>
        <v>0</v>
      </c>
    </row>
    <row r="15" spans="2:18" ht="16.5" x14ac:dyDescent="0.3">
      <c r="B15" s="28" t="s">
        <v>10</v>
      </c>
      <c r="C15" s="71">
        <f t="shared" si="0"/>
        <v>0</v>
      </c>
      <c r="D15" s="30"/>
      <c r="E15" s="77"/>
      <c r="F15" s="78"/>
      <c r="G15" s="51"/>
      <c r="H15" s="39"/>
      <c r="I15" s="39"/>
      <c r="J15" s="30"/>
      <c r="K15" s="77"/>
      <c r="L15" s="91"/>
      <c r="M15" s="43"/>
      <c r="R15" s="1">
        <f>IF(vend28[[#This Row],[Nº Venda]]&gt;1,1,0)</f>
        <v>0</v>
      </c>
    </row>
    <row r="16" spans="2:18" ht="16.5" x14ac:dyDescent="0.3">
      <c r="B16" s="31" t="s">
        <v>11</v>
      </c>
      <c r="C16" s="72">
        <f>SUM(C11:C15)</f>
        <v>0</v>
      </c>
      <c r="D16" s="30"/>
      <c r="E16" s="77"/>
      <c r="F16" s="78"/>
      <c r="G16" s="51"/>
      <c r="H16" s="39"/>
      <c r="I16" s="39"/>
      <c r="J16" s="30"/>
      <c r="K16" s="77"/>
      <c r="L16" s="91"/>
      <c r="M16" s="43"/>
      <c r="R16" s="1">
        <f>IF(vend28[[#This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/>
      <c r="L17" s="91"/>
      <c r="M17" s="43"/>
      <c r="R17" s="1">
        <f>IF(vend28[[#This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/>
      <c r="L18" s="91"/>
      <c r="M18" s="43"/>
      <c r="R18" s="1">
        <f>IF(vend28[[#This Row],[Nº Venda]]&gt;1,1,0)</f>
        <v>0</v>
      </c>
    </row>
    <row r="19" spans="2:18" ht="16.5" x14ac:dyDescent="0.3">
      <c r="B19" s="28">
        <f>COUNT(entr_carn28[OS])</f>
        <v>0</v>
      </c>
      <c r="C19" s="71">
        <f>SUM(entr_carn28[Valor Total])</f>
        <v>0</v>
      </c>
      <c r="D19" s="30"/>
      <c r="E19" s="77"/>
      <c r="F19" s="78"/>
      <c r="G19" s="51"/>
      <c r="H19" s="39"/>
      <c r="I19" s="39"/>
      <c r="J19" s="30"/>
      <c r="K19" s="77"/>
      <c r="L19" s="91"/>
      <c r="M19" s="43"/>
      <c r="R19" s="1">
        <f>IF(vend28[[#This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IF(vend28[[#This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0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/>
      <c r="F26" s="78"/>
      <c r="G26" s="51"/>
      <c r="H26" s="39"/>
      <c r="I26" s="39"/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topLeftCell="A13" zoomScaleNormal="100" workbookViewId="0">
      <selection activeCell="F32" sqref="F32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'28'!B1+1</f>
        <v>45929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3023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3734.48</v>
      </c>
      <c r="D6" s="30"/>
      <c r="E6" s="77">
        <v>11911</v>
      </c>
      <c r="F6" s="78" t="s">
        <v>382</v>
      </c>
      <c r="G6" s="51" t="s">
        <v>6</v>
      </c>
      <c r="H6" s="39">
        <v>900</v>
      </c>
      <c r="I6" s="39">
        <v>50</v>
      </c>
      <c r="J6" s="30"/>
      <c r="K6" s="78" t="s">
        <v>393</v>
      </c>
      <c r="L6" s="91" t="s">
        <v>394</v>
      </c>
      <c r="M6" s="43">
        <v>1.82</v>
      </c>
      <c r="R6" s="1">
        <f>IF(vend29[[#This Row],[Nº Venda]]&gt;1,1,0)</f>
        <v>1</v>
      </c>
    </row>
    <row r="7" spans="2:18" ht="16.5" x14ac:dyDescent="0.3">
      <c r="B7" s="28" t="s">
        <v>3</v>
      </c>
      <c r="C7" s="29">
        <f>SUM(M6:M11)</f>
        <v>380.71999999999997</v>
      </c>
      <c r="D7" s="30"/>
      <c r="E7" s="77">
        <v>11912</v>
      </c>
      <c r="F7" s="78" t="s">
        <v>382</v>
      </c>
      <c r="G7" s="51" t="s">
        <v>7</v>
      </c>
      <c r="H7" s="39">
        <v>40</v>
      </c>
      <c r="I7" s="39">
        <v>40</v>
      </c>
      <c r="J7" s="30"/>
      <c r="K7" s="78" t="s">
        <v>395</v>
      </c>
      <c r="L7" s="91" t="s">
        <v>6</v>
      </c>
      <c r="M7" s="43">
        <v>378.9</v>
      </c>
      <c r="R7" s="1">
        <f>IF(vend29[[#This Row],[Nº Venda]]&gt;1,1,0)</f>
        <v>1</v>
      </c>
    </row>
    <row r="8" spans="2:18" ht="16.5" x14ac:dyDescent="0.3">
      <c r="B8" s="31" t="s">
        <v>21</v>
      </c>
      <c r="C8" s="32">
        <f>SUM(C6:C7)</f>
        <v>4115.2</v>
      </c>
      <c r="D8" s="30"/>
      <c r="E8" s="77">
        <v>11913</v>
      </c>
      <c r="F8" s="78" t="s">
        <v>383</v>
      </c>
      <c r="G8" s="51" t="s">
        <v>6</v>
      </c>
      <c r="H8" s="39">
        <v>39</v>
      </c>
      <c r="I8" s="39">
        <v>39</v>
      </c>
      <c r="J8" s="30"/>
      <c r="K8" s="78"/>
      <c r="L8" s="91"/>
      <c r="M8" s="43"/>
      <c r="R8" s="1">
        <f>IF(vend29[[#This Row],[Nº Venda]]&gt;1,1,0)</f>
        <v>1</v>
      </c>
    </row>
    <row r="9" spans="2:18" ht="16.5" x14ac:dyDescent="0.3">
      <c r="B9" s="27"/>
      <c r="C9" s="27"/>
      <c r="D9" s="30"/>
      <c r="E9" s="77">
        <v>11914</v>
      </c>
      <c r="F9" s="78" t="s">
        <v>384</v>
      </c>
      <c r="G9" s="51" t="s">
        <v>8</v>
      </c>
      <c r="H9" s="39">
        <v>719</v>
      </c>
      <c r="I9" s="39">
        <v>719</v>
      </c>
      <c r="J9" s="30"/>
      <c r="K9" s="78"/>
      <c r="L9" s="91"/>
      <c r="M9" s="43"/>
      <c r="R9" s="1">
        <f>IF(vend29[[#This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11915</v>
      </c>
      <c r="F10" s="78" t="s">
        <v>385</v>
      </c>
      <c r="G10" s="51" t="s">
        <v>7</v>
      </c>
      <c r="H10" s="39">
        <v>545</v>
      </c>
      <c r="I10" s="39">
        <v>545</v>
      </c>
      <c r="J10" s="30"/>
      <c r="K10" s="78"/>
      <c r="L10" s="91"/>
      <c r="M10" s="43"/>
      <c r="R10" s="1">
        <f>IF(vend29[[#This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378.9</v>
      </c>
      <c r="D11" s="30"/>
      <c r="E11" s="77"/>
      <c r="F11" s="78"/>
      <c r="G11" s="51" t="s">
        <v>8</v>
      </c>
      <c r="H11" s="39">
        <v>545</v>
      </c>
      <c r="I11" s="39">
        <v>545</v>
      </c>
      <c r="J11" s="30"/>
      <c r="K11" s="38"/>
      <c r="L11" s="91"/>
      <c r="M11" s="43"/>
      <c r="O11" s="1">
        <f>IF(C16=0,0,1)</f>
        <v>1</v>
      </c>
      <c r="R11" s="1">
        <f>IF(vend29[[#This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585</v>
      </c>
      <c r="D12" s="30"/>
      <c r="E12" s="77">
        <v>11916</v>
      </c>
      <c r="F12" s="78" t="s">
        <v>386</v>
      </c>
      <c r="G12" s="51" t="s">
        <v>46</v>
      </c>
      <c r="H12" s="39">
        <v>35</v>
      </c>
      <c r="I12" s="39"/>
      <c r="J12" s="30"/>
      <c r="K12" s="33"/>
      <c r="L12" s="33"/>
      <c r="M12" s="33"/>
      <c r="R12" s="1">
        <f>IF(vend29[[#This Row],[Nº Venda]]&gt;1,1,0)</f>
        <v>1</v>
      </c>
    </row>
    <row r="13" spans="2:18" ht="16.5" x14ac:dyDescent="0.3">
      <c r="B13" s="28" t="s">
        <v>8</v>
      </c>
      <c r="C13" s="71">
        <f t="shared" si="0"/>
        <v>2409</v>
      </c>
      <c r="D13" s="30"/>
      <c r="E13" s="77">
        <v>11917</v>
      </c>
      <c r="F13" s="78" t="s">
        <v>387</v>
      </c>
      <c r="G13" s="51" t="s">
        <v>36</v>
      </c>
      <c r="H13" s="39"/>
      <c r="I13" s="39"/>
      <c r="J13" s="30"/>
      <c r="K13" s="102" t="s">
        <v>142</v>
      </c>
      <c r="L13" s="103"/>
      <c r="M13" s="104"/>
      <c r="R13" s="1">
        <f>IF(vend29[[#This Row],[Nº Venda]]&gt;1,1,0)</f>
        <v>1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>
        <v>11918</v>
      </c>
      <c r="F14" s="78" t="s">
        <v>200</v>
      </c>
      <c r="G14" s="51" t="s">
        <v>8</v>
      </c>
      <c r="H14" s="39">
        <v>35</v>
      </c>
      <c r="I14" s="39">
        <v>35</v>
      </c>
      <c r="J14" s="30"/>
      <c r="K14" s="22" t="s">
        <v>22</v>
      </c>
      <c r="L14" s="23" t="s">
        <v>23</v>
      </c>
      <c r="M14" s="24" t="s">
        <v>24</v>
      </c>
      <c r="R14" s="1">
        <f>IF(vend29[[#This Row],[Nº Venda]]&gt;1,1,0)</f>
        <v>1</v>
      </c>
    </row>
    <row r="15" spans="2:18" ht="16.5" x14ac:dyDescent="0.3">
      <c r="B15" s="28" t="s">
        <v>10</v>
      </c>
      <c r="C15" s="71">
        <f t="shared" si="0"/>
        <v>361.58</v>
      </c>
      <c r="D15" s="30"/>
      <c r="E15" s="77"/>
      <c r="F15" s="78"/>
      <c r="G15" s="51"/>
      <c r="H15" s="39"/>
      <c r="I15" s="39"/>
      <c r="J15" s="30"/>
      <c r="K15" s="77">
        <v>11690</v>
      </c>
      <c r="L15" s="91" t="s">
        <v>129</v>
      </c>
      <c r="M15" s="43" t="s">
        <v>149</v>
      </c>
      <c r="R15" s="1">
        <f>IF(vend29[[#This Row],[Nº Venda]]&gt;1,1,0)</f>
        <v>0</v>
      </c>
    </row>
    <row r="16" spans="2:18" ht="16.5" x14ac:dyDescent="0.3">
      <c r="B16" s="31" t="s">
        <v>11</v>
      </c>
      <c r="C16" s="72">
        <f>SUM(C11:C15)</f>
        <v>3734.48</v>
      </c>
      <c r="D16" s="30"/>
      <c r="E16" s="77"/>
      <c r="F16" s="78"/>
      <c r="G16" s="51"/>
      <c r="H16" s="39"/>
      <c r="I16" s="39"/>
      <c r="J16" s="30"/>
      <c r="K16" s="77">
        <v>11912</v>
      </c>
      <c r="L16" s="91" t="s">
        <v>129</v>
      </c>
      <c r="M16" s="43" t="s">
        <v>149</v>
      </c>
      <c r="R16" s="1">
        <f>IF(vend29[[#This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>
        <v>11906</v>
      </c>
      <c r="L17" s="91" t="s">
        <v>131</v>
      </c>
      <c r="M17" s="43" t="s">
        <v>149</v>
      </c>
      <c r="R17" s="1">
        <f>IF(vend29[[#This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/>
      <c r="L18" s="91"/>
      <c r="M18" s="43"/>
      <c r="R18" s="1">
        <f>IF(vend29[[#This Row],[Nº Venda]]&gt;1,1,0)</f>
        <v>0</v>
      </c>
    </row>
    <row r="19" spans="2:18" ht="16.5" x14ac:dyDescent="0.3">
      <c r="B19" s="28">
        <f>COUNT(entr_carn29[OS])</f>
        <v>0</v>
      </c>
      <c r="C19" s="71">
        <f>SUM(entr_carn29[Valor Total])</f>
        <v>0</v>
      </c>
      <c r="D19" s="30"/>
      <c r="E19" s="77"/>
      <c r="F19" s="78"/>
      <c r="G19" s="51"/>
      <c r="H19" s="39"/>
      <c r="I19" s="39"/>
      <c r="J19" s="30"/>
      <c r="K19" s="77"/>
      <c r="L19" s="91"/>
      <c r="M19" s="43"/>
      <c r="R19" s="1">
        <f>IF(vend29[[#This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IF(vend29[[#This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3023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>
        <v>11866</v>
      </c>
      <c r="F26" s="78" t="s">
        <v>388</v>
      </c>
      <c r="G26" s="51" t="s">
        <v>10</v>
      </c>
      <c r="H26" s="39">
        <v>200</v>
      </c>
      <c r="I26" s="39">
        <v>200</v>
      </c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>
        <v>11690</v>
      </c>
      <c r="F27" s="78" t="s">
        <v>389</v>
      </c>
      <c r="G27" s="51" t="s">
        <v>8</v>
      </c>
      <c r="H27" s="39"/>
      <c r="I27" s="39">
        <v>1110</v>
      </c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>
        <v>11844</v>
      </c>
      <c r="F28" s="78" t="s">
        <v>390</v>
      </c>
      <c r="G28" s="51" t="s">
        <v>6</v>
      </c>
      <c r="H28" s="39"/>
      <c r="I28" s="39">
        <v>50</v>
      </c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11902</v>
      </c>
      <c r="F35" s="78" t="s">
        <v>391</v>
      </c>
      <c r="G35" s="51" t="s">
        <v>10</v>
      </c>
      <c r="H35" s="39">
        <v>86.71</v>
      </c>
      <c r="I35" s="39" t="s">
        <v>37</v>
      </c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>
        <v>11479</v>
      </c>
      <c r="F36" s="78" t="s">
        <v>392</v>
      </c>
      <c r="G36" s="51" t="s">
        <v>6</v>
      </c>
      <c r="H36" s="39">
        <v>80</v>
      </c>
      <c r="I36" s="39" t="s">
        <v>69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>
        <v>11475</v>
      </c>
      <c r="F37" s="78" t="s">
        <v>392</v>
      </c>
      <c r="G37" s="51" t="s">
        <v>6</v>
      </c>
      <c r="H37" s="39">
        <v>80</v>
      </c>
      <c r="I37" s="39" t="s">
        <v>30</v>
      </c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>
        <v>11437</v>
      </c>
      <c r="F38" s="78" t="s">
        <v>260</v>
      </c>
      <c r="G38" s="51" t="s">
        <v>6</v>
      </c>
      <c r="H38" s="39">
        <v>79.900000000000006</v>
      </c>
      <c r="I38" s="39" t="s">
        <v>51</v>
      </c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>
        <v>11181</v>
      </c>
      <c r="F39" s="51" t="s">
        <v>396</v>
      </c>
      <c r="G39" s="51" t="s">
        <v>10</v>
      </c>
      <c r="H39" s="39">
        <v>74.87</v>
      </c>
      <c r="I39" s="39" t="s">
        <v>79</v>
      </c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8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 t="s">
        <v>397</v>
      </c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topLeftCell="E25" workbookViewId="0">
      <selection activeCell="F36" sqref="F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'29'!B1+1</f>
        <v>45930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5576.99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3863.49</v>
      </c>
      <c r="D6" s="30"/>
      <c r="E6" s="77">
        <v>11919</v>
      </c>
      <c r="F6" s="78" t="s">
        <v>398</v>
      </c>
      <c r="G6" s="51" t="s">
        <v>7</v>
      </c>
      <c r="H6" s="39">
        <v>80</v>
      </c>
      <c r="I6" s="39">
        <v>80</v>
      </c>
      <c r="J6" s="30"/>
      <c r="K6" s="78" t="s">
        <v>409</v>
      </c>
      <c r="L6" s="91" t="s">
        <v>204</v>
      </c>
      <c r="M6" s="43">
        <v>176.5</v>
      </c>
      <c r="R6" s="1">
        <f>IF(vend30[[#This Row],[Nº Venda]]&gt;1,1,0)</f>
        <v>1</v>
      </c>
    </row>
    <row r="7" spans="2:18" ht="16.5" x14ac:dyDescent="0.3">
      <c r="B7" s="28" t="s">
        <v>3</v>
      </c>
      <c r="C7" s="29">
        <f>SUM(M6:M11)</f>
        <v>176.5</v>
      </c>
      <c r="D7" s="30"/>
      <c r="E7" s="77">
        <v>11920</v>
      </c>
      <c r="F7" s="78" t="s">
        <v>399</v>
      </c>
      <c r="G7" s="51" t="s">
        <v>8</v>
      </c>
      <c r="H7" s="39">
        <v>550</v>
      </c>
      <c r="I7" s="39">
        <v>550</v>
      </c>
      <c r="J7" s="30"/>
      <c r="K7" s="78"/>
      <c r="L7" s="91"/>
      <c r="M7" s="43"/>
      <c r="R7" s="1">
        <f>IF(vend30[[#This Row],[Nº Venda]]&gt;1,1,0)</f>
        <v>1</v>
      </c>
    </row>
    <row r="8" spans="2:18" ht="16.5" x14ac:dyDescent="0.3">
      <c r="B8" s="31" t="s">
        <v>21</v>
      </c>
      <c r="C8" s="32">
        <f>SUM(C6:C7)</f>
        <v>4039.99</v>
      </c>
      <c r="D8" s="30"/>
      <c r="E8" s="77">
        <v>11921</v>
      </c>
      <c r="F8" s="78" t="s">
        <v>400</v>
      </c>
      <c r="G8" s="51" t="s">
        <v>10</v>
      </c>
      <c r="H8" s="39">
        <v>99</v>
      </c>
      <c r="I8" s="39">
        <v>99</v>
      </c>
      <c r="J8" s="30"/>
      <c r="K8" s="78"/>
      <c r="L8" s="91"/>
      <c r="M8" s="43"/>
      <c r="R8" s="1">
        <f>IF(vend30[[#This Row],[Nº Venda]]&gt;1,1,0)</f>
        <v>1</v>
      </c>
    </row>
    <row r="9" spans="2:18" ht="16.5" x14ac:dyDescent="0.3">
      <c r="B9" s="27"/>
      <c r="C9" s="27"/>
      <c r="D9" s="30"/>
      <c r="E9" s="77">
        <v>11922</v>
      </c>
      <c r="F9" s="78" t="s">
        <v>405</v>
      </c>
      <c r="G9" s="51" t="s">
        <v>8</v>
      </c>
      <c r="H9" s="39">
        <v>290</v>
      </c>
      <c r="I9" s="39">
        <v>290</v>
      </c>
      <c r="J9" s="30"/>
      <c r="K9" s="78"/>
      <c r="L9" s="91"/>
      <c r="M9" s="43"/>
      <c r="R9" s="1">
        <f>IF(vend30[[#This Row],[Nº Venda]]&gt;1,1,0)</f>
        <v>1</v>
      </c>
    </row>
    <row r="10" spans="2:18" ht="16.5" x14ac:dyDescent="0.3">
      <c r="B10" s="109" t="s">
        <v>5</v>
      </c>
      <c r="C10" s="110"/>
      <c r="D10" s="30"/>
      <c r="E10" s="77">
        <v>11923</v>
      </c>
      <c r="F10" s="78" t="s">
        <v>401</v>
      </c>
      <c r="G10" s="51" t="s">
        <v>8</v>
      </c>
      <c r="H10" s="39">
        <v>196</v>
      </c>
      <c r="I10" s="39">
        <v>196</v>
      </c>
      <c r="J10" s="30"/>
      <c r="K10" s="78"/>
      <c r="L10" s="91"/>
      <c r="M10" s="43"/>
      <c r="R10" s="1">
        <f>IF(vend30[[#This Row],[Nº Venda]]&gt;1,1,0)</f>
        <v>1</v>
      </c>
    </row>
    <row r="11" spans="2:18" ht="16.5" x14ac:dyDescent="0.3">
      <c r="B11" s="28" t="s">
        <v>6</v>
      </c>
      <c r="C11" s="71">
        <f>(SUMIF($G$2:$G$31,B11,$I$2:$I$31))+(SUMIF($G$35:$G$41,B11,$H$35:$H$41))</f>
        <v>176.5</v>
      </c>
      <c r="D11" s="30"/>
      <c r="E11" s="77">
        <v>11924</v>
      </c>
      <c r="F11" s="78" t="s">
        <v>402</v>
      </c>
      <c r="G11" s="51" t="s">
        <v>10</v>
      </c>
      <c r="H11" s="39">
        <v>750</v>
      </c>
      <c r="I11" s="39">
        <v>450</v>
      </c>
      <c r="J11" s="30"/>
      <c r="K11" s="38"/>
      <c r="L11" s="91"/>
      <c r="M11" s="43"/>
      <c r="O11" s="1">
        <f>IF(C16=0,0,1)</f>
        <v>1</v>
      </c>
      <c r="R11" s="1">
        <f>IF(vend30[[#This Row],[Nº Venda]]&gt;1,1,0)</f>
        <v>1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80</v>
      </c>
      <c r="D12" s="30"/>
      <c r="E12" s="77">
        <v>11924</v>
      </c>
      <c r="F12" s="78" t="s">
        <v>402</v>
      </c>
      <c r="G12" s="51" t="s">
        <v>8</v>
      </c>
      <c r="H12" s="39"/>
      <c r="I12" s="39">
        <v>300</v>
      </c>
      <c r="J12" s="30"/>
      <c r="K12" s="33"/>
      <c r="L12" s="33"/>
      <c r="M12" s="33"/>
      <c r="R12" s="1">
        <f>IF(vend30[[#This Row],[Nº Venda]]&gt;1,1,0)</f>
        <v>1</v>
      </c>
    </row>
    <row r="13" spans="2:18" ht="16.5" x14ac:dyDescent="0.3">
      <c r="B13" s="28" t="s">
        <v>8</v>
      </c>
      <c r="C13" s="71">
        <f t="shared" si="0"/>
        <v>1678</v>
      </c>
      <c r="D13" s="30"/>
      <c r="E13" s="77">
        <v>11925</v>
      </c>
      <c r="F13" s="78" t="s">
        <v>402</v>
      </c>
      <c r="G13" s="51" t="s">
        <v>8</v>
      </c>
      <c r="H13" s="39">
        <v>164</v>
      </c>
      <c r="I13" s="39">
        <v>164</v>
      </c>
      <c r="J13" s="30"/>
      <c r="K13" s="102" t="s">
        <v>142</v>
      </c>
      <c r="L13" s="103"/>
      <c r="M13" s="104"/>
      <c r="R13" s="1">
        <f>IF(vend30[[#This Row],[Nº Venda]]&gt;1,1,0)</f>
        <v>1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>
        <v>11926</v>
      </c>
      <c r="F14" s="78" t="s">
        <v>403</v>
      </c>
      <c r="G14" s="51" t="s">
        <v>8</v>
      </c>
      <c r="H14" s="39">
        <v>129</v>
      </c>
      <c r="I14" s="39">
        <v>129</v>
      </c>
      <c r="J14" s="30"/>
      <c r="K14" s="22" t="s">
        <v>22</v>
      </c>
      <c r="L14" s="23" t="s">
        <v>23</v>
      </c>
      <c r="M14" s="24" t="s">
        <v>24</v>
      </c>
      <c r="R14" s="1">
        <f>IF(vend30[[#This Row],[Nº Venda]]&gt;1,1,0)</f>
        <v>1</v>
      </c>
    </row>
    <row r="15" spans="2:18" ht="16.5" x14ac:dyDescent="0.3">
      <c r="B15" s="28" t="s">
        <v>10</v>
      </c>
      <c r="C15" s="71">
        <f t="shared" si="0"/>
        <v>1928.99</v>
      </c>
      <c r="D15" s="30"/>
      <c r="E15" s="77">
        <v>11927</v>
      </c>
      <c r="F15" s="78" t="s">
        <v>403</v>
      </c>
      <c r="G15" s="51" t="s">
        <v>46</v>
      </c>
      <c r="H15" s="39">
        <v>0</v>
      </c>
      <c r="I15" s="39">
        <v>0</v>
      </c>
      <c r="J15" s="30"/>
      <c r="K15" s="77">
        <v>11921</v>
      </c>
      <c r="L15" s="91" t="s">
        <v>131</v>
      </c>
      <c r="M15" s="43" t="s">
        <v>149</v>
      </c>
      <c r="R15" s="1">
        <f>IF(vend30[[#This Row],[Nº Venda]]&gt;1,1,0)</f>
        <v>1</v>
      </c>
    </row>
    <row r="16" spans="2:18" ht="16.5" x14ac:dyDescent="0.3">
      <c r="B16" s="31" t="s">
        <v>11</v>
      </c>
      <c r="C16" s="72">
        <f>SUM(C11:C15)</f>
        <v>3863.49</v>
      </c>
      <c r="D16" s="30"/>
      <c r="E16" s="77">
        <v>11928</v>
      </c>
      <c r="F16" s="78" t="s">
        <v>404</v>
      </c>
      <c r="G16" s="51" t="s">
        <v>10</v>
      </c>
      <c r="H16" s="39">
        <v>379.99</v>
      </c>
      <c r="I16" s="39">
        <v>379.99</v>
      </c>
      <c r="J16" s="30"/>
      <c r="K16" s="77">
        <v>11926</v>
      </c>
      <c r="L16" s="91" t="s">
        <v>129</v>
      </c>
      <c r="M16" s="43" t="s">
        <v>149</v>
      </c>
      <c r="R16" s="1">
        <f>IF(vend30[[#This Row],[Nº Venda]]&gt;1,1,0)</f>
        <v>1</v>
      </c>
    </row>
    <row r="17" spans="2:22" ht="16.5" x14ac:dyDescent="0.3">
      <c r="B17" s="27"/>
      <c r="C17" s="27"/>
      <c r="D17" s="30"/>
      <c r="E17" s="77">
        <v>11929</v>
      </c>
      <c r="F17" s="78" t="s">
        <v>406</v>
      </c>
      <c r="G17" s="51" t="s">
        <v>8</v>
      </c>
      <c r="H17" s="39">
        <v>49</v>
      </c>
      <c r="I17" s="39">
        <v>49</v>
      </c>
      <c r="J17" s="30"/>
      <c r="K17" s="77">
        <v>11923</v>
      </c>
      <c r="L17" s="91" t="s">
        <v>129</v>
      </c>
      <c r="M17" s="43" t="s">
        <v>149</v>
      </c>
      <c r="R17" s="1">
        <f>IF(vend30[[#This Row],[Nº Venda]]&gt;1,1,0)</f>
        <v>1</v>
      </c>
    </row>
    <row r="18" spans="2:22" ht="16.5" x14ac:dyDescent="0.3">
      <c r="B18" s="109" t="s">
        <v>12</v>
      </c>
      <c r="C18" s="110"/>
      <c r="D18" s="30"/>
      <c r="E18" s="77">
        <v>11930</v>
      </c>
      <c r="F18" s="78" t="s">
        <v>408</v>
      </c>
      <c r="G18" s="51" t="s">
        <v>10</v>
      </c>
      <c r="H18" s="39">
        <v>2890</v>
      </c>
      <c r="I18" s="39">
        <v>1000</v>
      </c>
      <c r="J18" s="30"/>
      <c r="K18" s="77">
        <v>11921</v>
      </c>
      <c r="L18" s="91" t="s">
        <v>131</v>
      </c>
      <c r="M18" s="43" t="s">
        <v>149</v>
      </c>
      <c r="R18" s="1">
        <f>IF(vend30[[#This Row],[Nº Venda]]&gt;1,1,0)</f>
        <v>1</v>
      </c>
    </row>
    <row r="19" spans="2:22" ht="16.5" x14ac:dyDescent="0.3">
      <c r="B19" s="28">
        <f>COUNT(entr_carn30[OS])</f>
        <v>0</v>
      </c>
      <c r="C19" s="71">
        <f>SUM(entr_carn30[Valor Total])</f>
        <v>0</v>
      </c>
      <c r="D19" s="30"/>
      <c r="E19" s="77"/>
      <c r="F19" s="78"/>
      <c r="G19" s="51"/>
      <c r="H19" s="39"/>
      <c r="I19" s="39"/>
      <c r="J19" s="30"/>
      <c r="K19" s="77">
        <v>11807</v>
      </c>
      <c r="L19" s="91" t="s">
        <v>129</v>
      </c>
      <c r="M19" s="43" t="s">
        <v>149</v>
      </c>
      <c r="R19" s="1">
        <f>IF(vend30[[#This Row],[Nº Venda]]&gt;1,1,0)</f>
        <v>0</v>
      </c>
    </row>
    <row r="20" spans="2:22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>
        <v>11802</v>
      </c>
      <c r="L20" s="91" t="s">
        <v>129</v>
      </c>
      <c r="M20" s="43" t="s">
        <v>149</v>
      </c>
      <c r="R20" s="1">
        <f>IF(vend30[[#This Row],[Nº Venda]]&gt;1,1,0)</f>
        <v>0</v>
      </c>
    </row>
    <row r="21" spans="2:22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>
        <v>11763</v>
      </c>
      <c r="L21" s="91" t="s">
        <v>131</v>
      </c>
      <c r="M21" s="43" t="s">
        <v>149</v>
      </c>
      <c r="V21" s="1" t="s">
        <v>122</v>
      </c>
    </row>
    <row r="22" spans="2:22" ht="16.5" x14ac:dyDescent="0.3">
      <c r="B22" s="31" t="s">
        <v>25</v>
      </c>
      <c r="C22" s="34">
        <f>C5</f>
        <v>5576.99</v>
      </c>
      <c r="D22" s="30"/>
      <c r="E22" s="79"/>
      <c r="F22" s="78"/>
      <c r="G22" s="51"/>
      <c r="H22" s="39"/>
      <c r="I22" s="39"/>
      <c r="J22" s="30"/>
      <c r="K22" s="77">
        <v>11913</v>
      </c>
      <c r="L22" s="91" t="s">
        <v>129</v>
      </c>
      <c r="M22" s="43" t="s">
        <v>149</v>
      </c>
    </row>
    <row r="23" spans="2:22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22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22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22" ht="16.5" x14ac:dyDescent="0.3">
      <c r="B26" s="30"/>
      <c r="C26" s="30"/>
      <c r="D26" s="30"/>
      <c r="E26" s="77"/>
      <c r="F26" s="78"/>
      <c r="G26" s="51"/>
      <c r="H26" s="39"/>
      <c r="I26" s="39"/>
      <c r="J26" s="30"/>
      <c r="K26" s="77"/>
      <c r="L26" s="91"/>
      <c r="M26" s="43"/>
    </row>
    <row r="27" spans="2:22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22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22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22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22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22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>
        <v>11750</v>
      </c>
      <c r="F35" s="78" t="s">
        <v>167</v>
      </c>
      <c r="G35" s="51" t="s">
        <v>6</v>
      </c>
      <c r="H35" s="39">
        <v>125</v>
      </c>
      <c r="I35" s="39" t="s">
        <v>38</v>
      </c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>
        <v>10620</v>
      </c>
      <c r="F36" s="78" t="s">
        <v>407</v>
      </c>
      <c r="G36" s="51" t="s">
        <v>6</v>
      </c>
      <c r="H36" s="39">
        <v>51.5</v>
      </c>
      <c r="I36" s="39" t="s">
        <v>55</v>
      </c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13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workbookViewId="0"/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'30'!B1+1</f>
        <v>45931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5" t="s">
        <v>0</v>
      </c>
      <c r="C4" s="26">
        <v>0</v>
      </c>
      <c r="D4" s="58"/>
      <c r="E4" s="108" t="s">
        <v>137</v>
      </c>
      <c r="F4" s="108"/>
      <c r="G4" s="108"/>
      <c r="H4" s="108"/>
      <c r="I4" s="108"/>
      <c r="J4" s="30"/>
      <c r="K4" s="102" t="s">
        <v>138</v>
      </c>
      <c r="L4" s="103"/>
      <c r="M4" s="104"/>
    </row>
    <row r="5" spans="2:18" ht="16.5" x14ac:dyDescent="0.3">
      <c r="B5" s="28" t="s">
        <v>1</v>
      </c>
      <c r="C5" s="29">
        <f>SUMIF(I6:I31,"&gt;0",H6:H31)</f>
        <v>0</v>
      </c>
      <c r="D5" s="30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0"/>
      <c r="K5" s="22" t="s">
        <v>18</v>
      </c>
      <c r="L5" s="23" t="s">
        <v>19</v>
      </c>
      <c r="M5" s="24" t="s">
        <v>20</v>
      </c>
    </row>
    <row r="6" spans="2:18" ht="16.5" x14ac:dyDescent="0.3">
      <c r="B6" s="28" t="s">
        <v>2</v>
      </c>
      <c r="C6" s="29">
        <f>C16</f>
        <v>0</v>
      </c>
      <c r="D6" s="30"/>
      <c r="E6" s="77"/>
      <c r="F6" s="78"/>
      <c r="G6" s="51"/>
      <c r="H6" s="39"/>
      <c r="I6" s="39"/>
      <c r="J6" s="30"/>
      <c r="K6" s="78"/>
      <c r="L6" s="91"/>
      <c r="M6" s="43"/>
      <c r="R6" s="1">
        <f>IF(vend31[[#This Row],[Nº Venda]]&gt;1,1,0)</f>
        <v>0</v>
      </c>
    </row>
    <row r="7" spans="2:18" ht="16.5" x14ac:dyDescent="0.3">
      <c r="B7" s="28" t="s">
        <v>3</v>
      </c>
      <c r="C7" s="29">
        <f>SUM(M6:M11)</f>
        <v>0</v>
      </c>
      <c r="D7" s="30"/>
      <c r="E7" s="77"/>
      <c r="F7" s="78"/>
      <c r="G7" s="51"/>
      <c r="H7" s="39"/>
      <c r="I7" s="39"/>
      <c r="J7" s="30"/>
      <c r="K7" s="78"/>
      <c r="L7" s="91"/>
      <c r="M7" s="43"/>
      <c r="R7" s="1">
        <f>IF(vend31[[#This Row],[Nº Venda]]&gt;1,1,0)</f>
        <v>0</v>
      </c>
    </row>
    <row r="8" spans="2:18" ht="16.5" x14ac:dyDescent="0.3">
      <c r="B8" s="31" t="s">
        <v>21</v>
      </c>
      <c r="C8" s="32">
        <f>SUM(C6:C7)</f>
        <v>0</v>
      </c>
      <c r="D8" s="30"/>
      <c r="E8" s="77"/>
      <c r="F8" s="78"/>
      <c r="G8" s="51"/>
      <c r="H8" s="39"/>
      <c r="I8" s="39"/>
      <c r="J8" s="30"/>
      <c r="K8" s="78"/>
      <c r="L8" s="91"/>
      <c r="M8" s="43"/>
      <c r="R8" s="1">
        <f>IF(vend31[[#This Row],[Nº Venda]]&gt;1,1,0)</f>
        <v>0</v>
      </c>
    </row>
    <row r="9" spans="2:18" ht="16.5" x14ac:dyDescent="0.3">
      <c r="B9" s="27"/>
      <c r="C9" s="27"/>
      <c r="D9" s="30"/>
      <c r="E9" s="77"/>
      <c r="F9" s="78"/>
      <c r="G9" s="51"/>
      <c r="H9" s="39"/>
      <c r="I9" s="39"/>
      <c r="J9" s="30"/>
      <c r="K9" s="78"/>
      <c r="L9" s="91"/>
      <c r="M9" s="43"/>
      <c r="R9" s="1">
        <f>IF(vend31[[#This Row],[Nº Venda]]&gt;1,1,0)</f>
        <v>0</v>
      </c>
    </row>
    <row r="10" spans="2:18" ht="16.5" x14ac:dyDescent="0.3">
      <c r="B10" s="109" t="s">
        <v>5</v>
      </c>
      <c r="C10" s="110"/>
      <c r="D10" s="30"/>
      <c r="E10" s="77"/>
      <c r="F10" s="78"/>
      <c r="G10" s="51"/>
      <c r="H10" s="39"/>
      <c r="I10" s="39"/>
      <c r="J10" s="30"/>
      <c r="K10" s="78"/>
      <c r="L10" s="91"/>
      <c r="M10" s="43"/>
      <c r="R10" s="1">
        <f>IF(vend31[[#This Row],[Nº Venda]]&gt;1,1,0)</f>
        <v>0</v>
      </c>
    </row>
    <row r="11" spans="2:18" ht="16.5" x14ac:dyDescent="0.3">
      <c r="B11" s="28" t="s">
        <v>6</v>
      </c>
      <c r="C11" s="71">
        <f>(SUMIF($G$2:$G$31,B11,$I$2:$I$31))+(SUMIF($G$35:$G$41,B11,$H$35:$H$41))</f>
        <v>0</v>
      </c>
      <c r="D11" s="30"/>
      <c r="E11" s="77"/>
      <c r="F11" s="78"/>
      <c r="G11" s="51"/>
      <c r="H11" s="39"/>
      <c r="I11" s="39"/>
      <c r="J11" s="30"/>
      <c r="K11" s="38"/>
      <c r="L11" s="91"/>
      <c r="M11" s="43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28" t="s">
        <v>7</v>
      </c>
      <c r="C12" s="71">
        <f t="shared" ref="C12:C15" si="0">(SUMIF($G$2:$G$31,B12,$I$2:$I$31))+(SUMIF($G$35:$G$41,B12,$H$35:$H$41))</f>
        <v>0</v>
      </c>
      <c r="D12" s="30"/>
      <c r="E12" s="77"/>
      <c r="F12" s="78"/>
      <c r="G12" s="51"/>
      <c r="H12" s="39"/>
      <c r="I12" s="39"/>
      <c r="J12" s="30"/>
      <c r="K12" s="33"/>
      <c r="L12" s="33"/>
      <c r="M12" s="33"/>
      <c r="R12" s="1">
        <f>IF(vend31[[#This Row],[Nº Venda]]&gt;1,1,0)</f>
        <v>0</v>
      </c>
    </row>
    <row r="13" spans="2:18" ht="16.5" x14ac:dyDescent="0.3">
      <c r="B13" s="28" t="s">
        <v>8</v>
      </c>
      <c r="C13" s="71">
        <f t="shared" si="0"/>
        <v>0</v>
      </c>
      <c r="D13" s="30"/>
      <c r="E13" s="77"/>
      <c r="F13" s="78"/>
      <c r="G13" s="51"/>
      <c r="H13" s="39"/>
      <c r="I13" s="39"/>
      <c r="J13" s="30"/>
      <c r="K13" s="102" t="s">
        <v>142</v>
      </c>
      <c r="L13" s="103"/>
      <c r="M13" s="104"/>
      <c r="R13" s="1">
        <f>IF(vend31[[#This Row],[Nº Venda]]&gt;1,1,0)</f>
        <v>0</v>
      </c>
    </row>
    <row r="14" spans="2:18" ht="16.5" x14ac:dyDescent="0.3">
      <c r="B14" s="28" t="s">
        <v>9</v>
      </c>
      <c r="C14" s="71">
        <f t="shared" si="0"/>
        <v>0</v>
      </c>
      <c r="D14" s="30"/>
      <c r="E14" s="77"/>
      <c r="F14" s="78"/>
      <c r="G14" s="51"/>
      <c r="H14" s="39"/>
      <c r="I14" s="39"/>
      <c r="J14" s="30"/>
      <c r="K14" s="22" t="s">
        <v>22</v>
      </c>
      <c r="L14" s="23" t="s">
        <v>23</v>
      </c>
      <c r="M14" s="24" t="s">
        <v>24</v>
      </c>
      <c r="R14" s="1">
        <f>IF(vend31[[#This Row],[Nº Venda]]&gt;1,1,0)</f>
        <v>0</v>
      </c>
    </row>
    <row r="15" spans="2:18" ht="16.5" x14ac:dyDescent="0.3">
      <c r="B15" s="28" t="s">
        <v>10</v>
      </c>
      <c r="C15" s="71">
        <f t="shared" si="0"/>
        <v>0</v>
      </c>
      <c r="D15" s="30"/>
      <c r="E15" s="77"/>
      <c r="F15" s="78"/>
      <c r="G15" s="51"/>
      <c r="H15" s="39"/>
      <c r="I15" s="39"/>
      <c r="J15" s="30"/>
      <c r="K15" s="77"/>
      <c r="L15" s="91"/>
      <c r="M15" s="43"/>
      <c r="R15" s="1">
        <f>IF(vend31[[#This Row],[Nº Venda]]&gt;1,1,0)</f>
        <v>0</v>
      </c>
    </row>
    <row r="16" spans="2:18" ht="16.5" x14ac:dyDescent="0.3">
      <c r="B16" s="31" t="s">
        <v>11</v>
      </c>
      <c r="C16" s="72">
        <f>SUM(C11:C15)</f>
        <v>0</v>
      </c>
      <c r="D16" s="30"/>
      <c r="E16" s="77"/>
      <c r="F16" s="78"/>
      <c r="G16" s="51"/>
      <c r="H16" s="39"/>
      <c r="I16" s="39"/>
      <c r="J16" s="30"/>
      <c r="K16" s="77"/>
      <c r="L16" s="91"/>
      <c r="M16" s="43"/>
      <c r="R16" s="1">
        <f>IF(vend31[[#This Row],[Nº Venda]]&gt;1,1,0)</f>
        <v>0</v>
      </c>
    </row>
    <row r="17" spans="2:18" ht="16.5" x14ac:dyDescent="0.3">
      <c r="B17" s="27"/>
      <c r="C17" s="27"/>
      <c r="D17" s="30"/>
      <c r="E17" s="77"/>
      <c r="F17" s="78"/>
      <c r="G17" s="51"/>
      <c r="H17" s="39"/>
      <c r="I17" s="39"/>
      <c r="J17" s="30"/>
      <c r="K17" s="77"/>
      <c r="L17" s="91"/>
      <c r="M17" s="43"/>
      <c r="R17" s="1">
        <f>IF(vend31[[#This Row],[Nº Venda]]&gt;1,1,0)</f>
        <v>0</v>
      </c>
    </row>
    <row r="18" spans="2:18" ht="16.5" x14ac:dyDescent="0.3">
      <c r="B18" s="109" t="s">
        <v>12</v>
      </c>
      <c r="C18" s="110"/>
      <c r="D18" s="30"/>
      <c r="E18" s="77"/>
      <c r="F18" s="78"/>
      <c r="G18" s="51"/>
      <c r="H18" s="39"/>
      <c r="I18" s="39"/>
      <c r="J18" s="30"/>
      <c r="K18" s="77"/>
      <c r="L18" s="91"/>
      <c r="M18" s="43"/>
      <c r="R18" s="1">
        <f>IF(vend31[[#This Row],[Nº Venda]]&gt;1,1,0)</f>
        <v>0</v>
      </c>
    </row>
    <row r="19" spans="2:18" ht="16.5" x14ac:dyDescent="0.3">
      <c r="B19" s="28">
        <f>COUNT(entr_carn31[OS])</f>
        <v>0</v>
      </c>
      <c r="C19" s="71">
        <f>SUM(entr_carn31[Valor Total])</f>
        <v>0</v>
      </c>
      <c r="D19" s="30"/>
      <c r="E19" s="77"/>
      <c r="F19" s="78"/>
      <c r="G19" s="51"/>
      <c r="H19" s="39"/>
      <c r="I19" s="39"/>
      <c r="J19" s="30"/>
      <c r="K19" s="77"/>
      <c r="L19" s="91"/>
      <c r="M19" s="43"/>
      <c r="R19" s="1">
        <f>IF(vend31[[#This Row],[Nº Venda]]&gt;1,1,0)</f>
        <v>0</v>
      </c>
    </row>
    <row r="20" spans="2:18" ht="16.5" x14ac:dyDescent="0.3">
      <c r="B20" s="31" t="s">
        <v>11</v>
      </c>
      <c r="C20" s="72">
        <f>SUM(C19:C19)</f>
        <v>0</v>
      </c>
      <c r="D20" s="30"/>
      <c r="E20" s="77"/>
      <c r="F20" s="51"/>
      <c r="G20" s="51"/>
      <c r="H20" s="39"/>
      <c r="I20" s="39"/>
      <c r="J20" s="30"/>
      <c r="K20" s="77"/>
      <c r="L20" s="91"/>
      <c r="M20" s="43"/>
      <c r="R20" s="1">
        <f>IF(vend31[[#This Row],[Nº Venda]]&gt;1,1,0)</f>
        <v>0</v>
      </c>
    </row>
    <row r="21" spans="2:18" ht="16.5" x14ac:dyDescent="0.3">
      <c r="B21" s="27"/>
      <c r="C21" s="27"/>
      <c r="D21" s="30"/>
      <c r="E21" s="77"/>
      <c r="F21" s="78"/>
      <c r="G21" s="51"/>
      <c r="H21" s="39"/>
      <c r="I21" s="39"/>
      <c r="J21" s="30"/>
      <c r="K21" s="77"/>
      <c r="L21" s="91"/>
      <c r="M21" s="43"/>
    </row>
    <row r="22" spans="2:18" ht="16.5" x14ac:dyDescent="0.3">
      <c r="B22" s="31" t="s">
        <v>25</v>
      </c>
      <c r="C22" s="34">
        <f>C5</f>
        <v>0</v>
      </c>
      <c r="D22" s="30"/>
      <c r="E22" s="79"/>
      <c r="F22" s="78"/>
      <c r="G22" s="51"/>
      <c r="H22" s="39"/>
      <c r="I22" s="39"/>
      <c r="J22" s="30"/>
      <c r="K22" s="77"/>
      <c r="L22" s="91"/>
      <c r="M22" s="43"/>
    </row>
    <row r="23" spans="2:18" ht="16.5" x14ac:dyDescent="0.3">
      <c r="B23" s="30"/>
      <c r="C23" s="30"/>
      <c r="D23" s="30"/>
      <c r="E23" s="35"/>
      <c r="F23" s="35"/>
      <c r="G23" s="35"/>
      <c r="H23" s="36"/>
      <c r="I23" s="37"/>
      <c r="J23" s="30"/>
      <c r="K23" s="77"/>
      <c r="L23" s="91"/>
      <c r="M23" s="43"/>
    </row>
    <row r="24" spans="2:18" ht="16.5" x14ac:dyDescent="0.3">
      <c r="B24" s="30"/>
      <c r="C24" s="30"/>
      <c r="D24" s="30"/>
      <c r="E24" s="100" t="s">
        <v>139</v>
      </c>
      <c r="F24" s="101"/>
      <c r="G24" s="101"/>
      <c r="H24" s="101"/>
      <c r="I24" s="101"/>
      <c r="J24" s="30"/>
      <c r="K24" s="77"/>
      <c r="L24" s="91"/>
      <c r="M24" s="43"/>
    </row>
    <row r="25" spans="2:18" ht="16.5" x14ac:dyDescent="0.3">
      <c r="B25" s="30"/>
      <c r="C25" s="30"/>
      <c r="D25" s="30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0"/>
      <c r="K25" s="77"/>
      <c r="L25" s="91"/>
      <c r="M25" s="43"/>
    </row>
    <row r="26" spans="2:18" ht="16.5" x14ac:dyDescent="0.3">
      <c r="B26" s="30"/>
      <c r="C26" s="30"/>
      <c r="D26" s="30"/>
      <c r="E26" s="77"/>
      <c r="F26" s="78"/>
      <c r="G26" s="51"/>
      <c r="H26" s="39"/>
      <c r="I26" s="39"/>
      <c r="J26" s="30"/>
      <c r="K26" s="77"/>
      <c r="L26" s="91"/>
      <c r="M26" s="43"/>
    </row>
    <row r="27" spans="2:18" ht="16.5" x14ac:dyDescent="0.3">
      <c r="B27" s="30"/>
      <c r="C27" s="30"/>
      <c r="D27" s="30"/>
      <c r="E27" s="77"/>
      <c r="F27" s="78"/>
      <c r="G27" s="51"/>
      <c r="H27" s="39"/>
      <c r="I27" s="39"/>
      <c r="J27" s="30"/>
      <c r="K27" s="77"/>
      <c r="L27" s="91"/>
      <c r="M27" s="43"/>
    </row>
    <row r="28" spans="2:18" ht="16.5" x14ac:dyDescent="0.3">
      <c r="B28" s="30"/>
      <c r="C28" s="30"/>
      <c r="D28" s="30"/>
      <c r="E28" s="77"/>
      <c r="F28" s="78"/>
      <c r="G28" s="51"/>
      <c r="H28" s="39"/>
      <c r="I28" s="39"/>
      <c r="J28" s="30"/>
      <c r="K28" s="77"/>
      <c r="L28" s="91"/>
      <c r="M28" s="43"/>
    </row>
    <row r="29" spans="2:18" ht="16.5" x14ac:dyDescent="0.3">
      <c r="B29" s="30"/>
      <c r="C29" s="30"/>
      <c r="D29" s="30"/>
      <c r="E29" s="77"/>
      <c r="F29" s="78"/>
      <c r="G29" s="51"/>
      <c r="H29" s="39"/>
      <c r="I29" s="39"/>
      <c r="J29" s="30"/>
      <c r="K29" s="77"/>
      <c r="L29" s="91"/>
      <c r="M29" s="43"/>
    </row>
    <row r="30" spans="2:18" ht="16.5" x14ac:dyDescent="0.3">
      <c r="B30" s="30"/>
      <c r="C30" s="30"/>
      <c r="D30" s="30"/>
      <c r="E30" s="77"/>
      <c r="F30" s="51"/>
      <c r="G30" s="51"/>
      <c r="H30" s="39"/>
      <c r="I30" s="39"/>
      <c r="J30" s="30"/>
      <c r="K30" s="77"/>
      <c r="L30" s="91"/>
      <c r="M30" s="43"/>
    </row>
    <row r="31" spans="2:18" ht="16.5" x14ac:dyDescent="0.3">
      <c r="B31" s="30"/>
      <c r="C31" s="30"/>
      <c r="D31" s="30"/>
      <c r="E31" s="79"/>
      <c r="F31" s="80"/>
      <c r="G31" s="41"/>
      <c r="H31" s="42"/>
      <c r="I31" s="42"/>
      <c r="J31" s="30"/>
      <c r="K31" s="77"/>
      <c r="L31" s="91"/>
      <c r="M31" s="43"/>
    </row>
    <row r="32" spans="2:18" ht="16.5" x14ac:dyDescent="0.3">
      <c r="B32" s="30"/>
      <c r="C32" s="30"/>
      <c r="D32" s="38"/>
      <c r="E32" s="35"/>
      <c r="F32" s="35"/>
      <c r="G32" s="35"/>
      <c r="H32" s="37"/>
      <c r="I32" s="37"/>
      <c r="J32" s="38"/>
      <c r="K32" s="33"/>
      <c r="L32" s="33"/>
      <c r="M32" s="33"/>
    </row>
    <row r="33" spans="2:18" ht="16.5" x14ac:dyDescent="0.3">
      <c r="B33" s="30"/>
      <c r="C33" s="30"/>
      <c r="D33" s="38"/>
      <c r="E33" s="100" t="s">
        <v>140</v>
      </c>
      <c r="F33" s="101"/>
      <c r="G33" s="101"/>
      <c r="H33" s="101"/>
      <c r="I33" s="101"/>
      <c r="J33" s="38"/>
      <c r="K33" s="102" t="s">
        <v>141</v>
      </c>
      <c r="L33" s="103"/>
      <c r="M33" s="104"/>
    </row>
    <row r="34" spans="2:18" ht="16.5" x14ac:dyDescent="0.3">
      <c r="B34" s="38"/>
      <c r="C34" s="38"/>
      <c r="D34" s="38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38"/>
      <c r="K34" s="23" t="s">
        <v>22</v>
      </c>
      <c r="L34" s="22" t="s">
        <v>28</v>
      </c>
      <c r="M34" s="23" t="s">
        <v>29</v>
      </c>
    </row>
    <row r="35" spans="2:18" ht="16.5" customHeight="1" x14ac:dyDescent="0.25">
      <c r="B35" s="38"/>
      <c r="C35" s="38"/>
      <c r="D35" s="38"/>
      <c r="E35" s="77"/>
      <c r="F35" s="78"/>
      <c r="G35" s="51"/>
      <c r="H35" s="39"/>
      <c r="I35" s="39"/>
      <c r="J35" s="38"/>
      <c r="K35" s="77"/>
      <c r="L35" s="77"/>
      <c r="M35" s="91"/>
    </row>
    <row r="36" spans="2:18" ht="16.5" customHeight="1" x14ac:dyDescent="0.25">
      <c r="B36" s="38"/>
      <c r="C36" s="38"/>
      <c r="D36" s="38"/>
      <c r="E36" s="83"/>
      <c r="F36" s="78"/>
      <c r="G36" s="51"/>
      <c r="H36" s="39"/>
      <c r="I36" s="39"/>
      <c r="J36" s="38"/>
      <c r="K36" s="77"/>
      <c r="L36" s="77"/>
      <c r="M36" s="91"/>
    </row>
    <row r="37" spans="2:18" ht="16.5" customHeight="1" x14ac:dyDescent="0.25">
      <c r="B37" s="38"/>
      <c r="C37" s="38"/>
      <c r="D37" s="38"/>
      <c r="E37" s="77"/>
      <c r="F37" s="78"/>
      <c r="G37" s="51"/>
      <c r="H37" s="39"/>
      <c r="I37" s="39"/>
      <c r="J37" s="38"/>
      <c r="K37" s="77"/>
      <c r="L37" s="77"/>
      <c r="M37" s="91"/>
    </row>
    <row r="38" spans="2:18" ht="16.5" customHeight="1" x14ac:dyDescent="0.25">
      <c r="B38" s="38"/>
      <c r="C38" s="38"/>
      <c r="D38" s="38"/>
      <c r="E38" s="77"/>
      <c r="F38" s="78"/>
      <c r="G38" s="51"/>
      <c r="H38" s="39"/>
      <c r="I38" s="39"/>
      <c r="J38" s="38"/>
      <c r="K38" s="77"/>
      <c r="L38" s="77"/>
      <c r="M38" s="91"/>
    </row>
    <row r="39" spans="2:18" ht="16.5" customHeight="1" x14ac:dyDescent="0.25">
      <c r="B39" s="38"/>
      <c r="C39" s="38"/>
      <c r="D39" s="38"/>
      <c r="E39" s="77"/>
      <c r="F39" s="51"/>
      <c r="G39" s="51"/>
      <c r="H39" s="39"/>
      <c r="I39" s="39"/>
      <c r="J39" s="38"/>
      <c r="K39" s="77"/>
      <c r="L39" s="77"/>
      <c r="M39" s="91"/>
    </row>
    <row r="40" spans="2:18" ht="16.5" customHeight="1" x14ac:dyDescent="0.25">
      <c r="B40" s="38"/>
      <c r="C40" s="38"/>
      <c r="D40" s="38"/>
      <c r="E40" s="79"/>
      <c r="F40" s="80"/>
      <c r="G40" s="41"/>
      <c r="H40" s="42"/>
      <c r="I40" s="39"/>
      <c r="J40" s="38"/>
      <c r="K40" s="79"/>
      <c r="L40" s="79"/>
      <c r="M40" s="92"/>
      <c r="Q40" s="1" t="s">
        <v>33</v>
      </c>
      <c r="R40" s="1">
        <f>SUM(R6:R21)</f>
        <v>0</v>
      </c>
    </row>
    <row r="41" spans="2:18" ht="16.5" customHeight="1" x14ac:dyDescent="0.25">
      <c r="B41" s="38"/>
      <c r="C41" s="38"/>
      <c r="D41" s="38"/>
      <c r="E41" s="82"/>
      <c r="F41" s="51"/>
      <c r="G41" s="51"/>
      <c r="H41" s="39"/>
      <c r="I41" s="39"/>
      <c r="J41" s="38"/>
      <c r="K41" s="77"/>
      <c r="L41" s="77"/>
      <c r="M41" s="92"/>
    </row>
    <row r="42" spans="2:18" ht="13.5" x14ac:dyDescent="0.25">
      <c r="B42" s="38"/>
      <c r="C42" s="38"/>
      <c r="D42" s="38"/>
      <c r="E42" s="35"/>
      <c r="F42" s="35"/>
      <c r="G42" s="35"/>
      <c r="H42" s="37"/>
      <c r="I42" s="37"/>
      <c r="J42" s="38"/>
      <c r="K42" s="33"/>
      <c r="L42" s="33"/>
      <c r="M42" s="33"/>
    </row>
    <row r="43" spans="2:18" ht="13.5" x14ac:dyDescent="0.25">
      <c r="B43" s="38"/>
      <c r="C43" s="38"/>
      <c r="D43" s="38"/>
      <c r="E43" s="35"/>
      <c r="F43" s="35"/>
      <c r="G43" s="35"/>
      <c r="H43" s="37"/>
      <c r="I43" s="37"/>
      <c r="J43" s="38"/>
      <c r="K43" s="33"/>
      <c r="L43" s="33"/>
      <c r="M43" s="33"/>
    </row>
    <row r="44" spans="2:18" ht="13.5" x14ac:dyDescent="0.25">
      <c r="B44" s="38"/>
      <c r="C44" s="38"/>
      <c r="D44" s="38"/>
      <c r="E44" s="35"/>
      <c r="F44" s="35"/>
      <c r="G44" s="35"/>
      <c r="H44" s="37"/>
      <c r="I44" s="37"/>
      <c r="J44" s="38"/>
      <c r="K44" s="33"/>
      <c r="L44" s="33"/>
      <c r="M44" s="33"/>
    </row>
    <row r="45" spans="2:18" ht="13.5" x14ac:dyDescent="0.25">
      <c r="B45" s="38"/>
      <c r="C45" s="38"/>
      <c r="D45" s="38"/>
      <c r="E45" s="35"/>
      <c r="F45" s="35"/>
      <c r="G45" s="35"/>
      <c r="H45" s="37"/>
      <c r="I45" s="37"/>
      <c r="J45" s="38"/>
      <c r="K45" s="33"/>
      <c r="L45" s="33"/>
      <c r="M45" s="33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/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9</v>
      </c>
      <c r="B5" s="13" t="s">
        <v>66</v>
      </c>
      <c r="E5" t="s">
        <v>67</v>
      </c>
    </row>
    <row r="6" spans="1:5" x14ac:dyDescent="0.2">
      <c r="A6" s="13" t="s">
        <v>10</v>
      </c>
      <c r="B6" s="13" t="s">
        <v>10</v>
      </c>
      <c r="E6" t="s">
        <v>30</v>
      </c>
    </row>
    <row r="7" spans="1:5" x14ac:dyDescent="0.2">
      <c r="A7" s="13" t="s">
        <v>46</v>
      </c>
      <c r="B7" s="13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3" t="s">
        <v>36</v>
      </c>
      <c r="B9" s="13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2025-10-01T14:43:32Z</cp:lastPrinted>
  <dcterms:created xsi:type="dcterms:W3CDTF">2004-04-07T20:43:43Z</dcterms:created>
  <dcterms:modified xsi:type="dcterms:W3CDTF">2025-10-20T20:32:11Z</dcterms:modified>
  <cp:category/>
  <cp:contentStatus/>
</cp:coreProperties>
</file>