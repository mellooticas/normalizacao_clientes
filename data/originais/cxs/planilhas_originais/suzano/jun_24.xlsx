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/CAIXA/"/>
    </mc:Choice>
  </mc:AlternateContent>
  <xr:revisionPtr revIDLastSave="1210" documentId="13_ncr:1_{5FA582E4-6BEB-40D0-9521-844D0B03B298}" xr6:coauthVersionLast="47" xr6:coauthVersionMax="47" xr10:uidLastSave="{05CEF5AE-EFB6-4AEB-862A-50CFEFFABEAD}"/>
  <bookViews>
    <workbookView xWindow="-120" yWindow="-120" windowWidth="20730" windowHeight="11310" tabRatio="895" activeTab="10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4" r:id="rId26"/>
    <sheet name="26" sheetId="203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3" l="1"/>
  <c r="B1" i="194"/>
  <c r="B1" i="193"/>
  <c r="C19" i="203"/>
  <c r="C20" i="203" s="1"/>
  <c r="B19" i="203"/>
  <c r="C15" i="203"/>
  <c r="C14" i="203"/>
  <c r="C13" i="203"/>
  <c r="C12" i="203"/>
  <c r="C11" i="203"/>
  <c r="C7" i="203"/>
  <c r="C6" i="203"/>
  <c r="C8" i="203" s="1"/>
  <c r="C5" i="203"/>
  <c r="C22" i="203" s="1"/>
  <c r="C12" i="172"/>
  <c r="C13" i="172"/>
  <c r="C14" i="172"/>
  <c r="C15" i="172"/>
  <c r="C11" i="172"/>
  <c r="C16" i="203" l="1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 s="1"/>
  <c r="C12" i="174"/>
  <c r="C13" i="174"/>
  <c r="C14" i="174"/>
  <c r="C15" i="174"/>
  <c r="C12" i="173"/>
  <c r="C13" i="173"/>
  <c r="C14" i="173"/>
  <c r="C15" i="173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1"/>
  <c r="C11" i="170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6" i="174"/>
  <c r="C8" i="174" s="1"/>
  <c r="C6" i="173"/>
  <c r="C6" i="172"/>
  <c r="C8" i="172" s="1"/>
  <c r="C6" i="171"/>
  <c r="C8" i="171" s="1"/>
  <c r="C6" i="170"/>
  <c r="C6" i="103"/>
  <c r="C6" i="178"/>
  <c r="C6" i="177"/>
  <c r="C6" i="176"/>
  <c r="C6" i="180"/>
  <c r="C6" i="182"/>
  <c r="C6" i="183"/>
  <c r="C6" i="181"/>
  <c r="C6" i="179"/>
  <c r="C8" i="179" s="1"/>
  <c r="C6" i="184"/>
  <c r="C6" i="185"/>
  <c r="C6" i="186"/>
  <c r="C6" i="187"/>
  <c r="C6" i="189"/>
  <c r="C8" i="189" s="1"/>
  <c r="C6" i="190"/>
  <c r="C8" i="190" s="1"/>
  <c r="C6" i="191"/>
  <c r="C6" i="188"/>
  <c r="C6" i="193"/>
  <c r="C6" i="194"/>
  <c r="C8" i="194" s="1"/>
  <c r="C6" i="197"/>
  <c r="C8" i="197" s="1"/>
  <c r="C6" i="196"/>
  <c r="C8" i="196" s="1"/>
  <c r="C6" i="192"/>
  <c r="C6" i="199"/>
  <c r="C8" i="199" s="1"/>
  <c r="C6" i="198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Q20" i="171"/>
  <c r="Q19" i="171"/>
  <c r="C19" i="171"/>
  <c r="C20" i="171" s="1"/>
  <c r="B19" i="171"/>
  <c r="Q18" i="171"/>
  <c r="Q17" i="171"/>
  <c r="Q16" i="171"/>
  <c r="Q15" i="171"/>
  <c r="Q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7" l="1"/>
  <c r="C8" i="180"/>
  <c r="C8" i="186"/>
  <c r="C8" i="173"/>
  <c r="C8" i="176"/>
  <c r="C8" i="192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80"/>
  <c r="R40" i="185"/>
  <c r="R40" i="186"/>
  <c r="R40" i="188"/>
  <c r="R40" i="197"/>
  <c r="R40" i="199"/>
  <c r="C8" i="188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  <c r="B1" i="174" l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<sst xmlns="http://schemas.openxmlformats.org/spreadsheetml/2006/main" count="2358" uniqueCount="336">
  <si>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</si>
  <si>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</si>
  <si>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</si>
  <si>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</si>
  <si>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</si>
  <si>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</si>
  <si>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</si>
  <si>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</si>
  <si>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</si>
  <si>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</si>
  <si>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</si>
  <si>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</si>
  <si>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</si>
  <si>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 - Escritório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</si>
  <si>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</si>
  <si>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</si>
  <si>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</si>
  <si>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</si>
  <si>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</si>
  <si>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</si>
  <si>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</si>
  <si>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raphael da silva</t>
  </si>
  <si>
    <t>edneusa aparecida</t>
  </si>
  <si>
    <t>Total  entrada</t>
  </si>
  <si>
    <t>jaqueline dos santos</t>
  </si>
  <si>
    <t>OS Entregue no Dia</t>
  </si>
  <si>
    <t>OS</t>
  </si>
  <si>
    <t>Vendedor</t>
  </si>
  <si>
    <t>CARNE</t>
  </si>
  <si>
    <t>taty</t>
  </si>
  <si>
    <t>Não</t>
  </si>
  <si>
    <t>jocy</t>
  </si>
  <si>
    <t>Sim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</si>
  <si>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</si>
  <si>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</si>
  <si>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</si>
  <si>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</si>
  <si>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</si>
  <si>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</si>
  <si>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</si>
  <si>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Total de OS</t>
  </si>
  <si>
    <t>Fechamento Diário do Caixa</t>
  </si>
  <si>
    <t xml:space="preserve"> V</t>
  </si>
  <si>
    <t>joao bosco</t>
  </si>
  <si>
    <t>v.t  debora</t>
  </si>
  <si>
    <t>dn</t>
  </si>
  <si>
    <t>paulo da paixão</t>
  </si>
  <si>
    <t>viviane de fatima</t>
  </si>
  <si>
    <t>giberto gomes</t>
  </si>
  <si>
    <t>atalibar ximenes</t>
  </si>
  <si>
    <t>SS</t>
  </si>
  <si>
    <t xml:space="preserve">marinete denis dos santos </t>
  </si>
  <si>
    <t>guilherme silva</t>
  </si>
  <si>
    <t>antonio armando</t>
  </si>
  <si>
    <t>PARC. 1/1</t>
  </si>
  <si>
    <t xml:space="preserve">fernando joao </t>
  </si>
  <si>
    <t>PARC. 1/7</t>
  </si>
  <si>
    <t xml:space="preserve">marilu candido </t>
  </si>
  <si>
    <t>GARANTIA</t>
  </si>
  <si>
    <t>maria de souza</t>
  </si>
  <si>
    <t>jocicreide macedo</t>
  </si>
  <si>
    <t>ariani</t>
  </si>
  <si>
    <t>vanderleia viana</t>
  </si>
  <si>
    <t>PARC. 5/6</t>
  </si>
  <si>
    <t>108,,33</t>
  </si>
  <si>
    <t>PARC. 6/6</t>
  </si>
  <si>
    <t>lilian cristina</t>
  </si>
  <si>
    <t>PARC. 1/8</t>
  </si>
  <si>
    <t>jose de araujo</t>
  </si>
  <si>
    <t>marinalva beserra</t>
  </si>
  <si>
    <t>PARC. 5/8</t>
  </si>
  <si>
    <t>PARC. 2/7</t>
  </si>
  <si>
    <t>PARC. 4/7</t>
  </si>
  <si>
    <t>jose roberto</t>
  </si>
  <si>
    <t>garantia</t>
  </si>
  <si>
    <t>fernanda aparecida</t>
  </si>
  <si>
    <t>PARC. 5/5</t>
  </si>
  <si>
    <t>jose carlos furnielles</t>
  </si>
  <si>
    <t>PARC. 2/4</t>
  </si>
  <si>
    <t>hellen vitoria</t>
  </si>
  <si>
    <t>carlos aparecido</t>
  </si>
  <si>
    <t>PARC. 3/8</t>
  </si>
  <si>
    <t>katia maria</t>
  </si>
  <si>
    <t>marilu candida</t>
  </si>
  <si>
    <t>mirian de souza</t>
  </si>
  <si>
    <t>camila andrade</t>
  </si>
  <si>
    <t>PARC. 7/8</t>
  </si>
  <si>
    <t>delcira vieira</t>
  </si>
  <si>
    <t>PARC. 2/2</t>
  </si>
  <si>
    <t>jose santos</t>
  </si>
  <si>
    <t>massae yonamine</t>
  </si>
  <si>
    <t>maria jose</t>
  </si>
  <si>
    <t>rosemeire</t>
  </si>
  <si>
    <t>jocxy</t>
  </si>
  <si>
    <t>maria das dores</t>
  </si>
  <si>
    <t>valdivo pereira</t>
  </si>
  <si>
    <t>maria neuza</t>
  </si>
  <si>
    <t>nivalda rabelo</t>
  </si>
  <si>
    <t>fabiana de souza</t>
  </si>
  <si>
    <t>aparecida maria</t>
  </si>
  <si>
    <t>quezia  de almeida</t>
  </si>
  <si>
    <t>PARC. 1/3</t>
  </si>
  <si>
    <t xml:space="preserve"> </t>
  </si>
  <si>
    <t xml:space="preserve">        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</si>
  <si>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</si>
  <si>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</si>
  <si>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</si>
  <si>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</si>
  <si>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</si>
  <si>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</si>
  <si>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</si>
  <si>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Parcelado Cartão Crédito</t>
  </si>
  <si>
    <t>PARC. 2/3</t>
  </si>
  <si>
    <t>Sem Sinal</t>
  </si>
  <si>
    <t>PARC. 3/3</t>
  </si>
  <si>
    <t xml:space="preserve">Carne </t>
  </si>
  <si>
    <t>PARC. 1/4</t>
  </si>
  <si>
    <t>Todas as Garantias</t>
  </si>
  <si>
    <t>PARC. 3/4</t>
  </si>
  <si>
    <t>PARC. 4/4</t>
  </si>
  <si>
    <t>PARC. 1/5</t>
  </si>
  <si>
    <t>PARC. 2/5</t>
  </si>
  <si>
    <t>PARC. 3/5</t>
  </si>
  <si>
    <t>PARC. 4/5</t>
  </si>
  <si>
    <t>PARC. 1/6</t>
  </si>
  <si>
    <t>PARC. 2/6</t>
  </si>
  <si>
    <t>PARC. 3/6</t>
  </si>
  <si>
    <t>PARC. 4/6</t>
  </si>
  <si>
    <t>PARC. 3/7</t>
  </si>
  <si>
    <t>PARC. 5/7</t>
  </si>
  <si>
    <t>PARC. 6/7</t>
  </si>
  <si>
    <t>PARC. 7/7</t>
  </si>
  <si>
    <t>PARC. 2/8</t>
  </si>
  <si>
    <t>PARC. 4/8</t>
  </si>
  <si>
    <t>PARC. 6/8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</si>
  <si>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</si>
  <si>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</si>
  <si>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</si>
  <si>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</si>
  <si>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</si>
  <si>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</si>
  <si>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</si>
  <si>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</si>
  <si>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</si>
  <si>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</si>
  <si>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</si>
  <si>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</si>
  <si>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</si>
  <si>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</si>
  <si>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</si>
  <si>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</si>
  <si>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</si>
  <si>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</si>
  <si>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</si>
  <si>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</si>
  <si>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</si>
  <si>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</si>
  <si>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</si>
  <si>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</si>
  <si>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</si>
  <si>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</si>
  <si>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</si>
  <si>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</si>
  <si>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</si>
  <si>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</si>
  <si>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</si>
  <si>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</si>
  <si>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</si>
  <si>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</si>
  <si>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</si>
  <si>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</si>
  <si>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</si>
  <si>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</si>
  <si>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</si>
  <si>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</si>
  <si>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</si>
  <si>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</si>
  <si>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</si>
  <si>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albertina da costa</t>
  </si>
  <si>
    <t xml:space="preserve">kaio gabriel </t>
  </si>
  <si>
    <t>marinalva bezerra</t>
  </si>
  <si>
    <t>arlete vieira</t>
  </si>
  <si>
    <t>benedito oliveira</t>
  </si>
  <si>
    <t>rejane martiniano</t>
  </si>
  <si>
    <t>anna karolina</t>
  </si>
  <si>
    <t>marilu candido</t>
  </si>
  <si>
    <t>wilson rodrigues</t>
  </si>
  <si>
    <t>maria aparecida</t>
  </si>
  <si>
    <t>jesus ricardo</t>
  </si>
  <si>
    <t>izildinha aparecida</t>
  </si>
  <si>
    <t xml:space="preserve">eufrasia de souza </t>
  </si>
  <si>
    <t>miriam watanabe</t>
  </si>
  <si>
    <t>eunice lopes</t>
  </si>
  <si>
    <t>sandra regina valdagno</t>
  </si>
  <si>
    <t xml:space="preserve">douglas prieto </t>
  </si>
  <si>
    <t>joão lucas da silva junior</t>
  </si>
  <si>
    <t>alessandra g de oliveira</t>
  </si>
  <si>
    <t xml:space="preserve">joana maria </t>
  </si>
  <si>
    <t>não</t>
  </si>
  <si>
    <t>felipe</t>
  </si>
  <si>
    <t>isaias xavier</t>
  </si>
  <si>
    <t>atemilsom</t>
  </si>
  <si>
    <t>gabrielle beserra</t>
  </si>
  <si>
    <t>ariane</t>
  </si>
  <si>
    <t>izabel dos santos</t>
  </si>
  <si>
    <t>claudenor de jesus</t>
  </si>
  <si>
    <t>andressa souza</t>
  </si>
  <si>
    <t xml:space="preserve">ellen cristina </t>
  </si>
  <si>
    <t>valdineia molina</t>
  </si>
  <si>
    <t>alvaro rodrigues</t>
  </si>
  <si>
    <t>leonardo dos santos</t>
  </si>
  <si>
    <t>fabiana alves</t>
  </si>
  <si>
    <t>gabriela mayara</t>
  </si>
  <si>
    <t>teresinha de fatima</t>
  </si>
  <si>
    <t>joao soares</t>
  </si>
  <si>
    <t>larissa yuka</t>
  </si>
  <si>
    <t>PEDRO BRASIL</t>
  </si>
  <si>
    <t>BENEDITO DA SILVA</t>
  </si>
  <si>
    <t>FABIANA ALVES</t>
  </si>
  <si>
    <t>CRISTIANE DE CASSIA</t>
  </si>
  <si>
    <t>RENAN BALBINO</t>
  </si>
  <si>
    <t>ARIANI</t>
  </si>
  <si>
    <t>MARINALVA BEZERRA</t>
  </si>
  <si>
    <t>SUELY PEREIRA</t>
  </si>
  <si>
    <t>SIMOME IGNACIIO</t>
  </si>
  <si>
    <t>miguel quedas</t>
  </si>
  <si>
    <t>antonio rodrigues</t>
  </si>
  <si>
    <t>delzuina de souza</t>
  </si>
  <si>
    <t>benedito gava</t>
  </si>
  <si>
    <t>elenice alves</t>
  </si>
  <si>
    <t>ueodi de souza</t>
  </si>
  <si>
    <t>gilberto gomes</t>
  </si>
  <si>
    <t>silvia maria</t>
  </si>
  <si>
    <t>maria imaculada</t>
  </si>
  <si>
    <t>arnelina de souza</t>
  </si>
  <si>
    <t xml:space="preserve">extensão </t>
  </si>
  <si>
    <t>angelica maria</t>
  </si>
  <si>
    <t>misma oliveira</t>
  </si>
  <si>
    <t>claudia rocha</t>
  </si>
  <si>
    <t>sandra regina</t>
  </si>
  <si>
    <t>adriana victorino</t>
  </si>
  <si>
    <t>edvaldo bispo</t>
  </si>
  <si>
    <t>rosinete tavares</t>
  </si>
  <si>
    <t>sandra fernandes</t>
  </si>
  <si>
    <t>marcos antonio</t>
  </si>
  <si>
    <t>vania campos</t>
  </si>
  <si>
    <t>antonio benedito</t>
  </si>
  <si>
    <t>viviane eleuterio</t>
  </si>
  <si>
    <t>quispe sosa</t>
  </si>
  <si>
    <t>velderese evaristo</t>
  </si>
  <si>
    <t>marisa de araujo</t>
  </si>
  <si>
    <t>thais furushima</t>
  </si>
  <si>
    <t>valvi costa</t>
  </si>
  <si>
    <t>noemi regina</t>
  </si>
  <si>
    <t>sara de quadros</t>
  </si>
  <si>
    <t>carmelina</t>
  </si>
  <si>
    <t>elen shechticiue</t>
  </si>
  <si>
    <t>maria de lourdes</t>
  </si>
  <si>
    <t>tatiane gomes</t>
  </si>
  <si>
    <t>patricia dos santos</t>
  </si>
  <si>
    <t>maria rosa</t>
  </si>
  <si>
    <t>mario nezmah</t>
  </si>
  <si>
    <t>luizde araujo</t>
  </si>
  <si>
    <t>sarah carolina</t>
  </si>
  <si>
    <t>envelopes</t>
  </si>
  <si>
    <t>sebastiao pereira</t>
  </si>
  <si>
    <t>hendrix willian</t>
  </si>
  <si>
    <t>manuela auzebio</t>
  </si>
  <si>
    <t xml:space="preserve">carmelina </t>
  </si>
  <si>
    <t>liliane coelho</t>
  </si>
  <si>
    <t>SHIRLEI FACULDADE</t>
  </si>
  <si>
    <t>FREDERICO MASASH</t>
  </si>
  <si>
    <t>WILSON BRAGA</t>
  </si>
  <si>
    <t>NOEMI REGINA</t>
  </si>
  <si>
    <t>PAULO DO CARMO</t>
  </si>
  <si>
    <t>MATHEUS LEONARDO</t>
  </si>
  <si>
    <t>MARIA ALVES</t>
  </si>
  <si>
    <t>JOCY</t>
  </si>
  <si>
    <t>CARLOS ALBERTO</t>
  </si>
  <si>
    <t>JUAN NILSON</t>
  </si>
  <si>
    <t>ZENILVA AUGUSTA</t>
  </si>
  <si>
    <t>alercio serafim</t>
  </si>
  <si>
    <t>valdenice dias</t>
  </si>
  <si>
    <t>bruno da silva</t>
  </si>
  <si>
    <t>thais eduarda</t>
  </si>
  <si>
    <t>manuel liberati</t>
  </si>
  <si>
    <t xml:space="preserve">ivanildo carvalho </t>
  </si>
  <si>
    <t xml:space="preserve">maria neide </t>
  </si>
  <si>
    <t>gabriele rosa</t>
  </si>
  <si>
    <t xml:space="preserve">silvia regina </t>
  </si>
  <si>
    <t>carolina setti</t>
  </si>
  <si>
    <t>joselma ferreira</t>
  </si>
  <si>
    <t>andre alves</t>
  </si>
  <si>
    <t xml:space="preserve">camila andrade </t>
  </si>
  <si>
    <t>veronice ciberlina</t>
  </si>
  <si>
    <t>RENILZA DA SILVA</t>
  </si>
  <si>
    <t xml:space="preserve">marcos luis gusmão </t>
  </si>
  <si>
    <t>rita de cassia</t>
  </si>
  <si>
    <t>simone fragnan</t>
  </si>
  <si>
    <t>gustavo andrade</t>
  </si>
  <si>
    <t>rosana mabel</t>
  </si>
  <si>
    <t>paulo barbosa</t>
  </si>
  <si>
    <t>helena rodrigues</t>
  </si>
  <si>
    <t>ailton barbosa</t>
  </si>
  <si>
    <t>frederico masashi</t>
  </si>
  <si>
    <t>lucelia da rocha</t>
  </si>
  <si>
    <t>guiseppe maza</t>
  </si>
  <si>
    <t>eliana  saboia</t>
  </si>
  <si>
    <t>elza de paula</t>
  </si>
  <si>
    <t>silas diego</t>
  </si>
  <si>
    <t>benedito de almeida</t>
  </si>
  <si>
    <t>silvia rozendo</t>
  </si>
  <si>
    <t>vera maria</t>
  </si>
  <si>
    <t>rodrigo dos santos</t>
  </si>
  <si>
    <t>monica miyasshiro</t>
  </si>
  <si>
    <t>douglas shimiz</t>
  </si>
  <si>
    <t>monica mamani</t>
  </si>
  <si>
    <t>andrea alves</t>
  </si>
  <si>
    <t>gilvania maria</t>
  </si>
  <si>
    <t xml:space="preserve">cicero francisco </t>
  </si>
  <si>
    <t>nilson amancio</t>
  </si>
  <si>
    <t>nilson amancio filho</t>
  </si>
  <si>
    <t>teruyo otami</t>
  </si>
  <si>
    <t xml:space="preserve">osmando silveira </t>
  </si>
  <si>
    <t>jucimeire barbosa</t>
  </si>
  <si>
    <t>vitoriano pereira</t>
  </si>
  <si>
    <t>stefany aparecida</t>
  </si>
  <si>
    <t>luiza jaqueline</t>
  </si>
  <si>
    <t xml:space="preserve">ana maria </t>
  </si>
  <si>
    <t>ana cristina</t>
  </si>
  <si>
    <t>giovana froes</t>
  </si>
  <si>
    <t>gilmar lopes</t>
  </si>
  <si>
    <t>rosimeire  silva</t>
  </si>
  <si>
    <t>68,,57</t>
  </si>
  <si>
    <t xml:space="preserve">Veraci heloisa </t>
  </si>
  <si>
    <t xml:space="preserve">llian coelho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</si>
</sst>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sz val="12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b/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34" fillId="0" borderId="17" xfId="0" applyNumberFormat="1" applyFont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8" fillId="0" borderId="17" xfId="0" applyNumberFormat="1" applyFont="1" applyBorder="1" applyAlignment="1">
      <alignment horizontal="center"/>
    </xf>
    <xf numFmtId="165" fontId="38" fillId="0" borderId="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/>
    </xf>
    <xf numFmtId="14" fontId="39" fillId="0" borderId="0" xfId="0" applyNumberFormat="1" applyFont="1" applyAlignment="1">
      <alignment horizontal="center"/>
    </xf>
    <xf numFmtId="165" fontId="38" fillId="0" borderId="17" xfId="4" applyNumberFormat="1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0" fillId="5" borderId="0" xfId="2" applyFont="1" applyFill="1" applyBorder="1" applyAlignment="1">
      <alignment horizontal="center"/>
    </xf>
    <xf numFmtId="14" fontId="40" fillId="0" borderId="0" xfId="0" applyNumberFormat="1" applyFont="1" applyAlignment="1">
      <alignment horizontal="center"/>
    </xf>
    <xf numFmtId="0" fontId="30" fillId="0" borderId="17" xfId="4" applyNumberFormat="1" applyFont="1" applyFill="1" applyBorder="1" applyAlignment="1">
      <alignment horizontal="center"/>
    </xf>
    <xf numFmtId="0" fontId="41" fillId="0" borderId="13" xfId="0" applyFont="1" applyBorder="1" applyAlignment="1">
      <alignment horizontal="center"/>
    </xf>
    <xf numFmtId="164" fontId="36" fillId="0" borderId="13" xfId="2" applyFont="1" applyFill="1" applyBorder="1" applyAlignment="1">
      <alignment horizontal="center"/>
    </xf>
    <xf numFmtId="164" fontId="38" fillId="0" borderId="13" xfId="2" applyFont="1" applyFill="1" applyBorder="1" applyAlignment="1">
      <alignment horizontal="center"/>
    </xf>
    <xf numFmtId="165" fontId="38" fillId="0" borderId="13" xfId="4" applyNumberFormat="1" applyFont="1" applyFill="1" applyBorder="1" applyAlignment="1">
      <alignment horizontal="center"/>
    </xf>
    <xf numFmtId="0" fontId="42" fillId="0" borderId="17" xfId="0" applyFont="1" applyBorder="1" applyAlignment="1">
      <alignment horizontal="center"/>
    </xf>
    <xf numFmtId="0" fontId="43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0" fontId="41" fillId="0" borderId="17" xfId="0" applyFont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0" fontId="31" fillId="0" borderId="13" xfId="39" applyNumberFormat="1" applyFont="1" applyFill="1" applyBorder="1" applyAlignment="1">
      <alignment horizontal="center"/>
    </xf>
    <xf numFmtId="164" fontId="30" fillId="0" borderId="3" xfId="2" applyFont="1" applyFill="1" applyBorder="1" applyAlignment="1">
      <alignment horizontal="center"/>
    </xf>
    <xf numFmtId="164" fontId="24" fillId="0" borderId="3" xfId="2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  <xf numFmtId="0" fontId="10" fillId="7" borderId="5" xfId="0" applyFont="1" applyFill="1" applyBorder="1" applyAlignment="1">
      <alignment horizontal="center"/>
    </xf>
    <xf numFmtId="0" fontId="10" fillId="7" borderId="4" xfId="0" applyFont="1" applyFill="1" applyBorder="1" applyAlignment="1">
      <alignment horizontal="center"/>
    </xf>
    <xf numFmtId="0" fontId="10" fillId="7" borderId="12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0" headerRowBorderDxfId="1639" tableBorderDxfId="1638" totalsRowBorderDxfId="1637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6" dataCellStyle="Moeda"/>
    <tableColumn id="5" xr3:uid="{45BECD08-8ABE-4A34-BD78-E2D3AFB8C62A}" name="Cliente" dataDxfId="1635" dataCellStyle="Moeda"/>
    <tableColumn id="2" xr3:uid="{A0D6666C-9CF7-4343-AF6B-BDFE62F94469}" name="Forma de Pgto" dataDxfId="1634" dataCellStyle="Moeda"/>
    <tableColumn id="3" xr3:uid="{988F127F-9D83-4428-BB94-C16FBBB1BD89}" name="Valor Venda" dataDxfId="1633" dataCellStyle="Porcentagem"/>
    <tableColumn id="4" xr3:uid="{6A2928C3-17B0-4FA3-B60C-9E1A2C0324E1}" name="Entrada" dataDxfId="1632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1" dataDxfId="1629" headerRowBorderDxfId="1630" tableBorderDxfId="1628" totalsRowBorderDxfId="1627">
  <autoFilter ref="K5:M11" xr:uid="{DD403130-B35C-452C-92F9-290622D77A3D}"/>
  <tableColumns count="3">
    <tableColumn id="1" xr3:uid="{FAD87634-3375-4B41-BEC0-5B072F6B52CE}" name="Descrição" dataDxfId="1626"/>
    <tableColumn id="2" xr3:uid="{7688071E-9548-4552-8BB1-3BA5128DF645}" name="Tipo de Pagto" dataDxfId="1625"/>
    <tableColumn id="3" xr3:uid="{2B260C33-79A5-4C5D-9195-15780C53A861}" name="Valor" dataDxfId="16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3" headerRowBorderDxfId="1622" tableBorderDxfId="1621" totalsRowBorderDxfId="1620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9"/>
    <tableColumn id="2" xr3:uid="{606BE417-6802-4580-90D2-86F95EFAAEB7}" name="Cliente" dataDxfId="1618"/>
    <tableColumn id="3" xr3:uid="{2F522A54-F708-4DA3-97E3-CE7C29912E04}" name="Forma de Pgto" dataDxfId="1617" dataCellStyle="Moeda"/>
    <tableColumn id="4" xr3:uid="{7B46EE64-F7F1-4449-A783-67286A94A7C4}" name="Valor Venda" dataDxfId="1616" dataCellStyle="Porcentagem"/>
    <tableColumn id="5" xr3:uid="{389A7D1A-3C35-485E-9958-8A78EF77BE9B}" name="Entrada" dataDxfId="1615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4" headerRowBorderDxfId="1613" tableBorderDxfId="1612" totalsRowBorderDxfId="1611">
  <autoFilter ref="K14:M31" xr:uid="{F07D43AD-1A4D-4B31-96B8-824F8623E518}"/>
  <tableColumns count="3">
    <tableColumn id="1" xr3:uid="{3AF01421-A7B6-4D23-9DA8-C20FAFAFDD9C}" name="OS" dataDxfId="1610"/>
    <tableColumn id="2" xr3:uid="{55DCC30E-EB52-427E-A16A-B2C93A41F1CE}" name="Vendedor" dataDxfId="1609"/>
    <tableColumn id="3" xr3:uid="{23EDA46C-42B4-4F6C-97D9-7040D6B9797C}" name="CARNE" dataDxfId="16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7" headerRowBorderDxfId="1606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5" totalsRowShown="0" headerRowDxfId="1449" dataDxfId="1447" headerRowBorderDxfId="1448" tableBorderDxfId="1446" totalsRowBorderDxfId="1445">
  <autoFilter ref="E34:I45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5" headerRowBorderDxfId="1236" tableBorderDxfId="1234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67" dataCellStyle="Moeda"/>
    <tableColumn id="5" xr3:uid="{FA1FA1DC-5352-4524-9AB2-369222C4BDD1}" name="Cliente" dataDxfId="366" dataCellStyle="Moeda"/>
    <tableColumn id="2" xr3:uid="{A73B5E06-AB1F-48ED-B61C-8853446A4F5E}" name="Forma de Pgto" dataDxfId="365" dataCellStyle="Moeda"/>
    <tableColumn id="3" xr3:uid="{E5231A7F-7D20-4503-A786-BF9FC0E23F42}" name="Valor Venda" dataDxfId="364" dataCellStyle="Porcentagem"/>
    <tableColumn id="4" xr3:uid="{86DAF072-A11E-464D-A335-9A5F5FF09F8D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0C299E65-9391-4336-8CF7-2EC1702B221E}" name="Descrição" dataDxfId="357"/>
    <tableColumn id="2" xr3:uid="{45EA8371-50DD-4161-8CE6-AE739B48843A}" name="Tipo de Pagto" dataDxfId="356"/>
    <tableColumn id="3" xr3:uid="{4D98764C-873C-4A32-9ABD-121372723463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349"/>
    <tableColumn id="2" xr3:uid="{212BE65F-3FA5-419B-B9A4-58240EFDEBFA}" name="Cliente" dataDxfId="348"/>
    <tableColumn id="3" xr3:uid="{1EE1E2AC-25F1-4013-8D38-A0638CF454DB}" name="Forma de Pgto" dataDxfId="347" dataCellStyle="Moeda"/>
    <tableColumn id="4" xr3:uid="{38D98562-880F-4C00-A26B-F40D7F6C9E67}" name="Valor Venda" dataDxfId="346" dataCellStyle="Porcentagem"/>
    <tableColumn id="5" xr3:uid="{183B778F-EB01-4FDA-BD28-D4D361F688C4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21BA2342-0EF4-4D12-8CEB-D5F98AF1E43D}" name="OS" dataDxfId="339"/>
    <tableColumn id="2" xr3:uid="{8EC3F5A2-9325-43BD-A364-C3D24B7F492B}" name="Vendedor" dataDxfId="338"/>
    <tableColumn id="3" xr3:uid="{60B7BB21-2E30-4BF0-9109-7C61A6F8023E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331"/>
    <tableColumn id="2" xr3:uid="{FEC021D0-C21F-4087-AA46-92F79B0BD15C}" name="Cliente" dataDxfId="330"/>
    <tableColumn id="3" xr3:uid="{B057DFD4-3A13-40AD-95B0-7A4A6D2F12EA}" name="Forma de Pgto" dataDxfId="329" dataCellStyle="Moeda"/>
    <tableColumn id="4" xr3:uid="{8571FA4F-3615-40B7-87DD-4A3572C756ED}" name="Valor Parcela" dataDxfId="328" dataCellStyle="Porcentagem"/>
    <tableColumn id="5" xr3:uid="{32F42922-7FF4-44E6-8FE1-CF1D84ED2607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326" headerRowBorderDxfId="325" tableBorderDxfId="324" totalsRowBorderDxfId="323">
  <autoFilter ref="K34:M41" xr:uid="{1B8643D4-6AC3-4029-882A-C62E9D7CB225}"/>
  <tableColumns count="3">
    <tableColumn id="1" xr3:uid="{239C8B86-39AD-48DE-8CD4-9E298F831595}" name="OS" dataDxfId="322"/>
    <tableColumn id="2" xr3:uid="{52A4913C-562E-40FD-8422-19A5A2E9F3E9}" name="Parcelas" dataDxfId="321"/>
    <tableColumn id="3" xr3:uid="{A2980378-BECE-4786-B65D-94F14F69AE6B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5" xr:uid="{1FB49D34-5FA0-42AA-849D-3EA225DA3BCC}" name="vend26206" displayName="vend26206" ref="E5:I22" totalsRowShown="0" headerRowDxfId="319" dataDxfId="317" headerRowBorderDxfId="318" tableBorderDxfId="316" totalsRowBorderDxfId="315">
  <autoFilter ref="E5:I22" xr:uid="{1FB49D34-5FA0-42AA-849D-3EA225DA3BCC}"/>
  <sortState xmlns:xlrd2="http://schemas.microsoft.com/office/spreadsheetml/2017/richdata2" ref="E6:I22">
    <sortCondition ref="E5:E22"/>
  </sortState>
  <tableColumns count="5">
    <tableColumn id="1" xr3:uid="{E7F17ED8-5D23-4973-BE72-AAD2B3D3345C}" name="Nº Venda" dataDxfId="314" dataCellStyle="Moeda"/>
    <tableColumn id="5" xr3:uid="{FEACA0F6-38F5-4DC1-ADEA-E1F8E7FD051C}" name="Cliente" dataDxfId="313" dataCellStyle="Moeda"/>
    <tableColumn id="2" xr3:uid="{88005047-9C96-4505-BAD3-42FD0C5A85C1}" name="Forma de Pgto" dataDxfId="312" dataCellStyle="Moeda"/>
    <tableColumn id="3" xr3:uid="{2F3473A1-453E-436C-80A5-BADB051B01A2}" name="Valor Venda" dataDxfId="311" dataCellStyle="Porcentagem"/>
    <tableColumn id="4" xr3:uid="{5321DF55-9E46-478B-A885-E8155F0C2081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6" xr:uid="{756A5DDD-56C8-4709-B97A-C2E520BAD247}" name="desp26207" displayName="desp26207" ref="K5:M11" totalsRowShown="0" headerRowDxfId="309" dataDxfId="307" headerRowBorderDxfId="308" tableBorderDxfId="306" totalsRowBorderDxfId="305">
  <autoFilter ref="K5:M11" xr:uid="{756A5DDD-56C8-4709-B97A-C2E520BAD247}"/>
  <tableColumns count="3">
    <tableColumn id="1" xr3:uid="{260A9801-61D6-4FE7-AFB6-9A4DA3DD2EC5}" name="Descrição" dataDxfId="304"/>
    <tableColumn id="2" xr3:uid="{2C28D394-58ED-4E8A-BC89-9D9C37B01F75}" name="Tipo de Pagto" dataDxfId="303"/>
    <tableColumn id="3" xr3:uid="{A7940F89-EBA0-4D77-9CD9-E32874B3A614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7" xr:uid="{CC307982-5D62-4EF8-8E35-FBC6CA0CB8B7}" name="rest_entr26208" displayName="rest_entr26208" ref="E25:I31" totalsRowShown="0" headerRowDxfId="301" dataDxfId="299" headerRowBorderDxfId="300" tableBorderDxfId="298" totalsRowBorderDxfId="297">
  <autoFilter ref="E25:I31" xr:uid="{CC307982-5D62-4EF8-8E35-FBC6CA0CB8B7}"/>
  <sortState xmlns:xlrd2="http://schemas.microsoft.com/office/spreadsheetml/2017/richdata2" ref="E26:I31">
    <sortCondition ref="E25:E31"/>
  </sortState>
  <tableColumns count="5">
    <tableColumn id="1" xr3:uid="{49D5B6C1-485B-46FF-80D6-2A7140A691A6}" name="Nº Venda" dataDxfId="296"/>
    <tableColumn id="2" xr3:uid="{8A8AEA03-AC40-4EF0-8B2B-6BCC4B3EE08B}" name="Cliente" dataDxfId="295"/>
    <tableColumn id="3" xr3:uid="{D8B118E3-18D3-47B5-A2BD-2A277195EF22}" name="Forma de Pgto" dataDxfId="294" dataCellStyle="Moeda"/>
    <tableColumn id="4" xr3:uid="{7C5BD3AE-61A7-4FDA-9816-75EBDF800719}" name="Valor Venda" dataDxfId="293" dataCellStyle="Porcentagem"/>
    <tableColumn id="5" xr3:uid="{026DFCCE-FD7E-4F2F-A1A0-223470866647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8" xr:uid="{373FBA3A-7979-4C79-9AD4-790CA9994343}" name="os_entr_dia26209" displayName="os_entr_dia26209" ref="K14:M31" totalsRowShown="0" headerRowDxfId="291" dataDxfId="289" headerRowBorderDxfId="290" tableBorderDxfId="288" totalsRowBorderDxfId="287">
  <autoFilter ref="K14:M31" xr:uid="{373FBA3A-7979-4C79-9AD4-790CA9994343}"/>
  <tableColumns count="3">
    <tableColumn id="1" xr3:uid="{8C236CF6-9A47-4AD4-AB5B-6EB6A778A8F5}" name="OS" dataDxfId="286"/>
    <tableColumn id="2" xr3:uid="{74066BBF-1FC0-48E8-B57A-D0E3687BDDAB}" name="Vendedor" dataDxfId="285"/>
    <tableColumn id="3" xr3:uid="{036C99B8-D6EE-4E73-A8FB-7A4386487A75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9" xr:uid="{D7F122CE-533B-4C03-A6A5-C52E43210504}" name="rec_carn26210" displayName="rec_carn26210" ref="E34:I41" totalsRowShown="0" headerRowDxfId="283" dataDxfId="281" headerRowBorderDxfId="282" tableBorderDxfId="280" totalsRowBorderDxfId="279">
  <autoFilter ref="E34:I41" xr:uid="{D7F122CE-533B-4C03-A6A5-C52E43210504}"/>
  <sortState xmlns:xlrd2="http://schemas.microsoft.com/office/spreadsheetml/2017/richdata2" ref="E35:I40">
    <sortCondition ref="E25:E31"/>
  </sortState>
  <tableColumns count="5">
    <tableColumn id="1" xr3:uid="{C738B152-8549-4EA1-8F4A-092C0A5CB43F}" name="OS" dataDxfId="278"/>
    <tableColumn id="2" xr3:uid="{CE513FCB-258E-4151-83A9-97486D13D1B5}" name="Cliente" dataDxfId="277"/>
    <tableColumn id="3" xr3:uid="{98B78187-80A8-4EB7-A8F9-8BB63FB9754B}" name="Forma de Pgto" dataDxfId="276" dataCellStyle="Moeda"/>
    <tableColumn id="4" xr3:uid="{5690DC29-EFC7-4058-8662-C06EFDF614D4}" name="Valor Parcela" dataDxfId="275" dataCellStyle="Porcentagem"/>
    <tableColumn id="5" xr3:uid="{655E772D-CE5B-4496-8AC2-7A4AC45A963A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0" xr:uid="{8253C36F-B624-4454-9AF9-6F39473371BB}" name="entr_carn26211" displayName="entr_carn26211" ref="K34:M41" totalsRowShown="0" headerRowDxfId="273" headerRowBorderDxfId="272" tableBorderDxfId="271" totalsRowBorderDxfId="270">
  <autoFilter ref="K34:M41" xr:uid="{8253C36F-B624-4454-9AF9-6F39473371BB}"/>
  <tableColumns count="3">
    <tableColumn id="1" xr3:uid="{D0FB8EF9-0725-46E8-AA7F-17A3A8D21A71}" name="OS" dataDxfId="269"/>
    <tableColumn id="2" xr3:uid="{1A27818E-E505-4946-BA5C-553717A94579}" name="Parcelas" dataDxfId="268"/>
    <tableColumn id="3" xr3:uid="{24BC9AB4-1E73-40D3-AD97-D3EAB2237F1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2:B18"/>
  <sheetViews>
    <sheetView workbookViewId="0">
      <selection activeCell="D10" sqref="D10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0</v>
      </c>
      <c r="B2" s="80">
        <v>0</v>
      </c>
    </row>
    <row r="3" spans="1:2" ht="15" x14ac:dyDescent="0.25">
      <c r="A3" s="23" t="s">
        <v>1</v>
      </c>
      <c r="B3" s="24" t="e">
        <f>SUM('01'!C5,'02'!C5,'03'!C5,'04'!C5,'05'!C5,'06'!C5,'07'!C5,'08'!C5,'09'!C5,'10'!C5,'11'!C5,'12'!C5,'13'!C5,'14'!C5,'15'!C5,'16'!C5,'17'!C5,'18'!C5,'19'!C5,'20'!C5,'21'!C5,'22'!C5,'23'!C5,'24'!C5,#REF!,'25'!C5,'27'!C5,'28'!C5,'29'!C5,'30'!C5,'31'!C5)</f>
        <v>#REF!</v>
      </c>
    </row>
    <row r="4" spans="1:2" ht="15" x14ac:dyDescent="0.25">
      <c r="A4" s="23" t="s">
        <v>2</v>
      </c>
      <c r="B4" s="24" t="e">
        <f>SUM('01'!C6,'02'!C6,'03'!C6,'04'!C6,'05'!C6,'06'!C6,'07'!C6,'08'!C6,'09'!C6,'10'!C6,'11'!C6,'12'!C6,'13'!C6,'14'!C6,'15'!C6,'16'!C6,'17'!C6,'18'!C6,'19'!C6,'20'!C6,'21'!C6,'22'!C6,'23'!C6,'24'!C6,#REF!,'25'!C6,'27'!C6,'28'!C6,'29'!C6,'30'!C6,'31'!C6)</f>
        <v>#REF!</v>
      </c>
    </row>
    <row r="5" spans="1:2" ht="15" x14ac:dyDescent="0.25">
      <c r="A5" s="23" t="s">
        <v>3</v>
      </c>
      <c r="B5" s="24" t="e">
        <f>SUM('01'!C7,'02'!C7,'03'!C7,'04'!C7,'05'!C7,'06'!C7,'07'!C7,'08'!C7,'09'!C7,'10'!C7,'11'!C7,'12'!C7,'13'!C7,'14'!C7,'15'!C7,'16'!C7,'17'!C7,'18'!C7,'19'!C7,'20'!C7,'21'!C7,'22'!C7,'23'!C7,'24'!C7,#REF!,'25'!C7,'27'!C7,'28'!C7,'29'!C7,'30'!C7,'31'!C7)</f>
        <v>#REF!</v>
      </c>
    </row>
    <row r="6" spans="1:2" ht="15.75" x14ac:dyDescent="0.25">
      <c r="A6" s="28" t="s">
        <v>4</v>
      </c>
      <c r="B6" s="29" t="e">
        <f>SUM(B4:B5)</f>
        <v>#REF!</v>
      </c>
    </row>
    <row r="7" spans="1:2" ht="15" x14ac:dyDescent="0.25">
      <c r="A7" s="2"/>
      <c r="B7" s="2"/>
    </row>
    <row r="8" spans="1:2" ht="15" x14ac:dyDescent="0.2">
      <c r="A8" s="98" t="s">
        <v>5</v>
      </c>
      <c r="B8" s="98"/>
    </row>
    <row r="9" spans="1:2" ht="15" x14ac:dyDescent="0.25">
      <c r="A9" s="30" t="s">
        <v>6</v>
      </c>
      <c r="B9" s="24" t="e">
        <f>SUM('01'!C11,'02'!C11,'03'!C11,'04'!C11,'05'!C11,'06'!C11,'07'!C11,'08'!C11,'09'!C11,'10'!C11,'11'!C11,'12'!C11,'13'!C11,'14'!C11,'15'!C11,'16'!C11,'17'!C11,'18'!C11,'19'!C11,'20'!C11,'21'!C11,'22'!C11,'23'!C11,'24'!C11,#REF!,'25'!C11,'27'!C11,'28'!C11,'29'!C11,'30'!C11,'31'!C11)</f>
        <v>#REF!</v>
      </c>
    </row>
    <row r="10" spans="1:2" ht="15" x14ac:dyDescent="0.25">
      <c r="A10" s="30" t="s">
        <v>7</v>
      </c>
      <c r="B10" s="24" t="e">
        <f>SUM('01'!C12,'02'!C12,'03'!C12,'04'!C12,'05'!C12,'06'!C12,'07'!C12,'08'!C12,'09'!C12,'10'!C12,'11'!C12,'12'!C12,'13'!C12,'14'!C12,'15'!C12,'16'!C12,'17'!C12,'18'!C12,'19'!C12,'20'!C12,'21'!C12,'22'!C12,'23'!C12,'24'!C12,#REF!,'25'!C12,'27'!C12,'28'!C12,'29'!C12,'30'!C12,'31'!C12)</f>
        <v>#REF!</v>
      </c>
    </row>
    <row r="11" spans="1:2" ht="15" x14ac:dyDescent="0.25">
      <c r="A11" s="30" t="s">
        <v>8</v>
      </c>
      <c r="B11" s="24" t="e">
        <f>SUM('01'!C13,'02'!C13,'03'!C13,'04'!C13,'05'!C13,'06'!C13,'07'!C13,'08'!C13,'09'!C13,'10'!C13,'11'!C13,'12'!C13,'13'!C13,'14'!C13,'15'!C13,'16'!C13,'17'!C13,'18'!C13,'19'!C13,'20'!C13,'21'!C13,'22'!C13,'23'!C13,'24'!C13,#REF!,'25'!C13,'27'!C13,'28'!C13,'29'!C13,'30'!C13,'31'!C13)</f>
        <v>#REF!</v>
      </c>
    </row>
    <row r="12" spans="1:2" ht="15" x14ac:dyDescent="0.25">
      <c r="A12" s="30" t="s">
        <v>9</v>
      </c>
      <c r="B12" s="24" t="e">
        <f>SUM('01'!C14,'02'!C14,'03'!C14,'04'!C14,'05'!C14,'06'!C14,'07'!C14,'08'!C14,'09'!C14,'10'!C14,'11'!C14,'12'!C14,'13'!C14,'14'!C14,'15'!C14,'16'!C14,'17'!C14,'18'!C14,'19'!C14,'20'!C14,'21'!C14,'22'!C14,'23'!C14,'24'!C14,#REF!,'25'!C14,'27'!C14,'28'!C14,'29'!C14,'30'!C14,'31'!C14)</f>
        <v>#REF!</v>
      </c>
    </row>
    <row r="13" spans="1:2" ht="15" x14ac:dyDescent="0.25">
      <c r="A13" s="30" t="s">
        <v>10</v>
      </c>
      <c r="B13" s="24" t="e">
        <f>SUM('01'!C15,'02'!C15,'03'!C15,'04'!C15,'05'!C15,'06'!C15,'07'!C15,'08'!C15,'09'!C15,'10'!C15,'11'!C15,'12'!C15,'13'!C15,'14'!C15,'15'!C15,'16'!C15,'17'!C15,'18'!C15,'19'!C15,'20'!C15,'21'!C15,'22'!C15,'23'!C15,'24'!C15,#REF!,'25'!C15,'27'!C15,'28'!C15,'29'!C15,'30'!C15,'31'!C15)</f>
        <v>#REF!</v>
      </c>
    </row>
    <row r="14" spans="1:2" ht="15.75" x14ac:dyDescent="0.25">
      <c r="A14" s="28" t="s">
        <v>11</v>
      </c>
      <c r="B14" s="81" t="e">
        <f>SUM(B9:B13)</f>
        <v>#REF!</v>
      </c>
    </row>
    <row r="15" spans="1:2" ht="15" x14ac:dyDescent="0.25">
      <c r="A15" s="2"/>
      <c r="B15" s="2"/>
    </row>
    <row r="16" spans="1:2" ht="15" x14ac:dyDescent="0.2">
      <c r="A16" s="98" t="s">
        <v>12</v>
      </c>
      <c r="B16" s="98"/>
    </row>
    <row r="17" spans="1:2" ht="15" x14ac:dyDescent="0.25">
      <c r="A17" s="30">
        <f>COUNT(#REF!)</f>
        <v>0</v>
      </c>
      <c r="B17" s="24" t="e">
        <f>SUM('01'!C19,'02'!C19,'03'!C19,'04'!C19,'05'!C19,'06'!C19,'07'!C19,'08'!C19,'09'!C19,'10'!C19,'11'!C19,'12'!C19,'13'!C19,'14'!C19,'15'!C19,'16'!C19,'17'!C19,'18'!C19,'19'!C19,'20'!C19,'21'!C19,'22'!C19,'23'!C19,'24'!C19,#REF!,'25'!C19,'27'!C19,'28'!C19,'29'!C19,'30'!C19,'31'!C19)</f>
        <v>#REF!</v>
      </c>
    </row>
    <row r="18" spans="1:2" ht="15.75" x14ac:dyDescent="0.25">
      <c r="A18" s="28" t="s">
        <v>11</v>
      </c>
      <c r="B18" s="81" t="e">
        <f>SUM(B17:B17)</f>
        <v>#REF!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zoomScale="80" zoomScaleNormal="8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v>45444</v>
      </c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6" t="s">
        <v>1</v>
      </c>
      <c r="F4" s="106"/>
      <c r="G4" s="106"/>
      <c r="H4" s="106"/>
      <c r="I4" s="106"/>
      <c r="J4" s="22"/>
      <c r="K4" s="100" t="s">
        <v>3</v>
      </c>
      <c r="L4" s="101"/>
      <c r="M4" s="102"/>
    </row>
    <row r="5" spans="2:18" ht="15" x14ac:dyDescent="0.25">
      <c r="B5" s="23" t="s">
        <v>1</v>
      </c>
      <c r="C5" s="24">
        <f>SUMIF(I6:I31,"&gt;0",H6:H31)</f>
        <v>2800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900</v>
      </c>
      <c r="D6" s="2"/>
      <c r="E6" s="18">
        <v>9306</v>
      </c>
      <c r="F6" s="25" t="s">
        <v>21</v>
      </c>
      <c r="G6" s="26" t="s">
        <v>8</v>
      </c>
      <c r="H6" s="8">
        <v>500</v>
      </c>
      <c r="I6" s="8">
        <v>500</v>
      </c>
      <c r="J6" s="2"/>
      <c r="K6" s="25"/>
      <c r="L6" s="9"/>
      <c r="M6" s="16"/>
      <c r="R6" s="1">
        <f>IF(vend1[[#This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9307</v>
      </c>
      <c r="F7" s="25" t="s">
        <v>22</v>
      </c>
      <c r="G7" s="26" t="s">
        <v>7</v>
      </c>
      <c r="H7" s="8">
        <v>1000</v>
      </c>
      <c r="I7" s="8">
        <v>100</v>
      </c>
      <c r="J7" s="2"/>
      <c r="K7" s="25"/>
      <c r="L7" s="9"/>
      <c r="M7" s="16"/>
      <c r="R7" s="1">
        <f>IF(vend1[[#This Row],[Nº Venda]]&gt;1,1,0)</f>
        <v>1</v>
      </c>
    </row>
    <row r="8" spans="2:18" ht="15.75" x14ac:dyDescent="0.25">
      <c r="B8" s="28" t="s">
        <v>23</v>
      </c>
      <c r="C8" s="29">
        <f>SUM(C6:C7)</f>
        <v>900</v>
      </c>
      <c r="D8" s="2"/>
      <c r="E8" s="18">
        <v>9308</v>
      </c>
      <c r="F8" s="25" t="s">
        <v>24</v>
      </c>
      <c r="G8" s="26" t="s">
        <v>10</v>
      </c>
      <c r="H8" s="8">
        <v>1300</v>
      </c>
      <c r="I8" s="8">
        <v>300</v>
      </c>
      <c r="J8" s="2"/>
      <c r="K8" s="25"/>
      <c r="L8" s="9"/>
      <c r="M8" s="16"/>
      <c r="R8" s="1">
        <f>IF(vend1[[#This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98" t="s">
        <v>5</v>
      </c>
      <c r="C10" s="9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500</v>
      </c>
      <c r="D13" s="2"/>
      <c r="E13" s="18"/>
      <c r="F13" s="25"/>
      <c r="G13" s="26"/>
      <c r="H13" s="8"/>
      <c r="I13" s="8"/>
      <c r="J13" s="2"/>
      <c r="K13" s="100" t="s">
        <v>25</v>
      </c>
      <c r="L13" s="101"/>
      <c r="M13" s="102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IF(vend1[[#This Row],[Nº Venda]]&gt;1,1,0)</f>
        <v>0</v>
      </c>
    </row>
    <row r="15" spans="2:18" ht="15.75" x14ac:dyDescent="0.25">
      <c r="B15" s="30" t="s">
        <v>10</v>
      </c>
      <c r="C15" s="31">
        <f t="shared" si="0"/>
        <v>300</v>
      </c>
      <c r="D15" s="2"/>
      <c r="E15" s="18"/>
      <c r="F15" s="25"/>
      <c r="G15" s="26"/>
      <c r="H15" s="8"/>
      <c r="I15" s="8"/>
      <c r="J15" s="2"/>
      <c r="K15" s="25">
        <v>9252</v>
      </c>
      <c r="L15" s="9" t="s">
        <v>29</v>
      </c>
      <c r="M15" s="16" t="s">
        <v>30</v>
      </c>
      <c r="R15" s="1">
        <f>IF(vend1[[#This Row],[Nº Venda]]&gt;1,1,0)</f>
        <v>0</v>
      </c>
    </row>
    <row r="16" spans="2:18" ht="15.75" x14ac:dyDescent="0.25">
      <c r="B16" s="28" t="s">
        <v>11</v>
      </c>
      <c r="C16" s="32">
        <f>SUM(C11:C15)</f>
        <v>900</v>
      </c>
      <c r="D16" s="2"/>
      <c r="E16" s="18"/>
      <c r="F16" s="25"/>
      <c r="G16" s="26"/>
      <c r="H16" s="8"/>
      <c r="I16" s="8"/>
      <c r="J16" s="2"/>
      <c r="K16" s="25">
        <v>9234</v>
      </c>
      <c r="L16" s="9" t="s">
        <v>31</v>
      </c>
      <c r="M16" s="16" t="s">
        <v>30</v>
      </c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9226</v>
      </c>
      <c r="L17" s="9" t="s">
        <v>29</v>
      </c>
      <c r="M17" s="16" t="s">
        <v>30</v>
      </c>
      <c r="R17" s="1">
        <f>IF(vend1[[#This Row],[Nº Venda]]&gt;1,1,0)</f>
        <v>0</v>
      </c>
    </row>
    <row r="18" spans="2:18" ht="15.75" x14ac:dyDescent="0.25">
      <c r="B18" s="98" t="s">
        <v>12</v>
      </c>
      <c r="C18" s="98"/>
      <c r="D18" s="2"/>
      <c r="E18" s="18"/>
      <c r="F18" s="25"/>
      <c r="G18" s="26"/>
      <c r="H18" s="8"/>
      <c r="I18" s="8"/>
      <c r="J18" s="2"/>
      <c r="K18" s="25">
        <v>9193</v>
      </c>
      <c r="L18" s="9" t="s">
        <v>29</v>
      </c>
      <c r="M18" s="16" t="s">
        <v>32</v>
      </c>
      <c r="R18" s="1">
        <f>IF(vend1[[#This Row],[Nº Venda]]&gt;1,1,0)</f>
        <v>0</v>
      </c>
    </row>
    <row r="19" spans="2:18" ht="15.75" x14ac:dyDescent="0.25">
      <c r="B19" s="30">
        <f>COUNT(entr_carn31195[OS])</f>
        <v>0</v>
      </c>
      <c r="C19" s="31">
        <f>SUM(entr_carn31195[Valor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33</v>
      </c>
      <c r="C22" s="32">
        <f>C5</f>
        <v>2800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9" t="s">
        <v>34</v>
      </c>
      <c r="F24" s="99"/>
      <c r="G24" s="99"/>
      <c r="H24" s="99"/>
      <c r="I24" s="9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9" t="s">
        <v>35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26</v>
      </c>
      <c r="F34" s="10" t="s">
        <v>15</v>
      </c>
      <c r="G34" s="11" t="s">
        <v>16</v>
      </c>
      <c r="H34" s="12" t="s">
        <v>36</v>
      </c>
      <c r="I34" s="13" t="s">
        <v>37</v>
      </c>
      <c r="K34" s="14" t="s">
        <v>26</v>
      </c>
      <c r="L34" s="6" t="s">
        <v>38</v>
      </c>
      <c r="M34" s="15" t="s">
        <v>39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40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zoomScale="80" zoomScaleNormal="80" workbookViewId="0">
      <selection activeCell="E35" sqref="E35:I41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'01'!B1+1</f>
        <v>45445</v>
      </c>
    </row>
    <row r="2" spans="2:18" ht="18.75" x14ac:dyDescent="0.2">
      <c r="B2" s="103" t="s">
        <v>41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6" t="s">
        <v>1</v>
      </c>
      <c r="F4" s="106"/>
      <c r="G4" s="106"/>
      <c r="H4" s="106"/>
      <c r="I4" s="106"/>
      <c r="J4" s="22"/>
      <c r="K4" s="100" t="s">
        <v>3</v>
      </c>
      <c r="L4" s="101"/>
      <c r="M4" s="10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98" t="s">
        <v>5</v>
      </c>
      <c r="C10" s="9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3"/>
      <c r="F13" s="65"/>
      <c r="G13" s="94"/>
      <c r="H13" s="76"/>
      <c r="I13" s="76"/>
      <c r="J13" s="2"/>
      <c r="K13" s="100" t="s">
        <v>25</v>
      </c>
      <c r="L13" s="101"/>
      <c r="M13" s="102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3"/>
      <c r="F14" s="65"/>
      <c r="G14" s="94"/>
      <c r="H14" s="76"/>
      <c r="I14" s="76"/>
      <c r="J14" s="2"/>
      <c r="K14" s="14" t="s">
        <v>26</v>
      </c>
      <c r="L14" s="6" t="s">
        <v>27</v>
      </c>
      <c r="M14" s="15" t="s">
        <v>28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98" t="s">
        <v>12</v>
      </c>
      <c r="C18" s="9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33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9" t="s">
        <v>34</v>
      </c>
      <c r="F24" s="99"/>
      <c r="G24" s="99"/>
      <c r="H24" s="99"/>
      <c r="I24" s="9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21" ht="15" x14ac:dyDescent="0.25">
      <c r="B33" s="2"/>
      <c r="C33" s="2"/>
      <c r="E33" s="99" t="s">
        <v>35</v>
      </c>
      <c r="F33" s="99"/>
      <c r="G33" s="99"/>
      <c r="H33" s="99"/>
      <c r="I33" s="99"/>
      <c r="K33" s="100" t="s">
        <v>12</v>
      </c>
      <c r="L33" s="101"/>
      <c r="M33" s="102"/>
    </row>
    <row r="34" spans="2:21" ht="15" x14ac:dyDescent="0.25">
      <c r="E34" s="10" t="s">
        <v>26</v>
      </c>
      <c r="F34" s="10" t="s">
        <v>15</v>
      </c>
      <c r="G34" s="11" t="s">
        <v>16</v>
      </c>
      <c r="H34" s="12" t="s">
        <v>36</v>
      </c>
      <c r="I34" s="13" t="s">
        <v>37</v>
      </c>
      <c r="K34" s="14" t="s">
        <v>26</v>
      </c>
      <c r="L34" s="6" t="s">
        <v>38</v>
      </c>
      <c r="M34" s="15" t="s">
        <v>39</v>
      </c>
      <c r="U34" s="1" t="s">
        <v>42</v>
      </c>
    </row>
    <row r="35" spans="2:21" ht="15.75" x14ac:dyDescent="0.25">
      <c r="E35" s="18"/>
      <c r="F35" s="25"/>
      <c r="G35" s="26"/>
      <c r="H35" s="8"/>
      <c r="I35" s="8"/>
      <c r="K35" s="25"/>
      <c r="L35" s="41"/>
      <c r="M35" s="16"/>
    </row>
    <row r="36" spans="2:21" ht="15.75" x14ac:dyDescent="0.25">
      <c r="E36" s="18"/>
      <c r="F36" s="25"/>
      <c r="G36" s="26"/>
      <c r="H36" s="8"/>
      <c r="I36" s="8"/>
      <c r="K36" s="25"/>
      <c r="L36" s="41"/>
      <c r="M36" s="16"/>
    </row>
    <row r="37" spans="2:21" ht="15.75" x14ac:dyDescent="0.25">
      <c r="E37" s="18"/>
      <c r="F37" s="25"/>
      <c r="G37" s="26"/>
      <c r="H37" s="8"/>
      <c r="I37" s="8"/>
      <c r="K37" s="25"/>
      <c r="L37" s="41"/>
      <c r="M37" s="16"/>
    </row>
    <row r="38" spans="2:21" ht="15.75" x14ac:dyDescent="0.25">
      <c r="E38" s="18"/>
      <c r="F38" s="25"/>
      <c r="G38" s="26"/>
      <c r="H38" s="8"/>
      <c r="I38" s="8"/>
      <c r="K38" s="25"/>
      <c r="L38" s="41"/>
      <c r="M38" s="16"/>
    </row>
    <row r="39" spans="2:21" ht="15.75" x14ac:dyDescent="0.25">
      <c r="E39" s="18"/>
      <c r="F39" s="39"/>
      <c r="G39" s="26"/>
      <c r="H39" s="8"/>
      <c r="I39" s="8"/>
      <c r="K39" s="25"/>
      <c r="L39" s="41"/>
      <c r="M39" s="16"/>
    </row>
    <row r="40" spans="2:21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40</v>
      </c>
      <c r="R40" s="1">
        <f>SUM(R6:R21)</f>
        <v>0</v>
      </c>
    </row>
    <row r="41" spans="2:21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zoomScale="80" zoomScaleNormal="80" workbookViewId="0">
      <selection activeCell="E12" sqref="E12:F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3.140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17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'02'!B1+1</f>
        <v>45446</v>
      </c>
    </row>
    <row r="2" spans="2:18" ht="18.75" x14ac:dyDescent="0.2">
      <c r="B2" s="103" t="s">
        <v>41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6" t="s">
        <v>1</v>
      </c>
      <c r="F4" s="106"/>
      <c r="G4" s="106"/>
      <c r="H4" s="106"/>
      <c r="I4" s="106"/>
      <c r="J4" s="22"/>
      <c r="K4" s="100" t="s">
        <v>3</v>
      </c>
      <c r="L4" s="101"/>
      <c r="M4" s="102"/>
    </row>
    <row r="5" spans="2:18" ht="15" x14ac:dyDescent="0.25">
      <c r="B5" s="23" t="s">
        <v>1</v>
      </c>
      <c r="C5" s="24">
        <f>SUMIF(I6:I31,"&gt;0",H6:H31)</f>
        <v>4400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2550</v>
      </c>
      <c r="D6" s="2"/>
      <c r="E6" s="18">
        <v>9309</v>
      </c>
      <c r="F6" s="25" t="s">
        <v>43</v>
      </c>
      <c r="G6" s="46" t="s">
        <v>6</v>
      </c>
      <c r="H6" s="8">
        <v>1100</v>
      </c>
      <c r="I6" s="8">
        <v>550</v>
      </c>
      <c r="J6" s="2"/>
      <c r="K6" s="25" t="s">
        <v>44</v>
      </c>
      <c r="L6" s="9" t="s">
        <v>45</v>
      </c>
      <c r="M6" s="16">
        <v>10.6</v>
      </c>
      <c r="R6" s="1">
        <f>IF(vend3[[#This Row],[Nº Venda]]&gt;1,1,0)</f>
        <v>1</v>
      </c>
    </row>
    <row r="7" spans="2:18" ht="15.75" x14ac:dyDescent="0.25">
      <c r="B7" s="23" t="s">
        <v>3</v>
      </c>
      <c r="C7" s="24">
        <f>SUM(M6:M11)</f>
        <v>10.6</v>
      </c>
      <c r="D7" s="2"/>
      <c r="E7" s="18">
        <v>9310</v>
      </c>
      <c r="F7" s="25" t="s">
        <v>46</v>
      </c>
      <c r="G7" s="26" t="s">
        <v>8</v>
      </c>
      <c r="H7" s="8">
        <v>200</v>
      </c>
      <c r="I7" s="8">
        <v>200</v>
      </c>
      <c r="J7" s="2"/>
      <c r="K7" s="25"/>
      <c r="L7" s="9"/>
      <c r="M7" s="16"/>
      <c r="R7" s="1">
        <f>IF(vend3[[#This Row],[Nº Venda]]&gt;1,1,0)</f>
        <v>1</v>
      </c>
    </row>
    <row r="8" spans="2:18" ht="15.75" x14ac:dyDescent="0.25">
      <c r="B8" s="28" t="s">
        <v>23</v>
      </c>
      <c r="C8" s="29">
        <f>SUM(C6:C7)</f>
        <v>2560.6</v>
      </c>
      <c r="D8" s="2"/>
      <c r="E8" s="18">
        <v>9311</v>
      </c>
      <c r="F8" s="25" t="s">
        <v>46</v>
      </c>
      <c r="G8" s="26" t="s">
        <v>8</v>
      </c>
      <c r="H8" s="8">
        <v>600</v>
      </c>
      <c r="I8" s="8">
        <v>600</v>
      </c>
      <c r="J8" s="2"/>
      <c r="K8" s="25"/>
      <c r="L8" s="9"/>
      <c r="M8" s="16"/>
      <c r="R8" s="1">
        <f>IF(vend3[[#This Row],[Nº Venda]]&gt;1,1,0)</f>
        <v>1</v>
      </c>
    </row>
    <row r="9" spans="2:18" ht="15.75" x14ac:dyDescent="0.25">
      <c r="B9" s="2"/>
      <c r="C9" s="2"/>
      <c r="D9" s="2"/>
      <c r="E9" s="18">
        <v>9312</v>
      </c>
      <c r="F9" s="25" t="s">
        <v>47</v>
      </c>
      <c r="G9" s="26" t="s">
        <v>8</v>
      </c>
      <c r="H9" s="8">
        <v>180</v>
      </c>
      <c r="I9" s="8">
        <v>180</v>
      </c>
      <c r="J9" s="2"/>
      <c r="K9" s="25"/>
      <c r="L9" s="9"/>
      <c r="M9" s="16"/>
      <c r="R9" s="1">
        <f>IF(vend3[[#This Row],[Nº Venda]]&gt;1,1,0)</f>
        <v>1</v>
      </c>
    </row>
    <row r="10" spans="2:18" ht="15.75" x14ac:dyDescent="0.25">
      <c r="B10" s="98" t="s">
        <v>5</v>
      </c>
      <c r="C10" s="98"/>
      <c r="D10" s="2"/>
      <c r="E10" s="18">
        <v>9313</v>
      </c>
      <c r="F10" s="25" t="s">
        <v>48</v>
      </c>
      <c r="G10" s="26" t="s">
        <v>6</v>
      </c>
      <c r="H10" s="8">
        <v>2200</v>
      </c>
      <c r="I10" s="8">
        <v>900</v>
      </c>
      <c r="J10" s="2"/>
      <c r="K10" s="25"/>
      <c r="L10" s="9"/>
      <c r="M10" s="16"/>
      <c r="R10" s="1">
        <f>IF(vend3[[#This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1450</v>
      </c>
      <c r="D11" s="2"/>
      <c r="E11" s="18">
        <v>9314</v>
      </c>
      <c r="F11" s="25" t="s">
        <v>49</v>
      </c>
      <c r="G11" s="26" t="s">
        <v>50</v>
      </c>
      <c r="H11" s="8">
        <v>35</v>
      </c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520</v>
      </c>
      <c r="D12" s="2"/>
      <c r="E12" s="18">
        <v>9323</v>
      </c>
      <c r="F12" t="s">
        <v>51</v>
      </c>
      <c r="G12" s="26" t="s">
        <v>7</v>
      </c>
      <c r="H12" s="8">
        <v>120</v>
      </c>
      <c r="I12" s="8">
        <v>120</v>
      </c>
      <c r="J12" s="2"/>
      <c r="R12" s="1">
        <f>IF(vend3[[#This Row],[Nº Venda]]&gt;1,1,0)</f>
        <v>1</v>
      </c>
    </row>
    <row r="13" spans="2:18" ht="15.75" x14ac:dyDescent="0.25">
      <c r="B13" s="30" t="s">
        <v>8</v>
      </c>
      <c r="C13" s="31">
        <f t="shared" si="0"/>
        <v>980</v>
      </c>
      <c r="D13" s="2"/>
      <c r="E13" s="18"/>
      <c r="F13" s="25"/>
      <c r="G13" s="26"/>
      <c r="H13" s="8"/>
      <c r="I13" s="8"/>
      <c r="J13" s="2"/>
      <c r="K13" s="100" t="s">
        <v>25</v>
      </c>
      <c r="L13" s="101"/>
      <c r="M13" s="102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125</v>
      </c>
      <c r="D15" s="2"/>
      <c r="E15" s="18"/>
      <c r="F15" s="25"/>
      <c r="G15" s="26"/>
      <c r="H15" s="8"/>
      <c r="I15" s="8"/>
      <c r="J15" s="2"/>
      <c r="K15" s="25">
        <v>9353</v>
      </c>
      <c r="L15" s="9" t="s">
        <v>52</v>
      </c>
      <c r="M15" s="16" t="s">
        <v>30</v>
      </c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3075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98" t="s">
        <v>12</v>
      </c>
      <c r="C18" s="9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33</v>
      </c>
      <c r="C22" s="32">
        <f>C5</f>
        <v>4400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9" t="s">
        <v>34</v>
      </c>
      <c r="F24" s="99"/>
      <c r="G24" s="99"/>
      <c r="H24" s="99"/>
      <c r="I24" s="9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9" t="s">
        <v>35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26</v>
      </c>
      <c r="F34" s="10" t="s">
        <v>15</v>
      </c>
      <c r="G34" s="11" t="s">
        <v>16</v>
      </c>
      <c r="H34" s="12" t="s">
        <v>36</v>
      </c>
      <c r="I34" s="13" t="s">
        <v>37</v>
      </c>
      <c r="K34" s="14" t="s">
        <v>26</v>
      </c>
      <c r="L34" s="6" t="s">
        <v>38</v>
      </c>
      <c r="M34" s="15" t="s">
        <v>39</v>
      </c>
    </row>
    <row r="35" spans="2:18" ht="15.75" x14ac:dyDescent="0.25">
      <c r="E35" s="18">
        <v>9064</v>
      </c>
      <c r="F35" s="25" t="s">
        <v>53</v>
      </c>
      <c r="G35" s="26" t="s">
        <v>7</v>
      </c>
      <c r="H35" s="8">
        <v>400</v>
      </c>
      <c r="I35" s="8" t="s">
        <v>54</v>
      </c>
      <c r="K35" s="25"/>
      <c r="L35" s="41"/>
      <c r="M35" s="16"/>
    </row>
    <row r="36" spans="2:18" ht="15.75" x14ac:dyDescent="0.25">
      <c r="E36" s="18">
        <v>9068</v>
      </c>
      <c r="F36" s="25" t="s">
        <v>55</v>
      </c>
      <c r="G36" s="26" t="s">
        <v>10</v>
      </c>
      <c r="H36" s="8">
        <v>125</v>
      </c>
      <c r="I36" s="8" t="s">
        <v>56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40</v>
      </c>
      <c r="R40" s="1">
        <f>SUM(R6:R21)</f>
        <v>7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5"/>
  <sheetViews>
    <sheetView showGridLines="0" zoomScale="80" zoomScaleNormal="80" workbookViewId="0">
      <selection activeCell="K35" sqref="K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'03'!B1+1</f>
        <v>45447</v>
      </c>
    </row>
    <row r="2" spans="2:18" ht="18.75" x14ac:dyDescent="0.2">
      <c r="B2" s="103" t="s">
        <v>41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6" t="s">
        <v>1</v>
      </c>
      <c r="F4" s="106"/>
      <c r="G4" s="106"/>
      <c r="H4" s="106"/>
      <c r="I4" s="106"/>
      <c r="J4" s="22"/>
      <c r="K4" s="100" t="s">
        <v>3</v>
      </c>
      <c r="L4" s="101"/>
      <c r="M4" s="102"/>
    </row>
    <row r="5" spans="2:18" ht="15" x14ac:dyDescent="0.25">
      <c r="B5" s="23" t="s">
        <v>1</v>
      </c>
      <c r="C5" s="24">
        <f>SUMIF(I6:I31,"&gt;0",H6:H31)</f>
        <v>35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35</v>
      </c>
      <c r="D6" s="2"/>
      <c r="E6" s="18">
        <v>9318</v>
      </c>
      <c r="F6" s="25" t="s">
        <v>57</v>
      </c>
      <c r="G6" s="46" t="s">
        <v>58</v>
      </c>
      <c r="H6" s="8"/>
      <c r="I6" s="8"/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9319</v>
      </c>
      <c r="F7" s="25" t="s">
        <v>59</v>
      </c>
      <c r="G7" s="46" t="s">
        <v>58</v>
      </c>
      <c r="H7" s="8"/>
      <c r="I7" s="8"/>
      <c r="J7" s="2"/>
      <c r="K7" s="25"/>
      <c r="L7" s="9"/>
      <c r="M7" s="16"/>
      <c r="R7" s="1">
        <f>IF(vend4[[#This Row],[Nº Venda]]&gt;1,1,0)</f>
        <v>1</v>
      </c>
    </row>
    <row r="8" spans="2:18" ht="15.75" x14ac:dyDescent="0.25">
      <c r="B8" s="28" t="s">
        <v>23</v>
      </c>
      <c r="C8" s="29">
        <f>SUM(C6:C7)</f>
        <v>35</v>
      </c>
      <c r="D8" s="2"/>
      <c r="E8" s="18">
        <v>9320</v>
      </c>
      <c r="F8" s="25" t="s">
        <v>60</v>
      </c>
      <c r="G8" s="46" t="s">
        <v>58</v>
      </c>
      <c r="H8" s="8"/>
      <c r="I8" s="8"/>
      <c r="J8" s="2"/>
      <c r="K8" s="25"/>
      <c r="L8" s="9"/>
      <c r="M8" s="16"/>
      <c r="R8" s="1">
        <f>IF(vend4[[#This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98" t="s">
        <v>5</v>
      </c>
      <c r="C10" s="9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82">
        <f>(SUMIF($G$2:$G$31,B11,$I$2:$I$31))+(SUMIF($G$35:$G$45,B11,$H$35:$H$45))</f>
        <v>370.17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82">
        <f>(SUMIF($G$2:$G$31,B12,$I$2:$I$31))+(SUMIF($G$35:$G$45,B12,$H$35:$H$45))</f>
        <v>169.57999999999998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82">
        <f>(SUMIF($G$2:$G$31,B13,$I$2:$I$31))+(SUMIF($G$35:$G$45,B13,$H$35:$H$45))</f>
        <v>35</v>
      </c>
      <c r="D13" s="2"/>
      <c r="E13" s="18"/>
      <c r="F13" s="25"/>
      <c r="G13" s="26"/>
      <c r="H13" s="8"/>
      <c r="I13" s="8"/>
      <c r="J13" s="2"/>
      <c r="K13" s="100" t="s">
        <v>25</v>
      </c>
      <c r="L13" s="101"/>
      <c r="M13" s="102"/>
      <c r="R13" s="1">
        <f>IF(vend4[[#This Row],[Nº Venda]]&gt;1,1,0)</f>
        <v>0</v>
      </c>
    </row>
    <row r="14" spans="2:18" ht="15.75" x14ac:dyDescent="0.25">
      <c r="B14" s="30" t="s">
        <v>9</v>
      </c>
      <c r="C14" s="82">
        <f>(SUMIF($G$2:$G$31,B14,$I$2:$I$31))+(SUMIF($G$35:$G$45,B14,$H$35:$H$45))</f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IF(vend4[[#This Row],[Nº Venda]]&gt;1,1,0)</f>
        <v>0</v>
      </c>
    </row>
    <row r="15" spans="2:18" ht="18.75" x14ac:dyDescent="0.4">
      <c r="B15" s="30" t="s">
        <v>10</v>
      </c>
      <c r="C15" s="82">
        <f>(SUMIF($G$2:$G$31,B15,$I$2:$I$31))+(SUMIF($G$35:$G$45,B15,$H$35:$H$45))</f>
        <v>0</v>
      </c>
      <c r="D15" s="2"/>
      <c r="E15" s="18"/>
      <c r="F15" s="25"/>
      <c r="G15" s="26"/>
      <c r="H15" s="8"/>
      <c r="I15" s="8"/>
      <c r="J15" s="2"/>
      <c r="K15" s="60">
        <v>9312</v>
      </c>
      <c r="L15" s="61" t="s">
        <v>61</v>
      </c>
      <c r="M15" s="62" t="s">
        <v>30</v>
      </c>
      <c r="R15" s="1">
        <f>IF(vend4[[#This Row],[Nº Venda]]&gt;1,1,0)</f>
        <v>0</v>
      </c>
    </row>
    <row r="16" spans="2:18" ht="19.5" x14ac:dyDescent="0.4">
      <c r="B16" s="28" t="s">
        <v>11</v>
      </c>
      <c r="C16" s="32">
        <f>SUM(C11:C15)</f>
        <v>574.75</v>
      </c>
      <c r="D16" s="2"/>
      <c r="E16" s="18"/>
      <c r="F16" s="25"/>
      <c r="G16" s="26"/>
      <c r="H16" s="8"/>
      <c r="I16" s="8"/>
      <c r="J16" s="2"/>
      <c r="K16" s="63">
        <v>8943</v>
      </c>
      <c r="L16" s="60" t="s">
        <v>29</v>
      </c>
      <c r="M16" s="62" t="s">
        <v>32</v>
      </c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18"/>
      <c r="F17" s="25"/>
      <c r="G17" s="26"/>
      <c r="H17" s="8"/>
      <c r="I17" s="8"/>
      <c r="J17" s="2"/>
      <c r="K17" s="60">
        <v>9314</v>
      </c>
      <c r="L17" s="61" t="s">
        <v>61</v>
      </c>
      <c r="M17" s="62" t="s">
        <v>30</v>
      </c>
      <c r="R17" s="1">
        <f>IF(vend4[[#This Row],[Nº Venda]]&gt;1,1,0)</f>
        <v>0</v>
      </c>
    </row>
    <row r="18" spans="2:18" ht="15.75" x14ac:dyDescent="0.25">
      <c r="B18" s="98" t="s">
        <v>12</v>
      </c>
      <c r="C18" s="98"/>
      <c r="D18" s="2"/>
      <c r="E18" s="18"/>
      <c r="F18" s="25"/>
      <c r="G18" s="26"/>
      <c r="H18" s="8"/>
      <c r="I18" s="8"/>
      <c r="J18" s="2"/>
      <c r="K18" s="25">
        <v>9249</v>
      </c>
      <c r="L18" s="9" t="s">
        <v>29</v>
      </c>
      <c r="M18" s="16" t="s">
        <v>30</v>
      </c>
      <c r="R18" s="1">
        <f>IF(vend4[[#This Row],[Nº Venda]]&gt;1,1,0)</f>
        <v>0</v>
      </c>
    </row>
    <row r="19" spans="2:18" ht="15.75" x14ac:dyDescent="0.25">
      <c r="B19" s="30">
        <f>COUNT(entr_carn4[OS])</f>
        <v>1</v>
      </c>
      <c r="C19" s="31">
        <f>SUM(entr_carn4[Valor Total])</f>
        <v>1800</v>
      </c>
      <c r="D19" s="2"/>
      <c r="E19" s="18"/>
      <c r="F19" s="25"/>
      <c r="G19" s="26"/>
      <c r="H19" s="8"/>
      <c r="I19" s="8"/>
      <c r="J19" s="2"/>
      <c r="K19" s="25">
        <v>9248</v>
      </c>
      <c r="L19" s="9" t="s">
        <v>29</v>
      </c>
      <c r="M19" s="16" t="s">
        <v>30</v>
      </c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1800</v>
      </c>
      <c r="D20" s="2"/>
      <c r="E20" s="18"/>
      <c r="F20" s="26"/>
      <c r="G20" s="26"/>
      <c r="H20" s="8"/>
      <c r="I20" s="8"/>
      <c r="J20" s="2"/>
      <c r="K20" s="25">
        <v>9247</v>
      </c>
      <c r="L20" s="9" t="s">
        <v>29</v>
      </c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33</v>
      </c>
      <c r="C22" s="32">
        <f>C5</f>
        <v>35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9" t="s">
        <v>34</v>
      </c>
      <c r="F24" s="99"/>
      <c r="G24" s="99"/>
      <c r="H24" s="99"/>
      <c r="I24" s="9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9314</v>
      </c>
      <c r="F26" s="25" t="s">
        <v>49</v>
      </c>
      <c r="G26" s="46" t="s">
        <v>8</v>
      </c>
      <c r="H26" s="8">
        <v>35</v>
      </c>
      <c r="I26" s="8">
        <v>35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9" t="s">
        <v>35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26</v>
      </c>
      <c r="F34" s="10" t="s">
        <v>15</v>
      </c>
      <c r="G34" s="11" t="s">
        <v>16</v>
      </c>
      <c r="H34" s="12" t="s">
        <v>36</v>
      </c>
      <c r="I34" s="13" t="s">
        <v>37</v>
      </c>
      <c r="K34" s="14" t="s">
        <v>26</v>
      </c>
      <c r="L34" s="6" t="s">
        <v>38</v>
      </c>
      <c r="M34" s="15" t="s">
        <v>39</v>
      </c>
    </row>
    <row r="35" spans="2:18" ht="15.75" x14ac:dyDescent="0.25">
      <c r="E35" s="18">
        <v>8266</v>
      </c>
      <c r="F35" s="25" t="s">
        <v>62</v>
      </c>
      <c r="G35" s="26" t="s">
        <v>7</v>
      </c>
      <c r="H35" s="8">
        <v>108.33</v>
      </c>
      <c r="I35" s="8" t="s">
        <v>63</v>
      </c>
      <c r="K35" s="25">
        <v>8943</v>
      </c>
      <c r="L35" s="41">
        <v>9</v>
      </c>
      <c r="M35" s="16">
        <v>1800</v>
      </c>
    </row>
    <row r="36" spans="2:18" ht="15.75" x14ac:dyDescent="0.25">
      <c r="E36" s="18">
        <v>8266</v>
      </c>
      <c r="F36" s="25" t="s">
        <v>62</v>
      </c>
      <c r="G36" s="26" t="s">
        <v>7</v>
      </c>
      <c r="H36" s="8" t="s">
        <v>64</v>
      </c>
      <c r="I36" s="8" t="s">
        <v>65</v>
      </c>
      <c r="K36" s="25"/>
      <c r="L36" s="41"/>
      <c r="M36" s="16"/>
    </row>
    <row r="37" spans="2:18" ht="15.75" x14ac:dyDescent="0.25">
      <c r="E37" s="18">
        <v>9118</v>
      </c>
      <c r="F37" s="25" t="s">
        <v>66</v>
      </c>
      <c r="G37" s="26" t="s">
        <v>6</v>
      </c>
      <c r="H37" s="8">
        <v>118.75</v>
      </c>
      <c r="I37" s="8" t="s">
        <v>67</v>
      </c>
      <c r="K37" s="25"/>
      <c r="L37" s="41"/>
      <c r="M37" s="16"/>
    </row>
    <row r="38" spans="2:18" ht="15.75" x14ac:dyDescent="0.25">
      <c r="E38" s="18">
        <v>9116</v>
      </c>
      <c r="F38" s="25" t="s">
        <v>68</v>
      </c>
      <c r="G38" s="26" t="s">
        <v>6</v>
      </c>
      <c r="H38" s="8">
        <v>100</v>
      </c>
      <c r="I38" s="8" t="s">
        <v>67</v>
      </c>
      <c r="K38" s="25"/>
      <c r="L38" s="41"/>
      <c r="M38" s="16"/>
    </row>
    <row r="39" spans="2:18" ht="15.75" x14ac:dyDescent="0.25">
      <c r="E39" s="18">
        <v>9116</v>
      </c>
      <c r="F39" s="39" t="s">
        <v>68</v>
      </c>
      <c r="G39" s="26" t="s">
        <v>7</v>
      </c>
      <c r="H39" s="8">
        <v>61.25</v>
      </c>
      <c r="I39" s="8" t="s">
        <v>67</v>
      </c>
      <c r="K39" s="25"/>
      <c r="L39" s="41"/>
      <c r="M39" s="16"/>
    </row>
    <row r="40" spans="2:18" ht="15.75" x14ac:dyDescent="0.25">
      <c r="E40" s="18">
        <v>8328</v>
      </c>
      <c r="F40" s="36" t="s">
        <v>69</v>
      </c>
      <c r="G40" s="37" t="s">
        <v>6</v>
      </c>
      <c r="H40" s="17">
        <v>50</v>
      </c>
      <c r="I40" s="8" t="s">
        <v>70</v>
      </c>
      <c r="K40" s="36"/>
      <c r="L40" s="42"/>
      <c r="M40" s="40"/>
      <c r="Q40" s="1" t="s">
        <v>40</v>
      </c>
      <c r="R40" s="1">
        <f>SUM(R6:R21)</f>
        <v>3</v>
      </c>
    </row>
    <row r="41" spans="2:18" ht="15.75" x14ac:dyDescent="0.25">
      <c r="E41" s="18">
        <v>8999</v>
      </c>
      <c r="F41" s="39" t="s">
        <v>69</v>
      </c>
      <c r="G41" s="26" t="s">
        <v>6</v>
      </c>
      <c r="H41" s="8">
        <v>60</v>
      </c>
      <c r="I41" s="8" t="s">
        <v>71</v>
      </c>
      <c r="K41" s="44"/>
      <c r="L41" s="41"/>
      <c r="M41" s="40"/>
    </row>
    <row r="42" spans="2:18" ht="15.75" x14ac:dyDescent="0.25">
      <c r="E42" s="18">
        <v>8624</v>
      </c>
      <c r="F42" s="39" t="s">
        <v>69</v>
      </c>
      <c r="G42" s="26" t="s">
        <v>6</v>
      </c>
      <c r="H42" s="8">
        <v>41.42</v>
      </c>
      <c r="I42" s="8" t="s">
        <v>72</v>
      </c>
    </row>
    <row r="43" spans="2:18" ht="15.75" x14ac:dyDescent="0.25">
      <c r="E43" s="43"/>
      <c r="F43" s="39"/>
      <c r="G43" s="26"/>
      <c r="H43" s="8"/>
      <c r="I43" s="8"/>
    </row>
    <row r="44" spans="2:18" ht="15.75" x14ac:dyDescent="0.25">
      <c r="E44" s="43"/>
      <c r="F44" s="39"/>
      <c r="G44" s="26"/>
      <c r="H44" s="8"/>
      <c r="I44" s="8"/>
    </row>
    <row r="45" spans="2:18" ht="15.75" x14ac:dyDescent="0.25">
      <c r="E45" s="96"/>
      <c r="F45" s="97"/>
      <c r="G45" s="37"/>
      <c r="H45" s="17"/>
      <c r="I45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G35:G45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zoomScale="80" zoomScaleNormal="80" workbookViewId="0">
      <selection activeCell="U16" sqref="U16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7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15.42578125" style="3" customWidth="1"/>
    <col min="12" max="12" width="15" style="3" customWidth="1"/>
    <col min="13" max="13" width="13.7109375" style="3" customWidth="1"/>
    <col min="14" max="14" width="14.140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'04'!B1+1</f>
        <v>45448</v>
      </c>
    </row>
    <row r="2" spans="2:18" ht="18.75" x14ac:dyDescent="0.2">
      <c r="B2" s="103" t="s">
        <v>41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6" t="s">
        <v>1</v>
      </c>
      <c r="F4" s="106"/>
      <c r="G4" s="106"/>
      <c r="H4" s="106"/>
      <c r="I4" s="106"/>
      <c r="J4" s="22"/>
      <c r="K4" s="100" t="s">
        <v>3</v>
      </c>
      <c r="L4" s="101"/>
      <c r="M4" s="102"/>
    </row>
    <row r="5" spans="2:18" ht="15" x14ac:dyDescent="0.25">
      <c r="B5" s="23" t="s">
        <v>1</v>
      </c>
      <c r="C5" s="24">
        <f>SUMIF(I6:I31,"&gt;0",H6:H31)</f>
        <v>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30</v>
      </c>
      <c r="D6" s="2"/>
      <c r="E6" s="18">
        <v>9321</v>
      </c>
      <c r="F6" s="25" t="s">
        <v>73</v>
      </c>
      <c r="G6" s="46" t="s">
        <v>7</v>
      </c>
      <c r="H6" s="8">
        <v>30</v>
      </c>
      <c r="I6" s="8">
        <v>30</v>
      </c>
      <c r="J6" s="2"/>
      <c r="K6" s="25"/>
      <c r="L6" s="9"/>
      <c r="M6" s="16"/>
      <c r="R6" s="1">
        <f>IF(vend5[[#This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 x14ac:dyDescent="0.25">
      <c r="B8" s="28" t="s">
        <v>23</v>
      </c>
      <c r="C8" s="29">
        <f>SUM(C6:C7)</f>
        <v>30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98" t="s">
        <v>5</v>
      </c>
      <c r="C10" s="98"/>
      <c r="D10" s="2"/>
      <c r="E10" s="18"/>
      <c r="F10" s="25"/>
      <c r="G10" s="46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192.8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136.25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0" t="s">
        <v>25</v>
      </c>
      <c r="L13" s="101"/>
      <c r="M13" s="102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Q14" s="1">
        <f>IF(vend5[[#This Row],[Nº Venda]]&gt;1,1,0)</f>
        <v>0</v>
      </c>
    </row>
    <row r="15" spans="2:18" ht="15.75" x14ac:dyDescent="0.25">
      <c r="B15" s="30" t="s">
        <v>10</v>
      </c>
      <c r="C15" s="31">
        <f t="shared" si="0"/>
        <v>92.85</v>
      </c>
      <c r="D15" s="2"/>
      <c r="E15" s="18"/>
      <c r="F15" s="25"/>
      <c r="G15" s="26"/>
      <c r="H15" s="8"/>
      <c r="I15" s="8"/>
      <c r="J15" s="2"/>
      <c r="K15" s="25">
        <v>9280</v>
      </c>
      <c r="L15" s="9" t="s">
        <v>61</v>
      </c>
      <c r="M15" s="16" t="s">
        <v>30</v>
      </c>
      <c r="Q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421.9</v>
      </c>
      <c r="D16" s="2"/>
      <c r="E16" s="18"/>
      <c r="F16" s="25"/>
      <c r="G16" s="26"/>
      <c r="H16" s="8"/>
      <c r="I16" s="8"/>
      <c r="J16" s="2"/>
      <c r="K16" s="25">
        <v>9129</v>
      </c>
      <c r="L16" s="9" t="s">
        <v>74</v>
      </c>
      <c r="M16" s="16" t="s">
        <v>30</v>
      </c>
      <c r="Q16" s="1">
        <f>IF(vend5[[#This Row],[Nº Venda]]&gt;1,1,0)</f>
        <v>0</v>
      </c>
    </row>
    <row r="17" spans="2:17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8966</v>
      </c>
      <c r="L17" s="9" t="s">
        <v>74</v>
      </c>
      <c r="M17" s="16" t="s">
        <v>30</v>
      </c>
      <c r="Q17" s="1">
        <f>IF(vend5[[#This Row],[Nº Venda]]&gt;1,1,0)</f>
        <v>0</v>
      </c>
    </row>
    <row r="18" spans="2:17" ht="15.75" x14ac:dyDescent="0.25">
      <c r="B18" s="98" t="s">
        <v>12</v>
      </c>
      <c r="C18" s="98"/>
      <c r="D18" s="2"/>
      <c r="E18" s="18"/>
      <c r="F18" s="25"/>
      <c r="G18" s="26"/>
      <c r="H18" s="8"/>
      <c r="I18" s="8"/>
      <c r="J18" s="2"/>
      <c r="K18" s="25">
        <v>9273</v>
      </c>
      <c r="L18" s="9" t="s">
        <v>61</v>
      </c>
      <c r="M18" s="16" t="s">
        <v>30</v>
      </c>
      <c r="Q18" s="1">
        <f>IF(vend5[[#This Row],[Nº Venda]]&gt;1,1,0)</f>
        <v>0</v>
      </c>
    </row>
    <row r="19" spans="2:17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Q19" s="1">
        <f>IF(vend5[[#This Row],[Nº Venda]]&gt;1,1,0)</f>
        <v>0</v>
      </c>
    </row>
    <row r="20" spans="2:17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Q20" s="1">
        <f>IF(vend5[[#This Row],[Nº Venda]]&gt;1,1,0)</f>
        <v>0</v>
      </c>
    </row>
    <row r="21" spans="2:17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7" ht="15.75" x14ac:dyDescent="0.25">
      <c r="B22" s="28" t="s">
        <v>33</v>
      </c>
      <c r="C22" s="32">
        <f>C5</f>
        <v>30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7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7" ht="15" x14ac:dyDescent="0.25">
      <c r="B24" s="2"/>
      <c r="C24" s="2"/>
      <c r="D24" s="2"/>
      <c r="E24" s="99" t="s">
        <v>34</v>
      </c>
      <c r="F24" s="99"/>
      <c r="G24" s="99"/>
      <c r="H24" s="99"/>
      <c r="I24" s="99"/>
      <c r="J24" s="2"/>
      <c r="K24" s="25"/>
      <c r="L24" s="9"/>
      <c r="M24" s="16"/>
    </row>
    <row r="25" spans="2:17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7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7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7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7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7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7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7" ht="15" x14ac:dyDescent="0.25">
      <c r="B32" s="2"/>
      <c r="C32" s="2"/>
      <c r="E32" s="33"/>
    </row>
    <row r="33" spans="2:18" ht="15" x14ac:dyDescent="0.25">
      <c r="B33" s="2"/>
      <c r="C33" s="2"/>
      <c r="E33" s="99" t="s">
        <v>35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26</v>
      </c>
      <c r="F34" s="10" t="s">
        <v>15</v>
      </c>
      <c r="G34" s="11" t="s">
        <v>16</v>
      </c>
      <c r="H34" s="12" t="s">
        <v>36</v>
      </c>
      <c r="I34" s="13" t="s">
        <v>37</v>
      </c>
      <c r="K34" s="14" t="s">
        <v>26</v>
      </c>
      <c r="L34" s="6" t="s">
        <v>38</v>
      </c>
      <c r="M34" s="15" t="s">
        <v>39</v>
      </c>
    </row>
    <row r="35" spans="2:18" ht="15.75" x14ac:dyDescent="0.25">
      <c r="E35" s="18">
        <v>8563</v>
      </c>
      <c r="F35" s="25" t="s">
        <v>75</v>
      </c>
      <c r="G35" s="26" t="s">
        <v>6</v>
      </c>
      <c r="H35" s="8">
        <v>142.80000000000001</v>
      </c>
      <c r="I35" s="8" t="s">
        <v>76</v>
      </c>
      <c r="K35" s="25"/>
      <c r="L35" s="41"/>
      <c r="M35" s="16"/>
    </row>
    <row r="36" spans="2:18" ht="15.75" x14ac:dyDescent="0.25">
      <c r="E36" s="18">
        <v>8907</v>
      </c>
      <c r="F36" s="25" t="s">
        <v>77</v>
      </c>
      <c r="G36" s="26" t="s">
        <v>6</v>
      </c>
      <c r="H36" s="8">
        <v>50</v>
      </c>
      <c r="I36" s="8" t="s">
        <v>78</v>
      </c>
      <c r="K36" s="25"/>
      <c r="L36" s="41"/>
      <c r="M36" s="16"/>
    </row>
    <row r="37" spans="2:18" ht="15.75" x14ac:dyDescent="0.25">
      <c r="E37" s="90">
        <v>9285</v>
      </c>
      <c r="F37" s="89" t="s">
        <v>79</v>
      </c>
      <c r="G37" s="91" t="s">
        <v>10</v>
      </c>
      <c r="H37" s="92">
        <v>92.85</v>
      </c>
      <c r="I37" s="92" t="s">
        <v>72</v>
      </c>
      <c r="K37" s="25"/>
      <c r="L37" s="41"/>
      <c r="M37" s="16"/>
    </row>
    <row r="38" spans="2:18" ht="15.75" x14ac:dyDescent="0.25">
      <c r="E38" s="18">
        <v>8619</v>
      </c>
      <c r="F38" s="25" t="s">
        <v>80</v>
      </c>
      <c r="G38" s="26" t="s">
        <v>7</v>
      </c>
      <c r="H38" s="8">
        <v>106.25</v>
      </c>
      <c r="I38" s="8" t="s">
        <v>81</v>
      </c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40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5:M31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zoomScale="80" zoomScaleNormal="80" workbookViewId="0">
      <selection activeCell="E8" sqref="E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'05'!B1+1</f>
        <v>45449</v>
      </c>
    </row>
    <row r="2" spans="2:18" ht="18.75" x14ac:dyDescent="0.2">
      <c r="B2" s="103" t="s">
        <v>41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6" t="s">
        <v>1</v>
      </c>
      <c r="F4" s="106"/>
      <c r="G4" s="106"/>
      <c r="H4" s="106"/>
      <c r="I4" s="106"/>
      <c r="J4" s="22"/>
      <c r="K4" s="100" t="s">
        <v>3</v>
      </c>
      <c r="L4" s="101"/>
      <c r="M4" s="102"/>
    </row>
    <row r="5" spans="2:18" ht="15" x14ac:dyDescent="0.25">
      <c r="B5" s="23" t="s">
        <v>1</v>
      </c>
      <c r="C5" s="24">
        <f>SUMIF(I6:I31,"&gt;0",H6:H31)</f>
        <v>200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118.5</v>
      </c>
      <c r="D6" s="2"/>
      <c r="E6" s="18">
        <v>9322</v>
      </c>
      <c r="F6" s="25" t="s">
        <v>82</v>
      </c>
      <c r="G6" s="26" t="s">
        <v>58</v>
      </c>
      <c r="H6" s="8"/>
      <c r="I6" s="8"/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9384</v>
      </c>
      <c r="F7" s="25" t="s">
        <v>83</v>
      </c>
      <c r="G7" s="26" t="s">
        <v>6</v>
      </c>
      <c r="H7" s="8">
        <v>200</v>
      </c>
      <c r="I7" s="8">
        <v>18.5</v>
      </c>
      <c r="J7" s="2"/>
      <c r="K7" s="25"/>
      <c r="L7" s="9"/>
      <c r="M7" s="16"/>
      <c r="R7" s="1">
        <f>IF(vend[[#This Row],[Nº Venda]]&gt;1,1,0)</f>
        <v>1</v>
      </c>
    </row>
    <row r="8" spans="2:18" ht="15.75" x14ac:dyDescent="0.25">
      <c r="B8" s="28" t="s">
        <v>23</v>
      </c>
      <c r="C8" s="29">
        <f>SUM(C6:C7)</f>
        <v>118.5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98" t="s">
        <v>5</v>
      </c>
      <c r="C10" s="98"/>
      <c r="D10" s="2"/>
      <c r="E10" s="18"/>
      <c r="F10" s="59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209.5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0" t="s">
        <v>25</v>
      </c>
      <c r="L13" s="101"/>
      <c r="M13" s="102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IF(vend[[#This Row],[Nº Venda]]&gt;1,1,0)</f>
        <v>0</v>
      </c>
    </row>
    <row r="15" spans="2:18" ht="15.75" x14ac:dyDescent="0.25">
      <c r="B15" s="30" t="s">
        <v>10</v>
      </c>
      <c r="C15" s="31">
        <f t="shared" si="0"/>
        <v>427.85</v>
      </c>
      <c r="D15" s="2"/>
      <c r="E15" s="18"/>
      <c r="F15" s="25"/>
      <c r="G15" s="26"/>
      <c r="H15" s="8"/>
      <c r="I15" s="8"/>
      <c r="J15" s="2"/>
      <c r="K15" s="18">
        <v>9012</v>
      </c>
      <c r="L15" s="25" t="s">
        <v>29</v>
      </c>
      <c r="M15" s="16" t="s">
        <v>32</v>
      </c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637.35</v>
      </c>
      <c r="D16" s="2"/>
      <c r="E16" s="18"/>
      <c r="F16" s="25"/>
      <c r="G16" s="26"/>
      <c r="H16" s="8"/>
      <c r="I16" s="8"/>
      <c r="J16" s="2"/>
      <c r="K16" s="25">
        <v>8814</v>
      </c>
      <c r="L16" s="9" t="s">
        <v>29</v>
      </c>
      <c r="M16" s="16" t="s">
        <v>32</v>
      </c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98" t="s">
        <v>12</v>
      </c>
      <c r="C18" s="9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2</v>
      </c>
      <c r="C19" s="31">
        <f>SUM(entr_carn6[Valor Total])</f>
        <v>2234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2234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33</v>
      </c>
      <c r="C22" s="32">
        <f>C5</f>
        <v>200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9" t="s">
        <v>34</v>
      </c>
      <c r="F24" s="99"/>
      <c r="G24" s="99"/>
      <c r="H24" s="99"/>
      <c r="I24" s="9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8814</v>
      </c>
      <c r="F26" s="25" t="s">
        <v>84</v>
      </c>
      <c r="G26" s="26" t="s">
        <v>6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9" t="s">
        <v>35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26</v>
      </c>
      <c r="F34" s="10" t="s">
        <v>15</v>
      </c>
      <c r="G34" s="11" t="s">
        <v>16</v>
      </c>
      <c r="H34" s="12" t="s">
        <v>36</v>
      </c>
      <c r="I34" s="13" t="s">
        <v>37</v>
      </c>
      <c r="K34" s="14" t="s">
        <v>26</v>
      </c>
      <c r="L34" s="6" t="s">
        <v>38</v>
      </c>
      <c r="M34" s="15" t="s">
        <v>39</v>
      </c>
    </row>
    <row r="35" spans="2:18" ht="15.75" x14ac:dyDescent="0.25">
      <c r="E35" s="18">
        <v>7675</v>
      </c>
      <c r="F35" s="25" t="s">
        <v>85</v>
      </c>
      <c r="G35" s="26" t="s">
        <v>10</v>
      </c>
      <c r="H35" s="8">
        <v>325</v>
      </c>
      <c r="I35" s="8" t="s">
        <v>86</v>
      </c>
      <c r="K35" s="25">
        <v>9012</v>
      </c>
      <c r="L35" s="41">
        <v>8</v>
      </c>
      <c r="M35" s="16">
        <v>1800</v>
      </c>
    </row>
    <row r="36" spans="2:18" ht="15.75" x14ac:dyDescent="0.25">
      <c r="E36" s="18">
        <v>8850</v>
      </c>
      <c r="F36" s="25" t="s">
        <v>87</v>
      </c>
      <c r="G36" s="26" t="s">
        <v>6</v>
      </c>
      <c r="H36" s="8">
        <v>91</v>
      </c>
      <c r="I36" s="8" t="s">
        <v>88</v>
      </c>
      <c r="K36" s="25">
        <v>8814</v>
      </c>
      <c r="L36" s="41">
        <v>4</v>
      </c>
      <c r="M36" s="16">
        <v>434</v>
      </c>
    </row>
    <row r="37" spans="2:18" ht="15.75" x14ac:dyDescent="0.25">
      <c r="E37" s="18">
        <v>8847</v>
      </c>
      <c r="F37" s="25" t="s">
        <v>89</v>
      </c>
      <c r="G37" s="26" t="s">
        <v>10</v>
      </c>
      <c r="H37" s="8">
        <v>102.85</v>
      </c>
      <c r="I37" s="8" t="s">
        <v>71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40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topLeftCell="A22" zoomScale="80" zoomScaleNormal="80" workbookViewId="0">
      <selection activeCell="L35" sqref="L35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83">
        <f>'06'!B1+1</f>
        <v>45450</v>
      </c>
    </row>
    <row r="2" spans="2:21" ht="18.75" x14ac:dyDescent="0.2">
      <c r="B2" s="103" t="s">
        <v>41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9" t="s">
        <v>0</v>
      </c>
      <c r="C4" s="20">
        <v>0</v>
      </c>
      <c r="D4" s="21"/>
      <c r="E4" s="106" t="s">
        <v>1</v>
      </c>
      <c r="F4" s="106"/>
      <c r="G4" s="106"/>
      <c r="H4" s="106"/>
      <c r="I4" s="106"/>
      <c r="J4" s="22"/>
      <c r="K4" s="100" t="s">
        <v>3</v>
      </c>
      <c r="L4" s="101"/>
      <c r="M4" s="102"/>
      <c r="U4" s="1">
        <v>0</v>
      </c>
    </row>
    <row r="5" spans="2:21" ht="15" x14ac:dyDescent="0.25">
      <c r="B5" s="23" t="s">
        <v>1</v>
      </c>
      <c r="C5" s="24">
        <f>SUMIF(I6:I31,"&gt;0",H6:H31)</f>
        <v>2985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3" t="s">
        <v>2</v>
      </c>
      <c r="C6" s="24">
        <f>SUM(I6:I41)</f>
        <v>3095</v>
      </c>
      <c r="D6" s="2"/>
      <c r="E6" s="18">
        <v>9324</v>
      </c>
      <c r="F6" s="48" t="s">
        <v>90</v>
      </c>
      <c r="G6" s="48" t="s">
        <v>7</v>
      </c>
      <c r="H6" s="47">
        <v>780</v>
      </c>
      <c r="I6" s="47">
        <v>100</v>
      </c>
      <c r="J6" s="2"/>
      <c r="K6" s="25"/>
      <c r="L6" s="9"/>
      <c r="M6" s="16"/>
      <c r="R6" s="1">
        <f>IF(vend7[[#This Row],[Nº Venda]]&gt;1,1,0)</f>
        <v>1</v>
      </c>
    </row>
    <row r="7" spans="2:21" ht="15.75" x14ac:dyDescent="0.25">
      <c r="B7" s="23" t="s">
        <v>3</v>
      </c>
      <c r="C7" s="24">
        <f>SUM(M6:M11)</f>
        <v>0</v>
      </c>
      <c r="D7" s="2"/>
      <c r="E7" s="18">
        <v>9326</v>
      </c>
      <c r="F7" s="48" t="s">
        <v>91</v>
      </c>
      <c r="G7" s="48" t="s">
        <v>7</v>
      </c>
      <c r="H7" s="47">
        <v>2015</v>
      </c>
      <c r="I7" s="47">
        <v>2015</v>
      </c>
      <c r="J7" s="2"/>
      <c r="K7" s="25"/>
      <c r="L7" s="9"/>
      <c r="M7" s="16"/>
      <c r="R7" s="1">
        <f>IF(vend7[[#This Row],[Nº Venda]]&gt;1,1,0)</f>
        <v>1</v>
      </c>
    </row>
    <row r="8" spans="2:21" ht="15.75" x14ac:dyDescent="0.25">
      <c r="B8" s="28" t="s">
        <v>23</v>
      </c>
      <c r="C8" s="29">
        <f>SUM(C6:C7)</f>
        <v>3095</v>
      </c>
      <c r="D8" s="2"/>
      <c r="E8" s="18">
        <v>9327</v>
      </c>
      <c r="F8" s="25" t="s">
        <v>91</v>
      </c>
      <c r="G8" s="26" t="s">
        <v>7</v>
      </c>
      <c r="H8" s="8">
        <v>190</v>
      </c>
      <c r="I8" s="8">
        <v>190</v>
      </c>
      <c r="J8" s="2"/>
      <c r="K8" s="25"/>
      <c r="L8" s="9"/>
      <c r="M8" s="16"/>
      <c r="R8" s="1">
        <f>IF(vend7[[#This Row],[Nº Venda]]&gt;1,1,0)</f>
        <v>1</v>
      </c>
    </row>
    <row r="9" spans="2:21" ht="15.75" x14ac:dyDescent="0.25">
      <c r="B9" s="2"/>
      <c r="C9" s="2"/>
      <c r="D9" s="2"/>
      <c r="E9" s="18">
        <v>9328</v>
      </c>
      <c r="F9" s="25" t="s">
        <v>92</v>
      </c>
      <c r="G9" s="26" t="s">
        <v>58</v>
      </c>
      <c r="H9" s="8"/>
      <c r="I9" s="8"/>
      <c r="J9" s="2"/>
      <c r="K9" s="25"/>
      <c r="L9" s="9"/>
      <c r="M9" s="16"/>
      <c r="R9" s="1">
        <f>IF(vend7[[#This Row],[Nº Venda]]&gt;1,1,0)</f>
        <v>1</v>
      </c>
    </row>
    <row r="10" spans="2:21" ht="15.75" x14ac:dyDescent="0.25">
      <c r="B10" s="98" t="s">
        <v>5</v>
      </c>
      <c r="C10" s="9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21" ht="15.75" x14ac:dyDescent="0.25">
      <c r="B11" s="30" t="s">
        <v>6</v>
      </c>
      <c r="C11" s="31">
        <f>(SUMIF($G$2:$G$31,B11,$I$2:$I$31))+(SUMIF($G$35:$G$41,B11,$H$35:$H$41))</f>
        <v>620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21" ht="15.75" x14ac:dyDescent="0.25">
      <c r="B12" s="30" t="s">
        <v>7</v>
      </c>
      <c r="C12" s="31">
        <f t="shared" ref="C12:C15" si="0">(SUMIF($G$2:$G$31,B12,$I$2:$I$31))+(SUMIF($G$35:$G$41,B12,$H$35:$H$41))</f>
        <v>2675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0" t="s">
        <v>25</v>
      </c>
      <c r="L13" s="101"/>
      <c r="M13" s="102"/>
      <c r="R13" s="1">
        <f>IF(vend7[[#This Row],[Nº Venda]]&gt;1,1,0)</f>
        <v>0</v>
      </c>
    </row>
    <row r="14" spans="2:21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IF(vend7[[#This Row],[Nº Venda]]&gt;1,1,0)</f>
        <v>0</v>
      </c>
    </row>
    <row r="15" spans="2:21" ht="15.75" x14ac:dyDescent="0.25">
      <c r="B15" s="30" t="s">
        <v>10</v>
      </c>
      <c r="C15" s="31">
        <f t="shared" si="0"/>
        <v>255.70999999999998</v>
      </c>
      <c r="D15" s="2"/>
      <c r="E15" s="18"/>
      <c r="F15" s="25"/>
      <c r="G15" s="26"/>
      <c r="H15" s="8"/>
      <c r="I15" s="8"/>
      <c r="J15" s="2"/>
      <c r="K15" s="49">
        <v>9327</v>
      </c>
      <c r="L15" s="50" t="s">
        <v>61</v>
      </c>
      <c r="M15" s="51" t="s">
        <v>30</v>
      </c>
      <c r="R15" s="1">
        <f>IF(vend7[[#This Row],[Nº Venda]]&gt;1,1,0)</f>
        <v>0</v>
      </c>
    </row>
    <row r="16" spans="2:21" ht="15.75" x14ac:dyDescent="0.25">
      <c r="B16" s="28" t="s">
        <v>11</v>
      </c>
      <c r="C16" s="32">
        <f>SUM(C11:C15)</f>
        <v>3550.71</v>
      </c>
      <c r="D16" s="2"/>
      <c r="E16" s="18"/>
      <c r="F16" s="25"/>
      <c r="G16" s="26"/>
      <c r="H16" s="8"/>
      <c r="I16" s="8"/>
      <c r="J16" s="2"/>
      <c r="K16" s="45">
        <v>9204</v>
      </c>
      <c r="L16" s="9" t="s">
        <v>29</v>
      </c>
      <c r="M16" s="16" t="s">
        <v>30</v>
      </c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5">
        <v>9257</v>
      </c>
      <c r="L17" s="9" t="s">
        <v>31</v>
      </c>
      <c r="M17" s="16" t="s">
        <v>30</v>
      </c>
      <c r="R17" s="1">
        <f>IF(vend7[[#This Row],[Nº Venda]]&gt;1,1,0)</f>
        <v>0</v>
      </c>
    </row>
    <row r="18" spans="2:18" ht="15.75" x14ac:dyDescent="0.25">
      <c r="B18" s="98" t="s">
        <v>12</v>
      </c>
      <c r="C18" s="98"/>
      <c r="D18" s="2"/>
      <c r="E18" s="18"/>
      <c r="F18" s="25"/>
      <c r="G18" s="26"/>
      <c r="H18" s="8"/>
      <c r="I18" s="8"/>
      <c r="J18" s="2"/>
      <c r="K18" s="45">
        <v>9260</v>
      </c>
      <c r="L18" s="9" t="s">
        <v>93</v>
      </c>
      <c r="M18" s="16" t="s">
        <v>30</v>
      </c>
      <c r="R18" s="1">
        <f>IF(vend7[[#This Row],[Nº Venda]]&gt;1,1,0)</f>
        <v>0</v>
      </c>
    </row>
    <row r="19" spans="2:18" ht="15.75" x14ac:dyDescent="0.25">
      <c r="B19" s="30">
        <f>COUNT(entr_carn7[OS])</f>
        <v>1</v>
      </c>
      <c r="C19" s="31">
        <f>SUM(entr_carn7[Valor Total])</f>
        <v>530</v>
      </c>
      <c r="D19" s="2"/>
      <c r="E19" s="18"/>
      <c r="F19" s="25"/>
      <c r="G19" s="26"/>
      <c r="H19" s="8"/>
      <c r="I19" s="8"/>
      <c r="J19" s="2"/>
      <c r="K19" s="45">
        <v>9263</v>
      </c>
      <c r="L19" s="9" t="s">
        <v>31</v>
      </c>
      <c r="M19" s="16" t="s">
        <v>30</v>
      </c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530</v>
      </c>
      <c r="D20" s="2"/>
      <c r="E20" s="18"/>
      <c r="F20" s="26"/>
      <c r="G20" s="26"/>
      <c r="H20" s="8"/>
      <c r="I20" s="8"/>
      <c r="J20" s="2"/>
      <c r="K20" s="45">
        <v>9092</v>
      </c>
      <c r="L20" s="9" t="s">
        <v>31</v>
      </c>
      <c r="M20" s="16" t="s">
        <v>32</v>
      </c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5">
        <v>9212</v>
      </c>
      <c r="L21" s="9" t="s">
        <v>61</v>
      </c>
      <c r="M21" s="16" t="s">
        <v>30</v>
      </c>
    </row>
    <row r="22" spans="2:18" ht="15.75" x14ac:dyDescent="0.25">
      <c r="B22" s="28" t="s">
        <v>33</v>
      </c>
      <c r="C22" s="32">
        <f>C5</f>
        <v>2985</v>
      </c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99" t="s">
        <v>34</v>
      </c>
      <c r="F24" s="99"/>
      <c r="G24" s="99"/>
      <c r="H24" s="99"/>
      <c r="I24" s="99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77">
        <v>8531</v>
      </c>
      <c r="F26" s="64" t="s">
        <v>94</v>
      </c>
      <c r="G26" s="78" t="s">
        <v>6</v>
      </c>
      <c r="H26" s="79">
        <v>0</v>
      </c>
      <c r="I26" s="79">
        <v>100</v>
      </c>
      <c r="J26" s="2"/>
      <c r="K26" s="45"/>
      <c r="L26" s="9"/>
      <c r="M26" s="16"/>
    </row>
    <row r="27" spans="2:18" ht="15.75" x14ac:dyDescent="0.25">
      <c r="B27" s="2"/>
      <c r="C27" s="2"/>
      <c r="D27" s="2"/>
      <c r="E27" s="18">
        <v>9204</v>
      </c>
      <c r="F27" s="25" t="s">
        <v>95</v>
      </c>
      <c r="G27" s="26" t="s">
        <v>7</v>
      </c>
      <c r="H27" s="8">
        <v>0</v>
      </c>
      <c r="I27" s="8">
        <v>370</v>
      </c>
      <c r="J27" s="2"/>
      <c r="K27" s="45"/>
      <c r="L27" s="9"/>
      <c r="M27" s="16"/>
    </row>
    <row r="28" spans="2:18" ht="15.75" x14ac:dyDescent="0.25">
      <c r="B28" s="2"/>
      <c r="C28" s="2"/>
      <c r="D28" s="2"/>
      <c r="E28" s="18">
        <v>9092</v>
      </c>
      <c r="F28" s="25" t="s">
        <v>96</v>
      </c>
      <c r="G28" s="26" t="s">
        <v>6</v>
      </c>
      <c r="H28" s="8">
        <v>0</v>
      </c>
      <c r="I28" s="8">
        <v>100</v>
      </c>
      <c r="J28" s="2"/>
      <c r="K28" s="45"/>
      <c r="L28" s="9"/>
      <c r="M28" s="16"/>
    </row>
    <row r="29" spans="2:18" ht="15.75" x14ac:dyDescent="0.25">
      <c r="B29" s="2"/>
      <c r="C29" s="2"/>
      <c r="D29" s="2"/>
      <c r="E29" s="18">
        <v>8992</v>
      </c>
      <c r="F29" s="25" t="s">
        <v>97</v>
      </c>
      <c r="G29" s="26" t="s">
        <v>6</v>
      </c>
      <c r="H29" s="8">
        <v>0</v>
      </c>
      <c r="I29" s="8">
        <v>120</v>
      </c>
      <c r="J29" s="2"/>
      <c r="K29" s="45"/>
      <c r="L29" s="9"/>
      <c r="M29" s="16"/>
    </row>
    <row r="30" spans="2:18" ht="15.75" x14ac:dyDescent="0.25">
      <c r="B30" s="2"/>
      <c r="C30" s="2"/>
      <c r="D30" s="2"/>
      <c r="E30" s="18">
        <v>8992</v>
      </c>
      <c r="F30" s="39" t="s">
        <v>97</v>
      </c>
      <c r="G30" s="26" t="s">
        <v>10</v>
      </c>
      <c r="H30" s="8">
        <v>0</v>
      </c>
      <c r="I30" s="8">
        <v>100</v>
      </c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9" t="s">
        <v>35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26</v>
      </c>
      <c r="F34" s="10" t="s">
        <v>15</v>
      </c>
      <c r="G34" s="11" t="s">
        <v>16</v>
      </c>
      <c r="H34" s="12" t="s">
        <v>36</v>
      </c>
      <c r="I34" s="13" t="s">
        <v>37</v>
      </c>
      <c r="K34" s="14" t="s">
        <v>26</v>
      </c>
      <c r="L34" s="6" t="s">
        <v>38</v>
      </c>
      <c r="M34" s="15" t="s">
        <v>39</v>
      </c>
    </row>
    <row r="35" spans="2:18" ht="15.75" x14ac:dyDescent="0.25">
      <c r="E35" s="18">
        <v>9104</v>
      </c>
      <c r="F35" s="25" t="s">
        <v>98</v>
      </c>
      <c r="G35" s="26" t="s">
        <v>10</v>
      </c>
      <c r="H35" s="8">
        <v>57.14</v>
      </c>
      <c r="I35" s="8" t="s">
        <v>56</v>
      </c>
      <c r="K35" s="25">
        <v>9092</v>
      </c>
      <c r="L35" s="41">
        <v>5</v>
      </c>
      <c r="M35" s="16">
        <v>530</v>
      </c>
    </row>
    <row r="36" spans="2:18" ht="15.75" x14ac:dyDescent="0.25">
      <c r="E36" s="18">
        <v>8551</v>
      </c>
      <c r="F36" s="25" t="s">
        <v>99</v>
      </c>
      <c r="G36" s="26" t="s">
        <v>10</v>
      </c>
      <c r="H36" s="8">
        <v>98.57</v>
      </c>
      <c r="I36" s="8" t="s">
        <v>72</v>
      </c>
      <c r="K36" s="25"/>
      <c r="L36" s="41"/>
      <c r="M36" s="16"/>
    </row>
    <row r="37" spans="2:18" ht="15.75" x14ac:dyDescent="0.25">
      <c r="E37" s="18">
        <v>9222</v>
      </c>
      <c r="F37" s="25" t="s">
        <v>100</v>
      </c>
      <c r="G37" s="26" t="s">
        <v>6</v>
      </c>
      <c r="H37" s="8">
        <v>150</v>
      </c>
      <c r="I37" s="8" t="s">
        <v>101</v>
      </c>
      <c r="K37" s="25"/>
      <c r="L37" s="41"/>
      <c r="M37" s="16"/>
    </row>
    <row r="38" spans="2:18" ht="15.75" x14ac:dyDescent="0.25">
      <c r="E38" s="18">
        <v>9222</v>
      </c>
      <c r="F38" s="25" t="s">
        <v>100</v>
      </c>
      <c r="G38" s="26" t="s">
        <v>6</v>
      </c>
      <c r="H38" s="8">
        <v>150</v>
      </c>
      <c r="I38" s="8" t="s">
        <v>101</v>
      </c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40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zoomScale="80" zoomScaleNormal="80" workbookViewId="0">
      <selection activeCell="F41" sqref="F41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'07'!B1+1</f>
        <v>45451</v>
      </c>
    </row>
    <row r="2" spans="2:18" ht="18.75" x14ac:dyDescent="0.2">
      <c r="B2" s="103" t="s">
        <v>41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6" t="s">
        <v>1</v>
      </c>
      <c r="F4" s="106"/>
      <c r="G4" s="106"/>
      <c r="H4" s="106"/>
      <c r="I4" s="106"/>
      <c r="J4" s="22"/>
      <c r="K4" s="100" t="s">
        <v>3</v>
      </c>
      <c r="L4" s="101"/>
      <c r="M4" s="102"/>
    </row>
    <row r="5" spans="2:18" ht="15" x14ac:dyDescent="0.25">
      <c r="B5" s="23" t="s">
        <v>1</v>
      </c>
      <c r="C5" s="24">
        <f>SUMIF(I6:I31,"&gt;0",H6:H31)</f>
        <v>719.9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2620.4</v>
      </c>
      <c r="D6" s="2"/>
      <c r="E6" s="84">
        <v>9325</v>
      </c>
      <c r="F6" s="8" t="s">
        <v>178</v>
      </c>
      <c r="G6" s="8" t="s">
        <v>7</v>
      </c>
      <c r="H6" s="8">
        <v>39.9</v>
      </c>
      <c r="I6" s="8">
        <v>39.9</v>
      </c>
      <c r="J6" s="2"/>
      <c r="K6" s="25"/>
      <c r="L6" s="9"/>
      <c r="M6" s="16"/>
      <c r="R6" s="1">
        <f>IF(vend8[[#This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84">
        <v>9328</v>
      </c>
      <c r="F7" s="8" t="s">
        <v>179</v>
      </c>
      <c r="G7" s="8" t="s">
        <v>10</v>
      </c>
      <c r="H7" s="8">
        <v>280</v>
      </c>
      <c r="I7" s="8">
        <v>250</v>
      </c>
      <c r="J7" s="2"/>
      <c r="K7" s="25"/>
      <c r="L7" s="9"/>
      <c r="M7" s="16"/>
      <c r="R7" s="1">
        <f>IF(vend8[[#This Row],[Nº Venda]]&gt;1,1,0)</f>
        <v>1</v>
      </c>
    </row>
    <row r="8" spans="2:18" ht="15.75" x14ac:dyDescent="0.25">
      <c r="B8" s="28" t="s">
        <v>23</v>
      </c>
      <c r="C8" s="29">
        <f>SUM(C6:C7)</f>
        <v>2620.4</v>
      </c>
      <c r="D8" s="2"/>
      <c r="E8" s="84">
        <v>9330</v>
      </c>
      <c r="F8" s="8" t="s">
        <v>180</v>
      </c>
      <c r="G8" s="8" t="s">
        <v>6</v>
      </c>
      <c r="H8" s="8">
        <v>400</v>
      </c>
      <c r="I8" s="8">
        <v>50</v>
      </c>
      <c r="J8" s="2"/>
      <c r="K8" s="25"/>
      <c r="L8" s="9"/>
      <c r="M8" s="16"/>
      <c r="R8" s="1">
        <f>IF(vend8[[#This Row],[Nº Venda]]&gt;1,1,0)</f>
        <v>1</v>
      </c>
    </row>
    <row r="9" spans="2:18" ht="15.75" x14ac:dyDescent="0.25">
      <c r="B9" s="2"/>
      <c r="C9" s="2"/>
      <c r="D9" s="2"/>
      <c r="E9" s="84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98" t="s">
        <v>5</v>
      </c>
      <c r="C10" s="9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82">
        <f>(SUMIF($G$2:$G$31,B11,$I$2:$I$31))+(SUMIF($G$35:$G$42,B11,$H$35:$H$42))</f>
        <v>105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82">
        <f>(SUMIF($G$2:$G$31,B12,$I$2:$I$31))+(SUMIF($G$35:$G$42,B12,$H$35:$H$42))</f>
        <v>1065.6199999999999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82">
        <f>(SUMIF($G$2:$G$31,B13,$I$2:$I$31))+(SUMIF($G$35:$G$42,B13,$H$35:$H$42))</f>
        <v>1399</v>
      </c>
      <c r="D13" s="2"/>
      <c r="E13" s="18"/>
      <c r="F13" s="25"/>
      <c r="G13" s="26"/>
      <c r="H13" s="8"/>
      <c r="I13" s="8"/>
      <c r="J13" s="2"/>
      <c r="K13" s="100" t="s">
        <v>25</v>
      </c>
      <c r="L13" s="101"/>
      <c r="M13" s="102"/>
      <c r="R13" s="1">
        <f>IF(vend8[[#This Row],[Nº Venda]]&gt;1,1,0)</f>
        <v>0</v>
      </c>
    </row>
    <row r="14" spans="2:18" ht="15.75" x14ac:dyDescent="0.25">
      <c r="B14" s="30" t="s">
        <v>9</v>
      </c>
      <c r="C14" s="82">
        <f>(SUMIF($G$2:$G$31,B14,$I$2:$I$31))+(SUMIF($G$35:$G$42,B14,$H$35:$H$42))</f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82">
        <f>(SUMIF($G$2:$G$31,B15,$I$2:$I$31))+(SUMIF($G$35:$G$42,B15,$H$35:$H$42))</f>
        <v>688.83</v>
      </c>
      <c r="D15" s="2"/>
      <c r="E15" s="18"/>
      <c r="F15" s="25"/>
      <c r="G15" s="26"/>
      <c r="H15" s="8"/>
      <c r="I15" s="8"/>
      <c r="J15" s="2"/>
      <c r="K15" s="25">
        <v>9030</v>
      </c>
      <c r="L15" s="9" t="s">
        <v>74</v>
      </c>
      <c r="M15" s="16" t="s">
        <v>30</v>
      </c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3258.45</v>
      </c>
      <c r="D16" s="2"/>
      <c r="E16" s="18"/>
      <c r="F16" s="25"/>
      <c r="G16" s="26"/>
      <c r="H16" s="8"/>
      <c r="I16" s="8"/>
      <c r="J16" s="2"/>
      <c r="K16" s="25">
        <v>9201</v>
      </c>
      <c r="L16" s="9" t="s">
        <v>61</v>
      </c>
      <c r="M16" s="16" t="s">
        <v>30</v>
      </c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9225</v>
      </c>
      <c r="L17" s="9" t="s">
        <v>31</v>
      </c>
      <c r="M17" s="16" t="s">
        <v>30</v>
      </c>
      <c r="R17" s="1">
        <f>IF(vend8[[#This Row],[Nº Venda]]&gt;1,1,0)</f>
        <v>0</v>
      </c>
    </row>
    <row r="18" spans="2:18" ht="15.75" x14ac:dyDescent="0.25">
      <c r="B18" s="98" t="s">
        <v>12</v>
      </c>
      <c r="C18" s="98"/>
      <c r="D18" s="2"/>
      <c r="E18" s="18"/>
      <c r="F18" s="25"/>
      <c r="G18" s="26"/>
      <c r="H18" s="8"/>
      <c r="I18" s="8"/>
      <c r="J18" s="2"/>
      <c r="K18" s="25">
        <v>8822</v>
      </c>
      <c r="L18" s="9" t="s">
        <v>29</v>
      </c>
      <c r="M18" s="16" t="s">
        <v>30</v>
      </c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>
        <v>9190</v>
      </c>
      <c r="L19" s="9" t="s">
        <v>29</v>
      </c>
      <c r="M19" s="16" t="s">
        <v>30</v>
      </c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9256</v>
      </c>
      <c r="L20" s="9" t="s">
        <v>31</v>
      </c>
      <c r="M20" s="16" t="s">
        <v>30</v>
      </c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33</v>
      </c>
      <c r="C22" s="32">
        <f>C5</f>
        <v>719.9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9" t="s">
        <v>34</v>
      </c>
      <c r="F24" s="99"/>
      <c r="G24" s="99"/>
      <c r="H24" s="99"/>
      <c r="I24" s="9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85">
        <v>9201</v>
      </c>
      <c r="F26" s="86" t="s">
        <v>182</v>
      </c>
      <c r="G26" s="87" t="s">
        <v>8</v>
      </c>
      <c r="H26" s="88">
        <v>0</v>
      </c>
      <c r="I26" s="88">
        <v>900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9225</v>
      </c>
      <c r="F27" s="25" t="s">
        <v>183</v>
      </c>
      <c r="G27" s="46" t="s">
        <v>7</v>
      </c>
      <c r="H27" s="8">
        <v>0</v>
      </c>
      <c r="I27" s="8">
        <v>700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8822</v>
      </c>
      <c r="F28" s="25" t="s">
        <v>184</v>
      </c>
      <c r="G28" s="46" t="s">
        <v>8</v>
      </c>
      <c r="H28" s="8">
        <v>0</v>
      </c>
      <c r="I28" s="8">
        <v>499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9323</v>
      </c>
      <c r="F29" s="25" t="s">
        <v>185</v>
      </c>
      <c r="G29" s="46" t="s">
        <v>10</v>
      </c>
      <c r="H29" s="8">
        <v>0</v>
      </c>
      <c r="I29" s="8">
        <v>181.5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9" t="s">
        <v>35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26</v>
      </c>
      <c r="F34" s="10" t="s">
        <v>15</v>
      </c>
      <c r="G34" s="11" t="s">
        <v>16</v>
      </c>
      <c r="H34" s="12" t="s">
        <v>36</v>
      </c>
      <c r="I34" s="13" t="s">
        <v>37</v>
      </c>
      <c r="K34" s="14" t="s">
        <v>26</v>
      </c>
      <c r="L34" s="6" t="s">
        <v>38</v>
      </c>
      <c r="M34" s="15" t="s">
        <v>39</v>
      </c>
    </row>
    <row r="35" spans="2:18" ht="15.75" x14ac:dyDescent="0.25">
      <c r="E35" s="18">
        <v>9072</v>
      </c>
      <c r="F35" s="25" t="s">
        <v>83</v>
      </c>
      <c r="G35" s="26" t="s">
        <v>10</v>
      </c>
      <c r="H35" s="8">
        <v>168.33</v>
      </c>
      <c r="I35" s="8" t="s">
        <v>124</v>
      </c>
      <c r="K35" s="25"/>
      <c r="L35" s="41"/>
      <c r="M35" s="16"/>
    </row>
    <row r="36" spans="2:18" ht="15.75" x14ac:dyDescent="0.25">
      <c r="E36" s="18">
        <v>8472</v>
      </c>
      <c r="F36" s="25" t="s">
        <v>181</v>
      </c>
      <c r="G36" s="26" t="s">
        <v>7</v>
      </c>
      <c r="H36" s="8">
        <v>125.72</v>
      </c>
      <c r="I36" s="8" t="s">
        <v>129</v>
      </c>
      <c r="K36" s="25"/>
      <c r="L36" s="41"/>
      <c r="M36" s="16"/>
    </row>
    <row r="37" spans="2:18" ht="15.75" x14ac:dyDescent="0.25">
      <c r="E37" s="18">
        <v>8370</v>
      </c>
      <c r="F37" s="25" t="s">
        <v>186</v>
      </c>
      <c r="G37" s="26" t="s">
        <v>7</v>
      </c>
      <c r="H37" s="8">
        <v>120</v>
      </c>
      <c r="I37" s="8" t="s">
        <v>76</v>
      </c>
      <c r="K37" s="25"/>
      <c r="L37" s="41"/>
      <c r="M37" s="16"/>
    </row>
    <row r="38" spans="2:18" ht="15.75" x14ac:dyDescent="0.25">
      <c r="E38" s="18">
        <v>8790</v>
      </c>
      <c r="F38" s="25" t="s">
        <v>187</v>
      </c>
      <c r="G38" s="26" t="s">
        <v>6</v>
      </c>
      <c r="H38" s="8">
        <v>55</v>
      </c>
      <c r="I38" s="8" t="s">
        <v>128</v>
      </c>
      <c r="K38" s="25"/>
      <c r="L38" s="41"/>
      <c r="M38" s="16"/>
    </row>
    <row r="39" spans="2:18" ht="15.75" x14ac:dyDescent="0.25">
      <c r="E39" s="18">
        <v>8364</v>
      </c>
      <c r="F39" s="39" t="s">
        <v>188</v>
      </c>
      <c r="G39" s="26" t="s">
        <v>7</v>
      </c>
      <c r="H39" s="8">
        <v>80</v>
      </c>
      <c r="I39" s="8" t="s">
        <v>65</v>
      </c>
      <c r="K39" s="25"/>
      <c r="L39" s="41"/>
      <c r="M39" s="16"/>
    </row>
    <row r="40" spans="2:18" ht="15.75" x14ac:dyDescent="0.25">
      <c r="E40" s="35">
        <v>9166</v>
      </c>
      <c r="F40" s="36" t="s">
        <v>189</v>
      </c>
      <c r="G40" s="37" t="s">
        <v>10</v>
      </c>
      <c r="H40" s="17">
        <v>89</v>
      </c>
      <c r="I40" s="8" t="s">
        <v>67</v>
      </c>
      <c r="K40" s="36"/>
      <c r="L40" s="42"/>
      <c r="M40" s="40"/>
      <c r="Q40" s="1" t="s">
        <v>40</v>
      </c>
      <c r="R40" s="1">
        <f>SUM(R6:R21)</f>
        <v>3</v>
      </c>
    </row>
    <row r="41" spans="2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2:18" ht="15.75" x14ac:dyDescent="0.25">
      <c r="E42" s="35"/>
      <c r="F42" s="97"/>
      <c r="G42" s="37"/>
      <c r="H42" s="17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zoomScale="80" zoomScaleNormal="80" workbookViewId="0">
      <selection activeCell="K35" sqref="K35:M4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8">
        <f>'08'!B1+1</f>
        <v>45452</v>
      </c>
    </row>
    <row r="2" spans="2:22" ht="18.75" x14ac:dyDescent="0.2">
      <c r="B2" s="103" t="s">
        <v>41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0</v>
      </c>
      <c r="C4" s="20">
        <v>0</v>
      </c>
      <c r="D4" s="21"/>
      <c r="E4" s="106" t="s">
        <v>1</v>
      </c>
      <c r="F4" s="106"/>
      <c r="G4" s="106"/>
      <c r="H4" s="106"/>
      <c r="I4" s="106"/>
      <c r="J4" s="22"/>
      <c r="K4" s="100" t="s">
        <v>3</v>
      </c>
      <c r="L4" s="101"/>
      <c r="M4" s="102"/>
    </row>
    <row r="5" spans="2:22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22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22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22" ht="15.75" x14ac:dyDescent="0.25">
      <c r="B10" s="98" t="s">
        <v>5</v>
      </c>
      <c r="C10" s="9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22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IF(vend9[[#This Row],[Nº Venda]]&gt;1,1,0)</f>
        <v>0</v>
      </c>
    </row>
    <row r="12" spans="2:22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0" t="s">
        <v>25</v>
      </c>
      <c r="L13" s="101"/>
      <c r="M13" s="102"/>
      <c r="R13" s="1">
        <f>IF(vend9[[#This Row],[Nº Venda]]&gt;1,1,0)</f>
        <v>0</v>
      </c>
    </row>
    <row r="14" spans="2:22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IF(vend9[[#This Row],[Nº Venda]]&gt;1,1,0)</f>
        <v>0</v>
      </c>
    </row>
    <row r="15" spans="2:22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22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98" t="s">
        <v>12</v>
      </c>
      <c r="C18" s="9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33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9" t="s">
        <v>34</v>
      </c>
      <c r="F24" s="99"/>
      <c r="G24" s="99"/>
      <c r="H24" s="99"/>
      <c r="I24" s="9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9" t="s">
        <v>35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26</v>
      </c>
      <c r="F34" s="10" t="s">
        <v>15</v>
      </c>
      <c r="G34" s="11" t="s">
        <v>16</v>
      </c>
      <c r="H34" s="12" t="s">
        <v>36</v>
      </c>
      <c r="I34" s="13" t="s">
        <v>37</v>
      </c>
      <c r="K34" s="14" t="s">
        <v>26</v>
      </c>
      <c r="L34" s="6" t="s">
        <v>38</v>
      </c>
      <c r="M34" s="15" t="s">
        <v>39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40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tabSelected="1" zoomScale="80" zoomScaleNormal="80" workbookViewId="0">
      <selection activeCell="M23" sqref="M2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'09'!B1+1</f>
        <v>45453</v>
      </c>
    </row>
    <row r="2" spans="2:18" ht="18.75" x14ac:dyDescent="0.2">
      <c r="B2" s="103" t="s">
        <v>41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6" t="s">
        <v>1</v>
      </c>
      <c r="F4" s="106"/>
      <c r="G4" s="106"/>
      <c r="H4" s="106"/>
      <c r="I4" s="106"/>
      <c r="J4" s="22"/>
      <c r="K4" s="100" t="s">
        <v>3</v>
      </c>
      <c r="L4" s="101"/>
      <c r="M4" s="102"/>
    </row>
    <row r="5" spans="2:18" ht="15" x14ac:dyDescent="0.25">
      <c r="B5" s="23" t="s">
        <v>1</v>
      </c>
      <c r="C5" s="24">
        <f>SUMIF(I6:I32,"&gt;0",H6:H32)</f>
        <v>1218.97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SUM(I6:I42)</f>
        <v>1028.99</v>
      </c>
      <c r="D6" s="2"/>
      <c r="E6" s="18">
        <v>9331</v>
      </c>
      <c r="F6" s="25" t="s">
        <v>190</v>
      </c>
      <c r="G6" s="46" t="s">
        <v>6</v>
      </c>
      <c r="H6" s="8">
        <v>40</v>
      </c>
      <c r="I6" s="8">
        <v>40</v>
      </c>
      <c r="J6" s="2"/>
      <c r="K6" s="25"/>
      <c r="L6" s="9"/>
      <c r="M6" s="16"/>
      <c r="R6" s="1">
        <f>IF(vend10[[#This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9332</v>
      </c>
      <c r="F7" s="25" t="s">
        <v>191</v>
      </c>
      <c r="G7" s="46" t="s">
        <v>7</v>
      </c>
      <c r="H7" s="8">
        <v>110</v>
      </c>
      <c r="I7" s="8">
        <v>110</v>
      </c>
      <c r="J7" s="2"/>
      <c r="K7" s="25"/>
      <c r="L7" s="9"/>
      <c r="M7" s="16"/>
      <c r="R7" s="1">
        <f>IF(vend10[[#This Row],[Nº Venda]]&gt;1,1,0)</f>
        <v>1</v>
      </c>
    </row>
    <row r="8" spans="2:18" ht="15.75" x14ac:dyDescent="0.25">
      <c r="B8" s="28" t="s">
        <v>23</v>
      </c>
      <c r="C8" s="29">
        <f>SUM(C6:C7)</f>
        <v>1028.99</v>
      </c>
      <c r="D8" s="2"/>
      <c r="E8" s="18">
        <v>9333</v>
      </c>
      <c r="F8" s="25" t="s">
        <v>192</v>
      </c>
      <c r="G8" s="26" t="s">
        <v>8</v>
      </c>
      <c r="H8" s="8">
        <v>120</v>
      </c>
      <c r="I8" s="8">
        <v>120</v>
      </c>
      <c r="J8" s="2"/>
      <c r="K8" s="25"/>
      <c r="L8" s="9"/>
      <c r="M8" s="16"/>
      <c r="R8" s="1">
        <f>IF(vend10[[#This Row],[Nº Venda]]&gt;1,1,0)</f>
        <v>1</v>
      </c>
    </row>
    <row r="9" spans="2:18" ht="15.75" x14ac:dyDescent="0.25">
      <c r="B9" s="2"/>
      <c r="C9" s="2"/>
      <c r="D9" s="2"/>
      <c r="E9" s="18">
        <v>9334</v>
      </c>
      <c r="F9" s="25" t="s">
        <v>193</v>
      </c>
      <c r="G9" s="26" t="s">
        <v>7</v>
      </c>
      <c r="H9" s="8">
        <v>300</v>
      </c>
      <c r="I9" s="8">
        <v>150</v>
      </c>
      <c r="J9" s="2"/>
      <c r="K9" s="25"/>
      <c r="L9" s="9"/>
      <c r="M9" s="16"/>
      <c r="R9" s="1">
        <f>IF(vend10[[#This Row],[Nº Venda]]&gt;1,1,0)</f>
        <v>1</v>
      </c>
    </row>
    <row r="10" spans="2:18" ht="15.75" x14ac:dyDescent="0.25">
      <c r="B10" s="98" t="s">
        <v>5</v>
      </c>
      <c r="C10" s="98"/>
      <c r="D10" s="2"/>
      <c r="E10" s="18">
        <v>9335</v>
      </c>
      <c r="F10" s="25" t="s">
        <v>194</v>
      </c>
      <c r="G10" s="26" t="s">
        <v>8</v>
      </c>
      <c r="H10" s="8">
        <v>499</v>
      </c>
      <c r="I10" s="8">
        <v>499</v>
      </c>
      <c r="J10" s="2"/>
      <c r="K10" s="25"/>
      <c r="L10" s="9"/>
      <c r="M10" s="16"/>
      <c r="R10" s="1">
        <f>IF(vend10[[#This Row],[Nº Venda]]&gt;1,1,0)</f>
        <v>1</v>
      </c>
    </row>
    <row r="11" spans="2:18" ht="15.75" x14ac:dyDescent="0.25">
      <c r="B11" s="30" t="s">
        <v>6</v>
      </c>
      <c r="C11" s="31">
        <f>(SUMIF($G$2:$G$32,B11,$I$2:$I$32))+(SUMIF($G$36:$G$42,B11,$H$36:$H$42))</f>
        <v>181.25</v>
      </c>
      <c r="D11" s="2"/>
      <c r="E11" s="18">
        <v>9336</v>
      </c>
      <c r="F11" s="25" t="s">
        <v>195</v>
      </c>
      <c r="G11" s="26" t="s">
        <v>6</v>
      </c>
      <c r="H11" s="8">
        <v>99.98</v>
      </c>
      <c r="I11" s="8">
        <v>10</v>
      </c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1</v>
      </c>
    </row>
    <row r="12" spans="2:18" ht="15.75" x14ac:dyDescent="0.25">
      <c r="B12" s="30" t="s">
        <v>7</v>
      </c>
      <c r="C12" s="31">
        <f>(SUMIF($G$2:$G$32,B12,$I$2:$I$32))+(SUMIF($G$36:$G$42,B12,$H$36:$H$42))</f>
        <v>260</v>
      </c>
      <c r="D12" s="2"/>
      <c r="E12" s="18">
        <v>9337</v>
      </c>
      <c r="F12" s="25" t="s">
        <v>196</v>
      </c>
      <c r="G12" s="26" t="s">
        <v>10</v>
      </c>
      <c r="H12" s="8">
        <v>49.99</v>
      </c>
      <c r="I12" s="8">
        <v>49.99</v>
      </c>
      <c r="J12" s="2"/>
      <c r="R12" s="1">
        <f>IF(vend10[[#This Row],[Nº Venda]]&gt;1,1,0)</f>
        <v>1</v>
      </c>
    </row>
    <row r="13" spans="2:18" ht="15.75" x14ac:dyDescent="0.25">
      <c r="B13" s="30" t="s">
        <v>8</v>
      </c>
      <c r="C13" s="31">
        <f>(SUMIF($G$2:$G$32,B13,$I$2:$I$32))+(SUMIF($G$36:$G$42,B13,$H$36:$H$42))</f>
        <v>619</v>
      </c>
      <c r="D13" s="2"/>
      <c r="E13" s="18"/>
      <c r="F13" s="25"/>
      <c r="G13" s="26"/>
      <c r="H13" s="8"/>
      <c r="I13" s="8"/>
      <c r="J13" s="2"/>
      <c r="K13" s="100" t="s">
        <v>25</v>
      </c>
      <c r="L13" s="101"/>
      <c r="M13" s="102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>(SUMIF($G$2:$G$32,B14,$I$2:$I$32))+(SUMIF($G$36:$G$42,B14,$H$36:$H$42))</f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IF(vend10[[#This Row],[Nº Venda]]&gt;1,1,0)</f>
        <v>0</v>
      </c>
    </row>
    <row r="15" spans="2:18" ht="15.75" x14ac:dyDescent="0.25">
      <c r="B15" s="30" t="s">
        <v>10</v>
      </c>
      <c r="C15" s="31">
        <f>(SUMIF($G$2:$G$32,B15,$I$2:$I$32))+(SUMIF($G$36:$G$42,B15,$H$36:$H$42))</f>
        <v>49.99</v>
      </c>
      <c r="D15" s="2"/>
      <c r="E15" s="18"/>
      <c r="F15" s="25"/>
      <c r="G15" s="26"/>
      <c r="H15" s="8"/>
      <c r="I15" s="8"/>
      <c r="J15" s="2"/>
      <c r="K15" s="25">
        <v>9287</v>
      </c>
      <c r="L15" s="9" t="s">
        <v>61</v>
      </c>
      <c r="M15" s="16" t="s">
        <v>30</v>
      </c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1110.24</v>
      </c>
      <c r="D16" s="2"/>
      <c r="E16" s="18"/>
      <c r="F16" s="25"/>
      <c r="G16" s="26"/>
      <c r="H16" s="8"/>
      <c r="I16" s="8"/>
      <c r="J16" s="2"/>
      <c r="K16" s="25">
        <v>9337</v>
      </c>
      <c r="L16" s="9" t="s">
        <v>29</v>
      </c>
      <c r="M16" s="67" t="s">
        <v>198</v>
      </c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9253</v>
      </c>
      <c r="L17" s="9" t="s">
        <v>199</v>
      </c>
      <c r="M17" s="16" t="s">
        <v>30</v>
      </c>
      <c r="R17" s="1">
        <f>IF(vend10[[#This Row],[Nº Venda]]&gt;1,1,0)</f>
        <v>0</v>
      </c>
    </row>
    <row r="18" spans="2:18" ht="15.75" x14ac:dyDescent="0.25">
      <c r="B18" s="98" t="s">
        <v>12</v>
      </c>
      <c r="C18" s="98"/>
      <c r="D18" s="2"/>
      <c r="E18" s="18"/>
      <c r="F18" s="25"/>
      <c r="G18" s="26"/>
      <c r="H18" s="8"/>
      <c r="I18" s="8"/>
      <c r="J18" s="2"/>
      <c r="K18" s="25">
        <v>9302</v>
      </c>
      <c r="L18" s="9" t="s">
        <v>31</v>
      </c>
      <c r="M18" s="16" t="s">
        <v>30</v>
      </c>
      <c r="R18" s="1">
        <f>IF(vend10[[#This Row],[Nº Venda]]&gt;1,1,0)</f>
        <v>0</v>
      </c>
    </row>
    <row r="19" spans="2:18" ht="15.75" x14ac:dyDescent="0.25">
      <c r="B19" s="30">
        <f>COUNT(entr_carn10[OS])</f>
        <v>1</v>
      </c>
      <c r="C19" s="31">
        <f>SUM(entr_carn10[Valor Total])</f>
        <v>600</v>
      </c>
      <c r="D19" s="2"/>
      <c r="E19" s="18"/>
      <c r="F19" s="25"/>
      <c r="G19" s="26"/>
      <c r="H19" s="8"/>
      <c r="I19" s="8"/>
      <c r="J19" s="2"/>
      <c r="K19" s="25">
        <v>9286</v>
      </c>
      <c r="L19" s="9" t="s">
        <v>61</v>
      </c>
      <c r="M19" s="16" t="s">
        <v>30</v>
      </c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600</v>
      </c>
      <c r="D20" s="2"/>
      <c r="E20" s="18"/>
      <c r="F20" s="26"/>
      <c r="G20" s="26"/>
      <c r="H20" s="8"/>
      <c r="I20" s="8"/>
      <c r="J20" s="2"/>
      <c r="K20" s="25">
        <v>8987</v>
      </c>
      <c r="L20" s="9" t="s">
        <v>29</v>
      </c>
      <c r="M20" s="16" t="s">
        <v>30</v>
      </c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9258</v>
      </c>
      <c r="L21" s="9" t="s">
        <v>31</v>
      </c>
      <c r="M21" s="16" t="s">
        <v>32</v>
      </c>
    </row>
    <row r="22" spans="2:18" ht="15.75" x14ac:dyDescent="0.25">
      <c r="B22" s="28" t="s">
        <v>33</v>
      </c>
      <c r="C22" s="32">
        <f>C5</f>
        <v>1218.97</v>
      </c>
      <c r="D22" s="2"/>
      <c r="E22" s="18"/>
      <c r="F22" s="25"/>
      <c r="G22" s="26"/>
      <c r="H22" s="8"/>
      <c r="I22" s="8"/>
      <c r="J22" s="2"/>
      <c r="K22" s="25">
        <v>9265</v>
      </c>
      <c r="L22" s="9" t="s">
        <v>31</v>
      </c>
      <c r="M22" s="16" t="s">
        <v>30</v>
      </c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9" t="s">
        <v>34</v>
      </c>
      <c r="F24" s="99"/>
      <c r="G24" s="99"/>
      <c r="H24" s="99"/>
      <c r="I24" s="9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9282</v>
      </c>
      <c r="F26" s="25" t="s">
        <v>200</v>
      </c>
      <c r="G26" s="46" t="s">
        <v>6</v>
      </c>
      <c r="H26" s="8"/>
      <c r="I26" s="8">
        <v>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18"/>
      <c r="F32" s="39"/>
      <c r="G32" s="26"/>
      <c r="H32" s="8"/>
      <c r="I32" s="8"/>
    </row>
    <row r="33" spans="2:18" ht="15" x14ac:dyDescent="0.25">
      <c r="B33" s="2"/>
      <c r="C33" s="2"/>
      <c r="E33" s="33"/>
      <c r="K33" s="100" t="s">
        <v>12</v>
      </c>
      <c r="L33" s="101"/>
      <c r="M33" s="102"/>
    </row>
    <row r="34" spans="2:18" ht="15" x14ac:dyDescent="0.25">
      <c r="E34" s="99" t="s">
        <v>35</v>
      </c>
      <c r="F34" s="99"/>
      <c r="G34" s="99"/>
      <c r="H34" s="99"/>
      <c r="I34" s="99"/>
      <c r="K34" s="14" t="s">
        <v>26</v>
      </c>
      <c r="L34" s="6" t="s">
        <v>38</v>
      </c>
      <c r="M34" s="15" t="s">
        <v>39</v>
      </c>
    </row>
    <row r="35" spans="2:18" ht="15" x14ac:dyDescent="0.25">
      <c r="E35" s="10" t="s">
        <v>26</v>
      </c>
      <c r="F35" s="10" t="s">
        <v>15</v>
      </c>
      <c r="G35" s="11" t="s">
        <v>16</v>
      </c>
      <c r="H35" s="12" t="s">
        <v>36</v>
      </c>
      <c r="I35" s="13" t="s">
        <v>37</v>
      </c>
      <c r="K35" s="25">
        <v>9258</v>
      </c>
      <c r="L35" s="41">
        <v>6</v>
      </c>
      <c r="M35" s="16">
        <v>600</v>
      </c>
    </row>
    <row r="36" spans="2:18" ht="15.75" x14ac:dyDescent="0.25">
      <c r="E36" s="18">
        <v>8078</v>
      </c>
      <c r="F36" s="25" t="s">
        <v>197</v>
      </c>
      <c r="G36" s="26" t="s">
        <v>6</v>
      </c>
      <c r="H36" s="8">
        <v>81.25</v>
      </c>
      <c r="I36" s="8" t="s">
        <v>135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2:18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40</v>
      </c>
      <c r="R40" s="1">
        <f>SUM(R6:R21)</f>
        <v>7</v>
      </c>
    </row>
    <row r="41" spans="2:18" ht="15.75" x14ac:dyDescent="0.25">
      <c r="E41" s="35"/>
      <c r="F41" s="36"/>
      <c r="G41" s="37"/>
      <c r="H41" s="17"/>
      <c r="I41" s="8"/>
      <c r="K41" s="44"/>
      <c r="L41" s="41"/>
      <c r="M41" s="40"/>
    </row>
    <row r="42" spans="2:18" ht="15.75" x14ac:dyDescent="0.25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80" zoomScaleNormal="80" workbookViewId="0">
      <selection activeCell="F12" sqref="F12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'10'!B1+1</f>
        <v>45454</v>
      </c>
    </row>
    <row r="2" spans="2:18" ht="18.75" x14ac:dyDescent="0.2">
      <c r="B2" s="103" t="s">
        <v>41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6" t="s">
        <v>1</v>
      </c>
      <c r="F4" s="106"/>
      <c r="G4" s="106"/>
      <c r="H4" s="106"/>
      <c r="I4" s="106"/>
      <c r="J4" s="22"/>
      <c r="K4" s="100" t="s">
        <v>3</v>
      </c>
      <c r="L4" s="101"/>
      <c r="M4" s="102"/>
    </row>
    <row r="5" spans="2:18" ht="15" x14ac:dyDescent="0.25">
      <c r="B5" s="23" t="s">
        <v>1</v>
      </c>
      <c r="C5" s="24">
        <f>SUMIF(I6:I31,"&gt;0",H6:H31)</f>
        <v>899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2409</v>
      </c>
      <c r="D6" s="2"/>
      <c r="E6" s="18">
        <v>9338</v>
      </c>
      <c r="F6" s="25" t="s">
        <v>201</v>
      </c>
      <c r="G6" s="26" t="s">
        <v>8</v>
      </c>
      <c r="H6" s="8">
        <v>149</v>
      </c>
      <c r="I6" s="8">
        <v>149</v>
      </c>
      <c r="J6" s="2"/>
      <c r="K6" s="25"/>
      <c r="L6" s="9"/>
      <c r="M6" s="16"/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9339</v>
      </c>
      <c r="F7" s="25" t="s">
        <v>202</v>
      </c>
      <c r="G7" s="26" t="s">
        <v>8</v>
      </c>
      <c r="H7" s="8">
        <v>750</v>
      </c>
      <c r="I7" s="8">
        <v>750</v>
      </c>
      <c r="J7" s="2"/>
      <c r="K7" s="25"/>
      <c r="L7" s="9"/>
      <c r="M7" s="16"/>
      <c r="R7" s="1">
        <f>IF(vend11[[#This Row],[Nº Venda]]&gt;1,1,0)</f>
        <v>1</v>
      </c>
    </row>
    <row r="8" spans="2:18" ht="15.75" x14ac:dyDescent="0.25">
      <c r="B8" s="28" t="s">
        <v>23</v>
      </c>
      <c r="C8" s="29">
        <f>SUM(C6:C7)</f>
        <v>2409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98" t="s">
        <v>5</v>
      </c>
      <c r="C10" s="9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115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2409</v>
      </c>
      <c r="D13" s="2"/>
      <c r="E13" s="18"/>
      <c r="F13" s="25"/>
      <c r="G13" s="26"/>
      <c r="H13" s="8"/>
      <c r="I13" s="8"/>
      <c r="J13" s="2"/>
      <c r="K13" s="100" t="s">
        <v>25</v>
      </c>
      <c r="L13" s="101"/>
      <c r="M13" s="102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184</v>
      </c>
      <c r="D15" s="2"/>
      <c r="E15" s="18"/>
      <c r="F15" s="25"/>
      <c r="G15" s="26"/>
      <c r="H15" s="8"/>
      <c r="I15" s="8"/>
      <c r="J15" s="2"/>
      <c r="K15" s="25">
        <v>9333</v>
      </c>
      <c r="L15" s="9" t="s">
        <v>203</v>
      </c>
      <c r="M15" s="16" t="s">
        <v>30</v>
      </c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2708</v>
      </c>
      <c r="D16" s="2"/>
      <c r="E16" s="18"/>
      <c r="F16" s="25"/>
      <c r="G16" s="26"/>
      <c r="H16" s="8"/>
      <c r="I16" s="8"/>
      <c r="J16" s="2"/>
      <c r="K16" s="25">
        <v>9306</v>
      </c>
      <c r="L16" s="9" t="s">
        <v>203</v>
      </c>
      <c r="M16" s="16" t="s">
        <v>30</v>
      </c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9310</v>
      </c>
      <c r="L17" s="9" t="s">
        <v>203</v>
      </c>
      <c r="M17" s="16" t="s">
        <v>30</v>
      </c>
      <c r="R17" s="1">
        <f>IF(vend11[[#This Row],[Nº Venda]]&gt;1,1,0)</f>
        <v>0</v>
      </c>
    </row>
    <row r="18" spans="2:18" ht="15.75" x14ac:dyDescent="0.25">
      <c r="B18" s="98" t="s">
        <v>12</v>
      </c>
      <c r="C18" s="98"/>
      <c r="D18" s="2"/>
      <c r="E18" s="18"/>
      <c r="F18" s="25"/>
      <c r="G18" s="26"/>
      <c r="H18" s="8"/>
      <c r="I18" s="8"/>
      <c r="J18" s="2"/>
      <c r="K18" s="25">
        <v>9336</v>
      </c>
      <c r="L18" s="9" t="s">
        <v>29</v>
      </c>
      <c r="M18" s="16" t="s">
        <v>30</v>
      </c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>
        <v>9337</v>
      </c>
      <c r="L19" s="9" t="s">
        <v>29</v>
      </c>
      <c r="M19" s="16" t="s">
        <v>30</v>
      </c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33</v>
      </c>
      <c r="C22" s="32">
        <f>C5</f>
        <v>899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9" t="s">
        <v>34</v>
      </c>
      <c r="F24" s="99"/>
      <c r="G24" s="99"/>
      <c r="H24" s="99"/>
      <c r="I24" s="9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9299</v>
      </c>
      <c r="F26" s="25" t="s">
        <v>205</v>
      </c>
      <c r="G26" s="46" t="s">
        <v>8</v>
      </c>
      <c r="H26" s="8"/>
      <c r="I26" s="8">
        <v>1510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9" t="s">
        <v>35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26</v>
      </c>
      <c r="F34" s="10" t="s">
        <v>15</v>
      </c>
      <c r="G34" s="11" t="s">
        <v>16</v>
      </c>
      <c r="H34" s="12" t="s">
        <v>36</v>
      </c>
      <c r="I34" s="13" t="s">
        <v>37</v>
      </c>
      <c r="K34" s="14" t="s">
        <v>26</v>
      </c>
      <c r="L34" s="6" t="s">
        <v>38</v>
      </c>
      <c r="M34" s="15" t="s">
        <v>39</v>
      </c>
    </row>
    <row r="35" spans="2:18" ht="15.75" x14ac:dyDescent="0.25">
      <c r="E35" s="18">
        <v>8504</v>
      </c>
      <c r="F35" s="25" t="s">
        <v>204</v>
      </c>
      <c r="G35" s="26" t="s">
        <v>7</v>
      </c>
      <c r="H35" s="8">
        <v>115</v>
      </c>
      <c r="I35" s="8" t="s">
        <v>63</v>
      </c>
      <c r="K35" s="25"/>
      <c r="L35" s="41"/>
      <c r="M35" s="16"/>
    </row>
    <row r="36" spans="2:18" ht="15.75" x14ac:dyDescent="0.25">
      <c r="E36" s="18">
        <v>8156</v>
      </c>
      <c r="F36" s="25" t="s">
        <v>206</v>
      </c>
      <c r="G36" s="26" t="s">
        <v>10</v>
      </c>
      <c r="H36" s="8">
        <v>74</v>
      </c>
      <c r="I36" s="8" t="s">
        <v>135</v>
      </c>
      <c r="K36" s="25"/>
      <c r="L36" s="41"/>
      <c r="M36" s="16"/>
    </row>
    <row r="37" spans="2:18" ht="15.75" x14ac:dyDescent="0.25">
      <c r="E37" s="18">
        <v>9102</v>
      </c>
      <c r="F37" s="25" t="s">
        <v>207</v>
      </c>
      <c r="G37" s="26" t="s">
        <v>10</v>
      </c>
      <c r="H37" s="8">
        <v>60</v>
      </c>
      <c r="I37" s="8" t="s">
        <v>120</v>
      </c>
      <c r="K37" s="25"/>
      <c r="L37" s="41"/>
      <c r="M37" s="16"/>
    </row>
    <row r="38" spans="2:18" ht="15.75" x14ac:dyDescent="0.25">
      <c r="E38" s="18">
        <v>8153</v>
      </c>
      <c r="F38" s="25" t="s">
        <v>208</v>
      </c>
      <c r="G38" s="26" t="s">
        <v>10</v>
      </c>
      <c r="H38" s="8">
        <v>50</v>
      </c>
      <c r="I38" s="8" t="s">
        <v>134</v>
      </c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40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zoomScale="80" zoomScaleNormal="8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'11'!B1+1</f>
        <v>45455</v>
      </c>
    </row>
    <row r="2" spans="2:18" ht="18.75" x14ac:dyDescent="0.2">
      <c r="B2" s="103" t="s">
        <v>41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6" t="s">
        <v>1</v>
      </c>
      <c r="F4" s="106"/>
      <c r="G4" s="106"/>
      <c r="H4" s="106"/>
      <c r="I4" s="106"/>
      <c r="J4" s="22"/>
      <c r="K4" s="100" t="s">
        <v>3</v>
      </c>
      <c r="L4" s="101"/>
      <c r="M4" s="102"/>
    </row>
    <row r="5" spans="2:18" ht="15" x14ac:dyDescent="0.25">
      <c r="B5" s="23" t="s">
        <v>1</v>
      </c>
      <c r="C5" s="24">
        <f>SUMIF(I6:I31,"&gt;0",H6:H31)</f>
        <v>3078.99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3278.99</v>
      </c>
      <c r="D6" s="2"/>
      <c r="E6" s="95">
        <v>9340</v>
      </c>
      <c r="F6" s="52" t="s">
        <v>209</v>
      </c>
      <c r="G6" s="52" t="s">
        <v>8</v>
      </c>
      <c r="H6" s="53">
        <v>980</v>
      </c>
      <c r="I6" s="53">
        <v>980</v>
      </c>
      <c r="J6" s="2"/>
      <c r="K6" s="25"/>
      <c r="L6" s="9"/>
      <c r="M6" s="16"/>
      <c r="R6" s="1">
        <f>IF(vend12[[#This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57">
        <v>9341</v>
      </c>
      <c r="F7" s="54" t="s">
        <v>210</v>
      </c>
      <c r="G7" s="54" t="s">
        <v>7</v>
      </c>
      <c r="H7" s="55">
        <v>99.99</v>
      </c>
      <c r="I7" s="55">
        <v>99.99</v>
      </c>
      <c r="J7" s="2"/>
      <c r="K7" s="25"/>
      <c r="L7" s="9"/>
      <c r="M7" s="16"/>
      <c r="R7" s="1">
        <f>IF(vend12[[#This Row],[Nº Venda]]&gt;1,1,0)</f>
        <v>1</v>
      </c>
    </row>
    <row r="8" spans="2:18" ht="15.75" x14ac:dyDescent="0.25">
      <c r="B8" s="28" t="s">
        <v>23</v>
      </c>
      <c r="C8" s="29">
        <f>SUM(C6:C7)</f>
        <v>3278.99</v>
      </c>
      <c r="D8" s="2"/>
      <c r="E8" s="57">
        <v>9342</v>
      </c>
      <c r="F8" s="54" t="s">
        <v>211</v>
      </c>
      <c r="G8" s="54" t="s">
        <v>6</v>
      </c>
      <c r="H8" s="55">
        <v>600</v>
      </c>
      <c r="I8" s="55">
        <v>200</v>
      </c>
      <c r="J8" s="2"/>
      <c r="K8" s="25"/>
      <c r="L8" s="9"/>
      <c r="M8" s="16"/>
      <c r="R8" s="1">
        <f>IF(vend12[[#This Row],[Nº Venda]]&gt;1,1,0)</f>
        <v>1</v>
      </c>
    </row>
    <row r="9" spans="2:18" ht="15.75" x14ac:dyDescent="0.25">
      <c r="B9" s="2"/>
      <c r="C9" s="2"/>
      <c r="D9" s="2"/>
      <c r="E9" s="18">
        <v>9343</v>
      </c>
      <c r="F9" s="25" t="s">
        <v>213</v>
      </c>
      <c r="G9" s="26" t="s">
        <v>10</v>
      </c>
      <c r="H9" s="8">
        <v>125</v>
      </c>
      <c r="I9" s="8">
        <v>125</v>
      </c>
      <c r="J9" s="2"/>
      <c r="K9" s="25"/>
      <c r="L9" s="9"/>
      <c r="M9" s="16"/>
      <c r="R9" s="1">
        <f>IF(vend12[[#This Row],[Nº Venda]]&gt;1,1,0)</f>
        <v>1</v>
      </c>
    </row>
    <row r="10" spans="2:18" ht="15.75" x14ac:dyDescent="0.25">
      <c r="B10" s="98" t="s">
        <v>5</v>
      </c>
      <c r="C10" s="98"/>
      <c r="D10" s="2"/>
      <c r="E10" s="18">
        <v>9344</v>
      </c>
      <c r="F10" s="25" t="s">
        <v>212</v>
      </c>
      <c r="G10" s="26" t="s">
        <v>8</v>
      </c>
      <c r="H10" s="8">
        <v>399</v>
      </c>
      <c r="I10" s="8">
        <v>399</v>
      </c>
      <c r="J10" s="2"/>
      <c r="K10" s="25"/>
      <c r="L10" s="9"/>
      <c r="M10" s="16"/>
      <c r="R10" s="1">
        <f>IF(vend12[[#This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880</v>
      </c>
      <c r="D11" s="2"/>
      <c r="E11" s="18">
        <v>9345</v>
      </c>
      <c r="F11" s="25" t="s">
        <v>213</v>
      </c>
      <c r="G11" s="26" t="s">
        <v>10</v>
      </c>
      <c r="H11" s="8">
        <v>125</v>
      </c>
      <c r="I11" s="8">
        <v>125</v>
      </c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849.99</v>
      </c>
      <c r="D12" s="2"/>
      <c r="E12" s="18">
        <v>9346</v>
      </c>
      <c r="F12" s="25" t="s">
        <v>214</v>
      </c>
      <c r="G12" s="26" t="s">
        <v>7</v>
      </c>
      <c r="H12" s="8">
        <v>750</v>
      </c>
      <c r="I12" s="8">
        <v>750</v>
      </c>
      <c r="J12" s="2"/>
      <c r="R12" s="1">
        <f>IF(vend12[[#This Row],[Nº Venda]]&gt;1,1,0)</f>
        <v>1</v>
      </c>
    </row>
    <row r="13" spans="2:18" ht="15.75" x14ac:dyDescent="0.25">
      <c r="B13" s="30" t="s">
        <v>8</v>
      </c>
      <c r="C13" s="31">
        <f t="shared" si="0"/>
        <v>1379</v>
      </c>
      <c r="D13" s="2"/>
      <c r="E13" s="18"/>
      <c r="F13" s="25"/>
      <c r="G13" s="26"/>
      <c r="H13" s="8"/>
      <c r="I13" s="8"/>
      <c r="J13" s="2"/>
      <c r="K13" s="100" t="s">
        <v>25</v>
      </c>
      <c r="L13" s="101"/>
      <c r="M13" s="102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IF(vend12[[#This Row],[Nº Venda]]&gt;1,1,0)</f>
        <v>0</v>
      </c>
    </row>
    <row r="15" spans="2:18" ht="15.75" x14ac:dyDescent="0.25">
      <c r="B15" s="30" t="s">
        <v>10</v>
      </c>
      <c r="C15" s="31">
        <f t="shared" si="0"/>
        <v>250</v>
      </c>
      <c r="D15" s="2"/>
      <c r="E15" s="18"/>
      <c r="F15" s="25"/>
      <c r="G15" s="26"/>
      <c r="H15" s="8"/>
      <c r="I15" s="8"/>
      <c r="J15" s="2"/>
      <c r="K15" s="25">
        <v>9343</v>
      </c>
      <c r="L15" s="9" t="s">
        <v>31</v>
      </c>
      <c r="M15" s="16" t="s">
        <v>30</v>
      </c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3358.99</v>
      </c>
      <c r="D16" s="2"/>
      <c r="E16" s="18"/>
      <c r="F16" s="25"/>
      <c r="G16" s="26"/>
      <c r="H16" s="8"/>
      <c r="I16" s="8"/>
      <c r="J16" s="2"/>
      <c r="K16" s="25">
        <v>9246</v>
      </c>
      <c r="L16" s="9" t="s">
        <v>31</v>
      </c>
      <c r="M16" s="16" t="s">
        <v>30</v>
      </c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9261</v>
      </c>
      <c r="L17" s="9" t="s">
        <v>29</v>
      </c>
      <c r="M17" s="16" t="s">
        <v>30</v>
      </c>
      <c r="R17" s="1">
        <f>IF(vend12[[#This Row],[Nº Venda]]&gt;1,1,0)</f>
        <v>0</v>
      </c>
    </row>
    <row r="18" spans="2:18" ht="15.75" x14ac:dyDescent="0.25">
      <c r="B18" s="98" t="s">
        <v>12</v>
      </c>
      <c r="C18" s="98"/>
      <c r="D18" s="2"/>
      <c r="E18" s="18"/>
      <c r="F18" s="25"/>
      <c r="G18" s="26"/>
      <c r="H18" s="8"/>
      <c r="I18" s="8"/>
      <c r="J18" s="2"/>
      <c r="K18" s="25">
        <v>9244</v>
      </c>
      <c r="L18" s="9" t="s">
        <v>29</v>
      </c>
      <c r="M18" s="16" t="s">
        <v>30</v>
      </c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>
        <v>9345</v>
      </c>
      <c r="L19" s="9" t="s">
        <v>31</v>
      </c>
      <c r="M19" s="16" t="s">
        <v>30</v>
      </c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9254</v>
      </c>
      <c r="L20" s="9" t="s">
        <v>199</v>
      </c>
      <c r="M20" s="16" t="s">
        <v>30</v>
      </c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9311</v>
      </c>
      <c r="L21" s="9" t="s">
        <v>61</v>
      </c>
      <c r="M21" s="16" t="s">
        <v>30</v>
      </c>
    </row>
    <row r="22" spans="2:18" ht="15.75" x14ac:dyDescent="0.25">
      <c r="B22" s="28" t="s">
        <v>33</v>
      </c>
      <c r="C22" s="32">
        <f>C5</f>
        <v>3078.99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9" t="s">
        <v>34</v>
      </c>
      <c r="F24" s="99"/>
      <c r="G24" s="99"/>
      <c r="H24" s="99"/>
      <c r="I24" s="9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9244</v>
      </c>
      <c r="F26" s="56" t="s">
        <v>215</v>
      </c>
      <c r="G26" s="46" t="s">
        <v>6</v>
      </c>
      <c r="H26" s="8">
        <v>0</v>
      </c>
      <c r="I26" s="8">
        <v>600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9" t="s">
        <v>35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26</v>
      </c>
      <c r="F34" s="10" t="s">
        <v>15</v>
      </c>
      <c r="G34" s="11" t="s">
        <v>16</v>
      </c>
      <c r="H34" s="12" t="s">
        <v>36</v>
      </c>
      <c r="I34" s="13" t="s">
        <v>37</v>
      </c>
      <c r="K34" s="14" t="s">
        <v>26</v>
      </c>
      <c r="L34" s="6" t="s">
        <v>38</v>
      </c>
      <c r="M34" s="15" t="s">
        <v>39</v>
      </c>
    </row>
    <row r="35" spans="2:18" ht="15.75" x14ac:dyDescent="0.25">
      <c r="E35" s="18">
        <v>8617</v>
      </c>
      <c r="F35" s="25" t="s">
        <v>187</v>
      </c>
      <c r="G35" s="26" t="s">
        <v>6</v>
      </c>
      <c r="H35" s="8">
        <v>80</v>
      </c>
      <c r="I35" s="8" t="s">
        <v>119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40</v>
      </c>
      <c r="R40" s="1">
        <f>SUM(R6:R21)</f>
        <v>7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zoomScale="80" zoomScaleNormal="80" workbookViewId="0">
      <selection activeCell="V9" sqref="V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'12'!B1+1</f>
        <v>45456</v>
      </c>
    </row>
    <row r="2" spans="2:18" ht="18.75" x14ac:dyDescent="0.2">
      <c r="B2" s="103" t="s">
        <v>41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6" t="s">
        <v>1</v>
      </c>
      <c r="F4" s="106"/>
      <c r="G4" s="106"/>
      <c r="H4" s="106"/>
      <c r="I4" s="106"/>
      <c r="J4" s="22"/>
      <c r="K4" s="100" t="s">
        <v>3</v>
      </c>
      <c r="L4" s="101"/>
      <c r="M4" s="102"/>
    </row>
    <row r="5" spans="2:18" ht="15" x14ac:dyDescent="0.25">
      <c r="B5" s="23" t="s">
        <v>1</v>
      </c>
      <c r="C5" s="24">
        <f>SUMIF(I6:I31,"&gt;0",H6:H31)</f>
        <v>2010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1560</v>
      </c>
      <c r="D6" s="2"/>
      <c r="E6" s="18">
        <v>9347</v>
      </c>
      <c r="F6" s="25" t="s">
        <v>216</v>
      </c>
      <c r="G6" s="26" t="s">
        <v>8</v>
      </c>
      <c r="H6" s="8">
        <v>480</v>
      </c>
      <c r="I6" s="8">
        <v>480</v>
      </c>
      <c r="J6" s="2"/>
      <c r="K6" s="25"/>
      <c r="L6" s="9"/>
      <c r="M6" s="16"/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9348</v>
      </c>
      <c r="F7" s="25" t="s">
        <v>217</v>
      </c>
      <c r="G7" s="26" t="s">
        <v>7</v>
      </c>
      <c r="H7" s="8">
        <v>650</v>
      </c>
      <c r="I7" s="8">
        <v>150</v>
      </c>
      <c r="J7" s="2"/>
      <c r="K7" s="25"/>
      <c r="L7" s="9"/>
      <c r="M7" s="16"/>
      <c r="R7" s="1">
        <f>IF(vend13[[#This Row],[Nº Venda]]&gt;1,1,0)</f>
        <v>1</v>
      </c>
    </row>
    <row r="8" spans="2:18" ht="15.75" x14ac:dyDescent="0.25">
      <c r="B8" s="28" t="s">
        <v>23</v>
      </c>
      <c r="C8" s="29">
        <f>SUM(C6:C7)</f>
        <v>1560</v>
      </c>
      <c r="D8" s="2"/>
      <c r="E8" s="18">
        <v>9349</v>
      </c>
      <c r="F8" s="25" t="s">
        <v>218</v>
      </c>
      <c r="G8" s="26" t="s">
        <v>7</v>
      </c>
      <c r="H8" s="8">
        <v>250</v>
      </c>
      <c r="I8" s="8">
        <v>200</v>
      </c>
      <c r="J8" s="2"/>
      <c r="K8" s="25"/>
      <c r="L8" s="9"/>
      <c r="M8" s="16"/>
      <c r="R8" s="1">
        <f>IF(vend13[[#This Row],[Nº Venda]]&gt;1,1,0)</f>
        <v>1</v>
      </c>
    </row>
    <row r="9" spans="2:18" ht="15.75" x14ac:dyDescent="0.25">
      <c r="B9" s="2"/>
      <c r="C9" s="2"/>
      <c r="D9" s="2"/>
      <c r="E9" s="18">
        <v>9349</v>
      </c>
      <c r="F9" s="25" t="s">
        <v>218</v>
      </c>
      <c r="G9" s="26" t="s">
        <v>6</v>
      </c>
      <c r="H9" s="8"/>
      <c r="I9" s="8">
        <v>50</v>
      </c>
      <c r="J9" s="2"/>
      <c r="K9" s="25"/>
      <c r="L9" s="9"/>
      <c r="M9" s="16"/>
      <c r="R9" s="1">
        <f>IF(vend13[[#This Row],[Nº Venda]]&gt;1,1,0)</f>
        <v>1</v>
      </c>
    </row>
    <row r="10" spans="2:18" ht="15.75" x14ac:dyDescent="0.25">
      <c r="B10" s="98" t="s">
        <v>5</v>
      </c>
      <c r="C10" s="98"/>
      <c r="D10" s="2"/>
      <c r="E10" s="18">
        <v>9350</v>
      </c>
      <c r="F10" s="25" t="s">
        <v>219</v>
      </c>
      <c r="G10" s="26" t="s">
        <v>10</v>
      </c>
      <c r="H10" s="8">
        <v>40</v>
      </c>
      <c r="I10" s="8">
        <v>40</v>
      </c>
      <c r="J10" s="2"/>
      <c r="K10" s="25"/>
      <c r="L10" s="9"/>
      <c r="M10" s="16"/>
      <c r="R10" s="1">
        <f>IF(vend13[[#This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166.5</v>
      </c>
      <c r="D11" s="2"/>
      <c r="E11" s="18">
        <v>9351</v>
      </c>
      <c r="F11" s="25" t="s">
        <v>220</v>
      </c>
      <c r="G11" s="26" t="s">
        <v>8</v>
      </c>
      <c r="H11" s="8">
        <v>590</v>
      </c>
      <c r="I11" s="8">
        <v>590</v>
      </c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450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1070</v>
      </c>
      <c r="D13" s="2"/>
      <c r="E13" s="18"/>
      <c r="F13" s="25"/>
      <c r="G13" s="26"/>
      <c r="H13" s="8"/>
      <c r="I13" s="8"/>
      <c r="J13" s="2"/>
      <c r="K13" s="100" t="s">
        <v>25</v>
      </c>
      <c r="L13" s="101"/>
      <c r="M13" s="102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IF(vend13[[#This Row],[Nº Venda]]&gt;1,1,0)</f>
        <v>0</v>
      </c>
    </row>
    <row r="15" spans="2:18" ht="15.75" x14ac:dyDescent="0.25">
      <c r="B15" s="30" t="s">
        <v>10</v>
      </c>
      <c r="C15" s="31">
        <f t="shared" si="0"/>
        <v>40</v>
      </c>
      <c r="D15" s="2"/>
      <c r="E15" s="18"/>
      <c r="F15" s="25"/>
      <c r="G15" s="26"/>
      <c r="H15" s="8"/>
      <c r="I15" s="8"/>
      <c r="J15" s="2"/>
      <c r="K15" s="25">
        <v>9229</v>
      </c>
      <c r="L15" s="9" t="s">
        <v>221</v>
      </c>
      <c r="M15" s="16" t="s">
        <v>30</v>
      </c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1726.5</v>
      </c>
      <c r="D16" s="2"/>
      <c r="E16" s="18"/>
      <c r="F16" s="25"/>
      <c r="G16" s="26"/>
      <c r="H16" s="8"/>
      <c r="I16" s="8"/>
      <c r="J16" s="2"/>
      <c r="K16" s="25">
        <v>9330</v>
      </c>
      <c r="L16" s="9" t="s">
        <v>221</v>
      </c>
      <c r="M16" s="16" t="s">
        <v>32</v>
      </c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98" t="s">
        <v>12</v>
      </c>
      <c r="C18" s="9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1</v>
      </c>
      <c r="C19" s="31">
        <f>SUM(entr_carn13[Valor Total])</f>
        <v>300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300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33</v>
      </c>
      <c r="C22" s="32">
        <f>C5</f>
        <v>2010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9" t="s">
        <v>34</v>
      </c>
      <c r="F24" s="99"/>
      <c r="G24" s="99"/>
      <c r="H24" s="99"/>
      <c r="I24" s="9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9330</v>
      </c>
      <c r="F26" s="25" t="s">
        <v>222</v>
      </c>
      <c r="G26" s="26" t="s">
        <v>6</v>
      </c>
      <c r="H26" s="8"/>
      <c r="I26" s="8">
        <v>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9" t="s">
        <v>35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26</v>
      </c>
      <c r="F34" s="10" t="s">
        <v>15</v>
      </c>
      <c r="G34" s="11" t="s">
        <v>16</v>
      </c>
      <c r="H34" s="12" t="s">
        <v>36</v>
      </c>
      <c r="I34" s="13" t="s">
        <v>37</v>
      </c>
      <c r="K34" s="14" t="s">
        <v>26</v>
      </c>
      <c r="L34" s="6" t="s">
        <v>38</v>
      </c>
      <c r="M34" s="15" t="s">
        <v>39</v>
      </c>
    </row>
    <row r="35" spans="2:18" ht="15.75" x14ac:dyDescent="0.25">
      <c r="E35" s="18">
        <v>8486</v>
      </c>
      <c r="F35" s="25" t="s">
        <v>223</v>
      </c>
      <c r="G35" s="26" t="s">
        <v>7</v>
      </c>
      <c r="H35" s="8">
        <v>100</v>
      </c>
      <c r="I35" s="8" t="s">
        <v>119</v>
      </c>
      <c r="K35" s="25">
        <v>9330</v>
      </c>
      <c r="L35" s="41">
        <v>6</v>
      </c>
      <c r="M35" s="16">
        <v>300</v>
      </c>
    </row>
    <row r="36" spans="2:18" ht="15.75" x14ac:dyDescent="0.25">
      <c r="E36" s="18">
        <v>9156</v>
      </c>
      <c r="F36" s="25" t="s">
        <v>224</v>
      </c>
      <c r="G36" s="26" t="s">
        <v>6</v>
      </c>
      <c r="H36" s="8">
        <v>66.5</v>
      </c>
      <c r="I36" s="8" t="s">
        <v>124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40</v>
      </c>
      <c r="R40" s="1">
        <f>SUM(R6:R21)</f>
        <v>6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zoomScale="80" zoomScaleNormal="80" workbookViewId="0">
      <selection activeCell="U6" sqref="U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'13'!B1+1</f>
        <v>45457</v>
      </c>
    </row>
    <row r="2" spans="2:18" ht="18.75" x14ac:dyDescent="0.2">
      <c r="B2" s="103" t="s">
        <v>41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6" t="s">
        <v>1</v>
      </c>
      <c r="F4" s="106"/>
      <c r="G4" s="106"/>
      <c r="H4" s="106"/>
      <c r="I4" s="106"/>
      <c r="J4" s="22"/>
      <c r="K4" s="100" t="s">
        <v>3</v>
      </c>
      <c r="L4" s="101"/>
      <c r="M4" s="102"/>
    </row>
    <row r="5" spans="2:18" ht="15" x14ac:dyDescent="0.25">
      <c r="B5" s="23" t="s">
        <v>1</v>
      </c>
      <c r="C5" s="24">
        <f>SUMIF(I6:I31,"&gt;0",H6:H31)</f>
        <v>6779.99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7057.49</v>
      </c>
      <c r="D6" s="2"/>
      <c r="E6" s="18">
        <v>9352</v>
      </c>
      <c r="F6" s="25" t="s">
        <v>225</v>
      </c>
      <c r="G6" s="46" t="s">
        <v>8</v>
      </c>
      <c r="H6" s="8">
        <v>550</v>
      </c>
      <c r="I6" s="8">
        <v>550</v>
      </c>
      <c r="J6" s="2"/>
      <c r="K6" s="25" t="s">
        <v>235</v>
      </c>
      <c r="L6" s="9" t="s">
        <v>45</v>
      </c>
      <c r="M6" s="16">
        <v>39.950000000000003</v>
      </c>
      <c r="R6" s="1">
        <f>IF(vend14[[#This Row],[Nº Venda]]&gt;1,1,0)</f>
        <v>1</v>
      </c>
    </row>
    <row r="7" spans="2:18" ht="15.75" x14ac:dyDescent="0.25">
      <c r="B7" s="23" t="s">
        <v>3</v>
      </c>
      <c r="C7" s="24">
        <f>SUM(M6:M11)</f>
        <v>39.950000000000003</v>
      </c>
      <c r="D7" s="2"/>
      <c r="E7" s="18">
        <v>9353</v>
      </c>
      <c r="F7" s="25" t="s">
        <v>227</v>
      </c>
      <c r="G7" s="26" t="s">
        <v>8</v>
      </c>
      <c r="H7" s="8">
        <v>2200</v>
      </c>
      <c r="I7" s="8">
        <v>2200</v>
      </c>
      <c r="J7" s="2"/>
      <c r="K7" s="25"/>
      <c r="L7" s="9"/>
      <c r="M7" s="16"/>
      <c r="R7" s="1">
        <f>IF(vend14[[#This Row],[Nº Venda]]&gt;1,1,0)</f>
        <v>1</v>
      </c>
    </row>
    <row r="8" spans="2:18" ht="15.75" x14ac:dyDescent="0.25">
      <c r="B8" s="28" t="s">
        <v>23</v>
      </c>
      <c r="C8" s="29">
        <f>SUM(C6:C7)</f>
        <v>7097.44</v>
      </c>
      <c r="D8" s="2"/>
      <c r="E8" s="18">
        <v>9354</v>
      </c>
      <c r="F8" s="25" t="s">
        <v>226</v>
      </c>
      <c r="G8" s="46" t="s">
        <v>7</v>
      </c>
      <c r="H8" s="8">
        <v>800</v>
      </c>
      <c r="I8" s="8">
        <v>400</v>
      </c>
      <c r="J8" s="2"/>
      <c r="K8" s="25"/>
      <c r="L8" s="9"/>
      <c r="M8" s="16"/>
      <c r="R8" s="1">
        <f>IF(vend14[[#This Row],[Nº Venda]]&gt;1,1,0)</f>
        <v>1</v>
      </c>
    </row>
    <row r="9" spans="2:18" ht="15.75" x14ac:dyDescent="0.25">
      <c r="B9" s="2"/>
      <c r="C9" s="2"/>
      <c r="D9" s="2"/>
      <c r="E9" s="18">
        <v>9355</v>
      </c>
      <c r="F9" s="25" t="s">
        <v>228</v>
      </c>
      <c r="G9" s="26" t="s">
        <v>6</v>
      </c>
      <c r="H9" s="8">
        <v>200</v>
      </c>
      <c r="I9" s="8">
        <v>200</v>
      </c>
      <c r="J9" s="2"/>
      <c r="K9" s="25"/>
      <c r="L9" s="9"/>
      <c r="M9" s="16"/>
      <c r="R9" s="1">
        <f>IF(vend14[[#This Row],[Nº Venda]]&gt;1,1,0)</f>
        <v>1</v>
      </c>
    </row>
    <row r="10" spans="2:18" ht="15.75" x14ac:dyDescent="0.25">
      <c r="B10" s="98" t="s">
        <v>5</v>
      </c>
      <c r="C10" s="98"/>
      <c r="D10" s="2"/>
      <c r="E10" s="18">
        <v>9356</v>
      </c>
      <c r="F10" s="25" t="s">
        <v>229</v>
      </c>
      <c r="G10" s="26" t="s">
        <v>6</v>
      </c>
      <c r="H10" s="8">
        <v>200</v>
      </c>
      <c r="I10" s="8">
        <v>50</v>
      </c>
      <c r="J10" s="2"/>
      <c r="K10" s="25"/>
      <c r="L10" s="9"/>
      <c r="M10" s="16"/>
      <c r="R10" s="1">
        <f>IF(vend14[[#This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3162.5</v>
      </c>
      <c r="D11" s="2"/>
      <c r="E11" s="18">
        <v>9357</v>
      </c>
      <c r="F11" s="25" t="s">
        <v>230</v>
      </c>
      <c r="G11" s="26" t="s">
        <v>6</v>
      </c>
      <c r="H11" s="8">
        <v>2690</v>
      </c>
      <c r="I11" s="8">
        <v>1000</v>
      </c>
      <c r="J11" s="2"/>
      <c r="K11" s="27"/>
      <c r="L11" s="9"/>
      <c r="M11" s="16"/>
      <c r="O11" s="1">
        <f>IF(C16=0,0,1)</f>
        <v>1</v>
      </c>
      <c r="R11" s="1">
        <f>IF(vend14[[#This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440</v>
      </c>
      <c r="D12" s="2"/>
      <c r="E12" s="18">
        <v>9358</v>
      </c>
      <c r="F12" s="25" t="s">
        <v>227</v>
      </c>
      <c r="G12" s="26" t="s">
        <v>10</v>
      </c>
      <c r="H12" s="8">
        <v>139.99</v>
      </c>
      <c r="I12" s="8">
        <v>99.99</v>
      </c>
      <c r="J12" s="2"/>
      <c r="R12" s="1">
        <f>IF(vend14[[#This Row],[Nº Venda]]&gt;1,1,0)</f>
        <v>1</v>
      </c>
    </row>
    <row r="13" spans="2:18" ht="15.75" x14ac:dyDescent="0.25">
      <c r="B13" s="30" t="s">
        <v>8</v>
      </c>
      <c r="C13" s="31">
        <f t="shared" si="0"/>
        <v>3230</v>
      </c>
      <c r="D13" s="2"/>
      <c r="E13" s="18">
        <v>9358</v>
      </c>
      <c r="F13" s="25" t="s">
        <v>227</v>
      </c>
      <c r="G13" s="26" t="s">
        <v>7</v>
      </c>
      <c r="H13" s="8"/>
      <c r="I13" s="8">
        <v>40</v>
      </c>
      <c r="J13" s="2"/>
      <c r="K13" s="100" t="s">
        <v>25</v>
      </c>
      <c r="L13" s="101"/>
      <c r="M13" s="102"/>
      <c r="R13" s="1">
        <f>IF(vend14[[#This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224.99</v>
      </c>
      <c r="D15" s="2"/>
      <c r="E15" s="18"/>
      <c r="F15" s="25"/>
      <c r="G15" s="26"/>
      <c r="H15" s="8"/>
      <c r="I15" s="8"/>
      <c r="J15" s="2"/>
      <c r="K15" s="25">
        <v>9309</v>
      </c>
      <c r="L15" s="9" t="s">
        <v>61</v>
      </c>
      <c r="M15" s="16" t="s">
        <v>30</v>
      </c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7057.49</v>
      </c>
      <c r="D16" s="2"/>
      <c r="E16" s="18"/>
      <c r="F16" s="25"/>
      <c r="G16" s="26"/>
      <c r="H16" s="8"/>
      <c r="I16" s="8"/>
      <c r="J16" s="2"/>
      <c r="K16" s="25">
        <v>9290</v>
      </c>
      <c r="L16" s="9" t="s">
        <v>61</v>
      </c>
      <c r="M16" s="16" t="s">
        <v>30</v>
      </c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9313</v>
      </c>
      <c r="L17" s="9" t="s">
        <v>31</v>
      </c>
      <c r="M17" s="16" t="s">
        <v>30</v>
      </c>
      <c r="R17" s="1">
        <f>IF(vend14[[#This Row],[Nº Venda]]&gt;1,1,0)</f>
        <v>0</v>
      </c>
    </row>
    <row r="18" spans="2:18" ht="15.75" x14ac:dyDescent="0.25">
      <c r="B18" s="98" t="s">
        <v>12</v>
      </c>
      <c r="C18" s="98"/>
      <c r="D18" s="2"/>
      <c r="E18" s="18"/>
      <c r="F18" s="25"/>
      <c r="G18" s="26"/>
      <c r="H18" s="8"/>
      <c r="I18" s="8"/>
      <c r="J18" s="2"/>
      <c r="K18" s="25">
        <v>9237</v>
      </c>
      <c r="L18" s="9" t="s">
        <v>29</v>
      </c>
      <c r="M18" s="16" t="s">
        <v>30</v>
      </c>
      <c r="R18" s="1">
        <f>IF(vend14[[#This Row],[Nº Venda]]&gt;1,1,0)</f>
        <v>0</v>
      </c>
    </row>
    <row r="19" spans="2:18" ht="15.75" x14ac:dyDescent="0.25">
      <c r="B19" s="30">
        <f>COUNT(entr_carn14[OS])</f>
        <v>1</v>
      </c>
      <c r="C19" s="31">
        <f>SUM(entr_carn14[Valor Total])</f>
        <v>450</v>
      </c>
      <c r="D19" s="2"/>
      <c r="E19" s="18"/>
      <c r="F19" s="25"/>
      <c r="G19" s="26"/>
      <c r="H19" s="8"/>
      <c r="I19" s="8"/>
      <c r="J19" s="2"/>
      <c r="K19" s="25">
        <v>9262</v>
      </c>
      <c r="L19" s="9" t="s">
        <v>31</v>
      </c>
      <c r="M19" s="16" t="s">
        <v>32</v>
      </c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450</v>
      </c>
      <c r="D20" s="2"/>
      <c r="E20" s="18"/>
      <c r="F20" s="26"/>
      <c r="G20" s="26"/>
      <c r="H20" s="8"/>
      <c r="I20" s="8"/>
      <c r="J20" s="2"/>
      <c r="K20" s="25">
        <v>9117</v>
      </c>
      <c r="L20" s="9" t="s">
        <v>61</v>
      </c>
      <c r="M20" s="16" t="s">
        <v>30</v>
      </c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9238</v>
      </c>
      <c r="L21" s="9" t="s">
        <v>29</v>
      </c>
      <c r="M21" s="16" t="s">
        <v>30</v>
      </c>
    </row>
    <row r="22" spans="2:18" ht="15.75" x14ac:dyDescent="0.25">
      <c r="B22" s="28" t="s">
        <v>33</v>
      </c>
      <c r="C22" s="32">
        <f>C5</f>
        <v>6779.99</v>
      </c>
      <c r="D22" s="2"/>
      <c r="E22" s="18"/>
      <c r="F22" s="25"/>
      <c r="G22" s="26"/>
      <c r="H22" s="8"/>
      <c r="I22" s="8"/>
      <c r="J22" s="2"/>
      <c r="K22" s="25">
        <v>9358</v>
      </c>
      <c r="L22" s="9" t="s">
        <v>31</v>
      </c>
      <c r="M22" s="16" t="s">
        <v>30</v>
      </c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9" t="s">
        <v>34</v>
      </c>
      <c r="F24" s="99"/>
      <c r="G24" s="99"/>
      <c r="H24" s="99"/>
      <c r="I24" s="9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9309</v>
      </c>
      <c r="F26" s="25" t="s">
        <v>43</v>
      </c>
      <c r="G26" s="26" t="s">
        <v>6</v>
      </c>
      <c r="H26" s="8"/>
      <c r="I26" s="8">
        <v>550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9313</v>
      </c>
      <c r="F27" s="25" t="s">
        <v>231</v>
      </c>
      <c r="G27" s="26" t="s">
        <v>6</v>
      </c>
      <c r="H27" s="8"/>
      <c r="I27" s="8">
        <v>1300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9262</v>
      </c>
      <c r="F28" s="25" t="s">
        <v>232</v>
      </c>
      <c r="G28" s="26" t="s">
        <v>10</v>
      </c>
      <c r="H28" s="8"/>
      <c r="I28" s="8">
        <v>125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8932</v>
      </c>
      <c r="F29" s="25" t="s">
        <v>233</v>
      </c>
      <c r="G29" s="26" t="s">
        <v>6</v>
      </c>
      <c r="H29" s="8"/>
      <c r="I29" s="8">
        <v>62.5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9217</v>
      </c>
      <c r="F30" s="39" t="s">
        <v>234</v>
      </c>
      <c r="G30" s="26" t="s">
        <v>8</v>
      </c>
      <c r="H30" s="8"/>
      <c r="I30" s="8">
        <v>480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9" t="s">
        <v>35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26</v>
      </c>
      <c r="F34" s="10" t="s">
        <v>15</v>
      </c>
      <c r="G34" s="11" t="s">
        <v>16</v>
      </c>
      <c r="H34" s="12" t="s">
        <v>36</v>
      </c>
      <c r="I34" s="13" t="s">
        <v>37</v>
      </c>
      <c r="K34" s="14" t="s">
        <v>26</v>
      </c>
      <c r="L34" s="6" t="s">
        <v>38</v>
      </c>
      <c r="M34" s="15" t="s">
        <v>39</v>
      </c>
    </row>
    <row r="35" spans="2:18" ht="15.75" x14ac:dyDescent="0.25">
      <c r="E35" s="18"/>
      <c r="F35" s="25"/>
      <c r="G35" s="26"/>
      <c r="H35" s="8"/>
      <c r="I35" s="8"/>
      <c r="K35" s="25">
        <v>9262</v>
      </c>
      <c r="L35" s="41">
        <v>6</v>
      </c>
      <c r="M35" s="16">
        <v>450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40</v>
      </c>
      <c r="R40" s="1">
        <f>SUM(R6:R21)</f>
        <v>8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zoomScale="80" zoomScaleNormal="80" workbookViewId="0">
      <selection activeCell="M26" sqref="M26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'14'!B1+1</f>
        <v>45458</v>
      </c>
    </row>
    <row r="2" spans="2:18" ht="18.75" x14ac:dyDescent="0.2">
      <c r="B2" s="103" t="s">
        <v>41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6" t="s">
        <v>1</v>
      </c>
      <c r="F4" s="106"/>
      <c r="G4" s="106"/>
      <c r="H4" s="106"/>
      <c r="I4" s="106"/>
      <c r="J4" s="22"/>
      <c r="K4" s="100" t="s">
        <v>3</v>
      </c>
      <c r="L4" s="101"/>
      <c r="M4" s="102"/>
    </row>
    <row r="5" spans="2:18" ht="15" x14ac:dyDescent="0.25">
      <c r="B5" s="23" t="s">
        <v>1</v>
      </c>
      <c r="C5" s="24">
        <f>SUMIF(I6:I31,"&gt;0",H6:H31)</f>
        <v>280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3500</v>
      </c>
      <c r="D6" s="2"/>
      <c r="E6" s="18">
        <v>9359</v>
      </c>
      <c r="F6" s="25" t="s">
        <v>236</v>
      </c>
      <c r="G6" s="46" t="s">
        <v>7</v>
      </c>
      <c r="H6" s="8">
        <v>100</v>
      </c>
      <c r="I6" s="8">
        <v>100</v>
      </c>
      <c r="J6" s="2"/>
      <c r="K6" s="25"/>
      <c r="L6" s="9"/>
      <c r="M6" s="16"/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9360</v>
      </c>
      <c r="F7" s="25" t="s">
        <v>237</v>
      </c>
      <c r="G7" s="46" t="s">
        <v>7</v>
      </c>
      <c r="H7" s="8">
        <v>40</v>
      </c>
      <c r="I7" s="8">
        <v>40</v>
      </c>
      <c r="J7" s="2"/>
      <c r="K7" s="25"/>
      <c r="L7" s="9"/>
      <c r="M7" s="16"/>
      <c r="R7" s="1">
        <f>IF(vend15[[#This Row],[Nº Venda]]&gt;1,1,0)</f>
        <v>1</v>
      </c>
    </row>
    <row r="8" spans="2:18" ht="15.75" x14ac:dyDescent="0.25">
      <c r="B8" s="28" t="s">
        <v>23</v>
      </c>
      <c r="C8" s="29">
        <f>SUM(C6:C7)</f>
        <v>3500</v>
      </c>
      <c r="D8" s="2"/>
      <c r="E8" s="18">
        <v>9361</v>
      </c>
      <c r="F8" s="25" t="s">
        <v>238</v>
      </c>
      <c r="G8" s="26" t="s">
        <v>8</v>
      </c>
      <c r="H8" s="8">
        <v>40</v>
      </c>
      <c r="I8" s="8">
        <v>40</v>
      </c>
      <c r="J8" s="2"/>
      <c r="K8" s="25"/>
      <c r="L8" s="9"/>
      <c r="M8" s="16"/>
      <c r="R8" s="1">
        <f>IF(vend15[[#This Row],[Nº Venda]]&gt;1,1,0)</f>
        <v>1</v>
      </c>
    </row>
    <row r="9" spans="2:18" ht="15.75" x14ac:dyDescent="0.25">
      <c r="B9" s="2"/>
      <c r="C9" s="2"/>
      <c r="D9" s="2"/>
      <c r="E9" s="18">
        <v>9362</v>
      </c>
      <c r="F9" s="25" t="s">
        <v>241</v>
      </c>
      <c r="G9" s="26" t="s">
        <v>58</v>
      </c>
      <c r="H9" s="8"/>
      <c r="I9" s="8"/>
      <c r="J9" s="2"/>
      <c r="K9" s="25"/>
      <c r="L9" s="9"/>
      <c r="M9" s="16"/>
      <c r="R9" s="1">
        <f>IF(vend15[[#This Row],[Nº Venda]]&gt;1,1,0)</f>
        <v>1</v>
      </c>
    </row>
    <row r="10" spans="2:18" ht="15.75" x14ac:dyDescent="0.25">
      <c r="B10" s="98" t="s">
        <v>5</v>
      </c>
      <c r="C10" s="9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406.15999999999997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140</v>
      </c>
      <c r="D13" s="2"/>
      <c r="E13" s="18"/>
      <c r="F13" s="25"/>
      <c r="G13" s="26"/>
      <c r="H13" s="8"/>
      <c r="I13" s="8"/>
      <c r="J13" s="2"/>
      <c r="K13" s="100" t="s">
        <v>25</v>
      </c>
      <c r="L13" s="101"/>
      <c r="M13" s="102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IF(vend15[[#This Row],[Nº Venda]]&gt;1,1,0)</f>
        <v>0</v>
      </c>
    </row>
    <row r="15" spans="2:18" ht="15.75" x14ac:dyDescent="0.25">
      <c r="B15" s="30" t="s">
        <v>10</v>
      </c>
      <c r="C15" s="31">
        <f t="shared" si="0"/>
        <v>3176.66</v>
      </c>
      <c r="D15" s="2"/>
      <c r="E15" s="18"/>
      <c r="F15" s="25"/>
      <c r="G15" s="26"/>
      <c r="H15" s="8"/>
      <c r="I15" s="8"/>
      <c r="J15" s="2"/>
      <c r="K15" s="65">
        <v>9334</v>
      </c>
      <c r="L15" s="72" t="s">
        <v>61</v>
      </c>
      <c r="M15" s="73" t="s">
        <v>30</v>
      </c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3722.8199999999997</v>
      </c>
      <c r="D16" s="2"/>
      <c r="E16" s="18"/>
      <c r="F16" s="25"/>
      <c r="G16" s="26"/>
      <c r="H16" s="8"/>
      <c r="I16" s="8"/>
      <c r="J16" s="2"/>
      <c r="K16" s="25">
        <v>9332</v>
      </c>
      <c r="L16" s="9" t="s">
        <v>61</v>
      </c>
      <c r="M16" s="16" t="s">
        <v>30</v>
      </c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9325</v>
      </c>
      <c r="L17" s="9" t="s">
        <v>61</v>
      </c>
      <c r="M17" s="16" t="s">
        <v>30</v>
      </c>
      <c r="R17" s="1">
        <f>IF(vend15[[#This Row],[Nº Venda]]&gt;1,1,0)</f>
        <v>0</v>
      </c>
    </row>
    <row r="18" spans="2:18" ht="15.75" x14ac:dyDescent="0.25">
      <c r="B18" s="98" t="s">
        <v>12</v>
      </c>
      <c r="C18" s="98"/>
      <c r="D18" s="2"/>
      <c r="E18" s="18"/>
      <c r="F18" s="25"/>
      <c r="G18" s="26"/>
      <c r="H18" s="8"/>
      <c r="I18" s="8"/>
      <c r="J18" s="2"/>
      <c r="K18" s="25">
        <v>9298</v>
      </c>
      <c r="L18" s="9" t="s">
        <v>61</v>
      </c>
      <c r="M18" s="16" t="s">
        <v>30</v>
      </c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65">
        <v>9297</v>
      </c>
      <c r="L19" s="72" t="s">
        <v>61</v>
      </c>
      <c r="M19" s="73" t="s">
        <v>30</v>
      </c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9318</v>
      </c>
      <c r="L20" s="9" t="s">
        <v>61</v>
      </c>
      <c r="M20" s="16" t="s">
        <v>30</v>
      </c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9323</v>
      </c>
      <c r="L21" s="9" t="s">
        <v>61</v>
      </c>
      <c r="M21" s="16" t="s">
        <v>30</v>
      </c>
    </row>
    <row r="22" spans="2:18" ht="15.75" x14ac:dyDescent="0.25">
      <c r="B22" s="28" t="s">
        <v>33</v>
      </c>
      <c r="C22" s="32">
        <f>C5</f>
        <v>280</v>
      </c>
      <c r="D22" s="2"/>
      <c r="E22" s="18"/>
      <c r="F22" s="25"/>
      <c r="G22" s="26"/>
      <c r="H22" s="8"/>
      <c r="I22" s="8"/>
      <c r="J22" s="2"/>
      <c r="K22" s="25">
        <v>9195</v>
      </c>
      <c r="L22" s="9" t="s">
        <v>29</v>
      </c>
      <c r="M22" s="16" t="s">
        <v>30</v>
      </c>
    </row>
    <row r="23" spans="2:18" ht="15" x14ac:dyDescent="0.25">
      <c r="B23" s="2"/>
      <c r="C23" s="2"/>
      <c r="D23" s="2"/>
      <c r="E23" s="33"/>
      <c r="H23" s="7"/>
      <c r="J23" s="2"/>
      <c r="K23" s="25">
        <v>9192</v>
      </c>
      <c r="L23" s="9" t="s">
        <v>29</v>
      </c>
      <c r="M23" s="16" t="s">
        <v>30</v>
      </c>
    </row>
    <row r="24" spans="2:18" ht="15" x14ac:dyDescent="0.25">
      <c r="B24" s="2"/>
      <c r="C24" s="2"/>
      <c r="D24" s="2"/>
      <c r="E24" s="99" t="s">
        <v>34</v>
      </c>
      <c r="F24" s="99"/>
      <c r="G24" s="99"/>
      <c r="H24" s="99"/>
      <c r="I24" s="99"/>
      <c r="J24" s="2"/>
      <c r="K24" s="25">
        <v>9196</v>
      </c>
      <c r="L24" s="9" t="s">
        <v>29</v>
      </c>
      <c r="M24" s="16" t="s">
        <v>30</v>
      </c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>
        <v>9227</v>
      </c>
      <c r="L25" s="9" t="s">
        <v>29</v>
      </c>
      <c r="M25" s="16" t="s">
        <v>30</v>
      </c>
    </row>
    <row r="26" spans="2:18" ht="15.75" x14ac:dyDescent="0.25">
      <c r="B26" s="2"/>
      <c r="C26" s="2"/>
      <c r="D26" s="2"/>
      <c r="E26" s="18">
        <v>9334</v>
      </c>
      <c r="F26" s="25" t="s">
        <v>239</v>
      </c>
      <c r="G26" s="46" t="s">
        <v>7</v>
      </c>
      <c r="H26" s="8"/>
      <c r="I26" s="8">
        <v>150</v>
      </c>
      <c r="J26" s="2"/>
      <c r="K26" s="25">
        <v>9335</v>
      </c>
      <c r="L26" s="9" t="s">
        <v>61</v>
      </c>
      <c r="M26" s="16" t="s">
        <v>30</v>
      </c>
    </row>
    <row r="27" spans="2:18" ht="15.75" x14ac:dyDescent="0.25">
      <c r="B27" s="2"/>
      <c r="C27" s="2"/>
      <c r="D27" s="2"/>
      <c r="E27" s="18">
        <v>9325</v>
      </c>
      <c r="F27" s="25" t="s">
        <v>240</v>
      </c>
      <c r="G27" s="26" t="s">
        <v>8</v>
      </c>
      <c r="H27" s="8">
        <v>100</v>
      </c>
      <c r="I27" s="8">
        <v>100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9192</v>
      </c>
      <c r="F28" s="25" t="s">
        <v>244</v>
      </c>
      <c r="G28" s="26" t="s">
        <v>10</v>
      </c>
      <c r="H28" s="8"/>
      <c r="I28" s="8">
        <v>2670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9227</v>
      </c>
      <c r="F29" s="25" t="s">
        <v>244</v>
      </c>
      <c r="G29" s="26" t="s">
        <v>10</v>
      </c>
      <c r="H29" s="8"/>
      <c r="I29" s="8">
        <v>400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9" t="s">
        <v>35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26</v>
      </c>
      <c r="F34" s="10" t="s">
        <v>15</v>
      </c>
      <c r="G34" s="11" t="s">
        <v>16</v>
      </c>
      <c r="H34" s="12" t="s">
        <v>36</v>
      </c>
      <c r="I34" s="13" t="s">
        <v>37</v>
      </c>
      <c r="K34" s="14" t="s">
        <v>26</v>
      </c>
      <c r="L34" s="6" t="s">
        <v>38</v>
      </c>
      <c r="M34" s="15" t="s">
        <v>39</v>
      </c>
    </row>
    <row r="35" spans="2:18" ht="15.75" x14ac:dyDescent="0.25">
      <c r="E35" s="18">
        <v>9091</v>
      </c>
      <c r="F35" s="25" t="s">
        <v>242</v>
      </c>
      <c r="G35" s="26" t="s">
        <v>7</v>
      </c>
      <c r="H35" s="8">
        <v>116.16</v>
      </c>
      <c r="I35" s="8" t="s">
        <v>124</v>
      </c>
      <c r="K35" s="25"/>
      <c r="L35" s="41"/>
      <c r="M35" s="16"/>
    </row>
    <row r="36" spans="2:18" ht="15.75" x14ac:dyDescent="0.25">
      <c r="E36" s="18">
        <v>8669</v>
      </c>
      <c r="F36" s="25" t="s">
        <v>243</v>
      </c>
      <c r="G36" s="26" t="s">
        <v>10</v>
      </c>
      <c r="H36" s="8">
        <v>106.66</v>
      </c>
      <c r="I36" s="8" t="s">
        <v>127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40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zoomScale="80" zoomScaleNormal="80" workbookViewId="0">
      <selection activeCell="E35" sqref="E35:I41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'15'!B1+1</f>
        <v>45459</v>
      </c>
    </row>
    <row r="2" spans="2:18" ht="18.75" x14ac:dyDescent="0.2">
      <c r="B2" s="103" t="s">
        <v>41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6" t="s">
        <v>1</v>
      </c>
      <c r="F4" s="106"/>
      <c r="G4" s="106"/>
      <c r="H4" s="106"/>
      <c r="I4" s="106"/>
      <c r="J4" s="22"/>
      <c r="K4" s="100" t="s">
        <v>3</v>
      </c>
      <c r="L4" s="101"/>
      <c r="M4" s="10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IF(vend16[[#This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98" t="s">
        <v>5</v>
      </c>
      <c r="C10" s="9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0" t="s">
        <v>25</v>
      </c>
      <c r="L13" s="101"/>
      <c r="M13" s="102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65"/>
      <c r="L17" s="72"/>
      <c r="M17" s="73"/>
      <c r="R17" s="1">
        <f>IF(vend16[[#This Row],[Nº Venda]]&gt;1,1,0)</f>
        <v>0</v>
      </c>
    </row>
    <row r="18" spans="2:18" ht="15.75" x14ac:dyDescent="0.25">
      <c r="B18" s="98" t="s">
        <v>12</v>
      </c>
      <c r="C18" s="9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33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9" t="s">
        <v>34</v>
      </c>
      <c r="F24" s="99"/>
      <c r="G24" s="99"/>
      <c r="H24" s="99"/>
      <c r="I24" s="9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9" t="s">
        <v>35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26</v>
      </c>
      <c r="F34" s="10" t="s">
        <v>15</v>
      </c>
      <c r="G34" s="11" t="s">
        <v>16</v>
      </c>
      <c r="H34" s="12" t="s">
        <v>36</v>
      </c>
      <c r="I34" s="13" t="s">
        <v>37</v>
      </c>
      <c r="K34" s="14" t="s">
        <v>26</v>
      </c>
      <c r="L34" s="6" t="s">
        <v>38</v>
      </c>
      <c r="M34" s="15" t="s">
        <v>39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40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zoomScale="80" zoomScaleNormal="80" workbookViewId="0">
      <selection activeCell="I36" sqref="I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'16'!B1+1</f>
        <v>45460</v>
      </c>
    </row>
    <row r="2" spans="2:18" ht="18.75" x14ac:dyDescent="0.2">
      <c r="B2" s="103" t="s">
        <v>41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6" t="s">
        <v>1</v>
      </c>
      <c r="F4" s="106"/>
      <c r="G4" s="106"/>
      <c r="H4" s="106"/>
      <c r="I4" s="106"/>
      <c r="J4" s="22"/>
      <c r="K4" s="100" t="s">
        <v>3</v>
      </c>
      <c r="L4" s="101"/>
      <c r="M4" s="102"/>
    </row>
    <row r="5" spans="2:18" ht="15" x14ac:dyDescent="0.25">
      <c r="B5" s="23" t="s">
        <v>1</v>
      </c>
      <c r="C5" s="24">
        <f>SUMIF(I6:I31,"&gt;0",H6:H31)</f>
        <v>850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995</v>
      </c>
      <c r="D6" s="2"/>
      <c r="E6" s="18">
        <v>9363</v>
      </c>
      <c r="F6" s="25" t="s">
        <v>245</v>
      </c>
      <c r="G6" s="26" t="s">
        <v>8</v>
      </c>
      <c r="H6" s="8">
        <v>500</v>
      </c>
      <c r="I6" s="8">
        <v>500</v>
      </c>
      <c r="J6" s="2"/>
      <c r="K6" s="25"/>
      <c r="L6" s="9"/>
      <c r="M6" s="16"/>
      <c r="R6" s="1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9364</v>
      </c>
      <c r="F7" s="25" t="s">
        <v>245</v>
      </c>
      <c r="G7" s="26" t="s">
        <v>8</v>
      </c>
      <c r="H7" s="8">
        <v>200</v>
      </c>
      <c r="I7" s="8">
        <v>200</v>
      </c>
      <c r="J7" s="2"/>
      <c r="K7" s="25"/>
      <c r="L7" s="9"/>
      <c r="M7" s="16"/>
      <c r="R7" s="1">
        <f>IF(vend17[[#This Row],[Nº Venda]]&gt;1,1,0)</f>
        <v>1</v>
      </c>
    </row>
    <row r="8" spans="2:18" ht="15.75" x14ac:dyDescent="0.25">
      <c r="B8" s="28" t="s">
        <v>23</v>
      </c>
      <c r="C8" s="29">
        <f>SUM(C6:C7)</f>
        <v>995</v>
      </c>
      <c r="D8" s="2"/>
      <c r="E8" s="18">
        <v>9365</v>
      </c>
      <c r="F8" s="25" t="s">
        <v>231</v>
      </c>
      <c r="G8" s="26" t="s">
        <v>58</v>
      </c>
      <c r="H8" s="8"/>
      <c r="I8" s="8"/>
      <c r="J8" s="2"/>
      <c r="K8" s="25"/>
      <c r="L8" s="9"/>
      <c r="M8" s="16"/>
      <c r="R8" s="1">
        <f>IF(vend17[[#This Row],[Nº Venda]]&gt;1,1,0)</f>
        <v>1</v>
      </c>
    </row>
    <row r="9" spans="2:18" ht="15.75" x14ac:dyDescent="0.25">
      <c r="B9" s="2"/>
      <c r="C9" s="2"/>
      <c r="D9" s="2"/>
      <c r="E9" s="18">
        <v>9366</v>
      </c>
      <c r="F9" s="25" t="s">
        <v>82</v>
      </c>
      <c r="G9" s="26" t="s">
        <v>58</v>
      </c>
      <c r="H9" s="8"/>
      <c r="I9" s="8"/>
      <c r="J9" s="2"/>
      <c r="K9" s="25"/>
      <c r="L9" s="9"/>
      <c r="M9" s="16"/>
      <c r="R9" s="1">
        <f>IF(vend17[[#This Row],[Nº Venda]]&gt;1,1,0)</f>
        <v>1</v>
      </c>
    </row>
    <row r="10" spans="2:18" ht="15.75" x14ac:dyDescent="0.25">
      <c r="B10" s="98" t="s">
        <v>5</v>
      </c>
      <c r="C10" s="98"/>
      <c r="D10" s="2"/>
      <c r="E10" s="18">
        <v>9367</v>
      </c>
      <c r="F10" s="25" t="s">
        <v>242</v>
      </c>
      <c r="G10" s="26" t="s">
        <v>58</v>
      </c>
      <c r="H10" s="8"/>
      <c r="I10" s="8"/>
      <c r="J10" s="2"/>
      <c r="K10" s="25"/>
      <c r="L10" s="9"/>
      <c r="M10" s="16"/>
      <c r="R10" s="1">
        <f>IF(vend17[[#This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214</v>
      </c>
      <c r="D11" s="2"/>
      <c r="E11" s="18">
        <v>9368</v>
      </c>
      <c r="F11" s="25" t="s">
        <v>246</v>
      </c>
      <c r="G11" s="26" t="s">
        <v>6</v>
      </c>
      <c r="H11" s="8">
        <v>150</v>
      </c>
      <c r="I11" s="8">
        <v>100</v>
      </c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50</v>
      </c>
      <c r="D12" s="2"/>
      <c r="E12" s="18">
        <v>9368</v>
      </c>
      <c r="F12" s="25" t="s">
        <v>246</v>
      </c>
      <c r="G12" s="26" t="s">
        <v>7</v>
      </c>
      <c r="H12" s="8"/>
      <c r="I12" s="8">
        <v>50</v>
      </c>
      <c r="J12" s="2"/>
      <c r="R12" s="1">
        <f>IF(vend17[[#This Row],[Nº Venda]]&gt;1,1,0)</f>
        <v>1</v>
      </c>
    </row>
    <row r="13" spans="2:18" ht="15.75" x14ac:dyDescent="0.25">
      <c r="B13" s="30" t="s">
        <v>8</v>
      </c>
      <c r="C13" s="31">
        <f t="shared" si="0"/>
        <v>700</v>
      </c>
      <c r="D13" s="2"/>
      <c r="E13" s="18"/>
      <c r="F13" s="25"/>
      <c r="G13" s="26"/>
      <c r="H13" s="8"/>
      <c r="I13" s="8"/>
      <c r="J13" s="2"/>
      <c r="K13" s="100" t="s">
        <v>25</v>
      </c>
      <c r="L13" s="101"/>
      <c r="M13" s="102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145</v>
      </c>
      <c r="D15" s="2"/>
      <c r="E15" s="18"/>
      <c r="F15" s="25"/>
      <c r="G15" s="26"/>
      <c r="H15" s="8"/>
      <c r="I15" s="8"/>
      <c r="J15" s="2"/>
      <c r="K15" s="25">
        <v>9277</v>
      </c>
      <c r="L15" s="9" t="s">
        <v>74</v>
      </c>
      <c r="M15" s="16" t="s">
        <v>30</v>
      </c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1109</v>
      </c>
      <c r="D16" s="2"/>
      <c r="E16" s="18"/>
      <c r="F16" s="25"/>
      <c r="G16" s="26"/>
      <c r="H16" s="8"/>
      <c r="I16" s="8"/>
      <c r="J16" s="2"/>
      <c r="K16" s="25">
        <v>9368</v>
      </c>
      <c r="L16" s="9" t="s">
        <v>31</v>
      </c>
      <c r="M16" s="16" t="s">
        <v>30</v>
      </c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9186</v>
      </c>
      <c r="L17" s="9" t="s">
        <v>31</v>
      </c>
      <c r="M17" s="16" t="s">
        <v>30</v>
      </c>
      <c r="R17" s="1">
        <f>IF(vend17[[#This Row],[Nº Venda]]&gt;1,1,0)</f>
        <v>0</v>
      </c>
    </row>
    <row r="18" spans="2:18" ht="15.75" x14ac:dyDescent="0.25">
      <c r="B18" s="98" t="s">
        <v>12</v>
      </c>
      <c r="C18" s="9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33</v>
      </c>
      <c r="C22" s="32">
        <f>C5</f>
        <v>850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9" t="s">
        <v>34</v>
      </c>
      <c r="F24" s="99"/>
      <c r="G24" s="99"/>
      <c r="H24" s="99"/>
      <c r="I24" s="9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9218</v>
      </c>
      <c r="F26" s="25" t="s">
        <v>247</v>
      </c>
      <c r="G26" s="26" t="s">
        <v>10</v>
      </c>
      <c r="H26" s="8"/>
      <c r="I26" s="8">
        <v>15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43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8992</v>
      </c>
      <c r="F28" s="25" t="s">
        <v>97</v>
      </c>
      <c r="G28" s="26" t="s">
        <v>10</v>
      </c>
      <c r="H28" s="8"/>
      <c r="I28" s="8">
        <v>30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9186</v>
      </c>
      <c r="F29" s="25" t="s">
        <v>248</v>
      </c>
      <c r="G29" s="26" t="s">
        <v>10</v>
      </c>
      <c r="H29" s="8"/>
      <c r="I29" s="8">
        <v>100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9" t="s">
        <v>35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26</v>
      </c>
      <c r="F34" s="10" t="s">
        <v>15</v>
      </c>
      <c r="G34" s="11" t="s">
        <v>16</v>
      </c>
      <c r="H34" s="12" t="s">
        <v>36</v>
      </c>
      <c r="I34" s="13" t="s">
        <v>37</v>
      </c>
      <c r="K34" s="14" t="s">
        <v>26</v>
      </c>
      <c r="L34" s="6" t="s">
        <v>38</v>
      </c>
      <c r="M34" s="15" t="s">
        <v>39</v>
      </c>
    </row>
    <row r="35" spans="2:18" ht="15.75" x14ac:dyDescent="0.25">
      <c r="E35" s="18">
        <v>8253</v>
      </c>
      <c r="F35" s="25" t="s">
        <v>249</v>
      </c>
      <c r="G35" s="26" t="s">
        <v>6</v>
      </c>
      <c r="H35" s="8">
        <v>56</v>
      </c>
      <c r="I35" s="8" t="s">
        <v>86</v>
      </c>
      <c r="K35" s="25"/>
      <c r="L35" s="41"/>
      <c r="M35" s="16"/>
    </row>
    <row r="36" spans="2:18" ht="15.75" x14ac:dyDescent="0.25">
      <c r="E36" s="18">
        <v>8253</v>
      </c>
      <c r="F36" s="25" t="s">
        <v>249</v>
      </c>
      <c r="G36" s="26" t="s">
        <v>6</v>
      </c>
      <c r="H36" s="8">
        <v>58</v>
      </c>
      <c r="I36" s="8" t="s">
        <v>135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40</v>
      </c>
      <c r="R40" s="1">
        <f>SUM(R6:R21)</f>
        <v>7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zoomScale="80" zoomScaleNormal="80" workbookViewId="0">
      <selection activeCell="I39" sqref="I39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5">
        <f>'17'!B1+1</f>
        <v>45461</v>
      </c>
    </row>
    <row r="2" spans="2:18" ht="18.75" x14ac:dyDescent="0.2">
      <c r="B2" s="103" t="s">
        <v>41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6" t="s">
        <v>1</v>
      </c>
      <c r="F4" s="106"/>
      <c r="G4" s="106"/>
      <c r="H4" s="106"/>
      <c r="I4" s="106"/>
      <c r="J4" s="22"/>
      <c r="K4" s="100" t="s">
        <v>3</v>
      </c>
      <c r="L4" s="101"/>
      <c r="M4" s="102"/>
    </row>
    <row r="5" spans="2:18" ht="15" x14ac:dyDescent="0.25">
      <c r="B5" s="23" t="s">
        <v>1</v>
      </c>
      <c r="C5" s="24">
        <f>SUMIF(I6:I31,"&gt;0",H6:H31)</f>
        <v>6249.9599999999991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2023.99</v>
      </c>
      <c r="D6" s="2"/>
      <c r="E6" s="93">
        <v>9369</v>
      </c>
      <c r="F6" s="65" t="s">
        <v>258</v>
      </c>
      <c r="G6" s="94" t="s">
        <v>7</v>
      </c>
      <c r="H6" s="76">
        <v>40</v>
      </c>
      <c r="I6" s="76">
        <v>40</v>
      </c>
      <c r="J6" s="2"/>
      <c r="K6" s="25"/>
      <c r="L6" s="70"/>
      <c r="M6" s="16"/>
      <c r="R6" s="1">
        <f>IF(vend18[[#This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9370</v>
      </c>
      <c r="F7" s="25" t="s">
        <v>250</v>
      </c>
      <c r="G7" s="26" t="s">
        <v>10</v>
      </c>
      <c r="H7" s="8">
        <v>999.99</v>
      </c>
      <c r="I7" s="8">
        <v>150</v>
      </c>
      <c r="J7" s="2"/>
      <c r="K7" s="25"/>
      <c r="L7" s="9"/>
      <c r="M7" s="16"/>
      <c r="R7" s="1">
        <f>IF(vend18[[#This Row],[Nº Venda]]&gt;1,1,0)</f>
        <v>1</v>
      </c>
    </row>
    <row r="8" spans="2:18" ht="15.75" x14ac:dyDescent="0.25">
      <c r="B8" s="28" t="s">
        <v>23</v>
      </c>
      <c r="C8" s="29">
        <f>SUM(C6:C7)</f>
        <v>2023.99</v>
      </c>
      <c r="D8" s="2"/>
      <c r="E8" s="18">
        <v>9371</v>
      </c>
      <c r="F8" s="25" t="s">
        <v>251</v>
      </c>
      <c r="G8" s="26" t="s">
        <v>8</v>
      </c>
      <c r="H8" s="8">
        <v>700</v>
      </c>
      <c r="I8" s="8">
        <v>700</v>
      </c>
      <c r="J8" s="2"/>
      <c r="K8" s="25"/>
      <c r="L8" s="9"/>
      <c r="M8" s="16"/>
      <c r="R8" s="1">
        <f>IF(vend18[[#This Row],[Nº Venda]]&gt;1,1,0)</f>
        <v>1</v>
      </c>
    </row>
    <row r="9" spans="2:18" ht="15.75" x14ac:dyDescent="0.25">
      <c r="B9" s="2"/>
      <c r="C9" s="2"/>
      <c r="D9" s="2"/>
      <c r="E9" s="18">
        <v>9372</v>
      </c>
      <c r="F9" s="25" t="s">
        <v>252</v>
      </c>
      <c r="G9" s="26" t="s">
        <v>7</v>
      </c>
      <c r="H9" s="8">
        <v>1800</v>
      </c>
      <c r="I9" s="8">
        <v>900</v>
      </c>
      <c r="J9" s="2"/>
      <c r="K9" s="25"/>
      <c r="L9" s="9"/>
      <c r="M9" s="16"/>
      <c r="R9" s="1">
        <f>IF(vend18[[#This Row],[Nº Venda]]&gt;1,1,0)</f>
        <v>1</v>
      </c>
    </row>
    <row r="10" spans="2:18" ht="15.75" x14ac:dyDescent="0.25">
      <c r="B10" s="98" t="s">
        <v>5</v>
      </c>
      <c r="C10" s="98"/>
      <c r="D10" s="2"/>
      <c r="E10" s="18">
        <v>9373</v>
      </c>
      <c r="F10" s="25" t="s">
        <v>253</v>
      </c>
      <c r="G10" s="26" t="s">
        <v>10</v>
      </c>
      <c r="H10" s="8">
        <v>899.99</v>
      </c>
      <c r="I10" s="8">
        <v>15</v>
      </c>
      <c r="J10" s="2"/>
      <c r="K10" s="25"/>
      <c r="L10" s="9"/>
      <c r="M10" s="16"/>
      <c r="R10" s="1">
        <f>IF(vend18[[#This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139</v>
      </c>
      <c r="D11" s="2"/>
      <c r="E11" s="18">
        <v>9374</v>
      </c>
      <c r="F11" s="25" t="s">
        <v>254</v>
      </c>
      <c r="G11" s="26" t="s">
        <v>7</v>
      </c>
      <c r="H11" s="8">
        <v>399.99</v>
      </c>
      <c r="I11" s="8">
        <v>10</v>
      </c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1069.99</v>
      </c>
      <c r="D12" s="2"/>
      <c r="E12" s="18">
        <v>9375</v>
      </c>
      <c r="F12" s="25" t="s">
        <v>255</v>
      </c>
      <c r="G12" s="26" t="s">
        <v>8</v>
      </c>
      <c r="H12" s="8">
        <v>1251</v>
      </c>
      <c r="I12" s="8">
        <v>50</v>
      </c>
      <c r="J12" s="2"/>
      <c r="R12" s="1">
        <f>IF(vend18[[#This Row],[Nº Venda]]&gt;1,1,0)</f>
        <v>1</v>
      </c>
    </row>
    <row r="13" spans="2:18" ht="15.75" x14ac:dyDescent="0.25">
      <c r="B13" s="30" t="s">
        <v>8</v>
      </c>
      <c r="C13" s="31">
        <f t="shared" si="0"/>
        <v>750</v>
      </c>
      <c r="D13" s="2"/>
      <c r="E13" s="18">
        <v>9376</v>
      </c>
      <c r="F13" s="25" t="s">
        <v>256</v>
      </c>
      <c r="G13" s="26" t="s">
        <v>6</v>
      </c>
      <c r="H13" s="8">
        <v>89</v>
      </c>
      <c r="I13" s="8">
        <v>89</v>
      </c>
      <c r="J13" s="2"/>
      <c r="K13" s="100" t="s">
        <v>25</v>
      </c>
      <c r="L13" s="101"/>
      <c r="M13" s="102"/>
      <c r="R13" s="1">
        <f>IF(vend18[[#This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>
        <v>9377</v>
      </c>
      <c r="F14" s="25" t="s">
        <v>257</v>
      </c>
      <c r="G14" s="26" t="s">
        <v>7</v>
      </c>
      <c r="H14" s="8">
        <v>69.989999999999995</v>
      </c>
      <c r="I14" s="8">
        <v>69.989999999999995</v>
      </c>
      <c r="J14" s="2"/>
      <c r="K14" s="14" t="s">
        <v>26</v>
      </c>
      <c r="L14" s="6" t="s">
        <v>27</v>
      </c>
      <c r="M14" s="15" t="s">
        <v>28</v>
      </c>
      <c r="R14" s="1">
        <f>IF(vend18[[#This Row],[Nº Venda]]&gt;1,1,0)</f>
        <v>1</v>
      </c>
    </row>
    <row r="15" spans="2:18" ht="15.75" x14ac:dyDescent="0.25">
      <c r="B15" s="30" t="s">
        <v>10</v>
      </c>
      <c r="C15" s="31">
        <f t="shared" si="0"/>
        <v>512.32999999999993</v>
      </c>
      <c r="D15" s="2"/>
      <c r="E15" s="18"/>
      <c r="F15" s="25"/>
      <c r="G15" s="26"/>
      <c r="H15" s="8"/>
      <c r="I15" s="8"/>
      <c r="J15" s="2"/>
      <c r="K15" s="25">
        <v>9376</v>
      </c>
      <c r="L15" s="9" t="s">
        <v>29</v>
      </c>
      <c r="M15" s="16" t="s">
        <v>30</v>
      </c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2471.3199999999997</v>
      </c>
      <c r="D16" s="2"/>
      <c r="E16" s="18"/>
      <c r="F16" s="25"/>
      <c r="G16" s="26"/>
      <c r="H16" s="8"/>
      <c r="I16" s="8"/>
      <c r="J16" s="2"/>
      <c r="K16" s="25">
        <v>9351</v>
      </c>
      <c r="L16" s="9" t="s">
        <v>31</v>
      </c>
      <c r="M16" s="16" t="s">
        <v>30</v>
      </c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9377</v>
      </c>
      <c r="L17" s="9" t="s">
        <v>29</v>
      </c>
      <c r="M17" s="16" t="s">
        <v>30</v>
      </c>
      <c r="R17" s="1">
        <f>IF(vend18[[#This Row],[Nº Venda]]&gt;1,1,0)</f>
        <v>0</v>
      </c>
    </row>
    <row r="18" spans="2:18" ht="15.75" x14ac:dyDescent="0.25">
      <c r="B18" s="98" t="s">
        <v>12</v>
      </c>
      <c r="C18" s="9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33</v>
      </c>
      <c r="C22" s="32">
        <f>C5</f>
        <v>6249.9599999999991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68"/>
      <c r="F23" s="68"/>
      <c r="G23" s="68"/>
      <c r="H23" s="69"/>
      <c r="I23" s="69"/>
      <c r="J23" s="2"/>
      <c r="K23" s="25"/>
      <c r="L23" s="9"/>
      <c r="M23" s="16"/>
    </row>
    <row r="24" spans="2:18" ht="15" x14ac:dyDescent="0.25">
      <c r="B24" s="2"/>
      <c r="C24" s="2"/>
      <c r="D24" s="2"/>
      <c r="E24" s="99" t="s">
        <v>34</v>
      </c>
      <c r="F24" s="99"/>
      <c r="G24" s="99"/>
      <c r="H24" s="99"/>
      <c r="I24" s="9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9" t="s">
        <v>35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26</v>
      </c>
      <c r="F34" s="10" t="s">
        <v>15</v>
      </c>
      <c r="G34" s="11" t="s">
        <v>16</v>
      </c>
      <c r="H34" s="12" t="s">
        <v>36</v>
      </c>
      <c r="I34" s="13" t="s">
        <v>37</v>
      </c>
      <c r="K34" s="14" t="s">
        <v>26</v>
      </c>
      <c r="L34" s="6" t="s">
        <v>38</v>
      </c>
      <c r="M34" s="15" t="s">
        <v>39</v>
      </c>
    </row>
    <row r="35" spans="2:18" ht="15.75" x14ac:dyDescent="0.25">
      <c r="E35" s="18">
        <v>9203</v>
      </c>
      <c r="F35" s="25" t="s">
        <v>95</v>
      </c>
      <c r="G35" s="26" t="s">
        <v>10</v>
      </c>
      <c r="H35" s="8">
        <v>199</v>
      </c>
      <c r="I35" s="8" t="s">
        <v>54</v>
      </c>
      <c r="K35" s="25"/>
      <c r="L35" s="41"/>
      <c r="M35" s="16"/>
    </row>
    <row r="36" spans="2:18" ht="15.75" x14ac:dyDescent="0.25">
      <c r="E36" s="18">
        <v>9208</v>
      </c>
      <c r="F36" s="25" t="s">
        <v>259</v>
      </c>
      <c r="G36" s="26" t="s">
        <v>10</v>
      </c>
      <c r="H36" s="8">
        <v>63.33</v>
      </c>
      <c r="I36" s="8" t="s">
        <v>124</v>
      </c>
      <c r="K36" s="25"/>
      <c r="L36" s="41"/>
      <c r="M36" s="16"/>
    </row>
    <row r="37" spans="2:18" ht="15.75" x14ac:dyDescent="0.25">
      <c r="E37" s="18">
        <v>8765</v>
      </c>
      <c r="F37" s="25" t="s">
        <v>260</v>
      </c>
      <c r="G37" s="26" t="s">
        <v>6</v>
      </c>
      <c r="H37" s="8">
        <v>50</v>
      </c>
      <c r="I37" s="8" t="s">
        <v>127</v>
      </c>
      <c r="K37" s="25"/>
      <c r="L37" s="41"/>
      <c r="M37" s="16"/>
    </row>
    <row r="38" spans="2:18" ht="15.75" x14ac:dyDescent="0.25">
      <c r="E38" s="18">
        <v>8765</v>
      </c>
      <c r="F38" s="25" t="s">
        <v>260</v>
      </c>
      <c r="G38" s="26" t="s">
        <v>7</v>
      </c>
      <c r="H38" s="8">
        <v>50</v>
      </c>
      <c r="I38" s="8" t="s">
        <v>127</v>
      </c>
      <c r="K38" s="25"/>
      <c r="L38" s="41"/>
      <c r="M38" s="16"/>
    </row>
    <row r="39" spans="2:18" ht="15.75" x14ac:dyDescent="0.25">
      <c r="E39" s="18">
        <v>8468</v>
      </c>
      <c r="F39" s="39" t="s">
        <v>335</v>
      </c>
      <c r="G39" s="26" t="s">
        <v>10</v>
      </c>
      <c r="H39" s="8">
        <v>85</v>
      </c>
      <c r="I39" s="8" t="s">
        <v>63</v>
      </c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40</v>
      </c>
      <c r="R40" s="1">
        <f>SUM(R6:R21)</f>
        <v>9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topLeftCell="A14" zoomScale="80" zoomScaleNormal="80" zoomScaleSheetLayoutView="70" workbookViewId="0">
      <selection activeCell="U5" sqref="U5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'18'!B1+1</f>
        <v>45462</v>
      </c>
    </row>
    <row r="2" spans="2:18" ht="18.75" x14ac:dyDescent="0.2">
      <c r="B2" s="103" t="s">
        <v>41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6" t="s">
        <v>1</v>
      </c>
      <c r="F4" s="106"/>
      <c r="G4" s="106"/>
      <c r="H4" s="106"/>
      <c r="I4" s="106"/>
      <c r="J4" s="22"/>
      <c r="K4" s="100" t="s">
        <v>3</v>
      </c>
      <c r="L4" s="101"/>
      <c r="M4" s="102"/>
    </row>
    <row r="5" spans="2:18" ht="15" x14ac:dyDescent="0.25">
      <c r="B5" s="23" t="s">
        <v>1</v>
      </c>
      <c r="C5" s="24">
        <f>SUMIF(I6:I31,"&gt;0",H6:H31)</f>
        <v>3410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1900</v>
      </c>
      <c r="D6" s="2"/>
      <c r="E6" s="18">
        <v>9378</v>
      </c>
      <c r="F6" s="25" t="s">
        <v>262</v>
      </c>
      <c r="G6" s="26" t="s">
        <v>8</v>
      </c>
      <c r="H6" s="71">
        <v>590</v>
      </c>
      <c r="I6" s="8">
        <v>390</v>
      </c>
      <c r="J6" s="2"/>
      <c r="K6" s="25" t="s">
        <v>264</v>
      </c>
      <c r="L6" s="9" t="s">
        <v>45</v>
      </c>
      <c r="M6" s="16">
        <v>8.9</v>
      </c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8.9</v>
      </c>
      <c r="D7" s="2"/>
      <c r="E7" s="18">
        <v>9379</v>
      </c>
      <c r="F7" s="25" t="s">
        <v>261</v>
      </c>
      <c r="G7" s="26" t="s">
        <v>10</v>
      </c>
      <c r="H7" s="8">
        <v>820</v>
      </c>
      <c r="I7" s="8">
        <v>820</v>
      </c>
      <c r="J7" s="2"/>
      <c r="K7" s="25"/>
      <c r="L7" s="9"/>
      <c r="M7" s="16"/>
      <c r="R7" s="1">
        <f>IF(vend19[[#This Row],[Nº Venda]]&gt;1,1,0)</f>
        <v>1</v>
      </c>
    </row>
    <row r="8" spans="2:18" ht="15.75" x14ac:dyDescent="0.25">
      <c r="B8" s="28" t="s">
        <v>23</v>
      </c>
      <c r="C8" s="29">
        <f>SUM(C6:C7)</f>
        <v>1908.9</v>
      </c>
      <c r="D8" s="2"/>
      <c r="E8" s="18">
        <v>7380</v>
      </c>
      <c r="F8" s="25" t="s">
        <v>263</v>
      </c>
      <c r="G8" s="26" t="s">
        <v>6</v>
      </c>
      <c r="H8" s="8">
        <v>600</v>
      </c>
      <c r="I8" s="8">
        <v>5</v>
      </c>
      <c r="J8" s="2"/>
      <c r="K8" s="25"/>
      <c r="L8" s="9"/>
      <c r="M8" s="16"/>
      <c r="R8" s="1">
        <f>IF(vend19[[#This Row],[Nº Venda]]&gt;1,1,0)</f>
        <v>1</v>
      </c>
    </row>
    <row r="9" spans="2:18" ht="15.75" x14ac:dyDescent="0.25">
      <c r="B9" s="2"/>
      <c r="C9" s="2"/>
      <c r="D9" s="2"/>
      <c r="E9" s="93">
        <v>7381</v>
      </c>
      <c r="F9" s="65" t="s">
        <v>263</v>
      </c>
      <c r="G9" s="94" t="s">
        <v>6</v>
      </c>
      <c r="H9" s="76">
        <v>1400</v>
      </c>
      <c r="I9" s="76">
        <v>5</v>
      </c>
      <c r="J9" s="2"/>
      <c r="K9" s="25"/>
      <c r="L9" s="9"/>
      <c r="M9" s="16"/>
      <c r="R9" s="1">
        <f>IF(vend19[[#This Row],[Nº Venda]]&gt;1,1,0)</f>
        <v>1</v>
      </c>
    </row>
    <row r="10" spans="2:18" ht="15.75" x14ac:dyDescent="0.25">
      <c r="B10" s="98" t="s">
        <v>5</v>
      </c>
      <c r="C10" s="9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158.55000000000001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1070</v>
      </c>
      <c r="D13" s="2"/>
      <c r="E13" s="18"/>
      <c r="F13" s="25"/>
      <c r="G13" s="26"/>
      <c r="H13" s="8"/>
      <c r="I13" s="8"/>
      <c r="J13" s="2"/>
      <c r="K13" s="100" t="s">
        <v>25</v>
      </c>
      <c r="L13" s="101"/>
      <c r="M13" s="102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820</v>
      </c>
      <c r="D15" s="2"/>
      <c r="E15" s="18"/>
      <c r="F15" s="25"/>
      <c r="G15" s="26"/>
      <c r="H15" s="8"/>
      <c r="I15" s="8"/>
      <c r="J15" s="2"/>
      <c r="K15" s="25">
        <v>9344</v>
      </c>
      <c r="L15" s="9" t="s">
        <v>61</v>
      </c>
      <c r="M15" s="16" t="s">
        <v>30</v>
      </c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2058.5500000000002</v>
      </c>
      <c r="D16" s="2"/>
      <c r="E16" s="18"/>
      <c r="F16" s="25"/>
      <c r="G16" s="26"/>
      <c r="H16" s="8"/>
      <c r="I16" s="8"/>
      <c r="J16" s="2"/>
      <c r="K16" s="25">
        <v>9324</v>
      </c>
      <c r="L16" s="9" t="s">
        <v>61</v>
      </c>
      <c r="M16" s="16" t="s">
        <v>30</v>
      </c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22" ht="15.75" x14ac:dyDescent="0.25">
      <c r="B18" s="98" t="s">
        <v>12</v>
      </c>
      <c r="C18" s="9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22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  <c r="V20" s="1" t="s">
        <v>102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2" ht="15.75" x14ac:dyDescent="0.25">
      <c r="B22" s="28" t="s">
        <v>33</v>
      </c>
      <c r="C22" s="32">
        <f>C5</f>
        <v>3410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99" t="s">
        <v>34</v>
      </c>
      <c r="F24" s="99"/>
      <c r="G24" s="99"/>
      <c r="H24" s="99"/>
      <c r="I24" s="99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>
        <v>9324</v>
      </c>
      <c r="F26" s="39" t="s">
        <v>90</v>
      </c>
      <c r="G26" s="26" t="s">
        <v>8</v>
      </c>
      <c r="H26" s="8">
        <v>0</v>
      </c>
      <c r="I26" s="8">
        <v>680</v>
      </c>
      <c r="J26" s="2"/>
      <c r="K26" s="25"/>
      <c r="L26" s="9"/>
      <c r="M26" s="16"/>
    </row>
    <row r="27" spans="2:22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26"/>
      <c r="H29" s="26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99" t="s">
        <v>35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26</v>
      </c>
      <c r="F34" s="10" t="s">
        <v>15</v>
      </c>
      <c r="G34" s="11" t="s">
        <v>16</v>
      </c>
      <c r="H34" s="12" t="s">
        <v>36</v>
      </c>
      <c r="I34" s="13" t="s">
        <v>37</v>
      </c>
      <c r="K34" s="14" t="s">
        <v>26</v>
      </c>
      <c r="L34" s="6" t="s">
        <v>38</v>
      </c>
      <c r="M34" s="15" t="s">
        <v>39</v>
      </c>
    </row>
    <row r="35" spans="2:18" ht="15.75" x14ac:dyDescent="0.25">
      <c r="E35" s="18">
        <v>8862</v>
      </c>
      <c r="F35" s="25" t="s">
        <v>265</v>
      </c>
      <c r="G35" s="26" t="s">
        <v>7</v>
      </c>
      <c r="H35" s="8">
        <v>158.55000000000001</v>
      </c>
      <c r="I35" s="8" t="s">
        <v>137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40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opLeftCell="A7" zoomScale="80" zoomScaleNormal="80" workbookViewId="0">
      <selection activeCell="I28" sqref="I28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5">
        <f>'19'!B1+1</f>
        <v>45463</v>
      </c>
    </row>
    <row r="2" spans="2:18" ht="18.75" x14ac:dyDescent="0.2">
      <c r="B2" s="103" t="s">
        <v>41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6" t="s">
        <v>1</v>
      </c>
      <c r="F4" s="106"/>
      <c r="G4" s="106"/>
      <c r="H4" s="106"/>
      <c r="I4" s="106"/>
      <c r="J4" s="22"/>
      <c r="K4" s="100" t="s">
        <v>3</v>
      </c>
      <c r="L4" s="101"/>
      <c r="M4" s="102"/>
    </row>
    <row r="5" spans="2:18" ht="15" x14ac:dyDescent="0.25">
      <c r="B5" s="23" t="s">
        <v>1</v>
      </c>
      <c r="C5" s="24">
        <f>SUMIF(I6:I31,"&gt;0",H6:H31)</f>
        <v>650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1170</v>
      </c>
      <c r="D6" s="2"/>
      <c r="E6" s="18">
        <v>9382</v>
      </c>
      <c r="F6" s="25" t="s">
        <v>266</v>
      </c>
      <c r="G6" s="26" t="s">
        <v>8</v>
      </c>
      <c r="H6" s="8">
        <v>400</v>
      </c>
      <c r="I6" s="8">
        <v>400</v>
      </c>
      <c r="J6" s="2"/>
      <c r="K6" s="25"/>
      <c r="L6" s="9"/>
      <c r="M6" s="16"/>
      <c r="R6" s="1">
        <f>IF(vend20[[#This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9383</v>
      </c>
      <c r="F7" s="25" t="s">
        <v>267</v>
      </c>
      <c r="G7" s="26" t="s">
        <v>7</v>
      </c>
      <c r="H7" s="8">
        <v>250</v>
      </c>
      <c r="I7" s="8">
        <v>250</v>
      </c>
      <c r="J7" s="2"/>
      <c r="K7" s="25"/>
      <c r="L7" s="9"/>
      <c r="M7" s="16"/>
      <c r="R7" s="1">
        <f>IF(vend20[[#This Row],[Nº Venda]]&gt;1,1,0)</f>
        <v>1</v>
      </c>
    </row>
    <row r="8" spans="2:18" ht="15.75" x14ac:dyDescent="0.25">
      <c r="B8" s="28" t="s">
        <v>23</v>
      </c>
      <c r="C8" s="29">
        <f>SUM(C6:C7)</f>
        <v>1170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98" t="s">
        <v>5</v>
      </c>
      <c r="C10" s="9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691.48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478.52</v>
      </c>
      <c r="D13" s="2"/>
      <c r="E13" s="18"/>
      <c r="F13" s="25"/>
      <c r="G13" s="26"/>
      <c r="H13" s="8"/>
      <c r="I13" s="8"/>
      <c r="J13" s="2"/>
      <c r="K13" s="100" t="s">
        <v>25</v>
      </c>
      <c r="L13" s="101"/>
      <c r="M13" s="102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 t="shared" si="0"/>
        <v>170</v>
      </c>
      <c r="D15" s="2"/>
      <c r="E15" s="18"/>
      <c r="F15" s="25"/>
      <c r="G15" s="26"/>
      <c r="H15" s="8"/>
      <c r="I15" s="8"/>
      <c r="J15" s="2"/>
      <c r="K15" s="65">
        <v>9369</v>
      </c>
      <c r="L15" s="9" t="s">
        <v>31</v>
      </c>
      <c r="M15" s="16" t="s">
        <v>30</v>
      </c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1340</v>
      </c>
      <c r="D16" s="2"/>
      <c r="E16" s="18"/>
      <c r="F16" s="25"/>
      <c r="G16" s="26"/>
      <c r="H16" s="8"/>
      <c r="I16" s="8"/>
      <c r="J16" s="2"/>
      <c r="K16" s="65">
        <v>9369</v>
      </c>
      <c r="L16" s="72" t="s">
        <v>61</v>
      </c>
      <c r="M16" s="73" t="s">
        <v>32</v>
      </c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9303</v>
      </c>
      <c r="L17" s="9" t="s">
        <v>31</v>
      </c>
      <c r="M17" s="16" t="s">
        <v>32</v>
      </c>
      <c r="R17" s="1">
        <f>IF(vend20[[#This Row],[Nº Venda]]&gt;1,1,0)</f>
        <v>0</v>
      </c>
    </row>
    <row r="18" spans="2:18" ht="15.75" x14ac:dyDescent="0.25">
      <c r="B18" s="98" t="s">
        <v>12</v>
      </c>
      <c r="C18" s="98"/>
      <c r="D18" s="2"/>
      <c r="E18" s="18"/>
      <c r="F18" s="25"/>
      <c r="G18" s="26"/>
      <c r="H18" s="8"/>
      <c r="I18" s="8"/>
      <c r="J18" s="2"/>
      <c r="K18" s="25">
        <v>9307</v>
      </c>
      <c r="L18" s="9" t="s">
        <v>61</v>
      </c>
      <c r="M18" s="16" t="s">
        <v>32</v>
      </c>
      <c r="R18" s="1">
        <f>IF(vend20[[#This Row],[Nº Venda]]&gt;1,1,0)</f>
        <v>0</v>
      </c>
    </row>
    <row r="19" spans="2:18" ht="15.75" x14ac:dyDescent="0.25">
      <c r="B19" s="30">
        <f>COUNT(entr_carn20[OS])</f>
        <v>3</v>
      </c>
      <c r="C19" s="31">
        <f>SUM(entr_carn20[Valor Total])</f>
        <v>2050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2050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33</v>
      </c>
      <c r="C22" s="32">
        <f>C5</f>
        <v>650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9" t="s">
        <v>34</v>
      </c>
      <c r="F24" s="99"/>
      <c r="G24" s="99"/>
      <c r="H24" s="99"/>
      <c r="I24" s="9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9375</v>
      </c>
      <c r="F26" s="25" t="s">
        <v>268</v>
      </c>
      <c r="G26" s="26" t="s">
        <v>7</v>
      </c>
      <c r="H26" s="8">
        <v>0</v>
      </c>
      <c r="I26" s="8">
        <v>241.48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9375</v>
      </c>
      <c r="F27" s="25" t="s">
        <v>268</v>
      </c>
      <c r="G27" s="26" t="s">
        <v>8</v>
      </c>
      <c r="H27" s="8">
        <v>0</v>
      </c>
      <c r="I27" s="8">
        <v>78.52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9307</v>
      </c>
      <c r="F28" s="25" t="s">
        <v>22</v>
      </c>
      <c r="G28" s="26" t="s">
        <v>7</v>
      </c>
      <c r="H28" s="8">
        <v>0</v>
      </c>
      <c r="I28" s="8">
        <v>200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9" t="s">
        <v>35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26</v>
      </c>
      <c r="F34" s="10" t="s">
        <v>15</v>
      </c>
      <c r="G34" s="11" t="s">
        <v>16</v>
      </c>
      <c r="H34" s="12" t="s">
        <v>36</v>
      </c>
      <c r="I34" s="13" t="s">
        <v>37</v>
      </c>
      <c r="K34" s="14" t="s">
        <v>26</v>
      </c>
      <c r="L34" s="6" t="s">
        <v>38</v>
      </c>
      <c r="M34" s="15" t="s">
        <v>39</v>
      </c>
    </row>
    <row r="35" spans="2:18" ht="15.75" x14ac:dyDescent="0.25">
      <c r="E35" s="18">
        <v>8468</v>
      </c>
      <c r="F35" s="25" t="s">
        <v>269</v>
      </c>
      <c r="G35" s="26" t="s">
        <v>10</v>
      </c>
      <c r="H35" s="8">
        <v>85</v>
      </c>
      <c r="I35" s="8" t="s">
        <v>127</v>
      </c>
      <c r="K35" s="25">
        <v>9308</v>
      </c>
      <c r="L35" s="41">
        <v>6</v>
      </c>
      <c r="M35" s="73">
        <v>1000</v>
      </c>
    </row>
    <row r="36" spans="2:18" ht="15.75" x14ac:dyDescent="0.25">
      <c r="E36" s="18">
        <v>8468</v>
      </c>
      <c r="F36" s="25" t="s">
        <v>269</v>
      </c>
      <c r="G36" s="26" t="s">
        <v>10</v>
      </c>
      <c r="H36" s="8">
        <v>85</v>
      </c>
      <c r="I36" s="8" t="s">
        <v>63</v>
      </c>
      <c r="K36" s="65">
        <v>9003</v>
      </c>
      <c r="L36" s="74">
        <v>3</v>
      </c>
      <c r="M36" s="73">
        <v>350</v>
      </c>
    </row>
    <row r="37" spans="2:18" ht="15.75" x14ac:dyDescent="0.25">
      <c r="E37" s="18"/>
      <c r="F37" s="25"/>
      <c r="G37" s="26"/>
      <c r="H37" s="8"/>
      <c r="I37" s="8"/>
      <c r="K37" s="25">
        <v>9307</v>
      </c>
      <c r="L37" s="41">
        <v>6</v>
      </c>
      <c r="M37" s="16">
        <v>700</v>
      </c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40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A22" zoomScale="80" zoomScaleNormal="80" workbookViewId="0">
      <selection activeCell="F9" sqref="F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'20'!B1+1</f>
        <v>45464</v>
      </c>
    </row>
    <row r="2" spans="2:18" ht="18.75" x14ac:dyDescent="0.2">
      <c r="B2" s="103" t="s">
        <v>41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6" t="s">
        <v>1</v>
      </c>
      <c r="F4" s="106"/>
      <c r="G4" s="106"/>
      <c r="H4" s="106"/>
      <c r="I4" s="106"/>
      <c r="J4" s="22"/>
      <c r="K4" s="100" t="s">
        <v>3</v>
      </c>
      <c r="L4" s="101"/>
      <c r="M4" s="102"/>
    </row>
    <row r="5" spans="2:18" ht="15" x14ac:dyDescent="0.25">
      <c r="B5" s="23" t="s">
        <v>1</v>
      </c>
      <c r="C5" s="24">
        <f>SUMIF(I6:I31,"&gt;0",H6:H31)</f>
        <v>7538.99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4693.99</v>
      </c>
      <c r="D6" s="2"/>
      <c r="E6" s="18">
        <v>9385</v>
      </c>
      <c r="F6" s="25" t="s">
        <v>270</v>
      </c>
      <c r="G6" s="26" t="s">
        <v>10</v>
      </c>
      <c r="H6" s="8">
        <v>500</v>
      </c>
      <c r="I6" s="8">
        <v>250</v>
      </c>
      <c r="J6" s="2"/>
      <c r="K6" s="25"/>
      <c r="L6" s="9"/>
      <c r="M6" s="16"/>
      <c r="R6" s="1">
        <f>IF(vend21[[#This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9386</v>
      </c>
      <c r="F7" s="25" t="s">
        <v>271</v>
      </c>
      <c r="G7" s="26" t="s">
        <v>6</v>
      </c>
      <c r="H7" s="8">
        <v>270</v>
      </c>
      <c r="I7" s="8">
        <v>25</v>
      </c>
      <c r="J7" s="2"/>
      <c r="K7" s="25"/>
      <c r="L7" s="9"/>
      <c r="M7" s="16"/>
      <c r="R7" s="1">
        <f>IF(vend21[[#This Row],[Nº Venda]]&gt;1,1,0)</f>
        <v>1</v>
      </c>
    </row>
    <row r="8" spans="2:18" ht="15.75" x14ac:dyDescent="0.25">
      <c r="B8" s="28" t="s">
        <v>23</v>
      </c>
      <c r="C8" s="29">
        <f>SUM(C6:C7)</f>
        <v>4693.99</v>
      </c>
      <c r="D8" s="2"/>
      <c r="E8" s="18">
        <v>9387</v>
      </c>
      <c r="F8" s="25" t="s">
        <v>272</v>
      </c>
      <c r="G8" s="26" t="s">
        <v>8</v>
      </c>
      <c r="H8" s="8">
        <v>2100</v>
      </c>
      <c r="I8" s="8">
        <v>2100</v>
      </c>
      <c r="J8" s="2"/>
      <c r="K8" s="25"/>
      <c r="L8" s="9"/>
      <c r="M8" s="16"/>
      <c r="R8" s="1">
        <f>IF(vend21[[#This Row],[Nº Venda]]&gt;1,1,0)</f>
        <v>1</v>
      </c>
    </row>
    <row r="9" spans="2:18" ht="15.75" x14ac:dyDescent="0.25">
      <c r="B9" s="2"/>
      <c r="C9" s="2"/>
      <c r="D9" s="2"/>
      <c r="E9" s="18">
        <v>9388</v>
      </c>
      <c r="F9" s="25" t="s">
        <v>271</v>
      </c>
      <c r="G9" s="26" t="s">
        <v>6</v>
      </c>
      <c r="H9" s="8">
        <v>429</v>
      </c>
      <c r="I9" s="8">
        <v>25</v>
      </c>
      <c r="J9" s="2"/>
      <c r="K9" s="25"/>
      <c r="L9" s="9"/>
      <c r="M9" s="16"/>
      <c r="R9" s="1">
        <f>IF(vend21[[#This Row],[Nº Venda]]&gt;1,1,0)</f>
        <v>1</v>
      </c>
    </row>
    <row r="10" spans="2:18" ht="15.75" x14ac:dyDescent="0.25">
      <c r="B10" s="98" t="s">
        <v>5</v>
      </c>
      <c r="C10" s="98"/>
      <c r="D10" s="2"/>
      <c r="E10" s="18">
        <v>9389</v>
      </c>
      <c r="F10" s="25" t="s">
        <v>273</v>
      </c>
      <c r="G10" s="26" t="s">
        <v>7</v>
      </c>
      <c r="H10" s="8">
        <v>39.99</v>
      </c>
      <c r="I10" s="8">
        <v>39.99</v>
      </c>
      <c r="J10" s="2"/>
      <c r="K10" s="25"/>
      <c r="L10" s="9"/>
      <c r="M10" s="16"/>
      <c r="R10" s="1">
        <f>IF(vend21[[#This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1200</v>
      </c>
      <c r="D11" s="2"/>
      <c r="E11" s="18">
        <v>9390</v>
      </c>
      <c r="F11" s="25" t="s">
        <v>274</v>
      </c>
      <c r="G11" s="26" t="s">
        <v>6</v>
      </c>
      <c r="H11" s="8">
        <v>550</v>
      </c>
      <c r="I11" s="8">
        <v>50</v>
      </c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559.99</v>
      </c>
      <c r="D12" s="2"/>
      <c r="E12" s="18">
        <v>9391</v>
      </c>
      <c r="F12" s="25" t="s">
        <v>275</v>
      </c>
      <c r="G12" s="26" t="s">
        <v>6</v>
      </c>
      <c r="H12" s="8">
        <v>1000</v>
      </c>
      <c r="I12" s="8">
        <v>1000</v>
      </c>
      <c r="J12" s="2"/>
      <c r="R12" s="1">
        <f>IF(vend21[[#This Row],[Nº Venda]]&gt;1,1,0)</f>
        <v>1</v>
      </c>
    </row>
    <row r="13" spans="2:18" ht="15.75" x14ac:dyDescent="0.25">
      <c r="B13" s="30" t="s">
        <v>8</v>
      </c>
      <c r="C13" s="31">
        <f t="shared" si="0"/>
        <v>2984</v>
      </c>
      <c r="D13" s="2"/>
      <c r="E13" s="18">
        <v>9392</v>
      </c>
      <c r="F13" s="25" t="s">
        <v>276</v>
      </c>
      <c r="G13" s="26" t="s">
        <v>6</v>
      </c>
      <c r="H13" s="8">
        <v>700</v>
      </c>
      <c r="I13" s="8">
        <v>50</v>
      </c>
      <c r="J13" s="2"/>
      <c r="K13" s="100" t="s">
        <v>25</v>
      </c>
      <c r="L13" s="101"/>
      <c r="M13" s="102"/>
      <c r="R13" s="1">
        <f>IF(vend21[[#This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>
        <v>9393</v>
      </c>
      <c r="F14" s="25" t="s">
        <v>276</v>
      </c>
      <c r="G14" s="26" t="s">
        <v>6</v>
      </c>
      <c r="H14" s="8">
        <v>500</v>
      </c>
      <c r="I14" s="8">
        <v>50</v>
      </c>
      <c r="J14" s="2"/>
      <c r="K14" s="14" t="s">
        <v>26</v>
      </c>
      <c r="L14" s="6" t="s">
        <v>27</v>
      </c>
      <c r="M14" s="15" t="s">
        <v>28</v>
      </c>
      <c r="R14" s="1">
        <f>IF(vend21[[#This Row],[Nº Venda]]&gt;1,1,0)</f>
        <v>1</v>
      </c>
    </row>
    <row r="15" spans="2:18" ht="15.75" x14ac:dyDescent="0.25">
      <c r="B15" s="30" t="s">
        <v>10</v>
      </c>
      <c r="C15" s="31">
        <f t="shared" si="0"/>
        <v>387.5</v>
      </c>
      <c r="D15" s="2"/>
      <c r="E15" s="18">
        <v>9394</v>
      </c>
      <c r="F15" s="25" t="s">
        <v>278</v>
      </c>
      <c r="G15" s="26" t="s">
        <v>7</v>
      </c>
      <c r="H15" s="8">
        <v>1299</v>
      </c>
      <c r="I15" s="8">
        <v>200</v>
      </c>
      <c r="J15" s="2"/>
      <c r="K15" s="25">
        <v>9389</v>
      </c>
      <c r="L15" s="9" t="s">
        <v>277</v>
      </c>
      <c r="M15" s="16" t="s">
        <v>30</v>
      </c>
      <c r="R15" s="1">
        <f>IF(vend21[[#This Row],[Nº Venda]]&gt;1,1,0)</f>
        <v>1</v>
      </c>
    </row>
    <row r="16" spans="2:18" ht="15.75" x14ac:dyDescent="0.25">
      <c r="B16" s="28" t="s">
        <v>11</v>
      </c>
      <c r="C16" s="32">
        <f>SUM(C11:C15)</f>
        <v>5131.49</v>
      </c>
      <c r="D16" s="2"/>
      <c r="E16" s="18">
        <v>9395</v>
      </c>
      <c r="F16" s="25" t="s">
        <v>278</v>
      </c>
      <c r="G16" s="26" t="s">
        <v>7</v>
      </c>
      <c r="H16" s="8">
        <v>151</v>
      </c>
      <c r="I16" s="8">
        <v>20</v>
      </c>
      <c r="J16" s="2"/>
      <c r="K16" s="25">
        <v>9349</v>
      </c>
      <c r="L16" s="9" t="s">
        <v>221</v>
      </c>
      <c r="M16" s="16" t="s">
        <v>30</v>
      </c>
      <c r="R16" s="1">
        <f>IF(vend21[[#This Row],[Nº Venda]]&gt;1,1,0)</f>
        <v>1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98" t="s">
        <v>12</v>
      </c>
      <c r="C18" s="9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33</v>
      </c>
      <c r="C22" s="32">
        <f>C5</f>
        <v>7538.99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9" t="s">
        <v>34</v>
      </c>
      <c r="F24" s="99"/>
      <c r="G24" s="99"/>
      <c r="H24" s="99"/>
      <c r="I24" s="9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9373</v>
      </c>
      <c r="F26" s="25" t="s">
        <v>273</v>
      </c>
      <c r="G26" s="26" t="s">
        <v>8</v>
      </c>
      <c r="H26" s="8">
        <v>0</v>
      </c>
      <c r="I26" s="8">
        <v>884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9" t="s">
        <v>35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26</v>
      </c>
      <c r="F34" s="10" t="s">
        <v>15</v>
      </c>
      <c r="G34" s="11" t="s">
        <v>16</v>
      </c>
      <c r="H34" s="12" t="s">
        <v>36</v>
      </c>
      <c r="I34" s="13" t="s">
        <v>37</v>
      </c>
      <c r="K34" s="14" t="s">
        <v>26</v>
      </c>
      <c r="L34" s="6" t="s">
        <v>38</v>
      </c>
      <c r="M34" s="15" t="s">
        <v>39</v>
      </c>
    </row>
    <row r="35" spans="2:18" ht="15.75" x14ac:dyDescent="0.25">
      <c r="E35" s="18">
        <v>3871</v>
      </c>
      <c r="F35" s="25" t="s">
        <v>279</v>
      </c>
      <c r="G35" s="26" t="s">
        <v>10</v>
      </c>
      <c r="H35" s="8">
        <v>137.5</v>
      </c>
      <c r="I35" s="8" t="s">
        <v>81</v>
      </c>
      <c r="K35" s="25"/>
      <c r="L35" s="41"/>
      <c r="M35" s="16"/>
    </row>
    <row r="36" spans="2:18" ht="15.75" x14ac:dyDescent="0.25">
      <c r="E36" s="18">
        <v>8885</v>
      </c>
      <c r="F36" s="25" t="s">
        <v>280</v>
      </c>
      <c r="G36" s="26" t="s">
        <v>7</v>
      </c>
      <c r="H36" s="8">
        <v>300</v>
      </c>
      <c r="I36" s="8" t="s">
        <v>121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40</v>
      </c>
      <c r="R40" s="1">
        <f>SUM(R6:R21)</f>
        <v>11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A19" zoomScale="80" zoomScaleNormal="80" workbookViewId="0">
      <selection activeCell="V7" sqref="V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'21'!B1+1</f>
        <v>45465</v>
      </c>
    </row>
    <row r="2" spans="2:18" ht="18.75" x14ac:dyDescent="0.2">
      <c r="B2" s="103" t="s">
        <v>41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6" t="s">
        <v>1</v>
      </c>
      <c r="F4" s="106"/>
      <c r="G4" s="106"/>
      <c r="H4" s="106"/>
      <c r="I4" s="106"/>
      <c r="J4" s="22"/>
      <c r="K4" s="100" t="s">
        <v>3</v>
      </c>
      <c r="L4" s="101"/>
      <c r="M4" s="102"/>
    </row>
    <row r="5" spans="2:18" ht="15" x14ac:dyDescent="0.25">
      <c r="B5" s="23" t="s">
        <v>1</v>
      </c>
      <c r="C5" s="24">
        <f>SUMIF(I6:I31,"&gt;0",H6:H31)</f>
        <v>1500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850</v>
      </c>
      <c r="D6" s="2"/>
      <c r="E6" s="18">
        <v>9396</v>
      </c>
      <c r="F6" s="25" t="s">
        <v>281</v>
      </c>
      <c r="G6" s="26" t="s">
        <v>8</v>
      </c>
      <c r="H6" s="8">
        <v>1500</v>
      </c>
      <c r="I6" s="8">
        <v>800</v>
      </c>
      <c r="J6" s="2"/>
      <c r="K6" s="25"/>
      <c r="L6" s="9"/>
      <c r="M6" s="16"/>
      <c r="R6" s="1">
        <f>IF(vend22[[#This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23</v>
      </c>
      <c r="C8" s="29">
        <f>SUM(C6:C7)</f>
        <v>850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98" t="s">
        <v>5</v>
      </c>
      <c r="C10" s="9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800</v>
      </c>
      <c r="D13" s="2"/>
      <c r="E13" s="18"/>
      <c r="F13" s="25"/>
      <c r="G13" s="26"/>
      <c r="H13" s="8"/>
      <c r="I13" s="8"/>
      <c r="J13" s="2"/>
      <c r="K13" s="100" t="s">
        <v>25</v>
      </c>
      <c r="L13" s="101"/>
      <c r="M13" s="102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421</v>
      </c>
      <c r="D15" s="2"/>
      <c r="E15" s="18"/>
      <c r="F15" s="25"/>
      <c r="G15" s="26"/>
      <c r="H15" s="8"/>
      <c r="I15" s="8"/>
      <c r="J15" s="2"/>
      <c r="K15" s="25">
        <v>9342</v>
      </c>
      <c r="L15" s="9" t="s">
        <v>61</v>
      </c>
      <c r="M15" s="16" t="s">
        <v>32</v>
      </c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1221</v>
      </c>
      <c r="D16" s="2"/>
      <c r="E16" s="18"/>
      <c r="F16" s="25"/>
      <c r="G16" s="26"/>
      <c r="H16" s="8"/>
      <c r="I16" s="8"/>
      <c r="J16" s="2"/>
      <c r="K16" s="25">
        <v>9379</v>
      </c>
      <c r="L16" s="9" t="s">
        <v>61</v>
      </c>
      <c r="M16" s="16" t="s">
        <v>30</v>
      </c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9339</v>
      </c>
      <c r="L17" s="9" t="s">
        <v>31</v>
      </c>
      <c r="M17" s="16" t="s">
        <v>30</v>
      </c>
      <c r="R17" s="1">
        <f>IF(vend22[[#This Row],[Nº Venda]]&gt;1,1,0)</f>
        <v>0</v>
      </c>
    </row>
    <row r="18" spans="2:18" ht="15.75" x14ac:dyDescent="0.25">
      <c r="B18" s="98" t="s">
        <v>12</v>
      </c>
      <c r="C18" s="98"/>
      <c r="D18" s="2"/>
      <c r="E18" s="18"/>
      <c r="F18" s="25"/>
      <c r="G18" s="26"/>
      <c r="H18" s="8"/>
      <c r="I18" s="8"/>
      <c r="J18" s="2"/>
      <c r="K18" s="25">
        <v>9285</v>
      </c>
      <c r="L18" s="9" t="s">
        <v>31</v>
      </c>
      <c r="M18" s="16" t="s">
        <v>30</v>
      </c>
      <c r="R18" s="1">
        <f>IF(vend22[[#This Row],[Nº Venda]]&gt;1,1,0)</f>
        <v>0</v>
      </c>
    </row>
    <row r="19" spans="2:18" ht="15.75" x14ac:dyDescent="0.25">
      <c r="B19" s="30">
        <f>COUNT(entr_carn22[OS])</f>
        <v>1</v>
      </c>
      <c r="C19" s="31">
        <f>SUM(entr_carn22[Valor Total])</f>
        <v>350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350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33</v>
      </c>
      <c r="C22" s="32">
        <f>C5</f>
        <v>1500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9" t="s">
        <v>34</v>
      </c>
      <c r="F24" s="99"/>
      <c r="G24" s="99"/>
      <c r="H24" s="99"/>
      <c r="I24" s="9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9342</v>
      </c>
      <c r="F26" s="25" t="s">
        <v>211</v>
      </c>
      <c r="G26" s="26" t="s">
        <v>10</v>
      </c>
      <c r="H26" s="8">
        <v>0</v>
      </c>
      <c r="I26" s="8">
        <v>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9" t="s">
        <v>35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26</v>
      </c>
      <c r="F34" s="10" t="s">
        <v>15</v>
      </c>
      <c r="G34" s="11" t="s">
        <v>16</v>
      </c>
      <c r="H34" s="12" t="s">
        <v>36</v>
      </c>
      <c r="I34" s="13" t="s">
        <v>37</v>
      </c>
      <c r="K34" s="14" t="s">
        <v>26</v>
      </c>
      <c r="L34" s="6" t="s">
        <v>38</v>
      </c>
      <c r="M34" s="15" t="s">
        <v>39</v>
      </c>
    </row>
    <row r="35" spans="2:18" ht="15.75" x14ac:dyDescent="0.25">
      <c r="E35" s="18">
        <v>8337</v>
      </c>
      <c r="F35" s="25" t="s">
        <v>282</v>
      </c>
      <c r="G35" s="26" t="s">
        <v>10</v>
      </c>
      <c r="H35" s="8">
        <v>100</v>
      </c>
      <c r="I35" s="8" t="s">
        <v>118</v>
      </c>
      <c r="K35" s="25">
        <v>9342</v>
      </c>
      <c r="L35" s="41">
        <v>6</v>
      </c>
      <c r="M35" s="16">
        <v>350</v>
      </c>
    </row>
    <row r="36" spans="2:18" ht="15.75" x14ac:dyDescent="0.25">
      <c r="E36" s="18">
        <v>8487</v>
      </c>
      <c r="F36" s="25" t="s">
        <v>283</v>
      </c>
      <c r="G36" s="26" t="s">
        <v>10</v>
      </c>
      <c r="H36" s="8">
        <v>85</v>
      </c>
      <c r="I36" s="8" t="s">
        <v>65</v>
      </c>
      <c r="K36" s="25"/>
      <c r="L36" s="41"/>
      <c r="M36" s="16"/>
    </row>
    <row r="37" spans="2:18" ht="15.75" x14ac:dyDescent="0.25">
      <c r="E37" s="18">
        <v>8248</v>
      </c>
      <c r="F37" s="25" t="s">
        <v>284</v>
      </c>
      <c r="G37" s="26" t="s">
        <v>10</v>
      </c>
      <c r="H37" s="8">
        <v>93</v>
      </c>
      <c r="I37" s="8" t="s">
        <v>130</v>
      </c>
      <c r="K37" s="25"/>
      <c r="L37" s="41"/>
      <c r="M37" s="16"/>
    </row>
    <row r="38" spans="2:18" ht="15.75" x14ac:dyDescent="0.25">
      <c r="E38" s="18">
        <v>8248</v>
      </c>
      <c r="F38" s="25" t="s">
        <v>284</v>
      </c>
      <c r="G38" s="26" t="s">
        <v>10</v>
      </c>
      <c r="H38" s="8">
        <v>93</v>
      </c>
      <c r="I38" s="8" t="s">
        <v>131</v>
      </c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40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topLeftCell="A28" zoomScale="80" zoomScaleNormal="80" workbookViewId="0">
      <selection activeCell="K35" sqref="K35:M4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'22'!B1+1</f>
        <v>45466</v>
      </c>
    </row>
    <row r="2" spans="2:18" ht="18.75" x14ac:dyDescent="0.2">
      <c r="B2" s="103" t="s">
        <v>41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6" t="s">
        <v>1</v>
      </c>
      <c r="F4" s="106"/>
      <c r="G4" s="106"/>
      <c r="H4" s="106"/>
      <c r="I4" s="106"/>
      <c r="J4" s="22"/>
      <c r="K4" s="100" t="s">
        <v>3</v>
      </c>
      <c r="L4" s="101"/>
      <c r="M4" s="10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98" t="s">
        <v>5</v>
      </c>
      <c r="C10" s="9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82">
        <f>(SUMIF($G$2:$G$31,B11,$I$2:$I$31))+(SUMIF($G$35:$G$44,B11,$H$35:$H$44))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82">
        <f>(SUMIF($G$2:$G$31,B12,$I$2:$I$31))+(SUMIF($G$35:$G$44,B12,$H$35:$H$44))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82">
        <f>(SUMIF($G$2:$G$31,B13,$I$2:$I$31))+(SUMIF($G$35:$G$44,B13,$H$35:$H$44))</f>
        <v>0</v>
      </c>
      <c r="D13" s="2"/>
      <c r="E13" s="18"/>
      <c r="F13" s="25"/>
      <c r="G13" s="26"/>
      <c r="H13" s="8"/>
      <c r="I13" s="8"/>
      <c r="J13" s="2"/>
      <c r="K13" s="100" t="s">
        <v>25</v>
      </c>
      <c r="L13" s="101"/>
      <c r="M13" s="102"/>
      <c r="R13" s="1">
        <f>IF(vend23[[#This Row],[Nº Venda]]&gt;1,1,0)</f>
        <v>0</v>
      </c>
    </row>
    <row r="14" spans="2:18" ht="15.75" x14ac:dyDescent="0.25">
      <c r="B14" s="30" t="s">
        <v>9</v>
      </c>
      <c r="C14" s="82">
        <f>(SUMIF($G$2:$G$31,B14,$I$2:$I$31))+(SUMIF($G$35:$G$44,B14,$H$35:$H$44))</f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82">
        <f>(SUMIF($G$2:$G$31,B15,$I$2:$I$31))+(SUMIF($G$35:$G$44,B15,$H$35:$H$44))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98" t="s">
        <v>12</v>
      </c>
      <c r="C18" s="9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33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9" t="s">
        <v>34</v>
      </c>
      <c r="F24" s="99"/>
      <c r="G24" s="99"/>
      <c r="H24" s="99"/>
      <c r="I24" s="9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9" t="s">
        <v>35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26</v>
      </c>
      <c r="F34" s="10" t="s">
        <v>15</v>
      </c>
      <c r="G34" s="11" t="s">
        <v>16</v>
      </c>
      <c r="H34" s="12" t="s">
        <v>36</v>
      </c>
      <c r="I34" s="13" t="s">
        <v>37</v>
      </c>
      <c r="K34" s="14" t="s">
        <v>26</v>
      </c>
      <c r="L34" s="6" t="s">
        <v>38</v>
      </c>
      <c r="M34" s="15" t="s">
        <v>39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40</v>
      </c>
      <c r="R40" s="1">
        <f>SUM(R6:R21)</f>
        <v>0</v>
      </c>
    </row>
    <row r="41" spans="2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2:18" ht="15.75" x14ac:dyDescent="0.25">
      <c r="E42" s="35"/>
      <c r="F42" s="97"/>
      <c r="G42" s="37"/>
      <c r="H42" s="17"/>
      <c r="I42" s="17"/>
    </row>
    <row r="43" spans="2:18" ht="15.75" x14ac:dyDescent="0.25">
      <c r="E43" s="35"/>
      <c r="F43" s="39"/>
      <c r="G43" s="26"/>
      <c r="H43" s="8"/>
      <c r="I43" s="8"/>
    </row>
    <row r="44" spans="2:18" ht="15.75" x14ac:dyDescent="0.25">
      <c r="E44" s="96"/>
      <c r="F44" s="97"/>
      <c r="G44" s="37"/>
      <c r="H44" s="17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32" zoomScale="80" zoomScaleNormal="80" workbookViewId="0">
      <selection activeCell="E37" sqref="E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'23'!B1+1</f>
        <v>45467</v>
      </c>
    </row>
    <row r="2" spans="2:18" ht="18.75" x14ac:dyDescent="0.2">
      <c r="B2" s="103" t="s">
        <v>41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6" t="s">
        <v>1</v>
      </c>
      <c r="F4" s="106"/>
      <c r="G4" s="106"/>
      <c r="H4" s="106"/>
      <c r="I4" s="106"/>
      <c r="J4" s="22"/>
      <c r="K4" s="100" t="s">
        <v>3</v>
      </c>
      <c r="L4" s="101"/>
      <c r="M4" s="102"/>
    </row>
    <row r="5" spans="2:18" ht="15" x14ac:dyDescent="0.25">
      <c r="B5" s="23" t="s">
        <v>1</v>
      </c>
      <c r="C5" s="24">
        <f>SUMIF(I6:I31,"&gt;0",H6:H31)</f>
        <v>5709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3369</v>
      </c>
      <c r="D6" s="2"/>
      <c r="E6" s="18">
        <v>9397</v>
      </c>
      <c r="F6" s="25" t="s">
        <v>285</v>
      </c>
      <c r="G6" s="26" t="s">
        <v>58</v>
      </c>
      <c r="H6" s="8"/>
      <c r="I6" s="8"/>
      <c r="J6" s="2"/>
      <c r="K6" s="25"/>
      <c r="L6" s="9"/>
      <c r="M6" s="16"/>
      <c r="R6" s="1">
        <f>IF(vend24[[#This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9398</v>
      </c>
      <c r="F7" s="25" t="s">
        <v>286</v>
      </c>
      <c r="G7" s="26" t="s">
        <v>8</v>
      </c>
      <c r="H7" s="8">
        <v>700</v>
      </c>
      <c r="I7" s="8">
        <v>200</v>
      </c>
      <c r="J7" s="2"/>
      <c r="K7" s="25"/>
      <c r="L7" s="9"/>
      <c r="M7" s="16"/>
      <c r="R7" s="1">
        <f>IF(vend24[[#This Row],[Nº Venda]]&gt;1,1,0)</f>
        <v>1</v>
      </c>
    </row>
    <row r="8" spans="2:18" ht="15.75" x14ac:dyDescent="0.25">
      <c r="B8" s="28" t="s">
        <v>23</v>
      </c>
      <c r="C8" s="29">
        <f>SUM(C6:C7)</f>
        <v>3369</v>
      </c>
      <c r="D8" s="2"/>
      <c r="E8" s="18">
        <v>9399</v>
      </c>
      <c r="F8" s="25" t="s">
        <v>287</v>
      </c>
      <c r="G8" s="26" t="s">
        <v>6</v>
      </c>
      <c r="H8" s="8">
        <v>350</v>
      </c>
      <c r="I8" s="8">
        <v>50</v>
      </c>
      <c r="J8" s="2"/>
      <c r="K8" s="25"/>
      <c r="L8" s="9"/>
      <c r="M8" s="16"/>
      <c r="R8" s="1">
        <f>IF(vend24[[#This Row],[Nº Venda]]&gt;1,1,0)</f>
        <v>1</v>
      </c>
    </row>
    <row r="9" spans="2:18" ht="15.75" x14ac:dyDescent="0.25">
      <c r="B9" s="2"/>
      <c r="C9" s="2"/>
      <c r="D9" s="2"/>
      <c r="E9" s="18">
        <v>9400</v>
      </c>
      <c r="F9" s="25" t="s">
        <v>288</v>
      </c>
      <c r="G9" s="26" t="s">
        <v>6</v>
      </c>
      <c r="H9" s="8">
        <v>850</v>
      </c>
      <c r="I9" s="8">
        <v>10</v>
      </c>
      <c r="J9" s="2"/>
      <c r="K9" s="25"/>
      <c r="L9" s="9"/>
      <c r="M9" s="16"/>
      <c r="R9" s="1">
        <f>IF(vend24[[#This Row],[Nº Venda]]&gt;1,1,0)</f>
        <v>1</v>
      </c>
    </row>
    <row r="10" spans="2:18" ht="15.75" x14ac:dyDescent="0.25">
      <c r="B10" s="98" t="s">
        <v>5</v>
      </c>
      <c r="C10" s="98"/>
      <c r="D10" s="2"/>
      <c r="E10" s="18">
        <v>9401</v>
      </c>
      <c r="F10" s="25" t="s">
        <v>289</v>
      </c>
      <c r="G10" s="26" t="s">
        <v>8</v>
      </c>
      <c r="H10" s="8">
        <v>1200</v>
      </c>
      <c r="I10" s="8">
        <v>500</v>
      </c>
      <c r="J10" s="2"/>
      <c r="K10" s="25"/>
      <c r="L10" s="9"/>
      <c r="M10" s="16"/>
      <c r="R10" s="1">
        <f>IF(vend24[[#This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70</v>
      </c>
      <c r="D11" s="2"/>
      <c r="E11" s="18">
        <v>9402</v>
      </c>
      <c r="F11" s="25" t="s">
        <v>290</v>
      </c>
      <c r="G11" s="26" t="s">
        <v>8</v>
      </c>
      <c r="H11" s="8">
        <v>600</v>
      </c>
      <c r="I11" s="8">
        <v>600</v>
      </c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99</v>
      </c>
      <c r="D12" s="2"/>
      <c r="E12" s="18">
        <v>9403</v>
      </c>
      <c r="F12" s="25" t="s">
        <v>290</v>
      </c>
      <c r="G12" s="26" t="s">
        <v>8</v>
      </c>
      <c r="H12" s="8">
        <v>600</v>
      </c>
      <c r="I12" s="8">
        <v>600</v>
      </c>
      <c r="J12" s="2"/>
      <c r="R12" s="1">
        <f>IF(vend24[[#This Row],[Nº Venda]]&gt;1,1,0)</f>
        <v>1</v>
      </c>
    </row>
    <row r="13" spans="2:18" ht="15.75" x14ac:dyDescent="0.25">
      <c r="B13" s="30" t="s">
        <v>8</v>
      </c>
      <c r="C13" s="31">
        <f t="shared" si="0"/>
        <v>3119</v>
      </c>
      <c r="D13" s="2"/>
      <c r="E13" s="18">
        <v>9404</v>
      </c>
      <c r="F13" s="25" t="s">
        <v>290</v>
      </c>
      <c r="G13" s="26" t="s">
        <v>8</v>
      </c>
      <c r="H13" s="8">
        <v>270</v>
      </c>
      <c r="I13" s="8">
        <v>270</v>
      </c>
      <c r="J13" s="2"/>
      <c r="K13" s="100" t="s">
        <v>25</v>
      </c>
      <c r="L13" s="101"/>
      <c r="M13" s="102"/>
      <c r="R13" s="1">
        <f>IF(vend24[[#This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>
        <v>9405</v>
      </c>
      <c r="F14" s="25" t="s">
        <v>290</v>
      </c>
      <c r="G14" s="26" t="s">
        <v>8</v>
      </c>
      <c r="H14" s="8">
        <v>99</v>
      </c>
      <c r="I14" s="8">
        <v>99</v>
      </c>
      <c r="J14" s="2"/>
      <c r="K14" s="14" t="s">
        <v>26</v>
      </c>
      <c r="L14" s="6" t="s">
        <v>27</v>
      </c>
      <c r="M14" s="15" t="s">
        <v>28</v>
      </c>
      <c r="R14" s="1">
        <f>IF(vend24[[#This Row],[Nº Venda]]&gt;1,1,0)</f>
        <v>1</v>
      </c>
    </row>
    <row r="15" spans="2:18" ht="15.75" x14ac:dyDescent="0.25">
      <c r="B15" s="30" t="s">
        <v>10</v>
      </c>
      <c r="C15" s="31">
        <f t="shared" si="0"/>
        <v>475</v>
      </c>
      <c r="D15" s="2"/>
      <c r="E15" s="18">
        <v>9406</v>
      </c>
      <c r="F15" s="25" t="s">
        <v>291</v>
      </c>
      <c r="G15" s="26" t="s">
        <v>8</v>
      </c>
      <c r="H15" s="8">
        <v>850</v>
      </c>
      <c r="I15" s="8">
        <v>850</v>
      </c>
      <c r="J15" s="2"/>
      <c r="K15" s="25">
        <v>9355</v>
      </c>
      <c r="L15" s="9" t="s">
        <v>31</v>
      </c>
      <c r="M15" s="16" t="s">
        <v>30</v>
      </c>
      <c r="R15" s="1">
        <f>IF(vend24[[#This Row],[Nº Venda]]&gt;1,1,0)</f>
        <v>1</v>
      </c>
    </row>
    <row r="16" spans="2:18" ht="15.75" x14ac:dyDescent="0.25">
      <c r="B16" s="28" t="s">
        <v>11</v>
      </c>
      <c r="C16" s="32">
        <f>SUM(C11:C15)</f>
        <v>3763</v>
      </c>
      <c r="D16" s="2"/>
      <c r="E16" s="18">
        <v>9407</v>
      </c>
      <c r="F16" s="25" t="s">
        <v>291</v>
      </c>
      <c r="G16" s="26" t="s">
        <v>8</v>
      </c>
      <c r="H16" s="8">
        <v>0</v>
      </c>
      <c r="I16" s="8">
        <v>0</v>
      </c>
      <c r="J16" s="2"/>
      <c r="K16" s="25">
        <v>9238</v>
      </c>
      <c r="L16" s="9" t="s">
        <v>29</v>
      </c>
      <c r="M16" s="16" t="s">
        <v>30</v>
      </c>
      <c r="R16" s="1">
        <f>IF(vend24[[#This Row],[Nº Venda]]&gt;1,1,0)</f>
        <v>1</v>
      </c>
    </row>
    <row r="17" spans="2:18" ht="15.75" x14ac:dyDescent="0.25">
      <c r="B17" s="2"/>
      <c r="C17" s="2"/>
      <c r="D17" s="2"/>
      <c r="E17" s="18">
        <v>9408</v>
      </c>
      <c r="F17" s="25" t="s">
        <v>294</v>
      </c>
      <c r="G17" s="26" t="s">
        <v>6</v>
      </c>
      <c r="H17" s="8">
        <v>40</v>
      </c>
      <c r="I17" s="8">
        <v>10</v>
      </c>
      <c r="J17" s="2"/>
      <c r="K17" s="25"/>
      <c r="L17" s="9"/>
      <c r="M17" s="16"/>
      <c r="R17" s="1">
        <f>IF(vend24[[#This Row],[Nº Venda]]&gt;1,1,0)</f>
        <v>1</v>
      </c>
    </row>
    <row r="18" spans="2:18" ht="15.75" x14ac:dyDescent="0.25">
      <c r="B18" s="98" t="s">
        <v>12</v>
      </c>
      <c r="C18" s="98"/>
      <c r="D18" s="2"/>
      <c r="E18" s="18">
        <v>9408</v>
      </c>
      <c r="F18" s="25" t="s">
        <v>294</v>
      </c>
      <c r="G18" s="26" t="s">
        <v>7</v>
      </c>
      <c r="H18" s="8">
        <v>0</v>
      </c>
      <c r="I18" s="8">
        <v>30</v>
      </c>
      <c r="J18" s="2"/>
      <c r="K18" s="25"/>
      <c r="L18" s="9"/>
      <c r="M18" s="16"/>
      <c r="R18" s="1">
        <f>IF(vend24[[#This Row],[Nº Venda]]&gt;1,1,0)</f>
        <v>1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>
        <v>9409</v>
      </c>
      <c r="F19" s="25" t="s">
        <v>296</v>
      </c>
      <c r="G19" s="26" t="s">
        <v>10</v>
      </c>
      <c r="H19" s="8">
        <v>150</v>
      </c>
      <c r="I19" s="8">
        <v>150</v>
      </c>
      <c r="J19" s="2"/>
      <c r="K19" s="25"/>
      <c r="L19" s="9"/>
      <c r="M19" s="16"/>
      <c r="R19" s="1">
        <f>IF(vend24[[#This Row],[Nº Venda]]&gt;1,1,0)</f>
        <v>1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33</v>
      </c>
      <c r="C22" s="32">
        <f>C5</f>
        <v>5709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9" t="s">
        <v>34</v>
      </c>
      <c r="F24" s="99"/>
      <c r="G24" s="99"/>
      <c r="H24" s="99"/>
      <c r="I24" s="9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9" t="s">
        <v>35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26</v>
      </c>
      <c r="F34" s="10" t="s">
        <v>15</v>
      </c>
      <c r="G34" s="11" t="s">
        <v>16</v>
      </c>
      <c r="H34" s="12" t="s">
        <v>36</v>
      </c>
      <c r="I34" s="13" t="s">
        <v>37</v>
      </c>
      <c r="K34" s="14" t="s">
        <v>26</v>
      </c>
      <c r="L34" s="6" t="s">
        <v>38</v>
      </c>
      <c r="M34" s="15" t="s">
        <v>39</v>
      </c>
    </row>
    <row r="35" spans="2:18" ht="15.75" x14ac:dyDescent="0.25">
      <c r="E35" s="18">
        <v>9200</v>
      </c>
      <c r="F35" s="25" t="s">
        <v>292</v>
      </c>
      <c r="G35" s="26" t="s">
        <v>7</v>
      </c>
      <c r="H35" s="8">
        <v>69</v>
      </c>
      <c r="I35" s="8" t="s">
        <v>63</v>
      </c>
      <c r="K35" s="25"/>
      <c r="L35" s="41"/>
      <c r="M35" s="16"/>
    </row>
    <row r="36" spans="2:18" ht="15.75" x14ac:dyDescent="0.25">
      <c r="E36" s="18">
        <v>7675</v>
      </c>
      <c r="F36" s="25" t="s">
        <v>293</v>
      </c>
      <c r="G36" s="26" t="s">
        <v>10</v>
      </c>
      <c r="H36" s="8">
        <v>325</v>
      </c>
      <c r="I36" s="8" t="s">
        <v>135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40</v>
      </c>
      <c r="R40" s="1">
        <f>SUM(R6:R21)</f>
        <v>14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17" zoomScale="80" zoomScaleNormal="8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'24'!B1+1</f>
        <v>45468</v>
      </c>
    </row>
    <row r="2" spans="2:18" ht="18.75" x14ac:dyDescent="0.2">
      <c r="B2" s="103" t="s">
        <v>41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6" t="s">
        <v>1</v>
      </c>
      <c r="F4" s="106"/>
      <c r="G4" s="106"/>
      <c r="H4" s="106"/>
      <c r="I4" s="106"/>
      <c r="J4" s="22"/>
      <c r="K4" s="100" t="s">
        <v>3</v>
      </c>
      <c r="L4" s="101"/>
      <c r="M4" s="102"/>
    </row>
    <row r="5" spans="2:18" ht="15" x14ac:dyDescent="0.25">
      <c r="B5" s="23" t="s">
        <v>1</v>
      </c>
      <c r="C5" s="24">
        <f>SUMIF(I6:I31,"&gt;0",H6:H31)</f>
        <v>430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895</v>
      </c>
      <c r="D6" s="2"/>
      <c r="E6" s="18">
        <v>9410</v>
      </c>
      <c r="F6" s="25" t="s">
        <v>297</v>
      </c>
      <c r="G6" s="26" t="s">
        <v>8</v>
      </c>
      <c r="H6" s="8">
        <v>200</v>
      </c>
      <c r="I6" s="8">
        <v>200</v>
      </c>
      <c r="J6" s="2"/>
      <c r="K6" s="25"/>
      <c r="L6" s="9"/>
      <c r="M6" s="16"/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9411</v>
      </c>
      <c r="F7" s="25" t="s">
        <v>298</v>
      </c>
      <c r="G7" s="26" t="s">
        <v>58</v>
      </c>
      <c r="H7" s="8"/>
      <c r="I7" s="8"/>
      <c r="J7" s="2"/>
      <c r="K7" s="25"/>
      <c r="L7" s="9"/>
      <c r="M7" s="16"/>
      <c r="R7" s="1">
        <f>IF(vend26[[#This Row],[Nº Venda]]&gt;1,1,0)</f>
        <v>1</v>
      </c>
    </row>
    <row r="8" spans="2:18" ht="15.75" x14ac:dyDescent="0.25">
      <c r="B8" s="28" t="s">
        <v>23</v>
      </c>
      <c r="C8" s="29">
        <f>SUM(C6:C7)</f>
        <v>895</v>
      </c>
      <c r="D8" s="2"/>
      <c r="E8" s="18">
        <v>9412</v>
      </c>
      <c r="F8" s="25" t="s">
        <v>299</v>
      </c>
      <c r="G8" s="26" t="s">
        <v>10</v>
      </c>
      <c r="H8" s="8">
        <v>40</v>
      </c>
      <c r="I8" s="8">
        <v>40</v>
      </c>
      <c r="J8" s="2"/>
      <c r="K8" s="25"/>
      <c r="L8" s="9"/>
      <c r="M8" s="16"/>
      <c r="R8" s="1">
        <f>IF(vend26[[#This Row],[Nº Venda]]&gt;1,1,0)</f>
        <v>1</v>
      </c>
    </row>
    <row r="9" spans="2:18" ht="15.75" x14ac:dyDescent="0.25">
      <c r="B9" s="2"/>
      <c r="C9" s="2"/>
      <c r="D9" s="2"/>
      <c r="E9" s="18">
        <v>9413</v>
      </c>
      <c r="F9" s="25" t="s">
        <v>298</v>
      </c>
      <c r="G9" s="26" t="s">
        <v>58</v>
      </c>
      <c r="H9" s="8"/>
      <c r="I9" s="8"/>
      <c r="J9" s="2"/>
      <c r="K9" s="25"/>
      <c r="L9" s="9"/>
      <c r="M9" s="16"/>
      <c r="R9" s="1">
        <f>IF(vend26[[#This Row],[Nº Venda]]&gt;1,1,0)</f>
        <v>1</v>
      </c>
    </row>
    <row r="10" spans="2:18" ht="15.75" x14ac:dyDescent="0.25">
      <c r="B10" s="98" t="s">
        <v>5</v>
      </c>
      <c r="C10" s="98"/>
      <c r="D10" s="2"/>
      <c r="E10" s="18">
        <v>9414</v>
      </c>
      <c r="F10" s="25" t="s">
        <v>300</v>
      </c>
      <c r="G10" s="26" t="s">
        <v>10</v>
      </c>
      <c r="H10" s="8">
        <v>40</v>
      </c>
      <c r="I10" s="8">
        <v>40</v>
      </c>
      <c r="J10" s="2"/>
      <c r="K10" s="25"/>
      <c r="L10" s="9"/>
      <c r="M10" s="16"/>
      <c r="R10" s="1">
        <f>IF(vend26[[#This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196</v>
      </c>
      <c r="D11" s="2"/>
      <c r="E11" s="18">
        <v>9415</v>
      </c>
      <c r="F11" s="25" t="s">
        <v>301</v>
      </c>
      <c r="G11" s="26" t="s">
        <v>10</v>
      </c>
      <c r="H11" s="8">
        <v>150</v>
      </c>
      <c r="I11" s="8">
        <v>150</v>
      </c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340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200</v>
      </c>
      <c r="D13" s="2"/>
      <c r="E13" s="18"/>
      <c r="F13" s="25"/>
      <c r="G13" s="26"/>
      <c r="H13" s="8"/>
      <c r="I13" s="8"/>
      <c r="J13" s="2"/>
      <c r="K13" s="100" t="s">
        <v>25</v>
      </c>
      <c r="L13" s="101"/>
      <c r="M13" s="102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 t="shared" si="0"/>
        <v>355</v>
      </c>
      <c r="D15" s="2"/>
      <c r="E15" s="18"/>
      <c r="F15" s="25"/>
      <c r="G15" s="26"/>
      <c r="H15" s="8"/>
      <c r="I15" s="8"/>
      <c r="J15" s="2"/>
      <c r="K15" s="25">
        <v>9242</v>
      </c>
      <c r="L15" s="9" t="s">
        <v>31</v>
      </c>
      <c r="M15" s="16" t="s">
        <v>32</v>
      </c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1091</v>
      </c>
      <c r="D16" s="2"/>
      <c r="E16" s="18"/>
      <c r="F16" s="25"/>
      <c r="G16" s="26"/>
      <c r="H16" s="8"/>
      <c r="I16" s="8"/>
      <c r="J16" s="2"/>
      <c r="K16" s="25">
        <v>9243</v>
      </c>
      <c r="L16" s="9" t="s">
        <v>31</v>
      </c>
      <c r="M16" s="16" t="s">
        <v>30</v>
      </c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9347</v>
      </c>
      <c r="L17" s="9" t="s">
        <v>61</v>
      </c>
      <c r="M17" s="16" t="s">
        <v>30</v>
      </c>
      <c r="R17" s="1">
        <f>IF(vend26[[#This Row],[Nº Venda]]&gt;1,1,0)</f>
        <v>0</v>
      </c>
    </row>
    <row r="18" spans="2:18" ht="15.75" x14ac:dyDescent="0.25">
      <c r="B18" s="98" t="s">
        <v>12</v>
      </c>
      <c r="C18" s="98"/>
      <c r="D18" s="2"/>
      <c r="E18" s="18"/>
      <c r="F18" s="25"/>
      <c r="G18" s="26"/>
      <c r="H18" s="8"/>
      <c r="I18" s="8"/>
      <c r="J18" s="2"/>
      <c r="K18" s="25">
        <v>9346</v>
      </c>
      <c r="L18" s="9" t="s">
        <v>31</v>
      </c>
      <c r="M18" s="16" t="s">
        <v>30</v>
      </c>
      <c r="R18" s="1">
        <f>IF(vend26[[#This Row],[Nº Venda]]&gt;1,1,0)</f>
        <v>0</v>
      </c>
    </row>
    <row r="19" spans="2:18" ht="15.75" x14ac:dyDescent="0.25">
      <c r="B19" s="30">
        <f>COUNT(entr_carn26[OS])</f>
        <v>2</v>
      </c>
      <c r="C19" s="31">
        <f>SUM(entr_carn26[Valor Total])</f>
        <v>1204</v>
      </c>
      <c r="D19" s="2"/>
      <c r="E19" s="18"/>
      <c r="F19" s="25"/>
      <c r="G19" s="26"/>
      <c r="H19" s="8"/>
      <c r="I19" s="8"/>
      <c r="J19" s="2"/>
      <c r="K19" s="25">
        <v>9397</v>
      </c>
      <c r="L19" s="9" t="s">
        <v>61</v>
      </c>
      <c r="M19" s="16" t="s">
        <v>30</v>
      </c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1204</v>
      </c>
      <c r="D20" s="2"/>
      <c r="E20" s="18"/>
      <c r="F20" s="26"/>
      <c r="G20" s="26"/>
      <c r="H20" s="8"/>
      <c r="I20" s="8"/>
      <c r="J20" s="2"/>
      <c r="K20" s="25">
        <v>9415</v>
      </c>
      <c r="L20" s="9" t="s">
        <v>31</v>
      </c>
      <c r="M20" s="16" t="s">
        <v>30</v>
      </c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9305</v>
      </c>
      <c r="L21" s="9" t="s">
        <v>61</v>
      </c>
      <c r="M21" s="16" t="s">
        <v>32</v>
      </c>
    </row>
    <row r="22" spans="2:18" ht="15.75" x14ac:dyDescent="0.25">
      <c r="B22" s="28" t="s">
        <v>33</v>
      </c>
      <c r="C22" s="32">
        <f>C5</f>
        <v>430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7" t="s">
        <v>34</v>
      </c>
      <c r="F24" s="108"/>
      <c r="G24" s="108"/>
      <c r="H24" s="108"/>
      <c r="I24" s="10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9028</v>
      </c>
      <c r="F26" s="25" t="s">
        <v>295</v>
      </c>
      <c r="G26" s="26" t="s">
        <v>10</v>
      </c>
      <c r="H26" s="8">
        <v>0</v>
      </c>
      <c r="I26" s="8">
        <v>125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9305</v>
      </c>
      <c r="F27" s="25" t="s">
        <v>303</v>
      </c>
      <c r="G27" s="26" t="s">
        <v>7</v>
      </c>
      <c r="H27" s="8">
        <v>0</v>
      </c>
      <c r="I27" s="8">
        <v>240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9388</v>
      </c>
      <c r="F28" s="25" t="s">
        <v>304</v>
      </c>
      <c r="G28" s="26" t="s">
        <v>7</v>
      </c>
      <c r="H28" s="8">
        <v>0</v>
      </c>
      <c r="I28" s="8">
        <v>100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7" t="s">
        <v>35</v>
      </c>
      <c r="F33" s="108"/>
      <c r="G33" s="108"/>
      <c r="H33" s="108"/>
      <c r="I33" s="109"/>
      <c r="K33" s="100" t="s">
        <v>12</v>
      </c>
      <c r="L33" s="101"/>
      <c r="M33" s="102"/>
    </row>
    <row r="34" spans="2:18" ht="15" x14ac:dyDescent="0.25">
      <c r="E34" s="10" t="s">
        <v>26</v>
      </c>
      <c r="F34" s="10" t="s">
        <v>15</v>
      </c>
      <c r="G34" s="11" t="s">
        <v>16</v>
      </c>
      <c r="H34" s="12" t="s">
        <v>36</v>
      </c>
      <c r="I34" s="13" t="s">
        <v>37</v>
      </c>
      <c r="K34" s="14" t="s">
        <v>26</v>
      </c>
      <c r="L34" s="6" t="s">
        <v>38</v>
      </c>
      <c r="M34" s="15" t="s">
        <v>39</v>
      </c>
    </row>
    <row r="35" spans="2:18" ht="15.75" x14ac:dyDescent="0.25">
      <c r="E35" s="18">
        <v>9242</v>
      </c>
      <c r="F35" s="25" t="s">
        <v>302</v>
      </c>
      <c r="G35" s="26" t="s">
        <v>6</v>
      </c>
      <c r="H35" s="79">
        <v>196</v>
      </c>
      <c r="I35" s="8" t="s">
        <v>116</v>
      </c>
      <c r="K35" s="25">
        <v>9242</v>
      </c>
      <c r="L35" s="41">
        <v>4</v>
      </c>
      <c r="M35" s="16">
        <v>784</v>
      </c>
    </row>
    <row r="36" spans="2:18" ht="15.75" x14ac:dyDescent="0.25">
      <c r="E36" s="18"/>
      <c r="F36" s="25"/>
      <c r="G36" s="26"/>
      <c r="H36" s="8"/>
      <c r="I36" s="8"/>
      <c r="K36" s="25">
        <v>9305</v>
      </c>
      <c r="L36" s="41">
        <v>6</v>
      </c>
      <c r="M36" s="16">
        <v>420</v>
      </c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40</v>
      </c>
      <c r="R40" s="1">
        <f>SUM(R6:R21)</f>
        <v>6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A9B856E-CA12-45A9-9B2A-8B50CEBE60F1}">
      <formula1>"1,2,3,4,5,6,7,8,9,10"</formula1>
    </dataValidation>
    <dataValidation type="list" allowBlank="1" showInputMessage="1" showErrorMessage="1" sqref="M15:M31" xr:uid="{C8F291C1-A11A-4F3B-8AE7-8D5364F60BC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DA7D52B-B91F-4319-9DDF-C70C0CF233BE}">
          <x14:formula1>
            <xm:f>base!$A$2:$A$6</xm:f>
          </x14:formula1>
          <xm:sqref>G35:G41 G26:G31</xm:sqref>
        </x14:dataValidation>
        <x14:dataValidation type="list" allowBlank="1" showInputMessage="1" showErrorMessage="1" xr:uid="{EB5BC1EA-A953-4661-84CA-CC1C38A7190E}">
          <x14:formula1>
            <xm:f>base!$A$2:$A$9</xm:f>
          </x14:formula1>
          <xm:sqref>G6:G22</xm:sqref>
        </x14:dataValidation>
        <x14:dataValidation type="list" allowBlank="1" showInputMessage="1" showErrorMessage="1" xr:uid="{CA3C5E0A-BBD3-4367-B4B7-4487F4B25627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FC99-251B-4A38-9D59-407912DEF223}">
  <sheetPr>
    <pageSetUpPr fitToPage="1"/>
  </sheetPr>
  <dimension ref="A1:M41"/>
  <sheetViews>
    <sheetView topLeftCell="A21" zoomScale="70" zoomScaleNormal="70" workbookViewId="0">
      <selection activeCell="I49" sqref="I49"/>
    </sheetView>
  </sheetViews>
  <sheetFormatPr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</cols>
  <sheetData>
    <row r="1" spans="2:13" ht="27" x14ac:dyDescent="0.5">
      <c r="B1" s="58">
        <f>'25'!B1+1</f>
        <v>45469</v>
      </c>
    </row>
    <row r="2" spans="2:13" ht="18.75" x14ac:dyDescent="0.2">
      <c r="B2" s="103" t="s">
        <v>41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3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3" ht="15" x14ac:dyDescent="0.25">
      <c r="B4" s="19" t="s">
        <v>0</v>
      </c>
      <c r="C4" s="20">
        <v>0</v>
      </c>
      <c r="D4" s="21"/>
      <c r="E4" s="106" t="s">
        <v>1</v>
      </c>
      <c r="F4" s="106"/>
      <c r="G4" s="106"/>
      <c r="H4" s="106"/>
      <c r="I4" s="106"/>
      <c r="J4" s="22"/>
      <c r="K4" s="100" t="s">
        <v>3</v>
      </c>
      <c r="L4" s="101"/>
      <c r="M4" s="102"/>
    </row>
    <row r="5" spans="2:13" ht="15" x14ac:dyDescent="0.25">
      <c r="B5" s="23" t="s">
        <v>1</v>
      </c>
      <c r="C5" s="24">
        <f>SUMIF(I6:I31,"&gt;0",H6:H31)</f>
        <v>1300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3" ht="15.75" x14ac:dyDescent="0.25">
      <c r="B6" s="23" t="s">
        <v>2</v>
      </c>
      <c r="C6" s="24">
        <f>SUM(I6:I41)</f>
        <v>1300</v>
      </c>
      <c r="D6" s="2"/>
      <c r="E6" s="18">
        <v>9416</v>
      </c>
      <c r="F6" s="25" t="s">
        <v>305</v>
      </c>
      <c r="G6" s="26" t="s">
        <v>50</v>
      </c>
      <c r="H6" s="8">
        <v>150</v>
      </c>
      <c r="I6" s="8"/>
      <c r="J6" s="2"/>
      <c r="K6" s="25"/>
      <c r="L6" s="9"/>
      <c r="M6" s="16"/>
    </row>
    <row r="7" spans="2:13" ht="15.75" x14ac:dyDescent="0.25">
      <c r="B7" s="23" t="s">
        <v>3</v>
      </c>
      <c r="C7" s="24">
        <f>SUM(M6:M11)</f>
        <v>0</v>
      </c>
      <c r="D7" s="2"/>
      <c r="E7" s="18">
        <v>9417</v>
      </c>
      <c r="F7" s="25" t="s">
        <v>285</v>
      </c>
      <c r="G7" s="26" t="s">
        <v>8</v>
      </c>
      <c r="H7" s="8">
        <v>250</v>
      </c>
      <c r="I7" s="8">
        <v>250</v>
      </c>
      <c r="J7" s="2"/>
      <c r="K7" s="25"/>
      <c r="L7" s="9"/>
      <c r="M7" s="16"/>
    </row>
    <row r="8" spans="2:13" ht="15.75" x14ac:dyDescent="0.25">
      <c r="B8" s="28" t="s">
        <v>23</v>
      </c>
      <c r="C8" s="29">
        <f>SUM(C6:C7)</f>
        <v>1300</v>
      </c>
      <c r="D8" s="2"/>
      <c r="E8" s="18">
        <v>9418</v>
      </c>
      <c r="F8" s="25" t="s">
        <v>306</v>
      </c>
      <c r="G8" s="26" t="s">
        <v>8</v>
      </c>
      <c r="H8" s="8">
        <v>900</v>
      </c>
      <c r="I8" s="8">
        <v>900</v>
      </c>
      <c r="J8" s="2"/>
      <c r="K8" s="25"/>
      <c r="L8" s="9"/>
      <c r="M8" s="16"/>
    </row>
    <row r="9" spans="2:13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</row>
    <row r="10" spans="2:13" ht="15.75" x14ac:dyDescent="0.25">
      <c r="B10" s="98" t="s">
        <v>5</v>
      </c>
      <c r="C10" s="98"/>
      <c r="D10" s="2"/>
      <c r="E10" s="18"/>
      <c r="F10" s="25"/>
      <c r="G10" s="26"/>
      <c r="H10" s="8"/>
      <c r="I10" s="8"/>
      <c r="J10" s="2"/>
      <c r="K10" s="25"/>
      <c r="L10" s="9"/>
      <c r="M10" s="16"/>
    </row>
    <row r="11" spans="2:13" ht="15.75" x14ac:dyDescent="0.25">
      <c r="B11" s="30" t="s">
        <v>6</v>
      </c>
      <c r="C11" s="31">
        <f>(SUMIF($G$2:$G$31,B11,$I$2:$I$31))+(SUMIF($G$35:$G$41,B11,$H$35:$H$41))</f>
        <v>130</v>
      </c>
      <c r="D11" s="2"/>
      <c r="E11" s="18"/>
      <c r="F11" s="25"/>
      <c r="G11" s="26"/>
      <c r="H11" s="8"/>
      <c r="I11" s="8"/>
      <c r="J11" s="2"/>
      <c r="K11" s="27"/>
      <c r="L11" s="9"/>
      <c r="M11" s="16"/>
    </row>
    <row r="12" spans="2:13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</row>
    <row r="13" spans="2:13" ht="15.75" x14ac:dyDescent="0.25">
      <c r="B13" s="30" t="s">
        <v>8</v>
      </c>
      <c r="C13" s="31">
        <f t="shared" si="0"/>
        <v>1300</v>
      </c>
      <c r="D13" s="2"/>
      <c r="E13" s="18"/>
      <c r="F13" s="25"/>
      <c r="G13" s="26"/>
      <c r="H13" s="8"/>
      <c r="I13" s="8"/>
      <c r="J13" s="2"/>
      <c r="K13" s="100" t="s">
        <v>25</v>
      </c>
      <c r="L13" s="101"/>
      <c r="M13" s="102"/>
    </row>
    <row r="14" spans="2:13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</row>
    <row r="15" spans="2:13" ht="15.75" x14ac:dyDescent="0.25">
      <c r="B15" s="30" t="s">
        <v>10</v>
      </c>
      <c r="C15" s="31">
        <f t="shared" si="0"/>
        <v>425</v>
      </c>
      <c r="D15" s="2"/>
      <c r="E15" s="18"/>
      <c r="F15" s="25"/>
      <c r="G15" s="26"/>
      <c r="H15" s="8"/>
      <c r="I15" s="8"/>
      <c r="J15" s="2"/>
      <c r="K15" s="25">
        <v>9416</v>
      </c>
      <c r="L15" s="9" t="s">
        <v>61</v>
      </c>
      <c r="M15" s="16" t="s">
        <v>30</v>
      </c>
    </row>
    <row r="16" spans="2:13" ht="15.75" x14ac:dyDescent="0.25">
      <c r="B16" s="28" t="s">
        <v>11</v>
      </c>
      <c r="C16" s="32">
        <f>SUM(C11:C15)</f>
        <v>1855</v>
      </c>
      <c r="D16" s="2"/>
      <c r="E16" s="18"/>
      <c r="F16" s="25"/>
      <c r="G16" s="26"/>
      <c r="H16" s="8"/>
      <c r="I16" s="8"/>
      <c r="J16" s="2"/>
      <c r="K16" s="25">
        <v>9412</v>
      </c>
      <c r="L16" s="9" t="s">
        <v>31</v>
      </c>
      <c r="M16" s="16" t="s">
        <v>30</v>
      </c>
    </row>
    <row r="17" spans="2:13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9319</v>
      </c>
      <c r="L17" s="9" t="s">
        <v>74</v>
      </c>
      <c r="M17" s="16"/>
    </row>
    <row r="18" spans="2:13" ht="15.75" x14ac:dyDescent="0.25">
      <c r="B18" s="98" t="s">
        <v>12</v>
      </c>
      <c r="C18" s="98"/>
      <c r="D18" s="2"/>
      <c r="E18" s="18"/>
      <c r="F18" s="25"/>
      <c r="G18" s="26"/>
      <c r="H18" s="8"/>
      <c r="I18" s="8"/>
      <c r="J18" s="2"/>
      <c r="K18" s="25"/>
      <c r="L18" s="9"/>
      <c r="M18" s="16"/>
    </row>
    <row r="19" spans="2:13" ht="15.75" x14ac:dyDescent="0.25">
      <c r="B19" s="30">
        <f>COUNT(entr_carn26211[OS])</f>
        <v>0</v>
      </c>
      <c r="C19" s="31">
        <f>SUM(entr_carn26211[Valor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</row>
    <row r="20" spans="2:13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</row>
    <row r="21" spans="2:13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3" ht="15.75" x14ac:dyDescent="0.25">
      <c r="B22" s="28" t="s">
        <v>33</v>
      </c>
      <c r="C22" s="32">
        <f>C5</f>
        <v>1300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3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3" ht="15" x14ac:dyDescent="0.25">
      <c r="B24" s="2"/>
      <c r="C24" s="2"/>
      <c r="D24" s="2"/>
      <c r="E24" s="107" t="s">
        <v>34</v>
      </c>
      <c r="F24" s="108"/>
      <c r="G24" s="108"/>
      <c r="H24" s="108"/>
      <c r="I24" s="109"/>
      <c r="J24" s="2"/>
      <c r="K24" s="25"/>
      <c r="L24" s="9"/>
      <c r="M24" s="16"/>
    </row>
    <row r="25" spans="2:13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3" ht="15.75" x14ac:dyDescent="0.25">
      <c r="B26" s="2"/>
      <c r="C26" s="2"/>
      <c r="D26" s="2"/>
      <c r="E26" s="18">
        <v>9416</v>
      </c>
      <c r="F26" s="25" t="s">
        <v>305</v>
      </c>
      <c r="G26" s="26" t="s">
        <v>8</v>
      </c>
      <c r="H26" s="8">
        <v>150</v>
      </c>
      <c r="I26" s="8">
        <v>150</v>
      </c>
      <c r="J26" s="2"/>
      <c r="K26" s="25"/>
      <c r="L26" s="9"/>
      <c r="M26" s="16"/>
    </row>
    <row r="27" spans="2:13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3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3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3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3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3" ht="15" x14ac:dyDescent="0.25">
      <c r="B32" s="2"/>
      <c r="C32" s="2"/>
      <c r="E32" s="33"/>
    </row>
    <row r="33" spans="2:13" ht="15" x14ac:dyDescent="0.25">
      <c r="B33" s="2"/>
      <c r="C33" s="2"/>
      <c r="E33" s="107" t="s">
        <v>35</v>
      </c>
      <c r="F33" s="108"/>
      <c r="G33" s="108"/>
      <c r="H33" s="108"/>
      <c r="I33" s="109"/>
      <c r="K33" s="100" t="s">
        <v>12</v>
      </c>
      <c r="L33" s="101"/>
      <c r="M33" s="102"/>
    </row>
    <row r="34" spans="2:13" ht="15" x14ac:dyDescent="0.25">
      <c r="E34" s="10" t="s">
        <v>26</v>
      </c>
      <c r="F34" s="10" t="s">
        <v>15</v>
      </c>
      <c r="G34" s="11" t="s">
        <v>16</v>
      </c>
      <c r="H34" s="12" t="s">
        <v>36</v>
      </c>
      <c r="I34" s="13" t="s">
        <v>37</v>
      </c>
      <c r="K34" s="14" t="s">
        <v>26</v>
      </c>
      <c r="L34" s="6" t="s">
        <v>38</v>
      </c>
      <c r="M34" s="15" t="s">
        <v>39</v>
      </c>
    </row>
    <row r="35" spans="2:13" ht="15.75" x14ac:dyDescent="0.25">
      <c r="E35" s="18">
        <v>7954</v>
      </c>
      <c r="F35" s="25" t="s">
        <v>307</v>
      </c>
      <c r="G35" s="26" t="s">
        <v>10</v>
      </c>
      <c r="H35" s="79">
        <v>100</v>
      </c>
      <c r="I35" s="8" t="s">
        <v>130</v>
      </c>
      <c r="K35" s="25"/>
      <c r="L35" s="41"/>
      <c r="M35" s="16"/>
    </row>
    <row r="36" spans="2:13" ht="15.75" x14ac:dyDescent="0.25">
      <c r="E36" s="18">
        <v>9150</v>
      </c>
      <c r="F36" s="25" t="s">
        <v>308</v>
      </c>
      <c r="G36" s="26" t="s">
        <v>6</v>
      </c>
      <c r="H36" s="8">
        <v>130</v>
      </c>
      <c r="I36" s="8" t="s">
        <v>121</v>
      </c>
      <c r="K36" s="25"/>
      <c r="L36" s="41"/>
      <c r="M36" s="16"/>
    </row>
    <row r="37" spans="2:13" ht="15.75" x14ac:dyDescent="0.25">
      <c r="E37" s="18">
        <v>9012</v>
      </c>
      <c r="F37" s="25" t="s">
        <v>309</v>
      </c>
      <c r="G37" s="26" t="s">
        <v>10</v>
      </c>
      <c r="H37" s="8">
        <v>225</v>
      </c>
      <c r="I37" s="8" t="s">
        <v>67</v>
      </c>
      <c r="K37" s="25"/>
      <c r="L37" s="41"/>
      <c r="M37" s="16"/>
    </row>
    <row r="38" spans="2:13" ht="15.75" x14ac:dyDescent="0.25">
      <c r="E38" s="18">
        <v>9258</v>
      </c>
      <c r="F38" s="25" t="s">
        <v>310</v>
      </c>
      <c r="G38" s="26" t="s">
        <v>10</v>
      </c>
      <c r="H38" s="8">
        <v>100</v>
      </c>
      <c r="I38" s="8" t="s">
        <v>124</v>
      </c>
      <c r="K38" s="25"/>
      <c r="L38" s="41"/>
      <c r="M38" s="16"/>
    </row>
    <row r="39" spans="2:13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3" ht="15.75" x14ac:dyDescent="0.25">
      <c r="E40" s="35"/>
      <c r="F40" s="36"/>
      <c r="G40" s="37"/>
      <c r="H40" s="17"/>
      <c r="I40" s="8"/>
      <c r="K40" s="36"/>
      <c r="L40" s="42"/>
      <c r="M40" s="40"/>
    </row>
    <row r="41" spans="2:13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19DA300-27C6-43CB-ADE4-BB381D54520D}">
      <formula1>"Sim, Não"</formula1>
    </dataValidation>
    <dataValidation type="list" allowBlank="1" showInputMessage="1" showErrorMessage="1" sqref="L35:L41" xr:uid="{9571C849-C4C9-494A-A839-ECB1A784E7ED}">
      <formula1>"1,2,3,4,5,6,7,8,9,10"</formula1>
    </dataValidation>
  </dataValidations>
  <pageMargins left="0.511811024" right="0.511811024" top="0.78740157499999996" bottom="0.78740157499999996" header="0.31496062000000002" footer="0.31496062000000002"/>
  <pageSetup paperSize="9" scale="68" orientation="landscape" horizontalDpi="0" verticalDpi="0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A769DAE-5CC0-41CD-909D-B9418A50514E}">
          <x14:formula1>
            <xm:f>base!$E$2:$E$79</xm:f>
          </x14:formula1>
          <xm:sqref>I35:I41</xm:sqref>
        </x14:dataValidation>
        <x14:dataValidation type="list" allowBlank="1" showInputMessage="1" showErrorMessage="1" xr:uid="{C57FC0A8-C31C-4130-A6C1-FFB43F6C92FC}">
          <x14:formula1>
            <xm:f>base!$A$2:$A$9</xm:f>
          </x14:formula1>
          <xm:sqref>G6:G22</xm:sqref>
        </x14:dataValidation>
        <x14:dataValidation type="list" allowBlank="1" showInputMessage="1" showErrorMessage="1" xr:uid="{16172106-3680-49F1-9975-1047D54FE09A}">
          <x14:formula1>
            <xm:f>base!$A$2:$A$6</xm:f>
          </x14:formula1>
          <xm:sqref>G35:G41 G26:G31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21" zoomScale="80" zoomScaleNormal="80" workbookViewId="0">
      <selection activeCell="M17" sqref="M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'25'!B1+1</f>
        <v>45469</v>
      </c>
    </row>
    <row r="2" spans="2:18" ht="18.75" x14ac:dyDescent="0.2">
      <c r="B2" s="103" t="s">
        <v>41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6" t="s">
        <v>1</v>
      </c>
      <c r="F4" s="106"/>
      <c r="G4" s="106"/>
      <c r="H4" s="106"/>
      <c r="I4" s="106"/>
      <c r="J4" s="22"/>
      <c r="K4" s="100" t="s">
        <v>3</v>
      </c>
      <c r="L4" s="101"/>
      <c r="M4" s="102"/>
    </row>
    <row r="5" spans="2:18" ht="15" x14ac:dyDescent="0.25">
      <c r="B5" s="23" t="s">
        <v>1</v>
      </c>
      <c r="C5" s="24">
        <f>SUMIF(I6:I31,"&gt;0",H6:H31)</f>
        <v>649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1049</v>
      </c>
      <c r="D6" s="2"/>
      <c r="E6" s="18">
        <v>9419</v>
      </c>
      <c r="F6" s="25" t="s">
        <v>311</v>
      </c>
      <c r="G6" s="26" t="s">
        <v>8</v>
      </c>
      <c r="H6" s="8">
        <v>99</v>
      </c>
      <c r="I6" s="8">
        <v>99</v>
      </c>
      <c r="J6" s="2"/>
      <c r="K6" s="25"/>
      <c r="L6" s="9"/>
      <c r="M6" s="16"/>
      <c r="R6" s="1">
        <f>IF(vend27[[#This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9420</v>
      </c>
      <c r="F7" s="25" t="s">
        <v>312</v>
      </c>
      <c r="G7" s="26" t="s">
        <v>58</v>
      </c>
      <c r="H7" s="8"/>
      <c r="I7" s="8"/>
      <c r="J7" s="2"/>
      <c r="K7" s="25"/>
      <c r="L7" s="9"/>
      <c r="M7" s="16"/>
      <c r="R7" s="1">
        <f>IF(vend27[[#This Row],[Nº Venda]]&gt;1,1,0)</f>
        <v>1</v>
      </c>
    </row>
    <row r="8" spans="2:18" ht="15.75" x14ac:dyDescent="0.25">
      <c r="B8" s="28" t="s">
        <v>23</v>
      </c>
      <c r="C8" s="29">
        <f>SUM(C6:C7)</f>
        <v>1049</v>
      </c>
      <c r="D8" s="2"/>
      <c r="E8" s="18">
        <v>9421</v>
      </c>
      <c r="F8" s="25" t="s">
        <v>313</v>
      </c>
      <c r="G8" s="26" t="s">
        <v>6</v>
      </c>
      <c r="H8" s="8">
        <v>550</v>
      </c>
      <c r="I8" s="8">
        <v>550</v>
      </c>
      <c r="J8" s="2"/>
      <c r="K8" s="25"/>
      <c r="L8" s="9"/>
      <c r="M8" s="16"/>
      <c r="R8" s="1">
        <f>IF(vend27[[#This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98" t="s">
        <v>5</v>
      </c>
      <c r="C10" s="9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950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260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99</v>
      </c>
      <c r="D13" s="2"/>
      <c r="E13" s="18"/>
      <c r="F13" s="25"/>
      <c r="G13" s="26"/>
      <c r="H13" s="8"/>
      <c r="I13" s="8"/>
      <c r="J13" s="2"/>
      <c r="K13" s="100" t="s">
        <v>25</v>
      </c>
      <c r="L13" s="101"/>
      <c r="M13" s="102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9354</v>
      </c>
      <c r="L15" s="9" t="s">
        <v>31</v>
      </c>
      <c r="M15" s="16" t="s">
        <v>30</v>
      </c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1309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98" t="s">
        <v>12</v>
      </c>
      <c r="C18" s="9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33</v>
      </c>
      <c r="C22" s="32">
        <f>C5</f>
        <v>649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9" t="s">
        <v>34</v>
      </c>
      <c r="F24" s="99"/>
      <c r="G24" s="99"/>
      <c r="H24" s="99"/>
      <c r="I24" s="9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9354</v>
      </c>
      <c r="F26" s="25" t="s">
        <v>226</v>
      </c>
      <c r="G26" s="26" t="s">
        <v>6</v>
      </c>
      <c r="H26" s="8">
        <v>0</v>
      </c>
      <c r="I26" s="8">
        <v>400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9" t="s">
        <v>35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26</v>
      </c>
      <c r="F34" s="10" t="s">
        <v>15</v>
      </c>
      <c r="G34" s="11" t="s">
        <v>16</v>
      </c>
      <c r="H34" s="12" t="s">
        <v>36</v>
      </c>
      <c r="I34" s="13" t="s">
        <v>37</v>
      </c>
      <c r="K34" s="14" t="s">
        <v>26</v>
      </c>
      <c r="L34" s="6" t="s">
        <v>38</v>
      </c>
      <c r="M34" s="15" t="s">
        <v>39</v>
      </c>
    </row>
    <row r="35" spans="2:18" ht="15.75" x14ac:dyDescent="0.25">
      <c r="E35" s="18">
        <v>8493</v>
      </c>
      <c r="F35" s="25" t="s">
        <v>314</v>
      </c>
      <c r="G35" s="26" t="s">
        <v>7</v>
      </c>
      <c r="H35" s="8">
        <v>130</v>
      </c>
      <c r="I35" s="8" t="s">
        <v>122</v>
      </c>
      <c r="K35" s="25"/>
      <c r="L35" s="41"/>
      <c r="M35" s="16"/>
    </row>
    <row r="36" spans="2:18" ht="15.75" x14ac:dyDescent="0.25">
      <c r="E36" s="18">
        <v>8493</v>
      </c>
      <c r="F36" s="25" t="s">
        <v>314</v>
      </c>
      <c r="G36" s="26" t="s">
        <v>7</v>
      </c>
      <c r="H36" s="8">
        <v>130</v>
      </c>
      <c r="I36" s="8" t="s">
        <v>123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40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21" zoomScale="80" zoomScaleNormal="80" workbookViewId="0">
      <selection activeCell="F35" sqref="F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'27'!B1+1</f>
        <v>45470</v>
      </c>
    </row>
    <row r="2" spans="2:18" ht="18.75" x14ac:dyDescent="0.2">
      <c r="B2" s="103" t="s">
        <v>41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6" t="s">
        <v>1</v>
      </c>
      <c r="F4" s="106"/>
      <c r="G4" s="106"/>
      <c r="H4" s="106"/>
      <c r="I4" s="106"/>
      <c r="J4" s="22"/>
      <c r="K4" s="100" t="s">
        <v>3</v>
      </c>
      <c r="L4" s="101"/>
      <c r="M4" s="102"/>
    </row>
    <row r="5" spans="2:18" ht="15" x14ac:dyDescent="0.25">
      <c r="B5" s="23" t="s">
        <v>1</v>
      </c>
      <c r="C5" s="24">
        <f>SUMIF(I6:I31,"&gt;0",H6:H31)</f>
        <v>9139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6625</v>
      </c>
      <c r="D6" s="2"/>
      <c r="E6" s="18">
        <v>9422</v>
      </c>
      <c r="F6" s="25" t="s">
        <v>315</v>
      </c>
      <c r="G6" s="26" t="s">
        <v>8</v>
      </c>
      <c r="H6" s="8">
        <v>50</v>
      </c>
      <c r="I6" s="8">
        <v>50</v>
      </c>
      <c r="J6" s="2"/>
      <c r="K6" s="25"/>
      <c r="L6" s="9"/>
      <c r="M6" s="16"/>
      <c r="R6" s="1">
        <f>IF(vend28[[#This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9423</v>
      </c>
      <c r="F7" s="25" t="s">
        <v>316</v>
      </c>
      <c r="G7" s="26" t="s">
        <v>8</v>
      </c>
      <c r="H7" s="8">
        <v>40</v>
      </c>
      <c r="I7" s="8">
        <v>40</v>
      </c>
      <c r="J7" s="2"/>
      <c r="K7" s="25"/>
      <c r="L7" s="9"/>
      <c r="M7" s="16"/>
      <c r="R7" s="1">
        <f>IF(vend28[[#This Row],[Nº Venda]]&gt;1,1,0)</f>
        <v>1</v>
      </c>
    </row>
    <row r="8" spans="2:18" ht="15.75" x14ac:dyDescent="0.25">
      <c r="B8" s="28" t="s">
        <v>23</v>
      </c>
      <c r="C8" s="29">
        <f>SUM(C6:C7)</f>
        <v>6625</v>
      </c>
      <c r="D8" s="2"/>
      <c r="E8" s="18">
        <v>9424</v>
      </c>
      <c r="F8" s="25" t="s">
        <v>317</v>
      </c>
      <c r="G8" s="26" t="s">
        <v>10</v>
      </c>
      <c r="H8" s="8">
        <v>580</v>
      </c>
      <c r="I8" s="8">
        <v>25</v>
      </c>
      <c r="J8" s="2"/>
      <c r="K8" s="25"/>
      <c r="L8" s="9"/>
      <c r="M8" s="16"/>
      <c r="R8" s="1">
        <f>IF(vend28[[#This Row],[Nº Venda]]&gt;1,1,0)</f>
        <v>1</v>
      </c>
    </row>
    <row r="9" spans="2:18" ht="15.75" x14ac:dyDescent="0.25">
      <c r="B9" s="2"/>
      <c r="C9" s="2"/>
      <c r="D9" s="2"/>
      <c r="E9" s="18">
        <v>9425</v>
      </c>
      <c r="F9" s="25" t="s">
        <v>317</v>
      </c>
      <c r="G9" s="26" t="s">
        <v>10</v>
      </c>
      <c r="H9" s="8">
        <v>299</v>
      </c>
      <c r="I9" s="8">
        <v>25</v>
      </c>
      <c r="J9" s="2"/>
      <c r="K9" s="25"/>
      <c r="L9" s="9"/>
      <c r="M9" s="16"/>
      <c r="R9" s="1">
        <f>IF(vend28[[#This Row],[Nº Venda]]&gt;1,1,0)</f>
        <v>1</v>
      </c>
    </row>
    <row r="10" spans="2:18" ht="15.75" x14ac:dyDescent="0.25">
      <c r="B10" s="98" t="s">
        <v>5</v>
      </c>
      <c r="C10" s="98"/>
      <c r="D10" s="2"/>
      <c r="E10" s="18">
        <v>9426</v>
      </c>
      <c r="F10" s="25" t="s">
        <v>318</v>
      </c>
      <c r="G10" s="26" t="s">
        <v>8</v>
      </c>
      <c r="H10" s="8">
        <v>700</v>
      </c>
      <c r="I10" s="8">
        <v>700</v>
      </c>
      <c r="J10" s="2"/>
      <c r="K10" s="25"/>
      <c r="L10" s="9"/>
      <c r="M10" s="16"/>
      <c r="R10" s="1">
        <f>IF(vend28[[#This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58.33</v>
      </c>
      <c r="D11" s="2"/>
      <c r="E11" s="18">
        <v>9427</v>
      </c>
      <c r="F11" s="25" t="s">
        <v>318</v>
      </c>
      <c r="G11" s="26" t="s">
        <v>8</v>
      </c>
      <c r="H11" s="8">
        <v>600</v>
      </c>
      <c r="I11" s="8">
        <v>600</v>
      </c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2460</v>
      </c>
      <c r="D12" s="2"/>
      <c r="E12" s="18">
        <v>9428</v>
      </c>
      <c r="F12" s="25" t="s">
        <v>319</v>
      </c>
      <c r="G12" s="26" t="s">
        <v>10</v>
      </c>
      <c r="H12" s="8">
        <v>570</v>
      </c>
      <c r="I12" s="8">
        <v>400</v>
      </c>
      <c r="J12" s="2"/>
      <c r="R12" s="1">
        <f>IF(vend28[[#This Row],[Nº Venda]]&gt;1,1,0)</f>
        <v>1</v>
      </c>
    </row>
    <row r="13" spans="2:18" ht="15.75" x14ac:dyDescent="0.25">
      <c r="B13" s="30" t="s">
        <v>8</v>
      </c>
      <c r="C13" s="31">
        <f t="shared" si="0"/>
        <v>3715</v>
      </c>
      <c r="D13" s="2"/>
      <c r="E13" s="18">
        <v>9429</v>
      </c>
      <c r="F13" s="25" t="s">
        <v>320</v>
      </c>
      <c r="G13" s="26" t="s">
        <v>7</v>
      </c>
      <c r="H13" s="8">
        <v>2450</v>
      </c>
      <c r="I13" s="8">
        <v>2450</v>
      </c>
      <c r="J13" s="2"/>
      <c r="K13" s="100" t="s">
        <v>25</v>
      </c>
      <c r="L13" s="101"/>
      <c r="M13" s="102"/>
      <c r="R13" s="1">
        <f>IF(vend28[[#This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>
        <v>9430</v>
      </c>
      <c r="F14" s="25" t="s">
        <v>321</v>
      </c>
      <c r="G14" s="26" t="s">
        <v>50</v>
      </c>
      <c r="H14" s="8">
        <v>0</v>
      </c>
      <c r="I14" s="8"/>
      <c r="J14" s="2"/>
      <c r="K14" s="14" t="s">
        <v>26</v>
      </c>
      <c r="L14" s="6" t="s">
        <v>27</v>
      </c>
      <c r="M14" s="15" t="s">
        <v>28</v>
      </c>
      <c r="R14" s="1">
        <f>IF(vend28[[#This Row],[Nº Venda]]&gt;1,1,0)</f>
        <v>1</v>
      </c>
    </row>
    <row r="15" spans="2:18" ht="15.75" x14ac:dyDescent="0.25">
      <c r="B15" s="30" t="s">
        <v>10</v>
      </c>
      <c r="C15" s="31">
        <f t="shared" si="0"/>
        <v>450</v>
      </c>
      <c r="D15" s="2"/>
      <c r="E15" s="18">
        <v>9431</v>
      </c>
      <c r="F15" s="25" t="s">
        <v>322</v>
      </c>
      <c r="G15" s="26" t="s">
        <v>8</v>
      </c>
      <c r="H15" s="8">
        <v>600</v>
      </c>
      <c r="I15" s="8">
        <v>600</v>
      </c>
      <c r="J15" s="2"/>
      <c r="K15" s="25">
        <v>9382</v>
      </c>
      <c r="L15" s="9" t="s">
        <v>31</v>
      </c>
      <c r="M15" s="16" t="s">
        <v>30</v>
      </c>
      <c r="R15" s="1">
        <f>IF(vend28[[#This Row],[Nº Venda]]&gt;1,1,0)</f>
        <v>1</v>
      </c>
    </row>
    <row r="16" spans="2:18" ht="15.75" x14ac:dyDescent="0.25">
      <c r="B16" s="28" t="s">
        <v>11</v>
      </c>
      <c r="C16" s="32">
        <f>SUM(C11:C15)</f>
        <v>6683.33</v>
      </c>
      <c r="D16" s="2"/>
      <c r="E16" s="18">
        <v>9432</v>
      </c>
      <c r="F16" s="25" t="s">
        <v>323</v>
      </c>
      <c r="G16" s="26" t="s">
        <v>8</v>
      </c>
      <c r="H16" s="8">
        <v>1050</v>
      </c>
      <c r="I16" s="8">
        <v>1050</v>
      </c>
      <c r="J16" s="2"/>
      <c r="K16" s="25">
        <v>9214</v>
      </c>
      <c r="L16" s="9" t="s">
        <v>61</v>
      </c>
      <c r="M16" s="16" t="s">
        <v>30</v>
      </c>
      <c r="R16" s="1">
        <f>IF(vend28[[#This Row],[Nº Venda]]&gt;1,1,0)</f>
        <v>1</v>
      </c>
    </row>
    <row r="17" spans="2:18" ht="15.75" x14ac:dyDescent="0.25">
      <c r="B17" s="2"/>
      <c r="C17" s="2"/>
      <c r="D17" s="2"/>
      <c r="E17" s="18">
        <v>9433</v>
      </c>
      <c r="F17" s="25" t="s">
        <v>324</v>
      </c>
      <c r="G17" s="26" t="s">
        <v>7</v>
      </c>
      <c r="H17" s="8">
        <v>2200</v>
      </c>
      <c r="I17" s="8">
        <v>10</v>
      </c>
      <c r="J17" s="2"/>
      <c r="K17" s="25">
        <v>9419</v>
      </c>
      <c r="L17" s="9" t="s">
        <v>61</v>
      </c>
      <c r="M17" s="16" t="s">
        <v>30</v>
      </c>
      <c r="R17" s="1">
        <f>IF(vend28[[#This Row],[Nº Venda]]&gt;1,1,0)</f>
        <v>1</v>
      </c>
    </row>
    <row r="18" spans="2:18" ht="15.75" x14ac:dyDescent="0.25">
      <c r="B18" s="98" t="s">
        <v>12</v>
      </c>
      <c r="C18" s="98"/>
      <c r="D18" s="2"/>
      <c r="E18" s="18"/>
      <c r="F18" s="25"/>
      <c r="G18" s="26"/>
      <c r="H18" s="8"/>
      <c r="I18" s="8"/>
      <c r="J18" s="2"/>
      <c r="K18" s="25">
        <v>9364</v>
      </c>
      <c r="L18" s="9" t="s">
        <v>61</v>
      </c>
      <c r="M18" s="16" t="s">
        <v>30</v>
      </c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>
        <v>9383</v>
      </c>
      <c r="L19" s="9" t="s">
        <v>31</v>
      </c>
      <c r="M19" s="16" t="s">
        <v>30</v>
      </c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9420</v>
      </c>
      <c r="L20" s="9" t="s">
        <v>31</v>
      </c>
      <c r="M20" s="16" t="s">
        <v>30</v>
      </c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9423</v>
      </c>
      <c r="L21" s="9" t="s">
        <v>31</v>
      </c>
      <c r="M21" s="16" t="s">
        <v>30</v>
      </c>
    </row>
    <row r="22" spans="2:18" ht="15.75" x14ac:dyDescent="0.25">
      <c r="B22" s="28" t="s">
        <v>33</v>
      </c>
      <c r="C22" s="32">
        <f>C5</f>
        <v>9139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9" t="s">
        <v>34</v>
      </c>
      <c r="F24" s="99"/>
      <c r="G24" s="99"/>
      <c r="H24" s="99"/>
      <c r="I24" s="9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9214</v>
      </c>
      <c r="F26" s="25" t="s">
        <v>325</v>
      </c>
      <c r="G26" s="26" t="s">
        <v>8</v>
      </c>
      <c r="H26" s="8"/>
      <c r="I26" s="8">
        <v>675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9" t="s">
        <v>35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26</v>
      </c>
      <c r="F34" s="10" t="s">
        <v>15</v>
      </c>
      <c r="G34" s="11" t="s">
        <v>16</v>
      </c>
      <c r="H34" s="12" t="s">
        <v>36</v>
      </c>
      <c r="I34" s="13" t="s">
        <v>37</v>
      </c>
      <c r="K34" s="14" t="s">
        <v>26</v>
      </c>
      <c r="L34" s="6" t="s">
        <v>38</v>
      </c>
      <c r="M34" s="15" t="s">
        <v>39</v>
      </c>
    </row>
    <row r="35" spans="2:18" ht="15.75" x14ac:dyDescent="0.25">
      <c r="E35" s="18">
        <v>9093</v>
      </c>
      <c r="F35" s="25" t="s">
        <v>334</v>
      </c>
      <c r="G35" s="26" t="s">
        <v>6</v>
      </c>
      <c r="H35" s="8">
        <v>58.33</v>
      </c>
      <c r="I35" s="8" t="s">
        <v>125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40</v>
      </c>
      <c r="R40" s="1">
        <f>SUM(R6:R21)</f>
        <v>12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26" zoomScale="80" zoomScaleNormal="80" workbookViewId="0">
      <selection activeCell="U9" sqref="U9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66">
        <f>'28'!B1+1</f>
        <v>45471</v>
      </c>
    </row>
    <row r="2" spans="2:18" ht="18.75" x14ac:dyDescent="0.2">
      <c r="B2" s="103" t="s">
        <v>41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6" t="s">
        <v>1</v>
      </c>
      <c r="F4" s="106"/>
      <c r="G4" s="106"/>
      <c r="H4" s="106"/>
      <c r="I4" s="106"/>
      <c r="J4" s="22"/>
      <c r="K4" s="100" t="s">
        <v>3</v>
      </c>
      <c r="L4" s="101"/>
      <c r="M4" s="102"/>
    </row>
    <row r="5" spans="2:18" ht="15" x14ac:dyDescent="0.25">
      <c r="B5" s="23" t="s">
        <v>1</v>
      </c>
      <c r="C5" s="24">
        <f>SUMIF(I6:I31,"&gt;0",H6:H31)</f>
        <v>7008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2509</v>
      </c>
      <c r="D6" s="2"/>
      <c r="E6" s="18">
        <v>9434</v>
      </c>
      <c r="F6" s="25" t="s">
        <v>53</v>
      </c>
      <c r="G6" s="26" t="s">
        <v>50</v>
      </c>
      <c r="H6" s="8"/>
      <c r="I6" s="8"/>
      <c r="J6" s="2"/>
      <c r="K6" s="25"/>
      <c r="L6" s="9"/>
      <c r="M6" s="16"/>
      <c r="R6" s="1">
        <f>IF(vend29[[#This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9435</v>
      </c>
      <c r="F7" s="25" t="s">
        <v>326</v>
      </c>
      <c r="G7" s="26" t="s">
        <v>50</v>
      </c>
      <c r="H7" s="8"/>
      <c r="I7" s="8"/>
      <c r="J7" s="2"/>
      <c r="K7" s="25"/>
      <c r="L7" s="9"/>
      <c r="M7" s="16"/>
      <c r="R7" s="1">
        <f>IF(vend29[[#This Row],[Nº Venda]]&gt;1,1,0)</f>
        <v>1</v>
      </c>
    </row>
    <row r="8" spans="2:18" ht="15.75" x14ac:dyDescent="0.25">
      <c r="B8" s="28" t="s">
        <v>23</v>
      </c>
      <c r="C8" s="29">
        <f>SUM(C6:C7)</f>
        <v>2509</v>
      </c>
      <c r="D8" s="2"/>
      <c r="E8" s="18">
        <v>9436</v>
      </c>
      <c r="F8" s="25" t="s">
        <v>327</v>
      </c>
      <c r="G8" s="26" t="s">
        <v>8</v>
      </c>
      <c r="H8" s="8">
        <v>1399</v>
      </c>
      <c r="I8" s="8">
        <v>200</v>
      </c>
      <c r="J8" s="2"/>
      <c r="K8" s="25"/>
      <c r="L8" s="9"/>
      <c r="M8" s="16"/>
      <c r="R8" s="1">
        <f>IF(vend29[[#This Row],[Nº Venda]]&gt;1,1,0)</f>
        <v>1</v>
      </c>
    </row>
    <row r="9" spans="2:18" ht="15.75" x14ac:dyDescent="0.25">
      <c r="B9" s="2"/>
      <c r="C9" s="2"/>
      <c r="D9" s="2"/>
      <c r="E9" s="18">
        <v>9437</v>
      </c>
      <c r="F9" s="25" t="s">
        <v>328</v>
      </c>
      <c r="G9" s="26" t="s">
        <v>8</v>
      </c>
      <c r="H9" s="47">
        <v>300</v>
      </c>
      <c r="I9" s="8">
        <v>300</v>
      </c>
      <c r="J9" s="2"/>
      <c r="K9" s="25"/>
      <c r="L9" s="9"/>
      <c r="M9" s="16"/>
      <c r="R9" s="1">
        <f>IF(vend29[[#This Row],[Nº Venda]]&gt;1,1,0)</f>
        <v>1</v>
      </c>
    </row>
    <row r="10" spans="2:18" ht="15.75" x14ac:dyDescent="0.25">
      <c r="B10" s="98" t="s">
        <v>5</v>
      </c>
      <c r="C10" s="98"/>
      <c r="D10" s="2"/>
      <c r="E10" s="18">
        <v>9438</v>
      </c>
      <c r="F10" s="25" t="s">
        <v>329</v>
      </c>
      <c r="G10" s="26" t="s">
        <v>6</v>
      </c>
      <c r="H10" s="8">
        <v>680</v>
      </c>
      <c r="I10" s="8">
        <v>600</v>
      </c>
      <c r="J10" s="2"/>
      <c r="K10" s="25"/>
      <c r="L10" s="9"/>
      <c r="M10" s="16"/>
      <c r="R10" s="1">
        <f>IF(vend29[[#This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600</v>
      </c>
      <c r="D11" s="2"/>
      <c r="E11" s="18">
        <v>9438</v>
      </c>
      <c r="F11" s="25" t="s">
        <v>329</v>
      </c>
      <c r="G11" s="26" t="s">
        <v>8</v>
      </c>
      <c r="H11" s="8"/>
      <c r="I11" s="8">
        <v>80</v>
      </c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>
        <v>9439</v>
      </c>
      <c r="F12" s="25" t="s">
        <v>330</v>
      </c>
      <c r="G12" s="26" t="s">
        <v>10</v>
      </c>
      <c r="H12" s="8">
        <v>280</v>
      </c>
      <c r="I12" s="8">
        <v>280</v>
      </c>
      <c r="J12" s="2"/>
      <c r="R12" s="1">
        <f>IF(vend29[[#This Row],[Nº Venda]]&gt;1,1,0)</f>
        <v>1</v>
      </c>
    </row>
    <row r="13" spans="2:18" ht="15.75" x14ac:dyDescent="0.25">
      <c r="B13" s="30" t="s">
        <v>8</v>
      </c>
      <c r="C13" s="31">
        <f t="shared" si="0"/>
        <v>580</v>
      </c>
      <c r="D13" s="2"/>
      <c r="E13" s="18">
        <v>9440</v>
      </c>
      <c r="F13" s="25" t="s">
        <v>330</v>
      </c>
      <c r="G13" s="26" t="s">
        <v>10</v>
      </c>
      <c r="H13" s="8">
        <v>200</v>
      </c>
      <c r="I13" s="8">
        <v>200</v>
      </c>
      <c r="J13" s="2"/>
      <c r="K13" s="100" t="s">
        <v>25</v>
      </c>
      <c r="L13" s="101"/>
      <c r="M13" s="102"/>
      <c r="R13" s="1">
        <f>IF(vend29[[#This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>
        <v>9441</v>
      </c>
      <c r="F14" s="25" t="s">
        <v>331</v>
      </c>
      <c r="G14" s="26" t="s">
        <v>10</v>
      </c>
      <c r="H14" s="8">
        <v>1600</v>
      </c>
      <c r="I14" s="8">
        <v>200</v>
      </c>
      <c r="J14" s="2"/>
      <c r="K14" s="14" t="s">
        <v>26</v>
      </c>
      <c r="L14" s="6" t="s">
        <v>27</v>
      </c>
      <c r="M14" s="15" t="s">
        <v>28</v>
      </c>
      <c r="R14" s="1">
        <f>IF(vend29[[#This Row],[Nº Venda]]&gt;1,1,0)</f>
        <v>1</v>
      </c>
    </row>
    <row r="15" spans="2:18" ht="15.75" x14ac:dyDescent="0.25">
      <c r="B15" s="30" t="s">
        <v>10</v>
      </c>
      <c r="C15" s="31">
        <f t="shared" si="0"/>
        <v>1466.1399999999999</v>
      </c>
      <c r="D15" s="2"/>
      <c r="E15" s="18">
        <v>9442</v>
      </c>
      <c r="F15" s="25" t="s">
        <v>331</v>
      </c>
      <c r="G15" s="26" t="s">
        <v>10</v>
      </c>
      <c r="H15" s="8">
        <v>700</v>
      </c>
      <c r="I15" s="8">
        <v>100</v>
      </c>
      <c r="J15" s="2"/>
      <c r="K15" s="65">
        <v>9422</v>
      </c>
      <c r="L15" s="9" t="s">
        <v>31</v>
      </c>
      <c r="M15" s="16" t="s">
        <v>30</v>
      </c>
      <c r="R15" s="1">
        <f>IF(vend29[[#This Row],[Nº Venda]]&gt;1,1,0)</f>
        <v>1</v>
      </c>
    </row>
    <row r="16" spans="2:18" ht="15.75" x14ac:dyDescent="0.25">
      <c r="B16" s="28" t="s">
        <v>11</v>
      </c>
      <c r="C16" s="32">
        <f>SUM(C11:C15)</f>
        <v>2646.14</v>
      </c>
      <c r="D16" s="2"/>
      <c r="E16" s="18">
        <v>9443</v>
      </c>
      <c r="F16" s="25" t="s">
        <v>331</v>
      </c>
      <c r="G16" s="26" t="s">
        <v>10</v>
      </c>
      <c r="H16" s="8">
        <v>1450</v>
      </c>
      <c r="I16" s="8">
        <v>150</v>
      </c>
      <c r="J16" s="2"/>
      <c r="K16" s="65">
        <v>9421</v>
      </c>
      <c r="L16" s="9" t="s">
        <v>31</v>
      </c>
      <c r="M16" s="16" t="s">
        <v>30</v>
      </c>
      <c r="R16" s="1">
        <f>IF(vend29[[#This Row],[Nº Venda]]&gt;1,1,0)</f>
        <v>1</v>
      </c>
    </row>
    <row r="17" spans="2:18" ht="15.75" x14ac:dyDescent="0.25">
      <c r="B17" s="2"/>
      <c r="C17" s="2"/>
      <c r="D17" s="2"/>
      <c r="E17" s="18">
        <v>9444</v>
      </c>
      <c r="F17" s="25" t="s">
        <v>332</v>
      </c>
      <c r="G17" s="26" t="s">
        <v>10</v>
      </c>
      <c r="H17" s="8">
        <v>399</v>
      </c>
      <c r="I17" s="8">
        <v>399</v>
      </c>
      <c r="J17" s="2"/>
      <c r="K17" s="65"/>
      <c r="L17" s="9"/>
      <c r="M17" s="16"/>
      <c r="R17" s="1">
        <f>IF(vend29[[#This Row],[Nº Venda]]&gt;1,1,0)</f>
        <v>1</v>
      </c>
    </row>
    <row r="18" spans="2:18" ht="15.75" x14ac:dyDescent="0.25">
      <c r="B18" s="98" t="s">
        <v>12</v>
      </c>
      <c r="C18" s="9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33</v>
      </c>
      <c r="C22" s="32">
        <f>C5</f>
        <v>7008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9" t="s">
        <v>34</v>
      </c>
      <c r="F24" s="99"/>
      <c r="G24" s="99"/>
      <c r="H24" s="99"/>
      <c r="I24" s="9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9" t="s">
        <v>35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26</v>
      </c>
      <c r="F34" s="10" t="s">
        <v>15</v>
      </c>
      <c r="G34" s="11" t="s">
        <v>16</v>
      </c>
      <c r="H34" s="12" t="s">
        <v>36</v>
      </c>
      <c r="I34" s="13" t="s">
        <v>37</v>
      </c>
      <c r="K34" s="14" t="s">
        <v>26</v>
      </c>
      <c r="L34" s="6" t="s">
        <v>38</v>
      </c>
      <c r="M34" s="15" t="s">
        <v>39</v>
      </c>
    </row>
    <row r="35" spans="2:18" ht="15.75" x14ac:dyDescent="0.25">
      <c r="E35" s="18">
        <v>8456</v>
      </c>
      <c r="F35" s="25" t="s">
        <v>331</v>
      </c>
      <c r="G35" s="26" t="s">
        <v>10</v>
      </c>
      <c r="H35" s="8">
        <v>68.569999999999993</v>
      </c>
      <c r="I35" s="8" t="s">
        <v>129</v>
      </c>
      <c r="K35" s="25"/>
      <c r="L35" s="41"/>
      <c r="M35" s="16"/>
    </row>
    <row r="36" spans="2:18" ht="15.75" x14ac:dyDescent="0.25">
      <c r="E36" s="18">
        <v>8456</v>
      </c>
      <c r="F36" s="25" t="s">
        <v>331</v>
      </c>
      <c r="G36" s="26" t="s">
        <v>10</v>
      </c>
      <c r="H36" s="8">
        <v>68.569999999999993</v>
      </c>
      <c r="I36" s="8" t="s">
        <v>130</v>
      </c>
      <c r="K36" s="25"/>
      <c r="L36" s="41"/>
      <c r="M36" s="16"/>
    </row>
    <row r="37" spans="2:18" ht="15.75" x14ac:dyDescent="0.25">
      <c r="E37" s="18">
        <v>8456</v>
      </c>
      <c r="F37" s="25" t="s">
        <v>331</v>
      </c>
      <c r="G37" s="26" t="s">
        <v>10</v>
      </c>
      <c r="H37" s="8" t="s">
        <v>333</v>
      </c>
      <c r="I37" s="8" t="s">
        <v>131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40</v>
      </c>
      <c r="R40" s="1">
        <f>SUM(R6:R21)</f>
        <v>12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topLeftCell="A19" zoomScale="80" zoomScaleNormal="80" workbookViewId="0">
      <selection activeCell="E35" sqref="E35:I4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'29'!B1+1</f>
        <v>45472</v>
      </c>
    </row>
    <row r="2" spans="2:18" ht="18.75" x14ac:dyDescent="0.2">
      <c r="B2" s="103" t="s">
        <v>41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6" t="s">
        <v>1</v>
      </c>
      <c r="F4" s="106"/>
      <c r="G4" s="106"/>
      <c r="H4" s="106"/>
      <c r="I4" s="106"/>
      <c r="J4" s="22"/>
      <c r="K4" s="100" t="s">
        <v>3</v>
      </c>
      <c r="L4" s="101"/>
      <c r="M4" s="10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98" t="s">
        <v>5</v>
      </c>
      <c r="C10" s="9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0" t="s">
        <v>25</v>
      </c>
      <c r="L13" s="101"/>
      <c r="M13" s="102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IF(vend30[[#This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22" ht="15.75" x14ac:dyDescent="0.25">
      <c r="B18" s="98" t="s">
        <v>12</v>
      </c>
      <c r="C18" s="9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22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  <c r="V21" s="1" t="s">
        <v>103</v>
      </c>
    </row>
    <row r="22" spans="2:22" ht="15.75" x14ac:dyDescent="0.25">
      <c r="B22" s="28" t="s">
        <v>33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99" t="s">
        <v>34</v>
      </c>
      <c r="F24" s="99"/>
      <c r="G24" s="99"/>
      <c r="H24" s="99"/>
      <c r="I24" s="99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22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99" t="s">
        <v>35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26</v>
      </c>
      <c r="F34" s="10" t="s">
        <v>15</v>
      </c>
      <c r="G34" s="11" t="s">
        <v>16</v>
      </c>
      <c r="H34" s="12" t="s">
        <v>36</v>
      </c>
      <c r="I34" s="13" t="s">
        <v>37</v>
      </c>
      <c r="K34" s="14" t="s">
        <v>26</v>
      </c>
      <c r="L34" s="6" t="s">
        <v>38</v>
      </c>
      <c r="M34" s="15" t="s">
        <v>39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40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zoomScale="80" zoomScaleNormal="80" workbookViewId="0">
      <selection sqref="A1:M104857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'30'!B1+1</f>
        <v>45473</v>
      </c>
    </row>
    <row r="2" spans="2:18" ht="18.75" x14ac:dyDescent="0.2">
      <c r="B2" s="103" t="s">
        <v>41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6" t="s">
        <v>1</v>
      </c>
      <c r="F4" s="106"/>
      <c r="G4" s="106"/>
      <c r="H4" s="106"/>
      <c r="I4" s="106"/>
      <c r="J4" s="22"/>
      <c r="K4" s="100" t="s">
        <v>3</v>
      </c>
      <c r="L4" s="101"/>
      <c r="M4" s="10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98" t="s">
        <v>5</v>
      </c>
      <c r="C10" s="9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0" t="s">
        <v>25</v>
      </c>
      <c r="L13" s="101"/>
      <c r="M13" s="102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IF(vend31[[#This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98" t="s">
        <v>12</v>
      </c>
      <c r="C18" s="9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33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9" t="s">
        <v>34</v>
      </c>
      <c r="F24" s="99"/>
      <c r="G24" s="99"/>
      <c r="H24" s="99"/>
      <c r="I24" s="9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9" t="s">
        <v>35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26</v>
      </c>
      <c r="F34" s="10" t="s">
        <v>15</v>
      </c>
      <c r="G34" s="11" t="s">
        <v>16</v>
      </c>
      <c r="H34" s="12" t="s">
        <v>36</v>
      </c>
      <c r="I34" s="13" t="s">
        <v>37</v>
      </c>
      <c r="K34" s="14" t="s">
        <v>26</v>
      </c>
      <c r="L34" s="6" t="s">
        <v>38</v>
      </c>
      <c r="M34" s="15" t="s">
        <v>39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40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104</v>
      </c>
      <c r="B1" s="38" t="s">
        <v>105</v>
      </c>
      <c r="E1" s="38" t="s">
        <v>106</v>
      </c>
    </row>
    <row r="2" spans="1:5" x14ac:dyDescent="0.2">
      <c r="A2" s="38" t="s">
        <v>6</v>
      </c>
      <c r="B2" s="38" t="s">
        <v>107</v>
      </c>
      <c r="E2" t="s">
        <v>54</v>
      </c>
    </row>
    <row r="3" spans="1:5" x14ac:dyDescent="0.2">
      <c r="A3" s="38" t="s">
        <v>7</v>
      </c>
      <c r="B3" s="38" t="s">
        <v>108</v>
      </c>
      <c r="E3" t="s">
        <v>109</v>
      </c>
    </row>
    <row r="4" spans="1:5" x14ac:dyDescent="0.2">
      <c r="A4" s="38" t="s">
        <v>8</v>
      </c>
      <c r="B4" s="38" t="s">
        <v>110</v>
      </c>
      <c r="E4" t="s">
        <v>88</v>
      </c>
    </row>
    <row r="5" spans="1:5" x14ac:dyDescent="0.2">
      <c r="A5" s="38" t="s">
        <v>9</v>
      </c>
      <c r="B5" s="38" t="s">
        <v>111</v>
      </c>
      <c r="E5" t="s">
        <v>101</v>
      </c>
    </row>
    <row r="6" spans="1:5" x14ac:dyDescent="0.2">
      <c r="A6" s="38" t="s">
        <v>10</v>
      </c>
      <c r="B6" s="38" t="s">
        <v>10</v>
      </c>
      <c r="E6" t="s">
        <v>112</v>
      </c>
    </row>
    <row r="7" spans="1:5" x14ac:dyDescent="0.2">
      <c r="A7" s="38" t="s">
        <v>50</v>
      </c>
      <c r="B7" s="38" t="s">
        <v>113</v>
      </c>
      <c r="E7" t="s">
        <v>114</v>
      </c>
    </row>
    <row r="8" spans="1:5" x14ac:dyDescent="0.2">
      <c r="A8" t="s">
        <v>28</v>
      </c>
      <c r="B8" t="s">
        <v>115</v>
      </c>
      <c r="E8" t="s">
        <v>116</v>
      </c>
    </row>
    <row r="9" spans="1:5" x14ac:dyDescent="0.2">
      <c r="A9" s="38" t="s">
        <v>58</v>
      </c>
      <c r="B9" s="38" t="s">
        <v>117</v>
      </c>
      <c r="E9" t="s">
        <v>78</v>
      </c>
    </row>
    <row r="10" spans="1:5" x14ac:dyDescent="0.2">
      <c r="E10" t="s">
        <v>118</v>
      </c>
    </row>
    <row r="11" spans="1:5" x14ac:dyDescent="0.2">
      <c r="E11" t="s">
        <v>119</v>
      </c>
    </row>
    <row r="12" spans="1:5" x14ac:dyDescent="0.2">
      <c r="E12" t="s">
        <v>120</v>
      </c>
    </row>
    <row r="13" spans="1:5" x14ac:dyDescent="0.2">
      <c r="E13" t="s">
        <v>121</v>
      </c>
    </row>
    <row r="14" spans="1:5" x14ac:dyDescent="0.2">
      <c r="E14" t="s">
        <v>122</v>
      </c>
    </row>
    <row r="15" spans="1:5" x14ac:dyDescent="0.2">
      <c r="E15" t="s">
        <v>123</v>
      </c>
    </row>
    <row r="16" spans="1:5" x14ac:dyDescent="0.2">
      <c r="E16" t="s">
        <v>76</v>
      </c>
    </row>
    <row r="17" spans="5:5" x14ac:dyDescent="0.2">
      <c r="E17" t="s">
        <v>124</v>
      </c>
    </row>
    <row r="18" spans="5:5" x14ac:dyDescent="0.2">
      <c r="E18" t="s">
        <v>125</v>
      </c>
    </row>
    <row r="19" spans="5:5" x14ac:dyDescent="0.2">
      <c r="E19" t="s">
        <v>126</v>
      </c>
    </row>
    <row r="20" spans="5:5" x14ac:dyDescent="0.2">
      <c r="E20" t="s">
        <v>127</v>
      </c>
    </row>
    <row r="21" spans="5:5" x14ac:dyDescent="0.2">
      <c r="E21" t="s">
        <v>63</v>
      </c>
    </row>
    <row r="22" spans="5:5" x14ac:dyDescent="0.2">
      <c r="E22" t="s">
        <v>65</v>
      </c>
    </row>
    <row r="23" spans="5:5" x14ac:dyDescent="0.2">
      <c r="E23" t="s">
        <v>56</v>
      </c>
    </row>
    <row r="24" spans="5:5" x14ac:dyDescent="0.2">
      <c r="E24" t="s">
        <v>71</v>
      </c>
    </row>
    <row r="25" spans="5:5" x14ac:dyDescent="0.2">
      <c r="E25" t="s">
        <v>128</v>
      </c>
    </row>
    <row r="26" spans="5:5" x14ac:dyDescent="0.2">
      <c r="E26" t="s">
        <v>72</v>
      </c>
    </row>
    <row r="27" spans="5:5" x14ac:dyDescent="0.2">
      <c r="E27" t="s">
        <v>129</v>
      </c>
    </row>
    <row r="28" spans="5:5" x14ac:dyDescent="0.2">
      <c r="E28" t="s">
        <v>130</v>
      </c>
    </row>
    <row r="29" spans="5:5" x14ac:dyDescent="0.2">
      <c r="E29" t="s">
        <v>131</v>
      </c>
    </row>
    <row r="30" spans="5:5" x14ac:dyDescent="0.2">
      <c r="E30" t="s">
        <v>67</v>
      </c>
    </row>
    <row r="31" spans="5:5" x14ac:dyDescent="0.2">
      <c r="E31" t="s">
        <v>132</v>
      </c>
    </row>
    <row r="32" spans="5:5" x14ac:dyDescent="0.2">
      <c r="E32" t="s">
        <v>81</v>
      </c>
    </row>
    <row r="33" spans="5:5" x14ac:dyDescent="0.2">
      <c r="E33" t="s">
        <v>133</v>
      </c>
    </row>
    <row r="34" spans="5:5" x14ac:dyDescent="0.2">
      <c r="E34" t="s">
        <v>70</v>
      </c>
    </row>
    <row r="35" spans="5:5" x14ac:dyDescent="0.2">
      <c r="E35" t="s">
        <v>134</v>
      </c>
    </row>
    <row r="36" spans="5:5" x14ac:dyDescent="0.2">
      <c r="E36" t="s">
        <v>86</v>
      </c>
    </row>
    <row r="37" spans="5:5" x14ac:dyDescent="0.2">
      <c r="E37" t="s">
        <v>135</v>
      </c>
    </row>
    <row r="38" spans="5:5" x14ac:dyDescent="0.2">
      <c r="E38" t="s">
        <v>136</v>
      </c>
    </row>
    <row r="39" spans="5:5" x14ac:dyDescent="0.2">
      <c r="E39" t="s">
        <v>137</v>
      </c>
    </row>
    <row r="40" spans="5:5" x14ac:dyDescent="0.2">
      <c r="E40" t="s">
        <v>138</v>
      </c>
    </row>
    <row r="41" spans="5:5" x14ac:dyDescent="0.2">
      <c r="E41" t="s">
        <v>139</v>
      </c>
    </row>
    <row r="42" spans="5:5" x14ac:dyDescent="0.2">
      <c r="E42" t="s">
        <v>140</v>
      </c>
    </row>
    <row r="43" spans="5:5" x14ac:dyDescent="0.2">
      <c r="E43" t="s">
        <v>141</v>
      </c>
    </row>
    <row r="44" spans="5:5" x14ac:dyDescent="0.2">
      <c r="E44" t="s">
        <v>142</v>
      </c>
    </row>
    <row r="45" spans="5:5" x14ac:dyDescent="0.2">
      <c r="E45" t="s">
        <v>143</v>
      </c>
    </row>
    <row r="46" spans="5:5" x14ac:dyDescent="0.2">
      <c r="E46" t="s">
        <v>144</v>
      </c>
    </row>
    <row r="47" spans="5:5" x14ac:dyDescent="0.2">
      <c r="E47" t="s">
        <v>145</v>
      </c>
    </row>
    <row r="48" spans="5:5" x14ac:dyDescent="0.2">
      <c r="E48" t="s">
        <v>146</v>
      </c>
    </row>
    <row r="49" spans="5:5" x14ac:dyDescent="0.2">
      <c r="E49" t="s">
        <v>147</v>
      </c>
    </row>
    <row r="50" spans="5:5" x14ac:dyDescent="0.2">
      <c r="E50" t="s">
        <v>148</v>
      </c>
    </row>
    <row r="51" spans="5:5" x14ac:dyDescent="0.2">
      <c r="E51" t="s">
        <v>149</v>
      </c>
    </row>
    <row r="52" spans="5:5" x14ac:dyDescent="0.2">
      <c r="E52" t="s">
        <v>150</v>
      </c>
    </row>
    <row r="53" spans="5:5" x14ac:dyDescent="0.2">
      <c r="E53" t="s">
        <v>151</v>
      </c>
    </row>
    <row r="54" spans="5:5" x14ac:dyDescent="0.2">
      <c r="E54" t="s">
        <v>152</v>
      </c>
    </row>
    <row r="55" spans="5:5" x14ac:dyDescent="0.2">
      <c r="E55" t="s">
        <v>153</v>
      </c>
    </row>
    <row r="56" spans="5:5" x14ac:dyDescent="0.2">
      <c r="E56" t="s">
        <v>154</v>
      </c>
    </row>
    <row r="57" spans="5:5" x14ac:dyDescent="0.2">
      <c r="E57" t="s">
        <v>155</v>
      </c>
    </row>
    <row r="58" spans="5:5" x14ac:dyDescent="0.2">
      <c r="E58" t="s">
        <v>156</v>
      </c>
    </row>
    <row r="59" spans="5:5" x14ac:dyDescent="0.2">
      <c r="E59" t="s">
        <v>157</v>
      </c>
    </row>
    <row r="60" spans="5:5" x14ac:dyDescent="0.2">
      <c r="E60" t="s">
        <v>158</v>
      </c>
    </row>
    <row r="61" spans="5:5" x14ac:dyDescent="0.2">
      <c r="E61" t="s">
        <v>159</v>
      </c>
    </row>
    <row r="62" spans="5:5" x14ac:dyDescent="0.2">
      <c r="E62" t="s">
        <v>160</v>
      </c>
    </row>
    <row r="63" spans="5:5" x14ac:dyDescent="0.2">
      <c r="E63" t="s">
        <v>161</v>
      </c>
    </row>
    <row r="64" spans="5:5" x14ac:dyDescent="0.2">
      <c r="E64" t="s">
        <v>162</v>
      </c>
    </row>
    <row r="65" spans="5:5" x14ac:dyDescent="0.2">
      <c r="E65" t="s">
        <v>163</v>
      </c>
    </row>
    <row r="66" spans="5:5" x14ac:dyDescent="0.2">
      <c r="E66" t="s">
        <v>164</v>
      </c>
    </row>
    <row r="67" spans="5:5" x14ac:dyDescent="0.2">
      <c r="E67" t="s">
        <v>165</v>
      </c>
    </row>
    <row r="68" spans="5:5" x14ac:dyDescent="0.2">
      <c r="E68" t="s">
        <v>166</v>
      </c>
    </row>
    <row r="69" spans="5:5" x14ac:dyDescent="0.2">
      <c r="E69" t="s">
        <v>167</v>
      </c>
    </row>
    <row r="70" spans="5:5" x14ac:dyDescent="0.2">
      <c r="E70" t="s">
        <v>168</v>
      </c>
    </row>
    <row r="71" spans="5:5" x14ac:dyDescent="0.2">
      <c r="E71" t="s">
        <v>169</v>
      </c>
    </row>
    <row r="72" spans="5:5" x14ac:dyDescent="0.2">
      <c r="E72" t="s">
        <v>170</v>
      </c>
    </row>
    <row r="73" spans="5:5" x14ac:dyDescent="0.2">
      <c r="E73" t="s">
        <v>171</v>
      </c>
    </row>
    <row r="74" spans="5:5" x14ac:dyDescent="0.2">
      <c r="E74" t="s">
        <v>172</v>
      </c>
    </row>
    <row r="75" spans="5:5" x14ac:dyDescent="0.2">
      <c r="E75" t="s">
        <v>173</v>
      </c>
    </row>
    <row r="76" spans="5:5" x14ac:dyDescent="0.2">
      <c r="E76" t="s">
        <v>174</v>
      </c>
    </row>
    <row r="77" spans="5:5" x14ac:dyDescent="0.2">
      <c r="E77" t="s">
        <v>175</v>
      </c>
    </row>
    <row r="78" spans="5:5" x14ac:dyDescent="0.2">
      <c r="E78" t="s">
        <v>176</v>
      </c>
    </row>
    <row r="79" spans="5:5" x14ac:dyDescent="0.2">
      <c r="E79" t="s">
        <v>177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5</vt:i4>
      </vt:variant>
    </vt:vector>
  </HeadingPairs>
  <TitlesOfParts>
    <vt:vector size="38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suzano lojas</cp:lastModifiedBy>
  <cp:revision/>
  <cp:lastPrinted>2024-06-28T13:32:38Z</cp:lastPrinted>
  <dcterms:created xsi:type="dcterms:W3CDTF">2004-04-07T20:43:43Z</dcterms:created>
  <dcterms:modified xsi:type="dcterms:W3CDTF">2024-09-20T19:31:27Z</dcterms:modified>
  <cp:category/>
  <cp:contentStatus/>
</cp:coreProperties>
</file>