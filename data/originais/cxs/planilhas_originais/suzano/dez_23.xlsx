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3/"/>
    </mc:Choice>
  </mc:AlternateContent>
  <xr:revisionPtr revIDLastSave="1" documentId="13_ncr:1_{C38DAB44-6D7E-4031-82F4-D4166141B426}" xr6:coauthVersionLast="47" xr6:coauthVersionMax="47" xr10:uidLastSave="{C598EFA2-5677-4066-8B9A-510E88A3CE18}"/>
  <bookViews>
    <workbookView xWindow="780" yWindow="1230" windowWidth="15300" windowHeight="7995" tabRatio="895" firstSheet="3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5" i="198"/>
  <c r="C22" i="198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8" i="192" s="1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5" l="1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<sst xmlns="http://schemas.openxmlformats.org/spreadsheetml/2006/main" count="2018" uniqueCount="265">
  <si>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</si>
  <si>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</si>
  <si>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</si>
  <si>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</si>
  <si>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</si>
  <si>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</si>
  <si>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</si>
  <si>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</si>
  <si>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</si>
  <si>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</si>
  <si>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</si>
  <si>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</si>
  <si>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</si>
  <si>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</si>
  <si>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</si>
  <si>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</si>
  <si>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</si>
  <si>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</si>
  <si>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</si>
  <si>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</si>
  <si>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</si>
  <si>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</si>
  <si>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</si>
  <si>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</si>
  <si>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</si>
  <si>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</si>
  <si>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</si>
  <si>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</si>
  <si>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</si>
  <si>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</si>
  <si>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</si>
  <si>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</si>
  <si>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</si>
  <si>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</si>
  <si>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8353</t>
  </si>
  <si>
    <t xml:space="preserve">ELENILTON JOSE </t>
  </si>
  <si>
    <t>8354</t>
  </si>
  <si>
    <t xml:space="preserve">YVONETE DE ALMEIDA </t>
  </si>
  <si>
    <t>IVETE ALVES</t>
  </si>
  <si>
    <t xml:space="preserve">DIOMAR RIBEIRO </t>
  </si>
  <si>
    <t xml:space="preserve">SOLANGE </t>
  </si>
  <si>
    <t xml:space="preserve">VIVIANI CAMPOS </t>
  </si>
  <si>
    <t>PARC. 2/7</t>
  </si>
  <si>
    <t xml:space="preserve">TAIZE LOURENÇO </t>
  </si>
  <si>
    <t>PARC. 2/2</t>
  </si>
  <si>
    <t>ANDRESSA SOUZA</t>
  </si>
  <si>
    <t>PARC. 2/8</t>
  </si>
  <si>
    <t xml:space="preserve">ADRIANA APARECIDA </t>
  </si>
  <si>
    <t xml:space="preserve">REGINALDO DE LIMA </t>
  </si>
  <si>
    <t xml:space="preserve">JANE PEREIRA </t>
  </si>
  <si>
    <t>SS</t>
  </si>
  <si>
    <t xml:space="preserve">BRUNO PEREIRA </t>
  </si>
  <si>
    <t xml:space="preserve">MARIA DE LOURDES </t>
  </si>
  <si>
    <t>ZAINE</t>
  </si>
  <si>
    <t>Não</t>
  </si>
  <si>
    <t xml:space="preserve">ZAINE </t>
  </si>
  <si>
    <t>JOCI</t>
  </si>
  <si>
    <t xml:space="preserve">TATY </t>
  </si>
  <si>
    <t xml:space="preserve">WALTER BUARQUE </t>
  </si>
  <si>
    <t>JACIANE MARIA</t>
  </si>
  <si>
    <t xml:space="preserve">REBECA ANGELICA </t>
  </si>
  <si>
    <t xml:space="preserve">SIRLEI BUENO </t>
  </si>
  <si>
    <t>PARC. 2/4</t>
  </si>
  <si>
    <t xml:space="preserve">VELDERESE EVARISTO </t>
  </si>
  <si>
    <t>PARC. 1/8</t>
  </si>
  <si>
    <t>ELIANA SAVOIA</t>
  </si>
  <si>
    <t>PARC. 4/5</t>
  </si>
  <si>
    <t xml:space="preserve">SAMUEL PEREIRA </t>
  </si>
  <si>
    <t>PARC. 3/3</t>
  </si>
  <si>
    <t xml:space="preserve">ANA CLEIA </t>
  </si>
  <si>
    <t>PARC. 2/6</t>
  </si>
  <si>
    <t xml:space="preserve">JESUS RICARDO </t>
  </si>
  <si>
    <t>FRANCISCA VIEIRA</t>
  </si>
  <si>
    <t xml:space="preserve">SOLANGE DE FATIMA </t>
  </si>
  <si>
    <t xml:space="preserve">PEDRO DIDIANO </t>
  </si>
  <si>
    <t xml:space="preserve">WESLEY DA SILVA </t>
  </si>
  <si>
    <t xml:space="preserve">WILSON RODRIGUES </t>
  </si>
  <si>
    <t xml:space="preserve">JUAN NILSON </t>
  </si>
  <si>
    <t xml:space="preserve">VERALDA MOREIRA </t>
  </si>
  <si>
    <t xml:space="preserve">JOCI </t>
  </si>
  <si>
    <t xml:space="preserve">MARIA VITORIA SANTOS </t>
  </si>
  <si>
    <t xml:space="preserve">FERNANDO CARDOSO </t>
  </si>
  <si>
    <t xml:space="preserve">JOSE APARECIDO </t>
  </si>
  <si>
    <t xml:space="preserve">MARIA DA CONCEIÇÃO </t>
  </si>
  <si>
    <t xml:space="preserve">NEUZA MARIA </t>
  </si>
  <si>
    <t>PARC. 5/5</t>
  </si>
  <si>
    <t xml:space="preserve">RONIELIA DA SILVA </t>
  </si>
  <si>
    <t>PARC. 2/3</t>
  </si>
  <si>
    <t>GABRIELA BETETTO</t>
  </si>
  <si>
    <t>IRAN MARQUES</t>
  </si>
  <si>
    <t xml:space="preserve">MARCIA DE OLIVEIRA </t>
  </si>
  <si>
    <t xml:space="preserve">SILVANA MARIA </t>
  </si>
  <si>
    <t>MELICIA RODRIGUES</t>
  </si>
  <si>
    <t xml:space="preserve">JACKELINE MELO </t>
  </si>
  <si>
    <t>PARC. 6/8</t>
  </si>
  <si>
    <t xml:space="preserve">LAERCIO HILARIO </t>
  </si>
  <si>
    <t>PARC. 4/8</t>
  </si>
  <si>
    <t xml:space="preserve">ANTONIO BARBOSA </t>
  </si>
  <si>
    <t>PARC. 1/1</t>
  </si>
  <si>
    <t xml:space="preserve">MELEQUESEDEQUE </t>
  </si>
  <si>
    <t>PARC. 1/3</t>
  </si>
  <si>
    <t xml:space="preserve">BERENICE RODRIGUES </t>
  </si>
  <si>
    <t xml:space="preserve">CAMILA ANDRADE </t>
  </si>
  <si>
    <t xml:space="preserve">DAYANE BATISTA </t>
  </si>
  <si>
    <t xml:space="preserve">ALAMURA NOGUEIRA </t>
  </si>
  <si>
    <t xml:space="preserve">ERALDO DE SOUZA </t>
  </si>
  <si>
    <t xml:space="preserve">CELSO APARECIDO </t>
  </si>
  <si>
    <t>PARC. 5/6</t>
  </si>
  <si>
    <t>PARC. 6/6</t>
  </si>
  <si>
    <t xml:space="preserve">VANDERLEIA VIANA </t>
  </si>
  <si>
    <t>PARC. 1/6</t>
  </si>
  <si>
    <t xml:space="preserve">IVAN AMARO </t>
  </si>
  <si>
    <t>PARC. 1/4</t>
  </si>
  <si>
    <t xml:space="preserve">DARCI ALICE </t>
  </si>
  <si>
    <t xml:space="preserve">PORFIRIO NOGUEIRA </t>
  </si>
  <si>
    <t>SUELI DO CARMO</t>
  </si>
  <si>
    <t>Sim</t>
  </si>
  <si>
    <t xml:space="preserve">SANDRA APARECIDA </t>
  </si>
  <si>
    <t>PARC. 3/8</t>
  </si>
  <si>
    <t xml:space="preserve">JULIANA SANTOS </t>
  </si>
  <si>
    <t>PARC. 4/4</t>
  </si>
  <si>
    <t xml:space="preserve">JOSIMAR FERNANDO </t>
  </si>
  <si>
    <t xml:space="preserve">BRUNO DA SILVA </t>
  </si>
  <si>
    <t xml:space="preserve">MATEUS RIBEIRO </t>
  </si>
  <si>
    <t xml:space="preserve">TATI </t>
  </si>
  <si>
    <t xml:space="preserve">WILLIAM </t>
  </si>
  <si>
    <t xml:space="preserve">GABRIEL MARQUES </t>
  </si>
  <si>
    <t xml:space="preserve">ELIANA SAITO </t>
  </si>
  <si>
    <t xml:space="preserve">BARBARA VALEARI </t>
  </si>
  <si>
    <t xml:space="preserve">THAIS EDUARDA </t>
  </si>
  <si>
    <t>PARC. 1/7</t>
  </si>
  <si>
    <t xml:space="preserve">NICOLAS HENRIQUE </t>
  </si>
  <si>
    <t xml:space="preserve">MARIA IRENE </t>
  </si>
  <si>
    <t>IRENE GIMENEZ</t>
  </si>
  <si>
    <t xml:space="preserve">DANIEL AMORIM </t>
  </si>
  <si>
    <t xml:space="preserve">ANA LUCIA </t>
  </si>
  <si>
    <t xml:space="preserve"> </t>
  </si>
  <si>
    <t>TATI</t>
  </si>
  <si>
    <t xml:space="preserve">SAMUEL </t>
  </si>
  <si>
    <t>WILLIAM</t>
  </si>
  <si>
    <t>MARIA NAZARE</t>
  </si>
  <si>
    <t xml:space="preserve">MARIA VICTORIA </t>
  </si>
  <si>
    <t>ELISABETE Y.</t>
  </si>
  <si>
    <t xml:space="preserve">SIDNEI APARECIDO </t>
  </si>
  <si>
    <t xml:space="preserve">MARCELO APARECIDO </t>
  </si>
  <si>
    <t xml:space="preserve">ISMAEL DE OLIVEIRA </t>
  </si>
  <si>
    <t xml:space="preserve">PRISCILA DE OLIVEIRA </t>
  </si>
  <si>
    <t xml:space="preserve">EDSON PIRES </t>
  </si>
  <si>
    <t xml:space="preserve">ROSINEIDE </t>
  </si>
  <si>
    <t xml:space="preserve">DANIELA CRISTINA </t>
  </si>
  <si>
    <t xml:space="preserve">ANTONINA NASCIMENTO </t>
  </si>
  <si>
    <t xml:space="preserve">MARISA (MOLA, CANCELADA) </t>
  </si>
  <si>
    <t xml:space="preserve">GERUSA PEREIRA </t>
  </si>
  <si>
    <t xml:space="preserve">MARINALVA BEZERRA </t>
  </si>
  <si>
    <t xml:space="preserve">SANDRA SOUZA </t>
  </si>
  <si>
    <t xml:space="preserve">RICARDO HENRIQUE </t>
  </si>
  <si>
    <t>PARC. 3/6</t>
  </si>
  <si>
    <t xml:space="preserve">BARBARA APARECIDA </t>
  </si>
  <si>
    <t>PARC. 8/10</t>
  </si>
  <si>
    <t xml:space="preserve">VANIA APARECIDA </t>
  </si>
  <si>
    <t xml:space="preserve">ROSEMEIRE DE SOUZA </t>
  </si>
  <si>
    <t xml:space="preserve">MARIA LEILA </t>
  </si>
  <si>
    <t>PARC. 3/9</t>
  </si>
  <si>
    <t xml:space="preserve">WILSON APARECIDO </t>
  </si>
  <si>
    <t>Pix</t>
  </si>
  <si>
    <t>Maria Pereira</t>
  </si>
  <si>
    <t>Antonio Fernandes</t>
  </si>
  <si>
    <t>JUAN NELSON MENDES</t>
  </si>
  <si>
    <t xml:space="preserve">Zaine </t>
  </si>
  <si>
    <t>Josimar Fernando</t>
  </si>
  <si>
    <t>Gabriel dos Santos</t>
  </si>
  <si>
    <t xml:space="preserve">Bruna de Cassia </t>
  </si>
  <si>
    <t>PARC. 4/6</t>
  </si>
  <si>
    <t>Agnaldo dos Santos</t>
  </si>
  <si>
    <t>PARC. 3/5</t>
  </si>
  <si>
    <t>Eliel Duarte Silva</t>
  </si>
  <si>
    <t>PARC. 6/9</t>
  </si>
  <si>
    <t xml:space="preserve">denise dos santos </t>
  </si>
  <si>
    <t xml:space="preserve">JAQUELINE </t>
  </si>
  <si>
    <t>PAGAMENTO WILLIAM</t>
  </si>
  <si>
    <t xml:space="preserve">DINHEIRO </t>
  </si>
  <si>
    <t xml:space="preserve">RODRIGO </t>
  </si>
  <si>
    <t>THAIS SANTOS</t>
  </si>
  <si>
    <t xml:space="preserve">MAXIMIANA </t>
  </si>
  <si>
    <t xml:space="preserve">MARCIO DE OLIVEIRA </t>
  </si>
  <si>
    <t>SEBASTIÃO PEREIRA</t>
  </si>
  <si>
    <t xml:space="preserve">SELMA BORGES </t>
  </si>
  <si>
    <t xml:space="preserve">LUCAS ALMEIDA </t>
  </si>
  <si>
    <t xml:space="preserve">ALINE DE FREITAS </t>
  </si>
  <si>
    <t xml:space="preserve">MARCOS LUIZ </t>
  </si>
  <si>
    <t xml:space="preserve">BIANCA FRANCO </t>
  </si>
  <si>
    <t xml:space="preserve">MURILO ANTUNES </t>
  </si>
  <si>
    <t xml:space="preserve">DIVANETE MARIA </t>
  </si>
  <si>
    <t xml:space="preserve">CLARISSE OLIVEIRA </t>
  </si>
  <si>
    <t xml:space="preserve">MANOEL CALISTO </t>
  </si>
  <si>
    <t>SIMONE GOMES DA SILVA</t>
  </si>
  <si>
    <t xml:space="preserve">WHASINGTON </t>
  </si>
  <si>
    <t>JOSE ROBERTO</t>
  </si>
  <si>
    <t>MARIANA BENTIVOGILIO</t>
  </si>
  <si>
    <t>OBEDE DE OLIVEIRA</t>
  </si>
  <si>
    <t xml:space="preserve">GARANTIA </t>
  </si>
  <si>
    <t xml:space="preserve">ADRIANA AP. BRAZ </t>
  </si>
  <si>
    <t>PARC. 3/7</t>
  </si>
  <si>
    <t xml:space="preserve">JOAO CORA 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</si>
  <si>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</si>
  <si>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</si>
  <si>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</si>
  <si>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</si>
  <si>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</si>
  <si>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</si>
  <si>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</si>
  <si>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Parcelado Cartão Crédito</t>
  </si>
  <si>
    <t>Sem Sinal</t>
  </si>
  <si>
    <t xml:space="preserve">Carne </t>
  </si>
  <si>
    <t>GARANTIA</t>
  </si>
  <si>
    <t>Todas as Garantias</t>
  </si>
  <si>
    <t>PARC. 3/4</t>
  </si>
  <si>
    <t>PARC. 1/5</t>
  </si>
  <si>
    <t>PARC. 2/5</t>
  </si>
  <si>
    <t>PARC. 4/7</t>
  </si>
  <si>
    <t>PARC. 5/7</t>
  </si>
  <si>
    <t>PARC. 6/7</t>
  </si>
  <si>
    <t>PARC. 7/7</t>
  </si>
  <si>
    <t>PARC. 5/8</t>
  </si>
  <si>
    <t>PARC. 7/8</t>
  </si>
  <si>
    <t>PARC. 8/8</t>
  </si>
  <si>
    <t>PARC. 1/9</t>
  </si>
  <si>
    <t>PARC. 2/9</t>
  </si>
  <si>
    <t>PARC. 4/9</t>
  </si>
  <si>
    <t>PARC. 5/9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</si>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</sst>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4" fontId="38" fillId="0" borderId="17" xfId="2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27" sqref="D27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40437.890000000007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38989.890000000007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150</v>
      </c>
    </row>
    <row r="6" spans="1:2" ht="15.75" x14ac:dyDescent="0.25">
      <c r="A6" s="28" t="s">
        <v>4</v>
      </c>
      <c r="B6" s="29">
        <f>SUM(B4:B5)</f>
        <v>39139.890000000007</v>
      </c>
    </row>
    <row r="7" spans="1:2" ht="15" x14ac:dyDescent="0.25">
      <c r="A7" s="2"/>
      <c r="B7" s="2"/>
    </row>
    <row r="8" spans="1:2" ht="15" x14ac:dyDescent="0.2">
      <c r="A8" s="78" t="s">
        <v>5</v>
      </c>
      <c r="B8" s="78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2807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6975.7900000000009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909.9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26569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6620.1299999999992</v>
      </c>
    </row>
    <row r="14" spans="1:2" ht="15.75" x14ac:dyDescent="0.25">
      <c r="A14" s="28" t="s">
        <v>11</v>
      </c>
      <c r="B14" s="32">
        <f>SUM(B9:B13)</f>
        <v>43881.82</v>
      </c>
    </row>
    <row r="15" spans="1:2" ht="15" x14ac:dyDescent="0.25">
      <c r="A15" s="2"/>
      <c r="B15" s="2"/>
    </row>
    <row r="16" spans="1:2" ht="15" x14ac:dyDescent="0.2">
      <c r="A16" s="78" t="s">
        <v>12</v>
      </c>
      <c r="B16" s="78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1453</v>
      </c>
    </row>
    <row r="18" spans="1:2" ht="15.75" x14ac:dyDescent="0.25">
      <c r="A18" s="28" t="s">
        <v>11</v>
      </c>
      <c r="B18" s="32">
        <f>SUM(B17:B17)</f>
        <v>1453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45261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45262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45263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45264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7"/>
      <c r="L15" s="68"/>
      <c r="M15" s="69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topLeftCell="A31" zoomScale="80" zoomScaleNormal="8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45265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45266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78" t="s">
        <v>5</v>
      </c>
      <c r="C10" s="78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E11" sqref="E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45267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1805</v>
      </c>
      <c r="D6" s="2"/>
      <c r="E6" s="51" t="s">
        <v>34</v>
      </c>
      <c r="F6" s="49" t="s">
        <v>35</v>
      </c>
      <c r="G6" s="49" t="s">
        <v>9</v>
      </c>
      <c r="H6" s="50">
        <v>500</v>
      </c>
      <c r="I6" s="50">
        <v>500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2" t="s">
        <v>36</v>
      </c>
      <c r="F7" s="48" t="s">
        <v>37</v>
      </c>
      <c r="G7" s="48" t="s">
        <v>10</v>
      </c>
      <c r="H7" s="47">
        <v>550</v>
      </c>
      <c r="I7" s="47">
        <v>275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21</v>
      </c>
      <c r="C8" s="29">
        <f>SUM(C6:C7)</f>
        <v>1805</v>
      </c>
      <c r="D8" s="2"/>
      <c r="E8" s="18">
        <v>8355</v>
      </c>
      <c r="F8" s="25" t="s">
        <v>38</v>
      </c>
      <c r="G8" s="26" t="s">
        <v>9</v>
      </c>
      <c r="H8" s="8">
        <v>900</v>
      </c>
      <c r="I8" s="8">
        <v>900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8356</v>
      </c>
      <c r="F9" s="25" t="s">
        <v>39</v>
      </c>
      <c r="G9" s="26" t="s">
        <v>7</v>
      </c>
      <c r="H9" s="8">
        <v>20</v>
      </c>
      <c r="I9" s="8">
        <v>20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8357</v>
      </c>
      <c r="F10" s="25" t="s">
        <v>40</v>
      </c>
      <c r="G10" s="26" t="s">
        <v>6</v>
      </c>
      <c r="H10" s="8">
        <v>20</v>
      </c>
      <c r="I10" s="8">
        <v>20</v>
      </c>
      <c r="J10" s="2"/>
      <c r="K10" s="25"/>
      <c r="L10" s="9"/>
      <c r="M10" s="16"/>
      <c r="R10" s="1">
        <f>IF(vend7[[#This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>
        <v>8358</v>
      </c>
      <c r="F11" s="25" t="s">
        <v>35</v>
      </c>
      <c r="G11" s="26" t="s">
        <v>9</v>
      </c>
      <c r="H11" s="8">
        <v>90</v>
      </c>
      <c r="I11" s="8">
        <v>90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1490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571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2151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2080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71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8001</v>
      </c>
      <c r="F35" s="25" t="s">
        <v>41</v>
      </c>
      <c r="G35" s="26" t="s">
        <v>10</v>
      </c>
      <c r="H35" s="8">
        <v>128</v>
      </c>
      <c r="I35" s="8" t="s">
        <v>42</v>
      </c>
      <c r="K35" s="25"/>
      <c r="L35" s="41"/>
      <c r="M35" s="16"/>
    </row>
    <row r="36" spans="2:18" ht="15.75" x14ac:dyDescent="0.25">
      <c r="E36" s="18">
        <v>8172</v>
      </c>
      <c r="F36" s="25" t="s">
        <v>43</v>
      </c>
      <c r="G36" s="26" t="s">
        <v>10</v>
      </c>
      <c r="H36" s="8">
        <v>100</v>
      </c>
      <c r="I36" s="8" t="s">
        <v>44</v>
      </c>
      <c r="K36" s="25"/>
      <c r="L36" s="41"/>
      <c r="M36" s="16"/>
    </row>
    <row r="37" spans="2:18" ht="15.75" x14ac:dyDescent="0.25">
      <c r="E37" s="18">
        <v>8156</v>
      </c>
      <c r="F37" s="25" t="s">
        <v>45</v>
      </c>
      <c r="G37" s="26" t="s">
        <v>10</v>
      </c>
      <c r="H37" s="8">
        <v>68</v>
      </c>
      <c r="I37" s="8" t="s">
        <v>46</v>
      </c>
      <c r="K37" s="25"/>
      <c r="L37" s="41"/>
      <c r="M37" s="16"/>
    </row>
    <row r="38" spans="2:18" ht="15.75" x14ac:dyDescent="0.25">
      <c r="E38" s="18">
        <v>8117</v>
      </c>
      <c r="F38" s="25" t="s">
        <v>47</v>
      </c>
      <c r="G38" s="26" t="s">
        <v>7</v>
      </c>
      <c r="H38" s="8">
        <v>50</v>
      </c>
      <c r="I38" s="8" t="s">
        <v>42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45268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4080</v>
      </c>
      <c r="D6" s="2"/>
      <c r="E6" s="56">
        <v>8359</v>
      </c>
      <c r="F6" s="8" t="s">
        <v>48</v>
      </c>
      <c r="G6" s="8" t="s">
        <v>7</v>
      </c>
      <c r="H6" s="8">
        <v>100</v>
      </c>
      <c r="I6" s="8">
        <v>100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8360</v>
      </c>
      <c r="F7" s="8" t="s">
        <v>49</v>
      </c>
      <c r="G7" s="8" t="s">
        <v>10</v>
      </c>
      <c r="H7" s="8">
        <v>2500</v>
      </c>
      <c r="I7" s="8">
        <v>1000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4080</v>
      </c>
      <c r="D8" s="2"/>
      <c r="E8" s="56">
        <v>8360</v>
      </c>
      <c r="F8" s="8" t="s">
        <v>49</v>
      </c>
      <c r="G8" s="8" t="s">
        <v>9</v>
      </c>
      <c r="H8" s="8">
        <v>0</v>
      </c>
      <c r="I8" s="8">
        <v>1500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56">
        <v>8361</v>
      </c>
      <c r="F9" s="8" t="s">
        <v>49</v>
      </c>
      <c r="G9" s="8" t="s">
        <v>50</v>
      </c>
      <c r="H9" s="8">
        <v>0</v>
      </c>
      <c r="I9" s="8">
        <v>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8362</v>
      </c>
      <c r="F10" s="25" t="s">
        <v>51</v>
      </c>
      <c r="G10" s="26" t="s">
        <v>7</v>
      </c>
      <c r="H10" s="8">
        <v>50</v>
      </c>
      <c r="I10" s="8">
        <v>50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143</v>
      </c>
      <c r="D11" s="2"/>
      <c r="E11" s="18">
        <v>8363</v>
      </c>
      <c r="F11" s="25" t="s">
        <v>52</v>
      </c>
      <c r="G11" s="26" t="s">
        <v>50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950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1500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2010</v>
      </c>
      <c r="D15" s="2"/>
      <c r="E15" s="18"/>
      <c r="F15" s="25"/>
      <c r="G15" s="26"/>
      <c r="H15" s="8"/>
      <c r="I15" s="8"/>
      <c r="J15" s="2"/>
      <c r="K15" s="25">
        <v>8290</v>
      </c>
      <c r="L15" s="9" t="s">
        <v>53</v>
      </c>
      <c r="M15" s="16" t="s">
        <v>54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4603</v>
      </c>
      <c r="D16" s="2"/>
      <c r="E16" s="18"/>
      <c r="F16" s="25"/>
      <c r="G16" s="26"/>
      <c r="H16" s="8"/>
      <c r="I16" s="8"/>
      <c r="J16" s="2"/>
      <c r="K16" s="25">
        <v>8314</v>
      </c>
      <c r="L16" s="9" t="s">
        <v>55</v>
      </c>
      <c r="M16" s="16" t="s">
        <v>54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8323</v>
      </c>
      <c r="L17" s="9" t="s">
        <v>56</v>
      </c>
      <c r="M17" s="16" t="s">
        <v>54</v>
      </c>
      <c r="R17" s="1">
        <f>IF(vend8[[#This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8662</v>
      </c>
      <c r="L18" s="9" t="s">
        <v>56</v>
      </c>
      <c r="M18" s="16" t="s">
        <v>54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>
        <v>8348</v>
      </c>
      <c r="L19" s="9" t="s">
        <v>57</v>
      </c>
      <c r="M19" s="16" t="s">
        <v>54</v>
      </c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8156</v>
      </c>
      <c r="L20" s="9" t="s">
        <v>55</v>
      </c>
      <c r="M20" s="16" t="s">
        <v>54</v>
      </c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5">
        <v>8290</v>
      </c>
      <c r="F26" s="71" t="s">
        <v>58</v>
      </c>
      <c r="G26" s="76" t="s">
        <v>7</v>
      </c>
      <c r="H26" s="77"/>
      <c r="I26" s="77">
        <v>800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8314</v>
      </c>
      <c r="F27" s="25" t="s">
        <v>59</v>
      </c>
      <c r="G27" s="46" t="s">
        <v>10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8323</v>
      </c>
      <c r="F28" s="25" t="s">
        <v>60</v>
      </c>
      <c r="G28" s="46" t="s">
        <v>10</v>
      </c>
      <c r="H28" s="8"/>
      <c r="I28" s="8">
        <v>330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7901</v>
      </c>
      <c r="F35" s="25" t="s">
        <v>61</v>
      </c>
      <c r="G35" s="26" t="s">
        <v>6</v>
      </c>
      <c r="H35" s="8">
        <v>87</v>
      </c>
      <c r="I35" s="8" t="s">
        <v>62</v>
      </c>
      <c r="K35" s="25"/>
      <c r="L35" s="41"/>
      <c r="M35" s="16"/>
    </row>
    <row r="36" spans="2:18" ht="15.75" x14ac:dyDescent="0.25">
      <c r="E36" s="18">
        <v>8253</v>
      </c>
      <c r="F36" s="25" t="s">
        <v>63</v>
      </c>
      <c r="G36" s="26" t="s">
        <v>6</v>
      </c>
      <c r="H36" s="8">
        <v>56</v>
      </c>
      <c r="I36" s="8" t="s">
        <v>64</v>
      </c>
      <c r="K36" s="25"/>
      <c r="L36" s="41"/>
      <c r="M36" s="16"/>
    </row>
    <row r="37" spans="2:18" ht="15.75" x14ac:dyDescent="0.25">
      <c r="E37" s="18">
        <v>7735</v>
      </c>
      <c r="F37" s="25" t="s">
        <v>65</v>
      </c>
      <c r="G37" s="26" t="s">
        <v>10</v>
      </c>
      <c r="H37" s="8">
        <v>100</v>
      </c>
      <c r="I37" s="8" t="s">
        <v>66</v>
      </c>
      <c r="K37" s="25"/>
      <c r="L37" s="41"/>
      <c r="M37" s="16"/>
    </row>
    <row r="38" spans="2:18" ht="15.75" x14ac:dyDescent="0.25">
      <c r="E38" s="18">
        <v>7954</v>
      </c>
      <c r="F38" s="25" t="s">
        <v>65</v>
      </c>
      <c r="G38" s="26" t="s">
        <v>10</v>
      </c>
      <c r="H38" s="8">
        <v>100</v>
      </c>
      <c r="I38" s="8" t="s">
        <v>42</v>
      </c>
      <c r="K38" s="25"/>
      <c r="L38" s="41"/>
      <c r="M38" s="16"/>
    </row>
    <row r="39" spans="2:18" ht="15.75" x14ac:dyDescent="0.25">
      <c r="E39" s="18">
        <v>7952</v>
      </c>
      <c r="F39" s="39" t="s">
        <v>67</v>
      </c>
      <c r="G39" s="26" t="s">
        <v>10</v>
      </c>
      <c r="H39" s="8">
        <v>110</v>
      </c>
      <c r="I39" s="8" t="s">
        <v>68</v>
      </c>
      <c r="K39" s="25"/>
      <c r="L39" s="41"/>
      <c r="M39" s="16"/>
    </row>
    <row r="40" spans="2:18" ht="15.75" x14ac:dyDescent="0.25">
      <c r="E40" s="35">
        <v>8195</v>
      </c>
      <c r="F40" s="36" t="s">
        <v>69</v>
      </c>
      <c r="G40" s="37" t="s">
        <v>10</v>
      </c>
      <c r="H40" s="17">
        <v>70</v>
      </c>
      <c r="I40" s="8" t="s">
        <v>70</v>
      </c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4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45269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14914.9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12908.9</v>
      </c>
      <c r="D6" s="2"/>
      <c r="E6" s="18">
        <v>8364</v>
      </c>
      <c r="F6" s="25" t="s">
        <v>71</v>
      </c>
      <c r="G6" s="46" t="s">
        <v>10</v>
      </c>
      <c r="H6" s="8">
        <v>680</v>
      </c>
      <c r="I6" s="8">
        <v>100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8365</v>
      </c>
      <c r="F7" s="25" t="s">
        <v>72</v>
      </c>
      <c r="G7" s="46" t="s">
        <v>9</v>
      </c>
      <c r="H7" s="8">
        <v>350</v>
      </c>
      <c r="I7" s="8">
        <v>350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21</v>
      </c>
      <c r="C8" s="29">
        <f>SUM(C6:C7)</f>
        <v>12908.9</v>
      </c>
      <c r="D8" s="2"/>
      <c r="E8" s="18">
        <v>8366</v>
      </c>
      <c r="F8" s="25" t="s">
        <v>73</v>
      </c>
      <c r="G8" s="26" t="s">
        <v>9</v>
      </c>
      <c r="H8" s="8">
        <v>5229</v>
      </c>
      <c r="I8" s="8">
        <v>5229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8367</v>
      </c>
      <c r="F9" s="25" t="s">
        <v>74</v>
      </c>
      <c r="G9" s="26" t="s">
        <v>10</v>
      </c>
      <c r="H9" s="8">
        <v>19.899999999999999</v>
      </c>
      <c r="I9" s="8">
        <v>19.899999999999999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8368</v>
      </c>
      <c r="F10" s="25" t="s">
        <v>75</v>
      </c>
      <c r="G10" s="26" t="s">
        <v>10</v>
      </c>
      <c r="H10" s="8">
        <v>500</v>
      </c>
      <c r="I10" s="8">
        <v>250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380</v>
      </c>
      <c r="D11" s="2"/>
      <c r="E11" s="18">
        <v>8368</v>
      </c>
      <c r="F11" s="25" t="s">
        <v>75</v>
      </c>
      <c r="G11" s="26" t="s">
        <v>8</v>
      </c>
      <c r="H11" s="8">
        <v>0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>
        <v>8369</v>
      </c>
      <c r="F12" s="25" t="s">
        <v>76</v>
      </c>
      <c r="G12" s="26" t="s">
        <v>6</v>
      </c>
      <c r="H12" s="8">
        <v>610</v>
      </c>
      <c r="I12" s="8">
        <v>300</v>
      </c>
      <c r="J12" s="2"/>
      <c r="R12" s="1">
        <f>IF(vend9[[#This Row],[Nº Venda]]&gt;1,1,0)</f>
        <v>1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18">
        <v>8370</v>
      </c>
      <c r="F13" s="25" t="s">
        <v>76</v>
      </c>
      <c r="G13" s="26" t="s">
        <v>7</v>
      </c>
      <c r="H13" s="8">
        <v>610</v>
      </c>
      <c r="I13" s="8">
        <v>200</v>
      </c>
      <c r="J13" s="2"/>
      <c r="K13" s="80" t="s">
        <v>22</v>
      </c>
      <c r="L13" s="81"/>
      <c r="M13" s="82"/>
      <c r="R13" s="1">
        <f>IF(vend9[[#This Row],[Nº Venda]]&gt;1,1,0)</f>
        <v>1</v>
      </c>
    </row>
    <row r="14" spans="2:18" ht="15.75" x14ac:dyDescent="0.25">
      <c r="B14" s="30" t="s">
        <v>9</v>
      </c>
      <c r="C14" s="31">
        <f t="shared" si="0"/>
        <v>11725</v>
      </c>
      <c r="D14" s="2"/>
      <c r="E14" s="18">
        <v>8371</v>
      </c>
      <c r="F14" s="25" t="s">
        <v>77</v>
      </c>
      <c r="G14" s="26" t="s">
        <v>9</v>
      </c>
      <c r="H14" s="8">
        <v>1000</v>
      </c>
      <c r="I14" s="8">
        <v>300</v>
      </c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1</v>
      </c>
    </row>
    <row r="15" spans="2:18" ht="15.75" x14ac:dyDescent="0.25">
      <c r="B15" s="30" t="s">
        <v>10</v>
      </c>
      <c r="C15" s="31">
        <f t="shared" si="0"/>
        <v>419.9</v>
      </c>
      <c r="D15" s="2"/>
      <c r="E15" s="18">
        <v>8372</v>
      </c>
      <c r="F15" s="25" t="s">
        <v>77</v>
      </c>
      <c r="G15" s="26" t="s">
        <v>9</v>
      </c>
      <c r="H15" s="8">
        <v>600</v>
      </c>
      <c r="I15" s="8">
        <v>200</v>
      </c>
      <c r="J15" s="2"/>
      <c r="K15" s="25">
        <v>8315</v>
      </c>
      <c r="L15" s="9" t="s">
        <v>55</v>
      </c>
      <c r="M15" s="16" t="s">
        <v>54</v>
      </c>
      <c r="R15" s="1">
        <f>IF(vend9[[#This Row],[Nº Venda]]&gt;1,1,0)</f>
        <v>1</v>
      </c>
    </row>
    <row r="16" spans="2:18" ht="15.75" x14ac:dyDescent="0.25">
      <c r="B16" s="28" t="s">
        <v>11</v>
      </c>
      <c r="C16" s="32">
        <f>SUM(C11:C15)</f>
        <v>13024.9</v>
      </c>
      <c r="D16" s="2"/>
      <c r="E16" s="18">
        <v>8373</v>
      </c>
      <c r="F16" s="25" t="s">
        <v>78</v>
      </c>
      <c r="G16" s="26" t="s">
        <v>9</v>
      </c>
      <c r="H16" s="8">
        <v>380</v>
      </c>
      <c r="I16" s="8">
        <v>380</v>
      </c>
      <c r="J16" s="2"/>
      <c r="K16" s="25">
        <v>8343</v>
      </c>
      <c r="L16" s="9" t="s">
        <v>79</v>
      </c>
      <c r="M16" s="16" t="s">
        <v>54</v>
      </c>
      <c r="R16" s="1">
        <f>IF(vend9[[#This Row],[Nº Venda]]&gt;1,1,0)</f>
        <v>1</v>
      </c>
    </row>
    <row r="17" spans="2:18" ht="15.75" x14ac:dyDescent="0.25">
      <c r="B17" s="2"/>
      <c r="C17" s="2"/>
      <c r="D17" s="2"/>
      <c r="E17" s="18">
        <v>8374</v>
      </c>
      <c r="F17" s="25" t="s">
        <v>80</v>
      </c>
      <c r="G17" s="26" t="s">
        <v>10</v>
      </c>
      <c r="H17" s="8">
        <v>536</v>
      </c>
      <c r="I17" s="8">
        <v>50</v>
      </c>
      <c r="J17" s="2"/>
      <c r="K17" s="25"/>
      <c r="L17" s="9"/>
      <c r="M17" s="16"/>
      <c r="R17" s="1">
        <f>IF(vend9[[#This Row],[Nº Venda]]&gt;1,1,0)</f>
        <v>1</v>
      </c>
    </row>
    <row r="18" spans="2:18" ht="15.75" x14ac:dyDescent="0.25">
      <c r="B18" s="78" t="s">
        <v>12</v>
      </c>
      <c r="C18" s="78"/>
      <c r="D18" s="2"/>
      <c r="E18" s="18">
        <v>8375</v>
      </c>
      <c r="F18" s="25" t="s">
        <v>81</v>
      </c>
      <c r="G18" s="26" t="s">
        <v>9</v>
      </c>
      <c r="H18" s="8">
        <v>2200</v>
      </c>
      <c r="I18" s="8">
        <v>2200</v>
      </c>
      <c r="J18" s="2"/>
      <c r="K18" s="25"/>
      <c r="L18" s="9"/>
      <c r="M18" s="16"/>
      <c r="R18" s="1">
        <f>IF(vend9[[#This Row],[Nº Venda]]&gt;1,1,0)</f>
        <v>1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>
        <v>8376</v>
      </c>
      <c r="F19" s="25" t="s">
        <v>81</v>
      </c>
      <c r="G19" s="26"/>
      <c r="H19" s="8">
        <v>0</v>
      </c>
      <c r="I19" s="8">
        <v>0</v>
      </c>
      <c r="J19" s="2"/>
      <c r="K19" s="25"/>
      <c r="L19" s="9"/>
      <c r="M19" s="16"/>
      <c r="R19" s="1">
        <f>IF(vend9[[#This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8377</v>
      </c>
      <c r="F20" s="25" t="s">
        <v>81</v>
      </c>
      <c r="G20" s="26" t="s">
        <v>9</v>
      </c>
      <c r="H20" s="8">
        <v>2200</v>
      </c>
      <c r="I20" s="8">
        <v>2200</v>
      </c>
      <c r="J20" s="2"/>
      <c r="K20" s="25"/>
      <c r="L20" s="9"/>
      <c r="M20" s="16"/>
      <c r="R20" s="1">
        <f>IF(vend9[[#This Row],[Nº Venda]]&gt;1,1,0)</f>
        <v>1</v>
      </c>
    </row>
    <row r="21" spans="2:18" ht="15.75" x14ac:dyDescent="0.25">
      <c r="B21" s="2"/>
      <c r="C21" s="2"/>
      <c r="D21" s="2"/>
      <c r="E21" s="18">
        <v>8378</v>
      </c>
      <c r="F21" s="25" t="s">
        <v>81</v>
      </c>
      <c r="G21" s="26"/>
      <c r="H21" s="8">
        <v>0</v>
      </c>
      <c r="I21" s="8">
        <v>0</v>
      </c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14914.9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8315</v>
      </c>
      <c r="F26" s="25" t="s">
        <v>82</v>
      </c>
      <c r="G26" s="46" t="s">
        <v>9</v>
      </c>
      <c r="H26" s="8">
        <v>0</v>
      </c>
      <c r="I26" s="8">
        <v>800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8343</v>
      </c>
      <c r="F27" s="25" t="s">
        <v>83</v>
      </c>
      <c r="G27" s="26" t="s">
        <v>6</v>
      </c>
      <c r="H27" s="8">
        <v>0</v>
      </c>
      <c r="I27" s="8">
        <v>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7814</v>
      </c>
      <c r="F35" s="25" t="s">
        <v>84</v>
      </c>
      <c r="G35" s="26" t="s">
        <v>7</v>
      </c>
      <c r="H35" s="8">
        <v>50</v>
      </c>
      <c r="I35" s="8" t="s">
        <v>85</v>
      </c>
      <c r="K35" s="25"/>
      <c r="L35" s="41"/>
      <c r="M35" s="16"/>
    </row>
    <row r="36" spans="2:18" ht="15.75" x14ac:dyDescent="0.25">
      <c r="E36" s="18">
        <v>8139</v>
      </c>
      <c r="F36" s="25" t="s">
        <v>86</v>
      </c>
      <c r="G36" s="26" t="s">
        <v>9</v>
      </c>
      <c r="H36" s="8">
        <v>66</v>
      </c>
      <c r="I36" s="8" t="s">
        <v>87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4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45270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4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45271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2474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2924</v>
      </c>
      <c r="D6" s="2"/>
      <c r="E6" s="18">
        <v>8379</v>
      </c>
      <c r="F6" s="25" t="s">
        <v>88</v>
      </c>
      <c r="G6" s="26" t="s">
        <v>6</v>
      </c>
      <c r="H6" s="8">
        <v>35</v>
      </c>
      <c r="I6" s="8">
        <v>35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8380</v>
      </c>
      <c r="F7" s="25" t="s">
        <v>89</v>
      </c>
      <c r="G7" s="26" t="s">
        <v>9</v>
      </c>
      <c r="H7" s="8">
        <v>1840</v>
      </c>
      <c r="I7" s="8">
        <v>1840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2924</v>
      </c>
      <c r="D8" s="2"/>
      <c r="E8" s="18">
        <v>8381</v>
      </c>
      <c r="F8" s="25" t="s">
        <v>90</v>
      </c>
      <c r="G8" s="26" t="s">
        <v>9</v>
      </c>
      <c r="H8" s="8">
        <v>599</v>
      </c>
      <c r="I8" s="8">
        <v>599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70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2889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377.5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3521.5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2474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8327</v>
      </c>
      <c r="F26" s="25" t="s">
        <v>91</v>
      </c>
      <c r="G26" s="46" t="s">
        <v>9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7813</v>
      </c>
      <c r="F35" s="25" t="s">
        <v>92</v>
      </c>
      <c r="G35" s="26" t="s">
        <v>7</v>
      </c>
      <c r="H35" s="8">
        <v>50</v>
      </c>
      <c r="I35" s="8" t="s">
        <v>85</v>
      </c>
      <c r="K35" s="25"/>
      <c r="L35" s="41"/>
      <c r="M35" s="16"/>
    </row>
    <row r="36" spans="2:18" ht="15.75" x14ac:dyDescent="0.25">
      <c r="E36" s="18">
        <v>7689</v>
      </c>
      <c r="F36" s="25" t="s">
        <v>93</v>
      </c>
      <c r="G36" s="26" t="s">
        <v>10</v>
      </c>
      <c r="H36" s="8">
        <v>287.5</v>
      </c>
      <c r="I36" s="8" t="s">
        <v>94</v>
      </c>
      <c r="K36" s="25"/>
      <c r="L36" s="41"/>
      <c r="M36" s="16"/>
    </row>
    <row r="37" spans="2:18" ht="15.75" x14ac:dyDescent="0.25">
      <c r="E37" s="18">
        <v>7938</v>
      </c>
      <c r="F37" s="25" t="s">
        <v>95</v>
      </c>
      <c r="G37" s="26" t="s">
        <v>10</v>
      </c>
      <c r="H37" s="8">
        <v>90</v>
      </c>
      <c r="I37" s="8" t="s">
        <v>96</v>
      </c>
      <c r="K37" s="25"/>
      <c r="L37" s="41"/>
      <c r="M37" s="16"/>
    </row>
    <row r="38" spans="2:18" ht="15.75" x14ac:dyDescent="0.25">
      <c r="E38" s="18">
        <v>8263</v>
      </c>
      <c r="F38" s="25" t="s">
        <v>97</v>
      </c>
      <c r="G38" s="26" t="s">
        <v>6</v>
      </c>
      <c r="H38" s="8">
        <v>100</v>
      </c>
      <c r="I38" s="8" t="s">
        <v>98</v>
      </c>
      <c r="K38" s="25"/>
      <c r="L38" s="41"/>
      <c r="M38" s="16"/>
    </row>
    <row r="39" spans="2:18" ht="15.75" x14ac:dyDescent="0.25">
      <c r="E39" s="18">
        <v>8227</v>
      </c>
      <c r="F39" s="39" t="s">
        <v>99</v>
      </c>
      <c r="G39" s="26" t="s">
        <v>8</v>
      </c>
      <c r="H39" s="8">
        <v>70</v>
      </c>
      <c r="I39" s="8" t="s">
        <v>100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M7" sqref="M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45272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40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365</v>
      </c>
      <c r="D15" s="2"/>
      <c r="E15" s="18"/>
      <c r="F15" s="25"/>
      <c r="G15" s="26"/>
      <c r="H15" s="8"/>
      <c r="I15" s="8"/>
      <c r="J15" s="2"/>
      <c r="K15" s="25">
        <v>8319</v>
      </c>
      <c r="L15" s="9" t="s">
        <v>55</v>
      </c>
      <c r="M15" s="16" t="s">
        <v>54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365</v>
      </c>
      <c r="D16" s="2"/>
      <c r="E16" s="18"/>
      <c r="F16" s="25"/>
      <c r="G16" s="26"/>
      <c r="H16" s="8"/>
      <c r="I16" s="8"/>
      <c r="J16" s="2"/>
      <c r="K16" s="25">
        <v>8349</v>
      </c>
      <c r="L16" s="9" t="s">
        <v>79</v>
      </c>
      <c r="M16" s="16" t="s">
        <v>54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8319</v>
      </c>
      <c r="F26" s="63" t="s">
        <v>101</v>
      </c>
      <c r="G26" s="46" t="s">
        <v>10</v>
      </c>
      <c r="H26" s="8"/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7675</v>
      </c>
      <c r="F35" s="25" t="s">
        <v>102</v>
      </c>
      <c r="G35" s="26" t="s">
        <v>10</v>
      </c>
      <c r="H35" s="8">
        <v>325</v>
      </c>
      <c r="I35" s="8" t="s">
        <v>96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45273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819.9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819.9</v>
      </c>
      <c r="D6" s="2"/>
      <c r="E6" s="18">
        <v>8382</v>
      </c>
      <c r="F6" s="25" t="s">
        <v>103</v>
      </c>
      <c r="G6" s="26" t="s">
        <v>7</v>
      </c>
      <c r="H6" s="8">
        <v>650</v>
      </c>
      <c r="I6" s="8">
        <v>200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8382</v>
      </c>
      <c r="F7" s="25" t="s">
        <v>103</v>
      </c>
      <c r="G7" s="26" t="s">
        <v>9</v>
      </c>
      <c r="H7" s="8">
        <v>0</v>
      </c>
      <c r="I7" s="8">
        <v>450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819.9</v>
      </c>
      <c r="D8" s="2"/>
      <c r="E8" s="18">
        <v>8383</v>
      </c>
      <c r="F8" s="25" t="s">
        <v>104</v>
      </c>
      <c r="G8" s="26" t="s">
        <v>7</v>
      </c>
      <c r="H8" s="8">
        <v>19.899999999999999</v>
      </c>
      <c r="I8" s="8">
        <v>19.899999999999999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8384</v>
      </c>
      <c r="F9" s="25" t="s">
        <v>105</v>
      </c>
      <c r="G9" s="26" t="s">
        <v>7</v>
      </c>
      <c r="H9" s="8">
        <v>150</v>
      </c>
      <c r="I9" s="8">
        <v>150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869.9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108.33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1428.23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819.9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>
        <v>7511</v>
      </c>
      <c r="F35" s="25" t="s">
        <v>106</v>
      </c>
      <c r="G35" s="26" t="s">
        <v>7</v>
      </c>
      <c r="H35" s="8">
        <v>150</v>
      </c>
      <c r="I35" s="8" t="s">
        <v>107</v>
      </c>
      <c r="K35" s="25"/>
      <c r="L35" s="41"/>
      <c r="M35" s="16"/>
    </row>
    <row r="36" spans="2:18" ht="15.75" x14ac:dyDescent="0.25">
      <c r="E36" s="18">
        <v>7511</v>
      </c>
      <c r="F36" s="25" t="s">
        <v>106</v>
      </c>
      <c r="G36" s="26" t="s">
        <v>7</v>
      </c>
      <c r="H36" s="8">
        <v>150</v>
      </c>
      <c r="I36" s="8" t="s">
        <v>108</v>
      </c>
      <c r="K36" s="25"/>
      <c r="L36" s="41"/>
      <c r="M36" s="16"/>
    </row>
    <row r="37" spans="2:18" ht="15.75" x14ac:dyDescent="0.25">
      <c r="E37" s="18">
        <v>8266</v>
      </c>
      <c r="F37" s="25" t="s">
        <v>109</v>
      </c>
      <c r="G37" s="26" t="s">
        <v>10</v>
      </c>
      <c r="H37" s="8">
        <v>108.33</v>
      </c>
      <c r="I37" s="8" t="s">
        <v>110</v>
      </c>
      <c r="K37" s="25"/>
      <c r="L37" s="41"/>
      <c r="M37" s="16"/>
    </row>
    <row r="38" spans="2:18" ht="15.75" x14ac:dyDescent="0.25">
      <c r="E38" s="18">
        <v>8256</v>
      </c>
      <c r="F38" s="25" t="s">
        <v>111</v>
      </c>
      <c r="G38" s="26" t="s">
        <v>7</v>
      </c>
      <c r="H38" s="8">
        <v>200</v>
      </c>
      <c r="I38" s="8" t="s">
        <v>112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45274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8340</v>
      </c>
      <c r="F26" s="25" t="s">
        <v>113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8028</v>
      </c>
      <c r="F35" s="25" t="s">
        <v>114</v>
      </c>
      <c r="G35" s="26" t="s">
        <v>6</v>
      </c>
      <c r="H35" s="8">
        <v>100</v>
      </c>
      <c r="I35" s="8" t="s">
        <v>87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22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45275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</v>
      </c>
      <c r="D6" s="2"/>
      <c r="E6" s="18">
        <v>8385</v>
      </c>
      <c r="F6" s="25" t="s">
        <v>115</v>
      </c>
      <c r="G6" s="46" t="s">
        <v>8</v>
      </c>
      <c r="H6" s="8">
        <v>120</v>
      </c>
      <c r="I6" s="8">
        <v>120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120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8321</v>
      </c>
      <c r="L15" s="9" t="s">
        <v>79</v>
      </c>
      <c r="M15" s="16" t="s">
        <v>116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550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550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8034</v>
      </c>
      <c r="F35" s="25" t="s">
        <v>117</v>
      </c>
      <c r="G35" s="26" t="s">
        <v>6</v>
      </c>
      <c r="H35" s="8">
        <v>130</v>
      </c>
      <c r="I35" s="8" t="s">
        <v>118</v>
      </c>
      <c r="K35" s="25">
        <v>8321</v>
      </c>
      <c r="L35" s="41">
        <v>7</v>
      </c>
      <c r="M35" s="16">
        <v>550</v>
      </c>
    </row>
    <row r="36" spans="2:18" ht="15.75" x14ac:dyDescent="0.25">
      <c r="E36" s="18">
        <v>7790</v>
      </c>
      <c r="F36" s="25" t="s">
        <v>119</v>
      </c>
      <c r="G36" s="26" t="s">
        <v>10</v>
      </c>
      <c r="H36" s="8">
        <v>75</v>
      </c>
      <c r="I36" s="8" t="s">
        <v>120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25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45276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2458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900</v>
      </c>
      <c r="D6" s="2"/>
      <c r="E6" s="18">
        <v>8386</v>
      </c>
      <c r="F6" s="25" t="s">
        <v>121</v>
      </c>
      <c r="G6" s="46" t="s">
        <v>10</v>
      </c>
      <c r="H6" s="8">
        <v>1000</v>
      </c>
      <c r="I6" s="8">
        <v>300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8387</v>
      </c>
      <c r="F7" s="25" t="s">
        <v>122</v>
      </c>
      <c r="G7" s="46" t="s">
        <v>7</v>
      </c>
      <c r="H7" s="8">
        <v>710</v>
      </c>
      <c r="I7" s="8">
        <v>200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900</v>
      </c>
      <c r="D8" s="2"/>
      <c r="E8" s="18">
        <v>8388</v>
      </c>
      <c r="F8" s="25" t="s">
        <v>123</v>
      </c>
      <c r="G8" s="26" t="s">
        <v>6</v>
      </c>
      <c r="H8" s="8">
        <v>748</v>
      </c>
      <c r="I8" s="8">
        <v>300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378</v>
      </c>
      <c r="D15" s="2"/>
      <c r="E15" s="18"/>
      <c r="F15" s="25"/>
      <c r="G15" s="26"/>
      <c r="H15" s="8"/>
      <c r="I15" s="8"/>
      <c r="J15" s="2"/>
      <c r="K15" s="25">
        <v>8345</v>
      </c>
      <c r="L15" s="9" t="s">
        <v>124</v>
      </c>
      <c r="M15" s="16" t="s">
        <v>54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978</v>
      </c>
      <c r="D16" s="2"/>
      <c r="E16" s="18"/>
      <c r="F16" s="25"/>
      <c r="G16" s="26"/>
      <c r="H16" s="8"/>
      <c r="I16" s="8"/>
      <c r="J16" s="2"/>
      <c r="K16" s="25">
        <v>8364</v>
      </c>
      <c r="L16" s="9" t="s">
        <v>79</v>
      </c>
      <c r="M16" s="16" t="s">
        <v>116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8365</v>
      </c>
      <c r="L17" s="9" t="s">
        <v>125</v>
      </c>
      <c r="M17" s="16" t="s">
        <v>54</v>
      </c>
      <c r="R17" s="1">
        <f>IF(vend16[[#This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2458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8364</v>
      </c>
      <c r="F26" s="25" t="s">
        <v>71</v>
      </c>
      <c r="G26" s="4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7496</v>
      </c>
      <c r="F35" s="25" t="s">
        <v>126</v>
      </c>
      <c r="G35" s="26" t="s">
        <v>10</v>
      </c>
      <c r="H35" s="8">
        <v>78</v>
      </c>
      <c r="I35" s="8" t="s">
        <v>85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19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45277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45278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1449.99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1449.99</v>
      </c>
      <c r="D6" s="2"/>
      <c r="E6" s="18">
        <v>8389</v>
      </c>
      <c r="F6" s="25" t="s">
        <v>127</v>
      </c>
      <c r="G6" s="26" t="s">
        <v>7</v>
      </c>
      <c r="H6" s="8">
        <v>300</v>
      </c>
      <c r="I6" s="8">
        <v>300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8390</v>
      </c>
      <c r="F7" s="25" t="s">
        <v>59</v>
      </c>
      <c r="G7" s="26" t="s">
        <v>10</v>
      </c>
      <c r="H7" s="8">
        <v>150</v>
      </c>
      <c r="I7" s="8">
        <v>150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1449.99</v>
      </c>
      <c r="D8" s="2"/>
      <c r="E8" s="18">
        <v>8391</v>
      </c>
      <c r="F8" s="25" t="s">
        <v>128</v>
      </c>
      <c r="G8" s="26" t="s">
        <v>7</v>
      </c>
      <c r="H8" s="8">
        <v>200</v>
      </c>
      <c r="I8" s="8">
        <v>200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8392</v>
      </c>
      <c r="F9" s="25" t="s">
        <v>128</v>
      </c>
      <c r="G9" s="26" t="s">
        <v>7</v>
      </c>
      <c r="H9" s="8">
        <v>799.99</v>
      </c>
      <c r="I9" s="8">
        <v>799.99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1299.99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293</v>
      </c>
      <c r="D15" s="2"/>
      <c r="E15" s="18"/>
      <c r="F15" s="25"/>
      <c r="G15" s="26"/>
      <c r="H15" s="8"/>
      <c r="I15" s="8"/>
      <c r="J15" s="2"/>
      <c r="K15" s="25">
        <v>8008</v>
      </c>
      <c r="L15" s="9" t="s">
        <v>55</v>
      </c>
      <c r="M15" s="16" t="s">
        <v>116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1592.99</v>
      </c>
      <c r="D16" s="2"/>
      <c r="E16" s="18"/>
      <c r="F16" s="25"/>
      <c r="G16" s="26"/>
      <c r="H16" s="8"/>
      <c r="I16" s="8"/>
      <c r="J16" s="2"/>
      <c r="K16" s="25">
        <v>8336</v>
      </c>
      <c r="L16" s="9" t="s">
        <v>79</v>
      </c>
      <c r="M16" s="16" t="s">
        <v>116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8368</v>
      </c>
      <c r="L17" s="9" t="s">
        <v>79</v>
      </c>
      <c r="M17" s="16" t="s">
        <v>54</v>
      </c>
      <c r="R17" s="1">
        <f>IF(vend18[[#This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2</v>
      </c>
      <c r="C19" s="31">
        <f>SUM(entr_carn18[Valor Total])</f>
        <v>903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903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1449.99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8248</v>
      </c>
      <c r="F35" s="25" t="s">
        <v>129</v>
      </c>
      <c r="G35" s="26" t="s">
        <v>10</v>
      </c>
      <c r="H35" s="8">
        <v>93</v>
      </c>
      <c r="I35" s="8" t="s">
        <v>130</v>
      </c>
      <c r="K35" s="25">
        <v>8008</v>
      </c>
      <c r="L35" s="41">
        <v>6</v>
      </c>
      <c r="M35" s="16">
        <v>280</v>
      </c>
    </row>
    <row r="36" spans="2:18" ht="15.75" x14ac:dyDescent="0.25">
      <c r="E36" s="18">
        <v>7786</v>
      </c>
      <c r="F36" s="25" t="s">
        <v>131</v>
      </c>
      <c r="G36" s="26" t="s">
        <v>10</v>
      </c>
      <c r="H36" s="8">
        <v>50</v>
      </c>
      <c r="I36" s="8" t="s">
        <v>85</v>
      </c>
      <c r="K36" s="25">
        <v>8336</v>
      </c>
      <c r="L36" s="41">
        <v>6</v>
      </c>
      <c r="M36" s="16">
        <v>623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45279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1169.9000000000001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1405.9</v>
      </c>
      <c r="D6" s="2"/>
      <c r="E6" s="18">
        <v>8393</v>
      </c>
      <c r="F6" s="25" t="s">
        <v>132</v>
      </c>
      <c r="G6" s="26" t="s">
        <v>6</v>
      </c>
      <c r="H6" s="8">
        <v>500</v>
      </c>
      <c r="I6" s="8">
        <v>30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8394</v>
      </c>
      <c r="F7" s="25" t="s">
        <v>133</v>
      </c>
      <c r="G7" s="26" t="s">
        <v>9</v>
      </c>
      <c r="H7" s="8">
        <v>450</v>
      </c>
      <c r="I7" s="8">
        <v>450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1405.9</v>
      </c>
      <c r="D8" s="2"/>
      <c r="E8" s="18">
        <v>8395</v>
      </c>
      <c r="F8" s="25" t="s">
        <v>132</v>
      </c>
      <c r="G8" s="26" t="s">
        <v>6</v>
      </c>
      <c r="H8" s="8">
        <v>200</v>
      </c>
      <c r="I8" s="8">
        <v>20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8396</v>
      </c>
      <c r="F9" s="25" t="s">
        <v>134</v>
      </c>
      <c r="G9" s="26" t="s">
        <v>50</v>
      </c>
      <c r="H9" s="8">
        <v>0</v>
      </c>
      <c r="I9" s="8">
        <v>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8397</v>
      </c>
      <c r="F10" s="25" t="s">
        <v>135</v>
      </c>
      <c r="G10" s="26" t="s">
        <v>7</v>
      </c>
      <c r="H10" s="8">
        <v>19.899999999999999</v>
      </c>
      <c r="I10" s="8">
        <v>19.899999999999999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 t="s">
        <v>136</v>
      </c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19.899999999999999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936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8339</v>
      </c>
      <c r="L15" s="9" t="s">
        <v>137</v>
      </c>
      <c r="M15" s="16" t="s">
        <v>54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1405.9</v>
      </c>
      <c r="D16" s="2"/>
      <c r="E16" s="18"/>
      <c r="F16" s="25"/>
      <c r="G16" s="26"/>
      <c r="H16" s="8"/>
      <c r="I16" s="8"/>
      <c r="J16" s="2"/>
      <c r="K16" s="25">
        <v>83392</v>
      </c>
      <c r="L16" s="9" t="s">
        <v>137</v>
      </c>
      <c r="M16" s="16" t="s">
        <v>54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8226</v>
      </c>
      <c r="L17" s="9" t="s">
        <v>138</v>
      </c>
      <c r="M17" s="16" t="s">
        <v>54</v>
      </c>
      <c r="R17" s="1">
        <f>IF(vend19[[#This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82262</v>
      </c>
      <c r="L18" s="9" t="s">
        <v>138</v>
      </c>
      <c r="M18" s="16" t="s">
        <v>54</v>
      </c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>
        <v>8351</v>
      </c>
      <c r="L19" s="9" t="s">
        <v>139</v>
      </c>
      <c r="M19" s="16" t="s">
        <v>54</v>
      </c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8374</v>
      </c>
      <c r="L20" s="9" t="s">
        <v>139</v>
      </c>
      <c r="M20" s="16" t="s">
        <v>54</v>
      </c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1169.9000000000001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8226</v>
      </c>
      <c r="F26" s="25" t="s">
        <v>140</v>
      </c>
      <c r="G26" s="26" t="s">
        <v>8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8374</v>
      </c>
      <c r="F27" s="25" t="s">
        <v>141</v>
      </c>
      <c r="G27" s="26" t="s">
        <v>9</v>
      </c>
      <c r="H27" s="8"/>
      <c r="I27" s="8">
        <v>486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16" zoomScale="80" zoomScaleNormal="80" workbookViewId="0">
      <selection activeCell="E30" sqref="E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45280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3112.9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2902.9</v>
      </c>
      <c r="D6" s="2"/>
      <c r="E6" s="18">
        <v>8398</v>
      </c>
      <c r="F6" s="25" t="s">
        <v>142</v>
      </c>
      <c r="G6" s="26" t="s">
        <v>7</v>
      </c>
      <c r="H6" s="8">
        <v>300</v>
      </c>
      <c r="I6" s="8">
        <v>40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8399</v>
      </c>
      <c r="F7" s="25" t="s">
        <v>143</v>
      </c>
      <c r="G7" s="26" t="s">
        <v>9</v>
      </c>
      <c r="H7" s="8">
        <v>848</v>
      </c>
      <c r="I7" s="8">
        <v>848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2902.9</v>
      </c>
      <c r="D8" s="2"/>
      <c r="E8" s="18">
        <v>8400</v>
      </c>
      <c r="F8" s="25" t="s">
        <v>144</v>
      </c>
      <c r="G8" s="26" t="s">
        <v>9</v>
      </c>
      <c r="H8" s="8">
        <v>80</v>
      </c>
      <c r="I8" s="8">
        <v>80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8401</v>
      </c>
      <c r="F9" s="25" t="s">
        <v>145</v>
      </c>
      <c r="G9" s="26" t="s">
        <v>6</v>
      </c>
      <c r="H9" s="8">
        <v>400</v>
      </c>
      <c r="I9" s="8">
        <v>100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8401</v>
      </c>
      <c r="F10" s="25" t="s">
        <v>145</v>
      </c>
      <c r="G10" s="26" t="s">
        <v>50</v>
      </c>
      <c r="H10" s="8"/>
      <c r="I10" s="8">
        <v>100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649</v>
      </c>
      <c r="D11" s="2"/>
      <c r="E11" s="18">
        <v>8402</v>
      </c>
      <c r="F11" s="25" t="s">
        <v>146</v>
      </c>
      <c r="G11" s="26" t="s">
        <v>8</v>
      </c>
      <c r="H11" s="8">
        <v>19.899999999999999</v>
      </c>
      <c r="I11" s="8">
        <v>19.899999999999999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440</v>
      </c>
      <c r="D12" s="2"/>
      <c r="E12" s="18">
        <v>8403</v>
      </c>
      <c r="F12" s="25" t="s">
        <v>147</v>
      </c>
      <c r="G12" s="26" t="s">
        <v>9</v>
      </c>
      <c r="H12" s="8">
        <v>1000</v>
      </c>
      <c r="I12" s="8">
        <v>1000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 t="shared" si="0"/>
        <v>69.900000000000006</v>
      </c>
      <c r="D13" s="2"/>
      <c r="E13" s="18">
        <v>8404</v>
      </c>
      <c r="F13" s="25" t="s">
        <v>148</v>
      </c>
      <c r="G13" s="26" t="s">
        <v>6</v>
      </c>
      <c r="H13" s="8">
        <v>20</v>
      </c>
      <c r="I13" s="8">
        <v>20</v>
      </c>
      <c r="J13" s="2"/>
      <c r="K13" s="80" t="s">
        <v>22</v>
      </c>
      <c r="L13" s="81"/>
      <c r="M13" s="82"/>
      <c r="R13" s="1">
        <f>IF(vend20[[#This Row],[Nº Venda]]&gt;1,1,0)</f>
        <v>1</v>
      </c>
    </row>
    <row r="14" spans="2:18" ht="15.75" x14ac:dyDescent="0.25">
      <c r="B14" s="30" t="s">
        <v>9</v>
      </c>
      <c r="C14" s="31">
        <f t="shared" si="0"/>
        <v>2128</v>
      </c>
      <c r="D14" s="2"/>
      <c r="E14" s="18">
        <v>8405</v>
      </c>
      <c r="F14" s="25" t="s">
        <v>149</v>
      </c>
      <c r="G14" s="26" t="s">
        <v>8</v>
      </c>
      <c r="H14" s="8">
        <v>50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1</v>
      </c>
    </row>
    <row r="15" spans="2:18" ht="15.75" x14ac:dyDescent="0.25">
      <c r="B15" s="30" t="s">
        <v>10</v>
      </c>
      <c r="C15" s="31">
        <f t="shared" si="0"/>
        <v>131</v>
      </c>
      <c r="D15" s="2"/>
      <c r="E15" s="18">
        <v>8406</v>
      </c>
      <c r="F15" s="25" t="s">
        <v>150</v>
      </c>
      <c r="G15" s="26" t="s">
        <v>6</v>
      </c>
      <c r="H15" s="8">
        <v>300</v>
      </c>
      <c r="I15" s="8">
        <v>100</v>
      </c>
      <c r="J15" s="2"/>
      <c r="K15" s="25">
        <v>82952</v>
      </c>
      <c r="L15" s="9" t="s">
        <v>79</v>
      </c>
      <c r="M15" s="16" t="s">
        <v>54</v>
      </c>
      <c r="R15" s="1">
        <f>IF(vend20[[#This Row],[Nº Venda]]&gt;1,1,0)</f>
        <v>1</v>
      </c>
    </row>
    <row r="16" spans="2:18" ht="15.75" x14ac:dyDescent="0.25">
      <c r="B16" s="28" t="s">
        <v>11</v>
      </c>
      <c r="C16" s="32">
        <f>SUM(C11:C15)</f>
        <v>3417.9</v>
      </c>
      <c r="D16" s="2"/>
      <c r="E16" s="18">
        <v>8407</v>
      </c>
      <c r="F16" s="25" t="s">
        <v>151</v>
      </c>
      <c r="G16" s="26" t="s">
        <v>50</v>
      </c>
      <c r="H16" s="8">
        <v>0</v>
      </c>
      <c r="I16" s="8">
        <v>0</v>
      </c>
      <c r="J16" s="2"/>
      <c r="K16" s="25">
        <v>8327</v>
      </c>
      <c r="L16" s="9" t="s">
        <v>79</v>
      </c>
      <c r="M16" s="16" t="s">
        <v>54</v>
      </c>
      <c r="R16" s="1">
        <f>IF(vend20[[#This Row],[Nº Venda]]&gt;1,1,0)</f>
        <v>1</v>
      </c>
    </row>
    <row r="17" spans="2:18" ht="15.75" x14ac:dyDescent="0.25">
      <c r="B17" s="2"/>
      <c r="C17" s="2"/>
      <c r="D17" s="2"/>
      <c r="E17" s="18">
        <v>8408</v>
      </c>
      <c r="F17" s="25" t="s">
        <v>152</v>
      </c>
      <c r="G17" s="26" t="s">
        <v>6</v>
      </c>
      <c r="H17" s="8">
        <v>20</v>
      </c>
      <c r="I17" s="8">
        <v>20</v>
      </c>
      <c r="J17" s="2"/>
      <c r="K17" s="25">
        <v>8355</v>
      </c>
      <c r="L17" s="9" t="s">
        <v>79</v>
      </c>
      <c r="M17" s="16" t="s">
        <v>54</v>
      </c>
      <c r="R17" s="1">
        <f>IF(vend20[[#This Row],[Nº Venda]]&gt;1,1,0)</f>
        <v>1</v>
      </c>
    </row>
    <row r="18" spans="2:18" ht="15.75" x14ac:dyDescent="0.25">
      <c r="B18" s="78" t="s">
        <v>12</v>
      </c>
      <c r="C18" s="78"/>
      <c r="D18" s="2"/>
      <c r="E18" s="18">
        <v>8409</v>
      </c>
      <c r="F18" s="25" t="s">
        <v>152</v>
      </c>
      <c r="G18" s="26" t="s">
        <v>6</v>
      </c>
      <c r="H18" s="8">
        <v>35</v>
      </c>
      <c r="I18" s="8">
        <v>35</v>
      </c>
      <c r="J18" s="2"/>
      <c r="K18" s="25">
        <v>8328</v>
      </c>
      <c r="L18" s="9" t="s">
        <v>79</v>
      </c>
      <c r="M18" s="16" t="s">
        <v>54</v>
      </c>
      <c r="R18" s="1">
        <f>IF(vend20[[#This Row],[Nº Venda]]&gt;1,1,0)</f>
        <v>1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>
        <v>8410</v>
      </c>
      <c r="F19" s="25" t="s">
        <v>152</v>
      </c>
      <c r="G19" s="26" t="s">
        <v>6</v>
      </c>
      <c r="H19" s="8">
        <v>40</v>
      </c>
      <c r="I19" s="8">
        <v>40</v>
      </c>
      <c r="J19" s="2"/>
      <c r="K19" s="25"/>
      <c r="L19" s="9"/>
      <c r="M19" s="16"/>
      <c r="R19" s="1">
        <f>IF(vend20[[#This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3112.9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8328</v>
      </c>
      <c r="F26" s="25" t="s">
        <v>153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8282</v>
      </c>
      <c r="F27" s="25" t="s">
        <v>154</v>
      </c>
      <c r="G27" s="26" t="s">
        <v>6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828</v>
      </c>
      <c r="F28" s="25" t="s">
        <v>154</v>
      </c>
      <c r="G28" s="26" t="s">
        <v>9</v>
      </c>
      <c r="H28" s="8"/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8109</v>
      </c>
      <c r="F35" s="25" t="s">
        <v>155</v>
      </c>
      <c r="G35" s="26" t="s">
        <v>10</v>
      </c>
      <c r="H35" s="8">
        <v>81</v>
      </c>
      <c r="I35" s="8" t="s">
        <v>156</v>
      </c>
      <c r="K35" s="25"/>
      <c r="L35" s="41"/>
      <c r="M35" s="16"/>
    </row>
    <row r="36" spans="2:18" ht="15.75" x14ac:dyDescent="0.25">
      <c r="E36" s="18">
        <v>7529</v>
      </c>
      <c r="F36" s="25" t="s">
        <v>157</v>
      </c>
      <c r="G36" s="26" t="s">
        <v>7</v>
      </c>
      <c r="H36" s="8">
        <v>200</v>
      </c>
      <c r="I36" s="8" t="s">
        <v>158</v>
      </c>
      <c r="K36" s="25"/>
      <c r="L36" s="41"/>
      <c r="M36" s="16"/>
    </row>
    <row r="37" spans="2:18" ht="15.75" x14ac:dyDescent="0.25">
      <c r="E37" s="18">
        <v>7530</v>
      </c>
      <c r="F37" s="25" t="s">
        <v>159</v>
      </c>
      <c r="G37" s="26" t="s">
        <v>7</v>
      </c>
      <c r="H37" s="8">
        <v>200</v>
      </c>
      <c r="I37" s="8" t="s">
        <v>158</v>
      </c>
      <c r="K37" s="25"/>
      <c r="L37" s="41"/>
      <c r="M37" s="16"/>
    </row>
    <row r="38" spans="2:18" ht="15.75" x14ac:dyDescent="0.25">
      <c r="E38" s="18">
        <v>8180</v>
      </c>
      <c r="F38" s="25" t="s">
        <v>160</v>
      </c>
      <c r="G38" s="26" t="s">
        <v>10</v>
      </c>
      <c r="H38" s="8">
        <v>50</v>
      </c>
      <c r="I38" s="8" t="s">
        <v>87</v>
      </c>
      <c r="K38" s="25"/>
      <c r="L38" s="41"/>
      <c r="M38" s="16"/>
    </row>
    <row r="39" spans="2:18" ht="15.75" x14ac:dyDescent="0.25">
      <c r="E39" s="18">
        <v>8033</v>
      </c>
      <c r="F39" s="39" t="s">
        <v>161</v>
      </c>
      <c r="G39" s="26" t="s">
        <v>6</v>
      </c>
      <c r="H39" s="8">
        <v>84</v>
      </c>
      <c r="I39" s="8" t="s">
        <v>162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16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45281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1489.8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1389.8</v>
      </c>
      <c r="D6" s="2"/>
      <c r="E6" s="18">
        <v>8411</v>
      </c>
      <c r="F6" s="25" t="s">
        <v>163</v>
      </c>
      <c r="G6" s="26" t="s">
        <v>164</v>
      </c>
      <c r="H6" s="8">
        <v>350</v>
      </c>
      <c r="I6" s="8">
        <v>100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8412</v>
      </c>
      <c r="F7" s="25" t="s">
        <v>165</v>
      </c>
      <c r="G7" s="26" t="s">
        <v>7</v>
      </c>
      <c r="H7" s="8">
        <v>39.799999999999997</v>
      </c>
      <c r="I7" s="8">
        <v>39.799999999999997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21</v>
      </c>
      <c r="C8" s="29">
        <f>SUM(C6:C7)</f>
        <v>1389.8</v>
      </c>
      <c r="D8" s="2"/>
      <c r="E8" s="18">
        <v>8413</v>
      </c>
      <c r="F8" s="25" t="s">
        <v>166</v>
      </c>
      <c r="G8" s="26" t="s">
        <v>7</v>
      </c>
      <c r="H8" s="8">
        <v>350</v>
      </c>
      <c r="I8" s="8">
        <v>50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8414</v>
      </c>
      <c r="F9" s="25" t="s">
        <v>167</v>
      </c>
      <c r="G9" s="26" t="s">
        <v>10</v>
      </c>
      <c r="H9" s="8">
        <v>750</v>
      </c>
      <c r="I9" s="8">
        <v>100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1307.5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566</v>
      </c>
      <c r="D15" s="2"/>
      <c r="E15" s="18"/>
      <c r="F15" s="25"/>
      <c r="G15" s="26"/>
      <c r="H15" s="8"/>
      <c r="I15" s="8"/>
      <c r="J15" s="2"/>
      <c r="K15" s="25">
        <v>8281</v>
      </c>
      <c r="L15" s="9" t="s">
        <v>168</v>
      </c>
      <c r="M15" s="16" t="s">
        <v>54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1873.5</v>
      </c>
      <c r="D16" s="2"/>
      <c r="E16" s="18"/>
      <c r="F16" s="25"/>
      <c r="G16" s="26"/>
      <c r="H16" s="8"/>
      <c r="I16" s="8"/>
      <c r="J16" s="2"/>
      <c r="K16" s="25">
        <v>8386</v>
      </c>
      <c r="L16" s="9" t="s">
        <v>79</v>
      </c>
      <c r="M16" s="16" t="s">
        <v>54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8326</v>
      </c>
      <c r="L17" s="9" t="s">
        <v>79</v>
      </c>
      <c r="M17" s="16" t="s">
        <v>54</v>
      </c>
      <c r="R17" s="1">
        <f>IF(vend21[[#This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8373</v>
      </c>
      <c r="L18" s="9" t="s">
        <v>125</v>
      </c>
      <c r="M18" s="16" t="s">
        <v>54</v>
      </c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1489.8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8386</v>
      </c>
      <c r="F26" s="25" t="s">
        <v>169</v>
      </c>
      <c r="G26" s="26" t="s">
        <v>7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8281</v>
      </c>
      <c r="F27" s="25" t="s">
        <v>170</v>
      </c>
      <c r="G27" s="26" t="s">
        <v>7</v>
      </c>
      <c r="H27" s="8"/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7945</v>
      </c>
      <c r="F35" s="25" t="s">
        <v>171</v>
      </c>
      <c r="G35" s="26" t="s">
        <v>7</v>
      </c>
      <c r="H35" s="8">
        <v>51.7</v>
      </c>
      <c r="I35" s="8" t="s">
        <v>172</v>
      </c>
      <c r="K35" s="25"/>
      <c r="L35" s="41"/>
      <c r="M35" s="16"/>
    </row>
    <row r="36" spans="2:18" ht="15.75" x14ac:dyDescent="0.25">
      <c r="E36" s="18">
        <v>8074</v>
      </c>
      <c r="F36" s="25" t="s">
        <v>173</v>
      </c>
      <c r="G36" s="26" t="s">
        <v>7</v>
      </c>
      <c r="H36" s="8">
        <v>66</v>
      </c>
      <c r="I36" s="8" t="s">
        <v>174</v>
      </c>
      <c r="K36" s="25"/>
      <c r="L36" s="41"/>
      <c r="M36" s="16"/>
    </row>
    <row r="37" spans="2:18" ht="15.75" x14ac:dyDescent="0.25">
      <c r="E37" s="18">
        <v>7698</v>
      </c>
      <c r="F37" s="25" t="s">
        <v>175</v>
      </c>
      <c r="G37" s="26" t="s">
        <v>10</v>
      </c>
      <c r="H37" s="8">
        <v>146</v>
      </c>
      <c r="I37" s="8" t="s">
        <v>176</v>
      </c>
      <c r="K37" s="25"/>
      <c r="L37" s="41"/>
      <c r="M37" s="16"/>
    </row>
    <row r="38" spans="2:18" ht="15.75" x14ac:dyDescent="0.25">
      <c r="E38" s="18">
        <v>7078</v>
      </c>
      <c r="F38" s="25" t="s">
        <v>177</v>
      </c>
      <c r="G38" s="26" t="s">
        <v>10</v>
      </c>
      <c r="H38" s="8">
        <v>220</v>
      </c>
      <c r="I38" s="8" t="s">
        <v>44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A10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45282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1168.9000000000001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1318.9</v>
      </c>
      <c r="D6" s="2"/>
      <c r="E6" s="18">
        <v>8415</v>
      </c>
      <c r="F6" s="25" t="s">
        <v>178</v>
      </c>
      <c r="G6" s="26" t="s">
        <v>7</v>
      </c>
      <c r="H6" s="8">
        <v>149</v>
      </c>
      <c r="I6" s="8">
        <v>149</v>
      </c>
      <c r="J6" s="2"/>
      <c r="K6" s="25" t="s">
        <v>179</v>
      </c>
      <c r="L6" s="9" t="s">
        <v>180</v>
      </c>
      <c r="M6" s="16">
        <v>150</v>
      </c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150</v>
      </c>
      <c r="D7" s="2"/>
      <c r="E7" s="18">
        <v>8416</v>
      </c>
      <c r="F7" s="25" t="s">
        <v>181</v>
      </c>
      <c r="G7" s="26" t="s">
        <v>7</v>
      </c>
      <c r="H7" s="8">
        <v>19.899999999999999</v>
      </c>
      <c r="I7" s="8">
        <v>19.899999999999999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1468.9</v>
      </c>
      <c r="D8" s="2"/>
      <c r="E8" s="18">
        <v>8417</v>
      </c>
      <c r="F8" s="25" t="s">
        <v>182</v>
      </c>
      <c r="G8" s="26" t="s">
        <v>10</v>
      </c>
      <c r="H8" s="8">
        <v>1000</v>
      </c>
      <c r="I8" s="8">
        <v>200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8417</v>
      </c>
      <c r="F9" s="25" t="s">
        <v>182</v>
      </c>
      <c r="G9" s="26" t="s">
        <v>9</v>
      </c>
      <c r="H9" s="8"/>
      <c r="I9" s="8">
        <v>800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78" t="s">
        <v>5</v>
      </c>
      <c r="C10" s="78"/>
      <c r="D10" s="2"/>
      <c r="E10" s="18" t="s">
        <v>136</v>
      </c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168.9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8385</v>
      </c>
      <c r="L15" s="9" t="s">
        <v>56</v>
      </c>
      <c r="M15" s="16" t="s">
        <v>54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1318.9</v>
      </c>
      <c r="D16" s="2"/>
      <c r="E16" s="18"/>
      <c r="F16" s="25"/>
      <c r="G16" s="26"/>
      <c r="H16" s="8"/>
      <c r="I16" s="8"/>
      <c r="J16" s="2"/>
      <c r="K16" s="25">
        <v>82492</v>
      </c>
      <c r="L16" s="9" t="s">
        <v>79</v>
      </c>
      <c r="M16" s="16" t="s">
        <v>54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8344</v>
      </c>
      <c r="L17" s="9" t="s">
        <v>137</v>
      </c>
      <c r="M17" s="16" t="s">
        <v>116</v>
      </c>
      <c r="R17" s="1">
        <f>IF(vend22[[#This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8333</v>
      </c>
      <c r="L18" s="9" t="s">
        <v>79</v>
      </c>
      <c r="M18" s="16" t="s">
        <v>54</v>
      </c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>
        <v>8344</v>
      </c>
      <c r="L19" s="9" t="s">
        <v>124</v>
      </c>
      <c r="M19" s="16" t="s">
        <v>116</v>
      </c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1168.9000000000001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8344</v>
      </c>
      <c r="F26" s="25" t="s">
        <v>183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E11" sqref="E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45283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1657.6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1454.6</v>
      </c>
      <c r="D6" s="2"/>
      <c r="E6" s="18">
        <v>8418</v>
      </c>
      <c r="F6" s="25" t="s">
        <v>184</v>
      </c>
      <c r="G6" s="26" t="s">
        <v>7</v>
      </c>
      <c r="H6" s="8">
        <v>79.599999999999994</v>
      </c>
      <c r="I6" s="8">
        <v>79.599999999999994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8419</v>
      </c>
      <c r="F7" s="25" t="s">
        <v>185</v>
      </c>
      <c r="G7" s="26" t="s">
        <v>6</v>
      </c>
      <c r="H7" s="8">
        <v>528</v>
      </c>
      <c r="I7" s="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1454.6</v>
      </c>
      <c r="D8" s="2"/>
      <c r="E8" s="18">
        <v>8420</v>
      </c>
      <c r="F8" s="25" t="s">
        <v>186</v>
      </c>
      <c r="G8" s="26" t="s">
        <v>9</v>
      </c>
      <c r="H8" s="8">
        <v>350</v>
      </c>
      <c r="I8" s="8">
        <v>350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8421</v>
      </c>
      <c r="F9" s="25" t="s">
        <v>103</v>
      </c>
      <c r="G9" s="26" t="s">
        <v>50</v>
      </c>
      <c r="H9" s="8">
        <v>0</v>
      </c>
      <c r="I9" s="8">
        <v>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8422</v>
      </c>
      <c r="F10" s="25" t="s">
        <v>187</v>
      </c>
      <c r="G10" s="26" t="s">
        <v>7</v>
      </c>
      <c r="H10" s="8">
        <v>700</v>
      </c>
      <c r="I10" s="8">
        <v>700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8423</v>
      </c>
      <c r="F11" s="25" t="s">
        <v>188</v>
      </c>
      <c r="G11" s="26" t="s">
        <v>50</v>
      </c>
      <c r="H11" s="8">
        <v>35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779.6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275</v>
      </c>
      <c r="D15" s="2"/>
      <c r="E15" s="18"/>
      <c r="F15" s="25"/>
      <c r="G15" s="26"/>
      <c r="H15" s="8"/>
      <c r="I15" s="8"/>
      <c r="J15" s="2"/>
      <c r="K15" s="25">
        <v>8354</v>
      </c>
      <c r="L15" s="9" t="s">
        <v>79</v>
      </c>
      <c r="M15" s="16" t="s">
        <v>54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1454.6</v>
      </c>
      <c r="D16" s="2"/>
      <c r="E16" s="18"/>
      <c r="F16" s="25"/>
      <c r="G16" s="26"/>
      <c r="H16" s="8"/>
      <c r="I16" s="8"/>
      <c r="J16" s="2"/>
      <c r="K16" s="25">
        <v>8381</v>
      </c>
      <c r="L16" s="9" t="s">
        <v>79</v>
      </c>
      <c r="M16" s="16" t="s">
        <v>54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1657.6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8354</v>
      </c>
      <c r="F26" s="25" t="s">
        <v>37</v>
      </c>
      <c r="G26" s="26" t="s">
        <v>10</v>
      </c>
      <c r="H26" s="8"/>
      <c r="I26" s="8">
        <v>275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45284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45285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45286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448</v>
      </c>
      <c r="D6" s="2"/>
      <c r="E6" s="18">
        <v>8424</v>
      </c>
      <c r="F6" s="25" t="s">
        <v>189</v>
      </c>
      <c r="G6" s="26" t="s">
        <v>50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8425</v>
      </c>
      <c r="F7" s="25" t="s">
        <v>186</v>
      </c>
      <c r="G7" s="26" t="s">
        <v>50</v>
      </c>
      <c r="H7" s="8">
        <v>0</v>
      </c>
      <c r="I7" s="8">
        <v>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448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248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90</v>
      </c>
      <c r="D15" s="2"/>
      <c r="E15" s="18"/>
      <c r="F15" s="25"/>
      <c r="G15" s="26"/>
      <c r="H15" s="8"/>
      <c r="I15" s="8"/>
      <c r="J15" s="2"/>
      <c r="K15" s="25">
        <v>8388</v>
      </c>
      <c r="L15" s="9" t="s">
        <v>125</v>
      </c>
      <c r="M15" s="16" t="s">
        <v>54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538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8388</v>
      </c>
      <c r="F26" s="25" t="s">
        <v>123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8388</v>
      </c>
      <c r="F27" s="25" t="s">
        <v>123</v>
      </c>
      <c r="G27" s="26" t="s">
        <v>9</v>
      </c>
      <c r="H27" s="8"/>
      <c r="I27" s="8">
        <v>248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7953</v>
      </c>
      <c r="F35" s="25" t="s">
        <v>190</v>
      </c>
      <c r="G35" s="26" t="s">
        <v>10</v>
      </c>
      <c r="H35" s="8">
        <v>90</v>
      </c>
      <c r="I35" s="8" t="s">
        <v>174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45287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689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689</v>
      </c>
      <c r="D6" s="2"/>
      <c r="E6" s="18">
        <v>8426</v>
      </c>
      <c r="F6" s="25" t="s">
        <v>191</v>
      </c>
      <c r="G6" s="26" t="s">
        <v>10</v>
      </c>
      <c r="H6" s="8">
        <v>689</v>
      </c>
      <c r="I6" s="8">
        <v>689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689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689</v>
      </c>
      <c r="D15" s="2"/>
      <c r="E15" s="18"/>
      <c r="F15" s="25"/>
      <c r="G15" s="26"/>
      <c r="H15" s="8"/>
      <c r="I15" s="8"/>
      <c r="J15" s="2"/>
      <c r="K15" s="25">
        <v>8353</v>
      </c>
      <c r="L15" s="9" t="s">
        <v>79</v>
      </c>
      <c r="M15" s="16" t="s">
        <v>54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1199</v>
      </c>
      <c r="D16" s="2"/>
      <c r="E16" s="18"/>
      <c r="F16" s="25"/>
      <c r="G16" s="26"/>
      <c r="H16" s="8"/>
      <c r="I16" s="8"/>
      <c r="J16" s="2"/>
      <c r="K16" s="25">
        <v>8360</v>
      </c>
      <c r="L16" s="9" t="s">
        <v>79</v>
      </c>
      <c r="M16" s="16" t="s">
        <v>54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8361</v>
      </c>
      <c r="L17" s="9" t="s">
        <v>79</v>
      </c>
      <c r="M17" s="16" t="s">
        <v>54</v>
      </c>
      <c r="R17" s="1">
        <f>IF(vend27[[#This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7707</v>
      </c>
      <c r="F35" s="25" t="s">
        <v>192</v>
      </c>
      <c r="G35" s="26" t="s">
        <v>6</v>
      </c>
      <c r="H35" s="8">
        <v>70</v>
      </c>
      <c r="I35" s="8" t="s">
        <v>108</v>
      </c>
      <c r="K35" s="25"/>
      <c r="L35" s="41"/>
      <c r="M35" s="16"/>
    </row>
    <row r="36" spans="2:18" ht="15.75" x14ac:dyDescent="0.25">
      <c r="E36" s="18">
        <v>7687</v>
      </c>
      <c r="F36" s="25" t="s">
        <v>193</v>
      </c>
      <c r="G36" s="26" t="s">
        <v>6</v>
      </c>
      <c r="H36" s="8">
        <v>200</v>
      </c>
      <c r="I36" s="8" t="s">
        <v>94</v>
      </c>
      <c r="K36" s="25"/>
      <c r="L36" s="41"/>
      <c r="M36" s="16"/>
    </row>
    <row r="37" spans="2:18" ht="15.75" x14ac:dyDescent="0.25">
      <c r="E37" s="18">
        <v>8265</v>
      </c>
      <c r="F37" s="25" t="s">
        <v>194</v>
      </c>
      <c r="G37" s="26" t="s">
        <v>7</v>
      </c>
      <c r="H37" s="8">
        <v>120</v>
      </c>
      <c r="I37" s="8" t="s">
        <v>110</v>
      </c>
      <c r="K37" s="25"/>
      <c r="L37" s="41"/>
      <c r="M37" s="16"/>
    </row>
    <row r="38" spans="2:18" ht="15.75" x14ac:dyDescent="0.25">
      <c r="E38" s="18">
        <v>8265</v>
      </c>
      <c r="F38" s="25" t="s">
        <v>194</v>
      </c>
      <c r="G38" s="26" t="s">
        <v>7</v>
      </c>
      <c r="H38" s="8">
        <v>120</v>
      </c>
      <c r="I38" s="8" t="s">
        <v>70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G9" sqref="G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'27'!B1+1</f>
        <v>45288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3110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3110</v>
      </c>
      <c r="D6" s="2"/>
      <c r="E6" s="18">
        <v>8427</v>
      </c>
      <c r="F6" s="25" t="s">
        <v>195</v>
      </c>
      <c r="G6" s="26" t="s">
        <v>9</v>
      </c>
      <c r="H6" s="8">
        <v>480</v>
      </c>
      <c r="I6" s="8">
        <v>480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8428</v>
      </c>
      <c r="F7" s="25" t="s">
        <v>196</v>
      </c>
      <c r="G7" s="74" t="s">
        <v>7</v>
      </c>
      <c r="H7" s="8">
        <v>130</v>
      </c>
      <c r="I7" s="8">
        <v>130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3110</v>
      </c>
      <c r="D8" s="2"/>
      <c r="E8" s="18">
        <v>8429</v>
      </c>
      <c r="F8" s="25" t="s">
        <v>197</v>
      </c>
      <c r="G8" s="26" t="s">
        <v>9</v>
      </c>
      <c r="H8" s="8">
        <v>2500</v>
      </c>
      <c r="I8" s="8">
        <v>2500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2980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8380</v>
      </c>
      <c r="L15" s="9" t="s">
        <v>139</v>
      </c>
      <c r="M15" s="16" t="s">
        <v>54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3190</v>
      </c>
      <c r="D16" s="2"/>
      <c r="E16" s="18"/>
      <c r="F16" s="25"/>
      <c r="G16" s="26"/>
      <c r="H16" s="8"/>
      <c r="I16" s="8"/>
      <c r="J16" s="2"/>
      <c r="K16" s="25">
        <v>8394</v>
      </c>
      <c r="L16" s="9" t="s">
        <v>56</v>
      </c>
      <c r="M16" s="16" t="s">
        <v>54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8427</v>
      </c>
      <c r="L17" s="9" t="s">
        <v>139</v>
      </c>
      <c r="M17" s="16" t="s">
        <v>54</v>
      </c>
      <c r="R17" s="1">
        <f>IF(vend28[[#This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8428</v>
      </c>
      <c r="L18" s="9" t="s">
        <v>79</v>
      </c>
      <c r="M18" s="16" t="s">
        <v>54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3110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8340</v>
      </c>
      <c r="F35" s="25" t="s">
        <v>113</v>
      </c>
      <c r="G35" s="26" t="s">
        <v>6</v>
      </c>
      <c r="H35" s="8">
        <v>80</v>
      </c>
      <c r="I35" s="8" t="s">
        <v>98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45289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1073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1073</v>
      </c>
      <c r="D6" s="2"/>
      <c r="E6" s="18">
        <v>8430</v>
      </c>
      <c r="F6" s="25" t="s">
        <v>198</v>
      </c>
      <c r="G6" s="26" t="s">
        <v>9</v>
      </c>
      <c r="H6" s="8">
        <v>379</v>
      </c>
      <c r="I6" s="8">
        <v>250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8430</v>
      </c>
      <c r="F7" s="25" t="s">
        <v>198</v>
      </c>
      <c r="G7" s="26" t="s">
        <v>9</v>
      </c>
      <c r="H7" s="8"/>
      <c r="I7" s="8">
        <v>129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1073</v>
      </c>
      <c r="D8" s="2"/>
      <c r="E8" s="18">
        <v>8431</v>
      </c>
      <c r="F8" s="25" t="s">
        <v>199</v>
      </c>
      <c r="G8" s="26" t="s">
        <v>9</v>
      </c>
      <c r="H8" s="8">
        <v>694</v>
      </c>
      <c r="I8" s="8">
        <v>694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8432</v>
      </c>
      <c r="F9" s="25" t="s">
        <v>186</v>
      </c>
      <c r="G9" s="26" t="s">
        <v>50</v>
      </c>
      <c r="H9" s="8">
        <v>0</v>
      </c>
      <c r="I9" s="8">
        <v>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1073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71.400000000000006</v>
      </c>
      <c r="D15" s="2"/>
      <c r="E15" s="18"/>
      <c r="F15" s="25"/>
      <c r="G15" s="26"/>
      <c r="H15" s="8"/>
      <c r="I15" s="8"/>
      <c r="J15" s="2"/>
      <c r="K15" s="72">
        <v>8338</v>
      </c>
      <c r="L15" s="9" t="s">
        <v>200</v>
      </c>
      <c r="M15" s="16" t="s">
        <v>54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1244.4000000000001</v>
      </c>
      <c r="D16" s="2"/>
      <c r="E16" s="18"/>
      <c r="F16" s="25"/>
      <c r="G16" s="26"/>
      <c r="H16" s="8"/>
      <c r="I16" s="8"/>
      <c r="J16" s="2"/>
      <c r="K16" s="72">
        <v>8375</v>
      </c>
      <c r="L16" s="9" t="s">
        <v>79</v>
      </c>
      <c r="M16" s="16" t="s">
        <v>54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>
        <v>8377</v>
      </c>
      <c r="L17" s="9" t="s">
        <v>79</v>
      </c>
      <c r="M17" s="16" t="s">
        <v>54</v>
      </c>
      <c r="R17" s="1">
        <f>IF(vend29[[#This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1073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8116</v>
      </c>
      <c r="F35" s="25" t="s">
        <v>201</v>
      </c>
      <c r="G35" s="26" t="s">
        <v>10</v>
      </c>
      <c r="H35" s="8">
        <v>71.400000000000006</v>
      </c>
      <c r="I35" s="8" t="s">
        <v>202</v>
      </c>
      <c r="K35" s="25"/>
      <c r="L35" s="41"/>
      <c r="M35" s="16"/>
    </row>
    <row r="36" spans="2:18" ht="15.75" x14ac:dyDescent="0.25">
      <c r="E36" s="18">
        <v>7899</v>
      </c>
      <c r="F36" s="25" t="s">
        <v>203</v>
      </c>
      <c r="G36" s="26" t="s">
        <v>6</v>
      </c>
      <c r="H36" s="8">
        <v>100</v>
      </c>
      <c r="I36" s="8" t="s">
        <v>107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X30" sqref="X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45290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topLeftCell="D3" zoomScale="80" zoomScaleNormal="80" workbookViewId="0">
      <selection activeCell="K11" sqref="K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45291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22</v>
      </c>
      <c r="L13" s="81"/>
      <c r="M13" s="82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 t="s">
        <v>116</v>
      </c>
      <c r="R17" s="1">
        <f>IF(vend31[[#This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27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28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204</v>
      </c>
      <c r="B1" s="38" t="s">
        <v>205</v>
      </c>
      <c r="E1" s="38" t="s">
        <v>206</v>
      </c>
    </row>
    <row r="2" spans="1:5" x14ac:dyDescent="0.2">
      <c r="A2" s="38" t="s">
        <v>6</v>
      </c>
      <c r="B2" s="38" t="s">
        <v>207</v>
      </c>
      <c r="E2" t="s">
        <v>98</v>
      </c>
    </row>
    <row r="3" spans="1:5" x14ac:dyDescent="0.2">
      <c r="A3" s="38" t="s">
        <v>7</v>
      </c>
      <c r="B3" s="38" t="s">
        <v>208</v>
      </c>
      <c r="E3" t="s">
        <v>209</v>
      </c>
    </row>
    <row r="4" spans="1:5" x14ac:dyDescent="0.2">
      <c r="A4" s="38" t="s">
        <v>8</v>
      </c>
      <c r="B4" s="38" t="s">
        <v>210</v>
      </c>
      <c r="E4" t="s">
        <v>44</v>
      </c>
    </row>
    <row r="5" spans="1:5" x14ac:dyDescent="0.2">
      <c r="A5" s="38" t="s">
        <v>9</v>
      </c>
      <c r="B5" s="38" t="s">
        <v>211</v>
      </c>
      <c r="E5" t="s">
        <v>100</v>
      </c>
    </row>
    <row r="6" spans="1:5" x14ac:dyDescent="0.2">
      <c r="A6" s="38" t="s">
        <v>10</v>
      </c>
      <c r="B6" s="38" t="s">
        <v>10</v>
      </c>
      <c r="E6" t="s">
        <v>87</v>
      </c>
    </row>
    <row r="7" spans="1:5" x14ac:dyDescent="0.2">
      <c r="A7" s="38" t="s">
        <v>50</v>
      </c>
      <c r="B7" s="38" t="s">
        <v>212</v>
      </c>
      <c r="E7" t="s">
        <v>68</v>
      </c>
    </row>
    <row r="8" spans="1:5" x14ac:dyDescent="0.2">
      <c r="A8" t="s">
        <v>25</v>
      </c>
      <c r="B8" t="s">
        <v>213</v>
      </c>
      <c r="E8" t="s">
        <v>112</v>
      </c>
    </row>
    <row r="9" spans="1:5" x14ac:dyDescent="0.2">
      <c r="A9" s="38" t="s">
        <v>214</v>
      </c>
      <c r="B9" s="38" t="s">
        <v>215</v>
      </c>
      <c r="E9" t="s">
        <v>62</v>
      </c>
    </row>
    <row r="10" spans="1:5" x14ac:dyDescent="0.2">
      <c r="E10" t="s">
        <v>216</v>
      </c>
    </row>
    <row r="11" spans="1:5" x14ac:dyDescent="0.2">
      <c r="E11" t="s">
        <v>120</v>
      </c>
    </row>
    <row r="12" spans="1:5" x14ac:dyDescent="0.2">
      <c r="E12" t="s">
        <v>217</v>
      </c>
    </row>
    <row r="13" spans="1:5" x14ac:dyDescent="0.2">
      <c r="E13" t="s">
        <v>218</v>
      </c>
    </row>
    <row r="14" spans="1:5" x14ac:dyDescent="0.2">
      <c r="E14" t="s">
        <v>174</v>
      </c>
    </row>
    <row r="15" spans="1:5" x14ac:dyDescent="0.2">
      <c r="E15" t="s">
        <v>66</v>
      </c>
    </row>
    <row r="16" spans="1:5" x14ac:dyDescent="0.2">
      <c r="E16" t="s">
        <v>85</v>
      </c>
    </row>
    <row r="17" spans="5:5" x14ac:dyDescent="0.2">
      <c r="E17" t="s">
        <v>110</v>
      </c>
    </row>
    <row r="18" spans="5:5" x14ac:dyDescent="0.2">
      <c r="E18" t="s">
        <v>70</v>
      </c>
    </row>
    <row r="19" spans="5:5" x14ac:dyDescent="0.2">
      <c r="E19" t="s">
        <v>156</v>
      </c>
    </row>
    <row r="20" spans="5:5" x14ac:dyDescent="0.2">
      <c r="E20" t="s">
        <v>172</v>
      </c>
    </row>
    <row r="21" spans="5:5" x14ac:dyDescent="0.2">
      <c r="E21" t="s">
        <v>107</v>
      </c>
    </row>
    <row r="22" spans="5:5" x14ac:dyDescent="0.2">
      <c r="E22" t="s">
        <v>108</v>
      </c>
    </row>
    <row r="23" spans="5:5" x14ac:dyDescent="0.2">
      <c r="E23" t="s">
        <v>130</v>
      </c>
    </row>
    <row r="24" spans="5:5" x14ac:dyDescent="0.2">
      <c r="E24" t="s">
        <v>42</v>
      </c>
    </row>
    <row r="25" spans="5:5" x14ac:dyDescent="0.2">
      <c r="E25" t="s">
        <v>202</v>
      </c>
    </row>
    <row r="26" spans="5:5" x14ac:dyDescent="0.2">
      <c r="E26" t="s">
        <v>219</v>
      </c>
    </row>
    <row r="27" spans="5:5" x14ac:dyDescent="0.2">
      <c r="E27" t="s">
        <v>220</v>
      </c>
    </row>
    <row r="28" spans="5:5" x14ac:dyDescent="0.2">
      <c r="E28" t="s">
        <v>221</v>
      </c>
    </row>
    <row r="29" spans="5:5" x14ac:dyDescent="0.2">
      <c r="E29" t="s">
        <v>222</v>
      </c>
    </row>
    <row r="30" spans="5:5" x14ac:dyDescent="0.2">
      <c r="E30" t="s">
        <v>64</v>
      </c>
    </row>
    <row r="31" spans="5:5" x14ac:dyDescent="0.2">
      <c r="E31" t="s">
        <v>46</v>
      </c>
    </row>
    <row r="32" spans="5:5" x14ac:dyDescent="0.2">
      <c r="E32" t="s">
        <v>118</v>
      </c>
    </row>
    <row r="33" spans="5:5" x14ac:dyDescent="0.2">
      <c r="E33" t="s">
        <v>96</v>
      </c>
    </row>
    <row r="34" spans="5:5" x14ac:dyDescent="0.2">
      <c r="E34" t="s">
        <v>223</v>
      </c>
    </row>
    <row r="35" spans="5:5" x14ac:dyDescent="0.2">
      <c r="E35" t="s">
        <v>94</v>
      </c>
    </row>
    <row r="36" spans="5:5" x14ac:dyDescent="0.2">
      <c r="E36" t="s">
        <v>224</v>
      </c>
    </row>
    <row r="37" spans="5:5" x14ac:dyDescent="0.2">
      <c r="E37" t="s">
        <v>225</v>
      </c>
    </row>
    <row r="38" spans="5:5" x14ac:dyDescent="0.2">
      <c r="E38" t="s">
        <v>226</v>
      </c>
    </row>
    <row r="39" spans="5:5" x14ac:dyDescent="0.2">
      <c r="E39" t="s">
        <v>227</v>
      </c>
    </row>
    <row r="40" spans="5:5" x14ac:dyDescent="0.2">
      <c r="E40" t="s">
        <v>162</v>
      </c>
    </row>
    <row r="41" spans="5:5" x14ac:dyDescent="0.2">
      <c r="E41" t="s">
        <v>228</v>
      </c>
    </row>
    <row r="42" spans="5:5" x14ac:dyDescent="0.2">
      <c r="E42" t="s">
        <v>229</v>
      </c>
    </row>
    <row r="43" spans="5:5" x14ac:dyDescent="0.2">
      <c r="E43" t="s">
        <v>176</v>
      </c>
    </row>
    <row r="44" spans="5:5" x14ac:dyDescent="0.2">
      <c r="E44" t="s">
        <v>230</v>
      </c>
    </row>
    <row r="45" spans="5:5" x14ac:dyDescent="0.2">
      <c r="E45" t="s">
        <v>231</v>
      </c>
    </row>
    <row r="46" spans="5:5" x14ac:dyDescent="0.2">
      <c r="E46" t="s">
        <v>232</v>
      </c>
    </row>
    <row r="47" spans="5:5" x14ac:dyDescent="0.2">
      <c r="E47" t="s">
        <v>233</v>
      </c>
    </row>
    <row r="48" spans="5:5" x14ac:dyDescent="0.2">
      <c r="E48" t="s">
        <v>234</v>
      </c>
    </row>
    <row r="49" spans="5:5" x14ac:dyDescent="0.2">
      <c r="E49" t="s">
        <v>235</v>
      </c>
    </row>
    <row r="50" spans="5:5" x14ac:dyDescent="0.2">
      <c r="E50" t="s">
        <v>236</v>
      </c>
    </row>
    <row r="51" spans="5:5" x14ac:dyDescent="0.2">
      <c r="E51" t="s">
        <v>237</v>
      </c>
    </row>
    <row r="52" spans="5:5" x14ac:dyDescent="0.2">
      <c r="E52" t="s">
        <v>238</v>
      </c>
    </row>
    <row r="53" spans="5:5" x14ac:dyDescent="0.2">
      <c r="E53" t="s">
        <v>239</v>
      </c>
    </row>
    <row r="54" spans="5:5" x14ac:dyDescent="0.2">
      <c r="E54" t="s">
        <v>158</v>
      </c>
    </row>
    <row r="55" spans="5:5" x14ac:dyDescent="0.2">
      <c r="E55" t="s">
        <v>240</v>
      </c>
    </row>
    <row r="56" spans="5:5" x14ac:dyDescent="0.2">
      <c r="E56" t="s">
        <v>241</v>
      </c>
    </row>
    <row r="57" spans="5:5" x14ac:dyDescent="0.2">
      <c r="E57" t="s">
        <v>242</v>
      </c>
    </row>
    <row r="58" spans="5:5" x14ac:dyDescent="0.2">
      <c r="E58" t="s">
        <v>243</v>
      </c>
    </row>
    <row r="59" spans="5:5" x14ac:dyDescent="0.2">
      <c r="E59" t="s">
        <v>244</v>
      </c>
    </row>
    <row r="60" spans="5:5" x14ac:dyDescent="0.2">
      <c r="E60" t="s">
        <v>245</v>
      </c>
    </row>
    <row r="61" spans="5:5" x14ac:dyDescent="0.2">
      <c r="E61" t="s">
        <v>246</v>
      </c>
    </row>
    <row r="62" spans="5:5" x14ac:dyDescent="0.2">
      <c r="E62" t="s">
        <v>247</v>
      </c>
    </row>
    <row r="63" spans="5:5" x14ac:dyDescent="0.2">
      <c r="E63" t="s">
        <v>248</v>
      </c>
    </row>
    <row r="64" spans="5:5" x14ac:dyDescent="0.2">
      <c r="E64" t="s">
        <v>249</v>
      </c>
    </row>
    <row r="65" spans="5:5" x14ac:dyDescent="0.2">
      <c r="E65" t="s">
        <v>250</v>
      </c>
    </row>
    <row r="66" spans="5:5" x14ac:dyDescent="0.2">
      <c r="E66" t="s">
        <v>251</v>
      </c>
    </row>
    <row r="67" spans="5:5" x14ac:dyDescent="0.2">
      <c r="E67" t="s">
        <v>252</v>
      </c>
    </row>
    <row r="68" spans="5:5" x14ac:dyDescent="0.2">
      <c r="E68" t="s">
        <v>253</v>
      </c>
    </row>
    <row r="69" spans="5:5" x14ac:dyDescent="0.2">
      <c r="E69" t="s">
        <v>254</v>
      </c>
    </row>
    <row r="70" spans="5:5" x14ac:dyDescent="0.2">
      <c r="E70" t="s">
        <v>255</v>
      </c>
    </row>
    <row r="71" spans="5:5" x14ac:dyDescent="0.2">
      <c r="E71" t="s">
        <v>256</v>
      </c>
    </row>
    <row r="72" spans="5:5" x14ac:dyDescent="0.2">
      <c r="E72" t="s">
        <v>257</v>
      </c>
    </row>
    <row r="73" spans="5:5" x14ac:dyDescent="0.2">
      <c r="E73" t="s">
        <v>258</v>
      </c>
    </row>
    <row r="74" spans="5:5" x14ac:dyDescent="0.2">
      <c r="E74" t="s">
        <v>259</v>
      </c>
    </row>
    <row r="75" spans="5:5" x14ac:dyDescent="0.2">
      <c r="E75" t="s">
        <v>260</v>
      </c>
    </row>
    <row r="76" spans="5:5" x14ac:dyDescent="0.2">
      <c r="E76" t="s">
        <v>261</v>
      </c>
    </row>
    <row r="77" spans="5:5" x14ac:dyDescent="0.2">
      <c r="E77" t="s">
        <v>262</v>
      </c>
    </row>
    <row r="78" spans="5:5" x14ac:dyDescent="0.2">
      <c r="E78" t="s">
        <v>263</v>
      </c>
    </row>
    <row r="79" spans="5:5" x14ac:dyDescent="0.2">
      <c r="E79" t="s">
        <v>264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Kayllaine DCL</cp:lastModifiedBy>
  <cp:revision/>
  <dcterms:created xsi:type="dcterms:W3CDTF">2004-04-07T20:43:43Z</dcterms:created>
  <dcterms:modified xsi:type="dcterms:W3CDTF">2024-04-03T19:00:14Z</dcterms:modified>
  <cp:category/>
  <cp:contentStatus/>
</cp:coreProperties>
</file>